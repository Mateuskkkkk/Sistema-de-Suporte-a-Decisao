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cacao" sheetId="1" r:id="rId5"/>
    <sheet state="visible" name="Vazoes_COLAR" sheetId="2" r:id="rId6"/>
    <sheet state="visible" name="Amostra_12_meses" sheetId="3" r:id="rId7"/>
    <sheet state="visible" name="Dados_Acudes" sheetId="4" r:id="rId8"/>
    <sheet state="visible" name="Dados_Evap" sheetId="5" r:id="rId9"/>
    <sheet state="visible" name="Dados_CAV" sheetId="6" r:id="rId10"/>
    <sheet state="visible" name="Aux_CAV" sheetId="7" r:id="rId11"/>
  </sheets>
  <definedNames/>
  <calcPr/>
</workbook>
</file>

<file path=xl/sharedStrings.xml><?xml version="1.0" encoding="utf-8"?>
<sst xmlns="http://schemas.openxmlformats.org/spreadsheetml/2006/main" count="478" uniqueCount="368">
  <si>
    <t>CORPO</t>
  </si>
  <si>
    <t>0</t>
  </si>
  <si>
    <t>PLANILHA INDEPENDENTE DE VERIFICAÇÃO DO SIMULADOR – BALANÇO HÍDRICO MENSAL</t>
  </si>
  <si>
    <t>COD</t>
  </si>
  <si>
    <t>CAPAC_M3</t>
  </si>
  <si>
    <t>MUNICIPIO</t>
  </si>
  <si>
    <t>BACIA</t>
  </si>
  <si>
    <t>EstEvap</t>
  </si>
  <si>
    <t>CSANGR</t>
  </si>
  <si>
    <t>CTOMADA</t>
  </si>
  <si>
    <t>LSANGR</t>
  </si>
  <si>
    <t>COEFSAGR</t>
  </si>
  <si>
    <t>AUX_CAV_INICIO</t>
  </si>
  <si>
    <t>AUX_CAV_QTD</t>
  </si>
  <si>
    <t>Acarape do Meio</t>
  </si>
  <si>
    <t>JAN</t>
  </si>
  <si>
    <t>Redenção</t>
  </si>
  <si>
    <t>FEV</t>
  </si>
  <si>
    <t>MAR</t>
  </si>
  <si>
    <t>Acaraú Mirim</t>
  </si>
  <si>
    <t>ABR</t>
  </si>
  <si>
    <t>Massapê</t>
  </si>
  <si>
    <t>MAI</t>
  </si>
  <si>
    <t>JUN</t>
  </si>
  <si>
    <t>Adauto Bezerra</t>
  </si>
  <si>
    <t>JUL</t>
  </si>
  <si>
    <t>AGO</t>
  </si>
  <si>
    <t>SET</t>
  </si>
  <si>
    <t>OUT</t>
  </si>
  <si>
    <t>NOV</t>
  </si>
  <si>
    <t>Pereiro</t>
  </si>
  <si>
    <t>DEZ</t>
  </si>
  <si>
    <t>Amanary</t>
  </si>
  <si>
    <t>COMO USAR</t>
  </si>
  <si>
    <t>Maranguape</t>
  </si>
  <si>
    <t>Angicos</t>
  </si>
  <si>
    <t>Coreaú</t>
  </si>
  <si>
    <t>Aracoiaba</t>
  </si>
  <si>
    <t>Araras</t>
  </si>
  <si>
    <t>Varjota</t>
  </si>
  <si>
    <t>Arneiroz II</t>
  </si>
  <si>
    <t>Arneiroz</t>
  </si>
  <si>
    <t>Série histórica: 1910 a 2021. Cole as vazões em B2:M113 ou cole a tabela completa em A1:M113. Meses vazios antes da primeira vazão são ignorados automaticamente. Use vírgula decimal normalmente.</t>
  </si>
  <si>
    <t>Arrebita</t>
  </si>
  <si>
    <t>Forquilha</t>
  </si>
  <si>
    <t>Atalho</t>
  </si>
  <si>
    <t xml:space="preserve">Brejo Santo </t>
  </si>
  <si>
    <t>Ayres de Sousa</t>
  </si>
  <si>
    <t>Sobral</t>
  </si>
  <si>
    <t>Banabuiú</t>
  </si>
  <si>
    <t>Barra Velha</t>
  </si>
  <si>
    <t>Independência</t>
  </si>
  <si>
    <t>Barragem do Batalhão</t>
  </si>
  <si>
    <t>Crateús</t>
  </si>
  <si>
    <t>Batente</t>
  </si>
  <si>
    <t>Ocara</t>
  </si>
  <si>
    <t>Benguê</t>
  </si>
  <si>
    <t>Aiuaba</t>
  </si>
  <si>
    <t>Bonito</t>
  </si>
  <si>
    <t>Ipú</t>
  </si>
  <si>
    <t>Broco</t>
  </si>
  <si>
    <t>Tauá</t>
  </si>
  <si>
    <t>Cachoeira</t>
  </si>
  <si>
    <t>Aurora</t>
  </si>
  <si>
    <t>Caldeirões</t>
  </si>
  <si>
    <t>Saboeiro</t>
  </si>
  <si>
    <t>Canafístula</t>
  </si>
  <si>
    <t>Iracema</t>
  </si>
  <si>
    <t>Canoas</t>
  </si>
  <si>
    <t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</si>
  <si>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>Assaré</t>
  </si>
  <si>
    <t>Capitão Mor</t>
  </si>
  <si>
    <t>Pedra Branca</t>
  </si>
  <si>
    <t>Carão</t>
  </si>
  <si>
    <t>Tamboril</t>
  </si>
  <si>
    <t>Carmina</t>
  </si>
  <si>
    <t>Catunda</t>
  </si>
  <si>
    <t>Carnaubal</t>
  </si>
  <si>
    <t>Castanhão</t>
  </si>
  <si>
    <t>Alto Santo</t>
  </si>
  <si>
    <t>Castro</t>
  </si>
  <si>
    <t>Itapiúna</t>
  </si>
  <si>
    <t>Catucinzenta</t>
  </si>
  <si>
    <t>Aquiraz</t>
  </si>
  <si>
    <t>Cauhipe</t>
  </si>
  <si>
    <t>Caucaia</t>
  </si>
  <si>
    <t>Caxitoré</t>
  </si>
  <si>
    <t>Umirim</t>
  </si>
  <si>
    <t>Cedro</t>
  </si>
  <si>
    <t>Quixadá</t>
  </si>
  <si>
    <t>Cipoada</t>
  </si>
  <si>
    <t>Morada Nova</t>
  </si>
  <si>
    <t>Cocó</t>
  </si>
  <si>
    <t>Fortaleza</t>
  </si>
  <si>
    <t>Colina</t>
  </si>
  <si>
    <t>Quiterianópolis</t>
  </si>
  <si>
    <t>Cupim</t>
  </si>
  <si>
    <t>Curral Velho</t>
  </si>
  <si>
    <t>Desterro</t>
  </si>
  <si>
    <t>Caridade</t>
  </si>
  <si>
    <t>Diamante</t>
  </si>
  <si>
    <t>Diamantino II</t>
  </si>
  <si>
    <t>Marco</t>
  </si>
  <si>
    <t>Do Coronel</t>
  </si>
  <si>
    <t>Antonina do Norte</t>
  </si>
  <si>
    <t>Edson Queiroz</t>
  </si>
  <si>
    <t>Santa Quitéria</t>
  </si>
  <si>
    <t>PARÂMETRO</t>
  </si>
  <si>
    <t>Ema</t>
  </si>
  <si>
    <t>Escuridão</t>
  </si>
  <si>
    <t>Canindé</t>
  </si>
  <si>
    <t>VALOR</t>
  </si>
  <si>
    <t>Facundo</t>
  </si>
  <si>
    <t>Parambu</t>
  </si>
  <si>
    <t>INDICADOR</t>
  </si>
  <si>
    <t>Faé</t>
  </si>
  <si>
    <t>Quixelô</t>
  </si>
  <si>
    <t>RESULTADO</t>
  </si>
  <si>
    <t>Farias de Sousa</t>
  </si>
  <si>
    <t>LÓGICA REPRODUZIDA</t>
  </si>
  <si>
    <t>Nova Russas</t>
  </si>
  <si>
    <t>Favelas</t>
  </si>
  <si>
    <t>Figueiredo</t>
  </si>
  <si>
    <t>Flor do Campo</t>
  </si>
  <si>
    <t>Novo Oriente</t>
  </si>
  <si>
    <t>Reservatório</t>
  </si>
  <si>
    <t>Fogareiro</t>
  </si>
  <si>
    <t>Quixeramobim</t>
  </si>
  <si>
    <t>Forquilha II</t>
  </si>
  <si>
    <t>Frios</t>
  </si>
  <si>
    <t>Gameleira</t>
  </si>
  <si>
    <t>Itapipoca</t>
  </si>
  <si>
    <t>Gangorra</t>
  </si>
  <si>
    <t>Granja</t>
  </si>
  <si>
    <t>Gavião</t>
  </si>
  <si>
    <t>Pacatuba</t>
  </si>
  <si>
    <t>General Sampaio</t>
  </si>
  <si>
    <t>Gerardo Atimbone</t>
  </si>
  <si>
    <t>Germinal</t>
  </si>
  <si>
    <t>Palmácia</t>
  </si>
  <si>
    <t>Gomes</t>
  </si>
  <si>
    <t>Mauriti</t>
  </si>
  <si>
    <t>Mundaú</t>
  </si>
  <si>
    <t>Itapajé</t>
  </si>
  <si>
    <t>Meses válidos</t>
  </si>
  <si>
    <t>Itapebussu</t>
  </si>
  <si>
    <t>Itaúna</t>
  </si>
  <si>
    <t>Jaburu I</t>
  </si>
  <si>
    <t>Ubajara</t>
  </si>
  <si>
    <t>Jaburu II</t>
  </si>
  <si>
    <t>Jatobá</t>
  </si>
  <si>
    <t>Milhã</t>
  </si>
  <si>
    <t>Jatobá II</t>
  </si>
  <si>
    <t>Ipueiras</t>
  </si>
  <si>
    <t>Jenipapeiro</t>
  </si>
  <si>
    <t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</si>
  <si>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>Dep. Irapuan Pinheiro</t>
  </si>
  <si>
    <t>Jenipapeiro II</t>
  </si>
  <si>
    <t>Baixio</t>
  </si>
  <si>
    <t>Jenipapo</t>
  </si>
  <si>
    <t>Meruoca</t>
  </si>
  <si>
    <t>Jerimum</t>
  </si>
  <si>
    <t>Irauçuba</t>
  </si>
  <si>
    <t>João Luís</t>
  </si>
  <si>
    <t>jan/1910 a dez/2021</t>
  </si>
  <si>
    <t>Araripe</t>
  </si>
  <si>
    <t>Joaquim Távora</t>
  </si>
  <si>
    <t>Jaguaribe</t>
  </si>
  <si>
    <t>Código</t>
  </si>
  <si>
    <t>Junco</t>
  </si>
  <si>
    <t>Granjeiro</t>
  </si>
  <si>
    <t>Lima Campos</t>
  </si>
  <si>
    <t>Icó</t>
  </si>
  <si>
    <t>Macacos</t>
  </si>
  <si>
    <t>Ibaretama</t>
  </si>
  <si>
    <t>Madeiro</t>
  </si>
  <si>
    <t>Malcozinhado</t>
  </si>
  <si>
    <t>Cascavel</t>
  </si>
  <si>
    <t>Mamoeiro</t>
  </si>
  <si>
    <t>Manoel Balbino</t>
  </si>
  <si>
    <t>Juazeiro do Norte</t>
  </si>
  <si>
    <t>Maranguapinho</t>
  </si>
  <si>
    <t>Martinópole</t>
  </si>
  <si>
    <t>Falhas</t>
  </si>
  <si>
    <t>Missi</t>
  </si>
  <si>
    <t>Miraíma</t>
  </si>
  <si>
    <t>Mons. Tabosa</t>
  </si>
  <si>
    <t>Monte Belo</t>
  </si>
  <si>
    <t>Uruburetama</t>
  </si>
  <si>
    <t>Automático no primeiro mês com vazão</t>
  </si>
  <si>
    <t>Muquém</t>
  </si>
  <si>
    <t>Cariús</t>
  </si>
  <si>
    <t>Capacidade (hm³)</t>
  </si>
  <si>
    <t>Nova Floresta</t>
  </si>
  <si>
    <t>Olho d'Água</t>
  </si>
  <si>
    <t>Várzea Alegre</t>
  </si>
  <si>
    <t>Orós</t>
  </si>
  <si>
    <t>Pacajus</t>
  </si>
  <si>
    <t>Pacoti</t>
  </si>
  <si>
    <t>Horizonte</t>
  </si>
  <si>
    <t>Atendimento global (%)</t>
  </si>
  <si>
    <t>Patos</t>
  </si>
  <si>
    <t>Patu</t>
  </si>
  <si>
    <t>Senador Pompeu</t>
  </si>
  <si>
    <t>Pau Preto</t>
  </si>
  <si>
    <t>Potengi</t>
  </si>
  <si>
    <t>Pedras Brancas</t>
  </si>
  <si>
    <t>Penedo</t>
  </si>
  <si>
    <t>Pentecoste</t>
  </si>
  <si>
    <t>Pesqueiro</t>
  </si>
  <si>
    <t>Capistrano</t>
  </si>
  <si>
    <t>Pirabibu</t>
  </si>
  <si>
    <t>AMOSTRA DE 12 MESES PARA O PROTOCOLO DE VERIFICAÇÃO</t>
  </si>
  <si>
    <t>Poço da Pedra</t>
  </si>
  <si>
    <t>Campos Sales</t>
  </si>
  <si>
    <t>Poço do Barro</t>
  </si>
  <si>
    <t>Poço Verde</t>
  </si>
  <si>
    <t>Pompeu Sobrinho</t>
  </si>
  <si>
    <t>Choró</t>
  </si>
  <si>
    <t>Estação de evaporação</t>
  </si>
  <si>
    <t>Potiretama</t>
  </si>
  <si>
    <t>Prazeres</t>
  </si>
  <si>
    <t>Barro</t>
  </si>
  <si>
    <t>Premuoca</t>
  </si>
  <si>
    <t>Uruoca</t>
  </si>
  <si>
    <t>Escolha o ano em B5. Se o primeiro ano tiver apenas parte dos meses, somente os meses com dados aparecerão. P, R e T continuam opcionais para comparação com as saídas do simulador.</t>
  </si>
  <si>
    <t>Quandú</t>
  </si>
  <si>
    <t>Quincoé</t>
  </si>
  <si>
    <t>Acopiara</t>
  </si>
  <si>
    <t>Quixabinha</t>
  </si>
  <si>
    <t>Vertimento total (hm³)</t>
  </si>
  <si>
    <t>Ano do relatório</t>
  </si>
  <si>
    <t>Realejo</t>
  </si>
  <si>
    <t>Riachão</t>
  </si>
  <si>
    <t>Itaitinga</t>
  </si>
  <si>
    <t>Opcional: cole nas colunas amarelas os resultados mensais exportados do simulador. As colunas adjacentes calculam as diferenças.</t>
  </si>
  <si>
    <t>Riacho da Serra</t>
  </si>
  <si>
    <t>Riacho do Sangue</t>
  </si>
  <si>
    <t>Solonópole</t>
  </si>
  <si>
    <t>Mês</t>
  </si>
  <si>
    <t>Data</t>
  </si>
  <si>
    <t>Q (m³/s)</t>
  </si>
  <si>
    <t>Afluência (hm³)</t>
  </si>
  <si>
    <t>Rivaldo de Carvalho</t>
  </si>
  <si>
    <t>Arm. inicial (hm³)</t>
  </si>
  <si>
    <t>Evap. (mm)</t>
  </si>
  <si>
    <t>Catarina</t>
  </si>
  <si>
    <t>Área média (km²)</t>
  </si>
  <si>
    <t>Evap. (hm³)</t>
  </si>
  <si>
    <t>Dem. sol. (m³/s)</t>
  </si>
  <si>
    <t>Rosário</t>
  </si>
  <si>
    <t>Dem. atend. (m³/s)</t>
  </si>
  <si>
    <t>Lavras da Mangabeira</t>
  </si>
  <si>
    <t>Déficit (m³/s)</t>
  </si>
  <si>
    <t>Vertimento (hm³)</t>
  </si>
  <si>
    <t>Arm. final (hm³)</t>
  </si>
  <si>
    <t>S. Pedro Timbaúba</t>
  </si>
  <si>
    <t>Falha</t>
  </si>
  <si>
    <t>Resíduo ε (hm³)</t>
  </si>
  <si>
    <t>Vol. final SIM (hm³)</t>
  </si>
  <si>
    <t>Dif. volume (hm³)</t>
  </si>
  <si>
    <t>Evap. SIM (hm³)</t>
  </si>
  <si>
    <t>Salão</t>
  </si>
  <si>
    <t>Volume inicial (% capacidade)</t>
  </si>
  <si>
    <t>Dif. evap. (hm³)</t>
  </si>
  <si>
    <t>Vert. SIM (hm³)</t>
  </si>
  <si>
    <t>Dif. vert. (hm³)</t>
  </si>
  <si>
    <t>Santa Maria</t>
  </si>
  <si>
    <t>Ererê</t>
  </si>
  <si>
    <t>Santa Maria de Aracatiaçu</t>
  </si>
  <si>
    <t>Evaporação total (hm³)</t>
  </si>
  <si>
    <t>Santo Antônio</t>
  </si>
  <si>
    <t>Santo Antônio de Aracatiaçu</t>
  </si>
  <si>
    <t>Santo Antônio de Russas</t>
  </si>
  <si>
    <t>Russas</t>
  </si>
  <si>
    <t>São Domingos</t>
  </si>
  <si>
    <t>São Domingos II</t>
  </si>
  <si>
    <t>Caririaçu</t>
  </si>
  <si>
    <t>São José I</t>
  </si>
  <si>
    <t>Boa Viagem</t>
  </si>
  <si>
    <t>São José II</t>
  </si>
  <si>
    <t>Piquet Carneiro</t>
  </si>
  <si>
    <t>São José III</t>
  </si>
  <si>
    <t>Ipaporanga</t>
  </si>
  <si>
    <t>São Mateus</t>
  </si>
  <si>
    <t>São Vicente</t>
  </si>
  <si>
    <t>Santana do Acaraú</t>
  </si>
  <si>
    <t>Serafim Dias</t>
  </si>
  <si>
    <t>Mombaça</t>
  </si>
  <si>
    <t>Volume inicial (hm³)</t>
  </si>
  <si>
    <t>Sitios Novos</t>
  </si>
  <si>
    <t>Sousa</t>
  </si>
  <si>
    <t>Sucesso</t>
  </si>
  <si>
    <t>TOTAL</t>
  </si>
  <si>
    <t>Resíduo máximo |ε| (hm³)</t>
  </si>
  <si>
    <t>MEDIA_MMDIA</t>
  </si>
  <si>
    <t>Taquara</t>
  </si>
  <si>
    <t>Barbalha</t>
  </si>
  <si>
    <t>Cariré</t>
  </si>
  <si>
    <t>Tatajuba</t>
  </si>
  <si>
    <t>Tejuçuoca</t>
  </si>
  <si>
    <t>Thomás Osterne</t>
  </si>
  <si>
    <t>Crato</t>
  </si>
  <si>
    <t>Guaramiranga</t>
  </si>
  <si>
    <t>Tigre</t>
  </si>
  <si>
    <t>Iguatu</t>
  </si>
  <si>
    <t>Tijuquinha</t>
  </si>
  <si>
    <t>Baturité</t>
  </si>
  <si>
    <t>Jaguaruana</t>
  </si>
  <si>
    <t>Trapiá II</t>
  </si>
  <si>
    <t>Trapiá III</t>
  </si>
  <si>
    <t>Trici</t>
  </si>
  <si>
    <t>Demanda constante (m³/s)</t>
  </si>
  <si>
    <t>Trussu</t>
  </si>
  <si>
    <t>Volume mínimo (hm³)</t>
  </si>
  <si>
    <t>Tucunduba</t>
  </si>
  <si>
    <t>Senador Sá</t>
  </si>
  <si>
    <t>Apodi</t>
  </si>
  <si>
    <t>Ubaldinho</t>
  </si>
  <si>
    <t>Umari</t>
  </si>
  <si>
    <t>Madalena</t>
  </si>
  <si>
    <t>Valério</t>
  </si>
  <si>
    <t>Altaneira</t>
  </si>
  <si>
    <t>Jaburu</t>
  </si>
  <si>
    <t>Várzea da Volta</t>
  </si>
  <si>
    <t>Moraújo</t>
  </si>
  <si>
    <t>Várzea do Boi</t>
  </si>
  <si>
    <t>Vieirão</t>
  </si>
  <si>
    <t>Demanda constante (L/s)</t>
  </si>
  <si>
    <t>Volume máximo (hm³)</t>
  </si>
  <si>
    <t>Dias por mês</t>
  </si>
  <si>
    <t>Situação do balanço</t>
  </si>
  <si>
    <t>Conversão m³/s → hm³/mês</t>
  </si>
  <si>
    <t>CAV mín. (hm³)</t>
  </si>
  <si>
    <t>Volumes físicos negativos</t>
  </si>
  <si>
    <t>Versão nativa para LibreOffice Calc, sem LET, MAP, SCAN, MAKEARRAY ou matrizes dinâmicas.</t>
  </si>
  <si>
    <t>CAV máx. (hm³)</t>
  </si>
  <si>
    <t>Status limites físicos</t>
  </si>
  <si>
    <t>Pontos CAV</t>
  </si>
  <si>
    <t>Tolerância do resíduo (hm³)</t>
  </si>
  <si>
    <t>Linha inicial CAV</t>
  </si>
  <si>
    <t>Quantidade linhas CAV</t>
  </si>
  <si>
    <t>Ano</t>
  </si>
  <si>
    <t>Mês nº</t>
  </si>
  <si>
    <t>Vazão (m³/s)</t>
  </si>
  <si>
    <t>Evap. (m)</t>
  </si>
  <si>
    <t>Armaz. inicial (hm³)</t>
  </si>
  <si>
    <t>Área inicial (km²)</t>
  </si>
  <si>
    <t>Dem. solicitada (m³/s)</t>
  </si>
  <si>
    <t>Dem. solicitada (hm³)</t>
  </si>
  <si>
    <t>Saldo interno 1 (hm³)</t>
  </si>
  <si>
    <t>Área preliminar (km²)</t>
  </si>
  <si>
    <t>Evaporação (hm³)</t>
  </si>
  <si>
    <t>Saldo interno 2 (hm³)</t>
  </si>
  <si>
    <t>Retirada efetiva (hm³)</t>
  </si>
  <si>
    <t>Dem. atendida (m³/s)</t>
  </si>
  <si>
    <t>Armaz. final (hm³)</t>
  </si>
  <si>
    <t>|ε| (hm³)</t>
  </si>
  <si>
    <t>Volume final (%)</t>
  </si>
  <si>
    <t>Estado interno auxiliar (hm³)</t>
  </si>
  <si>
    <t>COTA</t>
  </si>
  <si>
    <t>VOLUME_M3</t>
  </si>
  <si>
    <t>AREA_KM2</t>
  </si>
  <si>
    <t>AUX_VOLUME_HM3</t>
  </si>
  <si>
    <t>Volume CAV selecionada (hm³)</t>
  </si>
  <si>
    <t>Área CAV selecionada (km²)</t>
  </si>
  <si>
    <t>Observação</t>
  </si>
  <si>
    <t>Aba auxiliar automática. Não é necessário editar.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</si>
</sst>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MMM/YYYY"/>
  </numFmts>
  <fonts count="11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b/>
      <sz val="16.0"/>
      <color rgb="FFFFFFFF"/>
      <name val="Calibri"/>
    </font>
    <font/>
    <font>
      <b/>
      <sz val="11.0"/>
      <color rgb="FF17365D"/>
      <name val="Calibri"/>
    </font>
    <font>
      <sz val="11.0"/>
      <color rgb="FF595959"/>
      <name val="Calibri"/>
    </font>
    <font>
      <b/>
      <sz val="10.0"/>
      <color rgb="FFFFFFFF"/>
      <name val="Arial"/>
    </font>
    <font>
      <b/>
      <sz val="11.0"/>
      <color rgb="FF7F6000"/>
      <name val="Calibri"/>
    </font>
    <font>
      <sz val="11.0"/>
      <color theme="1"/>
      <name val="Calibri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F7FBFE"/>
        <bgColor rgb="FFF7FBFE"/>
      </patternFill>
    </fill>
    <fill>
      <patternFill patternType="solid">
        <fgColor rgb="FF667085"/>
        <bgColor rgb="FF667085"/>
      </patternFill>
    </fill>
  </fills>
  <borders count="13">
    <border/>
    <border>
      <left/>
      <right/>
      <top/>
      <bottom/>
    </border>
    <border>
      <left/>
      <top/>
    </border>
    <border>
      <top/>
    </border>
    <border>
      <left/>
      <top/>
      <bottom/>
    </border>
    <border>
      <top/>
      <bottom/>
    </border>
    <border>
      <right/>
      <top/>
      <bottom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0" fillId="0" fontId="2" numFmtId="0" xfId="0" applyFont="1"/>
    <xf borderId="2" fillId="3" fontId="3" numFmtId="0" xfId="0" applyAlignment="1" applyBorder="1" applyFill="1" applyFont="1">
      <alignment shrinkToFit="0" vertical="center" wrapText="0"/>
    </xf>
    <xf borderId="3" fillId="0" fontId="4" numFmtId="0" xfId="0" applyBorder="1" applyFont="1"/>
    <xf borderId="4" fillId="4" fontId="5" numFmtId="0" xfId="0" applyAlignment="1" applyBorder="1" applyFill="1" applyFont="1">
      <alignment shrinkToFit="0" vertical="bottom" wrapText="0"/>
    </xf>
    <xf borderId="5" fillId="0" fontId="4" numFmtId="0" xfId="0" applyBorder="1" applyFont="1"/>
    <xf borderId="6" fillId="0" fontId="4" numFmtId="0" xfId="0" applyBorder="1" applyFont="1"/>
    <xf borderId="2" fillId="5" fontId="6" numFmtId="0" xfId="0" applyAlignment="1" applyBorder="1" applyFill="1" applyFont="1">
      <alignment shrinkToFit="0" vertical="bottom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4" fillId="5" fontId="6" numFmtId="0" xfId="0" applyAlignment="1" applyBorder="1" applyFill="1" applyFont="1">
      <alignment shrinkToFit="0" vertical="bottom" wrapText="1"/>
    </xf>
    <xf borderId="1" fillId="4" fontId="5" numFmtId="0" xfId="0" applyAlignment="1" applyBorder="1" applyFill="1" applyFont="1">
      <alignment shrinkToFit="0" vertical="bottom" wrapText="0"/>
    </xf>
    <xf borderId="1" fillId="2" fontId="7" numFmtId="0" xfId="0" applyAlignment="1" applyBorder="1" applyFill="1" applyFont="1">
      <alignment shrinkToFit="0" vertical="bottom" wrapText="0"/>
    </xf>
    <xf borderId="1" fillId="6" fontId="8" numFmtId="0" xfId="0" applyAlignment="1" applyBorder="1" applyFill="1" applyFont="1">
      <alignment shrinkToFit="0" vertical="bottom" wrapText="0"/>
    </xf>
    <xf borderId="1" fillId="7" fontId="9" numFmtId="0" xfId="0" applyAlignment="1" applyBorder="1" applyFill="1" applyFont="1">
      <alignment shrinkToFit="0" vertical="bottom" wrapText="0"/>
    </xf>
    <xf borderId="1" fillId="8" fontId="10" numFmtId="0" xfId="0" applyAlignment="1" applyBorder="1" applyFill="1" applyFont="1">
      <alignment shrinkToFit="0" vertical="bottom" wrapText="0"/>
    </xf>
    <xf borderId="1" fillId="7" fontId="9" numFmtId="164" xfId="0" applyAlignment="1" applyBorder="1" applyFill="1" applyFont="1" applyNumberFormat="1">
      <alignment shrinkToFit="0" vertical="bottom" wrapText="0"/>
    </xf>
    <xf borderId="1" fillId="8" fontId="10" numFmtId="165" xfId="0" applyAlignment="1" applyBorder="1" applyFill="1" applyFont="1" applyNumberFormat="1">
      <alignment shrinkToFit="0" vertical="bottom" wrapText="0"/>
    </xf>
    <xf borderId="1" fillId="6" fontId="8" numFmtId="164" xfId="0" applyAlignment="1" applyBorder="1" applyFill="1" applyFont="1" applyNumberForma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1" fillId="2" fontId="1" numFmtId="3" xfId="0" applyAlignment="1" applyBorder="1" applyFill="1" applyFont="1" applyNumberForma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0" fillId="0" fontId="9" numFmtId="1" xfId="0" applyAlignment="1" applyFont="1" applyNumberFormat="1">
      <alignment shrinkToFit="0" vertical="bottom" wrapText="0"/>
    </xf>
    <xf borderId="1" fillId="9" fontId="1" numFmtId="0" xfId="0" applyAlignment="1" applyBorder="1" applyFill="1" applyFon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>
        <color rgb="FF9C0006"/>
      </font>
      <fill>
        <patternFill patternType="solid">
          <fgColor rgb="FFF4CCCC"/>
          <bgColor rgb="FFF4CCCC"/>
        </patternFill>
      </fill>
      <border/>
    </dxf>
    <dxf>
      <font>
        <b/>
        <color rgb="FF375623"/>
      </font>
      <fill>
        <patternFill patternType="solid">
          <fgColor rgb="FFE2F0D9"/>
          <bgColor rgb="FFE2F0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main-title</a:t>
            </a:r>
          </a:p>
        </c:rich>
      </c:tx>
      <c:overlay val="0"/>
    </c:title>
    <c:plotArea>
      <c:layout/>
      <c:lineChart>
        <c:ser>
          <c:idx val="0"/>
          <c:order val="0"/>
          <c:tx>
            <c:v>Q (m³/s)</c:v>
          </c:tx>
          <c:spPr>
            <a:ln cmpd="sng" w="38100">
              <a:solidFill>
                <a:srgbClr val="12557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Amostra_12_meses!$B$8:$B$19</c:f>
            </c:strRef>
          </c:cat>
          <c:val>
            <c:numRef>
              <c:f>Amostra_12_meses!$C$8:$C$19</c:f>
              <c:numCache/>
            </c:numRef>
          </c:val>
          <c:smooth val="1"/>
        </c:ser>
        <c:ser>
          <c:idx val="1"/>
          <c:order val="1"/>
          <c:tx>
            <c:v>Afluência (hm³)</c:v>
          </c:tx>
          <c:spPr>
            <a:ln cmpd="sng" w="38100">
              <a:solidFill>
                <a:srgbClr val="CF642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Amostra_12_meses!$B$8:$B$19</c:f>
            </c:strRef>
          </c:cat>
          <c:val>
            <c:numRef>
              <c:f>Amostra_12_meses!$D$8:$D$19</c:f>
              <c:numCache/>
            </c:numRef>
          </c:val>
          <c:smooth val="1"/>
        </c:ser>
        <c:ser>
          <c:idx val="2"/>
          <c:order val="2"/>
          <c:tx>
            <c:v>Arm. inicial (hm³)</c:v>
          </c:tx>
          <c:spPr>
            <a:ln cmpd="sng" w="38100">
              <a:solidFill>
                <a:srgbClr val="165F2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Amostra_12_meses!$B$8:$B$19</c:f>
            </c:strRef>
          </c:cat>
          <c:val>
            <c:numRef>
              <c:f>Amostra_12_meses!$E$8:$E$19</c:f>
              <c:numCache/>
            </c:numRef>
          </c:val>
          <c:smooth val="1"/>
        </c:ser>
        <c:ser>
          <c:idx val="3"/>
          <c:order val="3"/>
          <c:tx>
            <c:v>Evap. (mm)</c:v>
          </c:tx>
          <c:spPr>
            <a:ln cmpd="sng" w="38100">
              <a:solidFill>
                <a:srgbClr val="0D8CB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Amostra_12_meses!$B$8:$B$19</c:f>
            </c:strRef>
          </c:cat>
          <c:val>
            <c:numRef>
              <c:f>Amostra_12_meses!$F$8:$F$19</c:f>
              <c:numCache/>
            </c:numRef>
          </c:val>
          <c:smooth val="1"/>
        </c:ser>
        <c:ser>
          <c:idx val="4"/>
          <c:order val="4"/>
          <c:tx>
            <c:v>Área média (km²)</c:v>
          </c:tx>
          <c:spPr>
            <a:ln cmpd="sng" w="38100">
              <a:solidFill>
                <a:srgbClr val="8E268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Amostra_12_meses!$B$8:$B$19</c:f>
            </c:strRef>
          </c:cat>
          <c:val>
            <c:numRef>
              <c:f>Amostra_12_meses!$G$8:$G$19</c:f>
              <c:numCache/>
            </c:numRef>
          </c:val>
          <c:smooth val="1"/>
        </c:ser>
        <c:ser>
          <c:idx val="5"/>
          <c:order val="5"/>
          <c:tx>
            <c:v>Evap. (hm³)</c:v>
          </c:tx>
          <c:spPr>
            <a:ln cmpd="sng" w="38100">
              <a:solidFill>
                <a:srgbClr val="45942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Amostra_12_meses!$B$8:$B$19</c:f>
            </c:strRef>
          </c:cat>
          <c:val>
            <c:numRef>
              <c:f>Amostra_12_meses!$H$8:$H$19</c:f>
              <c:numCache/>
            </c:numRef>
          </c:val>
          <c:smooth val="1"/>
        </c:ser>
        <c:ser>
          <c:idx val="6"/>
          <c:order val="6"/>
          <c:tx>
            <c:v>Dem. sol. (m³/s)</c:v>
          </c:tx>
          <c:spPr>
            <a:ln cmpd="sng" w="38100">
              <a:solidFill>
                <a:srgbClr val="889AA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Amostra_12_meses!$B$8:$B$19</c:f>
            </c:strRef>
          </c:cat>
          <c:val>
            <c:numRef>
              <c:f>Amostra_12_meses!$I$8:$I$19</c:f>
              <c:numCache/>
            </c:numRef>
          </c:val>
          <c:smooth val="1"/>
        </c:ser>
        <c:ser>
          <c:idx val="7"/>
          <c:order val="7"/>
          <c:tx>
            <c:v>Dem. atend. (m³/s)</c:v>
          </c:tx>
          <c:spPr>
            <a:ln cmpd="sng" w="38100">
              <a:solidFill>
                <a:srgbClr val="EEA18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Amostra_12_meses!$B$8:$B$19</c:f>
            </c:strRef>
          </c:cat>
          <c:val>
            <c:numRef>
              <c:f>Amostra_12_meses!$J$8:$J$19</c:f>
              <c:numCache/>
            </c:numRef>
          </c:val>
          <c:smooth val="1"/>
        </c:ser>
        <c:ser>
          <c:idx val="8"/>
          <c:order val="8"/>
          <c:tx>
            <c:v>Déficit (m³/s)</c:v>
          </c:tx>
          <c:spPr>
            <a:ln cmpd="sng" w="38100">
              <a:solidFill>
                <a:srgbClr val="889E8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Amostra_12_meses!$B$8:$B$19</c:f>
            </c:strRef>
          </c:cat>
          <c:val>
            <c:numRef>
              <c:f>Amostra_12_meses!$K$8:$K$19</c:f>
              <c:numCache/>
            </c:numRef>
          </c:val>
          <c:smooth val="1"/>
        </c:ser>
        <c:ser>
          <c:idx val="9"/>
          <c:order val="9"/>
          <c:tx>
            <c:v>Vertimento (hm³)</c:v>
          </c:tx>
          <c:spPr>
            <a:ln cmpd="sng" w="38100">
              <a:solidFill>
                <a:srgbClr val="87BAD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Amostra_12_meses!$B$8:$B$19</c:f>
            </c:strRef>
          </c:cat>
          <c:val>
            <c:numRef>
              <c:f>Amostra_12_meses!$L$8:$L$19</c:f>
              <c:numCache/>
            </c:numRef>
          </c:val>
          <c:smooth val="1"/>
        </c:ser>
        <c:ser>
          <c:idx val="10"/>
          <c:order val="10"/>
          <c:tx>
            <c:v>Arm. final (hm³)</c:v>
          </c:tx>
          <c:spPr>
            <a:ln cmpd="sng" w="38100">
              <a:solidFill>
                <a:srgbClr val="BB8AB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Amostra_12_meses!$B$8:$B$19</c:f>
            </c:strRef>
          </c:cat>
          <c:val>
            <c:numRef>
              <c:f>Amostra_12_meses!$M$8:$M$19</c:f>
              <c:numCache/>
            </c:numRef>
          </c:val>
          <c:smooth val="1"/>
        </c:ser>
        <c:axId val="520981846"/>
        <c:axId val="1939171718"/>
      </c:lineChart>
      <c:catAx>
        <c:axId val="520981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39171718"/>
      </c:catAx>
      <c:valAx>
        <c:axId val="1939171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20981846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0</xdr:rowOff>
    </xdr:from>
    <xdr:ext cx="10048875" cy="29146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9.0"/>
    <col customWidth="1" min="4" max="21" width="15.0"/>
    <col customWidth="1" min="22" max="22" width="10.0"/>
    <col customWidth="1" min="23" max="25" width="15.0"/>
    <col customWidth="1" min="26" max="26" width="16.0"/>
    <col customWidth="1" min="27" max="28" width="8.63"/>
    <col customWidth="1" hidden="1" min="29" max="29" width="8.63"/>
    <col customWidth="1" min="30" max="39" width="8.63"/>
  </cols>
  <sheetData>
    <row r="1" ht="12.75" customHeight="1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10"/>
    </row>
    <row r="2" ht="12.75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5"/>
    </row>
    <row r="3" ht="14.25" customHeight="1">
      <c r="A3" s="16" t="s">
        <v>69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</row>
    <row r="4" ht="12.75" customHeight="1"/>
    <row r="5" ht="12.75" customHeight="1">
      <c r="A5" s="17" t="s">
        <v>107</v>
      </c>
      <c r="B5" s="17" t="s">
        <v>111</v>
      </c>
      <c r="D5" s="17" t="s">
        <v>114</v>
      </c>
      <c r="E5" s="17" t="s">
        <v>117</v>
      </c>
      <c r="G5" s="6" t="s">
        <v>119</v>
      </c>
      <c r="H5" s="7"/>
      <c r="I5" s="7"/>
      <c r="J5" s="8"/>
      <c r="K5" s="18"/>
    </row>
    <row r="6" ht="13.5" customHeight="1">
      <c r="A6" s="3" t="s">
        <v>125</v>
      </c>
      <c r="B6" s="19" t="s">
        <v>142</v>
      </c>
      <c r="D6" s="3" t="s">
        <v>144</v>
      </c>
      <c r="E6" s="20">
        <f>COUNT($D$24:$D$1367)</f>
        <v>2</v>
      </c>
      <c r="G6" s="9" t="s">
        <v>155</v>
      </c>
      <c r="H6" s="5"/>
      <c r="I6" s="5"/>
      <c r="J6" s="10"/>
      <c r="K6" s="21" t="s">
        <v>164</v>
      </c>
    </row>
    <row r="7" ht="12.75" customHeight="1">
      <c r="A7" s="3" t="s">
        <v>168</v>
      </c>
      <c r="B7" s="20">
        <f t="array" ref="B7">IFERROR(INDEX(Dados_Acudes!$B$2:$B$156,MATCH(B6,Dados_Acudes!$A$2:$A$156,0)),"")</f>
        <v>61</v>
      </c>
      <c r="D7" s="3" t="s">
        <v>183</v>
      </c>
      <c r="E7" s="20">
        <f>COUNTIF($V$24:$V$1367,"Sim")</f>
        <v>0</v>
      </c>
      <c r="G7" s="11"/>
      <c r="J7" s="12"/>
      <c r="K7" s="21" t="s">
        <v>189</v>
      </c>
    </row>
    <row r="8" ht="12.75" customHeight="1">
      <c r="A8" s="3" t="s">
        <v>192</v>
      </c>
      <c r="B8" s="22">
        <f t="array" ref="B8">IFERROR(INDEX(Dados_Acudes!$C$2:$C$156,MATCH(B6,Dados_Acudes!$A$2:$A$156,0))/1000000,"")</f>
        <v>21.3</v>
      </c>
      <c r="D8" s="3" t="s">
        <v>200</v>
      </c>
      <c r="E8" s="22">
        <f>IFERROR(SUM($Q$24:$Q$1367)/SUM($K$24:$K$1367)*100,0)</f>
        <v>100</v>
      </c>
      <c r="G8" s="11"/>
      <c r="J8" s="12"/>
      <c r="K8" s="23">
        <f t="array" ref="K8">IFERROR(INDEX($A$24:$A$1367,MATCH(1,$AC$24:$AC$1367,0)),"")</f>
        <v>3958</v>
      </c>
    </row>
    <row r="9" ht="12.75" customHeight="1">
      <c r="A9" s="3" t="s">
        <v>219</v>
      </c>
      <c r="B9" s="22">
        <f t="array" ref="B9">IFERROR(INDEX(Dados_Acudes!$F$2:$F$156,MATCH(B6,Dados_Acudes!$A$2:$A$156,0)),"")</f>
        <v>13</v>
      </c>
      <c r="D9" s="3" t="s">
        <v>230</v>
      </c>
      <c r="E9" s="22">
        <f>SUM($T$24:$T$1367)</f>
        <v>0</v>
      </c>
      <c r="G9" s="11"/>
      <c r="J9" s="12"/>
      <c r="K9" s="23" t="str">
        <f>IF(E6=0,"",LOOKUP(2,1/($D$24:$D$1367&lt;&gt;""),$A$24:$A$1367))</f>
        <v>#N/A</v>
      </c>
    </row>
    <row r="10" ht="12.75" customHeight="1">
      <c r="A10" s="3" t="s">
        <v>263</v>
      </c>
      <c r="B10" s="24">
        <v>50.0</v>
      </c>
      <c r="D10" s="3" t="s">
        <v>270</v>
      </c>
      <c r="E10" s="22">
        <f>SUM($O$24:$O$1367)</f>
        <v>0.4000104249</v>
      </c>
      <c r="G10" s="11"/>
      <c r="J10" s="12"/>
      <c r="K10" s="21">
        <f>IF(K8="","",(YEAR(K8)-1910)*12+MONTH(K8)-1)</f>
        <v>10</v>
      </c>
    </row>
    <row r="11" ht="12.75" customHeight="1">
      <c r="A11" s="3" t="s">
        <v>289</v>
      </c>
      <c r="B11" s="22">
        <f>B8*B10/100</f>
        <v>10.65</v>
      </c>
      <c r="D11" s="3" t="s">
        <v>294</v>
      </c>
      <c r="E11" s="22">
        <f>IF(E6=0,0,MAX($X$24:$X$1367))</f>
        <v>0</v>
      </c>
      <c r="G11" s="11"/>
      <c r="J11" s="12"/>
      <c r="K11" s="21">
        <f>E6</f>
        <v>2</v>
      </c>
    </row>
    <row r="12" ht="12.75" customHeight="1">
      <c r="A12" s="3" t="s">
        <v>312</v>
      </c>
      <c r="B12" s="24">
        <v>0.5</v>
      </c>
      <c r="D12" s="3" t="s">
        <v>314</v>
      </c>
      <c r="E12" s="22">
        <f>IF(E6=0,0,MIN($U$24:$U$1367))</f>
        <v>9.144813289</v>
      </c>
      <c r="G12" s="11"/>
      <c r="J12" s="12"/>
      <c r="K12" s="21" t="str">
        <f>IF(OR(K8="",K9=""),"",(YEAR(K9)-YEAR(K8))*12+MONTH(K9)-MONTH(K8)+1-E6)</f>
        <v>#N/A</v>
      </c>
    </row>
    <row r="13" ht="12.75" customHeight="1">
      <c r="A13" s="3" t="s">
        <v>328</v>
      </c>
      <c r="B13" s="22">
        <f>B12*1000</f>
        <v>500</v>
      </c>
      <c r="D13" s="3" t="s">
        <v>329</v>
      </c>
      <c r="E13" s="22">
        <f>IF(E6=0,0,MAX($U$24:$U$1367))</f>
        <v>9.163176287</v>
      </c>
      <c r="G13" s="11"/>
      <c r="J13" s="12"/>
      <c r="K13" s="21" t="str">
        <f>IF(E6=0,"SEM DADOS",IF(K12=0,"OK","VERIFICAR LACUNAS"))</f>
        <v>#N/A</v>
      </c>
    </row>
    <row r="14" ht="12.75" customHeight="1">
      <c r="A14" s="3" t="s">
        <v>330</v>
      </c>
      <c r="B14" s="24">
        <v>30.0</v>
      </c>
      <c r="D14" s="3" t="s">
        <v>331</v>
      </c>
      <c r="E14" s="20" t="str">
        <f>IF(E11&lt;=B19,"OK","VERIFICAR")</f>
        <v>OK</v>
      </c>
      <c r="G14" s="13"/>
      <c r="H14" s="14"/>
      <c r="I14" s="14"/>
      <c r="J14" s="15"/>
    </row>
    <row r="15" ht="12.75" customHeight="1">
      <c r="A15" s="3" t="s">
        <v>332</v>
      </c>
      <c r="B15" s="22">
        <f>B14*86400/1000000</f>
        <v>2.592</v>
      </c>
    </row>
    <row r="16" ht="13.5" customHeight="1">
      <c r="A16" s="3" t="s">
        <v>333</v>
      </c>
      <c r="B16" s="22">
        <f t="array" ref="B16">IFERROR(INDEX(Dados_CAV!$E:$E,B20),"")</f>
        <v>0</v>
      </c>
      <c r="D16" s="3" t="s">
        <v>334</v>
      </c>
      <c r="E16" s="3">
        <f>COUNTIF($H$24:$H$1367,"&lt;0")+COUNTIF($U$24:$U$1367,"&lt;0")</f>
        <v>0</v>
      </c>
      <c r="G16" s="9" t="s">
        <v>335</v>
      </c>
      <c r="H16" s="5"/>
      <c r="I16" s="5"/>
      <c r="J16" s="10"/>
    </row>
    <row r="17" ht="12.75" customHeight="1">
      <c r="A17" s="3" t="s">
        <v>336</v>
      </c>
      <c r="B17" s="22">
        <f t="array" ref="B17">IFERROR(INDEX(Dados_CAV!$E:$E,B20+B21-1),"")</f>
        <v>44.45</v>
      </c>
      <c r="D17" s="3" t="s">
        <v>337</v>
      </c>
      <c r="E17" s="3" t="str">
        <f>IF(E16=0,"OK","ERRO")</f>
        <v>OK</v>
      </c>
      <c r="G17" s="11"/>
      <c r="J17" s="12"/>
    </row>
    <row r="18" ht="12.75" customHeight="1">
      <c r="A18" s="3" t="s">
        <v>338</v>
      </c>
      <c r="B18" s="22">
        <f>B21</f>
        <v>12</v>
      </c>
      <c r="G18" s="11"/>
      <c r="J18" s="12"/>
    </row>
    <row r="19" ht="12.75" customHeight="1">
      <c r="A19" s="3" t="s">
        <v>339</v>
      </c>
      <c r="B19" s="24">
        <v>1.0E-8</v>
      </c>
      <c r="G19" s="11"/>
      <c r="J19" s="12"/>
    </row>
    <row r="20" ht="12.75" customHeight="1">
      <c r="A20" s="3" t="s">
        <v>340</v>
      </c>
      <c r="B20" s="20">
        <f t="array" ref="B20">IFERROR(INDEX(Dados_Acudes!$K$2:$K$156,MATCH(B6,Dados_Acudes!$A$2:$A$156,0)),"")</f>
        <v>1177</v>
      </c>
      <c r="G20" s="13"/>
      <c r="H20" s="14"/>
      <c r="I20" s="14"/>
      <c r="J20" s="15"/>
    </row>
    <row r="21" ht="12.75" customHeight="1">
      <c r="A21" s="3" t="s">
        <v>341</v>
      </c>
      <c r="B21" s="20">
        <f t="array" ref="B21">IFERROR(INDEX(Dados_Acudes!$L$2:$L$156,MATCH(B6,Dados_Acudes!$A$2:$A$156,0)),0)</f>
        <v>12</v>
      </c>
    </row>
    <row r="22" ht="12.75" customHeight="1"/>
    <row r="23" ht="12.75" customHeight="1">
      <c r="A23" s="1" t="s">
        <v>240</v>
      </c>
      <c r="B23" s="1" t="s">
        <v>342</v>
      </c>
      <c r="C23" s="1" t="s">
        <v>343</v>
      </c>
      <c r="D23" s="1" t="s">
        <v>344</v>
      </c>
      <c r="E23" s="1" t="s">
        <v>242</v>
      </c>
      <c r="F23" s="1" t="s">
        <v>245</v>
      </c>
      <c r="G23" s="1" t="s">
        <v>345</v>
      </c>
      <c r="H23" s="1" t="s">
        <v>346</v>
      </c>
      <c r="I23" s="1" t="s">
        <v>347</v>
      </c>
      <c r="J23" s="1" t="s">
        <v>348</v>
      </c>
      <c r="K23" s="1" t="s">
        <v>349</v>
      </c>
      <c r="L23" s="1" t="s">
        <v>350</v>
      </c>
      <c r="M23" s="1" t="s">
        <v>351</v>
      </c>
      <c r="N23" s="1" t="s">
        <v>247</v>
      </c>
      <c r="O23" s="1" t="s">
        <v>352</v>
      </c>
      <c r="P23" s="1" t="s">
        <v>353</v>
      </c>
      <c r="Q23" s="1" t="s">
        <v>354</v>
      </c>
      <c r="R23" s="1" t="s">
        <v>355</v>
      </c>
      <c r="S23" s="1" t="s">
        <v>253</v>
      </c>
      <c r="T23" s="1" t="s">
        <v>254</v>
      </c>
      <c r="U23" s="1" t="s">
        <v>356</v>
      </c>
      <c r="V23" s="1" t="s">
        <v>257</v>
      </c>
      <c r="W23" s="1" t="s">
        <v>258</v>
      </c>
      <c r="X23" s="1" t="s">
        <v>357</v>
      </c>
      <c r="Y23" s="1" t="s">
        <v>358</v>
      </c>
      <c r="Z23" s="1" t="s">
        <v>359</v>
      </c>
    </row>
    <row r="24" ht="12.75" customHeight="1">
      <c r="A24" s="25" t="str">
        <f t="shared" ref="A24:A1367" si="1">IF(D24="","",DATE(B24,C24,1))</f>
        <v/>
      </c>
      <c r="B24" s="29" t="str">
        <f t="array" ref="B24">IF(D24="","",IFERROR(VALUE(INDEX(Vazoes_COLAR!$A$2:$A$200,INT((ROW()-24)/12)+1)),""))</f>
        <v/>
      </c>
      <c r="C24" s="29" t="str">
        <f t="shared" ref="C24:C1367" si="2">IF(D24="","",MOD(ROW()-24,12)+1)</f>
        <v/>
      </c>
      <c r="D24" s="26" t="str">
        <f t="array" ref="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26" t="str">
        <f t="shared" ref="E24:E1367" si="3">IF(D24="","",D24*$B$15)</f>
        <v/>
      </c>
      <c r="F24" s="26" t="str">
        <f t="array" ref="F24">IF(D24="","",IFERROR(INDEX(Dados_Evap!$C$2:$N$15,MATCH($B$9,Dados_Evap!$A$2:$A$15,0),C24),0))</f>
        <v/>
      </c>
      <c r="G24" s="26" t="str">
        <f t="shared" ref="G24:G1367" si="4">IF(F24="","",F24/1000)</f>
        <v/>
      </c>
      <c r="H24" s="26" t="str">
        <f>IF(D24="","",MAX(0,MIN($B$8,$B$11)))</f>
        <v/>
      </c>
      <c r="I24" s="26" t="str">
        <f t="array" ref="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26" t="str">
        <f t="shared" ref="J24:J1367" si="5">IF(D24="","",$B$12)</f>
        <v/>
      </c>
      <c r="K24" s="26" t="str">
        <f t="shared" ref="K24:K1367" si="6">IF(J24="","",J24*$B$15)</f>
        <v/>
      </c>
      <c r="L24" s="26" t="str">
        <f t="shared" ref="L24:L1367" si="7">IF(D24="","",H24+E24-K24-G24*I24)</f>
        <v/>
      </c>
      <c r="M24" s="26" t="str">
        <f t="array" ref="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26" t="str">
        <f t="shared" ref="N24:N1367" si="8">IF(D24="","",(I24+M24)/2)</f>
        <v/>
      </c>
      <c r="O24" s="26" t="str">
        <f t="shared" ref="O24:O1367" si="9">IF(D24="","",G24*N24)</f>
        <v/>
      </c>
      <c r="P24" s="26" t="str">
        <f t="shared" ref="P24:P1367" si="10">IF(D24="","",H24+E24-K24-O24)</f>
        <v/>
      </c>
      <c r="Q24" s="26" t="str">
        <f t="shared" ref="Q24:Q1367" si="11">IF(D24="","",IF(P24&gt;=0,K24,MAX(0,K24+P24)))</f>
        <v/>
      </c>
      <c r="R24" s="26" t="str">
        <f t="shared" ref="R24:R1367" si="12">IF(D24="","",Q24/$B$15)</f>
        <v/>
      </c>
      <c r="S24" s="26" t="str">
        <f t="shared" ref="S24:S1367" si="13">IF(D24="","",MAX(0,J24-R24))</f>
        <v/>
      </c>
      <c r="T24" s="26" t="str">
        <f t="shared" ref="T24:T1367" si="14">IF(D24="","",MAX(0,Z24-$B$8))</f>
        <v/>
      </c>
      <c r="U24" s="26" t="str">
        <f t="shared" ref="U24:U1367" si="15">IF(D24="","",MAX(0,MIN($B$8,Z24)))</f>
        <v/>
      </c>
      <c r="V24" s="26" t="str">
        <f t="shared" ref="V24:V1367" si="16">IF(D24="","",IF(S24&gt;0.0000001,"Sim","Não"))</f>
        <v/>
      </c>
      <c r="W24" s="26" t="str">
        <f t="shared" ref="W24:W1367" si="17">IF(D24="","",U24-(H24+E24-Q24-O24-T24))</f>
        <v/>
      </c>
      <c r="X24" s="26" t="str">
        <f t="shared" ref="X24:X1367" si="18">IF(W24="","",ABS(W24))</f>
        <v/>
      </c>
      <c r="Y24" s="26" t="str">
        <f t="shared" ref="Y24:Y1367" si="19">IF(U24="","",IF($B$8=0,0,U24/$B$8*100))</f>
        <v/>
      </c>
      <c r="Z24" s="31" t="str">
        <f t="shared" ref="Z24:Z1367" si="20">IF(D24="","",MAX(0,IF(P24&gt;=0,P24,IF(K24+P24&gt;=0,0,P24+K24))))</f>
        <v/>
      </c>
      <c r="AA24" s="31" t="str">
        <f>IF(D24="","",IF(H24&lt;=$B$16,1,IF(H24&gt;=$B$17,$B$21,MATCH(H24,Aux_CAV!$A$2:$A$121,1))))</f>
        <v/>
      </c>
      <c r="AB24" s="31" t="str">
        <f>IF(D24="","",IF(L24&lt;=$B$16,1,IF(L24&gt;=$B$17,$B$21,MATCH(L24,Aux_CAV!$A$2:$A$121,1))))</f>
        <v/>
      </c>
      <c r="AC24" s="3" t="str">
        <f t="shared" ref="AC24:AC1367" si="21">IF(D24="","",COUNT($D$24:D24))</f>
        <v/>
      </c>
    </row>
    <row r="25" ht="12.75" customHeight="1">
      <c r="A25" s="25" t="str">
        <f t="shared" si="1"/>
        <v/>
      </c>
      <c r="B25" s="29" t="str">
        <f t="array" ref="B25">IF(D25="","",IFERROR(VALUE(INDEX(Vazoes_COLAR!$A$2:$A$200,INT((ROW()-24)/12)+1)),""))</f>
        <v/>
      </c>
      <c r="C25" s="29" t="str">
        <f t="shared" si="2"/>
        <v/>
      </c>
      <c r="D25" s="26" t="str">
        <f t="array" ref="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26" t="str">
        <f t="shared" si="3"/>
        <v/>
      </c>
      <c r="F25" s="26" t="str">
        <f t="array" ref="F25">IF(D25="","",IFERROR(INDEX(Dados_Evap!$C$2:$N$15,MATCH($B$9,Dados_Evap!$A$2:$A$15,0),C25),0))</f>
        <v/>
      </c>
      <c r="G25" s="26" t="str">
        <f t="shared" si="4"/>
        <v/>
      </c>
      <c r="H25" s="26" t="str">
        <f t="shared" ref="H25:H1367" si="22">IF(D25="","",MAX(0,MIN($B$8,IFERROR(LOOKUP(2,1/($U$24:U24&lt;&gt;""),$U$24:U24),$B$11))))</f>
        <v/>
      </c>
      <c r="I25" s="26" t="str">
        <f t="array" ref="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26" t="str">
        <f t="shared" si="5"/>
        <v/>
      </c>
      <c r="K25" s="26" t="str">
        <f t="shared" si="6"/>
        <v/>
      </c>
      <c r="L25" s="26" t="str">
        <f t="shared" si="7"/>
        <v/>
      </c>
      <c r="M25" s="26" t="str">
        <f t="array" ref="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26" t="str">
        <f t="shared" si="8"/>
        <v/>
      </c>
      <c r="O25" s="26" t="str">
        <f t="shared" si="9"/>
        <v/>
      </c>
      <c r="P25" s="26" t="str">
        <f t="shared" si="10"/>
        <v/>
      </c>
      <c r="Q25" s="26" t="str">
        <f t="shared" si="11"/>
        <v/>
      </c>
      <c r="R25" s="26" t="str">
        <f t="shared" si="12"/>
        <v/>
      </c>
      <c r="S25" s="26" t="str">
        <f t="shared" si="13"/>
        <v/>
      </c>
      <c r="T25" s="26" t="str">
        <f t="shared" si="14"/>
        <v/>
      </c>
      <c r="U25" s="26" t="str">
        <f t="shared" si="15"/>
        <v/>
      </c>
      <c r="V25" s="26" t="str">
        <f t="shared" si="16"/>
        <v/>
      </c>
      <c r="W25" s="26" t="str">
        <f t="shared" si="17"/>
        <v/>
      </c>
      <c r="X25" s="26" t="str">
        <f t="shared" si="18"/>
        <v/>
      </c>
      <c r="Y25" s="26" t="str">
        <f t="shared" si="19"/>
        <v/>
      </c>
      <c r="Z25" s="31" t="str">
        <f t="shared" si="20"/>
        <v/>
      </c>
      <c r="AA25" s="31" t="str">
        <f>IF(D25="","",IF(H25&lt;=$B$16,1,IF(H25&gt;=$B$17,$B$21,MATCH(H25,Aux_CAV!$A$2:$A$121,1))))</f>
        <v/>
      </c>
      <c r="AB25" s="31" t="str">
        <f>IF(D25="","",IF(L25&lt;=$B$16,1,IF(L25&gt;=$B$17,$B$21,MATCH(L25,Aux_CAV!$A$2:$A$121,1))))</f>
        <v/>
      </c>
      <c r="AC25" s="3" t="str">
        <f t="shared" si="21"/>
        <v/>
      </c>
    </row>
    <row r="26" ht="12.75" customHeight="1">
      <c r="A26" s="25" t="str">
        <f t="shared" si="1"/>
        <v/>
      </c>
      <c r="B26" s="29" t="str">
        <f t="array" ref="B26">IF(D26="","",IFERROR(VALUE(INDEX(Vazoes_COLAR!$A$2:$A$200,INT((ROW()-24)/12)+1)),""))</f>
        <v/>
      </c>
      <c r="C26" s="29" t="str">
        <f t="shared" si="2"/>
        <v/>
      </c>
      <c r="D26" s="26" t="str">
        <f t="array" ref="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26" t="str">
        <f t="shared" si="3"/>
        <v/>
      </c>
      <c r="F26" s="26" t="str">
        <f t="array" ref="F26">IF(D26="","",IFERROR(INDEX(Dados_Evap!$C$2:$N$15,MATCH($B$9,Dados_Evap!$A$2:$A$15,0),C26),0))</f>
        <v/>
      </c>
      <c r="G26" s="26" t="str">
        <f t="shared" si="4"/>
        <v/>
      </c>
      <c r="H26" s="26" t="str">
        <f t="shared" si="22"/>
        <v/>
      </c>
      <c r="I26" s="26" t="str">
        <f t="array" ref="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26" t="str">
        <f t="shared" si="5"/>
        <v/>
      </c>
      <c r="K26" s="26" t="str">
        <f t="shared" si="6"/>
        <v/>
      </c>
      <c r="L26" s="26" t="str">
        <f t="shared" si="7"/>
        <v/>
      </c>
      <c r="M26" s="26" t="str">
        <f t="array" ref="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26" t="str">
        <f t="shared" si="8"/>
        <v/>
      </c>
      <c r="O26" s="26" t="str">
        <f t="shared" si="9"/>
        <v/>
      </c>
      <c r="P26" s="26" t="str">
        <f t="shared" si="10"/>
        <v/>
      </c>
      <c r="Q26" s="26" t="str">
        <f t="shared" si="11"/>
        <v/>
      </c>
      <c r="R26" s="26" t="str">
        <f t="shared" si="12"/>
        <v/>
      </c>
      <c r="S26" s="26" t="str">
        <f t="shared" si="13"/>
        <v/>
      </c>
      <c r="T26" s="26" t="str">
        <f t="shared" si="14"/>
        <v/>
      </c>
      <c r="U26" s="26" t="str">
        <f t="shared" si="15"/>
        <v/>
      </c>
      <c r="V26" s="26" t="str">
        <f t="shared" si="16"/>
        <v/>
      </c>
      <c r="W26" s="26" t="str">
        <f t="shared" si="17"/>
        <v/>
      </c>
      <c r="X26" s="26" t="str">
        <f t="shared" si="18"/>
        <v/>
      </c>
      <c r="Y26" s="26" t="str">
        <f t="shared" si="19"/>
        <v/>
      </c>
      <c r="Z26" s="31" t="str">
        <f t="shared" si="20"/>
        <v/>
      </c>
      <c r="AA26" s="31" t="str">
        <f>IF(D26="","",IF(H26&lt;=$B$16,1,IF(H26&gt;=$B$17,$B$21,MATCH(H26,Aux_CAV!$A$2:$A$121,1))))</f>
        <v/>
      </c>
      <c r="AB26" s="31" t="str">
        <f>IF(D26="","",IF(L26&lt;=$B$16,1,IF(L26&gt;=$B$17,$B$21,MATCH(L26,Aux_CAV!$A$2:$A$121,1))))</f>
        <v/>
      </c>
      <c r="AC26" s="3" t="str">
        <f t="shared" si="21"/>
        <v/>
      </c>
    </row>
    <row r="27" ht="12.75" customHeight="1">
      <c r="A27" s="25" t="str">
        <f t="shared" si="1"/>
        <v/>
      </c>
      <c r="B27" s="29" t="str">
        <f t="array" ref="B27">IF(D27="","",IFERROR(VALUE(INDEX(Vazoes_COLAR!$A$2:$A$200,INT((ROW()-24)/12)+1)),""))</f>
        <v/>
      </c>
      <c r="C27" s="29" t="str">
        <f t="shared" si="2"/>
        <v/>
      </c>
      <c r="D27" s="26" t="str">
        <f t="array" ref="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26" t="str">
        <f t="shared" si="3"/>
        <v/>
      </c>
      <c r="F27" s="26" t="str">
        <f t="array" ref="F27">IF(D27="","",IFERROR(INDEX(Dados_Evap!$C$2:$N$15,MATCH($B$9,Dados_Evap!$A$2:$A$15,0),C27),0))</f>
        <v/>
      </c>
      <c r="G27" s="26" t="str">
        <f t="shared" si="4"/>
        <v/>
      </c>
      <c r="H27" s="26" t="str">
        <f t="shared" si="22"/>
        <v/>
      </c>
      <c r="I27" s="26" t="str">
        <f t="array" ref="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26" t="str">
        <f t="shared" si="5"/>
        <v/>
      </c>
      <c r="K27" s="26" t="str">
        <f t="shared" si="6"/>
        <v/>
      </c>
      <c r="L27" s="26" t="str">
        <f t="shared" si="7"/>
        <v/>
      </c>
      <c r="M27" s="26" t="str">
        <f t="array" ref="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26" t="str">
        <f t="shared" si="8"/>
        <v/>
      </c>
      <c r="O27" s="26" t="str">
        <f t="shared" si="9"/>
        <v/>
      </c>
      <c r="P27" s="26" t="str">
        <f t="shared" si="10"/>
        <v/>
      </c>
      <c r="Q27" s="26" t="str">
        <f t="shared" si="11"/>
        <v/>
      </c>
      <c r="R27" s="26" t="str">
        <f t="shared" si="12"/>
        <v/>
      </c>
      <c r="S27" s="26" t="str">
        <f t="shared" si="13"/>
        <v/>
      </c>
      <c r="T27" s="26" t="str">
        <f t="shared" si="14"/>
        <v/>
      </c>
      <c r="U27" s="26" t="str">
        <f t="shared" si="15"/>
        <v/>
      </c>
      <c r="V27" s="26" t="str">
        <f t="shared" si="16"/>
        <v/>
      </c>
      <c r="W27" s="26" t="str">
        <f t="shared" si="17"/>
        <v/>
      </c>
      <c r="X27" s="26" t="str">
        <f t="shared" si="18"/>
        <v/>
      </c>
      <c r="Y27" s="26" t="str">
        <f t="shared" si="19"/>
        <v/>
      </c>
      <c r="Z27" s="31" t="str">
        <f t="shared" si="20"/>
        <v/>
      </c>
      <c r="AA27" s="31" t="str">
        <f>IF(D27="","",IF(H27&lt;=$B$16,1,IF(H27&gt;=$B$17,$B$21,MATCH(H27,Aux_CAV!$A$2:$A$121,1))))</f>
        <v/>
      </c>
      <c r="AB27" s="31" t="str">
        <f>IF(D27="","",IF(L27&lt;=$B$16,1,IF(L27&gt;=$B$17,$B$21,MATCH(L27,Aux_CAV!$A$2:$A$121,1))))</f>
        <v/>
      </c>
      <c r="AC27" s="3" t="str">
        <f t="shared" si="21"/>
        <v/>
      </c>
    </row>
    <row r="28" ht="12.75" customHeight="1">
      <c r="A28" s="25" t="str">
        <f t="shared" si="1"/>
        <v/>
      </c>
      <c r="B28" s="29" t="str">
        <f t="array" ref="B28">IF(D28="","",IFERROR(VALUE(INDEX(Vazoes_COLAR!$A$2:$A$200,INT((ROW()-24)/12)+1)),""))</f>
        <v/>
      </c>
      <c r="C28" s="29" t="str">
        <f t="shared" si="2"/>
        <v/>
      </c>
      <c r="D28" s="26" t="str">
        <f t="array" ref="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26" t="str">
        <f t="shared" si="3"/>
        <v/>
      </c>
      <c r="F28" s="26" t="str">
        <f t="array" ref="F28">IF(D28="","",IFERROR(INDEX(Dados_Evap!$C$2:$N$15,MATCH($B$9,Dados_Evap!$A$2:$A$15,0),C28),0))</f>
        <v/>
      </c>
      <c r="G28" s="26" t="str">
        <f t="shared" si="4"/>
        <v/>
      </c>
      <c r="H28" s="26" t="str">
        <f t="shared" si="22"/>
        <v/>
      </c>
      <c r="I28" s="26" t="str">
        <f t="array" ref="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26" t="str">
        <f t="shared" si="5"/>
        <v/>
      </c>
      <c r="K28" s="26" t="str">
        <f t="shared" si="6"/>
        <v/>
      </c>
      <c r="L28" s="26" t="str">
        <f t="shared" si="7"/>
        <v/>
      </c>
      <c r="M28" s="26" t="str">
        <f t="array" ref="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26" t="str">
        <f t="shared" si="8"/>
        <v/>
      </c>
      <c r="O28" s="26" t="str">
        <f t="shared" si="9"/>
        <v/>
      </c>
      <c r="P28" s="26" t="str">
        <f t="shared" si="10"/>
        <v/>
      </c>
      <c r="Q28" s="26" t="str">
        <f t="shared" si="11"/>
        <v/>
      </c>
      <c r="R28" s="26" t="str">
        <f t="shared" si="12"/>
        <v/>
      </c>
      <c r="S28" s="26" t="str">
        <f t="shared" si="13"/>
        <v/>
      </c>
      <c r="T28" s="26" t="str">
        <f t="shared" si="14"/>
        <v/>
      </c>
      <c r="U28" s="26" t="str">
        <f t="shared" si="15"/>
        <v/>
      </c>
      <c r="V28" s="26" t="str">
        <f t="shared" si="16"/>
        <v/>
      </c>
      <c r="W28" s="26" t="str">
        <f t="shared" si="17"/>
        <v/>
      </c>
      <c r="X28" s="26" t="str">
        <f t="shared" si="18"/>
        <v/>
      </c>
      <c r="Y28" s="26" t="str">
        <f t="shared" si="19"/>
        <v/>
      </c>
      <c r="Z28" s="31" t="str">
        <f t="shared" si="20"/>
        <v/>
      </c>
      <c r="AA28" s="31" t="str">
        <f>IF(D28="","",IF(H28&lt;=$B$16,1,IF(H28&gt;=$B$17,$B$21,MATCH(H28,Aux_CAV!$A$2:$A$121,1))))</f>
        <v/>
      </c>
      <c r="AB28" s="31" t="str">
        <f>IF(D28="","",IF(L28&lt;=$B$16,1,IF(L28&gt;=$B$17,$B$21,MATCH(L28,Aux_CAV!$A$2:$A$121,1))))</f>
        <v/>
      </c>
      <c r="AC28" s="3" t="str">
        <f t="shared" si="21"/>
        <v/>
      </c>
    </row>
    <row r="29" ht="12.75" customHeight="1">
      <c r="A29" s="25" t="str">
        <f t="shared" si="1"/>
        <v/>
      </c>
      <c r="B29" s="29" t="str">
        <f t="array" ref="B29">IF(D29="","",IFERROR(VALUE(INDEX(Vazoes_COLAR!$A$2:$A$200,INT((ROW()-24)/12)+1)),""))</f>
        <v/>
      </c>
      <c r="C29" s="29" t="str">
        <f t="shared" si="2"/>
        <v/>
      </c>
      <c r="D29" s="26" t="str">
        <f t="array" ref="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26" t="str">
        <f t="shared" si="3"/>
        <v/>
      </c>
      <c r="F29" s="26" t="str">
        <f t="array" ref="F29">IF(D29="","",IFERROR(INDEX(Dados_Evap!$C$2:$N$15,MATCH($B$9,Dados_Evap!$A$2:$A$15,0),C29),0))</f>
        <v/>
      </c>
      <c r="G29" s="26" t="str">
        <f t="shared" si="4"/>
        <v/>
      </c>
      <c r="H29" s="26" t="str">
        <f t="shared" si="22"/>
        <v/>
      </c>
      <c r="I29" s="26" t="str">
        <f t="array" ref="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26" t="str">
        <f t="shared" si="5"/>
        <v/>
      </c>
      <c r="K29" s="26" t="str">
        <f t="shared" si="6"/>
        <v/>
      </c>
      <c r="L29" s="26" t="str">
        <f t="shared" si="7"/>
        <v/>
      </c>
      <c r="M29" s="26" t="str">
        <f t="array" ref="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26" t="str">
        <f t="shared" si="8"/>
        <v/>
      </c>
      <c r="O29" s="26" t="str">
        <f t="shared" si="9"/>
        <v/>
      </c>
      <c r="P29" s="26" t="str">
        <f t="shared" si="10"/>
        <v/>
      </c>
      <c r="Q29" s="26" t="str">
        <f t="shared" si="11"/>
        <v/>
      </c>
      <c r="R29" s="26" t="str">
        <f t="shared" si="12"/>
        <v/>
      </c>
      <c r="S29" s="26" t="str">
        <f t="shared" si="13"/>
        <v/>
      </c>
      <c r="T29" s="26" t="str">
        <f t="shared" si="14"/>
        <v/>
      </c>
      <c r="U29" s="26" t="str">
        <f t="shared" si="15"/>
        <v/>
      </c>
      <c r="V29" s="26" t="str">
        <f t="shared" si="16"/>
        <v/>
      </c>
      <c r="W29" s="26" t="str">
        <f t="shared" si="17"/>
        <v/>
      </c>
      <c r="X29" s="26" t="str">
        <f t="shared" si="18"/>
        <v/>
      </c>
      <c r="Y29" s="26" t="str">
        <f t="shared" si="19"/>
        <v/>
      </c>
      <c r="Z29" s="31" t="str">
        <f t="shared" si="20"/>
        <v/>
      </c>
      <c r="AA29" s="31" t="str">
        <f>IF(D29="","",IF(H29&lt;=$B$16,1,IF(H29&gt;=$B$17,$B$21,MATCH(H29,Aux_CAV!$A$2:$A$121,1))))</f>
        <v/>
      </c>
      <c r="AB29" s="31" t="str">
        <f>IF(D29="","",IF(L29&lt;=$B$16,1,IF(L29&gt;=$B$17,$B$21,MATCH(L29,Aux_CAV!$A$2:$A$121,1))))</f>
        <v/>
      </c>
      <c r="AC29" s="3" t="str">
        <f t="shared" si="21"/>
        <v/>
      </c>
    </row>
    <row r="30" ht="12.75" customHeight="1">
      <c r="A30" s="25" t="str">
        <f t="shared" si="1"/>
        <v/>
      </c>
      <c r="B30" s="29" t="str">
        <f t="array" ref="B30">IF(D30="","",IFERROR(VALUE(INDEX(Vazoes_COLAR!$A$2:$A$200,INT((ROW()-24)/12)+1)),""))</f>
        <v/>
      </c>
      <c r="C30" s="29" t="str">
        <f t="shared" si="2"/>
        <v/>
      </c>
      <c r="D30" s="26" t="str">
        <f t="array" ref="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26" t="str">
        <f t="shared" si="3"/>
        <v/>
      </c>
      <c r="F30" s="26" t="str">
        <f t="array" ref="F30">IF(D30="","",IFERROR(INDEX(Dados_Evap!$C$2:$N$15,MATCH($B$9,Dados_Evap!$A$2:$A$15,0),C30),0))</f>
        <v/>
      </c>
      <c r="G30" s="26" t="str">
        <f t="shared" si="4"/>
        <v/>
      </c>
      <c r="H30" s="26" t="str">
        <f t="shared" si="22"/>
        <v/>
      </c>
      <c r="I30" s="26" t="str">
        <f t="array" ref="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26" t="str">
        <f t="shared" si="5"/>
        <v/>
      </c>
      <c r="K30" s="26" t="str">
        <f t="shared" si="6"/>
        <v/>
      </c>
      <c r="L30" s="26" t="str">
        <f t="shared" si="7"/>
        <v/>
      </c>
      <c r="M30" s="26" t="str">
        <f t="array" ref="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26" t="str">
        <f t="shared" si="8"/>
        <v/>
      </c>
      <c r="O30" s="26" t="str">
        <f t="shared" si="9"/>
        <v/>
      </c>
      <c r="P30" s="26" t="str">
        <f t="shared" si="10"/>
        <v/>
      </c>
      <c r="Q30" s="26" t="str">
        <f t="shared" si="11"/>
        <v/>
      </c>
      <c r="R30" s="26" t="str">
        <f t="shared" si="12"/>
        <v/>
      </c>
      <c r="S30" s="26" t="str">
        <f t="shared" si="13"/>
        <v/>
      </c>
      <c r="T30" s="26" t="str">
        <f t="shared" si="14"/>
        <v/>
      </c>
      <c r="U30" s="26" t="str">
        <f t="shared" si="15"/>
        <v/>
      </c>
      <c r="V30" s="26" t="str">
        <f t="shared" si="16"/>
        <v/>
      </c>
      <c r="W30" s="26" t="str">
        <f t="shared" si="17"/>
        <v/>
      </c>
      <c r="X30" s="26" t="str">
        <f t="shared" si="18"/>
        <v/>
      </c>
      <c r="Y30" s="26" t="str">
        <f t="shared" si="19"/>
        <v/>
      </c>
      <c r="Z30" s="31" t="str">
        <f t="shared" si="20"/>
        <v/>
      </c>
      <c r="AA30" s="31" t="str">
        <f>IF(D30="","",IF(H30&lt;=$B$16,1,IF(H30&gt;=$B$17,$B$21,MATCH(H30,Aux_CAV!$A$2:$A$121,1))))</f>
        <v/>
      </c>
      <c r="AB30" s="31" t="str">
        <f>IF(D30="","",IF(L30&lt;=$B$16,1,IF(L30&gt;=$B$17,$B$21,MATCH(L30,Aux_CAV!$A$2:$A$121,1))))</f>
        <v/>
      </c>
      <c r="AC30" s="3" t="str">
        <f t="shared" si="21"/>
        <v/>
      </c>
    </row>
    <row r="31" ht="12.75" customHeight="1">
      <c r="A31" s="25" t="str">
        <f t="shared" si="1"/>
        <v/>
      </c>
      <c r="B31" s="29" t="str">
        <f t="array" ref="B31">IF(D31="","",IFERROR(VALUE(INDEX(Vazoes_COLAR!$A$2:$A$200,INT((ROW()-24)/12)+1)),""))</f>
        <v/>
      </c>
      <c r="C31" s="29" t="str">
        <f t="shared" si="2"/>
        <v/>
      </c>
      <c r="D31" s="26" t="str">
        <f t="array" ref="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26" t="str">
        <f t="shared" si="3"/>
        <v/>
      </c>
      <c r="F31" s="26" t="str">
        <f t="array" ref="F31">IF(D31="","",IFERROR(INDEX(Dados_Evap!$C$2:$N$15,MATCH($B$9,Dados_Evap!$A$2:$A$15,0),C31),0))</f>
        <v/>
      </c>
      <c r="G31" s="26" t="str">
        <f t="shared" si="4"/>
        <v/>
      </c>
      <c r="H31" s="26" t="str">
        <f t="shared" si="22"/>
        <v/>
      </c>
      <c r="I31" s="26" t="str">
        <f t="array" ref="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26" t="str">
        <f t="shared" si="5"/>
        <v/>
      </c>
      <c r="K31" s="26" t="str">
        <f t="shared" si="6"/>
        <v/>
      </c>
      <c r="L31" s="26" t="str">
        <f t="shared" si="7"/>
        <v/>
      </c>
      <c r="M31" s="26" t="str">
        <f t="array" ref="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26" t="str">
        <f t="shared" si="8"/>
        <v/>
      </c>
      <c r="O31" s="26" t="str">
        <f t="shared" si="9"/>
        <v/>
      </c>
      <c r="P31" s="26" t="str">
        <f t="shared" si="10"/>
        <v/>
      </c>
      <c r="Q31" s="26" t="str">
        <f t="shared" si="11"/>
        <v/>
      </c>
      <c r="R31" s="26" t="str">
        <f t="shared" si="12"/>
        <v/>
      </c>
      <c r="S31" s="26" t="str">
        <f t="shared" si="13"/>
        <v/>
      </c>
      <c r="T31" s="26" t="str">
        <f t="shared" si="14"/>
        <v/>
      </c>
      <c r="U31" s="26" t="str">
        <f t="shared" si="15"/>
        <v/>
      </c>
      <c r="V31" s="26" t="str">
        <f t="shared" si="16"/>
        <v/>
      </c>
      <c r="W31" s="26" t="str">
        <f t="shared" si="17"/>
        <v/>
      </c>
      <c r="X31" s="26" t="str">
        <f t="shared" si="18"/>
        <v/>
      </c>
      <c r="Y31" s="26" t="str">
        <f t="shared" si="19"/>
        <v/>
      </c>
      <c r="Z31" s="31" t="str">
        <f t="shared" si="20"/>
        <v/>
      </c>
      <c r="AA31" s="31" t="str">
        <f>IF(D31="","",IF(H31&lt;=$B$16,1,IF(H31&gt;=$B$17,$B$21,MATCH(H31,Aux_CAV!$A$2:$A$121,1))))</f>
        <v/>
      </c>
      <c r="AB31" s="31" t="str">
        <f>IF(D31="","",IF(L31&lt;=$B$16,1,IF(L31&gt;=$B$17,$B$21,MATCH(L31,Aux_CAV!$A$2:$A$121,1))))</f>
        <v/>
      </c>
      <c r="AC31" s="3" t="str">
        <f t="shared" si="21"/>
        <v/>
      </c>
    </row>
    <row r="32" ht="12.75" customHeight="1">
      <c r="A32" s="25" t="str">
        <f t="shared" si="1"/>
        <v/>
      </c>
      <c r="B32" s="29" t="str">
        <f t="array" ref="B32">IF(D32="","",IFERROR(VALUE(INDEX(Vazoes_COLAR!$A$2:$A$200,INT((ROW()-24)/12)+1)),""))</f>
        <v/>
      </c>
      <c r="C32" s="29" t="str">
        <f t="shared" si="2"/>
        <v/>
      </c>
      <c r="D32" s="26" t="str">
        <f t="array" ref="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26" t="str">
        <f t="shared" si="3"/>
        <v/>
      </c>
      <c r="F32" s="26" t="str">
        <f t="array" ref="F32">IF(D32="","",IFERROR(INDEX(Dados_Evap!$C$2:$N$15,MATCH($B$9,Dados_Evap!$A$2:$A$15,0),C32),0))</f>
        <v/>
      </c>
      <c r="G32" s="26" t="str">
        <f t="shared" si="4"/>
        <v/>
      </c>
      <c r="H32" s="26" t="str">
        <f t="shared" si="22"/>
        <v/>
      </c>
      <c r="I32" s="26" t="str">
        <f t="array" ref="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26" t="str">
        <f t="shared" si="5"/>
        <v/>
      </c>
      <c r="K32" s="26" t="str">
        <f t="shared" si="6"/>
        <v/>
      </c>
      <c r="L32" s="26" t="str">
        <f t="shared" si="7"/>
        <v/>
      </c>
      <c r="M32" s="26" t="str">
        <f t="array" ref="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26" t="str">
        <f t="shared" si="8"/>
        <v/>
      </c>
      <c r="O32" s="26" t="str">
        <f t="shared" si="9"/>
        <v/>
      </c>
      <c r="P32" s="26" t="str">
        <f t="shared" si="10"/>
        <v/>
      </c>
      <c r="Q32" s="26" t="str">
        <f t="shared" si="11"/>
        <v/>
      </c>
      <c r="R32" s="26" t="str">
        <f t="shared" si="12"/>
        <v/>
      </c>
      <c r="S32" s="26" t="str">
        <f t="shared" si="13"/>
        <v/>
      </c>
      <c r="T32" s="26" t="str">
        <f t="shared" si="14"/>
        <v/>
      </c>
      <c r="U32" s="26" t="str">
        <f t="shared" si="15"/>
        <v/>
      </c>
      <c r="V32" s="26" t="str">
        <f t="shared" si="16"/>
        <v/>
      </c>
      <c r="W32" s="26" t="str">
        <f t="shared" si="17"/>
        <v/>
      </c>
      <c r="X32" s="26" t="str">
        <f t="shared" si="18"/>
        <v/>
      </c>
      <c r="Y32" s="26" t="str">
        <f t="shared" si="19"/>
        <v/>
      </c>
      <c r="Z32" s="31" t="str">
        <f t="shared" si="20"/>
        <v/>
      </c>
      <c r="AA32" s="31" t="str">
        <f>IF(D32="","",IF(H32&lt;=$B$16,1,IF(H32&gt;=$B$17,$B$21,MATCH(H32,Aux_CAV!$A$2:$A$121,1))))</f>
        <v/>
      </c>
      <c r="AB32" s="31" t="str">
        <f>IF(D32="","",IF(L32&lt;=$B$16,1,IF(L32&gt;=$B$17,$B$21,MATCH(L32,Aux_CAV!$A$2:$A$121,1))))</f>
        <v/>
      </c>
      <c r="AC32" s="3" t="str">
        <f t="shared" si="21"/>
        <v/>
      </c>
    </row>
    <row r="33" ht="12.75" customHeight="1">
      <c r="A33" s="25" t="str">
        <f t="shared" si="1"/>
        <v/>
      </c>
      <c r="B33" s="29" t="str">
        <f t="array" ref="B33">IF(D33="","",IFERROR(VALUE(INDEX(Vazoes_COLAR!$A$2:$A$200,INT((ROW()-24)/12)+1)),""))</f>
        <v/>
      </c>
      <c r="C33" s="29" t="str">
        <f t="shared" si="2"/>
        <v/>
      </c>
      <c r="D33" s="26" t="str">
        <f t="array" ref="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26" t="str">
        <f t="shared" si="3"/>
        <v/>
      </c>
      <c r="F33" s="26" t="str">
        <f t="array" ref="F33">IF(D33="","",IFERROR(INDEX(Dados_Evap!$C$2:$N$15,MATCH($B$9,Dados_Evap!$A$2:$A$15,0),C33),0))</f>
        <v/>
      </c>
      <c r="G33" s="26" t="str">
        <f t="shared" si="4"/>
        <v/>
      </c>
      <c r="H33" s="26" t="str">
        <f t="shared" si="22"/>
        <v/>
      </c>
      <c r="I33" s="26" t="str">
        <f t="array" ref="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26" t="str">
        <f t="shared" si="5"/>
        <v/>
      </c>
      <c r="K33" s="26" t="str">
        <f t="shared" si="6"/>
        <v/>
      </c>
      <c r="L33" s="26" t="str">
        <f t="shared" si="7"/>
        <v/>
      </c>
      <c r="M33" s="26" t="str">
        <f t="array" ref="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26" t="str">
        <f t="shared" si="8"/>
        <v/>
      </c>
      <c r="O33" s="26" t="str">
        <f t="shared" si="9"/>
        <v/>
      </c>
      <c r="P33" s="26" t="str">
        <f t="shared" si="10"/>
        <v/>
      </c>
      <c r="Q33" s="26" t="str">
        <f t="shared" si="11"/>
        <v/>
      </c>
      <c r="R33" s="26" t="str">
        <f t="shared" si="12"/>
        <v/>
      </c>
      <c r="S33" s="26" t="str">
        <f t="shared" si="13"/>
        <v/>
      </c>
      <c r="T33" s="26" t="str">
        <f t="shared" si="14"/>
        <v/>
      </c>
      <c r="U33" s="26" t="str">
        <f t="shared" si="15"/>
        <v/>
      </c>
      <c r="V33" s="26" t="str">
        <f t="shared" si="16"/>
        <v/>
      </c>
      <c r="W33" s="26" t="str">
        <f t="shared" si="17"/>
        <v/>
      </c>
      <c r="X33" s="26" t="str">
        <f t="shared" si="18"/>
        <v/>
      </c>
      <c r="Y33" s="26" t="str">
        <f t="shared" si="19"/>
        <v/>
      </c>
      <c r="Z33" s="31" t="str">
        <f t="shared" si="20"/>
        <v/>
      </c>
      <c r="AA33" s="31" t="str">
        <f>IF(D33="","",IF(H33&lt;=$B$16,1,IF(H33&gt;=$B$17,$B$21,MATCH(H33,Aux_CAV!$A$2:$A$121,1))))</f>
        <v/>
      </c>
      <c r="AB33" s="31" t="str">
        <f>IF(D33="","",IF(L33&lt;=$B$16,1,IF(L33&gt;=$B$17,$B$21,MATCH(L33,Aux_CAV!$A$2:$A$121,1))))</f>
        <v/>
      </c>
      <c r="AC33" s="3" t="str">
        <f t="shared" si="21"/>
        <v/>
      </c>
    </row>
    <row r="34" ht="12.75" customHeight="1">
      <c r="A34" s="25">
        <f t="shared" si="1"/>
        <v>3958</v>
      </c>
      <c r="B34" s="29">
        <f t="array" ref="B34">IF(D34="","",IFERROR(VALUE(INDEX(Vazoes_COLAR!$A$2:$A$200,INT((ROW()-24)/12)+1)),""))</f>
        <v>1910</v>
      </c>
      <c r="C34" s="29">
        <f t="shared" si="2"/>
        <v>11</v>
      </c>
      <c r="D34" s="26">
        <f t="array" ref="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</v>
      </c>
      <c r="E34" s="26">
        <f t="shared" si="3"/>
        <v>0</v>
      </c>
      <c r="F34" s="26">
        <f t="array" ref="F34">IF(D34="","",IFERROR(INDEX(Dados_Evap!$C$2:$N$15,MATCH($B$9,Dados_Evap!$A$2:$A$15,0),C34),0))</f>
        <v>225.9</v>
      </c>
      <c r="G34" s="26">
        <f t="shared" si="4"/>
        <v>0.2259</v>
      </c>
      <c r="H34" s="26">
        <f t="shared" si="22"/>
        <v>10.65</v>
      </c>
      <c r="I34" s="26">
        <f t="array" ref="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>0.9510840708</v>
      </c>
      <c r="J34" s="26">
        <f t="shared" si="5"/>
        <v>0.5</v>
      </c>
      <c r="K34" s="26">
        <f t="shared" si="6"/>
        <v>1.296</v>
      </c>
      <c r="L34" s="26">
        <f t="shared" si="7"/>
        <v>9.139150108</v>
      </c>
      <c r="M34" s="26">
        <f t="array" ref="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>0.900945247</v>
      </c>
      <c r="N34" s="26">
        <f t="shared" si="8"/>
        <v>0.9260146589</v>
      </c>
      <c r="O34" s="26">
        <f t="shared" si="9"/>
        <v>0.2091867114</v>
      </c>
      <c r="P34" s="26">
        <f t="shared" si="10"/>
        <v>9.144813289</v>
      </c>
      <c r="Q34" s="26">
        <f t="shared" si="11"/>
        <v>1.296</v>
      </c>
      <c r="R34" s="26">
        <f t="shared" si="12"/>
        <v>0.5</v>
      </c>
      <c r="S34" s="26">
        <f t="shared" si="13"/>
        <v>0</v>
      </c>
      <c r="T34" s="26">
        <f t="shared" si="14"/>
        <v>0</v>
      </c>
      <c r="U34" s="26">
        <f t="shared" si="15"/>
        <v>9.144813289</v>
      </c>
      <c r="V34" s="26" t="str">
        <f t="shared" si="16"/>
        <v>Não</v>
      </c>
      <c r="W34" s="26">
        <f t="shared" si="17"/>
        <v>0</v>
      </c>
      <c r="X34" s="26">
        <f t="shared" si="18"/>
        <v>0</v>
      </c>
      <c r="Y34" s="26">
        <f t="shared" si="19"/>
        <v>42.93339572</v>
      </c>
      <c r="Z34" s="31">
        <f t="shared" si="20"/>
        <v>9.144813289</v>
      </c>
      <c r="AA34" s="31">
        <f>IF(D34="","",IF(H34&lt;=$B$16,1,IF(H34&gt;=$B$17,$B$21,MATCH(H34,Aux_CAV!$A$2:$A$121,1))))</f>
        <v>5</v>
      </c>
      <c r="AB34" s="31">
        <f>IF(D34="","",IF(L34&lt;=$B$16,1,IF(L34&gt;=$B$17,$B$21,MATCH(L34,Aux_CAV!$A$2:$A$121,1))))</f>
        <v>5</v>
      </c>
      <c r="AC34" s="31">
        <f t="shared" si="21"/>
        <v>1</v>
      </c>
    </row>
    <row r="35" ht="12.75" customHeight="1">
      <c r="A35" s="25">
        <f t="shared" si="1"/>
        <v>3988</v>
      </c>
      <c r="B35" s="29">
        <f t="array" ref="B35">IF(D35="","",IFERROR(VALUE(INDEX(Vazoes_COLAR!$A$2:$A$200,INT((ROW()-24)/12)+1)),""))</f>
        <v>1910</v>
      </c>
      <c r="C35" s="29">
        <f t="shared" si="2"/>
        <v>12</v>
      </c>
      <c r="D35" s="26">
        <f t="array" ref="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</v>
      </c>
      <c r="E35" s="26">
        <f t="shared" si="3"/>
        <v>0</v>
      </c>
      <c r="F35" s="26">
        <f t="array" ref="F35">IF(D35="","",IFERROR(INDEX(Dados_Evap!$C$2:$N$15,MATCH($B$9,Dados_Evap!$A$2:$A$15,0),C35),0))</f>
        <v>206</v>
      </c>
      <c r="G35" s="26">
        <f t="shared" si="4"/>
        <v>0.206</v>
      </c>
      <c r="H35" s="26">
        <f t="shared" si="22"/>
        <v>10.65</v>
      </c>
      <c r="I35" s="26">
        <f t="array" ref="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>0.9510840708</v>
      </c>
      <c r="J35" s="26">
        <f t="shared" si="5"/>
        <v>0.5</v>
      </c>
      <c r="K35" s="26">
        <f t="shared" si="6"/>
        <v>1.296</v>
      </c>
      <c r="L35" s="26">
        <f t="shared" si="7"/>
        <v>9.158076681</v>
      </c>
      <c r="M35" s="26">
        <f t="array" ref="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>0.9015733412</v>
      </c>
      <c r="N35" s="26">
        <f t="shared" si="8"/>
        <v>0.926328706</v>
      </c>
      <c r="O35" s="26">
        <f t="shared" si="9"/>
        <v>0.1908237134</v>
      </c>
      <c r="P35" s="26">
        <f t="shared" si="10"/>
        <v>9.163176287</v>
      </c>
      <c r="Q35" s="26">
        <f t="shared" si="11"/>
        <v>1.296</v>
      </c>
      <c r="R35" s="26">
        <f t="shared" si="12"/>
        <v>0.5</v>
      </c>
      <c r="S35" s="26">
        <f t="shared" si="13"/>
        <v>0</v>
      </c>
      <c r="T35" s="26">
        <f t="shared" si="14"/>
        <v>0</v>
      </c>
      <c r="U35" s="26">
        <f t="shared" si="15"/>
        <v>9.163176287</v>
      </c>
      <c r="V35" s="26" t="str">
        <f t="shared" si="16"/>
        <v>Não</v>
      </c>
      <c r="W35" s="26">
        <f t="shared" si="17"/>
        <v>0</v>
      </c>
      <c r="X35" s="26">
        <f t="shared" si="18"/>
        <v>0</v>
      </c>
      <c r="Y35" s="26">
        <f t="shared" si="19"/>
        <v>43.01960698</v>
      </c>
      <c r="Z35" s="31">
        <f t="shared" si="20"/>
        <v>9.163176287</v>
      </c>
      <c r="AA35" s="31">
        <f>IF(D35="","",IF(H35&lt;=$B$16,1,IF(H35&gt;=$B$17,$B$21,MATCH(H35,Aux_CAV!$A$2:$A$121,1))))</f>
        <v>5</v>
      </c>
      <c r="AB35" s="31">
        <f>IF(D35="","",IF(L35&lt;=$B$16,1,IF(L35&gt;=$B$17,$B$21,MATCH(L35,Aux_CAV!$A$2:$A$121,1))))</f>
        <v>5</v>
      </c>
      <c r="AC35" s="31">
        <f t="shared" si="21"/>
        <v>2</v>
      </c>
    </row>
    <row r="36" ht="12.75" customHeight="1">
      <c r="A36" s="25" t="str">
        <f t="shared" si="1"/>
        <v/>
      </c>
      <c r="B36" s="29" t="str">
        <f t="array" ref="B36">IF(D36="","",IFERROR(VALUE(INDEX(Vazoes_COLAR!$A$2:$A$200,INT((ROW()-24)/12)+1)),""))</f>
        <v/>
      </c>
      <c r="C36" s="29" t="str">
        <f t="shared" si="2"/>
        <v/>
      </c>
      <c r="D36" s="26" t="str">
        <f t="array" ref="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6" s="26" t="str">
        <f t="shared" si="3"/>
        <v/>
      </c>
      <c r="F36" s="26" t="str">
        <f t="array" ref="F36">IF(D36="","",IFERROR(INDEX(Dados_Evap!$C$2:$N$15,MATCH($B$9,Dados_Evap!$A$2:$A$15,0),C36),0))</f>
        <v/>
      </c>
      <c r="G36" s="26" t="str">
        <f t="shared" si="4"/>
        <v/>
      </c>
      <c r="H36" s="26" t="str">
        <f t="shared" si="22"/>
        <v/>
      </c>
      <c r="I36" s="26" t="str">
        <f t="array" ref="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/>
      </c>
      <c r="J36" s="26" t="str">
        <f t="shared" si="5"/>
        <v/>
      </c>
      <c r="K36" s="26" t="str">
        <f t="shared" si="6"/>
        <v/>
      </c>
      <c r="L36" s="26" t="str">
        <f t="shared" si="7"/>
        <v/>
      </c>
      <c r="M36" s="26" t="str">
        <f t="array" ref="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/>
      </c>
      <c r="N36" s="26" t="str">
        <f t="shared" si="8"/>
        <v/>
      </c>
      <c r="O36" s="26" t="str">
        <f t="shared" si="9"/>
        <v/>
      </c>
      <c r="P36" s="26" t="str">
        <f t="shared" si="10"/>
        <v/>
      </c>
      <c r="Q36" s="26" t="str">
        <f t="shared" si="11"/>
        <v/>
      </c>
      <c r="R36" s="26" t="str">
        <f t="shared" si="12"/>
        <v/>
      </c>
      <c r="S36" s="26" t="str">
        <f t="shared" si="13"/>
        <v/>
      </c>
      <c r="T36" s="26" t="str">
        <f t="shared" si="14"/>
        <v/>
      </c>
      <c r="U36" s="26" t="str">
        <f t="shared" si="15"/>
        <v/>
      </c>
      <c r="V36" s="26" t="str">
        <f t="shared" si="16"/>
        <v/>
      </c>
      <c r="W36" s="26" t="str">
        <f t="shared" si="17"/>
        <v/>
      </c>
      <c r="X36" s="26" t="str">
        <f t="shared" si="18"/>
        <v/>
      </c>
      <c r="Y36" s="26" t="str">
        <f t="shared" si="19"/>
        <v/>
      </c>
      <c r="Z36" s="31" t="str">
        <f t="shared" si="20"/>
        <v/>
      </c>
      <c r="AA36" s="31" t="str">
        <f>IF(D36="","",IF(H36&lt;=$B$16,1,IF(H36&gt;=$B$17,$B$21,MATCH(H36,Aux_CAV!$A$2:$A$121,1))))</f>
        <v/>
      </c>
      <c r="AB36" s="31" t="str">
        <f>IF(D36="","",IF(L36&lt;=$B$16,1,IF(L36&gt;=$B$17,$B$21,MATCH(L36,Aux_CAV!$A$2:$A$121,1))))</f>
        <v/>
      </c>
      <c r="AC36" s="3" t="str">
        <f t="shared" si="21"/>
        <v/>
      </c>
    </row>
    <row r="37" ht="12.75" customHeight="1">
      <c r="A37" s="25" t="str">
        <f t="shared" si="1"/>
        <v/>
      </c>
      <c r="B37" s="29" t="str">
        <f t="array" ref="B37">IF(D37="","",IFERROR(VALUE(INDEX(Vazoes_COLAR!$A$2:$A$200,INT((ROW()-24)/12)+1)),""))</f>
        <v/>
      </c>
      <c r="C37" s="29" t="str">
        <f t="shared" si="2"/>
        <v/>
      </c>
      <c r="D37" s="26" t="str">
        <f t="array" ref="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7" s="26" t="str">
        <f t="shared" si="3"/>
        <v/>
      </c>
      <c r="F37" s="26" t="str">
        <f t="array" ref="F37">IF(D37="","",IFERROR(INDEX(Dados_Evap!$C$2:$N$15,MATCH($B$9,Dados_Evap!$A$2:$A$15,0),C37),0))</f>
        <v/>
      </c>
      <c r="G37" s="26" t="str">
        <f t="shared" si="4"/>
        <v/>
      </c>
      <c r="H37" s="26" t="str">
        <f t="shared" si="22"/>
        <v/>
      </c>
      <c r="I37" s="26" t="str">
        <f t="array" ref="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/>
      </c>
      <c r="J37" s="26" t="str">
        <f t="shared" si="5"/>
        <v/>
      </c>
      <c r="K37" s="26" t="str">
        <f t="shared" si="6"/>
        <v/>
      </c>
      <c r="L37" s="26" t="str">
        <f t="shared" si="7"/>
        <v/>
      </c>
      <c r="M37" s="26" t="str">
        <f t="array" ref="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/>
      </c>
      <c r="N37" s="26" t="str">
        <f t="shared" si="8"/>
        <v/>
      </c>
      <c r="O37" s="26" t="str">
        <f t="shared" si="9"/>
        <v/>
      </c>
      <c r="P37" s="26" t="str">
        <f t="shared" si="10"/>
        <v/>
      </c>
      <c r="Q37" s="26" t="str">
        <f t="shared" si="11"/>
        <v/>
      </c>
      <c r="R37" s="26" t="str">
        <f t="shared" si="12"/>
        <v/>
      </c>
      <c r="S37" s="26" t="str">
        <f t="shared" si="13"/>
        <v/>
      </c>
      <c r="T37" s="26" t="str">
        <f t="shared" si="14"/>
        <v/>
      </c>
      <c r="U37" s="26" t="str">
        <f t="shared" si="15"/>
        <v/>
      </c>
      <c r="V37" s="26" t="str">
        <f t="shared" si="16"/>
        <v/>
      </c>
      <c r="W37" s="26" t="str">
        <f t="shared" si="17"/>
        <v/>
      </c>
      <c r="X37" s="26" t="str">
        <f t="shared" si="18"/>
        <v/>
      </c>
      <c r="Y37" s="26" t="str">
        <f t="shared" si="19"/>
        <v/>
      </c>
      <c r="Z37" s="31" t="str">
        <f t="shared" si="20"/>
        <v/>
      </c>
      <c r="AA37" s="31" t="str">
        <f>IF(D37="","",IF(H37&lt;=$B$16,1,IF(H37&gt;=$B$17,$B$21,MATCH(H37,Aux_CAV!$A$2:$A$121,1))))</f>
        <v/>
      </c>
      <c r="AB37" s="31" t="str">
        <f>IF(D37="","",IF(L37&lt;=$B$16,1,IF(L37&gt;=$B$17,$B$21,MATCH(L37,Aux_CAV!$A$2:$A$121,1))))</f>
        <v/>
      </c>
      <c r="AC37" s="3" t="str">
        <f t="shared" si="21"/>
        <v/>
      </c>
    </row>
    <row r="38" ht="12.75" customHeight="1">
      <c r="A38" s="25" t="str">
        <f t="shared" si="1"/>
        <v/>
      </c>
      <c r="B38" s="29" t="str">
        <f t="array" ref="B38">IF(D38="","",IFERROR(VALUE(INDEX(Vazoes_COLAR!$A$2:$A$200,INT((ROW()-24)/12)+1)),""))</f>
        <v/>
      </c>
      <c r="C38" s="29" t="str">
        <f t="shared" si="2"/>
        <v/>
      </c>
      <c r="D38" s="26" t="str">
        <f t="array" ref="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8" s="26" t="str">
        <f t="shared" si="3"/>
        <v/>
      </c>
      <c r="F38" s="26" t="str">
        <f t="array" ref="F38">IF(D38="","",IFERROR(INDEX(Dados_Evap!$C$2:$N$15,MATCH($B$9,Dados_Evap!$A$2:$A$15,0),C38),0))</f>
        <v/>
      </c>
      <c r="G38" s="26" t="str">
        <f t="shared" si="4"/>
        <v/>
      </c>
      <c r="H38" s="26" t="str">
        <f t="shared" si="22"/>
        <v/>
      </c>
      <c r="I38" s="26" t="str">
        <f t="array" ref="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/>
      </c>
      <c r="J38" s="26" t="str">
        <f t="shared" si="5"/>
        <v/>
      </c>
      <c r="K38" s="26" t="str">
        <f t="shared" si="6"/>
        <v/>
      </c>
      <c r="L38" s="26" t="str">
        <f t="shared" si="7"/>
        <v/>
      </c>
      <c r="M38" s="26" t="str">
        <f t="array" ref="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/>
      </c>
      <c r="N38" s="26" t="str">
        <f t="shared" si="8"/>
        <v/>
      </c>
      <c r="O38" s="26" t="str">
        <f t="shared" si="9"/>
        <v/>
      </c>
      <c r="P38" s="26" t="str">
        <f t="shared" si="10"/>
        <v/>
      </c>
      <c r="Q38" s="26" t="str">
        <f t="shared" si="11"/>
        <v/>
      </c>
      <c r="R38" s="26" t="str">
        <f t="shared" si="12"/>
        <v/>
      </c>
      <c r="S38" s="26" t="str">
        <f t="shared" si="13"/>
        <v/>
      </c>
      <c r="T38" s="26" t="str">
        <f t="shared" si="14"/>
        <v/>
      </c>
      <c r="U38" s="26" t="str">
        <f t="shared" si="15"/>
        <v/>
      </c>
      <c r="V38" s="26" t="str">
        <f t="shared" si="16"/>
        <v/>
      </c>
      <c r="W38" s="26" t="str">
        <f t="shared" si="17"/>
        <v/>
      </c>
      <c r="X38" s="26" t="str">
        <f t="shared" si="18"/>
        <v/>
      </c>
      <c r="Y38" s="26" t="str">
        <f t="shared" si="19"/>
        <v/>
      </c>
      <c r="Z38" s="31" t="str">
        <f t="shared" si="20"/>
        <v/>
      </c>
      <c r="AA38" s="31" t="str">
        <f>IF(D38="","",IF(H38&lt;=$B$16,1,IF(H38&gt;=$B$17,$B$21,MATCH(H38,Aux_CAV!$A$2:$A$121,1))))</f>
        <v/>
      </c>
      <c r="AB38" s="31" t="str">
        <f>IF(D38="","",IF(L38&lt;=$B$16,1,IF(L38&gt;=$B$17,$B$21,MATCH(L38,Aux_CAV!$A$2:$A$121,1))))</f>
        <v/>
      </c>
      <c r="AC38" s="3" t="str">
        <f t="shared" si="21"/>
        <v/>
      </c>
    </row>
    <row r="39" ht="12.75" customHeight="1">
      <c r="A39" s="25" t="str">
        <f t="shared" si="1"/>
        <v/>
      </c>
      <c r="B39" s="29" t="str">
        <f t="array" ref="B39">IF(D39="","",IFERROR(VALUE(INDEX(Vazoes_COLAR!$A$2:$A$200,INT((ROW()-24)/12)+1)),""))</f>
        <v/>
      </c>
      <c r="C39" s="29" t="str">
        <f t="shared" si="2"/>
        <v/>
      </c>
      <c r="D39" s="26" t="str">
        <f t="array" ref="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9" s="26" t="str">
        <f t="shared" si="3"/>
        <v/>
      </c>
      <c r="F39" s="26" t="str">
        <f t="array" ref="F39">IF(D39="","",IFERROR(INDEX(Dados_Evap!$C$2:$N$15,MATCH($B$9,Dados_Evap!$A$2:$A$15,0),C39),0))</f>
        <v/>
      </c>
      <c r="G39" s="26" t="str">
        <f t="shared" si="4"/>
        <v/>
      </c>
      <c r="H39" s="26" t="str">
        <f t="shared" si="22"/>
        <v/>
      </c>
      <c r="I39" s="26" t="str">
        <f t="array" ref="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/>
      </c>
      <c r="J39" s="26" t="str">
        <f t="shared" si="5"/>
        <v/>
      </c>
      <c r="K39" s="26" t="str">
        <f t="shared" si="6"/>
        <v/>
      </c>
      <c r="L39" s="26" t="str">
        <f t="shared" si="7"/>
        <v/>
      </c>
      <c r="M39" s="26" t="str">
        <f t="array" ref="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/>
      </c>
      <c r="N39" s="26" t="str">
        <f t="shared" si="8"/>
        <v/>
      </c>
      <c r="O39" s="26" t="str">
        <f t="shared" si="9"/>
        <v/>
      </c>
      <c r="P39" s="26" t="str">
        <f t="shared" si="10"/>
        <v/>
      </c>
      <c r="Q39" s="26" t="str">
        <f t="shared" si="11"/>
        <v/>
      </c>
      <c r="R39" s="26" t="str">
        <f t="shared" si="12"/>
        <v/>
      </c>
      <c r="S39" s="26" t="str">
        <f t="shared" si="13"/>
        <v/>
      </c>
      <c r="T39" s="26" t="str">
        <f t="shared" si="14"/>
        <v/>
      </c>
      <c r="U39" s="26" t="str">
        <f t="shared" si="15"/>
        <v/>
      </c>
      <c r="V39" s="26" t="str">
        <f t="shared" si="16"/>
        <v/>
      </c>
      <c r="W39" s="26" t="str">
        <f t="shared" si="17"/>
        <v/>
      </c>
      <c r="X39" s="26" t="str">
        <f t="shared" si="18"/>
        <v/>
      </c>
      <c r="Y39" s="26" t="str">
        <f t="shared" si="19"/>
        <v/>
      </c>
      <c r="Z39" s="31" t="str">
        <f t="shared" si="20"/>
        <v/>
      </c>
      <c r="AA39" s="31" t="str">
        <f>IF(D39="","",IF(H39&lt;=$B$16,1,IF(H39&gt;=$B$17,$B$21,MATCH(H39,Aux_CAV!$A$2:$A$121,1))))</f>
        <v/>
      </c>
      <c r="AB39" s="31" t="str">
        <f>IF(D39="","",IF(L39&lt;=$B$16,1,IF(L39&gt;=$B$17,$B$21,MATCH(L39,Aux_CAV!$A$2:$A$121,1))))</f>
        <v/>
      </c>
      <c r="AC39" s="3" t="str">
        <f t="shared" si="21"/>
        <v/>
      </c>
    </row>
    <row r="40" ht="12.75" customHeight="1">
      <c r="A40" s="25" t="str">
        <f t="shared" si="1"/>
        <v/>
      </c>
      <c r="B40" s="29" t="str">
        <f t="array" ref="B40">IF(D40="","",IFERROR(VALUE(INDEX(Vazoes_COLAR!$A$2:$A$200,INT((ROW()-24)/12)+1)),""))</f>
        <v/>
      </c>
      <c r="C40" s="29" t="str">
        <f t="shared" si="2"/>
        <v/>
      </c>
      <c r="D40" s="26" t="str">
        <f t="array" ref="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0" s="26" t="str">
        <f t="shared" si="3"/>
        <v/>
      </c>
      <c r="F40" s="26" t="str">
        <f t="array" ref="F40">IF(D40="","",IFERROR(INDEX(Dados_Evap!$C$2:$N$15,MATCH($B$9,Dados_Evap!$A$2:$A$15,0),C40),0))</f>
        <v/>
      </c>
      <c r="G40" s="26" t="str">
        <f t="shared" si="4"/>
        <v/>
      </c>
      <c r="H40" s="26" t="str">
        <f t="shared" si="22"/>
        <v/>
      </c>
      <c r="I40" s="26" t="str">
        <f t="array" ref="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/>
      </c>
      <c r="J40" s="26" t="str">
        <f t="shared" si="5"/>
        <v/>
      </c>
      <c r="K40" s="26" t="str">
        <f t="shared" si="6"/>
        <v/>
      </c>
      <c r="L40" s="26" t="str">
        <f t="shared" si="7"/>
        <v/>
      </c>
      <c r="M40" s="26" t="str">
        <f t="array" ref="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/>
      </c>
      <c r="N40" s="26" t="str">
        <f t="shared" si="8"/>
        <v/>
      </c>
      <c r="O40" s="26" t="str">
        <f t="shared" si="9"/>
        <v/>
      </c>
      <c r="P40" s="26" t="str">
        <f t="shared" si="10"/>
        <v/>
      </c>
      <c r="Q40" s="26" t="str">
        <f t="shared" si="11"/>
        <v/>
      </c>
      <c r="R40" s="26" t="str">
        <f t="shared" si="12"/>
        <v/>
      </c>
      <c r="S40" s="26" t="str">
        <f t="shared" si="13"/>
        <v/>
      </c>
      <c r="T40" s="26" t="str">
        <f t="shared" si="14"/>
        <v/>
      </c>
      <c r="U40" s="26" t="str">
        <f t="shared" si="15"/>
        <v/>
      </c>
      <c r="V40" s="26" t="str">
        <f t="shared" si="16"/>
        <v/>
      </c>
      <c r="W40" s="26" t="str">
        <f t="shared" si="17"/>
        <v/>
      </c>
      <c r="X40" s="26" t="str">
        <f t="shared" si="18"/>
        <v/>
      </c>
      <c r="Y40" s="26" t="str">
        <f t="shared" si="19"/>
        <v/>
      </c>
      <c r="Z40" s="31" t="str">
        <f t="shared" si="20"/>
        <v/>
      </c>
      <c r="AA40" s="31" t="str">
        <f>IF(D40="","",IF(H40&lt;=$B$16,1,IF(H40&gt;=$B$17,$B$21,MATCH(H40,Aux_CAV!$A$2:$A$121,1))))</f>
        <v/>
      </c>
      <c r="AB40" s="31" t="str">
        <f>IF(D40="","",IF(L40&lt;=$B$16,1,IF(L40&gt;=$B$17,$B$21,MATCH(L40,Aux_CAV!$A$2:$A$121,1))))</f>
        <v/>
      </c>
      <c r="AC40" s="3" t="str">
        <f t="shared" si="21"/>
        <v/>
      </c>
    </row>
    <row r="41" ht="12.75" customHeight="1">
      <c r="A41" s="25" t="str">
        <f t="shared" si="1"/>
        <v/>
      </c>
      <c r="B41" s="29" t="str">
        <f t="array" ref="B41">IF(D41="","",IFERROR(VALUE(INDEX(Vazoes_COLAR!$A$2:$A$200,INT((ROW()-24)/12)+1)),""))</f>
        <v/>
      </c>
      <c r="C41" s="29" t="str">
        <f t="shared" si="2"/>
        <v/>
      </c>
      <c r="D41" s="26" t="str">
        <f t="array" ref="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1" s="26" t="str">
        <f t="shared" si="3"/>
        <v/>
      </c>
      <c r="F41" s="26" t="str">
        <f t="array" ref="F41">IF(D41="","",IFERROR(INDEX(Dados_Evap!$C$2:$N$15,MATCH($B$9,Dados_Evap!$A$2:$A$15,0),C41),0))</f>
        <v/>
      </c>
      <c r="G41" s="26" t="str">
        <f t="shared" si="4"/>
        <v/>
      </c>
      <c r="H41" s="26" t="str">
        <f t="shared" si="22"/>
        <v/>
      </c>
      <c r="I41" s="26" t="str">
        <f t="array" ref="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/>
      </c>
      <c r="J41" s="26" t="str">
        <f t="shared" si="5"/>
        <v/>
      </c>
      <c r="K41" s="26" t="str">
        <f t="shared" si="6"/>
        <v/>
      </c>
      <c r="L41" s="26" t="str">
        <f t="shared" si="7"/>
        <v/>
      </c>
      <c r="M41" s="26" t="str">
        <f t="array" ref="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/>
      </c>
      <c r="N41" s="26" t="str">
        <f t="shared" si="8"/>
        <v/>
      </c>
      <c r="O41" s="26" t="str">
        <f t="shared" si="9"/>
        <v/>
      </c>
      <c r="P41" s="26" t="str">
        <f t="shared" si="10"/>
        <v/>
      </c>
      <c r="Q41" s="26" t="str">
        <f t="shared" si="11"/>
        <v/>
      </c>
      <c r="R41" s="26" t="str">
        <f t="shared" si="12"/>
        <v/>
      </c>
      <c r="S41" s="26" t="str">
        <f t="shared" si="13"/>
        <v/>
      </c>
      <c r="T41" s="26" t="str">
        <f t="shared" si="14"/>
        <v/>
      </c>
      <c r="U41" s="26" t="str">
        <f t="shared" si="15"/>
        <v/>
      </c>
      <c r="V41" s="26" t="str">
        <f t="shared" si="16"/>
        <v/>
      </c>
      <c r="W41" s="26" t="str">
        <f t="shared" si="17"/>
        <v/>
      </c>
      <c r="X41" s="26" t="str">
        <f t="shared" si="18"/>
        <v/>
      </c>
      <c r="Y41" s="26" t="str">
        <f t="shared" si="19"/>
        <v/>
      </c>
      <c r="Z41" s="31" t="str">
        <f t="shared" si="20"/>
        <v/>
      </c>
      <c r="AA41" s="31" t="str">
        <f>IF(D41="","",IF(H41&lt;=$B$16,1,IF(H41&gt;=$B$17,$B$21,MATCH(H41,Aux_CAV!$A$2:$A$121,1))))</f>
        <v/>
      </c>
      <c r="AB41" s="31" t="str">
        <f>IF(D41="","",IF(L41&lt;=$B$16,1,IF(L41&gt;=$B$17,$B$21,MATCH(L41,Aux_CAV!$A$2:$A$121,1))))</f>
        <v/>
      </c>
      <c r="AC41" s="3" t="str">
        <f t="shared" si="21"/>
        <v/>
      </c>
    </row>
    <row r="42" ht="12.75" customHeight="1">
      <c r="A42" s="25" t="str">
        <f t="shared" si="1"/>
        <v/>
      </c>
      <c r="B42" s="29" t="str">
        <f t="array" ref="B42">IF(D42="","",IFERROR(VALUE(INDEX(Vazoes_COLAR!$A$2:$A$200,INT((ROW()-24)/12)+1)),""))</f>
        <v/>
      </c>
      <c r="C42" s="29" t="str">
        <f t="shared" si="2"/>
        <v/>
      </c>
      <c r="D42" s="26" t="str">
        <f t="array" ref="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2" s="26" t="str">
        <f t="shared" si="3"/>
        <v/>
      </c>
      <c r="F42" s="26" t="str">
        <f t="array" ref="F42">IF(D42="","",IFERROR(INDEX(Dados_Evap!$C$2:$N$15,MATCH($B$9,Dados_Evap!$A$2:$A$15,0),C42),0))</f>
        <v/>
      </c>
      <c r="G42" s="26" t="str">
        <f t="shared" si="4"/>
        <v/>
      </c>
      <c r="H42" s="26" t="str">
        <f t="shared" si="22"/>
        <v/>
      </c>
      <c r="I42" s="26" t="str">
        <f t="array" ref="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/>
      </c>
      <c r="J42" s="26" t="str">
        <f t="shared" si="5"/>
        <v/>
      </c>
      <c r="K42" s="26" t="str">
        <f t="shared" si="6"/>
        <v/>
      </c>
      <c r="L42" s="26" t="str">
        <f t="shared" si="7"/>
        <v/>
      </c>
      <c r="M42" s="26" t="str">
        <f t="array" ref="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/>
      </c>
      <c r="N42" s="26" t="str">
        <f t="shared" si="8"/>
        <v/>
      </c>
      <c r="O42" s="26" t="str">
        <f t="shared" si="9"/>
        <v/>
      </c>
      <c r="P42" s="26" t="str">
        <f t="shared" si="10"/>
        <v/>
      </c>
      <c r="Q42" s="26" t="str">
        <f t="shared" si="11"/>
        <v/>
      </c>
      <c r="R42" s="26" t="str">
        <f t="shared" si="12"/>
        <v/>
      </c>
      <c r="S42" s="26" t="str">
        <f t="shared" si="13"/>
        <v/>
      </c>
      <c r="T42" s="26" t="str">
        <f t="shared" si="14"/>
        <v/>
      </c>
      <c r="U42" s="26" t="str">
        <f t="shared" si="15"/>
        <v/>
      </c>
      <c r="V42" s="26" t="str">
        <f t="shared" si="16"/>
        <v/>
      </c>
      <c r="W42" s="26" t="str">
        <f t="shared" si="17"/>
        <v/>
      </c>
      <c r="X42" s="26" t="str">
        <f t="shared" si="18"/>
        <v/>
      </c>
      <c r="Y42" s="26" t="str">
        <f t="shared" si="19"/>
        <v/>
      </c>
      <c r="Z42" s="31" t="str">
        <f t="shared" si="20"/>
        <v/>
      </c>
      <c r="AA42" s="31" t="str">
        <f>IF(D42="","",IF(H42&lt;=$B$16,1,IF(H42&gt;=$B$17,$B$21,MATCH(H42,Aux_CAV!$A$2:$A$121,1))))</f>
        <v/>
      </c>
      <c r="AB42" s="31" t="str">
        <f>IF(D42="","",IF(L42&lt;=$B$16,1,IF(L42&gt;=$B$17,$B$21,MATCH(L42,Aux_CAV!$A$2:$A$121,1))))</f>
        <v/>
      </c>
      <c r="AC42" s="3" t="str">
        <f t="shared" si="21"/>
        <v/>
      </c>
    </row>
    <row r="43" ht="12.75" customHeight="1">
      <c r="A43" s="25" t="str">
        <f t="shared" si="1"/>
        <v/>
      </c>
      <c r="B43" s="29" t="str">
        <f t="array" ref="B43">IF(D43="","",IFERROR(VALUE(INDEX(Vazoes_COLAR!$A$2:$A$200,INT((ROW()-24)/12)+1)),""))</f>
        <v/>
      </c>
      <c r="C43" s="29" t="str">
        <f t="shared" si="2"/>
        <v/>
      </c>
      <c r="D43" s="26" t="str">
        <f t="array" ref="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3" s="26" t="str">
        <f t="shared" si="3"/>
        <v/>
      </c>
      <c r="F43" s="26" t="str">
        <f t="array" ref="F43">IF(D43="","",IFERROR(INDEX(Dados_Evap!$C$2:$N$15,MATCH($B$9,Dados_Evap!$A$2:$A$15,0),C43),0))</f>
        <v/>
      </c>
      <c r="G43" s="26" t="str">
        <f t="shared" si="4"/>
        <v/>
      </c>
      <c r="H43" s="26" t="str">
        <f t="shared" si="22"/>
        <v/>
      </c>
      <c r="I43" s="26" t="str">
        <f t="array" ref="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/>
      </c>
      <c r="J43" s="26" t="str">
        <f t="shared" si="5"/>
        <v/>
      </c>
      <c r="K43" s="26" t="str">
        <f t="shared" si="6"/>
        <v/>
      </c>
      <c r="L43" s="26" t="str">
        <f t="shared" si="7"/>
        <v/>
      </c>
      <c r="M43" s="26" t="str">
        <f t="array" ref="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/>
      </c>
      <c r="N43" s="26" t="str">
        <f t="shared" si="8"/>
        <v/>
      </c>
      <c r="O43" s="26" t="str">
        <f t="shared" si="9"/>
        <v/>
      </c>
      <c r="P43" s="26" t="str">
        <f t="shared" si="10"/>
        <v/>
      </c>
      <c r="Q43" s="26" t="str">
        <f t="shared" si="11"/>
        <v/>
      </c>
      <c r="R43" s="26" t="str">
        <f t="shared" si="12"/>
        <v/>
      </c>
      <c r="S43" s="26" t="str">
        <f t="shared" si="13"/>
        <v/>
      </c>
      <c r="T43" s="26" t="str">
        <f t="shared" si="14"/>
        <v/>
      </c>
      <c r="U43" s="26" t="str">
        <f t="shared" si="15"/>
        <v/>
      </c>
      <c r="V43" s="26" t="str">
        <f t="shared" si="16"/>
        <v/>
      </c>
      <c r="W43" s="26" t="str">
        <f t="shared" si="17"/>
        <v/>
      </c>
      <c r="X43" s="26" t="str">
        <f t="shared" si="18"/>
        <v/>
      </c>
      <c r="Y43" s="26" t="str">
        <f t="shared" si="19"/>
        <v/>
      </c>
      <c r="Z43" s="31" t="str">
        <f t="shared" si="20"/>
        <v/>
      </c>
      <c r="AA43" s="31" t="str">
        <f>IF(D43="","",IF(H43&lt;=$B$16,1,IF(H43&gt;=$B$17,$B$21,MATCH(H43,Aux_CAV!$A$2:$A$121,1))))</f>
        <v/>
      </c>
      <c r="AB43" s="31" t="str">
        <f>IF(D43="","",IF(L43&lt;=$B$16,1,IF(L43&gt;=$B$17,$B$21,MATCH(L43,Aux_CAV!$A$2:$A$121,1))))</f>
        <v/>
      </c>
      <c r="AC43" s="3" t="str">
        <f t="shared" si="21"/>
        <v/>
      </c>
    </row>
    <row r="44" ht="12.75" customHeight="1">
      <c r="A44" s="25" t="str">
        <f t="shared" si="1"/>
        <v/>
      </c>
      <c r="B44" s="29" t="str">
        <f t="array" ref="B44">IF(D44="","",IFERROR(VALUE(INDEX(Vazoes_COLAR!$A$2:$A$200,INT((ROW()-24)/12)+1)),""))</f>
        <v/>
      </c>
      <c r="C44" s="29" t="str">
        <f t="shared" si="2"/>
        <v/>
      </c>
      <c r="D44" s="26" t="str">
        <f t="array" ref="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4" s="26" t="str">
        <f t="shared" si="3"/>
        <v/>
      </c>
      <c r="F44" s="26" t="str">
        <f t="array" ref="F44">IF(D44="","",IFERROR(INDEX(Dados_Evap!$C$2:$N$15,MATCH($B$9,Dados_Evap!$A$2:$A$15,0),C44),0))</f>
        <v/>
      </c>
      <c r="G44" s="26" t="str">
        <f t="shared" si="4"/>
        <v/>
      </c>
      <c r="H44" s="26" t="str">
        <f t="shared" si="22"/>
        <v/>
      </c>
      <c r="I44" s="26" t="str">
        <f t="array" ref="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/>
      </c>
      <c r="J44" s="26" t="str">
        <f t="shared" si="5"/>
        <v/>
      </c>
      <c r="K44" s="26" t="str">
        <f t="shared" si="6"/>
        <v/>
      </c>
      <c r="L44" s="26" t="str">
        <f t="shared" si="7"/>
        <v/>
      </c>
      <c r="M44" s="26" t="str">
        <f t="array" ref="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/>
      </c>
      <c r="N44" s="26" t="str">
        <f t="shared" si="8"/>
        <v/>
      </c>
      <c r="O44" s="26" t="str">
        <f t="shared" si="9"/>
        <v/>
      </c>
      <c r="P44" s="26" t="str">
        <f t="shared" si="10"/>
        <v/>
      </c>
      <c r="Q44" s="26" t="str">
        <f t="shared" si="11"/>
        <v/>
      </c>
      <c r="R44" s="26" t="str">
        <f t="shared" si="12"/>
        <v/>
      </c>
      <c r="S44" s="26" t="str">
        <f t="shared" si="13"/>
        <v/>
      </c>
      <c r="T44" s="26" t="str">
        <f t="shared" si="14"/>
        <v/>
      </c>
      <c r="U44" s="26" t="str">
        <f t="shared" si="15"/>
        <v/>
      </c>
      <c r="V44" s="26" t="str">
        <f t="shared" si="16"/>
        <v/>
      </c>
      <c r="W44" s="26" t="str">
        <f t="shared" si="17"/>
        <v/>
      </c>
      <c r="X44" s="26" t="str">
        <f t="shared" si="18"/>
        <v/>
      </c>
      <c r="Y44" s="26" t="str">
        <f t="shared" si="19"/>
        <v/>
      </c>
      <c r="Z44" s="31" t="str">
        <f t="shared" si="20"/>
        <v/>
      </c>
      <c r="AA44" s="31" t="str">
        <f>IF(D44="","",IF(H44&lt;=$B$16,1,IF(H44&gt;=$B$17,$B$21,MATCH(H44,Aux_CAV!$A$2:$A$121,1))))</f>
        <v/>
      </c>
      <c r="AB44" s="31" t="str">
        <f>IF(D44="","",IF(L44&lt;=$B$16,1,IF(L44&gt;=$B$17,$B$21,MATCH(L44,Aux_CAV!$A$2:$A$121,1))))</f>
        <v/>
      </c>
      <c r="AC44" s="3" t="str">
        <f t="shared" si="21"/>
        <v/>
      </c>
    </row>
    <row r="45" ht="12.75" customHeight="1">
      <c r="A45" s="25" t="str">
        <f t="shared" si="1"/>
        <v/>
      </c>
      <c r="B45" s="29" t="str">
        <f t="array" ref="B45">IF(D45="","",IFERROR(VALUE(INDEX(Vazoes_COLAR!$A$2:$A$200,INT((ROW()-24)/12)+1)),""))</f>
        <v/>
      </c>
      <c r="C45" s="29" t="str">
        <f t="shared" si="2"/>
        <v/>
      </c>
      <c r="D45" s="26" t="str">
        <f t="array" ref="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5" s="26" t="str">
        <f t="shared" si="3"/>
        <v/>
      </c>
      <c r="F45" s="26" t="str">
        <f t="array" ref="F45">IF(D45="","",IFERROR(INDEX(Dados_Evap!$C$2:$N$15,MATCH($B$9,Dados_Evap!$A$2:$A$15,0),C45),0))</f>
        <v/>
      </c>
      <c r="G45" s="26" t="str">
        <f t="shared" si="4"/>
        <v/>
      </c>
      <c r="H45" s="26" t="str">
        <f t="shared" si="22"/>
        <v/>
      </c>
      <c r="I45" s="26" t="str">
        <f t="array" ref="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/>
      </c>
      <c r="J45" s="26" t="str">
        <f t="shared" si="5"/>
        <v/>
      </c>
      <c r="K45" s="26" t="str">
        <f t="shared" si="6"/>
        <v/>
      </c>
      <c r="L45" s="26" t="str">
        <f t="shared" si="7"/>
        <v/>
      </c>
      <c r="M45" s="26" t="str">
        <f t="array" ref="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/>
      </c>
      <c r="N45" s="26" t="str">
        <f t="shared" si="8"/>
        <v/>
      </c>
      <c r="O45" s="26" t="str">
        <f t="shared" si="9"/>
        <v/>
      </c>
      <c r="P45" s="26" t="str">
        <f t="shared" si="10"/>
        <v/>
      </c>
      <c r="Q45" s="26" t="str">
        <f t="shared" si="11"/>
        <v/>
      </c>
      <c r="R45" s="26" t="str">
        <f t="shared" si="12"/>
        <v/>
      </c>
      <c r="S45" s="26" t="str">
        <f t="shared" si="13"/>
        <v/>
      </c>
      <c r="T45" s="26" t="str">
        <f t="shared" si="14"/>
        <v/>
      </c>
      <c r="U45" s="26" t="str">
        <f t="shared" si="15"/>
        <v/>
      </c>
      <c r="V45" s="26" t="str">
        <f t="shared" si="16"/>
        <v/>
      </c>
      <c r="W45" s="26" t="str">
        <f t="shared" si="17"/>
        <v/>
      </c>
      <c r="X45" s="26" t="str">
        <f t="shared" si="18"/>
        <v/>
      </c>
      <c r="Y45" s="26" t="str">
        <f t="shared" si="19"/>
        <v/>
      </c>
      <c r="Z45" s="31" t="str">
        <f t="shared" si="20"/>
        <v/>
      </c>
      <c r="AA45" s="31" t="str">
        <f>IF(D45="","",IF(H45&lt;=$B$16,1,IF(H45&gt;=$B$17,$B$21,MATCH(H45,Aux_CAV!$A$2:$A$121,1))))</f>
        <v/>
      </c>
      <c r="AB45" s="31" t="str">
        <f>IF(D45="","",IF(L45&lt;=$B$16,1,IF(L45&gt;=$B$17,$B$21,MATCH(L45,Aux_CAV!$A$2:$A$121,1))))</f>
        <v/>
      </c>
      <c r="AC45" s="3" t="str">
        <f t="shared" si="21"/>
        <v/>
      </c>
    </row>
    <row r="46" ht="12.75" customHeight="1">
      <c r="A46" s="25" t="str">
        <f t="shared" si="1"/>
        <v/>
      </c>
      <c r="B46" s="29" t="str">
        <f t="array" ref="B46">IF(D46="","",IFERROR(VALUE(INDEX(Vazoes_COLAR!$A$2:$A$200,INT((ROW()-24)/12)+1)),""))</f>
        <v/>
      </c>
      <c r="C46" s="29" t="str">
        <f t="shared" si="2"/>
        <v/>
      </c>
      <c r="D46" s="26" t="str">
        <f t="array" ref="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6" s="26" t="str">
        <f t="shared" si="3"/>
        <v/>
      </c>
      <c r="F46" s="26" t="str">
        <f t="array" ref="F46">IF(D46="","",IFERROR(INDEX(Dados_Evap!$C$2:$N$15,MATCH($B$9,Dados_Evap!$A$2:$A$15,0),C46),0))</f>
        <v/>
      </c>
      <c r="G46" s="26" t="str">
        <f t="shared" si="4"/>
        <v/>
      </c>
      <c r="H46" s="26" t="str">
        <f t="shared" si="22"/>
        <v/>
      </c>
      <c r="I46" s="26" t="str">
        <f t="array" ref="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/>
      </c>
      <c r="J46" s="26" t="str">
        <f t="shared" si="5"/>
        <v/>
      </c>
      <c r="K46" s="26" t="str">
        <f t="shared" si="6"/>
        <v/>
      </c>
      <c r="L46" s="26" t="str">
        <f t="shared" si="7"/>
        <v/>
      </c>
      <c r="M46" s="26" t="str">
        <f t="array" ref="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/>
      </c>
      <c r="N46" s="26" t="str">
        <f t="shared" si="8"/>
        <v/>
      </c>
      <c r="O46" s="26" t="str">
        <f t="shared" si="9"/>
        <v/>
      </c>
      <c r="P46" s="26" t="str">
        <f t="shared" si="10"/>
        <v/>
      </c>
      <c r="Q46" s="26" t="str">
        <f t="shared" si="11"/>
        <v/>
      </c>
      <c r="R46" s="26" t="str">
        <f t="shared" si="12"/>
        <v/>
      </c>
      <c r="S46" s="26" t="str">
        <f t="shared" si="13"/>
        <v/>
      </c>
      <c r="T46" s="26" t="str">
        <f t="shared" si="14"/>
        <v/>
      </c>
      <c r="U46" s="26" t="str">
        <f t="shared" si="15"/>
        <v/>
      </c>
      <c r="V46" s="26" t="str">
        <f t="shared" si="16"/>
        <v/>
      </c>
      <c r="W46" s="26" t="str">
        <f t="shared" si="17"/>
        <v/>
      </c>
      <c r="X46" s="26" t="str">
        <f t="shared" si="18"/>
        <v/>
      </c>
      <c r="Y46" s="26" t="str">
        <f t="shared" si="19"/>
        <v/>
      </c>
      <c r="Z46" s="31" t="str">
        <f t="shared" si="20"/>
        <v/>
      </c>
      <c r="AA46" s="31" t="str">
        <f>IF(D46="","",IF(H46&lt;=$B$16,1,IF(H46&gt;=$B$17,$B$21,MATCH(H46,Aux_CAV!$A$2:$A$121,1))))</f>
        <v/>
      </c>
      <c r="AB46" s="31" t="str">
        <f>IF(D46="","",IF(L46&lt;=$B$16,1,IF(L46&gt;=$B$17,$B$21,MATCH(L46,Aux_CAV!$A$2:$A$121,1))))</f>
        <v/>
      </c>
      <c r="AC46" s="3" t="str">
        <f t="shared" si="21"/>
        <v/>
      </c>
    </row>
    <row r="47" ht="12.75" customHeight="1">
      <c r="A47" s="25" t="str">
        <f t="shared" si="1"/>
        <v/>
      </c>
      <c r="B47" s="29" t="str">
        <f t="array" ref="B47">IF(D47="","",IFERROR(VALUE(INDEX(Vazoes_COLAR!$A$2:$A$200,INT((ROW()-24)/12)+1)),""))</f>
        <v/>
      </c>
      <c r="C47" s="29" t="str">
        <f t="shared" si="2"/>
        <v/>
      </c>
      <c r="D47" s="26" t="str">
        <f t="array" ref="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7" s="26" t="str">
        <f t="shared" si="3"/>
        <v/>
      </c>
      <c r="F47" s="26" t="str">
        <f t="array" ref="F47">IF(D47="","",IFERROR(INDEX(Dados_Evap!$C$2:$N$15,MATCH($B$9,Dados_Evap!$A$2:$A$15,0),C47),0))</f>
        <v/>
      </c>
      <c r="G47" s="26" t="str">
        <f t="shared" si="4"/>
        <v/>
      </c>
      <c r="H47" s="26" t="str">
        <f t="shared" si="22"/>
        <v/>
      </c>
      <c r="I47" s="26" t="str">
        <f t="array" ref="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/>
      </c>
      <c r="J47" s="26" t="str">
        <f t="shared" si="5"/>
        <v/>
      </c>
      <c r="K47" s="26" t="str">
        <f t="shared" si="6"/>
        <v/>
      </c>
      <c r="L47" s="26" t="str">
        <f t="shared" si="7"/>
        <v/>
      </c>
      <c r="M47" s="26" t="str">
        <f t="array" ref="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/>
      </c>
      <c r="N47" s="26" t="str">
        <f t="shared" si="8"/>
        <v/>
      </c>
      <c r="O47" s="26" t="str">
        <f t="shared" si="9"/>
        <v/>
      </c>
      <c r="P47" s="26" t="str">
        <f t="shared" si="10"/>
        <v/>
      </c>
      <c r="Q47" s="26" t="str">
        <f t="shared" si="11"/>
        <v/>
      </c>
      <c r="R47" s="26" t="str">
        <f t="shared" si="12"/>
        <v/>
      </c>
      <c r="S47" s="26" t="str">
        <f t="shared" si="13"/>
        <v/>
      </c>
      <c r="T47" s="26" t="str">
        <f t="shared" si="14"/>
        <v/>
      </c>
      <c r="U47" s="26" t="str">
        <f t="shared" si="15"/>
        <v/>
      </c>
      <c r="V47" s="26" t="str">
        <f t="shared" si="16"/>
        <v/>
      </c>
      <c r="W47" s="26" t="str">
        <f t="shared" si="17"/>
        <v/>
      </c>
      <c r="X47" s="26" t="str">
        <f t="shared" si="18"/>
        <v/>
      </c>
      <c r="Y47" s="26" t="str">
        <f t="shared" si="19"/>
        <v/>
      </c>
      <c r="Z47" s="31" t="str">
        <f t="shared" si="20"/>
        <v/>
      </c>
      <c r="AA47" s="31" t="str">
        <f>IF(D47="","",IF(H47&lt;=$B$16,1,IF(H47&gt;=$B$17,$B$21,MATCH(H47,Aux_CAV!$A$2:$A$121,1))))</f>
        <v/>
      </c>
      <c r="AB47" s="31" t="str">
        <f>IF(D47="","",IF(L47&lt;=$B$16,1,IF(L47&gt;=$B$17,$B$21,MATCH(L47,Aux_CAV!$A$2:$A$121,1))))</f>
        <v/>
      </c>
      <c r="AC47" s="3" t="str">
        <f t="shared" si="21"/>
        <v/>
      </c>
    </row>
    <row r="48" ht="12.75" customHeight="1">
      <c r="A48" s="25" t="str">
        <f t="shared" si="1"/>
        <v/>
      </c>
      <c r="B48" s="29" t="str">
        <f t="array" ref="B48">IF(D48="","",IFERROR(VALUE(INDEX(Vazoes_COLAR!$A$2:$A$200,INT((ROW()-24)/12)+1)),""))</f>
        <v/>
      </c>
      <c r="C48" s="29" t="str">
        <f t="shared" si="2"/>
        <v/>
      </c>
      <c r="D48" s="26" t="str">
        <f t="array" ref="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8" s="26" t="str">
        <f t="shared" si="3"/>
        <v/>
      </c>
      <c r="F48" s="26" t="str">
        <f t="array" ref="F48">IF(D48="","",IFERROR(INDEX(Dados_Evap!$C$2:$N$15,MATCH($B$9,Dados_Evap!$A$2:$A$15,0),C48),0))</f>
        <v/>
      </c>
      <c r="G48" s="26" t="str">
        <f t="shared" si="4"/>
        <v/>
      </c>
      <c r="H48" s="26" t="str">
        <f t="shared" si="22"/>
        <v/>
      </c>
      <c r="I48" s="26" t="str">
        <f t="array" ref="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/>
      </c>
      <c r="J48" s="26" t="str">
        <f t="shared" si="5"/>
        <v/>
      </c>
      <c r="K48" s="26" t="str">
        <f t="shared" si="6"/>
        <v/>
      </c>
      <c r="L48" s="26" t="str">
        <f t="shared" si="7"/>
        <v/>
      </c>
      <c r="M48" s="26" t="str">
        <f t="array" ref="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/>
      </c>
      <c r="N48" s="26" t="str">
        <f t="shared" si="8"/>
        <v/>
      </c>
      <c r="O48" s="26" t="str">
        <f t="shared" si="9"/>
        <v/>
      </c>
      <c r="P48" s="26" t="str">
        <f t="shared" si="10"/>
        <v/>
      </c>
      <c r="Q48" s="26" t="str">
        <f t="shared" si="11"/>
        <v/>
      </c>
      <c r="R48" s="26" t="str">
        <f t="shared" si="12"/>
        <v/>
      </c>
      <c r="S48" s="26" t="str">
        <f t="shared" si="13"/>
        <v/>
      </c>
      <c r="T48" s="26" t="str">
        <f t="shared" si="14"/>
        <v/>
      </c>
      <c r="U48" s="26" t="str">
        <f t="shared" si="15"/>
        <v/>
      </c>
      <c r="V48" s="26" t="str">
        <f t="shared" si="16"/>
        <v/>
      </c>
      <c r="W48" s="26" t="str">
        <f t="shared" si="17"/>
        <v/>
      </c>
      <c r="X48" s="26" t="str">
        <f t="shared" si="18"/>
        <v/>
      </c>
      <c r="Y48" s="26" t="str">
        <f t="shared" si="19"/>
        <v/>
      </c>
      <c r="Z48" s="31" t="str">
        <f t="shared" si="20"/>
        <v/>
      </c>
      <c r="AA48" s="31" t="str">
        <f>IF(D48="","",IF(H48&lt;=$B$16,1,IF(H48&gt;=$B$17,$B$21,MATCH(H48,Aux_CAV!$A$2:$A$121,1))))</f>
        <v/>
      </c>
      <c r="AB48" s="31" t="str">
        <f>IF(D48="","",IF(L48&lt;=$B$16,1,IF(L48&gt;=$B$17,$B$21,MATCH(L48,Aux_CAV!$A$2:$A$121,1))))</f>
        <v/>
      </c>
      <c r="AC48" s="3" t="str">
        <f t="shared" si="21"/>
        <v/>
      </c>
    </row>
    <row r="49" ht="12.75" customHeight="1">
      <c r="A49" s="25" t="str">
        <f t="shared" si="1"/>
        <v/>
      </c>
      <c r="B49" s="29" t="str">
        <f t="array" ref="B49">IF(D49="","",IFERROR(VALUE(INDEX(Vazoes_COLAR!$A$2:$A$200,INT((ROW()-24)/12)+1)),""))</f>
        <v/>
      </c>
      <c r="C49" s="29" t="str">
        <f t="shared" si="2"/>
        <v/>
      </c>
      <c r="D49" s="26" t="str">
        <f t="array" ref="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9" s="26" t="str">
        <f t="shared" si="3"/>
        <v/>
      </c>
      <c r="F49" s="26" t="str">
        <f t="array" ref="F49">IF(D49="","",IFERROR(INDEX(Dados_Evap!$C$2:$N$15,MATCH($B$9,Dados_Evap!$A$2:$A$15,0),C49),0))</f>
        <v/>
      </c>
      <c r="G49" s="26" t="str">
        <f t="shared" si="4"/>
        <v/>
      </c>
      <c r="H49" s="26" t="str">
        <f t="shared" si="22"/>
        <v/>
      </c>
      <c r="I49" s="26" t="str">
        <f t="array" ref="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/>
      </c>
      <c r="J49" s="26" t="str">
        <f t="shared" si="5"/>
        <v/>
      </c>
      <c r="K49" s="26" t="str">
        <f t="shared" si="6"/>
        <v/>
      </c>
      <c r="L49" s="26" t="str">
        <f t="shared" si="7"/>
        <v/>
      </c>
      <c r="M49" s="26" t="str">
        <f t="array" ref="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/>
      </c>
      <c r="N49" s="26" t="str">
        <f t="shared" si="8"/>
        <v/>
      </c>
      <c r="O49" s="26" t="str">
        <f t="shared" si="9"/>
        <v/>
      </c>
      <c r="P49" s="26" t="str">
        <f t="shared" si="10"/>
        <v/>
      </c>
      <c r="Q49" s="26" t="str">
        <f t="shared" si="11"/>
        <v/>
      </c>
      <c r="R49" s="26" t="str">
        <f t="shared" si="12"/>
        <v/>
      </c>
      <c r="S49" s="26" t="str">
        <f t="shared" si="13"/>
        <v/>
      </c>
      <c r="T49" s="26" t="str">
        <f t="shared" si="14"/>
        <v/>
      </c>
      <c r="U49" s="26" t="str">
        <f t="shared" si="15"/>
        <v/>
      </c>
      <c r="V49" s="26" t="str">
        <f t="shared" si="16"/>
        <v/>
      </c>
      <c r="W49" s="26" t="str">
        <f t="shared" si="17"/>
        <v/>
      </c>
      <c r="X49" s="26" t="str">
        <f t="shared" si="18"/>
        <v/>
      </c>
      <c r="Y49" s="26" t="str">
        <f t="shared" si="19"/>
        <v/>
      </c>
      <c r="Z49" s="31" t="str">
        <f t="shared" si="20"/>
        <v/>
      </c>
      <c r="AA49" s="31" t="str">
        <f>IF(D49="","",IF(H49&lt;=$B$16,1,IF(H49&gt;=$B$17,$B$21,MATCH(H49,Aux_CAV!$A$2:$A$121,1))))</f>
        <v/>
      </c>
      <c r="AB49" s="31" t="str">
        <f>IF(D49="","",IF(L49&lt;=$B$16,1,IF(L49&gt;=$B$17,$B$21,MATCH(L49,Aux_CAV!$A$2:$A$121,1))))</f>
        <v/>
      </c>
      <c r="AC49" s="3" t="str">
        <f t="shared" si="21"/>
        <v/>
      </c>
    </row>
    <row r="50" ht="12.75" customHeight="1">
      <c r="A50" s="25" t="str">
        <f t="shared" si="1"/>
        <v/>
      </c>
      <c r="B50" s="29" t="str">
        <f t="array" ref="B50">IF(D50="","",IFERROR(VALUE(INDEX(Vazoes_COLAR!$A$2:$A$200,INT((ROW()-24)/12)+1)),""))</f>
        <v/>
      </c>
      <c r="C50" s="29" t="str">
        <f t="shared" si="2"/>
        <v/>
      </c>
      <c r="D50" s="26" t="str">
        <f t="array" ref="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0" s="26" t="str">
        <f t="shared" si="3"/>
        <v/>
      </c>
      <c r="F50" s="26" t="str">
        <f t="array" ref="F50">IF(D50="","",IFERROR(INDEX(Dados_Evap!$C$2:$N$15,MATCH($B$9,Dados_Evap!$A$2:$A$15,0),C50),0))</f>
        <v/>
      </c>
      <c r="G50" s="26" t="str">
        <f t="shared" si="4"/>
        <v/>
      </c>
      <c r="H50" s="26" t="str">
        <f t="shared" si="22"/>
        <v/>
      </c>
      <c r="I50" s="26" t="str">
        <f t="array" ref="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/>
      </c>
      <c r="J50" s="26" t="str">
        <f t="shared" si="5"/>
        <v/>
      </c>
      <c r="K50" s="26" t="str">
        <f t="shared" si="6"/>
        <v/>
      </c>
      <c r="L50" s="26" t="str">
        <f t="shared" si="7"/>
        <v/>
      </c>
      <c r="M50" s="26" t="str">
        <f t="array" ref="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/>
      </c>
      <c r="N50" s="26" t="str">
        <f t="shared" si="8"/>
        <v/>
      </c>
      <c r="O50" s="26" t="str">
        <f t="shared" si="9"/>
        <v/>
      </c>
      <c r="P50" s="26" t="str">
        <f t="shared" si="10"/>
        <v/>
      </c>
      <c r="Q50" s="26" t="str">
        <f t="shared" si="11"/>
        <v/>
      </c>
      <c r="R50" s="26" t="str">
        <f t="shared" si="12"/>
        <v/>
      </c>
      <c r="S50" s="26" t="str">
        <f t="shared" si="13"/>
        <v/>
      </c>
      <c r="T50" s="26" t="str">
        <f t="shared" si="14"/>
        <v/>
      </c>
      <c r="U50" s="26" t="str">
        <f t="shared" si="15"/>
        <v/>
      </c>
      <c r="V50" s="26" t="str">
        <f t="shared" si="16"/>
        <v/>
      </c>
      <c r="W50" s="26" t="str">
        <f t="shared" si="17"/>
        <v/>
      </c>
      <c r="X50" s="26" t="str">
        <f t="shared" si="18"/>
        <v/>
      </c>
      <c r="Y50" s="26" t="str">
        <f t="shared" si="19"/>
        <v/>
      </c>
      <c r="Z50" s="31" t="str">
        <f t="shared" si="20"/>
        <v/>
      </c>
      <c r="AA50" s="31" t="str">
        <f>IF(D50="","",IF(H50&lt;=$B$16,1,IF(H50&gt;=$B$17,$B$21,MATCH(H50,Aux_CAV!$A$2:$A$121,1))))</f>
        <v/>
      </c>
      <c r="AB50" s="31" t="str">
        <f>IF(D50="","",IF(L50&lt;=$B$16,1,IF(L50&gt;=$B$17,$B$21,MATCH(L50,Aux_CAV!$A$2:$A$121,1))))</f>
        <v/>
      </c>
      <c r="AC50" s="3" t="str">
        <f t="shared" si="21"/>
        <v/>
      </c>
    </row>
    <row r="51" ht="12.75" customHeight="1">
      <c r="A51" s="25" t="str">
        <f t="shared" si="1"/>
        <v/>
      </c>
      <c r="B51" s="29" t="str">
        <f t="array" ref="B51">IF(D51="","",IFERROR(VALUE(INDEX(Vazoes_COLAR!$A$2:$A$200,INT((ROW()-24)/12)+1)),""))</f>
        <v/>
      </c>
      <c r="C51" s="29" t="str">
        <f t="shared" si="2"/>
        <v/>
      </c>
      <c r="D51" s="26" t="str">
        <f t="array" ref="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1" s="26" t="str">
        <f t="shared" si="3"/>
        <v/>
      </c>
      <c r="F51" s="26" t="str">
        <f t="array" ref="F51">IF(D51="","",IFERROR(INDEX(Dados_Evap!$C$2:$N$15,MATCH($B$9,Dados_Evap!$A$2:$A$15,0),C51),0))</f>
        <v/>
      </c>
      <c r="G51" s="26" t="str">
        <f t="shared" si="4"/>
        <v/>
      </c>
      <c r="H51" s="26" t="str">
        <f t="shared" si="22"/>
        <v/>
      </c>
      <c r="I51" s="26" t="str">
        <f t="array" ref="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/>
      </c>
      <c r="J51" s="26" t="str">
        <f t="shared" si="5"/>
        <v/>
      </c>
      <c r="K51" s="26" t="str">
        <f t="shared" si="6"/>
        <v/>
      </c>
      <c r="L51" s="26" t="str">
        <f t="shared" si="7"/>
        <v/>
      </c>
      <c r="M51" s="26" t="str">
        <f t="array" ref="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/>
      </c>
      <c r="N51" s="26" t="str">
        <f t="shared" si="8"/>
        <v/>
      </c>
      <c r="O51" s="26" t="str">
        <f t="shared" si="9"/>
        <v/>
      </c>
      <c r="P51" s="26" t="str">
        <f t="shared" si="10"/>
        <v/>
      </c>
      <c r="Q51" s="26" t="str">
        <f t="shared" si="11"/>
        <v/>
      </c>
      <c r="R51" s="26" t="str">
        <f t="shared" si="12"/>
        <v/>
      </c>
      <c r="S51" s="26" t="str">
        <f t="shared" si="13"/>
        <v/>
      </c>
      <c r="T51" s="26" t="str">
        <f t="shared" si="14"/>
        <v/>
      </c>
      <c r="U51" s="26" t="str">
        <f t="shared" si="15"/>
        <v/>
      </c>
      <c r="V51" s="26" t="str">
        <f t="shared" si="16"/>
        <v/>
      </c>
      <c r="W51" s="26" t="str">
        <f t="shared" si="17"/>
        <v/>
      </c>
      <c r="X51" s="26" t="str">
        <f t="shared" si="18"/>
        <v/>
      </c>
      <c r="Y51" s="26" t="str">
        <f t="shared" si="19"/>
        <v/>
      </c>
      <c r="Z51" s="31" t="str">
        <f t="shared" si="20"/>
        <v/>
      </c>
      <c r="AA51" s="31" t="str">
        <f>IF(D51="","",IF(H51&lt;=$B$16,1,IF(H51&gt;=$B$17,$B$21,MATCH(H51,Aux_CAV!$A$2:$A$121,1))))</f>
        <v/>
      </c>
      <c r="AB51" s="31" t="str">
        <f>IF(D51="","",IF(L51&lt;=$B$16,1,IF(L51&gt;=$B$17,$B$21,MATCH(L51,Aux_CAV!$A$2:$A$121,1))))</f>
        <v/>
      </c>
      <c r="AC51" s="3" t="str">
        <f t="shared" si="21"/>
        <v/>
      </c>
    </row>
    <row r="52" ht="12.75" customHeight="1">
      <c r="A52" s="25" t="str">
        <f t="shared" si="1"/>
        <v/>
      </c>
      <c r="B52" s="29" t="str">
        <f t="array" ref="B52">IF(D52="","",IFERROR(VALUE(INDEX(Vazoes_COLAR!$A$2:$A$200,INT((ROW()-24)/12)+1)),""))</f>
        <v/>
      </c>
      <c r="C52" s="29" t="str">
        <f t="shared" si="2"/>
        <v/>
      </c>
      <c r="D52" s="26" t="str">
        <f t="array" ref="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2" s="26" t="str">
        <f t="shared" si="3"/>
        <v/>
      </c>
      <c r="F52" s="26" t="str">
        <f t="array" ref="F52">IF(D52="","",IFERROR(INDEX(Dados_Evap!$C$2:$N$15,MATCH($B$9,Dados_Evap!$A$2:$A$15,0),C52),0))</f>
        <v/>
      </c>
      <c r="G52" s="26" t="str">
        <f t="shared" si="4"/>
        <v/>
      </c>
      <c r="H52" s="26" t="str">
        <f t="shared" si="22"/>
        <v/>
      </c>
      <c r="I52" s="26" t="str">
        <f t="array" ref="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/>
      </c>
      <c r="J52" s="26" t="str">
        <f t="shared" si="5"/>
        <v/>
      </c>
      <c r="K52" s="26" t="str">
        <f t="shared" si="6"/>
        <v/>
      </c>
      <c r="L52" s="26" t="str">
        <f t="shared" si="7"/>
        <v/>
      </c>
      <c r="M52" s="26" t="str">
        <f t="array" ref="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/>
      </c>
      <c r="N52" s="26" t="str">
        <f t="shared" si="8"/>
        <v/>
      </c>
      <c r="O52" s="26" t="str">
        <f t="shared" si="9"/>
        <v/>
      </c>
      <c r="P52" s="26" t="str">
        <f t="shared" si="10"/>
        <v/>
      </c>
      <c r="Q52" s="26" t="str">
        <f t="shared" si="11"/>
        <v/>
      </c>
      <c r="R52" s="26" t="str">
        <f t="shared" si="12"/>
        <v/>
      </c>
      <c r="S52" s="26" t="str">
        <f t="shared" si="13"/>
        <v/>
      </c>
      <c r="T52" s="26" t="str">
        <f t="shared" si="14"/>
        <v/>
      </c>
      <c r="U52" s="26" t="str">
        <f t="shared" si="15"/>
        <v/>
      </c>
      <c r="V52" s="26" t="str">
        <f t="shared" si="16"/>
        <v/>
      </c>
      <c r="W52" s="26" t="str">
        <f t="shared" si="17"/>
        <v/>
      </c>
      <c r="X52" s="26" t="str">
        <f t="shared" si="18"/>
        <v/>
      </c>
      <c r="Y52" s="26" t="str">
        <f t="shared" si="19"/>
        <v/>
      </c>
      <c r="Z52" s="31" t="str">
        <f t="shared" si="20"/>
        <v/>
      </c>
      <c r="AA52" s="31" t="str">
        <f>IF(D52="","",IF(H52&lt;=$B$16,1,IF(H52&gt;=$B$17,$B$21,MATCH(H52,Aux_CAV!$A$2:$A$121,1))))</f>
        <v/>
      </c>
      <c r="AB52" s="31" t="str">
        <f>IF(D52="","",IF(L52&lt;=$B$16,1,IF(L52&gt;=$B$17,$B$21,MATCH(L52,Aux_CAV!$A$2:$A$121,1))))</f>
        <v/>
      </c>
      <c r="AC52" s="3" t="str">
        <f t="shared" si="21"/>
        <v/>
      </c>
    </row>
    <row r="53" ht="12.75" customHeight="1">
      <c r="A53" s="25" t="str">
        <f t="shared" si="1"/>
        <v/>
      </c>
      <c r="B53" s="29" t="str">
        <f t="array" ref="B53">IF(D53="","",IFERROR(VALUE(INDEX(Vazoes_COLAR!$A$2:$A$200,INT((ROW()-24)/12)+1)),""))</f>
        <v/>
      </c>
      <c r="C53" s="29" t="str">
        <f t="shared" si="2"/>
        <v/>
      </c>
      <c r="D53" s="26" t="str">
        <f t="array" ref="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3" s="26" t="str">
        <f t="shared" si="3"/>
        <v/>
      </c>
      <c r="F53" s="26" t="str">
        <f t="array" ref="F53">IF(D53="","",IFERROR(INDEX(Dados_Evap!$C$2:$N$15,MATCH($B$9,Dados_Evap!$A$2:$A$15,0),C53),0))</f>
        <v/>
      </c>
      <c r="G53" s="26" t="str">
        <f t="shared" si="4"/>
        <v/>
      </c>
      <c r="H53" s="26" t="str">
        <f t="shared" si="22"/>
        <v/>
      </c>
      <c r="I53" s="26" t="str">
        <f t="array" ref="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/>
      </c>
      <c r="J53" s="26" t="str">
        <f t="shared" si="5"/>
        <v/>
      </c>
      <c r="K53" s="26" t="str">
        <f t="shared" si="6"/>
        <v/>
      </c>
      <c r="L53" s="26" t="str">
        <f t="shared" si="7"/>
        <v/>
      </c>
      <c r="M53" s="26" t="str">
        <f t="array" ref="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/>
      </c>
      <c r="N53" s="26" t="str">
        <f t="shared" si="8"/>
        <v/>
      </c>
      <c r="O53" s="26" t="str">
        <f t="shared" si="9"/>
        <v/>
      </c>
      <c r="P53" s="26" t="str">
        <f t="shared" si="10"/>
        <v/>
      </c>
      <c r="Q53" s="26" t="str">
        <f t="shared" si="11"/>
        <v/>
      </c>
      <c r="R53" s="26" t="str">
        <f t="shared" si="12"/>
        <v/>
      </c>
      <c r="S53" s="26" t="str">
        <f t="shared" si="13"/>
        <v/>
      </c>
      <c r="T53" s="26" t="str">
        <f t="shared" si="14"/>
        <v/>
      </c>
      <c r="U53" s="26" t="str">
        <f t="shared" si="15"/>
        <v/>
      </c>
      <c r="V53" s="26" t="str">
        <f t="shared" si="16"/>
        <v/>
      </c>
      <c r="W53" s="26" t="str">
        <f t="shared" si="17"/>
        <v/>
      </c>
      <c r="X53" s="26" t="str">
        <f t="shared" si="18"/>
        <v/>
      </c>
      <c r="Y53" s="26" t="str">
        <f t="shared" si="19"/>
        <v/>
      </c>
      <c r="Z53" s="31" t="str">
        <f t="shared" si="20"/>
        <v/>
      </c>
      <c r="AA53" s="31" t="str">
        <f>IF(D53="","",IF(H53&lt;=$B$16,1,IF(H53&gt;=$B$17,$B$21,MATCH(H53,Aux_CAV!$A$2:$A$121,1))))</f>
        <v/>
      </c>
      <c r="AB53" s="31" t="str">
        <f>IF(D53="","",IF(L53&lt;=$B$16,1,IF(L53&gt;=$B$17,$B$21,MATCH(L53,Aux_CAV!$A$2:$A$121,1))))</f>
        <v/>
      </c>
      <c r="AC53" s="3" t="str">
        <f t="shared" si="21"/>
        <v/>
      </c>
    </row>
    <row r="54" ht="12.75" customHeight="1">
      <c r="A54" s="25" t="str">
        <f t="shared" si="1"/>
        <v/>
      </c>
      <c r="B54" s="29" t="str">
        <f t="array" ref="B54">IF(D54="","",IFERROR(VALUE(INDEX(Vazoes_COLAR!$A$2:$A$200,INT((ROW()-24)/12)+1)),""))</f>
        <v/>
      </c>
      <c r="C54" s="29" t="str">
        <f t="shared" si="2"/>
        <v/>
      </c>
      <c r="D54" s="26" t="str">
        <f t="array" ref="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4" s="26" t="str">
        <f t="shared" si="3"/>
        <v/>
      </c>
      <c r="F54" s="26" t="str">
        <f t="array" ref="F54">IF(D54="","",IFERROR(INDEX(Dados_Evap!$C$2:$N$15,MATCH($B$9,Dados_Evap!$A$2:$A$15,0),C54),0))</f>
        <v/>
      </c>
      <c r="G54" s="26" t="str">
        <f t="shared" si="4"/>
        <v/>
      </c>
      <c r="H54" s="26" t="str">
        <f t="shared" si="22"/>
        <v/>
      </c>
      <c r="I54" s="26" t="str">
        <f t="array" ref="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/>
      </c>
      <c r="J54" s="26" t="str">
        <f t="shared" si="5"/>
        <v/>
      </c>
      <c r="K54" s="26" t="str">
        <f t="shared" si="6"/>
        <v/>
      </c>
      <c r="L54" s="26" t="str">
        <f t="shared" si="7"/>
        <v/>
      </c>
      <c r="M54" s="26" t="str">
        <f t="array" ref="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/>
      </c>
      <c r="N54" s="26" t="str">
        <f t="shared" si="8"/>
        <v/>
      </c>
      <c r="O54" s="26" t="str">
        <f t="shared" si="9"/>
        <v/>
      </c>
      <c r="P54" s="26" t="str">
        <f t="shared" si="10"/>
        <v/>
      </c>
      <c r="Q54" s="26" t="str">
        <f t="shared" si="11"/>
        <v/>
      </c>
      <c r="R54" s="26" t="str">
        <f t="shared" si="12"/>
        <v/>
      </c>
      <c r="S54" s="26" t="str">
        <f t="shared" si="13"/>
        <v/>
      </c>
      <c r="T54" s="26" t="str">
        <f t="shared" si="14"/>
        <v/>
      </c>
      <c r="U54" s="26" t="str">
        <f t="shared" si="15"/>
        <v/>
      </c>
      <c r="V54" s="26" t="str">
        <f t="shared" si="16"/>
        <v/>
      </c>
      <c r="W54" s="26" t="str">
        <f t="shared" si="17"/>
        <v/>
      </c>
      <c r="X54" s="26" t="str">
        <f t="shared" si="18"/>
        <v/>
      </c>
      <c r="Y54" s="26" t="str">
        <f t="shared" si="19"/>
        <v/>
      </c>
      <c r="Z54" s="31" t="str">
        <f t="shared" si="20"/>
        <v/>
      </c>
      <c r="AA54" s="31" t="str">
        <f>IF(D54="","",IF(H54&lt;=$B$16,1,IF(H54&gt;=$B$17,$B$21,MATCH(H54,Aux_CAV!$A$2:$A$121,1))))</f>
        <v/>
      </c>
      <c r="AB54" s="31" t="str">
        <f>IF(D54="","",IF(L54&lt;=$B$16,1,IF(L54&gt;=$B$17,$B$21,MATCH(L54,Aux_CAV!$A$2:$A$121,1))))</f>
        <v/>
      </c>
      <c r="AC54" s="3" t="str">
        <f t="shared" si="21"/>
        <v/>
      </c>
    </row>
    <row r="55" ht="12.75" customHeight="1">
      <c r="A55" s="25" t="str">
        <f t="shared" si="1"/>
        <v/>
      </c>
      <c r="B55" s="29" t="str">
        <f t="array" ref="B55">IF(D55="","",IFERROR(VALUE(INDEX(Vazoes_COLAR!$A$2:$A$200,INT((ROW()-24)/12)+1)),""))</f>
        <v/>
      </c>
      <c r="C55" s="29" t="str">
        <f t="shared" si="2"/>
        <v/>
      </c>
      <c r="D55" s="26" t="str">
        <f t="array" ref="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5" s="26" t="str">
        <f t="shared" si="3"/>
        <v/>
      </c>
      <c r="F55" s="26" t="str">
        <f t="array" ref="F55">IF(D55="","",IFERROR(INDEX(Dados_Evap!$C$2:$N$15,MATCH($B$9,Dados_Evap!$A$2:$A$15,0),C55),0))</f>
        <v/>
      </c>
      <c r="G55" s="26" t="str">
        <f t="shared" si="4"/>
        <v/>
      </c>
      <c r="H55" s="26" t="str">
        <f t="shared" si="22"/>
        <v/>
      </c>
      <c r="I55" s="26" t="str">
        <f t="array" ref="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/>
      </c>
      <c r="J55" s="26" t="str">
        <f t="shared" si="5"/>
        <v/>
      </c>
      <c r="K55" s="26" t="str">
        <f t="shared" si="6"/>
        <v/>
      </c>
      <c r="L55" s="26" t="str">
        <f t="shared" si="7"/>
        <v/>
      </c>
      <c r="M55" s="26" t="str">
        <f t="array" ref="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/>
      </c>
      <c r="N55" s="26" t="str">
        <f t="shared" si="8"/>
        <v/>
      </c>
      <c r="O55" s="26" t="str">
        <f t="shared" si="9"/>
        <v/>
      </c>
      <c r="P55" s="26" t="str">
        <f t="shared" si="10"/>
        <v/>
      </c>
      <c r="Q55" s="26" t="str">
        <f t="shared" si="11"/>
        <v/>
      </c>
      <c r="R55" s="26" t="str">
        <f t="shared" si="12"/>
        <v/>
      </c>
      <c r="S55" s="26" t="str">
        <f t="shared" si="13"/>
        <v/>
      </c>
      <c r="T55" s="26" t="str">
        <f t="shared" si="14"/>
        <v/>
      </c>
      <c r="U55" s="26" t="str">
        <f t="shared" si="15"/>
        <v/>
      </c>
      <c r="V55" s="26" t="str">
        <f t="shared" si="16"/>
        <v/>
      </c>
      <c r="W55" s="26" t="str">
        <f t="shared" si="17"/>
        <v/>
      </c>
      <c r="X55" s="26" t="str">
        <f t="shared" si="18"/>
        <v/>
      </c>
      <c r="Y55" s="26" t="str">
        <f t="shared" si="19"/>
        <v/>
      </c>
      <c r="Z55" s="31" t="str">
        <f t="shared" si="20"/>
        <v/>
      </c>
      <c r="AA55" s="31" t="str">
        <f>IF(D55="","",IF(H55&lt;=$B$16,1,IF(H55&gt;=$B$17,$B$21,MATCH(H55,Aux_CAV!$A$2:$A$121,1))))</f>
        <v/>
      </c>
      <c r="AB55" s="31" t="str">
        <f>IF(D55="","",IF(L55&lt;=$B$16,1,IF(L55&gt;=$B$17,$B$21,MATCH(L55,Aux_CAV!$A$2:$A$121,1))))</f>
        <v/>
      </c>
      <c r="AC55" s="3" t="str">
        <f t="shared" si="21"/>
        <v/>
      </c>
    </row>
    <row r="56" ht="12.75" customHeight="1">
      <c r="A56" s="25" t="str">
        <f t="shared" si="1"/>
        <v/>
      </c>
      <c r="B56" s="29" t="str">
        <f t="array" ref="B56">IF(D56="","",IFERROR(VALUE(INDEX(Vazoes_COLAR!$A$2:$A$200,INT((ROW()-24)/12)+1)),""))</f>
        <v/>
      </c>
      <c r="C56" s="29" t="str">
        <f t="shared" si="2"/>
        <v/>
      </c>
      <c r="D56" s="26" t="str">
        <f t="array" ref="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6" s="26" t="str">
        <f t="shared" si="3"/>
        <v/>
      </c>
      <c r="F56" s="26" t="str">
        <f t="array" ref="F56">IF(D56="","",IFERROR(INDEX(Dados_Evap!$C$2:$N$15,MATCH($B$9,Dados_Evap!$A$2:$A$15,0),C56),0))</f>
        <v/>
      </c>
      <c r="G56" s="26" t="str">
        <f t="shared" si="4"/>
        <v/>
      </c>
      <c r="H56" s="26" t="str">
        <f t="shared" si="22"/>
        <v/>
      </c>
      <c r="I56" s="26" t="str">
        <f t="array" ref="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/>
      </c>
      <c r="J56" s="26" t="str">
        <f t="shared" si="5"/>
        <v/>
      </c>
      <c r="K56" s="26" t="str">
        <f t="shared" si="6"/>
        <v/>
      </c>
      <c r="L56" s="26" t="str">
        <f t="shared" si="7"/>
        <v/>
      </c>
      <c r="M56" s="26" t="str">
        <f t="array" ref="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/>
      </c>
      <c r="N56" s="26" t="str">
        <f t="shared" si="8"/>
        <v/>
      </c>
      <c r="O56" s="26" t="str">
        <f t="shared" si="9"/>
        <v/>
      </c>
      <c r="P56" s="26" t="str">
        <f t="shared" si="10"/>
        <v/>
      </c>
      <c r="Q56" s="26" t="str">
        <f t="shared" si="11"/>
        <v/>
      </c>
      <c r="R56" s="26" t="str">
        <f t="shared" si="12"/>
        <v/>
      </c>
      <c r="S56" s="26" t="str">
        <f t="shared" si="13"/>
        <v/>
      </c>
      <c r="T56" s="26" t="str">
        <f t="shared" si="14"/>
        <v/>
      </c>
      <c r="U56" s="26" t="str">
        <f t="shared" si="15"/>
        <v/>
      </c>
      <c r="V56" s="26" t="str">
        <f t="shared" si="16"/>
        <v/>
      </c>
      <c r="W56" s="26" t="str">
        <f t="shared" si="17"/>
        <v/>
      </c>
      <c r="X56" s="26" t="str">
        <f t="shared" si="18"/>
        <v/>
      </c>
      <c r="Y56" s="26" t="str">
        <f t="shared" si="19"/>
        <v/>
      </c>
      <c r="Z56" s="31" t="str">
        <f t="shared" si="20"/>
        <v/>
      </c>
      <c r="AA56" s="31" t="str">
        <f>IF(D56="","",IF(H56&lt;=$B$16,1,IF(H56&gt;=$B$17,$B$21,MATCH(H56,Aux_CAV!$A$2:$A$121,1))))</f>
        <v/>
      </c>
      <c r="AB56" s="31" t="str">
        <f>IF(D56="","",IF(L56&lt;=$B$16,1,IF(L56&gt;=$B$17,$B$21,MATCH(L56,Aux_CAV!$A$2:$A$121,1))))</f>
        <v/>
      </c>
      <c r="AC56" s="3" t="str">
        <f t="shared" si="21"/>
        <v/>
      </c>
    </row>
    <row r="57" ht="12.75" customHeight="1">
      <c r="A57" s="25" t="str">
        <f t="shared" si="1"/>
        <v/>
      </c>
      <c r="B57" s="29" t="str">
        <f t="array" ref="B57">IF(D57="","",IFERROR(VALUE(INDEX(Vazoes_COLAR!$A$2:$A$200,INT((ROW()-24)/12)+1)),""))</f>
        <v/>
      </c>
      <c r="C57" s="29" t="str">
        <f t="shared" si="2"/>
        <v/>
      </c>
      <c r="D57" s="26" t="str">
        <f t="array" ref="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7" s="26" t="str">
        <f t="shared" si="3"/>
        <v/>
      </c>
      <c r="F57" s="26" t="str">
        <f t="array" ref="F57">IF(D57="","",IFERROR(INDEX(Dados_Evap!$C$2:$N$15,MATCH($B$9,Dados_Evap!$A$2:$A$15,0),C57),0))</f>
        <v/>
      </c>
      <c r="G57" s="26" t="str">
        <f t="shared" si="4"/>
        <v/>
      </c>
      <c r="H57" s="26" t="str">
        <f t="shared" si="22"/>
        <v/>
      </c>
      <c r="I57" s="26" t="str">
        <f t="array" ref="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/>
      </c>
      <c r="J57" s="26" t="str">
        <f t="shared" si="5"/>
        <v/>
      </c>
      <c r="K57" s="26" t="str">
        <f t="shared" si="6"/>
        <v/>
      </c>
      <c r="L57" s="26" t="str">
        <f t="shared" si="7"/>
        <v/>
      </c>
      <c r="M57" s="26" t="str">
        <f t="array" ref="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/>
      </c>
      <c r="N57" s="26" t="str">
        <f t="shared" si="8"/>
        <v/>
      </c>
      <c r="O57" s="26" t="str">
        <f t="shared" si="9"/>
        <v/>
      </c>
      <c r="P57" s="26" t="str">
        <f t="shared" si="10"/>
        <v/>
      </c>
      <c r="Q57" s="26" t="str">
        <f t="shared" si="11"/>
        <v/>
      </c>
      <c r="R57" s="26" t="str">
        <f t="shared" si="12"/>
        <v/>
      </c>
      <c r="S57" s="26" t="str">
        <f t="shared" si="13"/>
        <v/>
      </c>
      <c r="T57" s="26" t="str">
        <f t="shared" si="14"/>
        <v/>
      </c>
      <c r="U57" s="26" t="str">
        <f t="shared" si="15"/>
        <v/>
      </c>
      <c r="V57" s="26" t="str">
        <f t="shared" si="16"/>
        <v/>
      </c>
      <c r="W57" s="26" t="str">
        <f t="shared" si="17"/>
        <v/>
      </c>
      <c r="X57" s="26" t="str">
        <f t="shared" si="18"/>
        <v/>
      </c>
      <c r="Y57" s="26" t="str">
        <f t="shared" si="19"/>
        <v/>
      </c>
      <c r="Z57" s="31" t="str">
        <f t="shared" si="20"/>
        <v/>
      </c>
      <c r="AA57" s="31" t="str">
        <f>IF(D57="","",IF(H57&lt;=$B$16,1,IF(H57&gt;=$B$17,$B$21,MATCH(H57,Aux_CAV!$A$2:$A$121,1))))</f>
        <v/>
      </c>
      <c r="AB57" s="31" t="str">
        <f>IF(D57="","",IF(L57&lt;=$B$16,1,IF(L57&gt;=$B$17,$B$21,MATCH(L57,Aux_CAV!$A$2:$A$121,1))))</f>
        <v/>
      </c>
      <c r="AC57" s="3" t="str">
        <f t="shared" si="21"/>
        <v/>
      </c>
    </row>
    <row r="58" ht="12.75" customHeight="1">
      <c r="A58" s="25" t="str">
        <f t="shared" si="1"/>
        <v/>
      </c>
      <c r="B58" s="29" t="str">
        <f t="array" ref="B58">IF(D58="","",IFERROR(VALUE(INDEX(Vazoes_COLAR!$A$2:$A$200,INT((ROW()-24)/12)+1)),""))</f>
        <v/>
      </c>
      <c r="C58" s="29" t="str">
        <f t="shared" si="2"/>
        <v/>
      </c>
      <c r="D58" s="26" t="str">
        <f t="array" ref="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8" s="26" t="str">
        <f t="shared" si="3"/>
        <v/>
      </c>
      <c r="F58" s="26" t="str">
        <f t="array" ref="F58">IF(D58="","",IFERROR(INDEX(Dados_Evap!$C$2:$N$15,MATCH($B$9,Dados_Evap!$A$2:$A$15,0),C58),0))</f>
        <v/>
      </c>
      <c r="G58" s="26" t="str">
        <f t="shared" si="4"/>
        <v/>
      </c>
      <c r="H58" s="26" t="str">
        <f t="shared" si="22"/>
        <v/>
      </c>
      <c r="I58" s="26" t="str">
        <f t="array" ref="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/>
      </c>
      <c r="J58" s="26" t="str">
        <f t="shared" si="5"/>
        <v/>
      </c>
      <c r="K58" s="26" t="str">
        <f t="shared" si="6"/>
        <v/>
      </c>
      <c r="L58" s="26" t="str">
        <f t="shared" si="7"/>
        <v/>
      </c>
      <c r="M58" s="26" t="str">
        <f t="array" ref="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/>
      </c>
      <c r="N58" s="26" t="str">
        <f t="shared" si="8"/>
        <v/>
      </c>
      <c r="O58" s="26" t="str">
        <f t="shared" si="9"/>
        <v/>
      </c>
      <c r="P58" s="26" t="str">
        <f t="shared" si="10"/>
        <v/>
      </c>
      <c r="Q58" s="26" t="str">
        <f t="shared" si="11"/>
        <v/>
      </c>
      <c r="R58" s="26" t="str">
        <f t="shared" si="12"/>
        <v/>
      </c>
      <c r="S58" s="26" t="str">
        <f t="shared" si="13"/>
        <v/>
      </c>
      <c r="T58" s="26" t="str">
        <f t="shared" si="14"/>
        <v/>
      </c>
      <c r="U58" s="26" t="str">
        <f t="shared" si="15"/>
        <v/>
      </c>
      <c r="V58" s="26" t="str">
        <f t="shared" si="16"/>
        <v/>
      </c>
      <c r="W58" s="26" t="str">
        <f t="shared" si="17"/>
        <v/>
      </c>
      <c r="X58" s="26" t="str">
        <f t="shared" si="18"/>
        <v/>
      </c>
      <c r="Y58" s="26" t="str">
        <f t="shared" si="19"/>
        <v/>
      </c>
      <c r="Z58" s="31" t="str">
        <f t="shared" si="20"/>
        <v/>
      </c>
      <c r="AA58" s="31" t="str">
        <f>IF(D58="","",IF(H58&lt;=$B$16,1,IF(H58&gt;=$B$17,$B$21,MATCH(H58,Aux_CAV!$A$2:$A$121,1))))</f>
        <v/>
      </c>
      <c r="AB58" s="31" t="str">
        <f>IF(D58="","",IF(L58&lt;=$B$16,1,IF(L58&gt;=$B$17,$B$21,MATCH(L58,Aux_CAV!$A$2:$A$121,1))))</f>
        <v/>
      </c>
      <c r="AC58" s="3" t="str">
        <f t="shared" si="21"/>
        <v/>
      </c>
    </row>
    <row r="59" ht="12.75" customHeight="1">
      <c r="A59" s="25" t="str">
        <f t="shared" si="1"/>
        <v/>
      </c>
      <c r="B59" s="29" t="str">
        <f t="array" ref="B59">IF(D59="","",IFERROR(VALUE(INDEX(Vazoes_COLAR!$A$2:$A$200,INT((ROW()-24)/12)+1)),""))</f>
        <v/>
      </c>
      <c r="C59" s="29" t="str">
        <f t="shared" si="2"/>
        <v/>
      </c>
      <c r="D59" s="26" t="str">
        <f t="array" ref="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9" s="26" t="str">
        <f t="shared" si="3"/>
        <v/>
      </c>
      <c r="F59" s="26" t="str">
        <f t="array" ref="F59">IF(D59="","",IFERROR(INDEX(Dados_Evap!$C$2:$N$15,MATCH($B$9,Dados_Evap!$A$2:$A$15,0),C59),0))</f>
        <v/>
      </c>
      <c r="G59" s="26" t="str">
        <f t="shared" si="4"/>
        <v/>
      </c>
      <c r="H59" s="26" t="str">
        <f t="shared" si="22"/>
        <v/>
      </c>
      <c r="I59" s="26" t="str">
        <f t="array" ref="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/>
      </c>
      <c r="J59" s="26" t="str">
        <f t="shared" si="5"/>
        <v/>
      </c>
      <c r="K59" s="26" t="str">
        <f t="shared" si="6"/>
        <v/>
      </c>
      <c r="L59" s="26" t="str">
        <f t="shared" si="7"/>
        <v/>
      </c>
      <c r="M59" s="26" t="str">
        <f t="array" ref="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/>
      </c>
      <c r="N59" s="26" t="str">
        <f t="shared" si="8"/>
        <v/>
      </c>
      <c r="O59" s="26" t="str">
        <f t="shared" si="9"/>
        <v/>
      </c>
      <c r="P59" s="26" t="str">
        <f t="shared" si="10"/>
        <v/>
      </c>
      <c r="Q59" s="26" t="str">
        <f t="shared" si="11"/>
        <v/>
      </c>
      <c r="R59" s="26" t="str">
        <f t="shared" si="12"/>
        <v/>
      </c>
      <c r="S59" s="26" t="str">
        <f t="shared" si="13"/>
        <v/>
      </c>
      <c r="T59" s="26" t="str">
        <f t="shared" si="14"/>
        <v/>
      </c>
      <c r="U59" s="26" t="str">
        <f t="shared" si="15"/>
        <v/>
      </c>
      <c r="V59" s="26" t="str">
        <f t="shared" si="16"/>
        <v/>
      </c>
      <c r="W59" s="26" t="str">
        <f t="shared" si="17"/>
        <v/>
      </c>
      <c r="X59" s="26" t="str">
        <f t="shared" si="18"/>
        <v/>
      </c>
      <c r="Y59" s="26" t="str">
        <f t="shared" si="19"/>
        <v/>
      </c>
      <c r="Z59" s="31" t="str">
        <f t="shared" si="20"/>
        <v/>
      </c>
      <c r="AA59" s="31" t="str">
        <f>IF(D59="","",IF(H59&lt;=$B$16,1,IF(H59&gt;=$B$17,$B$21,MATCH(H59,Aux_CAV!$A$2:$A$121,1))))</f>
        <v/>
      </c>
      <c r="AB59" s="31" t="str">
        <f>IF(D59="","",IF(L59&lt;=$B$16,1,IF(L59&gt;=$B$17,$B$21,MATCH(L59,Aux_CAV!$A$2:$A$121,1))))</f>
        <v/>
      </c>
      <c r="AC59" s="3" t="str">
        <f t="shared" si="21"/>
        <v/>
      </c>
    </row>
    <row r="60" ht="12.75" customHeight="1">
      <c r="A60" s="25" t="str">
        <f t="shared" si="1"/>
        <v/>
      </c>
      <c r="B60" s="29" t="str">
        <f t="array" ref="B60">IF(D60="","",IFERROR(VALUE(INDEX(Vazoes_COLAR!$A$2:$A$200,INT((ROW()-24)/12)+1)),""))</f>
        <v/>
      </c>
      <c r="C60" s="29" t="str">
        <f t="shared" si="2"/>
        <v/>
      </c>
      <c r="D60" s="26" t="str">
        <f t="array" ref="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0" s="26" t="str">
        <f t="shared" si="3"/>
        <v/>
      </c>
      <c r="F60" s="26" t="str">
        <f t="array" ref="F60">IF(D60="","",IFERROR(INDEX(Dados_Evap!$C$2:$N$15,MATCH($B$9,Dados_Evap!$A$2:$A$15,0),C60),0))</f>
        <v/>
      </c>
      <c r="G60" s="26" t="str">
        <f t="shared" si="4"/>
        <v/>
      </c>
      <c r="H60" s="26" t="str">
        <f t="shared" si="22"/>
        <v/>
      </c>
      <c r="I60" s="26" t="str">
        <f t="array" ref="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/>
      </c>
      <c r="J60" s="26" t="str">
        <f t="shared" si="5"/>
        <v/>
      </c>
      <c r="K60" s="26" t="str">
        <f t="shared" si="6"/>
        <v/>
      </c>
      <c r="L60" s="26" t="str">
        <f t="shared" si="7"/>
        <v/>
      </c>
      <c r="M60" s="26" t="str">
        <f t="array" ref="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/>
      </c>
      <c r="N60" s="26" t="str">
        <f t="shared" si="8"/>
        <v/>
      </c>
      <c r="O60" s="26" t="str">
        <f t="shared" si="9"/>
        <v/>
      </c>
      <c r="P60" s="26" t="str">
        <f t="shared" si="10"/>
        <v/>
      </c>
      <c r="Q60" s="26" t="str">
        <f t="shared" si="11"/>
        <v/>
      </c>
      <c r="R60" s="26" t="str">
        <f t="shared" si="12"/>
        <v/>
      </c>
      <c r="S60" s="26" t="str">
        <f t="shared" si="13"/>
        <v/>
      </c>
      <c r="T60" s="26" t="str">
        <f t="shared" si="14"/>
        <v/>
      </c>
      <c r="U60" s="26" t="str">
        <f t="shared" si="15"/>
        <v/>
      </c>
      <c r="V60" s="26" t="str">
        <f t="shared" si="16"/>
        <v/>
      </c>
      <c r="W60" s="26" t="str">
        <f t="shared" si="17"/>
        <v/>
      </c>
      <c r="X60" s="26" t="str">
        <f t="shared" si="18"/>
        <v/>
      </c>
      <c r="Y60" s="26" t="str">
        <f t="shared" si="19"/>
        <v/>
      </c>
      <c r="Z60" s="31" t="str">
        <f t="shared" si="20"/>
        <v/>
      </c>
      <c r="AA60" s="31" t="str">
        <f>IF(D60="","",IF(H60&lt;=$B$16,1,IF(H60&gt;=$B$17,$B$21,MATCH(H60,Aux_CAV!$A$2:$A$121,1))))</f>
        <v/>
      </c>
      <c r="AB60" s="31" t="str">
        <f>IF(D60="","",IF(L60&lt;=$B$16,1,IF(L60&gt;=$B$17,$B$21,MATCH(L60,Aux_CAV!$A$2:$A$121,1))))</f>
        <v/>
      </c>
      <c r="AC60" s="3" t="str">
        <f t="shared" si="21"/>
        <v/>
      </c>
    </row>
    <row r="61" ht="12.75" customHeight="1">
      <c r="A61" s="25" t="str">
        <f t="shared" si="1"/>
        <v/>
      </c>
      <c r="B61" s="29" t="str">
        <f t="array" ref="B61">IF(D61="","",IFERROR(VALUE(INDEX(Vazoes_COLAR!$A$2:$A$200,INT((ROW()-24)/12)+1)),""))</f>
        <v/>
      </c>
      <c r="C61" s="29" t="str">
        <f t="shared" si="2"/>
        <v/>
      </c>
      <c r="D61" s="26" t="str">
        <f t="array" ref="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1" s="26" t="str">
        <f t="shared" si="3"/>
        <v/>
      </c>
      <c r="F61" s="26" t="str">
        <f t="array" ref="F61">IF(D61="","",IFERROR(INDEX(Dados_Evap!$C$2:$N$15,MATCH($B$9,Dados_Evap!$A$2:$A$15,0),C61),0))</f>
        <v/>
      </c>
      <c r="G61" s="26" t="str">
        <f t="shared" si="4"/>
        <v/>
      </c>
      <c r="H61" s="26" t="str">
        <f t="shared" si="22"/>
        <v/>
      </c>
      <c r="I61" s="26" t="str">
        <f t="array" ref="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/>
      </c>
      <c r="J61" s="26" t="str">
        <f t="shared" si="5"/>
        <v/>
      </c>
      <c r="K61" s="26" t="str">
        <f t="shared" si="6"/>
        <v/>
      </c>
      <c r="L61" s="26" t="str">
        <f t="shared" si="7"/>
        <v/>
      </c>
      <c r="M61" s="26" t="str">
        <f t="array" ref="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/>
      </c>
      <c r="N61" s="26" t="str">
        <f t="shared" si="8"/>
        <v/>
      </c>
      <c r="O61" s="26" t="str">
        <f t="shared" si="9"/>
        <v/>
      </c>
      <c r="P61" s="26" t="str">
        <f t="shared" si="10"/>
        <v/>
      </c>
      <c r="Q61" s="26" t="str">
        <f t="shared" si="11"/>
        <v/>
      </c>
      <c r="R61" s="26" t="str">
        <f t="shared" si="12"/>
        <v/>
      </c>
      <c r="S61" s="26" t="str">
        <f t="shared" si="13"/>
        <v/>
      </c>
      <c r="T61" s="26" t="str">
        <f t="shared" si="14"/>
        <v/>
      </c>
      <c r="U61" s="26" t="str">
        <f t="shared" si="15"/>
        <v/>
      </c>
      <c r="V61" s="26" t="str">
        <f t="shared" si="16"/>
        <v/>
      </c>
      <c r="W61" s="26" t="str">
        <f t="shared" si="17"/>
        <v/>
      </c>
      <c r="X61" s="26" t="str">
        <f t="shared" si="18"/>
        <v/>
      </c>
      <c r="Y61" s="26" t="str">
        <f t="shared" si="19"/>
        <v/>
      </c>
      <c r="Z61" s="31" t="str">
        <f t="shared" si="20"/>
        <v/>
      </c>
      <c r="AA61" s="31" t="str">
        <f>IF(D61="","",IF(H61&lt;=$B$16,1,IF(H61&gt;=$B$17,$B$21,MATCH(H61,Aux_CAV!$A$2:$A$121,1))))</f>
        <v/>
      </c>
      <c r="AB61" s="31" t="str">
        <f>IF(D61="","",IF(L61&lt;=$B$16,1,IF(L61&gt;=$B$17,$B$21,MATCH(L61,Aux_CAV!$A$2:$A$121,1))))</f>
        <v/>
      </c>
      <c r="AC61" s="3" t="str">
        <f t="shared" si="21"/>
        <v/>
      </c>
    </row>
    <row r="62" ht="12.75" customHeight="1">
      <c r="A62" s="25" t="str">
        <f t="shared" si="1"/>
        <v/>
      </c>
      <c r="B62" s="29" t="str">
        <f t="array" ref="B62">IF(D62="","",IFERROR(VALUE(INDEX(Vazoes_COLAR!$A$2:$A$200,INT((ROW()-24)/12)+1)),""))</f>
        <v/>
      </c>
      <c r="C62" s="29" t="str">
        <f t="shared" si="2"/>
        <v/>
      </c>
      <c r="D62" s="26" t="str">
        <f t="array" ref="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2" s="26" t="str">
        <f t="shared" si="3"/>
        <v/>
      </c>
      <c r="F62" s="26" t="str">
        <f t="array" ref="F62">IF(D62="","",IFERROR(INDEX(Dados_Evap!$C$2:$N$15,MATCH($B$9,Dados_Evap!$A$2:$A$15,0),C62),0))</f>
        <v/>
      </c>
      <c r="G62" s="26" t="str">
        <f t="shared" si="4"/>
        <v/>
      </c>
      <c r="H62" s="26" t="str">
        <f t="shared" si="22"/>
        <v/>
      </c>
      <c r="I62" s="26" t="str">
        <f t="array" ref="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/>
      </c>
      <c r="J62" s="26" t="str">
        <f t="shared" si="5"/>
        <v/>
      </c>
      <c r="K62" s="26" t="str">
        <f t="shared" si="6"/>
        <v/>
      </c>
      <c r="L62" s="26" t="str">
        <f t="shared" si="7"/>
        <v/>
      </c>
      <c r="M62" s="26" t="str">
        <f t="array" ref="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/>
      </c>
      <c r="N62" s="26" t="str">
        <f t="shared" si="8"/>
        <v/>
      </c>
      <c r="O62" s="26" t="str">
        <f t="shared" si="9"/>
        <v/>
      </c>
      <c r="P62" s="26" t="str">
        <f t="shared" si="10"/>
        <v/>
      </c>
      <c r="Q62" s="26" t="str">
        <f t="shared" si="11"/>
        <v/>
      </c>
      <c r="R62" s="26" t="str">
        <f t="shared" si="12"/>
        <v/>
      </c>
      <c r="S62" s="26" t="str">
        <f t="shared" si="13"/>
        <v/>
      </c>
      <c r="T62" s="26" t="str">
        <f t="shared" si="14"/>
        <v/>
      </c>
      <c r="U62" s="26" t="str">
        <f t="shared" si="15"/>
        <v/>
      </c>
      <c r="V62" s="26" t="str">
        <f t="shared" si="16"/>
        <v/>
      </c>
      <c r="W62" s="26" t="str">
        <f t="shared" si="17"/>
        <v/>
      </c>
      <c r="X62" s="26" t="str">
        <f t="shared" si="18"/>
        <v/>
      </c>
      <c r="Y62" s="26" t="str">
        <f t="shared" si="19"/>
        <v/>
      </c>
      <c r="Z62" s="31" t="str">
        <f t="shared" si="20"/>
        <v/>
      </c>
      <c r="AA62" s="31" t="str">
        <f>IF(D62="","",IF(H62&lt;=$B$16,1,IF(H62&gt;=$B$17,$B$21,MATCH(H62,Aux_CAV!$A$2:$A$121,1))))</f>
        <v/>
      </c>
      <c r="AB62" s="31" t="str">
        <f>IF(D62="","",IF(L62&lt;=$B$16,1,IF(L62&gt;=$B$17,$B$21,MATCH(L62,Aux_CAV!$A$2:$A$121,1))))</f>
        <v/>
      </c>
      <c r="AC62" s="3" t="str">
        <f t="shared" si="21"/>
        <v/>
      </c>
    </row>
    <row r="63" ht="12.75" customHeight="1">
      <c r="A63" s="25" t="str">
        <f t="shared" si="1"/>
        <v/>
      </c>
      <c r="B63" s="29" t="str">
        <f t="array" ref="B63">IF(D63="","",IFERROR(VALUE(INDEX(Vazoes_COLAR!$A$2:$A$200,INT((ROW()-24)/12)+1)),""))</f>
        <v/>
      </c>
      <c r="C63" s="29" t="str">
        <f t="shared" si="2"/>
        <v/>
      </c>
      <c r="D63" s="26" t="str">
        <f t="array" ref="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3" s="26" t="str">
        <f t="shared" si="3"/>
        <v/>
      </c>
      <c r="F63" s="26" t="str">
        <f t="array" ref="F63">IF(D63="","",IFERROR(INDEX(Dados_Evap!$C$2:$N$15,MATCH($B$9,Dados_Evap!$A$2:$A$15,0),C63),0))</f>
        <v/>
      </c>
      <c r="G63" s="26" t="str">
        <f t="shared" si="4"/>
        <v/>
      </c>
      <c r="H63" s="26" t="str">
        <f t="shared" si="22"/>
        <v/>
      </c>
      <c r="I63" s="26" t="str">
        <f t="array" ref="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/>
      </c>
      <c r="J63" s="26" t="str">
        <f t="shared" si="5"/>
        <v/>
      </c>
      <c r="K63" s="26" t="str">
        <f t="shared" si="6"/>
        <v/>
      </c>
      <c r="L63" s="26" t="str">
        <f t="shared" si="7"/>
        <v/>
      </c>
      <c r="M63" s="26" t="str">
        <f t="array" ref="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/>
      </c>
      <c r="N63" s="26" t="str">
        <f t="shared" si="8"/>
        <v/>
      </c>
      <c r="O63" s="26" t="str">
        <f t="shared" si="9"/>
        <v/>
      </c>
      <c r="P63" s="26" t="str">
        <f t="shared" si="10"/>
        <v/>
      </c>
      <c r="Q63" s="26" t="str">
        <f t="shared" si="11"/>
        <v/>
      </c>
      <c r="R63" s="26" t="str">
        <f t="shared" si="12"/>
        <v/>
      </c>
      <c r="S63" s="26" t="str">
        <f t="shared" si="13"/>
        <v/>
      </c>
      <c r="T63" s="26" t="str">
        <f t="shared" si="14"/>
        <v/>
      </c>
      <c r="U63" s="26" t="str">
        <f t="shared" si="15"/>
        <v/>
      </c>
      <c r="V63" s="26" t="str">
        <f t="shared" si="16"/>
        <v/>
      </c>
      <c r="W63" s="26" t="str">
        <f t="shared" si="17"/>
        <v/>
      </c>
      <c r="X63" s="26" t="str">
        <f t="shared" si="18"/>
        <v/>
      </c>
      <c r="Y63" s="26" t="str">
        <f t="shared" si="19"/>
        <v/>
      </c>
      <c r="Z63" s="31" t="str">
        <f t="shared" si="20"/>
        <v/>
      </c>
      <c r="AA63" s="31" t="str">
        <f>IF(D63="","",IF(H63&lt;=$B$16,1,IF(H63&gt;=$B$17,$B$21,MATCH(H63,Aux_CAV!$A$2:$A$121,1))))</f>
        <v/>
      </c>
      <c r="AB63" s="31" t="str">
        <f>IF(D63="","",IF(L63&lt;=$B$16,1,IF(L63&gt;=$B$17,$B$21,MATCH(L63,Aux_CAV!$A$2:$A$121,1))))</f>
        <v/>
      </c>
      <c r="AC63" s="3" t="str">
        <f t="shared" si="21"/>
        <v/>
      </c>
    </row>
    <row r="64" ht="12.75" customHeight="1">
      <c r="A64" s="25" t="str">
        <f t="shared" si="1"/>
        <v/>
      </c>
      <c r="B64" s="29" t="str">
        <f t="array" ref="B64">IF(D64="","",IFERROR(VALUE(INDEX(Vazoes_COLAR!$A$2:$A$200,INT((ROW()-24)/12)+1)),""))</f>
        <v/>
      </c>
      <c r="C64" s="29" t="str">
        <f t="shared" si="2"/>
        <v/>
      </c>
      <c r="D64" s="26" t="str">
        <f t="array" ref="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4" s="26" t="str">
        <f t="shared" si="3"/>
        <v/>
      </c>
      <c r="F64" s="26" t="str">
        <f t="array" ref="F64">IF(D64="","",IFERROR(INDEX(Dados_Evap!$C$2:$N$15,MATCH($B$9,Dados_Evap!$A$2:$A$15,0),C64),0))</f>
        <v/>
      </c>
      <c r="G64" s="26" t="str">
        <f t="shared" si="4"/>
        <v/>
      </c>
      <c r="H64" s="26" t="str">
        <f t="shared" si="22"/>
        <v/>
      </c>
      <c r="I64" s="26" t="str">
        <f t="array" ref="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/>
      </c>
      <c r="J64" s="26" t="str">
        <f t="shared" si="5"/>
        <v/>
      </c>
      <c r="K64" s="26" t="str">
        <f t="shared" si="6"/>
        <v/>
      </c>
      <c r="L64" s="26" t="str">
        <f t="shared" si="7"/>
        <v/>
      </c>
      <c r="M64" s="26" t="str">
        <f t="array" ref="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/>
      </c>
      <c r="N64" s="26" t="str">
        <f t="shared" si="8"/>
        <v/>
      </c>
      <c r="O64" s="26" t="str">
        <f t="shared" si="9"/>
        <v/>
      </c>
      <c r="P64" s="26" t="str">
        <f t="shared" si="10"/>
        <v/>
      </c>
      <c r="Q64" s="26" t="str">
        <f t="shared" si="11"/>
        <v/>
      </c>
      <c r="R64" s="26" t="str">
        <f t="shared" si="12"/>
        <v/>
      </c>
      <c r="S64" s="26" t="str">
        <f t="shared" si="13"/>
        <v/>
      </c>
      <c r="T64" s="26" t="str">
        <f t="shared" si="14"/>
        <v/>
      </c>
      <c r="U64" s="26" t="str">
        <f t="shared" si="15"/>
        <v/>
      </c>
      <c r="V64" s="26" t="str">
        <f t="shared" si="16"/>
        <v/>
      </c>
      <c r="W64" s="26" t="str">
        <f t="shared" si="17"/>
        <v/>
      </c>
      <c r="X64" s="26" t="str">
        <f t="shared" si="18"/>
        <v/>
      </c>
      <c r="Y64" s="26" t="str">
        <f t="shared" si="19"/>
        <v/>
      </c>
      <c r="Z64" s="31" t="str">
        <f t="shared" si="20"/>
        <v/>
      </c>
      <c r="AA64" s="31" t="str">
        <f>IF(D64="","",IF(H64&lt;=$B$16,1,IF(H64&gt;=$B$17,$B$21,MATCH(H64,Aux_CAV!$A$2:$A$121,1))))</f>
        <v/>
      </c>
      <c r="AB64" s="31" t="str">
        <f>IF(D64="","",IF(L64&lt;=$B$16,1,IF(L64&gt;=$B$17,$B$21,MATCH(L64,Aux_CAV!$A$2:$A$121,1))))</f>
        <v/>
      </c>
      <c r="AC64" s="3" t="str">
        <f t="shared" si="21"/>
        <v/>
      </c>
    </row>
    <row r="65" ht="12.75" customHeight="1">
      <c r="A65" s="25" t="str">
        <f t="shared" si="1"/>
        <v/>
      </c>
      <c r="B65" s="29" t="str">
        <f t="array" ref="B65">IF(D65="","",IFERROR(VALUE(INDEX(Vazoes_COLAR!$A$2:$A$200,INT((ROW()-24)/12)+1)),""))</f>
        <v/>
      </c>
      <c r="C65" s="29" t="str">
        <f t="shared" si="2"/>
        <v/>
      </c>
      <c r="D65" s="26" t="str">
        <f t="array" ref="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5" s="26" t="str">
        <f t="shared" si="3"/>
        <v/>
      </c>
      <c r="F65" s="26" t="str">
        <f t="array" ref="F65">IF(D65="","",IFERROR(INDEX(Dados_Evap!$C$2:$N$15,MATCH($B$9,Dados_Evap!$A$2:$A$15,0),C65),0))</f>
        <v/>
      </c>
      <c r="G65" s="26" t="str">
        <f t="shared" si="4"/>
        <v/>
      </c>
      <c r="H65" s="26" t="str">
        <f t="shared" si="22"/>
        <v/>
      </c>
      <c r="I65" s="26" t="str">
        <f t="array" ref="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/>
      </c>
      <c r="J65" s="26" t="str">
        <f t="shared" si="5"/>
        <v/>
      </c>
      <c r="K65" s="26" t="str">
        <f t="shared" si="6"/>
        <v/>
      </c>
      <c r="L65" s="26" t="str">
        <f t="shared" si="7"/>
        <v/>
      </c>
      <c r="M65" s="26" t="str">
        <f t="array" ref="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/>
      </c>
      <c r="N65" s="26" t="str">
        <f t="shared" si="8"/>
        <v/>
      </c>
      <c r="O65" s="26" t="str">
        <f t="shared" si="9"/>
        <v/>
      </c>
      <c r="P65" s="26" t="str">
        <f t="shared" si="10"/>
        <v/>
      </c>
      <c r="Q65" s="26" t="str">
        <f t="shared" si="11"/>
        <v/>
      </c>
      <c r="R65" s="26" t="str">
        <f t="shared" si="12"/>
        <v/>
      </c>
      <c r="S65" s="26" t="str">
        <f t="shared" si="13"/>
        <v/>
      </c>
      <c r="T65" s="26" t="str">
        <f t="shared" si="14"/>
        <v/>
      </c>
      <c r="U65" s="26" t="str">
        <f t="shared" si="15"/>
        <v/>
      </c>
      <c r="V65" s="26" t="str">
        <f t="shared" si="16"/>
        <v/>
      </c>
      <c r="W65" s="26" t="str">
        <f t="shared" si="17"/>
        <v/>
      </c>
      <c r="X65" s="26" t="str">
        <f t="shared" si="18"/>
        <v/>
      </c>
      <c r="Y65" s="26" t="str">
        <f t="shared" si="19"/>
        <v/>
      </c>
      <c r="Z65" s="31" t="str">
        <f t="shared" si="20"/>
        <v/>
      </c>
      <c r="AA65" s="31" t="str">
        <f>IF(D65="","",IF(H65&lt;=$B$16,1,IF(H65&gt;=$B$17,$B$21,MATCH(H65,Aux_CAV!$A$2:$A$121,1))))</f>
        <v/>
      </c>
      <c r="AB65" s="31" t="str">
        <f>IF(D65="","",IF(L65&lt;=$B$16,1,IF(L65&gt;=$B$17,$B$21,MATCH(L65,Aux_CAV!$A$2:$A$121,1))))</f>
        <v/>
      </c>
      <c r="AC65" s="3" t="str">
        <f t="shared" si="21"/>
        <v/>
      </c>
    </row>
    <row r="66" ht="12.75" customHeight="1">
      <c r="A66" s="25" t="str">
        <f t="shared" si="1"/>
        <v/>
      </c>
      <c r="B66" s="29" t="str">
        <f t="array" ref="B66">IF(D66="","",IFERROR(VALUE(INDEX(Vazoes_COLAR!$A$2:$A$200,INT((ROW()-24)/12)+1)),""))</f>
        <v/>
      </c>
      <c r="C66" s="29" t="str">
        <f t="shared" si="2"/>
        <v/>
      </c>
      <c r="D66" s="26" t="str">
        <f t="array" ref="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6" s="26" t="str">
        <f t="shared" si="3"/>
        <v/>
      </c>
      <c r="F66" s="26" t="str">
        <f t="array" ref="F66">IF(D66="","",IFERROR(INDEX(Dados_Evap!$C$2:$N$15,MATCH($B$9,Dados_Evap!$A$2:$A$15,0),C66),0))</f>
        <v/>
      </c>
      <c r="G66" s="26" t="str">
        <f t="shared" si="4"/>
        <v/>
      </c>
      <c r="H66" s="26" t="str">
        <f t="shared" si="22"/>
        <v/>
      </c>
      <c r="I66" s="26" t="str">
        <f t="array" ref="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/>
      </c>
      <c r="J66" s="26" t="str">
        <f t="shared" si="5"/>
        <v/>
      </c>
      <c r="K66" s="26" t="str">
        <f t="shared" si="6"/>
        <v/>
      </c>
      <c r="L66" s="26" t="str">
        <f t="shared" si="7"/>
        <v/>
      </c>
      <c r="M66" s="26" t="str">
        <f t="array" ref="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/>
      </c>
      <c r="N66" s="26" t="str">
        <f t="shared" si="8"/>
        <v/>
      </c>
      <c r="O66" s="26" t="str">
        <f t="shared" si="9"/>
        <v/>
      </c>
      <c r="P66" s="26" t="str">
        <f t="shared" si="10"/>
        <v/>
      </c>
      <c r="Q66" s="26" t="str">
        <f t="shared" si="11"/>
        <v/>
      </c>
      <c r="R66" s="26" t="str">
        <f t="shared" si="12"/>
        <v/>
      </c>
      <c r="S66" s="26" t="str">
        <f t="shared" si="13"/>
        <v/>
      </c>
      <c r="T66" s="26" t="str">
        <f t="shared" si="14"/>
        <v/>
      </c>
      <c r="U66" s="26" t="str">
        <f t="shared" si="15"/>
        <v/>
      </c>
      <c r="V66" s="26" t="str">
        <f t="shared" si="16"/>
        <v/>
      </c>
      <c r="W66" s="26" t="str">
        <f t="shared" si="17"/>
        <v/>
      </c>
      <c r="X66" s="26" t="str">
        <f t="shared" si="18"/>
        <v/>
      </c>
      <c r="Y66" s="26" t="str">
        <f t="shared" si="19"/>
        <v/>
      </c>
      <c r="Z66" s="31" t="str">
        <f t="shared" si="20"/>
        <v/>
      </c>
      <c r="AA66" s="31" t="str">
        <f>IF(D66="","",IF(H66&lt;=$B$16,1,IF(H66&gt;=$B$17,$B$21,MATCH(H66,Aux_CAV!$A$2:$A$121,1))))</f>
        <v/>
      </c>
      <c r="AB66" s="31" t="str">
        <f>IF(D66="","",IF(L66&lt;=$B$16,1,IF(L66&gt;=$B$17,$B$21,MATCH(L66,Aux_CAV!$A$2:$A$121,1))))</f>
        <v/>
      </c>
      <c r="AC66" s="3" t="str">
        <f t="shared" si="21"/>
        <v/>
      </c>
    </row>
    <row r="67" ht="12.75" customHeight="1">
      <c r="A67" s="25" t="str">
        <f t="shared" si="1"/>
        <v/>
      </c>
      <c r="B67" s="29" t="str">
        <f t="array" ref="B67">IF(D67="","",IFERROR(VALUE(INDEX(Vazoes_COLAR!$A$2:$A$200,INT((ROW()-24)/12)+1)),""))</f>
        <v/>
      </c>
      <c r="C67" s="29" t="str">
        <f t="shared" si="2"/>
        <v/>
      </c>
      <c r="D67" s="26" t="str">
        <f t="array" ref="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7" s="26" t="str">
        <f t="shared" si="3"/>
        <v/>
      </c>
      <c r="F67" s="26" t="str">
        <f t="array" ref="F67">IF(D67="","",IFERROR(INDEX(Dados_Evap!$C$2:$N$15,MATCH($B$9,Dados_Evap!$A$2:$A$15,0),C67),0))</f>
        <v/>
      </c>
      <c r="G67" s="26" t="str">
        <f t="shared" si="4"/>
        <v/>
      </c>
      <c r="H67" s="26" t="str">
        <f t="shared" si="22"/>
        <v/>
      </c>
      <c r="I67" s="26" t="str">
        <f t="array" ref="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/>
      </c>
      <c r="J67" s="26" t="str">
        <f t="shared" si="5"/>
        <v/>
      </c>
      <c r="K67" s="26" t="str">
        <f t="shared" si="6"/>
        <v/>
      </c>
      <c r="L67" s="26" t="str">
        <f t="shared" si="7"/>
        <v/>
      </c>
      <c r="M67" s="26" t="str">
        <f t="array" ref="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/>
      </c>
      <c r="N67" s="26" t="str">
        <f t="shared" si="8"/>
        <v/>
      </c>
      <c r="O67" s="26" t="str">
        <f t="shared" si="9"/>
        <v/>
      </c>
      <c r="P67" s="26" t="str">
        <f t="shared" si="10"/>
        <v/>
      </c>
      <c r="Q67" s="26" t="str">
        <f t="shared" si="11"/>
        <v/>
      </c>
      <c r="R67" s="26" t="str">
        <f t="shared" si="12"/>
        <v/>
      </c>
      <c r="S67" s="26" t="str">
        <f t="shared" si="13"/>
        <v/>
      </c>
      <c r="T67" s="26" t="str">
        <f t="shared" si="14"/>
        <v/>
      </c>
      <c r="U67" s="26" t="str">
        <f t="shared" si="15"/>
        <v/>
      </c>
      <c r="V67" s="26" t="str">
        <f t="shared" si="16"/>
        <v/>
      </c>
      <c r="W67" s="26" t="str">
        <f t="shared" si="17"/>
        <v/>
      </c>
      <c r="X67" s="26" t="str">
        <f t="shared" si="18"/>
        <v/>
      </c>
      <c r="Y67" s="26" t="str">
        <f t="shared" si="19"/>
        <v/>
      </c>
      <c r="Z67" s="31" t="str">
        <f t="shared" si="20"/>
        <v/>
      </c>
      <c r="AA67" s="31" t="str">
        <f>IF(D67="","",IF(H67&lt;=$B$16,1,IF(H67&gt;=$B$17,$B$21,MATCH(H67,Aux_CAV!$A$2:$A$121,1))))</f>
        <v/>
      </c>
      <c r="AB67" s="31" t="str">
        <f>IF(D67="","",IF(L67&lt;=$B$16,1,IF(L67&gt;=$B$17,$B$21,MATCH(L67,Aux_CAV!$A$2:$A$121,1))))</f>
        <v/>
      </c>
      <c r="AC67" s="3" t="str">
        <f t="shared" si="21"/>
        <v/>
      </c>
    </row>
    <row r="68" ht="12.75" customHeight="1">
      <c r="A68" s="25" t="str">
        <f t="shared" si="1"/>
        <v/>
      </c>
      <c r="B68" s="29" t="str">
        <f t="array" ref="B68">IF(D68="","",IFERROR(VALUE(INDEX(Vazoes_COLAR!$A$2:$A$200,INT((ROW()-24)/12)+1)),""))</f>
        <v/>
      </c>
      <c r="C68" s="29" t="str">
        <f t="shared" si="2"/>
        <v/>
      </c>
      <c r="D68" s="26" t="str">
        <f t="array" ref="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8" s="26" t="str">
        <f t="shared" si="3"/>
        <v/>
      </c>
      <c r="F68" s="26" t="str">
        <f t="array" ref="F68">IF(D68="","",IFERROR(INDEX(Dados_Evap!$C$2:$N$15,MATCH($B$9,Dados_Evap!$A$2:$A$15,0),C68),0))</f>
        <v/>
      </c>
      <c r="G68" s="26" t="str">
        <f t="shared" si="4"/>
        <v/>
      </c>
      <c r="H68" s="26" t="str">
        <f t="shared" si="22"/>
        <v/>
      </c>
      <c r="I68" s="26" t="str">
        <f t="array" ref="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/>
      </c>
      <c r="J68" s="26" t="str">
        <f t="shared" si="5"/>
        <v/>
      </c>
      <c r="K68" s="26" t="str">
        <f t="shared" si="6"/>
        <v/>
      </c>
      <c r="L68" s="26" t="str">
        <f t="shared" si="7"/>
        <v/>
      </c>
      <c r="M68" s="26" t="str">
        <f t="array" ref="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/>
      </c>
      <c r="N68" s="26" t="str">
        <f t="shared" si="8"/>
        <v/>
      </c>
      <c r="O68" s="26" t="str">
        <f t="shared" si="9"/>
        <v/>
      </c>
      <c r="P68" s="26" t="str">
        <f t="shared" si="10"/>
        <v/>
      </c>
      <c r="Q68" s="26" t="str">
        <f t="shared" si="11"/>
        <v/>
      </c>
      <c r="R68" s="26" t="str">
        <f t="shared" si="12"/>
        <v/>
      </c>
      <c r="S68" s="26" t="str">
        <f t="shared" si="13"/>
        <v/>
      </c>
      <c r="T68" s="26" t="str">
        <f t="shared" si="14"/>
        <v/>
      </c>
      <c r="U68" s="26" t="str">
        <f t="shared" si="15"/>
        <v/>
      </c>
      <c r="V68" s="26" t="str">
        <f t="shared" si="16"/>
        <v/>
      </c>
      <c r="W68" s="26" t="str">
        <f t="shared" si="17"/>
        <v/>
      </c>
      <c r="X68" s="26" t="str">
        <f t="shared" si="18"/>
        <v/>
      </c>
      <c r="Y68" s="26" t="str">
        <f t="shared" si="19"/>
        <v/>
      </c>
      <c r="Z68" s="31" t="str">
        <f t="shared" si="20"/>
        <v/>
      </c>
      <c r="AA68" s="31" t="str">
        <f>IF(D68="","",IF(H68&lt;=$B$16,1,IF(H68&gt;=$B$17,$B$21,MATCH(H68,Aux_CAV!$A$2:$A$121,1))))</f>
        <v/>
      </c>
      <c r="AB68" s="31" t="str">
        <f>IF(D68="","",IF(L68&lt;=$B$16,1,IF(L68&gt;=$B$17,$B$21,MATCH(L68,Aux_CAV!$A$2:$A$121,1))))</f>
        <v/>
      </c>
      <c r="AC68" s="3" t="str">
        <f t="shared" si="21"/>
        <v/>
      </c>
    </row>
    <row r="69" ht="12.75" customHeight="1">
      <c r="A69" s="25" t="str">
        <f t="shared" si="1"/>
        <v/>
      </c>
      <c r="B69" s="29" t="str">
        <f t="array" ref="B69">IF(D69="","",IFERROR(VALUE(INDEX(Vazoes_COLAR!$A$2:$A$200,INT((ROW()-24)/12)+1)),""))</f>
        <v/>
      </c>
      <c r="C69" s="29" t="str">
        <f t="shared" si="2"/>
        <v/>
      </c>
      <c r="D69" s="26" t="str">
        <f t="array" ref="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9" s="26" t="str">
        <f t="shared" si="3"/>
        <v/>
      </c>
      <c r="F69" s="26" t="str">
        <f t="array" ref="F69">IF(D69="","",IFERROR(INDEX(Dados_Evap!$C$2:$N$15,MATCH($B$9,Dados_Evap!$A$2:$A$15,0),C69),0))</f>
        <v/>
      </c>
      <c r="G69" s="26" t="str">
        <f t="shared" si="4"/>
        <v/>
      </c>
      <c r="H69" s="26" t="str">
        <f t="shared" si="22"/>
        <v/>
      </c>
      <c r="I69" s="26" t="str">
        <f t="array" ref="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/>
      </c>
      <c r="J69" s="26" t="str">
        <f t="shared" si="5"/>
        <v/>
      </c>
      <c r="K69" s="26" t="str">
        <f t="shared" si="6"/>
        <v/>
      </c>
      <c r="L69" s="26" t="str">
        <f t="shared" si="7"/>
        <v/>
      </c>
      <c r="M69" s="26" t="str">
        <f t="array" ref="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/>
      </c>
      <c r="N69" s="26" t="str">
        <f t="shared" si="8"/>
        <v/>
      </c>
      <c r="O69" s="26" t="str">
        <f t="shared" si="9"/>
        <v/>
      </c>
      <c r="P69" s="26" t="str">
        <f t="shared" si="10"/>
        <v/>
      </c>
      <c r="Q69" s="26" t="str">
        <f t="shared" si="11"/>
        <v/>
      </c>
      <c r="R69" s="26" t="str">
        <f t="shared" si="12"/>
        <v/>
      </c>
      <c r="S69" s="26" t="str">
        <f t="shared" si="13"/>
        <v/>
      </c>
      <c r="T69" s="26" t="str">
        <f t="shared" si="14"/>
        <v/>
      </c>
      <c r="U69" s="26" t="str">
        <f t="shared" si="15"/>
        <v/>
      </c>
      <c r="V69" s="26" t="str">
        <f t="shared" si="16"/>
        <v/>
      </c>
      <c r="W69" s="26" t="str">
        <f t="shared" si="17"/>
        <v/>
      </c>
      <c r="X69" s="26" t="str">
        <f t="shared" si="18"/>
        <v/>
      </c>
      <c r="Y69" s="26" t="str">
        <f t="shared" si="19"/>
        <v/>
      </c>
      <c r="Z69" s="31" t="str">
        <f t="shared" si="20"/>
        <v/>
      </c>
      <c r="AA69" s="31" t="str">
        <f>IF(D69="","",IF(H69&lt;=$B$16,1,IF(H69&gt;=$B$17,$B$21,MATCH(H69,Aux_CAV!$A$2:$A$121,1))))</f>
        <v/>
      </c>
      <c r="AB69" s="31" t="str">
        <f>IF(D69="","",IF(L69&lt;=$B$16,1,IF(L69&gt;=$B$17,$B$21,MATCH(L69,Aux_CAV!$A$2:$A$121,1))))</f>
        <v/>
      </c>
      <c r="AC69" s="3" t="str">
        <f t="shared" si="21"/>
        <v/>
      </c>
    </row>
    <row r="70" ht="12.75" customHeight="1">
      <c r="A70" s="25" t="str">
        <f t="shared" si="1"/>
        <v/>
      </c>
      <c r="B70" s="29" t="str">
        <f t="array" ref="B70">IF(D70="","",IFERROR(VALUE(INDEX(Vazoes_COLAR!$A$2:$A$200,INT((ROW()-24)/12)+1)),""))</f>
        <v/>
      </c>
      <c r="C70" s="29" t="str">
        <f t="shared" si="2"/>
        <v/>
      </c>
      <c r="D70" s="26" t="str">
        <f t="array" ref="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0" s="26" t="str">
        <f t="shared" si="3"/>
        <v/>
      </c>
      <c r="F70" s="26" t="str">
        <f t="array" ref="F70">IF(D70="","",IFERROR(INDEX(Dados_Evap!$C$2:$N$15,MATCH($B$9,Dados_Evap!$A$2:$A$15,0),C70),0))</f>
        <v/>
      </c>
      <c r="G70" s="26" t="str">
        <f t="shared" si="4"/>
        <v/>
      </c>
      <c r="H70" s="26" t="str">
        <f t="shared" si="22"/>
        <v/>
      </c>
      <c r="I70" s="26" t="str">
        <f t="array" ref="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/>
      </c>
      <c r="J70" s="26" t="str">
        <f t="shared" si="5"/>
        <v/>
      </c>
      <c r="K70" s="26" t="str">
        <f t="shared" si="6"/>
        <v/>
      </c>
      <c r="L70" s="26" t="str">
        <f t="shared" si="7"/>
        <v/>
      </c>
      <c r="M70" s="26" t="str">
        <f t="array" ref="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/>
      </c>
      <c r="N70" s="26" t="str">
        <f t="shared" si="8"/>
        <v/>
      </c>
      <c r="O70" s="26" t="str">
        <f t="shared" si="9"/>
        <v/>
      </c>
      <c r="P70" s="26" t="str">
        <f t="shared" si="10"/>
        <v/>
      </c>
      <c r="Q70" s="26" t="str">
        <f t="shared" si="11"/>
        <v/>
      </c>
      <c r="R70" s="26" t="str">
        <f t="shared" si="12"/>
        <v/>
      </c>
      <c r="S70" s="26" t="str">
        <f t="shared" si="13"/>
        <v/>
      </c>
      <c r="T70" s="26" t="str">
        <f t="shared" si="14"/>
        <v/>
      </c>
      <c r="U70" s="26" t="str">
        <f t="shared" si="15"/>
        <v/>
      </c>
      <c r="V70" s="26" t="str">
        <f t="shared" si="16"/>
        <v/>
      </c>
      <c r="W70" s="26" t="str">
        <f t="shared" si="17"/>
        <v/>
      </c>
      <c r="X70" s="26" t="str">
        <f t="shared" si="18"/>
        <v/>
      </c>
      <c r="Y70" s="26" t="str">
        <f t="shared" si="19"/>
        <v/>
      </c>
      <c r="Z70" s="31" t="str">
        <f t="shared" si="20"/>
        <v/>
      </c>
      <c r="AA70" s="31" t="str">
        <f>IF(D70="","",IF(H70&lt;=$B$16,1,IF(H70&gt;=$B$17,$B$21,MATCH(H70,Aux_CAV!$A$2:$A$121,1))))</f>
        <v/>
      </c>
      <c r="AB70" s="31" t="str">
        <f>IF(D70="","",IF(L70&lt;=$B$16,1,IF(L70&gt;=$B$17,$B$21,MATCH(L70,Aux_CAV!$A$2:$A$121,1))))</f>
        <v/>
      </c>
      <c r="AC70" s="3" t="str">
        <f t="shared" si="21"/>
        <v/>
      </c>
    </row>
    <row r="71" ht="12.75" customHeight="1">
      <c r="A71" s="25" t="str">
        <f t="shared" si="1"/>
        <v/>
      </c>
      <c r="B71" s="29" t="str">
        <f t="array" ref="B71">IF(D71="","",IFERROR(VALUE(INDEX(Vazoes_COLAR!$A$2:$A$200,INT((ROW()-24)/12)+1)),""))</f>
        <v/>
      </c>
      <c r="C71" s="29" t="str">
        <f t="shared" si="2"/>
        <v/>
      </c>
      <c r="D71" s="26" t="str">
        <f t="array" ref="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1" s="26" t="str">
        <f t="shared" si="3"/>
        <v/>
      </c>
      <c r="F71" s="26" t="str">
        <f t="array" ref="F71">IF(D71="","",IFERROR(INDEX(Dados_Evap!$C$2:$N$15,MATCH($B$9,Dados_Evap!$A$2:$A$15,0),C71),0))</f>
        <v/>
      </c>
      <c r="G71" s="26" t="str">
        <f t="shared" si="4"/>
        <v/>
      </c>
      <c r="H71" s="26" t="str">
        <f t="shared" si="22"/>
        <v/>
      </c>
      <c r="I71" s="26" t="str">
        <f t="array" ref="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/>
      </c>
      <c r="J71" s="26" t="str">
        <f t="shared" si="5"/>
        <v/>
      </c>
      <c r="K71" s="26" t="str">
        <f t="shared" si="6"/>
        <v/>
      </c>
      <c r="L71" s="26" t="str">
        <f t="shared" si="7"/>
        <v/>
      </c>
      <c r="M71" s="26" t="str">
        <f t="array" ref="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/>
      </c>
      <c r="N71" s="26" t="str">
        <f t="shared" si="8"/>
        <v/>
      </c>
      <c r="O71" s="26" t="str">
        <f t="shared" si="9"/>
        <v/>
      </c>
      <c r="P71" s="26" t="str">
        <f t="shared" si="10"/>
        <v/>
      </c>
      <c r="Q71" s="26" t="str">
        <f t="shared" si="11"/>
        <v/>
      </c>
      <c r="R71" s="26" t="str">
        <f t="shared" si="12"/>
        <v/>
      </c>
      <c r="S71" s="26" t="str">
        <f t="shared" si="13"/>
        <v/>
      </c>
      <c r="T71" s="26" t="str">
        <f t="shared" si="14"/>
        <v/>
      </c>
      <c r="U71" s="26" t="str">
        <f t="shared" si="15"/>
        <v/>
      </c>
      <c r="V71" s="26" t="str">
        <f t="shared" si="16"/>
        <v/>
      </c>
      <c r="W71" s="26" t="str">
        <f t="shared" si="17"/>
        <v/>
      </c>
      <c r="X71" s="26" t="str">
        <f t="shared" si="18"/>
        <v/>
      </c>
      <c r="Y71" s="26" t="str">
        <f t="shared" si="19"/>
        <v/>
      </c>
      <c r="Z71" s="31" t="str">
        <f t="shared" si="20"/>
        <v/>
      </c>
      <c r="AA71" s="31" t="str">
        <f>IF(D71="","",IF(H71&lt;=$B$16,1,IF(H71&gt;=$B$17,$B$21,MATCH(H71,Aux_CAV!$A$2:$A$121,1))))</f>
        <v/>
      </c>
      <c r="AB71" s="31" t="str">
        <f>IF(D71="","",IF(L71&lt;=$B$16,1,IF(L71&gt;=$B$17,$B$21,MATCH(L71,Aux_CAV!$A$2:$A$121,1))))</f>
        <v/>
      </c>
      <c r="AC71" s="3" t="str">
        <f t="shared" si="21"/>
        <v/>
      </c>
    </row>
    <row r="72" ht="12.75" customHeight="1">
      <c r="A72" s="25" t="str">
        <f t="shared" si="1"/>
        <v/>
      </c>
      <c r="B72" s="29" t="str">
        <f t="array" ref="B72">IF(D72="","",IFERROR(VALUE(INDEX(Vazoes_COLAR!$A$2:$A$200,INT((ROW()-24)/12)+1)),""))</f>
        <v/>
      </c>
      <c r="C72" s="29" t="str">
        <f t="shared" si="2"/>
        <v/>
      </c>
      <c r="D72" s="26" t="str">
        <f t="array" ref="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2" s="26" t="str">
        <f t="shared" si="3"/>
        <v/>
      </c>
      <c r="F72" s="26" t="str">
        <f t="array" ref="F72">IF(D72="","",IFERROR(INDEX(Dados_Evap!$C$2:$N$15,MATCH($B$9,Dados_Evap!$A$2:$A$15,0),C72),0))</f>
        <v/>
      </c>
      <c r="G72" s="26" t="str">
        <f t="shared" si="4"/>
        <v/>
      </c>
      <c r="H72" s="26" t="str">
        <f t="shared" si="22"/>
        <v/>
      </c>
      <c r="I72" s="26" t="str">
        <f t="array" ref="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/>
      </c>
      <c r="J72" s="26" t="str">
        <f t="shared" si="5"/>
        <v/>
      </c>
      <c r="K72" s="26" t="str">
        <f t="shared" si="6"/>
        <v/>
      </c>
      <c r="L72" s="26" t="str">
        <f t="shared" si="7"/>
        <v/>
      </c>
      <c r="M72" s="26" t="str">
        <f t="array" ref="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/>
      </c>
      <c r="N72" s="26" t="str">
        <f t="shared" si="8"/>
        <v/>
      </c>
      <c r="O72" s="26" t="str">
        <f t="shared" si="9"/>
        <v/>
      </c>
      <c r="P72" s="26" t="str">
        <f t="shared" si="10"/>
        <v/>
      </c>
      <c r="Q72" s="26" t="str">
        <f t="shared" si="11"/>
        <v/>
      </c>
      <c r="R72" s="26" t="str">
        <f t="shared" si="12"/>
        <v/>
      </c>
      <c r="S72" s="26" t="str">
        <f t="shared" si="13"/>
        <v/>
      </c>
      <c r="T72" s="26" t="str">
        <f t="shared" si="14"/>
        <v/>
      </c>
      <c r="U72" s="26" t="str">
        <f t="shared" si="15"/>
        <v/>
      </c>
      <c r="V72" s="26" t="str">
        <f t="shared" si="16"/>
        <v/>
      </c>
      <c r="W72" s="26" t="str">
        <f t="shared" si="17"/>
        <v/>
      </c>
      <c r="X72" s="26" t="str">
        <f t="shared" si="18"/>
        <v/>
      </c>
      <c r="Y72" s="26" t="str">
        <f t="shared" si="19"/>
        <v/>
      </c>
      <c r="Z72" s="31" t="str">
        <f t="shared" si="20"/>
        <v/>
      </c>
      <c r="AA72" s="31" t="str">
        <f>IF(D72="","",IF(H72&lt;=$B$16,1,IF(H72&gt;=$B$17,$B$21,MATCH(H72,Aux_CAV!$A$2:$A$121,1))))</f>
        <v/>
      </c>
      <c r="AB72" s="31" t="str">
        <f>IF(D72="","",IF(L72&lt;=$B$16,1,IF(L72&gt;=$B$17,$B$21,MATCH(L72,Aux_CAV!$A$2:$A$121,1))))</f>
        <v/>
      </c>
      <c r="AC72" s="3" t="str">
        <f t="shared" si="21"/>
        <v/>
      </c>
    </row>
    <row r="73" ht="12.75" customHeight="1">
      <c r="A73" s="25" t="str">
        <f t="shared" si="1"/>
        <v/>
      </c>
      <c r="B73" s="29" t="str">
        <f t="array" ref="B73">IF(D73="","",IFERROR(VALUE(INDEX(Vazoes_COLAR!$A$2:$A$200,INT((ROW()-24)/12)+1)),""))</f>
        <v/>
      </c>
      <c r="C73" s="29" t="str">
        <f t="shared" si="2"/>
        <v/>
      </c>
      <c r="D73" s="26" t="str">
        <f t="array" ref="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3" s="26" t="str">
        <f t="shared" si="3"/>
        <v/>
      </c>
      <c r="F73" s="26" t="str">
        <f t="array" ref="F73">IF(D73="","",IFERROR(INDEX(Dados_Evap!$C$2:$N$15,MATCH($B$9,Dados_Evap!$A$2:$A$15,0),C73),0))</f>
        <v/>
      </c>
      <c r="G73" s="26" t="str">
        <f t="shared" si="4"/>
        <v/>
      </c>
      <c r="H73" s="26" t="str">
        <f t="shared" si="22"/>
        <v/>
      </c>
      <c r="I73" s="26" t="str">
        <f t="array" ref="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/>
      </c>
      <c r="J73" s="26" t="str">
        <f t="shared" si="5"/>
        <v/>
      </c>
      <c r="K73" s="26" t="str">
        <f t="shared" si="6"/>
        <v/>
      </c>
      <c r="L73" s="26" t="str">
        <f t="shared" si="7"/>
        <v/>
      </c>
      <c r="M73" s="26" t="str">
        <f t="array" ref="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/>
      </c>
      <c r="N73" s="26" t="str">
        <f t="shared" si="8"/>
        <v/>
      </c>
      <c r="O73" s="26" t="str">
        <f t="shared" si="9"/>
        <v/>
      </c>
      <c r="P73" s="26" t="str">
        <f t="shared" si="10"/>
        <v/>
      </c>
      <c r="Q73" s="26" t="str">
        <f t="shared" si="11"/>
        <v/>
      </c>
      <c r="R73" s="26" t="str">
        <f t="shared" si="12"/>
        <v/>
      </c>
      <c r="S73" s="26" t="str">
        <f t="shared" si="13"/>
        <v/>
      </c>
      <c r="T73" s="26" t="str">
        <f t="shared" si="14"/>
        <v/>
      </c>
      <c r="U73" s="26" t="str">
        <f t="shared" si="15"/>
        <v/>
      </c>
      <c r="V73" s="26" t="str">
        <f t="shared" si="16"/>
        <v/>
      </c>
      <c r="W73" s="26" t="str">
        <f t="shared" si="17"/>
        <v/>
      </c>
      <c r="X73" s="26" t="str">
        <f t="shared" si="18"/>
        <v/>
      </c>
      <c r="Y73" s="26" t="str">
        <f t="shared" si="19"/>
        <v/>
      </c>
      <c r="Z73" s="31" t="str">
        <f t="shared" si="20"/>
        <v/>
      </c>
      <c r="AA73" s="31" t="str">
        <f>IF(D73="","",IF(H73&lt;=$B$16,1,IF(H73&gt;=$B$17,$B$21,MATCH(H73,Aux_CAV!$A$2:$A$121,1))))</f>
        <v/>
      </c>
      <c r="AB73" s="31" t="str">
        <f>IF(D73="","",IF(L73&lt;=$B$16,1,IF(L73&gt;=$B$17,$B$21,MATCH(L73,Aux_CAV!$A$2:$A$121,1))))</f>
        <v/>
      </c>
      <c r="AC73" s="3" t="str">
        <f t="shared" si="21"/>
        <v/>
      </c>
    </row>
    <row r="74" ht="12.75" customHeight="1">
      <c r="A74" s="25" t="str">
        <f t="shared" si="1"/>
        <v/>
      </c>
      <c r="B74" s="29" t="str">
        <f t="array" ref="B74">IF(D74="","",IFERROR(VALUE(INDEX(Vazoes_COLAR!$A$2:$A$200,INT((ROW()-24)/12)+1)),""))</f>
        <v/>
      </c>
      <c r="C74" s="29" t="str">
        <f t="shared" si="2"/>
        <v/>
      </c>
      <c r="D74" s="26" t="str">
        <f t="array" ref="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4" s="26" t="str">
        <f t="shared" si="3"/>
        <v/>
      </c>
      <c r="F74" s="26" t="str">
        <f t="array" ref="F74">IF(D74="","",IFERROR(INDEX(Dados_Evap!$C$2:$N$15,MATCH($B$9,Dados_Evap!$A$2:$A$15,0),C74),0))</f>
        <v/>
      </c>
      <c r="G74" s="26" t="str">
        <f t="shared" si="4"/>
        <v/>
      </c>
      <c r="H74" s="26" t="str">
        <f t="shared" si="22"/>
        <v/>
      </c>
      <c r="I74" s="26" t="str">
        <f t="array" ref="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/>
      </c>
      <c r="J74" s="26" t="str">
        <f t="shared" si="5"/>
        <v/>
      </c>
      <c r="K74" s="26" t="str">
        <f t="shared" si="6"/>
        <v/>
      </c>
      <c r="L74" s="26" t="str">
        <f t="shared" si="7"/>
        <v/>
      </c>
      <c r="M74" s="26" t="str">
        <f t="array" ref="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/>
      </c>
      <c r="N74" s="26" t="str">
        <f t="shared" si="8"/>
        <v/>
      </c>
      <c r="O74" s="26" t="str">
        <f t="shared" si="9"/>
        <v/>
      </c>
      <c r="P74" s="26" t="str">
        <f t="shared" si="10"/>
        <v/>
      </c>
      <c r="Q74" s="26" t="str">
        <f t="shared" si="11"/>
        <v/>
      </c>
      <c r="R74" s="26" t="str">
        <f t="shared" si="12"/>
        <v/>
      </c>
      <c r="S74" s="26" t="str">
        <f t="shared" si="13"/>
        <v/>
      </c>
      <c r="T74" s="26" t="str">
        <f t="shared" si="14"/>
        <v/>
      </c>
      <c r="U74" s="26" t="str">
        <f t="shared" si="15"/>
        <v/>
      </c>
      <c r="V74" s="26" t="str">
        <f t="shared" si="16"/>
        <v/>
      </c>
      <c r="W74" s="26" t="str">
        <f t="shared" si="17"/>
        <v/>
      </c>
      <c r="X74" s="26" t="str">
        <f t="shared" si="18"/>
        <v/>
      </c>
      <c r="Y74" s="26" t="str">
        <f t="shared" si="19"/>
        <v/>
      </c>
      <c r="Z74" s="31" t="str">
        <f t="shared" si="20"/>
        <v/>
      </c>
      <c r="AA74" s="31" t="str">
        <f>IF(D74="","",IF(H74&lt;=$B$16,1,IF(H74&gt;=$B$17,$B$21,MATCH(H74,Aux_CAV!$A$2:$A$121,1))))</f>
        <v/>
      </c>
      <c r="AB74" s="31" t="str">
        <f>IF(D74="","",IF(L74&lt;=$B$16,1,IF(L74&gt;=$B$17,$B$21,MATCH(L74,Aux_CAV!$A$2:$A$121,1))))</f>
        <v/>
      </c>
      <c r="AC74" s="3" t="str">
        <f t="shared" si="21"/>
        <v/>
      </c>
    </row>
    <row r="75" ht="12.75" customHeight="1">
      <c r="A75" s="25" t="str">
        <f t="shared" si="1"/>
        <v/>
      </c>
      <c r="B75" s="29" t="str">
        <f t="array" ref="B75">IF(D75="","",IFERROR(VALUE(INDEX(Vazoes_COLAR!$A$2:$A$200,INT((ROW()-24)/12)+1)),""))</f>
        <v/>
      </c>
      <c r="C75" s="29" t="str">
        <f t="shared" si="2"/>
        <v/>
      </c>
      <c r="D75" s="26" t="str">
        <f t="array" ref="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5" s="26" t="str">
        <f t="shared" si="3"/>
        <v/>
      </c>
      <c r="F75" s="26" t="str">
        <f t="array" ref="F75">IF(D75="","",IFERROR(INDEX(Dados_Evap!$C$2:$N$15,MATCH($B$9,Dados_Evap!$A$2:$A$15,0),C75),0))</f>
        <v/>
      </c>
      <c r="G75" s="26" t="str">
        <f t="shared" si="4"/>
        <v/>
      </c>
      <c r="H75" s="26" t="str">
        <f t="shared" si="22"/>
        <v/>
      </c>
      <c r="I75" s="26" t="str">
        <f t="array" ref="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/>
      </c>
      <c r="J75" s="26" t="str">
        <f t="shared" si="5"/>
        <v/>
      </c>
      <c r="K75" s="26" t="str">
        <f t="shared" si="6"/>
        <v/>
      </c>
      <c r="L75" s="26" t="str">
        <f t="shared" si="7"/>
        <v/>
      </c>
      <c r="M75" s="26" t="str">
        <f t="array" ref="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/>
      </c>
      <c r="N75" s="26" t="str">
        <f t="shared" si="8"/>
        <v/>
      </c>
      <c r="O75" s="26" t="str">
        <f t="shared" si="9"/>
        <v/>
      </c>
      <c r="P75" s="26" t="str">
        <f t="shared" si="10"/>
        <v/>
      </c>
      <c r="Q75" s="26" t="str">
        <f t="shared" si="11"/>
        <v/>
      </c>
      <c r="R75" s="26" t="str">
        <f t="shared" si="12"/>
        <v/>
      </c>
      <c r="S75" s="26" t="str">
        <f t="shared" si="13"/>
        <v/>
      </c>
      <c r="T75" s="26" t="str">
        <f t="shared" si="14"/>
        <v/>
      </c>
      <c r="U75" s="26" t="str">
        <f t="shared" si="15"/>
        <v/>
      </c>
      <c r="V75" s="26" t="str">
        <f t="shared" si="16"/>
        <v/>
      </c>
      <c r="W75" s="26" t="str">
        <f t="shared" si="17"/>
        <v/>
      </c>
      <c r="X75" s="26" t="str">
        <f t="shared" si="18"/>
        <v/>
      </c>
      <c r="Y75" s="26" t="str">
        <f t="shared" si="19"/>
        <v/>
      </c>
      <c r="Z75" s="31" t="str">
        <f t="shared" si="20"/>
        <v/>
      </c>
      <c r="AA75" s="31" t="str">
        <f>IF(D75="","",IF(H75&lt;=$B$16,1,IF(H75&gt;=$B$17,$B$21,MATCH(H75,Aux_CAV!$A$2:$A$121,1))))</f>
        <v/>
      </c>
      <c r="AB75" s="31" t="str">
        <f>IF(D75="","",IF(L75&lt;=$B$16,1,IF(L75&gt;=$B$17,$B$21,MATCH(L75,Aux_CAV!$A$2:$A$121,1))))</f>
        <v/>
      </c>
      <c r="AC75" s="3" t="str">
        <f t="shared" si="21"/>
        <v/>
      </c>
    </row>
    <row r="76" ht="12.75" customHeight="1">
      <c r="A76" s="25" t="str">
        <f t="shared" si="1"/>
        <v/>
      </c>
      <c r="B76" s="29" t="str">
        <f t="array" ref="B76">IF(D76="","",IFERROR(VALUE(INDEX(Vazoes_COLAR!$A$2:$A$200,INT((ROW()-24)/12)+1)),""))</f>
        <v/>
      </c>
      <c r="C76" s="29" t="str">
        <f t="shared" si="2"/>
        <v/>
      </c>
      <c r="D76" s="26" t="str">
        <f t="array" ref="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6" s="26" t="str">
        <f t="shared" si="3"/>
        <v/>
      </c>
      <c r="F76" s="26" t="str">
        <f t="array" ref="F76">IF(D76="","",IFERROR(INDEX(Dados_Evap!$C$2:$N$15,MATCH($B$9,Dados_Evap!$A$2:$A$15,0),C76),0))</f>
        <v/>
      </c>
      <c r="G76" s="26" t="str">
        <f t="shared" si="4"/>
        <v/>
      </c>
      <c r="H76" s="26" t="str">
        <f t="shared" si="22"/>
        <v/>
      </c>
      <c r="I76" s="26" t="str">
        <f t="array" ref="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/>
      </c>
      <c r="J76" s="26" t="str">
        <f t="shared" si="5"/>
        <v/>
      </c>
      <c r="K76" s="26" t="str">
        <f t="shared" si="6"/>
        <v/>
      </c>
      <c r="L76" s="26" t="str">
        <f t="shared" si="7"/>
        <v/>
      </c>
      <c r="M76" s="26" t="str">
        <f t="array" ref="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/>
      </c>
      <c r="N76" s="26" t="str">
        <f t="shared" si="8"/>
        <v/>
      </c>
      <c r="O76" s="26" t="str">
        <f t="shared" si="9"/>
        <v/>
      </c>
      <c r="P76" s="26" t="str">
        <f t="shared" si="10"/>
        <v/>
      </c>
      <c r="Q76" s="26" t="str">
        <f t="shared" si="11"/>
        <v/>
      </c>
      <c r="R76" s="26" t="str">
        <f t="shared" si="12"/>
        <v/>
      </c>
      <c r="S76" s="26" t="str">
        <f t="shared" si="13"/>
        <v/>
      </c>
      <c r="T76" s="26" t="str">
        <f t="shared" si="14"/>
        <v/>
      </c>
      <c r="U76" s="26" t="str">
        <f t="shared" si="15"/>
        <v/>
      </c>
      <c r="V76" s="26" t="str">
        <f t="shared" si="16"/>
        <v/>
      </c>
      <c r="W76" s="26" t="str">
        <f t="shared" si="17"/>
        <v/>
      </c>
      <c r="X76" s="26" t="str">
        <f t="shared" si="18"/>
        <v/>
      </c>
      <c r="Y76" s="26" t="str">
        <f t="shared" si="19"/>
        <v/>
      </c>
      <c r="Z76" s="31" t="str">
        <f t="shared" si="20"/>
        <v/>
      </c>
      <c r="AA76" s="31" t="str">
        <f>IF(D76="","",IF(H76&lt;=$B$16,1,IF(H76&gt;=$B$17,$B$21,MATCH(H76,Aux_CAV!$A$2:$A$121,1))))</f>
        <v/>
      </c>
      <c r="AB76" s="31" t="str">
        <f>IF(D76="","",IF(L76&lt;=$B$16,1,IF(L76&gt;=$B$17,$B$21,MATCH(L76,Aux_CAV!$A$2:$A$121,1))))</f>
        <v/>
      </c>
      <c r="AC76" s="3" t="str">
        <f t="shared" si="21"/>
        <v/>
      </c>
    </row>
    <row r="77" ht="12.75" customHeight="1">
      <c r="A77" s="25" t="str">
        <f t="shared" si="1"/>
        <v/>
      </c>
      <c r="B77" s="29" t="str">
        <f t="array" ref="B77">IF(D77="","",IFERROR(VALUE(INDEX(Vazoes_COLAR!$A$2:$A$200,INT((ROW()-24)/12)+1)),""))</f>
        <v/>
      </c>
      <c r="C77" s="29" t="str">
        <f t="shared" si="2"/>
        <v/>
      </c>
      <c r="D77" s="26" t="str">
        <f t="array" ref="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7" s="26" t="str">
        <f t="shared" si="3"/>
        <v/>
      </c>
      <c r="F77" s="26" t="str">
        <f t="array" ref="F77">IF(D77="","",IFERROR(INDEX(Dados_Evap!$C$2:$N$15,MATCH($B$9,Dados_Evap!$A$2:$A$15,0),C77),0))</f>
        <v/>
      </c>
      <c r="G77" s="26" t="str">
        <f t="shared" si="4"/>
        <v/>
      </c>
      <c r="H77" s="26" t="str">
        <f t="shared" si="22"/>
        <v/>
      </c>
      <c r="I77" s="26" t="str">
        <f t="array" ref="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/>
      </c>
      <c r="J77" s="26" t="str">
        <f t="shared" si="5"/>
        <v/>
      </c>
      <c r="K77" s="26" t="str">
        <f t="shared" si="6"/>
        <v/>
      </c>
      <c r="L77" s="26" t="str">
        <f t="shared" si="7"/>
        <v/>
      </c>
      <c r="M77" s="26" t="str">
        <f t="array" ref="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/>
      </c>
      <c r="N77" s="26" t="str">
        <f t="shared" si="8"/>
        <v/>
      </c>
      <c r="O77" s="26" t="str">
        <f t="shared" si="9"/>
        <v/>
      </c>
      <c r="P77" s="26" t="str">
        <f t="shared" si="10"/>
        <v/>
      </c>
      <c r="Q77" s="26" t="str">
        <f t="shared" si="11"/>
        <v/>
      </c>
      <c r="R77" s="26" t="str">
        <f t="shared" si="12"/>
        <v/>
      </c>
      <c r="S77" s="26" t="str">
        <f t="shared" si="13"/>
        <v/>
      </c>
      <c r="T77" s="26" t="str">
        <f t="shared" si="14"/>
        <v/>
      </c>
      <c r="U77" s="26" t="str">
        <f t="shared" si="15"/>
        <v/>
      </c>
      <c r="V77" s="26" t="str">
        <f t="shared" si="16"/>
        <v/>
      </c>
      <c r="W77" s="26" t="str">
        <f t="shared" si="17"/>
        <v/>
      </c>
      <c r="X77" s="26" t="str">
        <f t="shared" si="18"/>
        <v/>
      </c>
      <c r="Y77" s="26" t="str">
        <f t="shared" si="19"/>
        <v/>
      </c>
      <c r="Z77" s="31" t="str">
        <f t="shared" si="20"/>
        <v/>
      </c>
      <c r="AA77" s="31" t="str">
        <f>IF(D77="","",IF(H77&lt;=$B$16,1,IF(H77&gt;=$B$17,$B$21,MATCH(H77,Aux_CAV!$A$2:$A$121,1))))</f>
        <v/>
      </c>
      <c r="AB77" s="31" t="str">
        <f>IF(D77="","",IF(L77&lt;=$B$16,1,IF(L77&gt;=$B$17,$B$21,MATCH(L77,Aux_CAV!$A$2:$A$121,1))))</f>
        <v/>
      </c>
      <c r="AC77" s="3" t="str">
        <f t="shared" si="21"/>
        <v/>
      </c>
    </row>
    <row r="78" ht="12.75" customHeight="1">
      <c r="A78" s="25" t="str">
        <f t="shared" si="1"/>
        <v/>
      </c>
      <c r="B78" s="29" t="str">
        <f t="array" ref="B78">IF(D78="","",IFERROR(VALUE(INDEX(Vazoes_COLAR!$A$2:$A$200,INT((ROW()-24)/12)+1)),""))</f>
        <v/>
      </c>
      <c r="C78" s="29" t="str">
        <f t="shared" si="2"/>
        <v/>
      </c>
      <c r="D78" s="26" t="str">
        <f t="array" ref="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8" s="26" t="str">
        <f t="shared" si="3"/>
        <v/>
      </c>
      <c r="F78" s="26" t="str">
        <f t="array" ref="F78">IF(D78="","",IFERROR(INDEX(Dados_Evap!$C$2:$N$15,MATCH($B$9,Dados_Evap!$A$2:$A$15,0),C78),0))</f>
        <v/>
      </c>
      <c r="G78" s="26" t="str">
        <f t="shared" si="4"/>
        <v/>
      </c>
      <c r="H78" s="26" t="str">
        <f t="shared" si="22"/>
        <v/>
      </c>
      <c r="I78" s="26" t="str">
        <f t="array" ref="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/>
      </c>
      <c r="J78" s="26" t="str">
        <f t="shared" si="5"/>
        <v/>
      </c>
      <c r="K78" s="26" t="str">
        <f t="shared" si="6"/>
        <v/>
      </c>
      <c r="L78" s="26" t="str">
        <f t="shared" si="7"/>
        <v/>
      </c>
      <c r="M78" s="26" t="str">
        <f t="array" ref="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/>
      </c>
      <c r="N78" s="26" t="str">
        <f t="shared" si="8"/>
        <v/>
      </c>
      <c r="O78" s="26" t="str">
        <f t="shared" si="9"/>
        <v/>
      </c>
      <c r="P78" s="26" t="str">
        <f t="shared" si="10"/>
        <v/>
      </c>
      <c r="Q78" s="26" t="str">
        <f t="shared" si="11"/>
        <v/>
      </c>
      <c r="R78" s="26" t="str">
        <f t="shared" si="12"/>
        <v/>
      </c>
      <c r="S78" s="26" t="str">
        <f t="shared" si="13"/>
        <v/>
      </c>
      <c r="T78" s="26" t="str">
        <f t="shared" si="14"/>
        <v/>
      </c>
      <c r="U78" s="26" t="str">
        <f t="shared" si="15"/>
        <v/>
      </c>
      <c r="V78" s="26" t="str">
        <f t="shared" si="16"/>
        <v/>
      </c>
      <c r="W78" s="26" t="str">
        <f t="shared" si="17"/>
        <v/>
      </c>
      <c r="X78" s="26" t="str">
        <f t="shared" si="18"/>
        <v/>
      </c>
      <c r="Y78" s="26" t="str">
        <f t="shared" si="19"/>
        <v/>
      </c>
      <c r="Z78" s="31" t="str">
        <f t="shared" si="20"/>
        <v/>
      </c>
      <c r="AA78" s="31" t="str">
        <f>IF(D78="","",IF(H78&lt;=$B$16,1,IF(H78&gt;=$B$17,$B$21,MATCH(H78,Aux_CAV!$A$2:$A$121,1))))</f>
        <v/>
      </c>
      <c r="AB78" s="31" t="str">
        <f>IF(D78="","",IF(L78&lt;=$B$16,1,IF(L78&gt;=$B$17,$B$21,MATCH(L78,Aux_CAV!$A$2:$A$121,1))))</f>
        <v/>
      </c>
      <c r="AC78" s="3" t="str">
        <f t="shared" si="21"/>
        <v/>
      </c>
    </row>
    <row r="79" ht="12.75" customHeight="1">
      <c r="A79" s="25" t="str">
        <f t="shared" si="1"/>
        <v/>
      </c>
      <c r="B79" s="29" t="str">
        <f t="array" ref="B79">IF(D79="","",IFERROR(VALUE(INDEX(Vazoes_COLAR!$A$2:$A$200,INT((ROW()-24)/12)+1)),""))</f>
        <v/>
      </c>
      <c r="C79" s="29" t="str">
        <f t="shared" si="2"/>
        <v/>
      </c>
      <c r="D79" s="26" t="str">
        <f t="array" ref="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9" s="26" t="str">
        <f t="shared" si="3"/>
        <v/>
      </c>
      <c r="F79" s="26" t="str">
        <f t="array" ref="F79">IF(D79="","",IFERROR(INDEX(Dados_Evap!$C$2:$N$15,MATCH($B$9,Dados_Evap!$A$2:$A$15,0),C79),0))</f>
        <v/>
      </c>
      <c r="G79" s="26" t="str">
        <f t="shared" si="4"/>
        <v/>
      </c>
      <c r="H79" s="26" t="str">
        <f t="shared" si="22"/>
        <v/>
      </c>
      <c r="I79" s="26" t="str">
        <f t="array" ref="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/>
      </c>
      <c r="J79" s="26" t="str">
        <f t="shared" si="5"/>
        <v/>
      </c>
      <c r="K79" s="26" t="str">
        <f t="shared" si="6"/>
        <v/>
      </c>
      <c r="L79" s="26" t="str">
        <f t="shared" si="7"/>
        <v/>
      </c>
      <c r="M79" s="26" t="str">
        <f t="array" ref="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/>
      </c>
      <c r="N79" s="26" t="str">
        <f t="shared" si="8"/>
        <v/>
      </c>
      <c r="O79" s="26" t="str">
        <f t="shared" si="9"/>
        <v/>
      </c>
      <c r="P79" s="26" t="str">
        <f t="shared" si="10"/>
        <v/>
      </c>
      <c r="Q79" s="26" t="str">
        <f t="shared" si="11"/>
        <v/>
      </c>
      <c r="R79" s="26" t="str">
        <f t="shared" si="12"/>
        <v/>
      </c>
      <c r="S79" s="26" t="str">
        <f t="shared" si="13"/>
        <v/>
      </c>
      <c r="T79" s="26" t="str">
        <f t="shared" si="14"/>
        <v/>
      </c>
      <c r="U79" s="26" t="str">
        <f t="shared" si="15"/>
        <v/>
      </c>
      <c r="V79" s="26" t="str">
        <f t="shared" si="16"/>
        <v/>
      </c>
      <c r="W79" s="26" t="str">
        <f t="shared" si="17"/>
        <v/>
      </c>
      <c r="X79" s="26" t="str">
        <f t="shared" si="18"/>
        <v/>
      </c>
      <c r="Y79" s="26" t="str">
        <f t="shared" si="19"/>
        <v/>
      </c>
      <c r="Z79" s="31" t="str">
        <f t="shared" si="20"/>
        <v/>
      </c>
      <c r="AA79" s="31" t="str">
        <f>IF(D79="","",IF(H79&lt;=$B$16,1,IF(H79&gt;=$B$17,$B$21,MATCH(H79,Aux_CAV!$A$2:$A$121,1))))</f>
        <v/>
      </c>
      <c r="AB79" s="31" t="str">
        <f>IF(D79="","",IF(L79&lt;=$B$16,1,IF(L79&gt;=$B$17,$B$21,MATCH(L79,Aux_CAV!$A$2:$A$121,1))))</f>
        <v/>
      </c>
      <c r="AC79" s="3" t="str">
        <f t="shared" si="21"/>
        <v/>
      </c>
    </row>
    <row r="80" ht="12.75" customHeight="1">
      <c r="A80" s="25" t="str">
        <f t="shared" si="1"/>
        <v/>
      </c>
      <c r="B80" s="29" t="str">
        <f t="array" ref="B80">IF(D80="","",IFERROR(VALUE(INDEX(Vazoes_COLAR!$A$2:$A$200,INT((ROW()-24)/12)+1)),""))</f>
        <v/>
      </c>
      <c r="C80" s="29" t="str">
        <f t="shared" si="2"/>
        <v/>
      </c>
      <c r="D80" s="26" t="str">
        <f t="array" ref="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0" s="26" t="str">
        <f t="shared" si="3"/>
        <v/>
      </c>
      <c r="F80" s="26" t="str">
        <f t="array" ref="F80">IF(D80="","",IFERROR(INDEX(Dados_Evap!$C$2:$N$15,MATCH($B$9,Dados_Evap!$A$2:$A$15,0),C80),0))</f>
        <v/>
      </c>
      <c r="G80" s="26" t="str">
        <f t="shared" si="4"/>
        <v/>
      </c>
      <c r="H80" s="26" t="str">
        <f t="shared" si="22"/>
        <v/>
      </c>
      <c r="I80" s="26" t="str">
        <f t="array" ref="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/>
      </c>
      <c r="J80" s="26" t="str">
        <f t="shared" si="5"/>
        <v/>
      </c>
      <c r="K80" s="26" t="str">
        <f t="shared" si="6"/>
        <v/>
      </c>
      <c r="L80" s="26" t="str">
        <f t="shared" si="7"/>
        <v/>
      </c>
      <c r="M80" s="26" t="str">
        <f t="array" ref="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/>
      </c>
      <c r="N80" s="26" t="str">
        <f t="shared" si="8"/>
        <v/>
      </c>
      <c r="O80" s="26" t="str">
        <f t="shared" si="9"/>
        <v/>
      </c>
      <c r="P80" s="26" t="str">
        <f t="shared" si="10"/>
        <v/>
      </c>
      <c r="Q80" s="26" t="str">
        <f t="shared" si="11"/>
        <v/>
      </c>
      <c r="R80" s="26" t="str">
        <f t="shared" si="12"/>
        <v/>
      </c>
      <c r="S80" s="26" t="str">
        <f t="shared" si="13"/>
        <v/>
      </c>
      <c r="T80" s="26" t="str">
        <f t="shared" si="14"/>
        <v/>
      </c>
      <c r="U80" s="26" t="str">
        <f t="shared" si="15"/>
        <v/>
      </c>
      <c r="V80" s="26" t="str">
        <f t="shared" si="16"/>
        <v/>
      </c>
      <c r="W80" s="26" t="str">
        <f t="shared" si="17"/>
        <v/>
      </c>
      <c r="X80" s="26" t="str">
        <f t="shared" si="18"/>
        <v/>
      </c>
      <c r="Y80" s="26" t="str">
        <f t="shared" si="19"/>
        <v/>
      </c>
      <c r="Z80" s="31" t="str">
        <f t="shared" si="20"/>
        <v/>
      </c>
      <c r="AA80" s="31" t="str">
        <f>IF(D80="","",IF(H80&lt;=$B$16,1,IF(H80&gt;=$B$17,$B$21,MATCH(H80,Aux_CAV!$A$2:$A$121,1))))</f>
        <v/>
      </c>
      <c r="AB80" s="31" t="str">
        <f>IF(D80="","",IF(L80&lt;=$B$16,1,IF(L80&gt;=$B$17,$B$21,MATCH(L80,Aux_CAV!$A$2:$A$121,1))))</f>
        <v/>
      </c>
      <c r="AC80" s="3" t="str">
        <f t="shared" si="21"/>
        <v/>
      </c>
    </row>
    <row r="81" ht="12.75" customHeight="1">
      <c r="A81" s="25" t="str">
        <f t="shared" si="1"/>
        <v/>
      </c>
      <c r="B81" s="29" t="str">
        <f t="array" ref="B81">IF(D81="","",IFERROR(VALUE(INDEX(Vazoes_COLAR!$A$2:$A$200,INT((ROW()-24)/12)+1)),""))</f>
        <v/>
      </c>
      <c r="C81" s="29" t="str">
        <f t="shared" si="2"/>
        <v/>
      </c>
      <c r="D81" s="26" t="str">
        <f t="array" ref="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1" s="26" t="str">
        <f t="shared" si="3"/>
        <v/>
      </c>
      <c r="F81" s="26" t="str">
        <f t="array" ref="F81">IF(D81="","",IFERROR(INDEX(Dados_Evap!$C$2:$N$15,MATCH($B$9,Dados_Evap!$A$2:$A$15,0),C81),0))</f>
        <v/>
      </c>
      <c r="G81" s="26" t="str">
        <f t="shared" si="4"/>
        <v/>
      </c>
      <c r="H81" s="26" t="str">
        <f t="shared" si="22"/>
        <v/>
      </c>
      <c r="I81" s="26" t="str">
        <f t="array" ref="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/>
      </c>
      <c r="J81" s="26" t="str">
        <f t="shared" si="5"/>
        <v/>
      </c>
      <c r="K81" s="26" t="str">
        <f t="shared" si="6"/>
        <v/>
      </c>
      <c r="L81" s="26" t="str">
        <f t="shared" si="7"/>
        <v/>
      </c>
      <c r="M81" s="26" t="str">
        <f t="array" ref="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/>
      </c>
      <c r="N81" s="26" t="str">
        <f t="shared" si="8"/>
        <v/>
      </c>
      <c r="O81" s="26" t="str">
        <f t="shared" si="9"/>
        <v/>
      </c>
      <c r="P81" s="26" t="str">
        <f t="shared" si="10"/>
        <v/>
      </c>
      <c r="Q81" s="26" t="str">
        <f t="shared" si="11"/>
        <v/>
      </c>
      <c r="R81" s="26" t="str">
        <f t="shared" si="12"/>
        <v/>
      </c>
      <c r="S81" s="26" t="str">
        <f t="shared" si="13"/>
        <v/>
      </c>
      <c r="T81" s="26" t="str">
        <f t="shared" si="14"/>
        <v/>
      </c>
      <c r="U81" s="26" t="str">
        <f t="shared" si="15"/>
        <v/>
      </c>
      <c r="V81" s="26" t="str">
        <f t="shared" si="16"/>
        <v/>
      </c>
      <c r="W81" s="26" t="str">
        <f t="shared" si="17"/>
        <v/>
      </c>
      <c r="X81" s="26" t="str">
        <f t="shared" si="18"/>
        <v/>
      </c>
      <c r="Y81" s="26" t="str">
        <f t="shared" si="19"/>
        <v/>
      </c>
      <c r="Z81" s="31" t="str">
        <f t="shared" si="20"/>
        <v/>
      </c>
      <c r="AA81" s="31" t="str">
        <f>IF(D81="","",IF(H81&lt;=$B$16,1,IF(H81&gt;=$B$17,$B$21,MATCH(H81,Aux_CAV!$A$2:$A$121,1))))</f>
        <v/>
      </c>
      <c r="AB81" s="31" t="str">
        <f>IF(D81="","",IF(L81&lt;=$B$16,1,IF(L81&gt;=$B$17,$B$21,MATCH(L81,Aux_CAV!$A$2:$A$121,1))))</f>
        <v/>
      </c>
      <c r="AC81" s="3" t="str">
        <f t="shared" si="21"/>
        <v/>
      </c>
    </row>
    <row r="82" ht="12.75" customHeight="1">
      <c r="A82" s="25" t="str">
        <f t="shared" si="1"/>
        <v/>
      </c>
      <c r="B82" s="29" t="str">
        <f t="array" ref="B82">IF(D82="","",IFERROR(VALUE(INDEX(Vazoes_COLAR!$A$2:$A$200,INT((ROW()-24)/12)+1)),""))</f>
        <v/>
      </c>
      <c r="C82" s="29" t="str">
        <f t="shared" si="2"/>
        <v/>
      </c>
      <c r="D82" s="26" t="str">
        <f t="array" ref="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2" s="26" t="str">
        <f t="shared" si="3"/>
        <v/>
      </c>
      <c r="F82" s="26" t="str">
        <f t="array" ref="F82">IF(D82="","",IFERROR(INDEX(Dados_Evap!$C$2:$N$15,MATCH($B$9,Dados_Evap!$A$2:$A$15,0),C82),0))</f>
        <v/>
      </c>
      <c r="G82" s="26" t="str">
        <f t="shared" si="4"/>
        <v/>
      </c>
      <c r="H82" s="26" t="str">
        <f t="shared" si="22"/>
        <v/>
      </c>
      <c r="I82" s="26" t="str">
        <f t="array" ref="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/>
      </c>
      <c r="J82" s="26" t="str">
        <f t="shared" si="5"/>
        <v/>
      </c>
      <c r="K82" s="26" t="str">
        <f t="shared" si="6"/>
        <v/>
      </c>
      <c r="L82" s="26" t="str">
        <f t="shared" si="7"/>
        <v/>
      </c>
      <c r="M82" s="26" t="str">
        <f t="array" ref="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/>
      </c>
      <c r="N82" s="26" t="str">
        <f t="shared" si="8"/>
        <v/>
      </c>
      <c r="O82" s="26" t="str">
        <f t="shared" si="9"/>
        <v/>
      </c>
      <c r="P82" s="26" t="str">
        <f t="shared" si="10"/>
        <v/>
      </c>
      <c r="Q82" s="26" t="str">
        <f t="shared" si="11"/>
        <v/>
      </c>
      <c r="R82" s="26" t="str">
        <f t="shared" si="12"/>
        <v/>
      </c>
      <c r="S82" s="26" t="str">
        <f t="shared" si="13"/>
        <v/>
      </c>
      <c r="T82" s="26" t="str">
        <f t="shared" si="14"/>
        <v/>
      </c>
      <c r="U82" s="26" t="str">
        <f t="shared" si="15"/>
        <v/>
      </c>
      <c r="V82" s="26" t="str">
        <f t="shared" si="16"/>
        <v/>
      </c>
      <c r="W82" s="26" t="str">
        <f t="shared" si="17"/>
        <v/>
      </c>
      <c r="X82" s="26" t="str">
        <f t="shared" si="18"/>
        <v/>
      </c>
      <c r="Y82" s="26" t="str">
        <f t="shared" si="19"/>
        <v/>
      </c>
      <c r="Z82" s="31" t="str">
        <f t="shared" si="20"/>
        <v/>
      </c>
      <c r="AA82" s="31" t="str">
        <f>IF(D82="","",IF(H82&lt;=$B$16,1,IF(H82&gt;=$B$17,$B$21,MATCH(H82,Aux_CAV!$A$2:$A$121,1))))</f>
        <v/>
      </c>
      <c r="AB82" s="31" t="str">
        <f>IF(D82="","",IF(L82&lt;=$B$16,1,IF(L82&gt;=$B$17,$B$21,MATCH(L82,Aux_CAV!$A$2:$A$121,1))))</f>
        <v/>
      </c>
      <c r="AC82" s="3" t="str">
        <f t="shared" si="21"/>
        <v/>
      </c>
    </row>
    <row r="83" ht="12.75" customHeight="1">
      <c r="A83" s="25" t="str">
        <f t="shared" si="1"/>
        <v/>
      </c>
      <c r="B83" s="29" t="str">
        <f t="array" ref="B83">IF(D83="","",IFERROR(VALUE(INDEX(Vazoes_COLAR!$A$2:$A$200,INT((ROW()-24)/12)+1)),""))</f>
        <v/>
      </c>
      <c r="C83" s="29" t="str">
        <f t="shared" si="2"/>
        <v/>
      </c>
      <c r="D83" s="26" t="str">
        <f t="array" ref="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3" s="26" t="str">
        <f t="shared" si="3"/>
        <v/>
      </c>
      <c r="F83" s="26" t="str">
        <f t="array" ref="F83">IF(D83="","",IFERROR(INDEX(Dados_Evap!$C$2:$N$15,MATCH($B$9,Dados_Evap!$A$2:$A$15,0),C83),0))</f>
        <v/>
      </c>
      <c r="G83" s="26" t="str">
        <f t="shared" si="4"/>
        <v/>
      </c>
      <c r="H83" s="26" t="str">
        <f t="shared" si="22"/>
        <v/>
      </c>
      <c r="I83" s="26" t="str">
        <f t="array" ref="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/>
      </c>
      <c r="J83" s="26" t="str">
        <f t="shared" si="5"/>
        <v/>
      </c>
      <c r="K83" s="26" t="str">
        <f t="shared" si="6"/>
        <v/>
      </c>
      <c r="L83" s="26" t="str">
        <f t="shared" si="7"/>
        <v/>
      </c>
      <c r="M83" s="26" t="str">
        <f t="array" ref="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/>
      </c>
      <c r="N83" s="26" t="str">
        <f t="shared" si="8"/>
        <v/>
      </c>
      <c r="O83" s="26" t="str">
        <f t="shared" si="9"/>
        <v/>
      </c>
      <c r="P83" s="26" t="str">
        <f t="shared" si="10"/>
        <v/>
      </c>
      <c r="Q83" s="26" t="str">
        <f t="shared" si="11"/>
        <v/>
      </c>
      <c r="R83" s="26" t="str">
        <f t="shared" si="12"/>
        <v/>
      </c>
      <c r="S83" s="26" t="str">
        <f t="shared" si="13"/>
        <v/>
      </c>
      <c r="T83" s="26" t="str">
        <f t="shared" si="14"/>
        <v/>
      </c>
      <c r="U83" s="26" t="str">
        <f t="shared" si="15"/>
        <v/>
      </c>
      <c r="V83" s="26" t="str">
        <f t="shared" si="16"/>
        <v/>
      </c>
      <c r="W83" s="26" t="str">
        <f t="shared" si="17"/>
        <v/>
      </c>
      <c r="X83" s="26" t="str">
        <f t="shared" si="18"/>
        <v/>
      </c>
      <c r="Y83" s="26" t="str">
        <f t="shared" si="19"/>
        <v/>
      </c>
      <c r="Z83" s="31" t="str">
        <f t="shared" si="20"/>
        <v/>
      </c>
      <c r="AA83" s="31" t="str">
        <f>IF(D83="","",IF(H83&lt;=$B$16,1,IF(H83&gt;=$B$17,$B$21,MATCH(H83,Aux_CAV!$A$2:$A$121,1))))</f>
        <v/>
      </c>
      <c r="AB83" s="31" t="str">
        <f>IF(D83="","",IF(L83&lt;=$B$16,1,IF(L83&gt;=$B$17,$B$21,MATCH(L83,Aux_CAV!$A$2:$A$121,1))))</f>
        <v/>
      </c>
      <c r="AC83" s="3" t="str">
        <f t="shared" si="21"/>
        <v/>
      </c>
    </row>
    <row r="84" ht="12.75" customHeight="1">
      <c r="A84" s="25" t="str">
        <f t="shared" si="1"/>
        <v/>
      </c>
      <c r="B84" s="29" t="str">
        <f t="array" ref="B84">IF(D84="","",IFERROR(VALUE(INDEX(Vazoes_COLAR!$A$2:$A$200,INT((ROW()-24)/12)+1)),""))</f>
        <v/>
      </c>
      <c r="C84" s="29" t="str">
        <f t="shared" si="2"/>
        <v/>
      </c>
      <c r="D84" s="26" t="str">
        <f t="array" ref="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4" s="26" t="str">
        <f t="shared" si="3"/>
        <v/>
      </c>
      <c r="F84" s="26" t="str">
        <f t="array" ref="F84">IF(D84="","",IFERROR(INDEX(Dados_Evap!$C$2:$N$15,MATCH($B$9,Dados_Evap!$A$2:$A$15,0),C84),0))</f>
        <v/>
      </c>
      <c r="G84" s="26" t="str">
        <f t="shared" si="4"/>
        <v/>
      </c>
      <c r="H84" s="26" t="str">
        <f t="shared" si="22"/>
        <v/>
      </c>
      <c r="I84" s="26" t="str">
        <f t="array" ref="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/>
      </c>
      <c r="J84" s="26" t="str">
        <f t="shared" si="5"/>
        <v/>
      </c>
      <c r="K84" s="26" t="str">
        <f t="shared" si="6"/>
        <v/>
      </c>
      <c r="L84" s="26" t="str">
        <f t="shared" si="7"/>
        <v/>
      </c>
      <c r="M84" s="26" t="str">
        <f t="array" ref="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/>
      </c>
      <c r="N84" s="26" t="str">
        <f t="shared" si="8"/>
        <v/>
      </c>
      <c r="O84" s="26" t="str">
        <f t="shared" si="9"/>
        <v/>
      </c>
      <c r="P84" s="26" t="str">
        <f t="shared" si="10"/>
        <v/>
      </c>
      <c r="Q84" s="26" t="str">
        <f t="shared" si="11"/>
        <v/>
      </c>
      <c r="R84" s="26" t="str">
        <f t="shared" si="12"/>
        <v/>
      </c>
      <c r="S84" s="26" t="str">
        <f t="shared" si="13"/>
        <v/>
      </c>
      <c r="T84" s="26" t="str">
        <f t="shared" si="14"/>
        <v/>
      </c>
      <c r="U84" s="26" t="str">
        <f t="shared" si="15"/>
        <v/>
      </c>
      <c r="V84" s="26" t="str">
        <f t="shared" si="16"/>
        <v/>
      </c>
      <c r="W84" s="26" t="str">
        <f t="shared" si="17"/>
        <v/>
      </c>
      <c r="X84" s="26" t="str">
        <f t="shared" si="18"/>
        <v/>
      </c>
      <c r="Y84" s="26" t="str">
        <f t="shared" si="19"/>
        <v/>
      </c>
      <c r="Z84" s="31" t="str">
        <f t="shared" si="20"/>
        <v/>
      </c>
      <c r="AA84" s="31" t="str">
        <f>IF(D84="","",IF(H84&lt;=$B$16,1,IF(H84&gt;=$B$17,$B$21,MATCH(H84,Aux_CAV!$A$2:$A$121,1))))</f>
        <v/>
      </c>
      <c r="AB84" s="31" t="str">
        <f>IF(D84="","",IF(L84&lt;=$B$16,1,IF(L84&gt;=$B$17,$B$21,MATCH(L84,Aux_CAV!$A$2:$A$121,1))))</f>
        <v/>
      </c>
      <c r="AC84" s="3" t="str">
        <f t="shared" si="21"/>
        <v/>
      </c>
    </row>
    <row r="85" ht="12.75" customHeight="1">
      <c r="A85" s="25" t="str">
        <f t="shared" si="1"/>
        <v/>
      </c>
      <c r="B85" s="29" t="str">
        <f t="array" ref="B85">IF(D85="","",IFERROR(VALUE(INDEX(Vazoes_COLAR!$A$2:$A$200,INT((ROW()-24)/12)+1)),""))</f>
        <v/>
      </c>
      <c r="C85" s="29" t="str">
        <f t="shared" si="2"/>
        <v/>
      </c>
      <c r="D85" s="26" t="str">
        <f t="array" ref="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5" s="26" t="str">
        <f t="shared" si="3"/>
        <v/>
      </c>
      <c r="F85" s="26" t="str">
        <f t="array" ref="F85">IF(D85="","",IFERROR(INDEX(Dados_Evap!$C$2:$N$15,MATCH($B$9,Dados_Evap!$A$2:$A$15,0),C85),0))</f>
        <v/>
      </c>
      <c r="G85" s="26" t="str">
        <f t="shared" si="4"/>
        <v/>
      </c>
      <c r="H85" s="26" t="str">
        <f t="shared" si="22"/>
        <v/>
      </c>
      <c r="I85" s="26" t="str">
        <f t="array" ref="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/>
      </c>
      <c r="J85" s="26" t="str">
        <f t="shared" si="5"/>
        <v/>
      </c>
      <c r="K85" s="26" t="str">
        <f t="shared" si="6"/>
        <v/>
      </c>
      <c r="L85" s="26" t="str">
        <f t="shared" si="7"/>
        <v/>
      </c>
      <c r="M85" s="26" t="str">
        <f t="array" ref="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/>
      </c>
      <c r="N85" s="26" t="str">
        <f t="shared" si="8"/>
        <v/>
      </c>
      <c r="O85" s="26" t="str">
        <f t="shared" si="9"/>
        <v/>
      </c>
      <c r="P85" s="26" t="str">
        <f t="shared" si="10"/>
        <v/>
      </c>
      <c r="Q85" s="26" t="str">
        <f t="shared" si="11"/>
        <v/>
      </c>
      <c r="R85" s="26" t="str">
        <f t="shared" si="12"/>
        <v/>
      </c>
      <c r="S85" s="26" t="str">
        <f t="shared" si="13"/>
        <v/>
      </c>
      <c r="T85" s="26" t="str">
        <f t="shared" si="14"/>
        <v/>
      </c>
      <c r="U85" s="26" t="str">
        <f t="shared" si="15"/>
        <v/>
      </c>
      <c r="V85" s="26" t="str">
        <f t="shared" si="16"/>
        <v/>
      </c>
      <c r="W85" s="26" t="str">
        <f t="shared" si="17"/>
        <v/>
      </c>
      <c r="X85" s="26" t="str">
        <f t="shared" si="18"/>
        <v/>
      </c>
      <c r="Y85" s="26" t="str">
        <f t="shared" si="19"/>
        <v/>
      </c>
      <c r="Z85" s="31" t="str">
        <f t="shared" si="20"/>
        <v/>
      </c>
      <c r="AA85" s="31" t="str">
        <f>IF(D85="","",IF(H85&lt;=$B$16,1,IF(H85&gt;=$B$17,$B$21,MATCH(H85,Aux_CAV!$A$2:$A$121,1))))</f>
        <v/>
      </c>
      <c r="AB85" s="31" t="str">
        <f>IF(D85="","",IF(L85&lt;=$B$16,1,IF(L85&gt;=$B$17,$B$21,MATCH(L85,Aux_CAV!$A$2:$A$121,1))))</f>
        <v/>
      </c>
      <c r="AC85" s="3" t="str">
        <f t="shared" si="21"/>
        <v/>
      </c>
    </row>
    <row r="86" ht="12.75" customHeight="1">
      <c r="A86" s="25" t="str">
        <f t="shared" si="1"/>
        <v/>
      </c>
      <c r="B86" s="29" t="str">
        <f t="array" ref="B86">IF(D86="","",IFERROR(VALUE(INDEX(Vazoes_COLAR!$A$2:$A$200,INT((ROW()-24)/12)+1)),""))</f>
        <v/>
      </c>
      <c r="C86" s="29" t="str">
        <f t="shared" si="2"/>
        <v/>
      </c>
      <c r="D86" s="26" t="str">
        <f t="array" ref="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6" s="26" t="str">
        <f t="shared" si="3"/>
        <v/>
      </c>
      <c r="F86" s="26" t="str">
        <f t="array" ref="F86">IF(D86="","",IFERROR(INDEX(Dados_Evap!$C$2:$N$15,MATCH($B$9,Dados_Evap!$A$2:$A$15,0),C86),0))</f>
        <v/>
      </c>
      <c r="G86" s="26" t="str">
        <f t="shared" si="4"/>
        <v/>
      </c>
      <c r="H86" s="26" t="str">
        <f t="shared" si="22"/>
        <v/>
      </c>
      <c r="I86" s="26" t="str">
        <f t="array" ref="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/>
      </c>
      <c r="J86" s="26" t="str">
        <f t="shared" si="5"/>
        <v/>
      </c>
      <c r="K86" s="26" t="str">
        <f t="shared" si="6"/>
        <v/>
      </c>
      <c r="L86" s="26" t="str">
        <f t="shared" si="7"/>
        <v/>
      </c>
      <c r="M86" s="26" t="str">
        <f t="array" ref="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/>
      </c>
      <c r="N86" s="26" t="str">
        <f t="shared" si="8"/>
        <v/>
      </c>
      <c r="O86" s="26" t="str">
        <f t="shared" si="9"/>
        <v/>
      </c>
      <c r="P86" s="26" t="str">
        <f t="shared" si="10"/>
        <v/>
      </c>
      <c r="Q86" s="26" t="str">
        <f t="shared" si="11"/>
        <v/>
      </c>
      <c r="R86" s="26" t="str">
        <f t="shared" si="12"/>
        <v/>
      </c>
      <c r="S86" s="26" t="str">
        <f t="shared" si="13"/>
        <v/>
      </c>
      <c r="T86" s="26" t="str">
        <f t="shared" si="14"/>
        <v/>
      </c>
      <c r="U86" s="26" t="str">
        <f t="shared" si="15"/>
        <v/>
      </c>
      <c r="V86" s="26" t="str">
        <f t="shared" si="16"/>
        <v/>
      </c>
      <c r="W86" s="26" t="str">
        <f t="shared" si="17"/>
        <v/>
      </c>
      <c r="X86" s="26" t="str">
        <f t="shared" si="18"/>
        <v/>
      </c>
      <c r="Y86" s="26" t="str">
        <f t="shared" si="19"/>
        <v/>
      </c>
      <c r="Z86" s="31" t="str">
        <f t="shared" si="20"/>
        <v/>
      </c>
      <c r="AA86" s="31" t="str">
        <f>IF(D86="","",IF(H86&lt;=$B$16,1,IF(H86&gt;=$B$17,$B$21,MATCH(H86,Aux_CAV!$A$2:$A$121,1))))</f>
        <v/>
      </c>
      <c r="AB86" s="31" t="str">
        <f>IF(D86="","",IF(L86&lt;=$B$16,1,IF(L86&gt;=$B$17,$B$21,MATCH(L86,Aux_CAV!$A$2:$A$121,1))))</f>
        <v/>
      </c>
      <c r="AC86" s="3" t="str">
        <f t="shared" si="21"/>
        <v/>
      </c>
    </row>
    <row r="87" ht="12.75" customHeight="1">
      <c r="A87" s="25" t="str">
        <f t="shared" si="1"/>
        <v/>
      </c>
      <c r="B87" s="29" t="str">
        <f t="array" ref="B87">IF(D87="","",IFERROR(VALUE(INDEX(Vazoes_COLAR!$A$2:$A$200,INT((ROW()-24)/12)+1)),""))</f>
        <v/>
      </c>
      <c r="C87" s="29" t="str">
        <f t="shared" si="2"/>
        <v/>
      </c>
      <c r="D87" s="26" t="str">
        <f t="array" ref="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7" s="26" t="str">
        <f t="shared" si="3"/>
        <v/>
      </c>
      <c r="F87" s="26" t="str">
        <f t="array" ref="F87">IF(D87="","",IFERROR(INDEX(Dados_Evap!$C$2:$N$15,MATCH($B$9,Dados_Evap!$A$2:$A$15,0),C87),0))</f>
        <v/>
      </c>
      <c r="G87" s="26" t="str">
        <f t="shared" si="4"/>
        <v/>
      </c>
      <c r="H87" s="26" t="str">
        <f t="shared" si="22"/>
        <v/>
      </c>
      <c r="I87" s="26" t="str">
        <f t="array" ref="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/>
      </c>
      <c r="J87" s="26" t="str">
        <f t="shared" si="5"/>
        <v/>
      </c>
      <c r="K87" s="26" t="str">
        <f t="shared" si="6"/>
        <v/>
      </c>
      <c r="L87" s="26" t="str">
        <f t="shared" si="7"/>
        <v/>
      </c>
      <c r="M87" s="26" t="str">
        <f t="array" ref="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/>
      </c>
      <c r="N87" s="26" t="str">
        <f t="shared" si="8"/>
        <v/>
      </c>
      <c r="O87" s="26" t="str">
        <f t="shared" si="9"/>
        <v/>
      </c>
      <c r="P87" s="26" t="str">
        <f t="shared" si="10"/>
        <v/>
      </c>
      <c r="Q87" s="26" t="str">
        <f t="shared" si="11"/>
        <v/>
      </c>
      <c r="R87" s="26" t="str">
        <f t="shared" si="12"/>
        <v/>
      </c>
      <c r="S87" s="26" t="str">
        <f t="shared" si="13"/>
        <v/>
      </c>
      <c r="T87" s="26" t="str">
        <f t="shared" si="14"/>
        <v/>
      </c>
      <c r="U87" s="26" t="str">
        <f t="shared" si="15"/>
        <v/>
      </c>
      <c r="V87" s="26" t="str">
        <f t="shared" si="16"/>
        <v/>
      </c>
      <c r="W87" s="26" t="str">
        <f t="shared" si="17"/>
        <v/>
      </c>
      <c r="X87" s="26" t="str">
        <f t="shared" si="18"/>
        <v/>
      </c>
      <c r="Y87" s="26" t="str">
        <f t="shared" si="19"/>
        <v/>
      </c>
      <c r="Z87" s="31" t="str">
        <f t="shared" si="20"/>
        <v/>
      </c>
      <c r="AA87" s="31" t="str">
        <f>IF(D87="","",IF(H87&lt;=$B$16,1,IF(H87&gt;=$B$17,$B$21,MATCH(H87,Aux_CAV!$A$2:$A$121,1))))</f>
        <v/>
      </c>
      <c r="AB87" s="31" t="str">
        <f>IF(D87="","",IF(L87&lt;=$B$16,1,IF(L87&gt;=$B$17,$B$21,MATCH(L87,Aux_CAV!$A$2:$A$121,1))))</f>
        <v/>
      </c>
      <c r="AC87" s="3" t="str">
        <f t="shared" si="21"/>
        <v/>
      </c>
    </row>
    <row r="88" ht="12.75" customHeight="1">
      <c r="A88" s="25" t="str">
        <f t="shared" si="1"/>
        <v/>
      </c>
      <c r="B88" s="29" t="str">
        <f t="array" ref="B88">IF(D88="","",IFERROR(VALUE(INDEX(Vazoes_COLAR!$A$2:$A$200,INT((ROW()-24)/12)+1)),""))</f>
        <v/>
      </c>
      <c r="C88" s="29" t="str">
        <f t="shared" si="2"/>
        <v/>
      </c>
      <c r="D88" s="26" t="str">
        <f t="array" ref="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8" s="26" t="str">
        <f t="shared" si="3"/>
        <v/>
      </c>
      <c r="F88" s="26" t="str">
        <f t="array" ref="F88">IF(D88="","",IFERROR(INDEX(Dados_Evap!$C$2:$N$15,MATCH($B$9,Dados_Evap!$A$2:$A$15,0),C88),0))</f>
        <v/>
      </c>
      <c r="G88" s="26" t="str">
        <f t="shared" si="4"/>
        <v/>
      </c>
      <c r="H88" s="26" t="str">
        <f t="shared" si="22"/>
        <v/>
      </c>
      <c r="I88" s="26" t="str">
        <f t="array" ref="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/>
      </c>
      <c r="J88" s="26" t="str">
        <f t="shared" si="5"/>
        <v/>
      </c>
      <c r="K88" s="26" t="str">
        <f t="shared" si="6"/>
        <v/>
      </c>
      <c r="L88" s="26" t="str">
        <f t="shared" si="7"/>
        <v/>
      </c>
      <c r="M88" s="26" t="str">
        <f t="array" ref="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/>
      </c>
      <c r="N88" s="26" t="str">
        <f t="shared" si="8"/>
        <v/>
      </c>
      <c r="O88" s="26" t="str">
        <f t="shared" si="9"/>
        <v/>
      </c>
      <c r="P88" s="26" t="str">
        <f t="shared" si="10"/>
        <v/>
      </c>
      <c r="Q88" s="26" t="str">
        <f t="shared" si="11"/>
        <v/>
      </c>
      <c r="R88" s="26" t="str">
        <f t="shared" si="12"/>
        <v/>
      </c>
      <c r="S88" s="26" t="str">
        <f t="shared" si="13"/>
        <v/>
      </c>
      <c r="T88" s="26" t="str">
        <f t="shared" si="14"/>
        <v/>
      </c>
      <c r="U88" s="26" t="str">
        <f t="shared" si="15"/>
        <v/>
      </c>
      <c r="V88" s="26" t="str">
        <f t="shared" si="16"/>
        <v/>
      </c>
      <c r="W88" s="26" t="str">
        <f t="shared" si="17"/>
        <v/>
      </c>
      <c r="X88" s="26" t="str">
        <f t="shared" si="18"/>
        <v/>
      </c>
      <c r="Y88" s="26" t="str">
        <f t="shared" si="19"/>
        <v/>
      </c>
      <c r="Z88" s="31" t="str">
        <f t="shared" si="20"/>
        <v/>
      </c>
      <c r="AA88" s="31" t="str">
        <f>IF(D88="","",IF(H88&lt;=$B$16,1,IF(H88&gt;=$B$17,$B$21,MATCH(H88,Aux_CAV!$A$2:$A$121,1))))</f>
        <v/>
      </c>
      <c r="AB88" s="31" t="str">
        <f>IF(D88="","",IF(L88&lt;=$B$16,1,IF(L88&gt;=$B$17,$B$21,MATCH(L88,Aux_CAV!$A$2:$A$121,1))))</f>
        <v/>
      </c>
      <c r="AC88" s="3" t="str">
        <f t="shared" si="21"/>
        <v/>
      </c>
    </row>
    <row r="89" ht="12.75" customHeight="1">
      <c r="A89" s="25" t="str">
        <f t="shared" si="1"/>
        <v/>
      </c>
      <c r="B89" s="29" t="str">
        <f t="array" ref="B89">IF(D89="","",IFERROR(VALUE(INDEX(Vazoes_COLAR!$A$2:$A$200,INT((ROW()-24)/12)+1)),""))</f>
        <v/>
      </c>
      <c r="C89" s="29" t="str">
        <f t="shared" si="2"/>
        <v/>
      </c>
      <c r="D89" s="26" t="str">
        <f t="array" ref="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9" s="26" t="str">
        <f t="shared" si="3"/>
        <v/>
      </c>
      <c r="F89" s="26" t="str">
        <f t="array" ref="F89">IF(D89="","",IFERROR(INDEX(Dados_Evap!$C$2:$N$15,MATCH($B$9,Dados_Evap!$A$2:$A$15,0),C89),0))</f>
        <v/>
      </c>
      <c r="G89" s="26" t="str">
        <f t="shared" si="4"/>
        <v/>
      </c>
      <c r="H89" s="26" t="str">
        <f t="shared" si="22"/>
        <v/>
      </c>
      <c r="I89" s="26" t="str">
        <f t="array" ref="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/>
      </c>
      <c r="J89" s="26" t="str">
        <f t="shared" si="5"/>
        <v/>
      </c>
      <c r="K89" s="26" t="str">
        <f t="shared" si="6"/>
        <v/>
      </c>
      <c r="L89" s="26" t="str">
        <f t="shared" si="7"/>
        <v/>
      </c>
      <c r="M89" s="26" t="str">
        <f t="array" ref="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/>
      </c>
      <c r="N89" s="26" t="str">
        <f t="shared" si="8"/>
        <v/>
      </c>
      <c r="O89" s="26" t="str">
        <f t="shared" si="9"/>
        <v/>
      </c>
      <c r="P89" s="26" t="str">
        <f t="shared" si="10"/>
        <v/>
      </c>
      <c r="Q89" s="26" t="str">
        <f t="shared" si="11"/>
        <v/>
      </c>
      <c r="R89" s="26" t="str">
        <f t="shared" si="12"/>
        <v/>
      </c>
      <c r="S89" s="26" t="str">
        <f t="shared" si="13"/>
        <v/>
      </c>
      <c r="T89" s="26" t="str">
        <f t="shared" si="14"/>
        <v/>
      </c>
      <c r="U89" s="26" t="str">
        <f t="shared" si="15"/>
        <v/>
      </c>
      <c r="V89" s="26" t="str">
        <f t="shared" si="16"/>
        <v/>
      </c>
      <c r="W89" s="26" t="str">
        <f t="shared" si="17"/>
        <v/>
      </c>
      <c r="X89" s="26" t="str">
        <f t="shared" si="18"/>
        <v/>
      </c>
      <c r="Y89" s="26" t="str">
        <f t="shared" si="19"/>
        <v/>
      </c>
      <c r="Z89" s="31" t="str">
        <f t="shared" si="20"/>
        <v/>
      </c>
      <c r="AA89" s="31" t="str">
        <f>IF(D89="","",IF(H89&lt;=$B$16,1,IF(H89&gt;=$B$17,$B$21,MATCH(H89,Aux_CAV!$A$2:$A$121,1))))</f>
        <v/>
      </c>
      <c r="AB89" s="31" t="str">
        <f>IF(D89="","",IF(L89&lt;=$B$16,1,IF(L89&gt;=$B$17,$B$21,MATCH(L89,Aux_CAV!$A$2:$A$121,1))))</f>
        <v/>
      </c>
      <c r="AC89" s="3" t="str">
        <f t="shared" si="21"/>
        <v/>
      </c>
    </row>
    <row r="90" ht="12.75" customHeight="1">
      <c r="A90" s="25" t="str">
        <f t="shared" si="1"/>
        <v/>
      </c>
      <c r="B90" s="29" t="str">
        <f t="array" ref="B90">IF(D90="","",IFERROR(VALUE(INDEX(Vazoes_COLAR!$A$2:$A$200,INT((ROW()-24)/12)+1)),""))</f>
        <v/>
      </c>
      <c r="C90" s="29" t="str">
        <f t="shared" si="2"/>
        <v/>
      </c>
      <c r="D90" s="26" t="str">
        <f t="array" ref="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0" s="26" t="str">
        <f t="shared" si="3"/>
        <v/>
      </c>
      <c r="F90" s="26" t="str">
        <f t="array" ref="F90">IF(D90="","",IFERROR(INDEX(Dados_Evap!$C$2:$N$15,MATCH($B$9,Dados_Evap!$A$2:$A$15,0),C90),0))</f>
        <v/>
      </c>
      <c r="G90" s="26" t="str">
        <f t="shared" si="4"/>
        <v/>
      </c>
      <c r="H90" s="26" t="str">
        <f t="shared" si="22"/>
        <v/>
      </c>
      <c r="I90" s="26" t="str">
        <f t="array" ref="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/>
      </c>
      <c r="J90" s="26" t="str">
        <f t="shared" si="5"/>
        <v/>
      </c>
      <c r="K90" s="26" t="str">
        <f t="shared" si="6"/>
        <v/>
      </c>
      <c r="L90" s="26" t="str">
        <f t="shared" si="7"/>
        <v/>
      </c>
      <c r="M90" s="26" t="str">
        <f t="array" ref="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/>
      </c>
      <c r="N90" s="26" t="str">
        <f t="shared" si="8"/>
        <v/>
      </c>
      <c r="O90" s="26" t="str">
        <f t="shared" si="9"/>
        <v/>
      </c>
      <c r="P90" s="26" t="str">
        <f t="shared" si="10"/>
        <v/>
      </c>
      <c r="Q90" s="26" t="str">
        <f t="shared" si="11"/>
        <v/>
      </c>
      <c r="R90" s="26" t="str">
        <f t="shared" si="12"/>
        <v/>
      </c>
      <c r="S90" s="26" t="str">
        <f t="shared" si="13"/>
        <v/>
      </c>
      <c r="T90" s="26" t="str">
        <f t="shared" si="14"/>
        <v/>
      </c>
      <c r="U90" s="26" t="str">
        <f t="shared" si="15"/>
        <v/>
      </c>
      <c r="V90" s="26" t="str">
        <f t="shared" si="16"/>
        <v/>
      </c>
      <c r="W90" s="26" t="str">
        <f t="shared" si="17"/>
        <v/>
      </c>
      <c r="X90" s="26" t="str">
        <f t="shared" si="18"/>
        <v/>
      </c>
      <c r="Y90" s="26" t="str">
        <f t="shared" si="19"/>
        <v/>
      </c>
      <c r="Z90" s="31" t="str">
        <f t="shared" si="20"/>
        <v/>
      </c>
      <c r="AA90" s="31" t="str">
        <f>IF(D90="","",IF(H90&lt;=$B$16,1,IF(H90&gt;=$B$17,$B$21,MATCH(H90,Aux_CAV!$A$2:$A$121,1))))</f>
        <v/>
      </c>
      <c r="AB90" s="31" t="str">
        <f>IF(D90="","",IF(L90&lt;=$B$16,1,IF(L90&gt;=$B$17,$B$21,MATCH(L90,Aux_CAV!$A$2:$A$121,1))))</f>
        <v/>
      </c>
      <c r="AC90" s="3" t="str">
        <f t="shared" si="21"/>
        <v/>
      </c>
    </row>
    <row r="91" ht="12.75" customHeight="1">
      <c r="A91" s="25" t="str">
        <f t="shared" si="1"/>
        <v/>
      </c>
      <c r="B91" s="29" t="str">
        <f t="array" ref="B91">IF(D91="","",IFERROR(VALUE(INDEX(Vazoes_COLAR!$A$2:$A$200,INT((ROW()-24)/12)+1)),""))</f>
        <v/>
      </c>
      <c r="C91" s="29" t="str">
        <f t="shared" si="2"/>
        <v/>
      </c>
      <c r="D91" s="26" t="str">
        <f t="array" ref="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1" s="26" t="str">
        <f t="shared" si="3"/>
        <v/>
      </c>
      <c r="F91" s="26" t="str">
        <f t="array" ref="F91">IF(D91="","",IFERROR(INDEX(Dados_Evap!$C$2:$N$15,MATCH($B$9,Dados_Evap!$A$2:$A$15,0),C91),0))</f>
        <v/>
      </c>
      <c r="G91" s="26" t="str">
        <f t="shared" si="4"/>
        <v/>
      </c>
      <c r="H91" s="26" t="str">
        <f t="shared" si="22"/>
        <v/>
      </c>
      <c r="I91" s="26" t="str">
        <f t="array" ref="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/>
      </c>
      <c r="J91" s="26" t="str">
        <f t="shared" si="5"/>
        <v/>
      </c>
      <c r="K91" s="26" t="str">
        <f t="shared" si="6"/>
        <v/>
      </c>
      <c r="L91" s="26" t="str">
        <f t="shared" si="7"/>
        <v/>
      </c>
      <c r="M91" s="26" t="str">
        <f t="array" ref="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/>
      </c>
      <c r="N91" s="26" t="str">
        <f t="shared" si="8"/>
        <v/>
      </c>
      <c r="O91" s="26" t="str">
        <f t="shared" si="9"/>
        <v/>
      </c>
      <c r="P91" s="26" t="str">
        <f t="shared" si="10"/>
        <v/>
      </c>
      <c r="Q91" s="26" t="str">
        <f t="shared" si="11"/>
        <v/>
      </c>
      <c r="R91" s="26" t="str">
        <f t="shared" si="12"/>
        <v/>
      </c>
      <c r="S91" s="26" t="str">
        <f t="shared" si="13"/>
        <v/>
      </c>
      <c r="T91" s="26" t="str">
        <f t="shared" si="14"/>
        <v/>
      </c>
      <c r="U91" s="26" t="str">
        <f t="shared" si="15"/>
        <v/>
      </c>
      <c r="V91" s="26" t="str">
        <f t="shared" si="16"/>
        <v/>
      </c>
      <c r="W91" s="26" t="str">
        <f t="shared" si="17"/>
        <v/>
      </c>
      <c r="X91" s="26" t="str">
        <f t="shared" si="18"/>
        <v/>
      </c>
      <c r="Y91" s="26" t="str">
        <f t="shared" si="19"/>
        <v/>
      </c>
      <c r="Z91" s="31" t="str">
        <f t="shared" si="20"/>
        <v/>
      </c>
      <c r="AA91" s="31" t="str">
        <f>IF(D91="","",IF(H91&lt;=$B$16,1,IF(H91&gt;=$B$17,$B$21,MATCH(H91,Aux_CAV!$A$2:$A$121,1))))</f>
        <v/>
      </c>
      <c r="AB91" s="31" t="str">
        <f>IF(D91="","",IF(L91&lt;=$B$16,1,IF(L91&gt;=$B$17,$B$21,MATCH(L91,Aux_CAV!$A$2:$A$121,1))))</f>
        <v/>
      </c>
      <c r="AC91" s="3" t="str">
        <f t="shared" si="21"/>
        <v/>
      </c>
    </row>
    <row r="92" ht="12.75" customHeight="1">
      <c r="A92" s="25" t="str">
        <f t="shared" si="1"/>
        <v/>
      </c>
      <c r="B92" s="29" t="str">
        <f t="array" ref="B92">IF(D92="","",IFERROR(VALUE(INDEX(Vazoes_COLAR!$A$2:$A$200,INT((ROW()-24)/12)+1)),""))</f>
        <v/>
      </c>
      <c r="C92" s="29" t="str">
        <f t="shared" si="2"/>
        <v/>
      </c>
      <c r="D92" s="26" t="str">
        <f t="array" ref="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2" s="26" t="str">
        <f t="shared" si="3"/>
        <v/>
      </c>
      <c r="F92" s="26" t="str">
        <f t="array" ref="F92">IF(D92="","",IFERROR(INDEX(Dados_Evap!$C$2:$N$15,MATCH($B$9,Dados_Evap!$A$2:$A$15,0),C92),0))</f>
        <v/>
      </c>
      <c r="G92" s="26" t="str">
        <f t="shared" si="4"/>
        <v/>
      </c>
      <c r="H92" s="26" t="str">
        <f t="shared" si="22"/>
        <v/>
      </c>
      <c r="I92" s="26" t="str">
        <f t="array" ref="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/>
      </c>
      <c r="J92" s="26" t="str">
        <f t="shared" si="5"/>
        <v/>
      </c>
      <c r="K92" s="26" t="str">
        <f t="shared" si="6"/>
        <v/>
      </c>
      <c r="L92" s="26" t="str">
        <f t="shared" si="7"/>
        <v/>
      </c>
      <c r="M92" s="26" t="str">
        <f t="array" ref="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/>
      </c>
      <c r="N92" s="26" t="str">
        <f t="shared" si="8"/>
        <v/>
      </c>
      <c r="O92" s="26" t="str">
        <f t="shared" si="9"/>
        <v/>
      </c>
      <c r="P92" s="26" t="str">
        <f t="shared" si="10"/>
        <v/>
      </c>
      <c r="Q92" s="26" t="str">
        <f t="shared" si="11"/>
        <v/>
      </c>
      <c r="R92" s="26" t="str">
        <f t="shared" si="12"/>
        <v/>
      </c>
      <c r="S92" s="26" t="str">
        <f t="shared" si="13"/>
        <v/>
      </c>
      <c r="T92" s="26" t="str">
        <f t="shared" si="14"/>
        <v/>
      </c>
      <c r="U92" s="26" t="str">
        <f t="shared" si="15"/>
        <v/>
      </c>
      <c r="V92" s="26" t="str">
        <f t="shared" si="16"/>
        <v/>
      </c>
      <c r="W92" s="26" t="str">
        <f t="shared" si="17"/>
        <v/>
      </c>
      <c r="X92" s="26" t="str">
        <f t="shared" si="18"/>
        <v/>
      </c>
      <c r="Y92" s="26" t="str">
        <f t="shared" si="19"/>
        <v/>
      </c>
      <c r="Z92" s="31" t="str">
        <f t="shared" si="20"/>
        <v/>
      </c>
      <c r="AA92" s="31" t="str">
        <f>IF(D92="","",IF(H92&lt;=$B$16,1,IF(H92&gt;=$B$17,$B$21,MATCH(H92,Aux_CAV!$A$2:$A$121,1))))</f>
        <v/>
      </c>
      <c r="AB92" s="31" t="str">
        <f>IF(D92="","",IF(L92&lt;=$B$16,1,IF(L92&gt;=$B$17,$B$21,MATCH(L92,Aux_CAV!$A$2:$A$121,1))))</f>
        <v/>
      </c>
      <c r="AC92" s="3" t="str">
        <f t="shared" si="21"/>
        <v/>
      </c>
    </row>
    <row r="93" ht="12.75" customHeight="1">
      <c r="A93" s="25" t="str">
        <f t="shared" si="1"/>
        <v/>
      </c>
      <c r="B93" s="29" t="str">
        <f t="array" ref="B93">IF(D93="","",IFERROR(VALUE(INDEX(Vazoes_COLAR!$A$2:$A$200,INT((ROW()-24)/12)+1)),""))</f>
        <v/>
      </c>
      <c r="C93" s="29" t="str">
        <f t="shared" si="2"/>
        <v/>
      </c>
      <c r="D93" s="26" t="str">
        <f t="array" ref="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3" s="26" t="str">
        <f t="shared" si="3"/>
        <v/>
      </c>
      <c r="F93" s="26" t="str">
        <f t="array" ref="F93">IF(D93="","",IFERROR(INDEX(Dados_Evap!$C$2:$N$15,MATCH($B$9,Dados_Evap!$A$2:$A$15,0),C93),0))</f>
        <v/>
      </c>
      <c r="G93" s="26" t="str">
        <f t="shared" si="4"/>
        <v/>
      </c>
      <c r="H93" s="26" t="str">
        <f t="shared" si="22"/>
        <v/>
      </c>
      <c r="I93" s="26" t="str">
        <f t="array" ref="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/>
      </c>
      <c r="J93" s="26" t="str">
        <f t="shared" si="5"/>
        <v/>
      </c>
      <c r="K93" s="26" t="str">
        <f t="shared" si="6"/>
        <v/>
      </c>
      <c r="L93" s="26" t="str">
        <f t="shared" si="7"/>
        <v/>
      </c>
      <c r="M93" s="26" t="str">
        <f t="array" ref="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/>
      </c>
      <c r="N93" s="26" t="str">
        <f t="shared" si="8"/>
        <v/>
      </c>
      <c r="O93" s="26" t="str">
        <f t="shared" si="9"/>
        <v/>
      </c>
      <c r="P93" s="26" t="str">
        <f t="shared" si="10"/>
        <v/>
      </c>
      <c r="Q93" s="26" t="str">
        <f t="shared" si="11"/>
        <v/>
      </c>
      <c r="R93" s="26" t="str">
        <f t="shared" si="12"/>
        <v/>
      </c>
      <c r="S93" s="26" t="str">
        <f t="shared" si="13"/>
        <v/>
      </c>
      <c r="T93" s="26" t="str">
        <f t="shared" si="14"/>
        <v/>
      </c>
      <c r="U93" s="26" t="str">
        <f t="shared" si="15"/>
        <v/>
      </c>
      <c r="V93" s="26" t="str">
        <f t="shared" si="16"/>
        <v/>
      </c>
      <c r="W93" s="26" t="str">
        <f t="shared" si="17"/>
        <v/>
      </c>
      <c r="X93" s="26" t="str">
        <f t="shared" si="18"/>
        <v/>
      </c>
      <c r="Y93" s="26" t="str">
        <f t="shared" si="19"/>
        <v/>
      </c>
      <c r="Z93" s="31" t="str">
        <f t="shared" si="20"/>
        <v/>
      </c>
      <c r="AA93" s="31" t="str">
        <f>IF(D93="","",IF(H93&lt;=$B$16,1,IF(H93&gt;=$B$17,$B$21,MATCH(H93,Aux_CAV!$A$2:$A$121,1))))</f>
        <v/>
      </c>
      <c r="AB93" s="31" t="str">
        <f>IF(D93="","",IF(L93&lt;=$B$16,1,IF(L93&gt;=$B$17,$B$21,MATCH(L93,Aux_CAV!$A$2:$A$121,1))))</f>
        <v/>
      </c>
      <c r="AC93" s="3" t="str">
        <f t="shared" si="21"/>
        <v/>
      </c>
    </row>
    <row r="94" ht="12.75" customHeight="1">
      <c r="A94" s="25" t="str">
        <f t="shared" si="1"/>
        <v/>
      </c>
      <c r="B94" s="29" t="str">
        <f t="array" ref="B94">IF(D94="","",IFERROR(VALUE(INDEX(Vazoes_COLAR!$A$2:$A$200,INT((ROW()-24)/12)+1)),""))</f>
        <v/>
      </c>
      <c r="C94" s="29" t="str">
        <f t="shared" si="2"/>
        <v/>
      </c>
      <c r="D94" s="26" t="str">
        <f t="array" ref="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4" s="26" t="str">
        <f t="shared" si="3"/>
        <v/>
      </c>
      <c r="F94" s="26" t="str">
        <f t="array" ref="F94">IF(D94="","",IFERROR(INDEX(Dados_Evap!$C$2:$N$15,MATCH($B$9,Dados_Evap!$A$2:$A$15,0),C94),0))</f>
        <v/>
      </c>
      <c r="G94" s="26" t="str">
        <f t="shared" si="4"/>
        <v/>
      </c>
      <c r="H94" s="26" t="str">
        <f t="shared" si="22"/>
        <v/>
      </c>
      <c r="I94" s="26" t="str">
        <f t="array" ref="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/>
      </c>
      <c r="J94" s="26" t="str">
        <f t="shared" si="5"/>
        <v/>
      </c>
      <c r="K94" s="26" t="str">
        <f t="shared" si="6"/>
        <v/>
      </c>
      <c r="L94" s="26" t="str">
        <f t="shared" si="7"/>
        <v/>
      </c>
      <c r="M94" s="26" t="str">
        <f t="array" ref="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/>
      </c>
      <c r="N94" s="26" t="str">
        <f t="shared" si="8"/>
        <v/>
      </c>
      <c r="O94" s="26" t="str">
        <f t="shared" si="9"/>
        <v/>
      </c>
      <c r="P94" s="26" t="str">
        <f t="shared" si="10"/>
        <v/>
      </c>
      <c r="Q94" s="26" t="str">
        <f t="shared" si="11"/>
        <v/>
      </c>
      <c r="R94" s="26" t="str">
        <f t="shared" si="12"/>
        <v/>
      </c>
      <c r="S94" s="26" t="str">
        <f t="shared" si="13"/>
        <v/>
      </c>
      <c r="T94" s="26" t="str">
        <f t="shared" si="14"/>
        <v/>
      </c>
      <c r="U94" s="26" t="str">
        <f t="shared" si="15"/>
        <v/>
      </c>
      <c r="V94" s="26" t="str">
        <f t="shared" si="16"/>
        <v/>
      </c>
      <c r="W94" s="26" t="str">
        <f t="shared" si="17"/>
        <v/>
      </c>
      <c r="X94" s="26" t="str">
        <f t="shared" si="18"/>
        <v/>
      </c>
      <c r="Y94" s="26" t="str">
        <f t="shared" si="19"/>
        <v/>
      </c>
      <c r="Z94" s="31" t="str">
        <f t="shared" si="20"/>
        <v/>
      </c>
      <c r="AA94" s="31" t="str">
        <f>IF(D94="","",IF(H94&lt;=$B$16,1,IF(H94&gt;=$B$17,$B$21,MATCH(H94,Aux_CAV!$A$2:$A$121,1))))</f>
        <v/>
      </c>
      <c r="AB94" s="31" t="str">
        <f>IF(D94="","",IF(L94&lt;=$B$16,1,IF(L94&gt;=$B$17,$B$21,MATCH(L94,Aux_CAV!$A$2:$A$121,1))))</f>
        <v/>
      </c>
      <c r="AC94" s="3" t="str">
        <f t="shared" si="21"/>
        <v/>
      </c>
    </row>
    <row r="95" ht="12.75" customHeight="1">
      <c r="A95" s="25" t="str">
        <f t="shared" si="1"/>
        <v/>
      </c>
      <c r="B95" s="29" t="str">
        <f t="array" ref="B95">IF(D95="","",IFERROR(VALUE(INDEX(Vazoes_COLAR!$A$2:$A$200,INT((ROW()-24)/12)+1)),""))</f>
        <v/>
      </c>
      <c r="C95" s="29" t="str">
        <f t="shared" si="2"/>
        <v/>
      </c>
      <c r="D95" s="26" t="str">
        <f t="array" ref="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5" s="26" t="str">
        <f t="shared" si="3"/>
        <v/>
      </c>
      <c r="F95" s="26" t="str">
        <f t="array" ref="F95">IF(D95="","",IFERROR(INDEX(Dados_Evap!$C$2:$N$15,MATCH($B$9,Dados_Evap!$A$2:$A$15,0),C95),0))</f>
        <v/>
      </c>
      <c r="G95" s="26" t="str">
        <f t="shared" si="4"/>
        <v/>
      </c>
      <c r="H95" s="26" t="str">
        <f t="shared" si="22"/>
        <v/>
      </c>
      <c r="I95" s="26" t="str">
        <f t="array" ref="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/>
      </c>
      <c r="J95" s="26" t="str">
        <f t="shared" si="5"/>
        <v/>
      </c>
      <c r="K95" s="26" t="str">
        <f t="shared" si="6"/>
        <v/>
      </c>
      <c r="L95" s="26" t="str">
        <f t="shared" si="7"/>
        <v/>
      </c>
      <c r="M95" s="26" t="str">
        <f t="array" ref="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/>
      </c>
      <c r="N95" s="26" t="str">
        <f t="shared" si="8"/>
        <v/>
      </c>
      <c r="O95" s="26" t="str">
        <f t="shared" si="9"/>
        <v/>
      </c>
      <c r="P95" s="26" t="str">
        <f t="shared" si="10"/>
        <v/>
      </c>
      <c r="Q95" s="26" t="str">
        <f t="shared" si="11"/>
        <v/>
      </c>
      <c r="R95" s="26" t="str">
        <f t="shared" si="12"/>
        <v/>
      </c>
      <c r="S95" s="26" t="str">
        <f t="shared" si="13"/>
        <v/>
      </c>
      <c r="T95" s="26" t="str">
        <f t="shared" si="14"/>
        <v/>
      </c>
      <c r="U95" s="26" t="str">
        <f t="shared" si="15"/>
        <v/>
      </c>
      <c r="V95" s="26" t="str">
        <f t="shared" si="16"/>
        <v/>
      </c>
      <c r="W95" s="26" t="str">
        <f t="shared" si="17"/>
        <v/>
      </c>
      <c r="X95" s="26" t="str">
        <f t="shared" si="18"/>
        <v/>
      </c>
      <c r="Y95" s="26" t="str">
        <f t="shared" si="19"/>
        <v/>
      </c>
      <c r="Z95" s="31" t="str">
        <f t="shared" si="20"/>
        <v/>
      </c>
      <c r="AA95" s="31" t="str">
        <f>IF(D95="","",IF(H95&lt;=$B$16,1,IF(H95&gt;=$B$17,$B$21,MATCH(H95,Aux_CAV!$A$2:$A$121,1))))</f>
        <v/>
      </c>
      <c r="AB95" s="31" t="str">
        <f>IF(D95="","",IF(L95&lt;=$B$16,1,IF(L95&gt;=$B$17,$B$21,MATCH(L95,Aux_CAV!$A$2:$A$121,1))))</f>
        <v/>
      </c>
      <c r="AC95" s="3" t="str">
        <f t="shared" si="21"/>
        <v/>
      </c>
    </row>
    <row r="96" ht="12.75" customHeight="1">
      <c r="A96" s="25" t="str">
        <f t="shared" si="1"/>
        <v/>
      </c>
      <c r="B96" s="29" t="str">
        <f t="array" ref="B96">IF(D96="","",IFERROR(VALUE(INDEX(Vazoes_COLAR!$A$2:$A$200,INT((ROW()-24)/12)+1)),""))</f>
        <v/>
      </c>
      <c r="C96" s="29" t="str">
        <f t="shared" si="2"/>
        <v/>
      </c>
      <c r="D96" s="26" t="str">
        <f t="array" ref="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6" s="26" t="str">
        <f t="shared" si="3"/>
        <v/>
      </c>
      <c r="F96" s="26" t="str">
        <f t="array" ref="F96">IF(D96="","",IFERROR(INDEX(Dados_Evap!$C$2:$N$15,MATCH($B$9,Dados_Evap!$A$2:$A$15,0),C96),0))</f>
        <v/>
      </c>
      <c r="G96" s="26" t="str">
        <f t="shared" si="4"/>
        <v/>
      </c>
      <c r="H96" s="26" t="str">
        <f t="shared" si="22"/>
        <v/>
      </c>
      <c r="I96" s="26" t="str">
        <f t="array" ref="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/>
      </c>
      <c r="J96" s="26" t="str">
        <f t="shared" si="5"/>
        <v/>
      </c>
      <c r="K96" s="26" t="str">
        <f t="shared" si="6"/>
        <v/>
      </c>
      <c r="L96" s="26" t="str">
        <f t="shared" si="7"/>
        <v/>
      </c>
      <c r="M96" s="26" t="str">
        <f t="array" ref="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/>
      </c>
      <c r="N96" s="26" t="str">
        <f t="shared" si="8"/>
        <v/>
      </c>
      <c r="O96" s="26" t="str">
        <f t="shared" si="9"/>
        <v/>
      </c>
      <c r="P96" s="26" t="str">
        <f t="shared" si="10"/>
        <v/>
      </c>
      <c r="Q96" s="26" t="str">
        <f t="shared" si="11"/>
        <v/>
      </c>
      <c r="R96" s="26" t="str">
        <f t="shared" si="12"/>
        <v/>
      </c>
      <c r="S96" s="26" t="str">
        <f t="shared" si="13"/>
        <v/>
      </c>
      <c r="T96" s="26" t="str">
        <f t="shared" si="14"/>
        <v/>
      </c>
      <c r="U96" s="26" t="str">
        <f t="shared" si="15"/>
        <v/>
      </c>
      <c r="V96" s="26" t="str">
        <f t="shared" si="16"/>
        <v/>
      </c>
      <c r="W96" s="26" t="str">
        <f t="shared" si="17"/>
        <v/>
      </c>
      <c r="X96" s="26" t="str">
        <f t="shared" si="18"/>
        <v/>
      </c>
      <c r="Y96" s="26" t="str">
        <f t="shared" si="19"/>
        <v/>
      </c>
      <c r="Z96" s="31" t="str">
        <f t="shared" si="20"/>
        <v/>
      </c>
      <c r="AA96" s="31" t="str">
        <f>IF(D96="","",IF(H96&lt;=$B$16,1,IF(H96&gt;=$B$17,$B$21,MATCH(H96,Aux_CAV!$A$2:$A$121,1))))</f>
        <v/>
      </c>
      <c r="AB96" s="31" t="str">
        <f>IF(D96="","",IF(L96&lt;=$B$16,1,IF(L96&gt;=$B$17,$B$21,MATCH(L96,Aux_CAV!$A$2:$A$121,1))))</f>
        <v/>
      </c>
      <c r="AC96" s="3" t="str">
        <f t="shared" si="21"/>
        <v/>
      </c>
    </row>
    <row r="97" ht="12.75" customHeight="1">
      <c r="A97" s="25" t="str">
        <f t="shared" si="1"/>
        <v/>
      </c>
      <c r="B97" s="29" t="str">
        <f t="array" ref="B97">IF(D97="","",IFERROR(VALUE(INDEX(Vazoes_COLAR!$A$2:$A$200,INT((ROW()-24)/12)+1)),""))</f>
        <v/>
      </c>
      <c r="C97" s="29" t="str">
        <f t="shared" si="2"/>
        <v/>
      </c>
      <c r="D97" s="26" t="str">
        <f t="array" ref="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7" s="26" t="str">
        <f t="shared" si="3"/>
        <v/>
      </c>
      <c r="F97" s="26" t="str">
        <f t="array" ref="F97">IF(D97="","",IFERROR(INDEX(Dados_Evap!$C$2:$N$15,MATCH($B$9,Dados_Evap!$A$2:$A$15,0),C97),0))</f>
        <v/>
      </c>
      <c r="G97" s="26" t="str">
        <f t="shared" si="4"/>
        <v/>
      </c>
      <c r="H97" s="26" t="str">
        <f t="shared" si="22"/>
        <v/>
      </c>
      <c r="I97" s="26" t="str">
        <f t="array" ref="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/>
      </c>
      <c r="J97" s="26" t="str">
        <f t="shared" si="5"/>
        <v/>
      </c>
      <c r="K97" s="26" t="str">
        <f t="shared" si="6"/>
        <v/>
      </c>
      <c r="L97" s="26" t="str">
        <f t="shared" si="7"/>
        <v/>
      </c>
      <c r="M97" s="26" t="str">
        <f t="array" ref="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/>
      </c>
      <c r="N97" s="26" t="str">
        <f t="shared" si="8"/>
        <v/>
      </c>
      <c r="O97" s="26" t="str">
        <f t="shared" si="9"/>
        <v/>
      </c>
      <c r="P97" s="26" t="str">
        <f t="shared" si="10"/>
        <v/>
      </c>
      <c r="Q97" s="26" t="str">
        <f t="shared" si="11"/>
        <v/>
      </c>
      <c r="R97" s="26" t="str">
        <f t="shared" si="12"/>
        <v/>
      </c>
      <c r="S97" s="26" t="str">
        <f t="shared" si="13"/>
        <v/>
      </c>
      <c r="T97" s="26" t="str">
        <f t="shared" si="14"/>
        <v/>
      </c>
      <c r="U97" s="26" t="str">
        <f t="shared" si="15"/>
        <v/>
      </c>
      <c r="V97" s="26" t="str">
        <f t="shared" si="16"/>
        <v/>
      </c>
      <c r="W97" s="26" t="str">
        <f t="shared" si="17"/>
        <v/>
      </c>
      <c r="X97" s="26" t="str">
        <f t="shared" si="18"/>
        <v/>
      </c>
      <c r="Y97" s="26" t="str">
        <f t="shared" si="19"/>
        <v/>
      </c>
      <c r="Z97" s="31" t="str">
        <f t="shared" si="20"/>
        <v/>
      </c>
      <c r="AA97" s="31" t="str">
        <f>IF(D97="","",IF(H97&lt;=$B$16,1,IF(H97&gt;=$B$17,$B$21,MATCH(H97,Aux_CAV!$A$2:$A$121,1))))</f>
        <v/>
      </c>
      <c r="AB97" s="31" t="str">
        <f>IF(D97="","",IF(L97&lt;=$B$16,1,IF(L97&gt;=$B$17,$B$21,MATCH(L97,Aux_CAV!$A$2:$A$121,1))))</f>
        <v/>
      </c>
      <c r="AC97" s="3" t="str">
        <f t="shared" si="21"/>
        <v/>
      </c>
    </row>
    <row r="98" ht="12.75" customHeight="1">
      <c r="A98" s="25" t="str">
        <f t="shared" si="1"/>
        <v/>
      </c>
      <c r="B98" s="29" t="str">
        <f t="array" ref="B98">IF(D98="","",IFERROR(VALUE(INDEX(Vazoes_COLAR!$A$2:$A$200,INT((ROW()-24)/12)+1)),""))</f>
        <v/>
      </c>
      <c r="C98" s="29" t="str">
        <f t="shared" si="2"/>
        <v/>
      </c>
      <c r="D98" s="26" t="str">
        <f t="array" ref="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8" s="26" t="str">
        <f t="shared" si="3"/>
        <v/>
      </c>
      <c r="F98" s="26" t="str">
        <f t="array" ref="F98">IF(D98="","",IFERROR(INDEX(Dados_Evap!$C$2:$N$15,MATCH($B$9,Dados_Evap!$A$2:$A$15,0),C98),0))</f>
        <v/>
      </c>
      <c r="G98" s="26" t="str">
        <f t="shared" si="4"/>
        <v/>
      </c>
      <c r="H98" s="26" t="str">
        <f t="shared" si="22"/>
        <v/>
      </c>
      <c r="I98" s="26" t="str">
        <f t="array" ref="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/>
      </c>
      <c r="J98" s="26" t="str">
        <f t="shared" si="5"/>
        <v/>
      </c>
      <c r="K98" s="26" t="str">
        <f t="shared" si="6"/>
        <v/>
      </c>
      <c r="L98" s="26" t="str">
        <f t="shared" si="7"/>
        <v/>
      </c>
      <c r="M98" s="26" t="str">
        <f t="array" ref="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/>
      </c>
      <c r="N98" s="26" t="str">
        <f t="shared" si="8"/>
        <v/>
      </c>
      <c r="O98" s="26" t="str">
        <f t="shared" si="9"/>
        <v/>
      </c>
      <c r="P98" s="26" t="str">
        <f t="shared" si="10"/>
        <v/>
      </c>
      <c r="Q98" s="26" t="str">
        <f t="shared" si="11"/>
        <v/>
      </c>
      <c r="R98" s="26" t="str">
        <f t="shared" si="12"/>
        <v/>
      </c>
      <c r="S98" s="26" t="str">
        <f t="shared" si="13"/>
        <v/>
      </c>
      <c r="T98" s="26" t="str">
        <f t="shared" si="14"/>
        <v/>
      </c>
      <c r="U98" s="26" t="str">
        <f t="shared" si="15"/>
        <v/>
      </c>
      <c r="V98" s="26" t="str">
        <f t="shared" si="16"/>
        <v/>
      </c>
      <c r="W98" s="26" t="str">
        <f t="shared" si="17"/>
        <v/>
      </c>
      <c r="X98" s="26" t="str">
        <f t="shared" si="18"/>
        <v/>
      </c>
      <c r="Y98" s="26" t="str">
        <f t="shared" si="19"/>
        <v/>
      </c>
      <c r="Z98" s="31" t="str">
        <f t="shared" si="20"/>
        <v/>
      </c>
      <c r="AA98" s="31" t="str">
        <f>IF(D98="","",IF(H98&lt;=$B$16,1,IF(H98&gt;=$B$17,$B$21,MATCH(H98,Aux_CAV!$A$2:$A$121,1))))</f>
        <v/>
      </c>
      <c r="AB98" s="31" t="str">
        <f>IF(D98="","",IF(L98&lt;=$B$16,1,IF(L98&gt;=$B$17,$B$21,MATCH(L98,Aux_CAV!$A$2:$A$121,1))))</f>
        <v/>
      </c>
      <c r="AC98" s="3" t="str">
        <f t="shared" si="21"/>
        <v/>
      </c>
    </row>
    <row r="99" ht="12.75" customHeight="1">
      <c r="A99" s="25" t="str">
        <f t="shared" si="1"/>
        <v/>
      </c>
      <c r="B99" s="29" t="str">
        <f t="array" ref="B99">IF(D99="","",IFERROR(VALUE(INDEX(Vazoes_COLAR!$A$2:$A$200,INT((ROW()-24)/12)+1)),""))</f>
        <v/>
      </c>
      <c r="C99" s="29" t="str">
        <f t="shared" si="2"/>
        <v/>
      </c>
      <c r="D99" s="26" t="str">
        <f t="array" ref="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9" s="26" t="str">
        <f t="shared" si="3"/>
        <v/>
      </c>
      <c r="F99" s="26" t="str">
        <f t="array" ref="F99">IF(D99="","",IFERROR(INDEX(Dados_Evap!$C$2:$N$15,MATCH($B$9,Dados_Evap!$A$2:$A$15,0),C99),0))</f>
        <v/>
      </c>
      <c r="G99" s="26" t="str">
        <f t="shared" si="4"/>
        <v/>
      </c>
      <c r="H99" s="26" t="str">
        <f t="shared" si="22"/>
        <v/>
      </c>
      <c r="I99" s="26" t="str">
        <f t="array" ref="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/>
      </c>
      <c r="J99" s="26" t="str">
        <f t="shared" si="5"/>
        <v/>
      </c>
      <c r="K99" s="26" t="str">
        <f t="shared" si="6"/>
        <v/>
      </c>
      <c r="L99" s="26" t="str">
        <f t="shared" si="7"/>
        <v/>
      </c>
      <c r="M99" s="26" t="str">
        <f t="array" ref="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/>
      </c>
      <c r="N99" s="26" t="str">
        <f t="shared" si="8"/>
        <v/>
      </c>
      <c r="O99" s="26" t="str">
        <f t="shared" si="9"/>
        <v/>
      </c>
      <c r="P99" s="26" t="str">
        <f t="shared" si="10"/>
        <v/>
      </c>
      <c r="Q99" s="26" t="str">
        <f t="shared" si="11"/>
        <v/>
      </c>
      <c r="R99" s="26" t="str">
        <f t="shared" si="12"/>
        <v/>
      </c>
      <c r="S99" s="26" t="str">
        <f t="shared" si="13"/>
        <v/>
      </c>
      <c r="T99" s="26" t="str">
        <f t="shared" si="14"/>
        <v/>
      </c>
      <c r="U99" s="26" t="str">
        <f t="shared" si="15"/>
        <v/>
      </c>
      <c r="V99" s="26" t="str">
        <f t="shared" si="16"/>
        <v/>
      </c>
      <c r="W99" s="26" t="str">
        <f t="shared" si="17"/>
        <v/>
      </c>
      <c r="X99" s="26" t="str">
        <f t="shared" si="18"/>
        <v/>
      </c>
      <c r="Y99" s="26" t="str">
        <f t="shared" si="19"/>
        <v/>
      </c>
      <c r="Z99" s="31" t="str">
        <f t="shared" si="20"/>
        <v/>
      </c>
      <c r="AA99" s="31" t="str">
        <f>IF(D99="","",IF(H99&lt;=$B$16,1,IF(H99&gt;=$B$17,$B$21,MATCH(H99,Aux_CAV!$A$2:$A$121,1))))</f>
        <v/>
      </c>
      <c r="AB99" s="31" t="str">
        <f>IF(D99="","",IF(L99&lt;=$B$16,1,IF(L99&gt;=$B$17,$B$21,MATCH(L99,Aux_CAV!$A$2:$A$121,1))))</f>
        <v/>
      </c>
      <c r="AC99" s="3" t="str">
        <f t="shared" si="21"/>
        <v/>
      </c>
    </row>
    <row r="100" ht="12.75" customHeight="1">
      <c r="A100" s="25" t="str">
        <f t="shared" si="1"/>
        <v/>
      </c>
      <c r="B100" s="29" t="str">
        <f t="array" ref="B100">IF(D100="","",IFERROR(VALUE(INDEX(Vazoes_COLAR!$A$2:$A$200,INT((ROW()-24)/12)+1)),""))</f>
        <v/>
      </c>
      <c r="C100" s="29" t="str">
        <f t="shared" si="2"/>
        <v/>
      </c>
      <c r="D100" s="26" t="str">
        <f t="array" ref="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0" s="26" t="str">
        <f t="shared" si="3"/>
        <v/>
      </c>
      <c r="F100" s="26" t="str">
        <f t="array" ref="F100">IF(D100="","",IFERROR(INDEX(Dados_Evap!$C$2:$N$15,MATCH($B$9,Dados_Evap!$A$2:$A$15,0),C100),0))</f>
        <v/>
      </c>
      <c r="G100" s="26" t="str">
        <f t="shared" si="4"/>
        <v/>
      </c>
      <c r="H100" s="26" t="str">
        <f t="shared" si="22"/>
        <v/>
      </c>
      <c r="I100" s="26" t="str">
        <f t="array" ref="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/>
      </c>
      <c r="J100" s="26" t="str">
        <f t="shared" si="5"/>
        <v/>
      </c>
      <c r="K100" s="26" t="str">
        <f t="shared" si="6"/>
        <v/>
      </c>
      <c r="L100" s="26" t="str">
        <f t="shared" si="7"/>
        <v/>
      </c>
      <c r="M100" s="26" t="str">
        <f t="array" ref="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/>
      </c>
      <c r="N100" s="26" t="str">
        <f t="shared" si="8"/>
        <v/>
      </c>
      <c r="O100" s="26" t="str">
        <f t="shared" si="9"/>
        <v/>
      </c>
      <c r="P100" s="26" t="str">
        <f t="shared" si="10"/>
        <v/>
      </c>
      <c r="Q100" s="26" t="str">
        <f t="shared" si="11"/>
        <v/>
      </c>
      <c r="R100" s="26" t="str">
        <f t="shared" si="12"/>
        <v/>
      </c>
      <c r="S100" s="26" t="str">
        <f t="shared" si="13"/>
        <v/>
      </c>
      <c r="T100" s="26" t="str">
        <f t="shared" si="14"/>
        <v/>
      </c>
      <c r="U100" s="26" t="str">
        <f t="shared" si="15"/>
        <v/>
      </c>
      <c r="V100" s="26" t="str">
        <f t="shared" si="16"/>
        <v/>
      </c>
      <c r="W100" s="26" t="str">
        <f t="shared" si="17"/>
        <v/>
      </c>
      <c r="X100" s="26" t="str">
        <f t="shared" si="18"/>
        <v/>
      </c>
      <c r="Y100" s="26" t="str">
        <f t="shared" si="19"/>
        <v/>
      </c>
      <c r="Z100" s="31" t="str">
        <f t="shared" si="20"/>
        <v/>
      </c>
      <c r="AA100" s="31" t="str">
        <f>IF(D100="","",IF(H100&lt;=$B$16,1,IF(H100&gt;=$B$17,$B$21,MATCH(H100,Aux_CAV!$A$2:$A$121,1))))</f>
        <v/>
      </c>
      <c r="AB100" s="31" t="str">
        <f>IF(D100="","",IF(L100&lt;=$B$16,1,IF(L100&gt;=$B$17,$B$21,MATCH(L100,Aux_CAV!$A$2:$A$121,1))))</f>
        <v/>
      </c>
      <c r="AC100" s="3" t="str">
        <f t="shared" si="21"/>
        <v/>
      </c>
    </row>
    <row r="101" ht="12.75" customHeight="1">
      <c r="A101" s="25" t="str">
        <f t="shared" si="1"/>
        <v/>
      </c>
      <c r="B101" s="29" t="str">
        <f t="array" ref="B101">IF(D101="","",IFERROR(VALUE(INDEX(Vazoes_COLAR!$A$2:$A$200,INT((ROW()-24)/12)+1)),""))</f>
        <v/>
      </c>
      <c r="C101" s="29" t="str">
        <f t="shared" si="2"/>
        <v/>
      </c>
      <c r="D101" s="26" t="str">
        <f t="array" ref="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1" s="26" t="str">
        <f t="shared" si="3"/>
        <v/>
      </c>
      <c r="F101" s="26" t="str">
        <f t="array" ref="F101">IF(D101="","",IFERROR(INDEX(Dados_Evap!$C$2:$N$15,MATCH($B$9,Dados_Evap!$A$2:$A$15,0),C101),0))</f>
        <v/>
      </c>
      <c r="G101" s="26" t="str">
        <f t="shared" si="4"/>
        <v/>
      </c>
      <c r="H101" s="26" t="str">
        <f t="shared" si="22"/>
        <v/>
      </c>
      <c r="I101" s="26" t="str">
        <f t="array" ref="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/>
      </c>
      <c r="J101" s="26" t="str">
        <f t="shared" si="5"/>
        <v/>
      </c>
      <c r="K101" s="26" t="str">
        <f t="shared" si="6"/>
        <v/>
      </c>
      <c r="L101" s="26" t="str">
        <f t="shared" si="7"/>
        <v/>
      </c>
      <c r="M101" s="26" t="str">
        <f t="array" ref="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/>
      </c>
      <c r="N101" s="26" t="str">
        <f t="shared" si="8"/>
        <v/>
      </c>
      <c r="O101" s="26" t="str">
        <f t="shared" si="9"/>
        <v/>
      </c>
      <c r="P101" s="26" t="str">
        <f t="shared" si="10"/>
        <v/>
      </c>
      <c r="Q101" s="26" t="str">
        <f t="shared" si="11"/>
        <v/>
      </c>
      <c r="R101" s="26" t="str">
        <f t="shared" si="12"/>
        <v/>
      </c>
      <c r="S101" s="26" t="str">
        <f t="shared" si="13"/>
        <v/>
      </c>
      <c r="T101" s="26" t="str">
        <f t="shared" si="14"/>
        <v/>
      </c>
      <c r="U101" s="26" t="str">
        <f t="shared" si="15"/>
        <v/>
      </c>
      <c r="V101" s="26" t="str">
        <f t="shared" si="16"/>
        <v/>
      </c>
      <c r="W101" s="26" t="str">
        <f t="shared" si="17"/>
        <v/>
      </c>
      <c r="X101" s="26" t="str">
        <f t="shared" si="18"/>
        <v/>
      </c>
      <c r="Y101" s="26" t="str">
        <f t="shared" si="19"/>
        <v/>
      </c>
      <c r="Z101" s="31" t="str">
        <f t="shared" si="20"/>
        <v/>
      </c>
      <c r="AA101" s="31" t="str">
        <f>IF(D101="","",IF(H101&lt;=$B$16,1,IF(H101&gt;=$B$17,$B$21,MATCH(H101,Aux_CAV!$A$2:$A$121,1))))</f>
        <v/>
      </c>
      <c r="AB101" s="31" t="str">
        <f>IF(D101="","",IF(L101&lt;=$B$16,1,IF(L101&gt;=$B$17,$B$21,MATCH(L101,Aux_CAV!$A$2:$A$121,1))))</f>
        <v/>
      </c>
      <c r="AC101" s="3" t="str">
        <f t="shared" si="21"/>
        <v/>
      </c>
    </row>
    <row r="102" ht="12.75" customHeight="1">
      <c r="A102" s="25" t="str">
        <f t="shared" si="1"/>
        <v/>
      </c>
      <c r="B102" s="29" t="str">
        <f t="array" ref="B102">IF(D102="","",IFERROR(VALUE(INDEX(Vazoes_COLAR!$A$2:$A$200,INT((ROW()-24)/12)+1)),""))</f>
        <v/>
      </c>
      <c r="C102" s="29" t="str">
        <f t="shared" si="2"/>
        <v/>
      </c>
      <c r="D102" s="26" t="str">
        <f t="array" ref="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2" s="26" t="str">
        <f t="shared" si="3"/>
        <v/>
      </c>
      <c r="F102" s="26" t="str">
        <f t="array" ref="F102">IF(D102="","",IFERROR(INDEX(Dados_Evap!$C$2:$N$15,MATCH($B$9,Dados_Evap!$A$2:$A$15,0),C102),0))</f>
        <v/>
      </c>
      <c r="G102" s="26" t="str">
        <f t="shared" si="4"/>
        <v/>
      </c>
      <c r="H102" s="26" t="str">
        <f t="shared" si="22"/>
        <v/>
      </c>
      <c r="I102" s="26" t="str">
        <f t="array" ref="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/>
      </c>
      <c r="J102" s="26" t="str">
        <f t="shared" si="5"/>
        <v/>
      </c>
      <c r="K102" s="26" t="str">
        <f t="shared" si="6"/>
        <v/>
      </c>
      <c r="L102" s="26" t="str">
        <f t="shared" si="7"/>
        <v/>
      </c>
      <c r="M102" s="26" t="str">
        <f t="array" ref="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/>
      </c>
      <c r="N102" s="26" t="str">
        <f t="shared" si="8"/>
        <v/>
      </c>
      <c r="O102" s="26" t="str">
        <f t="shared" si="9"/>
        <v/>
      </c>
      <c r="P102" s="26" t="str">
        <f t="shared" si="10"/>
        <v/>
      </c>
      <c r="Q102" s="26" t="str">
        <f t="shared" si="11"/>
        <v/>
      </c>
      <c r="R102" s="26" t="str">
        <f t="shared" si="12"/>
        <v/>
      </c>
      <c r="S102" s="26" t="str">
        <f t="shared" si="13"/>
        <v/>
      </c>
      <c r="T102" s="26" t="str">
        <f t="shared" si="14"/>
        <v/>
      </c>
      <c r="U102" s="26" t="str">
        <f t="shared" si="15"/>
        <v/>
      </c>
      <c r="V102" s="26" t="str">
        <f t="shared" si="16"/>
        <v/>
      </c>
      <c r="W102" s="26" t="str">
        <f t="shared" si="17"/>
        <v/>
      </c>
      <c r="X102" s="26" t="str">
        <f t="shared" si="18"/>
        <v/>
      </c>
      <c r="Y102" s="26" t="str">
        <f t="shared" si="19"/>
        <v/>
      </c>
      <c r="Z102" s="31" t="str">
        <f t="shared" si="20"/>
        <v/>
      </c>
      <c r="AA102" s="31" t="str">
        <f>IF(D102="","",IF(H102&lt;=$B$16,1,IF(H102&gt;=$B$17,$B$21,MATCH(H102,Aux_CAV!$A$2:$A$121,1))))</f>
        <v/>
      </c>
      <c r="AB102" s="31" t="str">
        <f>IF(D102="","",IF(L102&lt;=$B$16,1,IF(L102&gt;=$B$17,$B$21,MATCH(L102,Aux_CAV!$A$2:$A$121,1))))</f>
        <v/>
      </c>
      <c r="AC102" s="3" t="str">
        <f t="shared" si="21"/>
        <v/>
      </c>
    </row>
    <row r="103" ht="12.75" customHeight="1">
      <c r="A103" s="25" t="str">
        <f t="shared" si="1"/>
        <v/>
      </c>
      <c r="B103" s="29" t="str">
        <f t="array" ref="B103">IF(D103="","",IFERROR(VALUE(INDEX(Vazoes_COLAR!$A$2:$A$200,INT((ROW()-24)/12)+1)),""))</f>
        <v/>
      </c>
      <c r="C103" s="29" t="str">
        <f t="shared" si="2"/>
        <v/>
      </c>
      <c r="D103" s="26" t="str">
        <f t="array" ref="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3" s="26" t="str">
        <f t="shared" si="3"/>
        <v/>
      </c>
      <c r="F103" s="26" t="str">
        <f t="array" ref="F103">IF(D103="","",IFERROR(INDEX(Dados_Evap!$C$2:$N$15,MATCH($B$9,Dados_Evap!$A$2:$A$15,0),C103),0))</f>
        <v/>
      </c>
      <c r="G103" s="26" t="str">
        <f t="shared" si="4"/>
        <v/>
      </c>
      <c r="H103" s="26" t="str">
        <f t="shared" si="22"/>
        <v/>
      </c>
      <c r="I103" s="26" t="str">
        <f t="array" ref="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/>
      </c>
      <c r="J103" s="26" t="str">
        <f t="shared" si="5"/>
        <v/>
      </c>
      <c r="K103" s="26" t="str">
        <f t="shared" si="6"/>
        <v/>
      </c>
      <c r="L103" s="26" t="str">
        <f t="shared" si="7"/>
        <v/>
      </c>
      <c r="M103" s="26" t="str">
        <f t="array" ref="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/>
      </c>
      <c r="N103" s="26" t="str">
        <f t="shared" si="8"/>
        <v/>
      </c>
      <c r="O103" s="26" t="str">
        <f t="shared" si="9"/>
        <v/>
      </c>
      <c r="P103" s="26" t="str">
        <f t="shared" si="10"/>
        <v/>
      </c>
      <c r="Q103" s="26" t="str">
        <f t="shared" si="11"/>
        <v/>
      </c>
      <c r="R103" s="26" t="str">
        <f t="shared" si="12"/>
        <v/>
      </c>
      <c r="S103" s="26" t="str">
        <f t="shared" si="13"/>
        <v/>
      </c>
      <c r="T103" s="26" t="str">
        <f t="shared" si="14"/>
        <v/>
      </c>
      <c r="U103" s="26" t="str">
        <f t="shared" si="15"/>
        <v/>
      </c>
      <c r="V103" s="26" t="str">
        <f t="shared" si="16"/>
        <v/>
      </c>
      <c r="W103" s="26" t="str">
        <f t="shared" si="17"/>
        <v/>
      </c>
      <c r="X103" s="26" t="str">
        <f t="shared" si="18"/>
        <v/>
      </c>
      <c r="Y103" s="26" t="str">
        <f t="shared" si="19"/>
        <v/>
      </c>
      <c r="Z103" s="31" t="str">
        <f t="shared" si="20"/>
        <v/>
      </c>
      <c r="AA103" s="31" t="str">
        <f>IF(D103="","",IF(H103&lt;=$B$16,1,IF(H103&gt;=$B$17,$B$21,MATCH(H103,Aux_CAV!$A$2:$A$121,1))))</f>
        <v/>
      </c>
      <c r="AB103" s="31" t="str">
        <f>IF(D103="","",IF(L103&lt;=$B$16,1,IF(L103&gt;=$B$17,$B$21,MATCH(L103,Aux_CAV!$A$2:$A$121,1))))</f>
        <v/>
      </c>
      <c r="AC103" s="3" t="str">
        <f t="shared" si="21"/>
        <v/>
      </c>
    </row>
    <row r="104" ht="12.75" customHeight="1">
      <c r="A104" s="25" t="str">
        <f t="shared" si="1"/>
        <v/>
      </c>
      <c r="B104" s="29" t="str">
        <f t="array" ref="B104">IF(D104="","",IFERROR(VALUE(INDEX(Vazoes_COLAR!$A$2:$A$200,INT((ROW()-24)/12)+1)),""))</f>
        <v/>
      </c>
      <c r="C104" s="29" t="str">
        <f t="shared" si="2"/>
        <v/>
      </c>
      <c r="D104" s="26" t="str">
        <f t="array" ref="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4" s="26" t="str">
        <f t="shared" si="3"/>
        <v/>
      </c>
      <c r="F104" s="26" t="str">
        <f t="array" ref="F104">IF(D104="","",IFERROR(INDEX(Dados_Evap!$C$2:$N$15,MATCH($B$9,Dados_Evap!$A$2:$A$15,0),C104),0))</f>
        <v/>
      </c>
      <c r="G104" s="26" t="str">
        <f t="shared" si="4"/>
        <v/>
      </c>
      <c r="H104" s="26" t="str">
        <f t="shared" si="22"/>
        <v/>
      </c>
      <c r="I104" s="26" t="str">
        <f t="array" ref="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/>
      </c>
      <c r="J104" s="26" t="str">
        <f t="shared" si="5"/>
        <v/>
      </c>
      <c r="K104" s="26" t="str">
        <f t="shared" si="6"/>
        <v/>
      </c>
      <c r="L104" s="26" t="str">
        <f t="shared" si="7"/>
        <v/>
      </c>
      <c r="M104" s="26" t="str">
        <f t="array" ref="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/>
      </c>
      <c r="N104" s="26" t="str">
        <f t="shared" si="8"/>
        <v/>
      </c>
      <c r="O104" s="26" t="str">
        <f t="shared" si="9"/>
        <v/>
      </c>
      <c r="P104" s="26" t="str">
        <f t="shared" si="10"/>
        <v/>
      </c>
      <c r="Q104" s="26" t="str">
        <f t="shared" si="11"/>
        <v/>
      </c>
      <c r="R104" s="26" t="str">
        <f t="shared" si="12"/>
        <v/>
      </c>
      <c r="S104" s="26" t="str">
        <f t="shared" si="13"/>
        <v/>
      </c>
      <c r="T104" s="26" t="str">
        <f t="shared" si="14"/>
        <v/>
      </c>
      <c r="U104" s="26" t="str">
        <f t="shared" si="15"/>
        <v/>
      </c>
      <c r="V104" s="26" t="str">
        <f t="shared" si="16"/>
        <v/>
      </c>
      <c r="W104" s="26" t="str">
        <f t="shared" si="17"/>
        <v/>
      </c>
      <c r="X104" s="26" t="str">
        <f t="shared" si="18"/>
        <v/>
      </c>
      <c r="Y104" s="26" t="str">
        <f t="shared" si="19"/>
        <v/>
      </c>
      <c r="Z104" s="31" t="str">
        <f t="shared" si="20"/>
        <v/>
      </c>
      <c r="AA104" s="31" t="str">
        <f>IF(D104="","",IF(H104&lt;=$B$16,1,IF(H104&gt;=$B$17,$B$21,MATCH(H104,Aux_CAV!$A$2:$A$121,1))))</f>
        <v/>
      </c>
      <c r="AB104" s="31" t="str">
        <f>IF(D104="","",IF(L104&lt;=$B$16,1,IF(L104&gt;=$B$17,$B$21,MATCH(L104,Aux_CAV!$A$2:$A$121,1))))</f>
        <v/>
      </c>
      <c r="AC104" s="3" t="str">
        <f t="shared" si="21"/>
        <v/>
      </c>
    </row>
    <row r="105" ht="12.75" customHeight="1">
      <c r="A105" s="25" t="str">
        <f t="shared" si="1"/>
        <v/>
      </c>
      <c r="B105" s="29" t="str">
        <f t="array" ref="B105">IF(D105="","",IFERROR(VALUE(INDEX(Vazoes_COLAR!$A$2:$A$200,INT((ROW()-24)/12)+1)),""))</f>
        <v/>
      </c>
      <c r="C105" s="29" t="str">
        <f t="shared" si="2"/>
        <v/>
      </c>
      <c r="D105" s="26" t="str">
        <f t="array" ref="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5" s="26" t="str">
        <f t="shared" si="3"/>
        <v/>
      </c>
      <c r="F105" s="26" t="str">
        <f t="array" ref="F105">IF(D105="","",IFERROR(INDEX(Dados_Evap!$C$2:$N$15,MATCH($B$9,Dados_Evap!$A$2:$A$15,0),C105),0))</f>
        <v/>
      </c>
      <c r="G105" s="26" t="str">
        <f t="shared" si="4"/>
        <v/>
      </c>
      <c r="H105" s="26" t="str">
        <f t="shared" si="22"/>
        <v/>
      </c>
      <c r="I105" s="26" t="str">
        <f t="array" ref="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/>
      </c>
      <c r="J105" s="26" t="str">
        <f t="shared" si="5"/>
        <v/>
      </c>
      <c r="K105" s="26" t="str">
        <f t="shared" si="6"/>
        <v/>
      </c>
      <c r="L105" s="26" t="str">
        <f t="shared" si="7"/>
        <v/>
      </c>
      <c r="M105" s="26" t="str">
        <f t="array" ref="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/>
      </c>
      <c r="N105" s="26" t="str">
        <f t="shared" si="8"/>
        <v/>
      </c>
      <c r="O105" s="26" t="str">
        <f t="shared" si="9"/>
        <v/>
      </c>
      <c r="P105" s="26" t="str">
        <f t="shared" si="10"/>
        <v/>
      </c>
      <c r="Q105" s="26" t="str">
        <f t="shared" si="11"/>
        <v/>
      </c>
      <c r="R105" s="26" t="str">
        <f t="shared" si="12"/>
        <v/>
      </c>
      <c r="S105" s="26" t="str">
        <f t="shared" si="13"/>
        <v/>
      </c>
      <c r="T105" s="26" t="str">
        <f t="shared" si="14"/>
        <v/>
      </c>
      <c r="U105" s="26" t="str">
        <f t="shared" si="15"/>
        <v/>
      </c>
      <c r="V105" s="26" t="str">
        <f t="shared" si="16"/>
        <v/>
      </c>
      <c r="W105" s="26" t="str">
        <f t="shared" si="17"/>
        <v/>
      </c>
      <c r="X105" s="26" t="str">
        <f t="shared" si="18"/>
        <v/>
      </c>
      <c r="Y105" s="26" t="str">
        <f t="shared" si="19"/>
        <v/>
      </c>
      <c r="Z105" s="31" t="str">
        <f t="shared" si="20"/>
        <v/>
      </c>
      <c r="AA105" s="31" t="str">
        <f>IF(D105="","",IF(H105&lt;=$B$16,1,IF(H105&gt;=$B$17,$B$21,MATCH(H105,Aux_CAV!$A$2:$A$121,1))))</f>
        <v/>
      </c>
      <c r="AB105" s="31" t="str">
        <f>IF(D105="","",IF(L105&lt;=$B$16,1,IF(L105&gt;=$B$17,$B$21,MATCH(L105,Aux_CAV!$A$2:$A$121,1))))</f>
        <v/>
      </c>
      <c r="AC105" s="3" t="str">
        <f t="shared" si="21"/>
        <v/>
      </c>
    </row>
    <row r="106" ht="12.75" customHeight="1">
      <c r="A106" s="25" t="str">
        <f t="shared" si="1"/>
        <v/>
      </c>
      <c r="B106" s="29" t="str">
        <f t="array" ref="B106">IF(D106="","",IFERROR(VALUE(INDEX(Vazoes_COLAR!$A$2:$A$200,INT((ROW()-24)/12)+1)),""))</f>
        <v/>
      </c>
      <c r="C106" s="29" t="str">
        <f t="shared" si="2"/>
        <v/>
      </c>
      <c r="D106" s="26" t="str">
        <f t="array" ref="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6" s="26" t="str">
        <f t="shared" si="3"/>
        <v/>
      </c>
      <c r="F106" s="26" t="str">
        <f t="array" ref="F106">IF(D106="","",IFERROR(INDEX(Dados_Evap!$C$2:$N$15,MATCH($B$9,Dados_Evap!$A$2:$A$15,0),C106),0))</f>
        <v/>
      </c>
      <c r="G106" s="26" t="str">
        <f t="shared" si="4"/>
        <v/>
      </c>
      <c r="H106" s="26" t="str">
        <f t="shared" si="22"/>
        <v/>
      </c>
      <c r="I106" s="26" t="str">
        <f t="array" ref="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/>
      </c>
      <c r="J106" s="26" t="str">
        <f t="shared" si="5"/>
        <v/>
      </c>
      <c r="K106" s="26" t="str">
        <f t="shared" si="6"/>
        <v/>
      </c>
      <c r="L106" s="26" t="str">
        <f t="shared" si="7"/>
        <v/>
      </c>
      <c r="M106" s="26" t="str">
        <f t="array" ref="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/>
      </c>
      <c r="N106" s="26" t="str">
        <f t="shared" si="8"/>
        <v/>
      </c>
      <c r="O106" s="26" t="str">
        <f t="shared" si="9"/>
        <v/>
      </c>
      <c r="P106" s="26" t="str">
        <f t="shared" si="10"/>
        <v/>
      </c>
      <c r="Q106" s="26" t="str">
        <f t="shared" si="11"/>
        <v/>
      </c>
      <c r="R106" s="26" t="str">
        <f t="shared" si="12"/>
        <v/>
      </c>
      <c r="S106" s="26" t="str">
        <f t="shared" si="13"/>
        <v/>
      </c>
      <c r="T106" s="26" t="str">
        <f t="shared" si="14"/>
        <v/>
      </c>
      <c r="U106" s="26" t="str">
        <f t="shared" si="15"/>
        <v/>
      </c>
      <c r="V106" s="26" t="str">
        <f t="shared" si="16"/>
        <v/>
      </c>
      <c r="W106" s="26" t="str">
        <f t="shared" si="17"/>
        <v/>
      </c>
      <c r="X106" s="26" t="str">
        <f t="shared" si="18"/>
        <v/>
      </c>
      <c r="Y106" s="26" t="str">
        <f t="shared" si="19"/>
        <v/>
      </c>
      <c r="Z106" s="31" t="str">
        <f t="shared" si="20"/>
        <v/>
      </c>
      <c r="AA106" s="31" t="str">
        <f>IF(D106="","",IF(H106&lt;=$B$16,1,IF(H106&gt;=$B$17,$B$21,MATCH(H106,Aux_CAV!$A$2:$A$121,1))))</f>
        <v/>
      </c>
      <c r="AB106" s="31" t="str">
        <f>IF(D106="","",IF(L106&lt;=$B$16,1,IF(L106&gt;=$B$17,$B$21,MATCH(L106,Aux_CAV!$A$2:$A$121,1))))</f>
        <v/>
      </c>
      <c r="AC106" s="3" t="str">
        <f t="shared" si="21"/>
        <v/>
      </c>
    </row>
    <row r="107" ht="12.75" customHeight="1">
      <c r="A107" s="25" t="str">
        <f t="shared" si="1"/>
        <v/>
      </c>
      <c r="B107" s="29" t="str">
        <f t="array" ref="B107">IF(D107="","",IFERROR(VALUE(INDEX(Vazoes_COLAR!$A$2:$A$200,INT((ROW()-24)/12)+1)),""))</f>
        <v/>
      </c>
      <c r="C107" s="29" t="str">
        <f t="shared" si="2"/>
        <v/>
      </c>
      <c r="D107" s="26" t="str">
        <f t="array" ref="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7" s="26" t="str">
        <f t="shared" si="3"/>
        <v/>
      </c>
      <c r="F107" s="26" t="str">
        <f t="array" ref="F107">IF(D107="","",IFERROR(INDEX(Dados_Evap!$C$2:$N$15,MATCH($B$9,Dados_Evap!$A$2:$A$15,0),C107),0))</f>
        <v/>
      </c>
      <c r="G107" s="26" t="str">
        <f t="shared" si="4"/>
        <v/>
      </c>
      <c r="H107" s="26" t="str">
        <f t="shared" si="22"/>
        <v/>
      </c>
      <c r="I107" s="26" t="str">
        <f t="array" ref="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/>
      </c>
      <c r="J107" s="26" t="str">
        <f t="shared" si="5"/>
        <v/>
      </c>
      <c r="K107" s="26" t="str">
        <f t="shared" si="6"/>
        <v/>
      </c>
      <c r="L107" s="26" t="str">
        <f t="shared" si="7"/>
        <v/>
      </c>
      <c r="M107" s="26" t="str">
        <f t="array" ref="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/>
      </c>
      <c r="N107" s="26" t="str">
        <f t="shared" si="8"/>
        <v/>
      </c>
      <c r="O107" s="26" t="str">
        <f t="shared" si="9"/>
        <v/>
      </c>
      <c r="P107" s="26" t="str">
        <f t="shared" si="10"/>
        <v/>
      </c>
      <c r="Q107" s="26" t="str">
        <f t="shared" si="11"/>
        <v/>
      </c>
      <c r="R107" s="26" t="str">
        <f t="shared" si="12"/>
        <v/>
      </c>
      <c r="S107" s="26" t="str">
        <f t="shared" si="13"/>
        <v/>
      </c>
      <c r="T107" s="26" t="str">
        <f t="shared" si="14"/>
        <v/>
      </c>
      <c r="U107" s="26" t="str">
        <f t="shared" si="15"/>
        <v/>
      </c>
      <c r="V107" s="26" t="str">
        <f t="shared" si="16"/>
        <v/>
      </c>
      <c r="W107" s="26" t="str">
        <f t="shared" si="17"/>
        <v/>
      </c>
      <c r="X107" s="26" t="str">
        <f t="shared" si="18"/>
        <v/>
      </c>
      <c r="Y107" s="26" t="str">
        <f t="shared" si="19"/>
        <v/>
      </c>
      <c r="Z107" s="31" t="str">
        <f t="shared" si="20"/>
        <v/>
      </c>
      <c r="AA107" s="31" t="str">
        <f>IF(D107="","",IF(H107&lt;=$B$16,1,IF(H107&gt;=$B$17,$B$21,MATCH(H107,Aux_CAV!$A$2:$A$121,1))))</f>
        <v/>
      </c>
      <c r="AB107" s="31" t="str">
        <f>IF(D107="","",IF(L107&lt;=$B$16,1,IF(L107&gt;=$B$17,$B$21,MATCH(L107,Aux_CAV!$A$2:$A$121,1))))</f>
        <v/>
      </c>
      <c r="AC107" s="3" t="str">
        <f t="shared" si="21"/>
        <v/>
      </c>
    </row>
    <row r="108" ht="12.75" customHeight="1">
      <c r="A108" s="25" t="str">
        <f t="shared" si="1"/>
        <v/>
      </c>
      <c r="B108" s="29" t="str">
        <f t="array" ref="B108">IF(D108="","",IFERROR(VALUE(INDEX(Vazoes_COLAR!$A$2:$A$200,INT((ROW()-24)/12)+1)),""))</f>
        <v/>
      </c>
      <c r="C108" s="29" t="str">
        <f t="shared" si="2"/>
        <v/>
      </c>
      <c r="D108" s="26" t="str">
        <f t="array" ref="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8" s="26" t="str">
        <f t="shared" si="3"/>
        <v/>
      </c>
      <c r="F108" s="26" t="str">
        <f t="array" ref="F108">IF(D108="","",IFERROR(INDEX(Dados_Evap!$C$2:$N$15,MATCH($B$9,Dados_Evap!$A$2:$A$15,0),C108),0))</f>
        <v/>
      </c>
      <c r="G108" s="26" t="str">
        <f t="shared" si="4"/>
        <v/>
      </c>
      <c r="H108" s="26" t="str">
        <f t="shared" si="22"/>
        <v/>
      </c>
      <c r="I108" s="26" t="str">
        <f t="array" ref="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/>
      </c>
      <c r="J108" s="26" t="str">
        <f t="shared" si="5"/>
        <v/>
      </c>
      <c r="K108" s="26" t="str">
        <f t="shared" si="6"/>
        <v/>
      </c>
      <c r="L108" s="26" t="str">
        <f t="shared" si="7"/>
        <v/>
      </c>
      <c r="M108" s="26" t="str">
        <f t="array" ref="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/>
      </c>
      <c r="N108" s="26" t="str">
        <f t="shared" si="8"/>
        <v/>
      </c>
      <c r="O108" s="26" t="str">
        <f t="shared" si="9"/>
        <v/>
      </c>
      <c r="P108" s="26" t="str">
        <f t="shared" si="10"/>
        <v/>
      </c>
      <c r="Q108" s="26" t="str">
        <f t="shared" si="11"/>
        <v/>
      </c>
      <c r="R108" s="26" t="str">
        <f t="shared" si="12"/>
        <v/>
      </c>
      <c r="S108" s="26" t="str">
        <f t="shared" si="13"/>
        <v/>
      </c>
      <c r="T108" s="26" t="str">
        <f t="shared" si="14"/>
        <v/>
      </c>
      <c r="U108" s="26" t="str">
        <f t="shared" si="15"/>
        <v/>
      </c>
      <c r="V108" s="26" t="str">
        <f t="shared" si="16"/>
        <v/>
      </c>
      <c r="W108" s="26" t="str">
        <f t="shared" si="17"/>
        <v/>
      </c>
      <c r="X108" s="26" t="str">
        <f t="shared" si="18"/>
        <v/>
      </c>
      <c r="Y108" s="26" t="str">
        <f t="shared" si="19"/>
        <v/>
      </c>
      <c r="Z108" s="31" t="str">
        <f t="shared" si="20"/>
        <v/>
      </c>
      <c r="AA108" s="31" t="str">
        <f>IF(D108="","",IF(H108&lt;=$B$16,1,IF(H108&gt;=$B$17,$B$21,MATCH(H108,Aux_CAV!$A$2:$A$121,1))))</f>
        <v/>
      </c>
      <c r="AB108" s="31" t="str">
        <f>IF(D108="","",IF(L108&lt;=$B$16,1,IF(L108&gt;=$B$17,$B$21,MATCH(L108,Aux_CAV!$A$2:$A$121,1))))</f>
        <v/>
      </c>
      <c r="AC108" s="3" t="str">
        <f t="shared" si="21"/>
        <v/>
      </c>
    </row>
    <row r="109" ht="12.75" customHeight="1">
      <c r="A109" s="25" t="str">
        <f t="shared" si="1"/>
        <v/>
      </c>
      <c r="B109" s="29" t="str">
        <f t="array" ref="B109">IF(D109="","",IFERROR(VALUE(INDEX(Vazoes_COLAR!$A$2:$A$200,INT((ROW()-24)/12)+1)),""))</f>
        <v/>
      </c>
      <c r="C109" s="29" t="str">
        <f t="shared" si="2"/>
        <v/>
      </c>
      <c r="D109" s="26" t="str">
        <f t="array" ref="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9" s="26" t="str">
        <f t="shared" si="3"/>
        <v/>
      </c>
      <c r="F109" s="26" t="str">
        <f t="array" ref="F109">IF(D109="","",IFERROR(INDEX(Dados_Evap!$C$2:$N$15,MATCH($B$9,Dados_Evap!$A$2:$A$15,0),C109),0))</f>
        <v/>
      </c>
      <c r="G109" s="26" t="str">
        <f t="shared" si="4"/>
        <v/>
      </c>
      <c r="H109" s="26" t="str">
        <f t="shared" si="22"/>
        <v/>
      </c>
      <c r="I109" s="26" t="str">
        <f t="array" ref="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/>
      </c>
      <c r="J109" s="26" t="str">
        <f t="shared" si="5"/>
        <v/>
      </c>
      <c r="K109" s="26" t="str">
        <f t="shared" si="6"/>
        <v/>
      </c>
      <c r="L109" s="26" t="str">
        <f t="shared" si="7"/>
        <v/>
      </c>
      <c r="M109" s="26" t="str">
        <f t="array" ref="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/>
      </c>
      <c r="N109" s="26" t="str">
        <f t="shared" si="8"/>
        <v/>
      </c>
      <c r="O109" s="26" t="str">
        <f t="shared" si="9"/>
        <v/>
      </c>
      <c r="P109" s="26" t="str">
        <f t="shared" si="10"/>
        <v/>
      </c>
      <c r="Q109" s="26" t="str">
        <f t="shared" si="11"/>
        <v/>
      </c>
      <c r="R109" s="26" t="str">
        <f t="shared" si="12"/>
        <v/>
      </c>
      <c r="S109" s="26" t="str">
        <f t="shared" si="13"/>
        <v/>
      </c>
      <c r="T109" s="26" t="str">
        <f t="shared" si="14"/>
        <v/>
      </c>
      <c r="U109" s="26" t="str">
        <f t="shared" si="15"/>
        <v/>
      </c>
      <c r="V109" s="26" t="str">
        <f t="shared" si="16"/>
        <v/>
      </c>
      <c r="W109" s="26" t="str">
        <f t="shared" si="17"/>
        <v/>
      </c>
      <c r="X109" s="26" t="str">
        <f t="shared" si="18"/>
        <v/>
      </c>
      <c r="Y109" s="26" t="str">
        <f t="shared" si="19"/>
        <v/>
      </c>
      <c r="Z109" s="31" t="str">
        <f t="shared" si="20"/>
        <v/>
      </c>
      <c r="AA109" s="31" t="str">
        <f>IF(D109="","",IF(H109&lt;=$B$16,1,IF(H109&gt;=$B$17,$B$21,MATCH(H109,Aux_CAV!$A$2:$A$121,1))))</f>
        <v/>
      </c>
      <c r="AB109" s="31" t="str">
        <f>IF(D109="","",IF(L109&lt;=$B$16,1,IF(L109&gt;=$B$17,$B$21,MATCH(L109,Aux_CAV!$A$2:$A$121,1))))</f>
        <v/>
      </c>
      <c r="AC109" s="3" t="str">
        <f t="shared" si="21"/>
        <v/>
      </c>
    </row>
    <row r="110" ht="12.75" customHeight="1">
      <c r="A110" s="25" t="str">
        <f t="shared" si="1"/>
        <v/>
      </c>
      <c r="B110" s="29" t="str">
        <f t="array" ref="B110">IF(D110="","",IFERROR(VALUE(INDEX(Vazoes_COLAR!$A$2:$A$200,INT((ROW()-24)/12)+1)),""))</f>
        <v/>
      </c>
      <c r="C110" s="29" t="str">
        <f t="shared" si="2"/>
        <v/>
      </c>
      <c r="D110" s="26" t="str">
        <f t="array" ref="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0" s="26" t="str">
        <f t="shared" si="3"/>
        <v/>
      </c>
      <c r="F110" s="26" t="str">
        <f t="array" ref="F110">IF(D110="","",IFERROR(INDEX(Dados_Evap!$C$2:$N$15,MATCH($B$9,Dados_Evap!$A$2:$A$15,0),C110),0))</f>
        <v/>
      </c>
      <c r="G110" s="26" t="str">
        <f t="shared" si="4"/>
        <v/>
      </c>
      <c r="H110" s="26" t="str">
        <f t="shared" si="22"/>
        <v/>
      </c>
      <c r="I110" s="26" t="str">
        <f t="array" ref="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/>
      </c>
      <c r="J110" s="26" t="str">
        <f t="shared" si="5"/>
        <v/>
      </c>
      <c r="K110" s="26" t="str">
        <f t="shared" si="6"/>
        <v/>
      </c>
      <c r="L110" s="26" t="str">
        <f t="shared" si="7"/>
        <v/>
      </c>
      <c r="M110" s="26" t="str">
        <f t="array" ref="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/>
      </c>
      <c r="N110" s="26" t="str">
        <f t="shared" si="8"/>
        <v/>
      </c>
      <c r="O110" s="26" t="str">
        <f t="shared" si="9"/>
        <v/>
      </c>
      <c r="P110" s="26" t="str">
        <f t="shared" si="10"/>
        <v/>
      </c>
      <c r="Q110" s="26" t="str">
        <f t="shared" si="11"/>
        <v/>
      </c>
      <c r="R110" s="26" t="str">
        <f t="shared" si="12"/>
        <v/>
      </c>
      <c r="S110" s="26" t="str">
        <f t="shared" si="13"/>
        <v/>
      </c>
      <c r="T110" s="26" t="str">
        <f t="shared" si="14"/>
        <v/>
      </c>
      <c r="U110" s="26" t="str">
        <f t="shared" si="15"/>
        <v/>
      </c>
      <c r="V110" s="26" t="str">
        <f t="shared" si="16"/>
        <v/>
      </c>
      <c r="W110" s="26" t="str">
        <f t="shared" si="17"/>
        <v/>
      </c>
      <c r="X110" s="26" t="str">
        <f t="shared" si="18"/>
        <v/>
      </c>
      <c r="Y110" s="26" t="str">
        <f t="shared" si="19"/>
        <v/>
      </c>
      <c r="Z110" s="31" t="str">
        <f t="shared" si="20"/>
        <v/>
      </c>
      <c r="AA110" s="31" t="str">
        <f>IF(D110="","",IF(H110&lt;=$B$16,1,IF(H110&gt;=$B$17,$B$21,MATCH(H110,Aux_CAV!$A$2:$A$121,1))))</f>
        <v/>
      </c>
      <c r="AB110" s="31" t="str">
        <f>IF(D110="","",IF(L110&lt;=$B$16,1,IF(L110&gt;=$B$17,$B$21,MATCH(L110,Aux_CAV!$A$2:$A$121,1))))</f>
        <v/>
      </c>
      <c r="AC110" s="3" t="str">
        <f t="shared" si="21"/>
        <v/>
      </c>
    </row>
    <row r="111" ht="12.75" customHeight="1">
      <c r="A111" s="25" t="str">
        <f t="shared" si="1"/>
        <v/>
      </c>
      <c r="B111" s="29" t="str">
        <f t="array" ref="B111">IF(D111="","",IFERROR(VALUE(INDEX(Vazoes_COLAR!$A$2:$A$200,INT((ROW()-24)/12)+1)),""))</f>
        <v/>
      </c>
      <c r="C111" s="29" t="str">
        <f t="shared" si="2"/>
        <v/>
      </c>
      <c r="D111" s="26" t="str">
        <f t="array" ref="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1" s="26" t="str">
        <f t="shared" si="3"/>
        <v/>
      </c>
      <c r="F111" s="26" t="str">
        <f t="array" ref="F111">IF(D111="","",IFERROR(INDEX(Dados_Evap!$C$2:$N$15,MATCH($B$9,Dados_Evap!$A$2:$A$15,0),C111),0))</f>
        <v/>
      </c>
      <c r="G111" s="26" t="str">
        <f t="shared" si="4"/>
        <v/>
      </c>
      <c r="H111" s="26" t="str">
        <f t="shared" si="22"/>
        <v/>
      </c>
      <c r="I111" s="26" t="str">
        <f t="array" ref="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/>
      </c>
      <c r="J111" s="26" t="str">
        <f t="shared" si="5"/>
        <v/>
      </c>
      <c r="K111" s="26" t="str">
        <f t="shared" si="6"/>
        <v/>
      </c>
      <c r="L111" s="26" t="str">
        <f t="shared" si="7"/>
        <v/>
      </c>
      <c r="M111" s="26" t="str">
        <f t="array" ref="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/>
      </c>
      <c r="N111" s="26" t="str">
        <f t="shared" si="8"/>
        <v/>
      </c>
      <c r="O111" s="26" t="str">
        <f t="shared" si="9"/>
        <v/>
      </c>
      <c r="P111" s="26" t="str">
        <f t="shared" si="10"/>
        <v/>
      </c>
      <c r="Q111" s="26" t="str">
        <f t="shared" si="11"/>
        <v/>
      </c>
      <c r="R111" s="26" t="str">
        <f t="shared" si="12"/>
        <v/>
      </c>
      <c r="S111" s="26" t="str">
        <f t="shared" si="13"/>
        <v/>
      </c>
      <c r="T111" s="26" t="str">
        <f t="shared" si="14"/>
        <v/>
      </c>
      <c r="U111" s="26" t="str">
        <f t="shared" si="15"/>
        <v/>
      </c>
      <c r="V111" s="26" t="str">
        <f t="shared" si="16"/>
        <v/>
      </c>
      <c r="W111" s="26" t="str">
        <f t="shared" si="17"/>
        <v/>
      </c>
      <c r="X111" s="26" t="str">
        <f t="shared" si="18"/>
        <v/>
      </c>
      <c r="Y111" s="26" t="str">
        <f t="shared" si="19"/>
        <v/>
      </c>
      <c r="Z111" s="31" t="str">
        <f t="shared" si="20"/>
        <v/>
      </c>
      <c r="AA111" s="31" t="str">
        <f>IF(D111="","",IF(H111&lt;=$B$16,1,IF(H111&gt;=$B$17,$B$21,MATCH(H111,Aux_CAV!$A$2:$A$121,1))))</f>
        <v/>
      </c>
      <c r="AB111" s="31" t="str">
        <f>IF(D111="","",IF(L111&lt;=$B$16,1,IF(L111&gt;=$B$17,$B$21,MATCH(L111,Aux_CAV!$A$2:$A$121,1))))</f>
        <v/>
      </c>
      <c r="AC111" s="3" t="str">
        <f t="shared" si="21"/>
        <v/>
      </c>
    </row>
    <row r="112" ht="12.75" customHeight="1">
      <c r="A112" s="25" t="str">
        <f t="shared" si="1"/>
        <v/>
      </c>
      <c r="B112" s="29" t="str">
        <f t="array" ref="B112">IF(D112="","",IFERROR(VALUE(INDEX(Vazoes_COLAR!$A$2:$A$200,INT((ROW()-24)/12)+1)),""))</f>
        <v/>
      </c>
      <c r="C112" s="29" t="str">
        <f t="shared" si="2"/>
        <v/>
      </c>
      <c r="D112" s="26" t="str">
        <f t="array" ref="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2" s="26" t="str">
        <f t="shared" si="3"/>
        <v/>
      </c>
      <c r="F112" s="26" t="str">
        <f t="array" ref="F112">IF(D112="","",IFERROR(INDEX(Dados_Evap!$C$2:$N$15,MATCH($B$9,Dados_Evap!$A$2:$A$15,0),C112),0))</f>
        <v/>
      </c>
      <c r="G112" s="26" t="str">
        <f t="shared" si="4"/>
        <v/>
      </c>
      <c r="H112" s="26" t="str">
        <f t="shared" si="22"/>
        <v/>
      </c>
      <c r="I112" s="26" t="str">
        <f t="array" ref="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/>
      </c>
      <c r="J112" s="26" t="str">
        <f t="shared" si="5"/>
        <v/>
      </c>
      <c r="K112" s="26" t="str">
        <f t="shared" si="6"/>
        <v/>
      </c>
      <c r="L112" s="26" t="str">
        <f t="shared" si="7"/>
        <v/>
      </c>
      <c r="M112" s="26" t="str">
        <f t="array" ref="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/>
      </c>
      <c r="N112" s="26" t="str">
        <f t="shared" si="8"/>
        <v/>
      </c>
      <c r="O112" s="26" t="str">
        <f t="shared" si="9"/>
        <v/>
      </c>
      <c r="P112" s="26" t="str">
        <f t="shared" si="10"/>
        <v/>
      </c>
      <c r="Q112" s="26" t="str">
        <f t="shared" si="11"/>
        <v/>
      </c>
      <c r="R112" s="26" t="str">
        <f t="shared" si="12"/>
        <v/>
      </c>
      <c r="S112" s="26" t="str">
        <f t="shared" si="13"/>
        <v/>
      </c>
      <c r="T112" s="26" t="str">
        <f t="shared" si="14"/>
        <v/>
      </c>
      <c r="U112" s="26" t="str">
        <f t="shared" si="15"/>
        <v/>
      </c>
      <c r="V112" s="26" t="str">
        <f t="shared" si="16"/>
        <v/>
      </c>
      <c r="W112" s="26" t="str">
        <f t="shared" si="17"/>
        <v/>
      </c>
      <c r="X112" s="26" t="str">
        <f t="shared" si="18"/>
        <v/>
      </c>
      <c r="Y112" s="26" t="str">
        <f t="shared" si="19"/>
        <v/>
      </c>
      <c r="Z112" s="31" t="str">
        <f t="shared" si="20"/>
        <v/>
      </c>
      <c r="AA112" s="31" t="str">
        <f>IF(D112="","",IF(H112&lt;=$B$16,1,IF(H112&gt;=$B$17,$B$21,MATCH(H112,Aux_CAV!$A$2:$A$121,1))))</f>
        <v/>
      </c>
      <c r="AB112" s="31" t="str">
        <f>IF(D112="","",IF(L112&lt;=$B$16,1,IF(L112&gt;=$B$17,$B$21,MATCH(L112,Aux_CAV!$A$2:$A$121,1))))</f>
        <v/>
      </c>
      <c r="AC112" s="3" t="str">
        <f t="shared" si="21"/>
        <v/>
      </c>
    </row>
    <row r="113" ht="12.75" customHeight="1">
      <c r="A113" s="25" t="str">
        <f t="shared" si="1"/>
        <v/>
      </c>
      <c r="B113" s="29" t="str">
        <f t="array" ref="B113">IF(D113="","",IFERROR(VALUE(INDEX(Vazoes_COLAR!$A$2:$A$200,INT((ROW()-24)/12)+1)),""))</f>
        <v/>
      </c>
      <c r="C113" s="29" t="str">
        <f t="shared" si="2"/>
        <v/>
      </c>
      <c r="D113" s="26" t="str">
        <f t="array" ref="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3" s="26" t="str">
        <f t="shared" si="3"/>
        <v/>
      </c>
      <c r="F113" s="26" t="str">
        <f t="array" ref="F113">IF(D113="","",IFERROR(INDEX(Dados_Evap!$C$2:$N$15,MATCH($B$9,Dados_Evap!$A$2:$A$15,0),C113),0))</f>
        <v/>
      </c>
      <c r="G113" s="26" t="str">
        <f t="shared" si="4"/>
        <v/>
      </c>
      <c r="H113" s="26" t="str">
        <f t="shared" si="22"/>
        <v/>
      </c>
      <c r="I113" s="26" t="str">
        <f t="array" ref="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/>
      </c>
      <c r="J113" s="26" t="str">
        <f t="shared" si="5"/>
        <v/>
      </c>
      <c r="K113" s="26" t="str">
        <f t="shared" si="6"/>
        <v/>
      </c>
      <c r="L113" s="26" t="str">
        <f t="shared" si="7"/>
        <v/>
      </c>
      <c r="M113" s="26" t="str">
        <f t="array" ref="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/>
      </c>
      <c r="N113" s="26" t="str">
        <f t="shared" si="8"/>
        <v/>
      </c>
      <c r="O113" s="26" t="str">
        <f t="shared" si="9"/>
        <v/>
      </c>
      <c r="P113" s="26" t="str">
        <f t="shared" si="10"/>
        <v/>
      </c>
      <c r="Q113" s="26" t="str">
        <f t="shared" si="11"/>
        <v/>
      </c>
      <c r="R113" s="26" t="str">
        <f t="shared" si="12"/>
        <v/>
      </c>
      <c r="S113" s="26" t="str">
        <f t="shared" si="13"/>
        <v/>
      </c>
      <c r="T113" s="26" t="str">
        <f t="shared" si="14"/>
        <v/>
      </c>
      <c r="U113" s="26" t="str">
        <f t="shared" si="15"/>
        <v/>
      </c>
      <c r="V113" s="26" t="str">
        <f t="shared" si="16"/>
        <v/>
      </c>
      <c r="W113" s="26" t="str">
        <f t="shared" si="17"/>
        <v/>
      </c>
      <c r="X113" s="26" t="str">
        <f t="shared" si="18"/>
        <v/>
      </c>
      <c r="Y113" s="26" t="str">
        <f t="shared" si="19"/>
        <v/>
      </c>
      <c r="Z113" s="31" t="str">
        <f t="shared" si="20"/>
        <v/>
      </c>
      <c r="AA113" s="31" t="str">
        <f>IF(D113="","",IF(H113&lt;=$B$16,1,IF(H113&gt;=$B$17,$B$21,MATCH(H113,Aux_CAV!$A$2:$A$121,1))))</f>
        <v/>
      </c>
      <c r="AB113" s="31" t="str">
        <f>IF(D113="","",IF(L113&lt;=$B$16,1,IF(L113&gt;=$B$17,$B$21,MATCH(L113,Aux_CAV!$A$2:$A$121,1))))</f>
        <v/>
      </c>
      <c r="AC113" s="3" t="str">
        <f t="shared" si="21"/>
        <v/>
      </c>
    </row>
    <row r="114" ht="12.75" customHeight="1">
      <c r="A114" s="25" t="str">
        <f t="shared" si="1"/>
        <v/>
      </c>
      <c r="B114" s="29" t="str">
        <f t="array" ref="B114">IF(D114="","",IFERROR(VALUE(INDEX(Vazoes_COLAR!$A$2:$A$200,INT((ROW()-24)/12)+1)),""))</f>
        <v/>
      </c>
      <c r="C114" s="29" t="str">
        <f t="shared" si="2"/>
        <v/>
      </c>
      <c r="D114" s="26" t="str">
        <f t="array" ref="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4" s="26" t="str">
        <f t="shared" si="3"/>
        <v/>
      </c>
      <c r="F114" s="26" t="str">
        <f t="array" ref="F114">IF(D114="","",IFERROR(INDEX(Dados_Evap!$C$2:$N$15,MATCH($B$9,Dados_Evap!$A$2:$A$15,0),C114),0))</f>
        <v/>
      </c>
      <c r="G114" s="26" t="str">
        <f t="shared" si="4"/>
        <v/>
      </c>
      <c r="H114" s="26" t="str">
        <f t="shared" si="22"/>
        <v/>
      </c>
      <c r="I114" s="26" t="str">
        <f t="array" ref="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/>
      </c>
      <c r="J114" s="26" t="str">
        <f t="shared" si="5"/>
        <v/>
      </c>
      <c r="K114" s="26" t="str">
        <f t="shared" si="6"/>
        <v/>
      </c>
      <c r="L114" s="26" t="str">
        <f t="shared" si="7"/>
        <v/>
      </c>
      <c r="M114" s="26" t="str">
        <f t="array" ref="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/>
      </c>
      <c r="N114" s="26" t="str">
        <f t="shared" si="8"/>
        <v/>
      </c>
      <c r="O114" s="26" t="str">
        <f t="shared" si="9"/>
        <v/>
      </c>
      <c r="P114" s="26" t="str">
        <f t="shared" si="10"/>
        <v/>
      </c>
      <c r="Q114" s="26" t="str">
        <f t="shared" si="11"/>
        <v/>
      </c>
      <c r="R114" s="26" t="str">
        <f t="shared" si="12"/>
        <v/>
      </c>
      <c r="S114" s="26" t="str">
        <f t="shared" si="13"/>
        <v/>
      </c>
      <c r="T114" s="26" t="str">
        <f t="shared" si="14"/>
        <v/>
      </c>
      <c r="U114" s="26" t="str">
        <f t="shared" si="15"/>
        <v/>
      </c>
      <c r="V114" s="26" t="str">
        <f t="shared" si="16"/>
        <v/>
      </c>
      <c r="W114" s="26" t="str">
        <f t="shared" si="17"/>
        <v/>
      </c>
      <c r="X114" s="26" t="str">
        <f t="shared" si="18"/>
        <v/>
      </c>
      <c r="Y114" s="26" t="str">
        <f t="shared" si="19"/>
        <v/>
      </c>
      <c r="Z114" s="31" t="str">
        <f t="shared" si="20"/>
        <v/>
      </c>
      <c r="AA114" s="31" t="str">
        <f>IF(D114="","",IF(H114&lt;=$B$16,1,IF(H114&gt;=$B$17,$B$21,MATCH(H114,Aux_CAV!$A$2:$A$121,1))))</f>
        <v/>
      </c>
      <c r="AB114" s="31" t="str">
        <f>IF(D114="","",IF(L114&lt;=$B$16,1,IF(L114&gt;=$B$17,$B$21,MATCH(L114,Aux_CAV!$A$2:$A$121,1))))</f>
        <v/>
      </c>
      <c r="AC114" s="3" t="str">
        <f t="shared" si="21"/>
        <v/>
      </c>
    </row>
    <row r="115" ht="12.75" customHeight="1">
      <c r="A115" s="25" t="str">
        <f t="shared" si="1"/>
        <v/>
      </c>
      <c r="B115" s="29" t="str">
        <f t="array" ref="B115">IF(D115="","",IFERROR(VALUE(INDEX(Vazoes_COLAR!$A$2:$A$200,INT((ROW()-24)/12)+1)),""))</f>
        <v/>
      </c>
      <c r="C115" s="29" t="str">
        <f t="shared" si="2"/>
        <v/>
      </c>
      <c r="D115" s="26" t="str">
        <f t="array" ref="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5" s="26" t="str">
        <f t="shared" si="3"/>
        <v/>
      </c>
      <c r="F115" s="26" t="str">
        <f t="array" ref="F115">IF(D115="","",IFERROR(INDEX(Dados_Evap!$C$2:$N$15,MATCH($B$9,Dados_Evap!$A$2:$A$15,0),C115),0))</f>
        <v/>
      </c>
      <c r="G115" s="26" t="str">
        <f t="shared" si="4"/>
        <v/>
      </c>
      <c r="H115" s="26" t="str">
        <f t="shared" si="22"/>
        <v/>
      </c>
      <c r="I115" s="26" t="str">
        <f t="array" ref="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/>
      </c>
      <c r="J115" s="26" t="str">
        <f t="shared" si="5"/>
        <v/>
      </c>
      <c r="K115" s="26" t="str">
        <f t="shared" si="6"/>
        <v/>
      </c>
      <c r="L115" s="26" t="str">
        <f t="shared" si="7"/>
        <v/>
      </c>
      <c r="M115" s="26" t="str">
        <f t="array" ref="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/>
      </c>
      <c r="N115" s="26" t="str">
        <f t="shared" si="8"/>
        <v/>
      </c>
      <c r="O115" s="26" t="str">
        <f t="shared" si="9"/>
        <v/>
      </c>
      <c r="P115" s="26" t="str">
        <f t="shared" si="10"/>
        <v/>
      </c>
      <c r="Q115" s="26" t="str">
        <f t="shared" si="11"/>
        <v/>
      </c>
      <c r="R115" s="26" t="str">
        <f t="shared" si="12"/>
        <v/>
      </c>
      <c r="S115" s="26" t="str">
        <f t="shared" si="13"/>
        <v/>
      </c>
      <c r="T115" s="26" t="str">
        <f t="shared" si="14"/>
        <v/>
      </c>
      <c r="U115" s="26" t="str">
        <f t="shared" si="15"/>
        <v/>
      </c>
      <c r="V115" s="26" t="str">
        <f t="shared" si="16"/>
        <v/>
      </c>
      <c r="W115" s="26" t="str">
        <f t="shared" si="17"/>
        <v/>
      </c>
      <c r="X115" s="26" t="str">
        <f t="shared" si="18"/>
        <v/>
      </c>
      <c r="Y115" s="26" t="str">
        <f t="shared" si="19"/>
        <v/>
      </c>
      <c r="Z115" s="31" t="str">
        <f t="shared" si="20"/>
        <v/>
      </c>
      <c r="AA115" s="31" t="str">
        <f>IF(D115="","",IF(H115&lt;=$B$16,1,IF(H115&gt;=$B$17,$B$21,MATCH(H115,Aux_CAV!$A$2:$A$121,1))))</f>
        <v/>
      </c>
      <c r="AB115" s="31" t="str">
        <f>IF(D115="","",IF(L115&lt;=$B$16,1,IF(L115&gt;=$B$17,$B$21,MATCH(L115,Aux_CAV!$A$2:$A$121,1))))</f>
        <v/>
      </c>
      <c r="AC115" s="3" t="str">
        <f t="shared" si="21"/>
        <v/>
      </c>
    </row>
    <row r="116" ht="12.75" customHeight="1">
      <c r="A116" s="25" t="str">
        <f t="shared" si="1"/>
        <v/>
      </c>
      <c r="B116" s="29" t="str">
        <f t="array" ref="B116">IF(D116="","",IFERROR(VALUE(INDEX(Vazoes_COLAR!$A$2:$A$200,INT((ROW()-24)/12)+1)),""))</f>
        <v/>
      </c>
      <c r="C116" s="29" t="str">
        <f t="shared" si="2"/>
        <v/>
      </c>
      <c r="D116" s="26" t="str">
        <f t="array" ref="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6" s="26" t="str">
        <f t="shared" si="3"/>
        <v/>
      </c>
      <c r="F116" s="26" t="str">
        <f t="array" ref="F116">IF(D116="","",IFERROR(INDEX(Dados_Evap!$C$2:$N$15,MATCH($B$9,Dados_Evap!$A$2:$A$15,0),C116),0))</f>
        <v/>
      </c>
      <c r="G116" s="26" t="str">
        <f t="shared" si="4"/>
        <v/>
      </c>
      <c r="H116" s="26" t="str">
        <f t="shared" si="22"/>
        <v/>
      </c>
      <c r="I116" s="26" t="str">
        <f t="array" ref="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/>
      </c>
      <c r="J116" s="26" t="str">
        <f t="shared" si="5"/>
        <v/>
      </c>
      <c r="K116" s="26" t="str">
        <f t="shared" si="6"/>
        <v/>
      </c>
      <c r="L116" s="26" t="str">
        <f t="shared" si="7"/>
        <v/>
      </c>
      <c r="M116" s="26" t="str">
        <f t="array" ref="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/>
      </c>
      <c r="N116" s="26" t="str">
        <f t="shared" si="8"/>
        <v/>
      </c>
      <c r="O116" s="26" t="str">
        <f t="shared" si="9"/>
        <v/>
      </c>
      <c r="P116" s="26" t="str">
        <f t="shared" si="10"/>
        <v/>
      </c>
      <c r="Q116" s="26" t="str">
        <f t="shared" si="11"/>
        <v/>
      </c>
      <c r="R116" s="26" t="str">
        <f t="shared" si="12"/>
        <v/>
      </c>
      <c r="S116" s="26" t="str">
        <f t="shared" si="13"/>
        <v/>
      </c>
      <c r="T116" s="26" t="str">
        <f t="shared" si="14"/>
        <v/>
      </c>
      <c r="U116" s="26" t="str">
        <f t="shared" si="15"/>
        <v/>
      </c>
      <c r="V116" s="26" t="str">
        <f t="shared" si="16"/>
        <v/>
      </c>
      <c r="W116" s="26" t="str">
        <f t="shared" si="17"/>
        <v/>
      </c>
      <c r="X116" s="26" t="str">
        <f t="shared" si="18"/>
        <v/>
      </c>
      <c r="Y116" s="26" t="str">
        <f t="shared" si="19"/>
        <v/>
      </c>
      <c r="Z116" s="31" t="str">
        <f t="shared" si="20"/>
        <v/>
      </c>
      <c r="AA116" s="31" t="str">
        <f>IF(D116="","",IF(H116&lt;=$B$16,1,IF(H116&gt;=$B$17,$B$21,MATCH(H116,Aux_CAV!$A$2:$A$121,1))))</f>
        <v/>
      </c>
      <c r="AB116" s="31" t="str">
        <f>IF(D116="","",IF(L116&lt;=$B$16,1,IF(L116&gt;=$B$17,$B$21,MATCH(L116,Aux_CAV!$A$2:$A$121,1))))</f>
        <v/>
      </c>
      <c r="AC116" s="3" t="str">
        <f t="shared" si="21"/>
        <v/>
      </c>
    </row>
    <row r="117" ht="12.75" customHeight="1">
      <c r="A117" s="25" t="str">
        <f t="shared" si="1"/>
        <v/>
      </c>
      <c r="B117" s="29" t="str">
        <f t="array" ref="B117">IF(D117="","",IFERROR(VALUE(INDEX(Vazoes_COLAR!$A$2:$A$200,INT((ROW()-24)/12)+1)),""))</f>
        <v/>
      </c>
      <c r="C117" s="29" t="str">
        <f t="shared" si="2"/>
        <v/>
      </c>
      <c r="D117" s="26" t="str">
        <f t="array" ref="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7" s="26" t="str">
        <f t="shared" si="3"/>
        <v/>
      </c>
      <c r="F117" s="26" t="str">
        <f t="array" ref="F117">IF(D117="","",IFERROR(INDEX(Dados_Evap!$C$2:$N$15,MATCH($B$9,Dados_Evap!$A$2:$A$15,0),C117),0))</f>
        <v/>
      </c>
      <c r="G117" s="26" t="str">
        <f t="shared" si="4"/>
        <v/>
      </c>
      <c r="H117" s="26" t="str">
        <f t="shared" si="22"/>
        <v/>
      </c>
      <c r="I117" s="26" t="str">
        <f t="array" ref="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/>
      </c>
      <c r="J117" s="26" t="str">
        <f t="shared" si="5"/>
        <v/>
      </c>
      <c r="K117" s="26" t="str">
        <f t="shared" si="6"/>
        <v/>
      </c>
      <c r="L117" s="26" t="str">
        <f t="shared" si="7"/>
        <v/>
      </c>
      <c r="M117" s="26" t="str">
        <f t="array" ref="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/>
      </c>
      <c r="N117" s="26" t="str">
        <f t="shared" si="8"/>
        <v/>
      </c>
      <c r="O117" s="26" t="str">
        <f t="shared" si="9"/>
        <v/>
      </c>
      <c r="P117" s="26" t="str">
        <f t="shared" si="10"/>
        <v/>
      </c>
      <c r="Q117" s="26" t="str">
        <f t="shared" si="11"/>
        <v/>
      </c>
      <c r="R117" s="26" t="str">
        <f t="shared" si="12"/>
        <v/>
      </c>
      <c r="S117" s="26" t="str">
        <f t="shared" si="13"/>
        <v/>
      </c>
      <c r="T117" s="26" t="str">
        <f t="shared" si="14"/>
        <v/>
      </c>
      <c r="U117" s="26" t="str">
        <f t="shared" si="15"/>
        <v/>
      </c>
      <c r="V117" s="26" t="str">
        <f t="shared" si="16"/>
        <v/>
      </c>
      <c r="W117" s="26" t="str">
        <f t="shared" si="17"/>
        <v/>
      </c>
      <c r="X117" s="26" t="str">
        <f t="shared" si="18"/>
        <v/>
      </c>
      <c r="Y117" s="26" t="str">
        <f t="shared" si="19"/>
        <v/>
      </c>
      <c r="Z117" s="31" t="str">
        <f t="shared" si="20"/>
        <v/>
      </c>
      <c r="AA117" s="31" t="str">
        <f>IF(D117="","",IF(H117&lt;=$B$16,1,IF(H117&gt;=$B$17,$B$21,MATCH(H117,Aux_CAV!$A$2:$A$121,1))))</f>
        <v/>
      </c>
      <c r="AB117" s="31" t="str">
        <f>IF(D117="","",IF(L117&lt;=$B$16,1,IF(L117&gt;=$B$17,$B$21,MATCH(L117,Aux_CAV!$A$2:$A$121,1))))</f>
        <v/>
      </c>
      <c r="AC117" s="3" t="str">
        <f t="shared" si="21"/>
        <v/>
      </c>
    </row>
    <row r="118" ht="12.75" customHeight="1">
      <c r="A118" s="25" t="str">
        <f t="shared" si="1"/>
        <v/>
      </c>
      <c r="B118" s="29" t="str">
        <f t="array" ref="B118">IF(D118="","",IFERROR(VALUE(INDEX(Vazoes_COLAR!$A$2:$A$200,INT((ROW()-24)/12)+1)),""))</f>
        <v/>
      </c>
      <c r="C118" s="29" t="str">
        <f t="shared" si="2"/>
        <v/>
      </c>
      <c r="D118" s="26" t="str">
        <f t="array" ref="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8" s="26" t="str">
        <f t="shared" si="3"/>
        <v/>
      </c>
      <c r="F118" s="26" t="str">
        <f t="array" ref="F118">IF(D118="","",IFERROR(INDEX(Dados_Evap!$C$2:$N$15,MATCH($B$9,Dados_Evap!$A$2:$A$15,0),C118),0))</f>
        <v/>
      </c>
      <c r="G118" s="26" t="str">
        <f t="shared" si="4"/>
        <v/>
      </c>
      <c r="H118" s="26" t="str">
        <f t="shared" si="22"/>
        <v/>
      </c>
      <c r="I118" s="26" t="str">
        <f t="array" ref="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/>
      </c>
      <c r="J118" s="26" t="str">
        <f t="shared" si="5"/>
        <v/>
      </c>
      <c r="K118" s="26" t="str">
        <f t="shared" si="6"/>
        <v/>
      </c>
      <c r="L118" s="26" t="str">
        <f t="shared" si="7"/>
        <v/>
      </c>
      <c r="M118" s="26" t="str">
        <f t="array" ref="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/>
      </c>
      <c r="N118" s="26" t="str">
        <f t="shared" si="8"/>
        <v/>
      </c>
      <c r="O118" s="26" t="str">
        <f t="shared" si="9"/>
        <v/>
      </c>
      <c r="P118" s="26" t="str">
        <f t="shared" si="10"/>
        <v/>
      </c>
      <c r="Q118" s="26" t="str">
        <f t="shared" si="11"/>
        <v/>
      </c>
      <c r="R118" s="26" t="str">
        <f t="shared" si="12"/>
        <v/>
      </c>
      <c r="S118" s="26" t="str">
        <f t="shared" si="13"/>
        <v/>
      </c>
      <c r="T118" s="26" t="str">
        <f t="shared" si="14"/>
        <v/>
      </c>
      <c r="U118" s="26" t="str">
        <f t="shared" si="15"/>
        <v/>
      </c>
      <c r="V118" s="26" t="str">
        <f t="shared" si="16"/>
        <v/>
      </c>
      <c r="W118" s="26" t="str">
        <f t="shared" si="17"/>
        <v/>
      </c>
      <c r="X118" s="26" t="str">
        <f t="shared" si="18"/>
        <v/>
      </c>
      <c r="Y118" s="26" t="str">
        <f t="shared" si="19"/>
        <v/>
      </c>
      <c r="Z118" s="31" t="str">
        <f t="shared" si="20"/>
        <v/>
      </c>
      <c r="AA118" s="31" t="str">
        <f>IF(D118="","",IF(H118&lt;=$B$16,1,IF(H118&gt;=$B$17,$B$21,MATCH(H118,Aux_CAV!$A$2:$A$121,1))))</f>
        <v/>
      </c>
      <c r="AB118" s="31" t="str">
        <f>IF(D118="","",IF(L118&lt;=$B$16,1,IF(L118&gt;=$B$17,$B$21,MATCH(L118,Aux_CAV!$A$2:$A$121,1))))</f>
        <v/>
      </c>
      <c r="AC118" s="3" t="str">
        <f t="shared" si="21"/>
        <v/>
      </c>
    </row>
    <row r="119" ht="12.75" customHeight="1">
      <c r="A119" s="25" t="str">
        <f t="shared" si="1"/>
        <v/>
      </c>
      <c r="B119" s="29" t="str">
        <f t="array" ref="B119">IF(D119="","",IFERROR(VALUE(INDEX(Vazoes_COLAR!$A$2:$A$200,INT((ROW()-24)/12)+1)),""))</f>
        <v/>
      </c>
      <c r="C119" s="29" t="str">
        <f t="shared" si="2"/>
        <v/>
      </c>
      <c r="D119" s="26" t="str">
        <f t="array" ref="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9" s="26" t="str">
        <f t="shared" si="3"/>
        <v/>
      </c>
      <c r="F119" s="26" t="str">
        <f t="array" ref="F119">IF(D119="","",IFERROR(INDEX(Dados_Evap!$C$2:$N$15,MATCH($B$9,Dados_Evap!$A$2:$A$15,0),C119),0))</f>
        <v/>
      </c>
      <c r="G119" s="26" t="str">
        <f t="shared" si="4"/>
        <v/>
      </c>
      <c r="H119" s="26" t="str">
        <f t="shared" si="22"/>
        <v/>
      </c>
      <c r="I119" s="26" t="str">
        <f t="array" ref="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/>
      </c>
      <c r="J119" s="26" t="str">
        <f t="shared" si="5"/>
        <v/>
      </c>
      <c r="K119" s="26" t="str">
        <f t="shared" si="6"/>
        <v/>
      </c>
      <c r="L119" s="26" t="str">
        <f t="shared" si="7"/>
        <v/>
      </c>
      <c r="M119" s="26" t="str">
        <f t="array" ref="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/>
      </c>
      <c r="N119" s="26" t="str">
        <f t="shared" si="8"/>
        <v/>
      </c>
      <c r="O119" s="26" t="str">
        <f t="shared" si="9"/>
        <v/>
      </c>
      <c r="P119" s="26" t="str">
        <f t="shared" si="10"/>
        <v/>
      </c>
      <c r="Q119" s="26" t="str">
        <f t="shared" si="11"/>
        <v/>
      </c>
      <c r="R119" s="26" t="str">
        <f t="shared" si="12"/>
        <v/>
      </c>
      <c r="S119" s="26" t="str">
        <f t="shared" si="13"/>
        <v/>
      </c>
      <c r="T119" s="26" t="str">
        <f t="shared" si="14"/>
        <v/>
      </c>
      <c r="U119" s="26" t="str">
        <f t="shared" si="15"/>
        <v/>
      </c>
      <c r="V119" s="26" t="str">
        <f t="shared" si="16"/>
        <v/>
      </c>
      <c r="W119" s="26" t="str">
        <f t="shared" si="17"/>
        <v/>
      </c>
      <c r="X119" s="26" t="str">
        <f t="shared" si="18"/>
        <v/>
      </c>
      <c r="Y119" s="26" t="str">
        <f t="shared" si="19"/>
        <v/>
      </c>
      <c r="Z119" s="31" t="str">
        <f t="shared" si="20"/>
        <v/>
      </c>
      <c r="AA119" s="31" t="str">
        <f>IF(D119="","",IF(H119&lt;=$B$16,1,IF(H119&gt;=$B$17,$B$21,MATCH(H119,Aux_CAV!$A$2:$A$121,1))))</f>
        <v/>
      </c>
      <c r="AB119" s="31" t="str">
        <f>IF(D119="","",IF(L119&lt;=$B$16,1,IF(L119&gt;=$B$17,$B$21,MATCH(L119,Aux_CAV!$A$2:$A$121,1))))</f>
        <v/>
      </c>
      <c r="AC119" s="3" t="str">
        <f t="shared" si="21"/>
        <v/>
      </c>
    </row>
    <row r="120" ht="12.75" customHeight="1">
      <c r="A120" s="25" t="str">
        <f t="shared" si="1"/>
        <v/>
      </c>
      <c r="B120" s="29" t="str">
        <f t="array" ref="B120">IF(D120="","",IFERROR(VALUE(INDEX(Vazoes_COLAR!$A$2:$A$200,INT((ROW()-24)/12)+1)),""))</f>
        <v/>
      </c>
      <c r="C120" s="29" t="str">
        <f t="shared" si="2"/>
        <v/>
      </c>
      <c r="D120" s="26" t="str">
        <f t="array" ref="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0" s="26" t="str">
        <f t="shared" si="3"/>
        <v/>
      </c>
      <c r="F120" s="26" t="str">
        <f t="array" ref="F120">IF(D120="","",IFERROR(INDEX(Dados_Evap!$C$2:$N$15,MATCH($B$9,Dados_Evap!$A$2:$A$15,0),C120),0))</f>
        <v/>
      </c>
      <c r="G120" s="26" t="str">
        <f t="shared" si="4"/>
        <v/>
      </c>
      <c r="H120" s="26" t="str">
        <f t="shared" si="22"/>
        <v/>
      </c>
      <c r="I120" s="26" t="str">
        <f t="array" ref="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/>
      </c>
      <c r="J120" s="26" t="str">
        <f t="shared" si="5"/>
        <v/>
      </c>
      <c r="K120" s="26" t="str">
        <f t="shared" si="6"/>
        <v/>
      </c>
      <c r="L120" s="26" t="str">
        <f t="shared" si="7"/>
        <v/>
      </c>
      <c r="M120" s="26" t="str">
        <f t="array" ref="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/>
      </c>
      <c r="N120" s="26" t="str">
        <f t="shared" si="8"/>
        <v/>
      </c>
      <c r="O120" s="26" t="str">
        <f t="shared" si="9"/>
        <v/>
      </c>
      <c r="P120" s="26" t="str">
        <f t="shared" si="10"/>
        <v/>
      </c>
      <c r="Q120" s="26" t="str">
        <f t="shared" si="11"/>
        <v/>
      </c>
      <c r="R120" s="26" t="str">
        <f t="shared" si="12"/>
        <v/>
      </c>
      <c r="S120" s="26" t="str">
        <f t="shared" si="13"/>
        <v/>
      </c>
      <c r="T120" s="26" t="str">
        <f t="shared" si="14"/>
        <v/>
      </c>
      <c r="U120" s="26" t="str">
        <f t="shared" si="15"/>
        <v/>
      </c>
      <c r="V120" s="26" t="str">
        <f t="shared" si="16"/>
        <v/>
      </c>
      <c r="W120" s="26" t="str">
        <f t="shared" si="17"/>
        <v/>
      </c>
      <c r="X120" s="26" t="str">
        <f t="shared" si="18"/>
        <v/>
      </c>
      <c r="Y120" s="26" t="str">
        <f t="shared" si="19"/>
        <v/>
      </c>
      <c r="Z120" s="31" t="str">
        <f t="shared" si="20"/>
        <v/>
      </c>
      <c r="AA120" s="31" t="str">
        <f>IF(D120="","",IF(H120&lt;=$B$16,1,IF(H120&gt;=$B$17,$B$21,MATCH(H120,Aux_CAV!$A$2:$A$121,1))))</f>
        <v/>
      </c>
      <c r="AB120" s="31" t="str">
        <f>IF(D120="","",IF(L120&lt;=$B$16,1,IF(L120&gt;=$B$17,$B$21,MATCH(L120,Aux_CAV!$A$2:$A$121,1))))</f>
        <v/>
      </c>
      <c r="AC120" s="3" t="str">
        <f t="shared" si="21"/>
        <v/>
      </c>
    </row>
    <row r="121" ht="12.75" customHeight="1">
      <c r="A121" s="25" t="str">
        <f t="shared" si="1"/>
        <v/>
      </c>
      <c r="B121" s="29" t="str">
        <f t="array" ref="B121">IF(D121="","",IFERROR(VALUE(INDEX(Vazoes_COLAR!$A$2:$A$200,INT((ROW()-24)/12)+1)),""))</f>
        <v/>
      </c>
      <c r="C121" s="29" t="str">
        <f t="shared" si="2"/>
        <v/>
      </c>
      <c r="D121" s="26" t="str">
        <f t="array" ref="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1" s="26" t="str">
        <f t="shared" si="3"/>
        <v/>
      </c>
      <c r="F121" s="26" t="str">
        <f t="array" ref="F121">IF(D121="","",IFERROR(INDEX(Dados_Evap!$C$2:$N$15,MATCH($B$9,Dados_Evap!$A$2:$A$15,0),C121),0))</f>
        <v/>
      </c>
      <c r="G121" s="26" t="str">
        <f t="shared" si="4"/>
        <v/>
      </c>
      <c r="H121" s="26" t="str">
        <f t="shared" si="22"/>
        <v/>
      </c>
      <c r="I121" s="26" t="str">
        <f t="array" ref="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/>
      </c>
      <c r="J121" s="26" t="str">
        <f t="shared" si="5"/>
        <v/>
      </c>
      <c r="K121" s="26" t="str">
        <f t="shared" si="6"/>
        <v/>
      </c>
      <c r="L121" s="26" t="str">
        <f t="shared" si="7"/>
        <v/>
      </c>
      <c r="M121" s="26" t="str">
        <f t="array" ref="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/>
      </c>
      <c r="N121" s="26" t="str">
        <f t="shared" si="8"/>
        <v/>
      </c>
      <c r="O121" s="26" t="str">
        <f t="shared" si="9"/>
        <v/>
      </c>
      <c r="P121" s="26" t="str">
        <f t="shared" si="10"/>
        <v/>
      </c>
      <c r="Q121" s="26" t="str">
        <f t="shared" si="11"/>
        <v/>
      </c>
      <c r="R121" s="26" t="str">
        <f t="shared" si="12"/>
        <v/>
      </c>
      <c r="S121" s="26" t="str">
        <f t="shared" si="13"/>
        <v/>
      </c>
      <c r="T121" s="26" t="str">
        <f t="shared" si="14"/>
        <v/>
      </c>
      <c r="U121" s="26" t="str">
        <f t="shared" si="15"/>
        <v/>
      </c>
      <c r="V121" s="26" t="str">
        <f t="shared" si="16"/>
        <v/>
      </c>
      <c r="W121" s="26" t="str">
        <f t="shared" si="17"/>
        <v/>
      </c>
      <c r="X121" s="26" t="str">
        <f t="shared" si="18"/>
        <v/>
      </c>
      <c r="Y121" s="26" t="str">
        <f t="shared" si="19"/>
        <v/>
      </c>
      <c r="Z121" s="31" t="str">
        <f t="shared" si="20"/>
        <v/>
      </c>
      <c r="AA121" s="31" t="str">
        <f>IF(D121="","",IF(H121&lt;=$B$16,1,IF(H121&gt;=$B$17,$B$21,MATCH(H121,Aux_CAV!$A$2:$A$121,1))))</f>
        <v/>
      </c>
      <c r="AB121" s="31" t="str">
        <f>IF(D121="","",IF(L121&lt;=$B$16,1,IF(L121&gt;=$B$17,$B$21,MATCH(L121,Aux_CAV!$A$2:$A$121,1))))</f>
        <v/>
      </c>
      <c r="AC121" s="3" t="str">
        <f t="shared" si="21"/>
        <v/>
      </c>
    </row>
    <row r="122" ht="12.75" customHeight="1">
      <c r="A122" s="25" t="str">
        <f t="shared" si="1"/>
        <v/>
      </c>
      <c r="B122" s="29" t="str">
        <f t="array" ref="B122">IF(D122="","",IFERROR(VALUE(INDEX(Vazoes_COLAR!$A$2:$A$200,INT((ROW()-24)/12)+1)),""))</f>
        <v/>
      </c>
      <c r="C122" s="29" t="str">
        <f t="shared" si="2"/>
        <v/>
      </c>
      <c r="D122" s="26" t="str">
        <f t="array" ref="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2" s="26" t="str">
        <f t="shared" si="3"/>
        <v/>
      </c>
      <c r="F122" s="26" t="str">
        <f t="array" ref="F122">IF(D122="","",IFERROR(INDEX(Dados_Evap!$C$2:$N$15,MATCH($B$9,Dados_Evap!$A$2:$A$15,0),C122),0))</f>
        <v/>
      </c>
      <c r="G122" s="26" t="str">
        <f t="shared" si="4"/>
        <v/>
      </c>
      <c r="H122" s="26" t="str">
        <f t="shared" si="22"/>
        <v/>
      </c>
      <c r="I122" s="26" t="str">
        <f t="array" ref="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/>
      </c>
      <c r="J122" s="26" t="str">
        <f t="shared" si="5"/>
        <v/>
      </c>
      <c r="K122" s="26" t="str">
        <f t="shared" si="6"/>
        <v/>
      </c>
      <c r="L122" s="26" t="str">
        <f t="shared" si="7"/>
        <v/>
      </c>
      <c r="M122" s="26" t="str">
        <f t="array" ref="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/>
      </c>
      <c r="N122" s="26" t="str">
        <f t="shared" si="8"/>
        <v/>
      </c>
      <c r="O122" s="26" t="str">
        <f t="shared" si="9"/>
        <v/>
      </c>
      <c r="P122" s="26" t="str">
        <f t="shared" si="10"/>
        <v/>
      </c>
      <c r="Q122" s="26" t="str">
        <f t="shared" si="11"/>
        <v/>
      </c>
      <c r="R122" s="26" t="str">
        <f t="shared" si="12"/>
        <v/>
      </c>
      <c r="S122" s="26" t="str">
        <f t="shared" si="13"/>
        <v/>
      </c>
      <c r="T122" s="26" t="str">
        <f t="shared" si="14"/>
        <v/>
      </c>
      <c r="U122" s="26" t="str">
        <f t="shared" si="15"/>
        <v/>
      </c>
      <c r="V122" s="26" t="str">
        <f t="shared" si="16"/>
        <v/>
      </c>
      <c r="W122" s="26" t="str">
        <f t="shared" si="17"/>
        <v/>
      </c>
      <c r="X122" s="26" t="str">
        <f t="shared" si="18"/>
        <v/>
      </c>
      <c r="Y122" s="26" t="str">
        <f t="shared" si="19"/>
        <v/>
      </c>
      <c r="Z122" s="31" t="str">
        <f t="shared" si="20"/>
        <v/>
      </c>
      <c r="AA122" s="31" t="str">
        <f>IF(D122="","",IF(H122&lt;=$B$16,1,IF(H122&gt;=$B$17,$B$21,MATCH(H122,Aux_CAV!$A$2:$A$121,1))))</f>
        <v/>
      </c>
      <c r="AB122" s="31" t="str">
        <f>IF(D122="","",IF(L122&lt;=$B$16,1,IF(L122&gt;=$B$17,$B$21,MATCH(L122,Aux_CAV!$A$2:$A$121,1))))</f>
        <v/>
      </c>
      <c r="AC122" s="3" t="str">
        <f t="shared" si="21"/>
        <v/>
      </c>
    </row>
    <row r="123" ht="12.75" customHeight="1">
      <c r="A123" s="25" t="str">
        <f t="shared" si="1"/>
        <v/>
      </c>
      <c r="B123" s="29" t="str">
        <f t="array" ref="B123">IF(D123="","",IFERROR(VALUE(INDEX(Vazoes_COLAR!$A$2:$A$200,INT((ROW()-24)/12)+1)),""))</f>
        <v/>
      </c>
      <c r="C123" s="29" t="str">
        <f t="shared" si="2"/>
        <v/>
      </c>
      <c r="D123" s="26" t="str">
        <f t="array" ref="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3" s="26" t="str">
        <f t="shared" si="3"/>
        <v/>
      </c>
      <c r="F123" s="26" t="str">
        <f t="array" ref="F123">IF(D123="","",IFERROR(INDEX(Dados_Evap!$C$2:$N$15,MATCH($B$9,Dados_Evap!$A$2:$A$15,0),C123),0))</f>
        <v/>
      </c>
      <c r="G123" s="26" t="str">
        <f t="shared" si="4"/>
        <v/>
      </c>
      <c r="H123" s="26" t="str">
        <f t="shared" si="22"/>
        <v/>
      </c>
      <c r="I123" s="26" t="str">
        <f t="array" ref="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/>
      </c>
      <c r="J123" s="26" t="str">
        <f t="shared" si="5"/>
        <v/>
      </c>
      <c r="K123" s="26" t="str">
        <f t="shared" si="6"/>
        <v/>
      </c>
      <c r="L123" s="26" t="str">
        <f t="shared" si="7"/>
        <v/>
      </c>
      <c r="M123" s="26" t="str">
        <f t="array" ref="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/>
      </c>
      <c r="N123" s="26" t="str">
        <f t="shared" si="8"/>
        <v/>
      </c>
      <c r="O123" s="26" t="str">
        <f t="shared" si="9"/>
        <v/>
      </c>
      <c r="P123" s="26" t="str">
        <f t="shared" si="10"/>
        <v/>
      </c>
      <c r="Q123" s="26" t="str">
        <f t="shared" si="11"/>
        <v/>
      </c>
      <c r="R123" s="26" t="str">
        <f t="shared" si="12"/>
        <v/>
      </c>
      <c r="S123" s="26" t="str">
        <f t="shared" si="13"/>
        <v/>
      </c>
      <c r="T123" s="26" t="str">
        <f t="shared" si="14"/>
        <v/>
      </c>
      <c r="U123" s="26" t="str">
        <f t="shared" si="15"/>
        <v/>
      </c>
      <c r="V123" s="26" t="str">
        <f t="shared" si="16"/>
        <v/>
      </c>
      <c r="W123" s="26" t="str">
        <f t="shared" si="17"/>
        <v/>
      </c>
      <c r="X123" s="26" t="str">
        <f t="shared" si="18"/>
        <v/>
      </c>
      <c r="Y123" s="26" t="str">
        <f t="shared" si="19"/>
        <v/>
      </c>
      <c r="Z123" s="31" t="str">
        <f t="shared" si="20"/>
        <v/>
      </c>
      <c r="AA123" s="31" t="str">
        <f>IF(D123="","",IF(H123&lt;=$B$16,1,IF(H123&gt;=$B$17,$B$21,MATCH(H123,Aux_CAV!$A$2:$A$121,1))))</f>
        <v/>
      </c>
      <c r="AB123" s="31" t="str">
        <f>IF(D123="","",IF(L123&lt;=$B$16,1,IF(L123&gt;=$B$17,$B$21,MATCH(L123,Aux_CAV!$A$2:$A$121,1))))</f>
        <v/>
      </c>
      <c r="AC123" s="3" t="str">
        <f t="shared" si="21"/>
        <v/>
      </c>
    </row>
    <row r="124" ht="12.75" customHeight="1">
      <c r="A124" s="25" t="str">
        <f t="shared" si="1"/>
        <v/>
      </c>
      <c r="B124" s="29" t="str">
        <f t="array" ref="B124">IF(D124="","",IFERROR(VALUE(INDEX(Vazoes_COLAR!$A$2:$A$200,INT((ROW()-24)/12)+1)),""))</f>
        <v/>
      </c>
      <c r="C124" s="29" t="str">
        <f t="shared" si="2"/>
        <v/>
      </c>
      <c r="D124" s="26" t="str">
        <f t="array" ref="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4" s="26" t="str">
        <f t="shared" si="3"/>
        <v/>
      </c>
      <c r="F124" s="26" t="str">
        <f t="array" ref="F124">IF(D124="","",IFERROR(INDEX(Dados_Evap!$C$2:$N$15,MATCH($B$9,Dados_Evap!$A$2:$A$15,0),C124),0))</f>
        <v/>
      </c>
      <c r="G124" s="26" t="str">
        <f t="shared" si="4"/>
        <v/>
      </c>
      <c r="H124" s="26" t="str">
        <f t="shared" si="22"/>
        <v/>
      </c>
      <c r="I124" s="26" t="str">
        <f t="array" ref="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/>
      </c>
      <c r="J124" s="26" t="str">
        <f t="shared" si="5"/>
        <v/>
      </c>
      <c r="K124" s="26" t="str">
        <f t="shared" si="6"/>
        <v/>
      </c>
      <c r="L124" s="26" t="str">
        <f t="shared" si="7"/>
        <v/>
      </c>
      <c r="M124" s="26" t="str">
        <f t="array" ref="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/>
      </c>
      <c r="N124" s="26" t="str">
        <f t="shared" si="8"/>
        <v/>
      </c>
      <c r="O124" s="26" t="str">
        <f t="shared" si="9"/>
        <v/>
      </c>
      <c r="P124" s="26" t="str">
        <f t="shared" si="10"/>
        <v/>
      </c>
      <c r="Q124" s="26" t="str">
        <f t="shared" si="11"/>
        <v/>
      </c>
      <c r="R124" s="26" t="str">
        <f t="shared" si="12"/>
        <v/>
      </c>
      <c r="S124" s="26" t="str">
        <f t="shared" si="13"/>
        <v/>
      </c>
      <c r="T124" s="26" t="str">
        <f t="shared" si="14"/>
        <v/>
      </c>
      <c r="U124" s="26" t="str">
        <f t="shared" si="15"/>
        <v/>
      </c>
      <c r="V124" s="26" t="str">
        <f t="shared" si="16"/>
        <v/>
      </c>
      <c r="W124" s="26" t="str">
        <f t="shared" si="17"/>
        <v/>
      </c>
      <c r="X124" s="26" t="str">
        <f t="shared" si="18"/>
        <v/>
      </c>
      <c r="Y124" s="26" t="str">
        <f t="shared" si="19"/>
        <v/>
      </c>
      <c r="Z124" s="31" t="str">
        <f t="shared" si="20"/>
        <v/>
      </c>
      <c r="AA124" s="31" t="str">
        <f>IF(D124="","",IF(H124&lt;=$B$16,1,IF(H124&gt;=$B$17,$B$21,MATCH(H124,Aux_CAV!$A$2:$A$121,1))))</f>
        <v/>
      </c>
      <c r="AB124" s="31" t="str">
        <f>IF(D124="","",IF(L124&lt;=$B$16,1,IF(L124&gt;=$B$17,$B$21,MATCH(L124,Aux_CAV!$A$2:$A$121,1))))</f>
        <v/>
      </c>
      <c r="AC124" s="3" t="str">
        <f t="shared" si="21"/>
        <v/>
      </c>
    </row>
    <row r="125" ht="12.75" customHeight="1">
      <c r="A125" s="25" t="str">
        <f t="shared" si="1"/>
        <v/>
      </c>
      <c r="B125" s="29" t="str">
        <f t="array" ref="B125">IF(D125="","",IFERROR(VALUE(INDEX(Vazoes_COLAR!$A$2:$A$200,INT((ROW()-24)/12)+1)),""))</f>
        <v/>
      </c>
      <c r="C125" s="29" t="str">
        <f t="shared" si="2"/>
        <v/>
      </c>
      <c r="D125" s="26" t="str">
        <f t="array" ref="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5" s="26" t="str">
        <f t="shared" si="3"/>
        <v/>
      </c>
      <c r="F125" s="26" t="str">
        <f t="array" ref="F125">IF(D125="","",IFERROR(INDEX(Dados_Evap!$C$2:$N$15,MATCH($B$9,Dados_Evap!$A$2:$A$15,0),C125),0))</f>
        <v/>
      </c>
      <c r="G125" s="26" t="str">
        <f t="shared" si="4"/>
        <v/>
      </c>
      <c r="H125" s="26" t="str">
        <f t="shared" si="22"/>
        <v/>
      </c>
      <c r="I125" s="26" t="str">
        <f t="array" ref="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/>
      </c>
      <c r="J125" s="26" t="str">
        <f t="shared" si="5"/>
        <v/>
      </c>
      <c r="K125" s="26" t="str">
        <f t="shared" si="6"/>
        <v/>
      </c>
      <c r="L125" s="26" t="str">
        <f t="shared" si="7"/>
        <v/>
      </c>
      <c r="M125" s="26" t="str">
        <f t="array" ref="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/>
      </c>
      <c r="N125" s="26" t="str">
        <f t="shared" si="8"/>
        <v/>
      </c>
      <c r="O125" s="26" t="str">
        <f t="shared" si="9"/>
        <v/>
      </c>
      <c r="P125" s="26" t="str">
        <f t="shared" si="10"/>
        <v/>
      </c>
      <c r="Q125" s="26" t="str">
        <f t="shared" si="11"/>
        <v/>
      </c>
      <c r="R125" s="26" t="str">
        <f t="shared" si="12"/>
        <v/>
      </c>
      <c r="S125" s="26" t="str">
        <f t="shared" si="13"/>
        <v/>
      </c>
      <c r="T125" s="26" t="str">
        <f t="shared" si="14"/>
        <v/>
      </c>
      <c r="U125" s="26" t="str">
        <f t="shared" si="15"/>
        <v/>
      </c>
      <c r="V125" s="26" t="str">
        <f t="shared" si="16"/>
        <v/>
      </c>
      <c r="W125" s="26" t="str">
        <f t="shared" si="17"/>
        <v/>
      </c>
      <c r="X125" s="26" t="str">
        <f t="shared" si="18"/>
        <v/>
      </c>
      <c r="Y125" s="26" t="str">
        <f t="shared" si="19"/>
        <v/>
      </c>
      <c r="Z125" s="31" t="str">
        <f t="shared" si="20"/>
        <v/>
      </c>
      <c r="AA125" s="31" t="str">
        <f>IF(D125="","",IF(H125&lt;=$B$16,1,IF(H125&gt;=$B$17,$B$21,MATCH(H125,Aux_CAV!$A$2:$A$121,1))))</f>
        <v/>
      </c>
      <c r="AB125" s="31" t="str">
        <f>IF(D125="","",IF(L125&lt;=$B$16,1,IF(L125&gt;=$B$17,$B$21,MATCH(L125,Aux_CAV!$A$2:$A$121,1))))</f>
        <v/>
      </c>
      <c r="AC125" s="3" t="str">
        <f t="shared" si="21"/>
        <v/>
      </c>
    </row>
    <row r="126" ht="12.75" customHeight="1">
      <c r="A126" s="25" t="str">
        <f t="shared" si="1"/>
        <v/>
      </c>
      <c r="B126" s="29" t="str">
        <f t="array" ref="B126">IF(D126="","",IFERROR(VALUE(INDEX(Vazoes_COLAR!$A$2:$A$200,INT((ROW()-24)/12)+1)),""))</f>
        <v/>
      </c>
      <c r="C126" s="29" t="str">
        <f t="shared" si="2"/>
        <v/>
      </c>
      <c r="D126" s="26" t="str">
        <f t="array" ref="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6" s="26" t="str">
        <f t="shared" si="3"/>
        <v/>
      </c>
      <c r="F126" s="26" t="str">
        <f t="array" ref="F126">IF(D126="","",IFERROR(INDEX(Dados_Evap!$C$2:$N$15,MATCH($B$9,Dados_Evap!$A$2:$A$15,0),C126),0))</f>
        <v/>
      </c>
      <c r="G126" s="26" t="str">
        <f t="shared" si="4"/>
        <v/>
      </c>
      <c r="H126" s="26" t="str">
        <f t="shared" si="22"/>
        <v/>
      </c>
      <c r="I126" s="26" t="str">
        <f t="array" ref="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/>
      </c>
      <c r="J126" s="26" t="str">
        <f t="shared" si="5"/>
        <v/>
      </c>
      <c r="K126" s="26" t="str">
        <f t="shared" si="6"/>
        <v/>
      </c>
      <c r="L126" s="26" t="str">
        <f t="shared" si="7"/>
        <v/>
      </c>
      <c r="M126" s="26" t="str">
        <f t="array" ref="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/>
      </c>
      <c r="N126" s="26" t="str">
        <f t="shared" si="8"/>
        <v/>
      </c>
      <c r="O126" s="26" t="str">
        <f t="shared" si="9"/>
        <v/>
      </c>
      <c r="P126" s="26" t="str">
        <f t="shared" si="10"/>
        <v/>
      </c>
      <c r="Q126" s="26" t="str">
        <f t="shared" si="11"/>
        <v/>
      </c>
      <c r="R126" s="26" t="str">
        <f t="shared" si="12"/>
        <v/>
      </c>
      <c r="S126" s="26" t="str">
        <f t="shared" si="13"/>
        <v/>
      </c>
      <c r="T126" s="26" t="str">
        <f t="shared" si="14"/>
        <v/>
      </c>
      <c r="U126" s="26" t="str">
        <f t="shared" si="15"/>
        <v/>
      </c>
      <c r="V126" s="26" t="str">
        <f t="shared" si="16"/>
        <v/>
      </c>
      <c r="W126" s="26" t="str">
        <f t="shared" si="17"/>
        <v/>
      </c>
      <c r="X126" s="26" t="str">
        <f t="shared" si="18"/>
        <v/>
      </c>
      <c r="Y126" s="26" t="str">
        <f t="shared" si="19"/>
        <v/>
      </c>
      <c r="Z126" s="31" t="str">
        <f t="shared" si="20"/>
        <v/>
      </c>
      <c r="AA126" s="31" t="str">
        <f>IF(D126="","",IF(H126&lt;=$B$16,1,IF(H126&gt;=$B$17,$B$21,MATCH(H126,Aux_CAV!$A$2:$A$121,1))))</f>
        <v/>
      </c>
      <c r="AB126" s="31" t="str">
        <f>IF(D126="","",IF(L126&lt;=$B$16,1,IF(L126&gt;=$B$17,$B$21,MATCH(L126,Aux_CAV!$A$2:$A$121,1))))</f>
        <v/>
      </c>
      <c r="AC126" s="3" t="str">
        <f t="shared" si="21"/>
        <v/>
      </c>
    </row>
    <row r="127" ht="12.75" customHeight="1">
      <c r="A127" s="25" t="str">
        <f t="shared" si="1"/>
        <v/>
      </c>
      <c r="B127" s="29" t="str">
        <f t="array" ref="B127">IF(D127="","",IFERROR(VALUE(INDEX(Vazoes_COLAR!$A$2:$A$200,INT((ROW()-24)/12)+1)),""))</f>
        <v/>
      </c>
      <c r="C127" s="29" t="str">
        <f t="shared" si="2"/>
        <v/>
      </c>
      <c r="D127" s="26" t="str">
        <f t="array" ref="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7" s="26" t="str">
        <f t="shared" si="3"/>
        <v/>
      </c>
      <c r="F127" s="26" t="str">
        <f t="array" ref="F127">IF(D127="","",IFERROR(INDEX(Dados_Evap!$C$2:$N$15,MATCH($B$9,Dados_Evap!$A$2:$A$15,0),C127),0))</f>
        <v/>
      </c>
      <c r="G127" s="26" t="str">
        <f t="shared" si="4"/>
        <v/>
      </c>
      <c r="H127" s="26" t="str">
        <f t="shared" si="22"/>
        <v/>
      </c>
      <c r="I127" s="26" t="str">
        <f t="array" ref="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/>
      </c>
      <c r="J127" s="26" t="str">
        <f t="shared" si="5"/>
        <v/>
      </c>
      <c r="K127" s="26" t="str">
        <f t="shared" si="6"/>
        <v/>
      </c>
      <c r="L127" s="26" t="str">
        <f t="shared" si="7"/>
        <v/>
      </c>
      <c r="M127" s="26" t="str">
        <f t="array" ref="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/>
      </c>
      <c r="N127" s="26" t="str">
        <f t="shared" si="8"/>
        <v/>
      </c>
      <c r="O127" s="26" t="str">
        <f t="shared" si="9"/>
        <v/>
      </c>
      <c r="P127" s="26" t="str">
        <f t="shared" si="10"/>
        <v/>
      </c>
      <c r="Q127" s="26" t="str">
        <f t="shared" si="11"/>
        <v/>
      </c>
      <c r="R127" s="26" t="str">
        <f t="shared" si="12"/>
        <v/>
      </c>
      <c r="S127" s="26" t="str">
        <f t="shared" si="13"/>
        <v/>
      </c>
      <c r="T127" s="26" t="str">
        <f t="shared" si="14"/>
        <v/>
      </c>
      <c r="U127" s="26" t="str">
        <f t="shared" si="15"/>
        <v/>
      </c>
      <c r="V127" s="26" t="str">
        <f t="shared" si="16"/>
        <v/>
      </c>
      <c r="W127" s="26" t="str">
        <f t="shared" si="17"/>
        <v/>
      </c>
      <c r="X127" s="26" t="str">
        <f t="shared" si="18"/>
        <v/>
      </c>
      <c r="Y127" s="26" t="str">
        <f t="shared" si="19"/>
        <v/>
      </c>
      <c r="Z127" s="31" t="str">
        <f t="shared" si="20"/>
        <v/>
      </c>
      <c r="AA127" s="31" t="str">
        <f>IF(D127="","",IF(H127&lt;=$B$16,1,IF(H127&gt;=$B$17,$B$21,MATCH(H127,Aux_CAV!$A$2:$A$121,1))))</f>
        <v/>
      </c>
      <c r="AB127" s="31" t="str">
        <f>IF(D127="","",IF(L127&lt;=$B$16,1,IF(L127&gt;=$B$17,$B$21,MATCH(L127,Aux_CAV!$A$2:$A$121,1))))</f>
        <v/>
      </c>
      <c r="AC127" s="3" t="str">
        <f t="shared" si="21"/>
        <v/>
      </c>
    </row>
    <row r="128" ht="12.75" customHeight="1">
      <c r="A128" s="25" t="str">
        <f t="shared" si="1"/>
        <v/>
      </c>
      <c r="B128" s="29" t="str">
        <f t="array" ref="B128">IF(D128="","",IFERROR(VALUE(INDEX(Vazoes_COLAR!$A$2:$A$200,INT((ROW()-24)/12)+1)),""))</f>
        <v/>
      </c>
      <c r="C128" s="29" t="str">
        <f t="shared" si="2"/>
        <v/>
      </c>
      <c r="D128" s="26" t="str">
        <f t="array" ref="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8" s="26" t="str">
        <f t="shared" si="3"/>
        <v/>
      </c>
      <c r="F128" s="26" t="str">
        <f t="array" ref="F128">IF(D128="","",IFERROR(INDEX(Dados_Evap!$C$2:$N$15,MATCH($B$9,Dados_Evap!$A$2:$A$15,0),C128),0))</f>
        <v/>
      </c>
      <c r="G128" s="26" t="str">
        <f t="shared" si="4"/>
        <v/>
      </c>
      <c r="H128" s="26" t="str">
        <f t="shared" si="22"/>
        <v/>
      </c>
      <c r="I128" s="26" t="str">
        <f t="array" ref="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/>
      </c>
      <c r="J128" s="26" t="str">
        <f t="shared" si="5"/>
        <v/>
      </c>
      <c r="K128" s="26" t="str">
        <f t="shared" si="6"/>
        <v/>
      </c>
      <c r="L128" s="26" t="str">
        <f t="shared" si="7"/>
        <v/>
      </c>
      <c r="M128" s="26" t="str">
        <f t="array" ref="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/>
      </c>
      <c r="N128" s="26" t="str">
        <f t="shared" si="8"/>
        <v/>
      </c>
      <c r="O128" s="26" t="str">
        <f t="shared" si="9"/>
        <v/>
      </c>
      <c r="P128" s="26" t="str">
        <f t="shared" si="10"/>
        <v/>
      </c>
      <c r="Q128" s="26" t="str">
        <f t="shared" si="11"/>
        <v/>
      </c>
      <c r="R128" s="26" t="str">
        <f t="shared" si="12"/>
        <v/>
      </c>
      <c r="S128" s="26" t="str">
        <f t="shared" si="13"/>
        <v/>
      </c>
      <c r="T128" s="26" t="str">
        <f t="shared" si="14"/>
        <v/>
      </c>
      <c r="U128" s="26" t="str">
        <f t="shared" si="15"/>
        <v/>
      </c>
      <c r="V128" s="26" t="str">
        <f t="shared" si="16"/>
        <v/>
      </c>
      <c r="W128" s="26" t="str">
        <f t="shared" si="17"/>
        <v/>
      </c>
      <c r="X128" s="26" t="str">
        <f t="shared" si="18"/>
        <v/>
      </c>
      <c r="Y128" s="26" t="str">
        <f t="shared" si="19"/>
        <v/>
      </c>
      <c r="Z128" s="31" t="str">
        <f t="shared" si="20"/>
        <v/>
      </c>
      <c r="AA128" s="31" t="str">
        <f>IF(D128="","",IF(H128&lt;=$B$16,1,IF(H128&gt;=$B$17,$B$21,MATCH(H128,Aux_CAV!$A$2:$A$121,1))))</f>
        <v/>
      </c>
      <c r="AB128" s="31" t="str">
        <f>IF(D128="","",IF(L128&lt;=$B$16,1,IF(L128&gt;=$B$17,$B$21,MATCH(L128,Aux_CAV!$A$2:$A$121,1))))</f>
        <v/>
      </c>
      <c r="AC128" s="3" t="str">
        <f t="shared" si="21"/>
        <v/>
      </c>
    </row>
    <row r="129" ht="12.75" customHeight="1">
      <c r="A129" s="25" t="str">
        <f t="shared" si="1"/>
        <v/>
      </c>
      <c r="B129" s="29" t="str">
        <f t="array" ref="B129">IF(D129="","",IFERROR(VALUE(INDEX(Vazoes_COLAR!$A$2:$A$200,INT((ROW()-24)/12)+1)),""))</f>
        <v/>
      </c>
      <c r="C129" s="29" t="str">
        <f t="shared" si="2"/>
        <v/>
      </c>
      <c r="D129" s="26" t="str">
        <f t="array" ref="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9" s="26" t="str">
        <f t="shared" si="3"/>
        <v/>
      </c>
      <c r="F129" s="26" t="str">
        <f t="array" ref="F129">IF(D129="","",IFERROR(INDEX(Dados_Evap!$C$2:$N$15,MATCH($B$9,Dados_Evap!$A$2:$A$15,0),C129),0))</f>
        <v/>
      </c>
      <c r="G129" s="26" t="str">
        <f t="shared" si="4"/>
        <v/>
      </c>
      <c r="H129" s="26" t="str">
        <f t="shared" si="22"/>
        <v/>
      </c>
      <c r="I129" s="26" t="str">
        <f t="array" ref="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/>
      </c>
      <c r="J129" s="26" t="str">
        <f t="shared" si="5"/>
        <v/>
      </c>
      <c r="K129" s="26" t="str">
        <f t="shared" si="6"/>
        <v/>
      </c>
      <c r="L129" s="26" t="str">
        <f t="shared" si="7"/>
        <v/>
      </c>
      <c r="M129" s="26" t="str">
        <f t="array" ref="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/>
      </c>
      <c r="N129" s="26" t="str">
        <f t="shared" si="8"/>
        <v/>
      </c>
      <c r="O129" s="26" t="str">
        <f t="shared" si="9"/>
        <v/>
      </c>
      <c r="P129" s="26" t="str">
        <f t="shared" si="10"/>
        <v/>
      </c>
      <c r="Q129" s="26" t="str">
        <f t="shared" si="11"/>
        <v/>
      </c>
      <c r="R129" s="26" t="str">
        <f t="shared" si="12"/>
        <v/>
      </c>
      <c r="S129" s="26" t="str">
        <f t="shared" si="13"/>
        <v/>
      </c>
      <c r="T129" s="26" t="str">
        <f t="shared" si="14"/>
        <v/>
      </c>
      <c r="U129" s="26" t="str">
        <f t="shared" si="15"/>
        <v/>
      </c>
      <c r="V129" s="26" t="str">
        <f t="shared" si="16"/>
        <v/>
      </c>
      <c r="W129" s="26" t="str">
        <f t="shared" si="17"/>
        <v/>
      </c>
      <c r="X129" s="26" t="str">
        <f t="shared" si="18"/>
        <v/>
      </c>
      <c r="Y129" s="26" t="str">
        <f t="shared" si="19"/>
        <v/>
      </c>
      <c r="Z129" s="31" t="str">
        <f t="shared" si="20"/>
        <v/>
      </c>
      <c r="AA129" s="31" t="str">
        <f>IF(D129="","",IF(H129&lt;=$B$16,1,IF(H129&gt;=$B$17,$B$21,MATCH(H129,Aux_CAV!$A$2:$A$121,1))))</f>
        <v/>
      </c>
      <c r="AB129" s="31" t="str">
        <f>IF(D129="","",IF(L129&lt;=$B$16,1,IF(L129&gt;=$B$17,$B$21,MATCH(L129,Aux_CAV!$A$2:$A$121,1))))</f>
        <v/>
      </c>
      <c r="AC129" s="3" t="str">
        <f t="shared" si="21"/>
        <v/>
      </c>
    </row>
    <row r="130" ht="12.75" customHeight="1">
      <c r="A130" s="25" t="str">
        <f t="shared" si="1"/>
        <v/>
      </c>
      <c r="B130" s="29" t="str">
        <f t="array" ref="B130">IF(D130="","",IFERROR(VALUE(INDEX(Vazoes_COLAR!$A$2:$A$200,INT((ROW()-24)/12)+1)),""))</f>
        <v/>
      </c>
      <c r="C130" s="29" t="str">
        <f t="shared" si="2"/>
        <v/>
      </c>
      <c r="D130" s="26" t="str">
        <f t="array" ref="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0" s="26" t="str">
        <f t="shared" si="3"/>
        <v/>
      </c>
      <c r="F130" s="26" t="str">
        <f t="array" ref="F130">IF(D130="","",IFERROR(INDEX(Dados_Evap!$C$2:$N$15,MATCH($B$9,Dados_Evap!$A$2:$A$15,0),C130),0))</f>
        <v/>
      </c>
      <c r="G130" s="26" t="str">
        <f t="shared" si="4"/>
        <v/>
      </c>
      <c r="H130" s="26" t="str">
        <f t="shared" si="22"/>
        <v/>
      </c>
      <c r="I130" s="26" t="str">
        <f t="array" ref="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/>
      </c>
      <c r="J130" s="26" t="str">
        <f t="shared" si="5"/>
        <v/>
      </c>
      <c r="K130" s="26" t="str">
        <f t="shared" si="6"/>
        <v/>
      </c>
      <c r="L130" s="26" t="str">
        <f t="shared" si="7"/>
        <v/>
      </c>
      <c r="M130" s="26" t="str">
        <f t="array" ref="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/>
      </c>
      <c r="N130" s="26" t="str">
        <f t="shared" si="8"/>
        <v/>
      </c>
      <c r="O130" s="26" t="str">
        <f t="shared" si="9"/>
        <v/>
      </c>
      <c r="P130" s="26" t="str">
        <f t="shared" si="10"/>
        <v/>
      </c>
      <c r="Q130" s="26" t="str">
        <f t="shared" si="11"/>
        <v/>
      </c>
      <c r="R130" s="26" t="str">
        <f t="shared" si="12"/>
        <v/>
      </c>
      <c r="S130" s="26" t="str">
        <f t="shared" si="13"/>
        <v/>
      </c>
      <c r="T130" s="26" t="str">
        <f t="shared" si="14"/>
        <v/>
      </c>
      <c r="U130" s="26" t="str">
        <f t="shared" si="15"/>
        <v/>
      </c>
      <c r="V130" s="26" t="str">
        <f t="shared" si="16"/>
        <v/>
      </c>
      <c r="W130" s="26" t="str">
        <f t="shared" si="17"/>
        <v/>
      </c>
      <c r="X130" s="26" t="str">
        <f t="shared" si="18"/>
        <v/>
      </c>
      <c r="Y130" s="26" t="str">
        <f t="shared" si="19"/>
        <v/>
      </c>
      <c r="Z130" s="31" t="str">
        <f t="shared" si="20"/>
        <v/>
      </c>
      <c r="AA130" s="31" t="str">
        <f>IF(D130="","",IF(H130&lt;=$B$16,1,IF(H130&gt;=$B$17,$B$21,MATCH(H130,Aux_CAV!$A$2:$A$121,1))))</f>
        <v/>
      </c>
      <c r="AB130" s="31" t="str">
        <f>IF(D130="","",IF(L130&lt;=$B$16,1,IF(L130&gt;=$B$17,$B$21,MATCH(L130,Aux_CAV!$A$2:$A$121,1))))</f>
        <v/>
      </c>
      <c r="AC130" s="3" t="str">
        <f t="shared" si="21"/>
        <v/>
      </c>
    </row>
    <row r="131" ht="12.75" customHeight="1">
      <c r="A131" s="25" t="str">
        <f t="shared" si="1"/>
        <v/>
      </c>
      <c r="B131" s="29" t="str">
        <f t="array" ref="B131">IF(D131="","",IFERROR(VALUE(INDEX(Vazoes_COLAR!$A$2:$A$200,INT((ROW()-24)/12)+1)),""))</f>
        <v/>
      </c>
      <c r="C131" s="29" t="str">
        <f t="shared" si="2"/>
        <v/>
      </c>
      <c r="D131" s="26" t="str">
        <f t="array" ref="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1" s="26" t="str">
        <f t="shared" si="3"/>
        <v/>
      </c>
      <c r="F131" s="26" t="str">
        <f t="array" ref="F131">IF(D131="","",IFERROR(INDEX(Dados_Evap!$C$2:$N$15,MATCH($B$9,Dados_Evap!$A$2:$A$15,0),C131),0))</f>
        <v/>
      </c>
      <c r="G131" s="26" t="str">
        <f t="shared" si="4"/>
        <v/>
      </c>
      <c r="H131" s="26" t="str">
        <f t="shared" si="22"/>
        <v/>
      </c>
      <c r="I131" s="26" t="str">
        <f t="array" ref="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/>
      </c>
      <c r="J131" s="26" t="str">
        <f t="shared" si="5"/>
        <v/>
      </c>
      <c r="K131" s="26" t="str">
        <f t="shared" si="6"/>
        <v/>
      </c>
      <c r="L131" s="26" t="str">
        <f t="shared" si="7"/>
        <v/>
      </c>
      <c r="M131" s="26" t="str">
        <f t="array" ref="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/>
      </c>
      <c r="N131" s="26" t="str">
        <f t="shared" si="8"/>
        <v/>
      </c>
      <c r="O131" s="26" t="str">
        <f t="shared" si="9"/>
        <v/>
      </c>
      <c r="P131" s="26" t="str">
        <f t="shared" si="10"/>
        <v/>
      </c>
      <c r="Q131" s="26" t="str">
        <f t="shared" si="11"/>
        <v/>
      </c>
      <c r="R131" s="26" t="str">
        <f t="shared" si="12"/>
        <v/>
      </c>
      <c r="S131" s="26" t="str">
        <f t="shared" si="13"/>
        <v/>
      </c>
      <c r="T131" s="26" t="str">
        <f t="shared" si="14"/>
        <v/>
      </c>
      <c r="U131" s="26" t="str">
        <f t="shared" si="15"/>
        <v/>
      </c>
      <c r="V131" s="26" t="str">
        <f t="shared" si="16"/>
        <v/>
      </c>
      <c r="W131" s="26" t="str">
        <f t="shared" si="17"/>
        <v/>
      </c>
      <c r="X131" s="26" t="str">
        <f t="shared" si="18"/>
        <v/>
      </c>
      <c r="Y131" s="26" t="str">
        <f t="shared" si="19"/>
        <v/>
      </c>
      <c r="Z131" s="31" t="str">
        <f t="shared" si="20"/>
        <v/>
      </c>
      <c r="AA131" s="31" t="str">
        <f>IF(D131="","",IF(H131&lt;=$B$16,1,IF(H131&gt;=$B$17,$B$21,MATCH(H131,Aux_CAV!$A$2:$A$121,1))))</f>
        <v/>
      </c>
      <c r="AB131" s="31" t="str">
        <f>IF(D131="","",IF(L131&lt;=$B$16,1,IF(L131&gt;=$B$17,$B$21,MATCH(L131,Aux_CAV!$A$2:$A$121,1))))</f>
        <v/>
      </c>
      <c r="AC131" s="3" t="str">
        <f t="shared" si="21"/>
        <v/>
      </c>
    </row>
    <row r="132" ht="12.75" customHeight="1">
      <c r="A132" s="25" t="str">
        <f t="shared" si="1"/>
        <v/>
      </c>
      <c r="B132" s="29" t="str">
        <f t="array" ref="B132">IF(D132="","",IFERROR(VALUE(INDEX(Vazoes_COLAR!$A$2:$A$200,INT((ROW()-24)/12)+1)),""))</f>
        <v/>
      </c>
      <c r="C132" s="29" t="str">
        <f t="shared" si="2"/>
        <v/>
      </c>
      <c r="D132" s="26" t="str">
        <f t="array" ref="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" s="26" t="str">
        <f t="shared" si="3"/>
        <v/>
      </c>
      <c r="F132" s="26" t="str">
        <f t="array" ref="F132">IF(D132="","",IFERROR(INDEX(Dados_Evap!$C$2:$N$15,MATCH($B$9,Dados_Evap!$A$2:$A$15,0),C132),0))</f>
        <v/>
      </c>
      <c r="G132" s="26" t="str">
        <f t="shared" si="4"/>
        <v/>
      </c>
      <c r="H132" s="26" t="str">
        <f t="shared" si="22"/>
        <v/>
      </c>
      <c r="I132" s="26" t="str">
        <f t="array" ref="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/>
      </c>
      <c r="J132" s="26" t="str">
        <f t="shared" si="5"/>
        <v/>
      </c>
      <c r="K132" s="26" t="str">
        <f t="shared" si="6"/>
        <v/>
      </c>
      <c r="L132" s="26" t="str">
        <f t="shared" si="7"/>
        <v/>
      </c>
      <c r="M132" s="26" t="str">
        <f t="array" ref="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/>
      </c>
      <c r="N132" s="26" t="str">
        <f t="shared" si="8"/>
        <v/>
      </c>
      <c r="O132" s="26" t="str">
        <f t="shared" si="9"/>
        <v/>
      </c>
      <c r="P132" s="26" t="str">
        <f t="shared" si="10"/>
        <v/>
      </c>
      <c r="Q132" s="26" t="str">
        <f t="shared" si="11"/>
        <v/>
      </c>
      <c r="R132" s="26" t="str">
        <f t="shared" si="12"/>
        <v/>
      </c>
      <c r="S132" s="26" t="str">
        <f t="shared" si="13"/>
        <v/>
      </c>
      <c r="T132" s="26" t="str">
        <f t="shared" si="14"/>
        <v/>
      </c>
      <c r="U132" s="26" t="str">
        <f t="shared" si="15"/>
        <v/>
      </c>
      <c r="V132" s="26" t="str">
        <f t="shared" si="16"/>
        <v/>
      </c>
      <c r="W132" s="26" t="str">
        <f t="shared" si="17"/>
        <v/>
      </c>
      <c r="X132" s="26" t="str">
        <f t="shared" si="18"/>
        <v/>
      </c>
      <c r="Y132" s="26" t="str">
        <f t="shared" si="19"/>
        <v/>
      </c>
      <c r="Z132" s="31" t="str">
        <f t="shared" si="20"/>
        <v/>
      </c>
      <c r="AA132" s="31" t="str">
        <f>IF(D132="","",IF(H132&lt;=$B$16,1,IF(H132&gt;=$B$17,$B$21,MATCH(H132,Aux_CAV!$A$2:$A$121,1))))</f>
        <v/>
      </c>
      <c r="AB132" s="31" t="str">
        <f>IF(D132="","",IF(L132&lt;=$B$16,1,IF(L132&gt;=$B$17,$B$21,MATCH(L132,Aux_CAV!$A$2:$A$121,1))))</f>
        <v/>
      </c>
      <c r="AC132" s="3" t="str">
        <f t="shared" si="21"/>
        <v/>
      </c>
    </row>
    <row r="133" ht="12.75" customHeight="1">
      <c r="A133" s="25" t="str">
        <f t="shared" si="1"/>
        <v/>
      </c>
      <c r="B133" s="29" t="str">
        <f t="array" ref="B133">IF(D133="","",IFERROR(VALUE(INDEX(Vazoes_COLAR!$A$2:$A$200,INT((ROW()-24)/12)+1)),""))</f>
        <v/>
      </c>
      <c r="C133" s="29" t="str">
        <f t="shared" si="2"/>
        <v/>
      </c>
      <c r="D133" s="26" t="str">
        <f t="array" ref="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" s="26" t="str">
        <f t="shared" si="3"/>
        <v/>
      </c>
      <c r="F133" s="26" t="str">
        <f t="array" ref="F133">IF(D133="","",IFERROR(INDEX(Dados_Evap!$C$2:$N$15,MATCH($B$9,Dados_Evap!$A$2:$A$15,0),C133),0))</f>
        <v/>
      </c>
      <c r="G133" s="26" t="str">
        <f t="shared" si="4"/>
        <v/>
      </c>
      <c r="H133" s="26" t="str">
        <f t="shared" si="22"/>
        <v/>
      </c>
      <c r="I133" s="26" t="str">
        <f t="array" ref="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/>
      </c>
      <c r="J133" s="26" t="str">
        <f t="shared" si="5"/>
        <v/>
      </c>
      <c r="K133" s="26" t="str">
        <f t="shared" si="6"/>
        <v/>
      </c>
      <c r="L133" s="26" t="str">
        <f t="shared" si="7"/>
        <v/>
      </c>
      <c r="M133" s="26" t="str">
        <f t="array" ref="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/>
      </c>
      <c r="N133" s="26" t="str">
        <f t="shared" si="8"/>
        <v/>
      </c>
      <c r="O133" s="26" t="str">
        <f t="shared" si="9"/>
        <v/>
      </c>
      <c r="P133" s="26" t="str">
        <f t="shared" si="10"/>
        <v/>
      </c>
      <c r="Q133" s="26" t="str">
        <f t="shared" si="11"/>
        <v/>
      </c>
      <c r="R133" s="26" t="str">
        <f t="shared" si="12"/>
        <v/>
      </c>
      <c r="S133" s="26" t="str">
        <f t="shared" si="13"/>
        <v/>
      </c>
      <c r="T133" s="26" t="str">
        <f t="shared" si="14"/>
        <v/>
      </c>
      <c r="U133" s="26" t="str">
        <f t="shared" si="15"/>
        <v/>
      </c>
      <c r="V133" s="26" t="str">
        <f t="shared" si="16"/>
        <v/>
      </c>
      <c r="W133" s="26" t="str">
        <f t="shared" si="17"/>
        <v/>
      </c>
      <c r="X133" s="26" t="str">
        <f t="shared" si="18"/>
        <v/>
      </c>
      <c r="Y133" s="26" t="str">
        <f t="shared" si="19"/>
        <v/>
      </c>
      <c r="Z133" s="31" t="str">
        <f t="shared" si="20"/>
        <v/>
      </c>
      <c r="AA133" s="31" t="str">
        <f>IF(D133="","",IF(H133&lt;=$B$16,1,IF(H133&gt;=$B$17,$B$21,MATCH(H133,Aux_CAV!$A$2:$A$121,1))))</f>
        <v/>
      </c>
      <c r="AB133" s="31" t="str">
        <f>IF(D133="","",IF(L133&lt;=$B$16,1,IF(L133&gt;=$B$17,$B$21,MATCH(L133,Aux_CAV!$A$2:$A$121,1))))</f>
        <v/>
      </c>
      <c r="AC133" s="3" t="str">
        <f t="shared" si="21"/>
        <v/>
      </c>
    </row>
    <row r="134" ht="12.75" customHeight="1">
      <c r="A134" s="25" t="str">
        <f t="shared" si="1"/>
        <v/>
      </c>
      <c r="B134" s="29" t="str">
        <f t="array" ref="B134">IF(D134="","",IFERROR(VALUE(INDEX(Vazoes_COLAR!$A$2:$A$200,INT((ROW()-24)/12)+1)),""))</f>
        <v/>
      </c>
      <c r="C134" s="29" t="str">
        <f t="shared" si="2"/>
        <v/>
      </c>
      <c r="D134" s="26" t="str">
        <f t="array" ref="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" s="26" t="str">
        <f t="shared" si="3"/>
        <v/>
      </c>
      <c r="F134" s="26" t="str">
        <f t="array" ref="F134">IF(D134="","",IFERROR(INDEX(Dados_Evap!$C$2:$N$15,MATCH($B$9,Dados_Evap!$A$2:$A$15,0),C134),0))</f>
        <v/>
      </c>
      <c r="G134" s="26" t="str">
        <f t="shared" si="4"/>
        <v/>
      </c>
      <c r="H134" s="26" t="str">
        <f t="shared" si="22"/>
        <v/>
      </c>
      <c r="I134" s="26" t="str">
        <f t="array" ref="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/>
      </c>
      <c r="J134" s="26" t="str">
        <f t="shared" si="5"/>
        <v/>
      </c>
      <c r="K134" s="26" t="str">
        <f t="shared" si="6"/>
        <v/>
      </c>
      <c r="L134" s="26" t="str">
        <f t="shared" si="7"/>
        <v/>
      </c>
      <c r="M134" s="26" t="str">
        <f t="array" ref="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/>
      </c>
      <c r="N134" s="26" t="str">
        <f t="shared" si="8"/>
        <v/>
      </c>
      <c r="O134" s="26" t="str">
        <f t="shared" si="9"/>
        <v/>
      </c>
      <c r="P134" s="26" t="str">
        <f t="shared" si="10"/>
        <v/>
      </c>
      <c r="Q134" s="26" t="str">
        <f t="shared" si="11"/>
        <v/>
      </c>
      <c r="R134" s="26" t="str">
        <f t="shared" si="12"/>
        <v/>
      </c>
      <c r="S134" s="26" t="str">
        <f t="shared" si="13"/>
        <v/>
      </c>
      <c r="T134" s="26" t="str">
        <f t="shared" si="14"/>
        <v/>
      </c>
      <c r="U134" s="26" t="str">
        <f t="shared" si="15"/>
        <v/>
      </c>
      <c r="V134" s="26" t="str">
        <f t="shared" si="16"/>
        <v/>
      </c>
      <c r="W134" s="26" t="str">
        <f t="shared" si="17"/>
        <v/>
      </c>
      <c r="X134" s="26" t="str">
        <f t="shared" si="18"/>
        <v/>
      </c>
      <c r="Y134" s="26" t="str">
        <f t="shared" si="19"/>
        <v/>
      </c>
      <c r="Z134" s="31" t="str">
        <f t="shared" si="20"/>
        <v/>
      </c>
      <c r="AA134" s="31" t="str">
        <f>IF(D134="","",IF(H134&lt;=$B$16,1,IF(H134&gt;=$B$17,$B$21,MATCH(H134,Aux_CAV!$A$2:$A$121,1))))</f>
        <v/>
      </c>
      <c r="AB134" s="31" t="str">
        <f>IF(D134="","",IF(L134&lt;=$B$16,1,IF(L134&gt;=$B$17,$B$21,MATCH(L134,Aux_CAV!$A$2:$A$121,1))))</f>
        <v/>
      </c>
      <c r="AC134" s="3" t="str">
        <f t="shared" si="21"/>
        <v/>
      </c>
    </row>
    <row r="135" ht="12.75" customHeight="1">
      <c r="A135" s="25" t="str">
        <f t="shared" si="1"/>
        <v/>
      </c>
      <c r="B135" s="29" t="str">
        <f t="array" ref="B135">IF(D135="","",IFERROR(VALUE(INDEX(Vazoes_COLAR!$A$2:$A$200,INT((ROW()-24)/12)+1)),""))</f>
        <v/>
      </c>
      <c r="C135" s="29" t="str">
        <f t="shared" si="2"/>
        <v/>
      </c>
      <c r="D135" s="26" t="str">
        <f t="array" ref="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" s="26" t="str">
        <f t="shared" si="3"/>
        <v/>
      </c>
      <c r="F135" s="26" t="str">
        <f t="array" ref="F135">IF(D135="","",IFERROR(INDEX(Dados_Evap!$C$2:$N$15,MATCH($B$9,Dados_Evap!$A$2:$A$15,0),C135),0))</f>
        <v/>
      </c>
      <c r="G135" s="26" t="str">
        <f t="shared" si="4"/>
        <v/>
      </c>
      <c r="H135" s="26" t="str">
        <f t="shared" si="22"/>
        <v/>
      </c>
      <c r="I135" s="26" t="str">
        <f t="array" ref="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/>
      </c>
      <c r="J135" s="26" t="str">
        <f t="shared" si="5"/>
        <v/>
      </c>
      <c r="K135" s="26" t="str">
        <f t="shared" si="6"/>
        <v/>
      </c>
      <c r="L135" s="26" t="str">
        <f t="shared" si="7"/>
        <v/>
      </c>
      <c r="M135" s="26" t="str">
        <f t="array" ref="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/>
      </c>
      <c r="N135" s="26" t="str">
        <f t="shared" si="8"/>
        <v/>
      </c>
      <c r="O135" s="26" t="str">
        <f t="shared" si="9"/>
        <v/>
      </c>
      <c r="P135" s="26" t="str">
        <f t="shared" si="10"/>
        <v/>
      </c>
      <c r="Q135" s="26" t="str">
        <f t="shared" si="11"/>
        <v/>
      </c>
      <c r="R135" s="26" t="str">
        <f t="shared" si="12"/>
        <v/>
      </c>
      <c r="S135" s="26" t="str">
        <f t="shared" si="13"/>
        <v/>
      </c>
      <c r="T135" s="26" t="str">
        <f t="shared" si="14"/>
        <v/>
      </c>
      <c r="U135" s="26" t="str">
        <f t="shared" si="15"/>
        <v/>
      </c>
      <c r="V135" s="26" t="str">
        <f t="shared" si="16"/>
        <v/>
      </c>
      <c r="W135" s="26" t="str">
        <f t="shared" si="17"/>
        <v/>
      </c>
      <c r="X135" s="26" t="str">
        <f t="shared" si="18"/>
        <v/>
      </c>
      <c r="Y135" s="26" t="str">
        <f t="shared" si="19"/>
        <v/>
      </c>
      <c r="Z135" s="31" t="str">
        <f t="shared" si="20"/>
        <v/>
      </c>
      <c r="AA135" s="31" t="str">
        <f>IF(D135="","",IF(H135&lt;=$B$16,1,IF(H135&gt;=$B$17,$B$21,MATCH(H135,Aux_CAV!$A$2:$A$121,1))))</f>
        <v/>
      </c>
      <c r="AB135" s="31" t="str">
        <f>IF(D135="","",IF(L135&lt;=$B$16,1,IF(L135&gt;=$B$17,$B$21,MATCH(L135,Aux_CAV!$A$2:$A$121,1))))</f>
        <v/>
      </c>
      <c r="AC135" s="3" t="str">
        <f t="shared" si="21"/>
        <v/>
      </c>
    </row>
    <row r="136" ht="12.75" customHeight="1">
      <c r="A136" s="25" t="str">
        <f t="shared" si="1"/>
        <v/>
      </c>
      <c r="B136" s="29" t="str">
        <f t="array" ref="B136">IF(D136="","",IFERROR(VALUE(INDEX(Vazoes_COLAR!$A$2:$A$200,INT((ROW()-24)/12)+1)),""))</f>
        <v/>
      </c>
      <c r="C136" s="29" t="str">
        <f t="shared" si="2"/>
        <v/>
      </c>
      <c r="D136" s="26" t="str">
        <f t="array" ref="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" s="26" t="str">
        <f t="shared" si="3"/>
        <v/>
      </c>
      <c r="F136" s="26" t="str">
        <f t="array" ref="F136">IF(D136="","",IFERROR(INDEX(Dados_Evap!$C$2:$N$15,MATCH($B$9,Dados_Evap!$A$2:$A$15,0),C136),0))</f>
        <v/>
      </c>
      <c r="G136" s="26" t="str">
        <f t="shared" si="4"/>
        <v/>
      </c>
      <c r="H136" s="26" t="str">
        <f t="shared" si="22"/>
        <v/>
      </c>
      <c r="I136" s="26" t="str">
        <f t="array" ref="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/>
      </c>
      <c r="J136" s="26" t="str">
        <f t="shared" si="5"/>
        <v/>
      </c>
      <c r="K136" s="26" t="str">
        <f t="shared" si="6"/>
        <v/>
      </c>
      <c r="L136" s="26" t="str">
        <f t="shared" si="7"/>
        <v/>
      </c>
      <c r="M136" s="26" t="str">
        <f t="array" ref="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/>
      </c>
      <c r="N136" s="26" t="str">
        <f t="shared" si="8"/>
        <v/>
      </c>
      <c r="O136" s="26" t="str">
        <f t="shared" si="9"/>
        <v/>
      </c>
      <c r="P136" s="26" t="str">
        <f t="shared" si="10"/>
        <v/>
      </c>
      <c r="Q136" s="26" t="str">
        <f t="shared" si="11"/>
        <v/>
      </c>
      <c r="R136" s="26" t="str">
        <f t="shared" si="12"/>
        <v/>
      </c>
      <c r="S136" s="26" t="str">
        <f t="shared" si="13"/>
        <v/>
      </c>
      <c r="T136" s="26" t="str">
        <f t="shared" si="14"/>
        <v/>
      </c>
      <c r="U136" s="26" t="str">
        <f t="shared" si="15"/>
        <v/>
      </c>
      <c r="V136" s="26" t="str">
        <f t="shared" si="16"/>
        <v/>
      </c>
      <c r="W136" s="26" t="str">
        <f t="shared" si="17"/>
        <v/>
      </c>
      <c r="X136" s="26" t="str">
        <f t="shared" si="18"/>
        <v/>
      </c>
      <c r="Y136" s="26" t="str">
        <f t="shared" si="19"/>
        <v/>
      </c>
      <c r="Z136" s="31" t="str">
        <f t="shared" si="20"/>
        <v/>
      </c>
      <c r="AA136" s="31" t="str">
        <f>IF(D136="","",IF(H136&lt;=$B$16,1,IF(H136&gt;=$B$17,$B$21,MATCH(H136,Aux_CAV!$A$2:$A$121,1))))</f>
        <v/>
      </c>
      <c r="AB136" s="31" t="str">
        <f>IF(D136="","",IF(L136&lt;=$B$16,1,IF(L136&gt;=$B$17,$B$21,MATCH(L136,Aux_CAV!$A$2:$A$121,1))))</f>
        <v/>
      </c>
      <c r="AC136" s="3" t="str">
        <f t="shared" si="21"/>
        <v/>
      </c>
    </row>
    <row r="137" ht="12.75" customHeight="1">
      <c r="A137" s="25" t="str">
        <f t="shared" si="1"/>
        <v/>
      </c>
      <c r="B137" s="29" t="str">
        <f t="array" ref="B137">IF(D137="","",IFERROR(VALUE(INDEX(Vazoes_COLAR!$A$2:$A$200,INT((ROW()-24)/12)+1)),""))</f>
        <v/>
      </c>
      <c r="C137" s="29" t="str">
        <f t="shared" si="2"/>
        <v/>
      </c>
      <c r="D137" s="26" t="str">
        <f t="array" ref="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7" s="26" t="str">
        <f t="shared" si="3"/>
        <v/>
      </c>
      <c r="F137" s="26" t="str">
        <f t="array" ref="F137">IF(D137="","",IFERROR(INDEX(Dados_Evap!$C$2:$N$15,MATCH($B$9,Dados_Evap!$A$2:$A$15,0),C137),0))</f>
        <v/>
      </c>
      <c r="G137" s="26" t="str">
        <f t="shared" si="4"/>
        <v/>
      </c>
      <c r="H137" s="26" t="str">
        <f t="shared" si="22"/>
        <v/>
      </c>
      <c r="I137" s="26" t="str">
        <f t="array" ref="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/>
      </c>
      <c r="J137" s="26" t="str">
        <f t="shared" si="5"/>
        <v/>
      </c>
      <c r="K137" s="26" t="str">
        <f t="shared" si="6"/>
        <v/>
      </c>
      <c r="L137" s="26" t="str">
        <f t="shared" si="7"/>
        <v/>
      </c>
      <c r="M137" s="26" t="str">
        <f t="array" ref="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/>
      </c>
      <c r="N137" s="26" t="str">
        <f t="shared" si="8"/>
        <v/>
      </c>
      <c r="O137" s="26" t="str">
        <f t="shared" si="9"/>
        <v/>
      </c>
      <c r="P137" s="26" t="str">
        <f t="shared" si="10"/>
        <v/>
      </c>
      <c r="Q137" s="26" t="str">
        <f t="shared" si="11"/>
        <v/>
      </c>
      <c r="R137" s="26" t="str">
        <f t="shared" si="12"/>
        <v/>
      </c>
      <c r="S137" s="26" t="str">
        <f t="shared" si="13"/>
        <v/>
      </c>
      <c r="T137" s="26" t="str">
        <f t="shared" si="14"/>
        <v/>
      </c>
      <c r="U137" s="26" t="str">
        <f t="shared" si="15"/>
        <v/>
      </c>
      <c r="V137" s="26" t="str">
        <f t="shared" si="16"/>
        <v/>
      </c>
      <c r="W137" s="26" t="str">
        <f t="shared" si="17"/>
        <v/>
      </c>
      <c r="X137" s="26" t="str">
        <f t="shared" si="18"/>
        <v/>
      </c>
      <c r="Y137" s="26" t="str">
        <f t="shared" si="19"/>
        <v/>
      </c>
      <c r="Z137" s="31" t="str">
        <f t="shared" si="20"/>
        <v/>
      </c>
      <c r="AA137" s="31" t="str">
        <f>IF(D137="","",IF(H137&lt;=$B$16,1,IF(H137&gt;=$B$17,$B$21,MATCH(H137,Aux_CAV!$A$2:$A$121,1))))</f>
        <v/>
      </c>
      <c r="AB137" s="31" t="str">
        <f>IF(D137="","",IF(L137&lt;=$B$16,1,IF(L137&gt;=$B$17,$B$21,MATCH(L137,Aux_CAV!$A$2:$A$121,1))))</f>
        <v/>
      </c>
      <c r="AC137" s="3" t="str">
        <f t="shared" si="21"/>
        <v/>
      </c>
    </row>
    <row r="138" ht="12.75" customHeight="1">
      <c r="A138" s="25" t="str">
        <f t="shared" si="1"/>
        <v/>
      </c>
      <c r="B138" s="29" t="str">
        <f t="array" ref="B138">IF(D138="","",IFERROR(VALUE(INDEX(Vazoes_COLAR!$A$2:$A$200,INT((ROW()-24)/12)+1)),""))</f>
        <v/>
      </c>
      <c r="C138" s="29" t="str">
        <f t="shared" si="2"/>
        <v/>
      </c>
      <c r="D138" s="26" t="str">
        <f t="array" ref="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8" s="26" t="str">
        <f t="shared" si="3"/>
        <v/>
      </c>
      <c r="F138" s="26" t="str">
        <f t="array" ref="F138">IF(D138="","",IFERROR(INDEX(Dados_Evap!$C$2:$N$15,MATCH($B$9,Dados_Evap!$A$2:$A$15,0),C138),0))</f>
        <v/>
      </c>
      <c r="G138" s="26" t="str">
        <f t="shared" si="4"/>
        <v/>
      </c>
      <c r="H138" s="26" t="str">
        <f t="shared" si="22"/>
        <v/>
      </c>
      <c r="I138" s="26" t="str">
        <f t="array" ref="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/>
      </c>
      <c r="J138" s="26" t="str">
        <f t="shared" si="5"/>
        <v/>
      </c>
      <c r="K138" s="26" t="str">
        <f t="shared" si="6"/>
        <v/>
      </c>
      <c r="L138" s="26" t="str">
        <f t="shared" si="7"/>
        <v/>
      </c>
      <c r="M138" s="26" t="str">
        <f t="array" ref="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/>
      </c>
      <c r="N138" s="26" t="str">
        <f t="shared" si="8"/>
        <v/>
      </c>
      <c r="O138" s="26" t="str">
        <f t="shared" si="9"/>
        <v/>
      </c>
      <c r="P138" s="26" t="str">
        <f t="shared" si="10"/>
        <v/>
      </c>
      <c r="Q138" s="26" t="str">
        <f t="shared" si="11"/>
        <v/>
      </c>
      <c r="R138" s="26" t="str">
        <f t="shared" si="12"/>
        <v/>
      </c>
      <c r="S138" s="26" t="str">
        <f t="shared" si="13"/>
        <v/>
      </c>
      <c r="T138" s="26" t="str">
        <f t="shared" si="14"/>
        <v/>
      </c>
      <c r="U138" s="26" t="str">
        <f t="shared" si="15"/>
        <v/>
      </c>
      <c r="V138" s="26" t="str">
        <f t="shared" si="16"/>
        <v/>
      </c>
      <c r="W138" s="26" t="str">
        <f t="shared" si="17"/>
        <v/>
      </c>
      <c r="X138" s="26" t="str">
        <f t="shared" si="18"/>
        <v/>
      </c>
      <c r="Y138" s="26" t="str">
        <f t="shared" si="19"/>
        <v/>
      </c>
      <c r="Z138" s="31" t="str">
        <f t="shared" si="20"/>
        <v/>
      </c>
      <c r="AA138" s="31" t="str">
        <f>IF(D138="","",IF(H138&lt;=$B$16,1,IF(H138&gt;=$B$17,$B$21,MATCH(H138,Aux_CAV!$A$2:$A$121,1))))</f>
        <v/>
      </c>
      <c r="AB138" s="31" t="str">
        <f>IF(D138="","",IF(L138&lt;=$B$16,1,IF(L138&gt;=$B$17,$B$21,MATCH(L138,Aux_CAV!$A$2:$A$121,1))))</f>
        <v/>
      </c>
      <c r="AC138" s="3" t="str">
        <f t="shared" si="21"/>
        <v/>
      </c>
    </row>
    <row r="139" ht="12.75" customHeight="1">
      <c r="A139" s="25" t="str">
        <f t="shared" si="1"/>
        <v/>
      </c>
      <c r="B139" s="29" t="str">
        <f t="array" ref="B139">IF(D139="","",IFERROR(VALUE(INDEX(Vazoes_COLAR!$A$2:$A$200,INT((ROW()-24)/12)+1)),""))</f>
        <v/>
      </c>
      <c r="C139" s="29" t="str">
        <f t="shared" si="2"/>
        <v/>
      </c>
      <c r="D139" s="26" t="str">
        <f t="array" ref="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9" s="26" t="str">
        <f t="shared" si="3"/>
        <v/>
      </c>
      <c r="F139" s="26" t="str">
        <f t="array" ref="F139">IF(D139="","",IFERROR(INDEX(Dados_Evap!$C$2:$N$15,MATCH($B$9,Dados_Evap!$A$2:$A$15,0),C139),0))</f>
        <v/>
      </c>
      <c r="G139" s="26" t="str">
        <f t="shared" si="4"/>
        <v/>
      </c>
      <c r="H139" s="26" t="str">
        <f t="shared" si="22"/>
        <v/>
      </c>
      <c r="I139" s="26" t="str">
        <f t="array" ref="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/>
      </c>
      <c r="J139" s="26" t="str">
        <f t="shared" si="5"/>
        <v/>
      </c>
      <c r="K139" s="26" t="str">
        <f t="shared" si="6"/>
        <v/>
      </c>
      <c r="L139" s="26" t="str">
        <f t="shared" si="7"/>
        <v/>
      </c>
      <c r="M139" s="26" t="str">
        <f t="array" ref="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/>
      </c>
      <c r="N139" s="26" t="str">
        <f t="shared" si="8"/>
        <v/>
      </c>
      <c r="O139" s="26" t="str">
        <f t="shared" si="9"/>
        <v/>
      </c>
      <c r="P139" s="26" t="str">
        <f t="shared" si="10"/>
        <v/>
      </c>
      <c r="Q139" s="26" t="str">
        <f t="shared" si="11"/>
        <v/>
      </c>
      <c r="R139" s="26" t="str">
        <f t="shared" si="12"/>
        <v/>
      </c>
      <c r="S139" s="26" t="str">
        <f t="shared" si="13"/>
        <v/>
      </c>
      <c r="T139" s="26" t="str">
        <f t="shared" si="14"/>
        <v/>
      </c>
      <c r="U139" s="26" t="str">
        <f t="shared" si="15"/>
        <v/>
      </c>
      <c r="V139" s="26" t="str">
        <f t="shared" si="16"/>
        <v/>
      </c>
      <c r="W139" s="26" t="str">
        <f t="shared" si="17"/>
        <v/>
      </c>
      <c r="X139" s="26" t="str">
        <f t="shared" si="18"/>
        <v/>
      </c>
      <c r="Y139" s="26" t="str">
        <f t="shared" si="19"/>
        <v/>
      </c>
      <c r="Z139" s="31" t="str">
        <f t="shared" si="20"/>
        <v/>
      </c>
      <c r="AA139" s="31" t="str">
        <f>IF(D139="","",IF(H139&lt;=$B$16,1,IF(H139&gt;=$B$17,$B$21,MATCH(H139,Aux_CAV!$A$2:$A$121,1))))</f>
        <v/>
      </c>
      <c r="AB139" s="31" t="str">
        <f>IF(D139="","",IF(L139&lt;=$B$16,1,IF(L139&gt;=$B$17,$B$21,MATCH(L139,Aux_CAV!$A$2:$A$121,1))))</f>
        <v/>
      </c>
      <c r="AC139" s="3" t="str">
        <f t="shared" si="21"/>
        <v/>
      </c>
    </row>
    <row r="140" ht="12.75" customHeight="1">
      <c r="A140" s="25" t="str">
        <f t="shared" si="1"/>
        <v/>
      </c>
      <c r="B140" s="29" t="str">
        <f t="array" ref="B140">IF(D140="","",IFERROR(VALUE(INDEX(Vazoes_COLAR!$A$2:$A$200,INT((ROW()-24)/12)+1)),""))</f>
        <v/>
      </c>
      <c r="C140" s="29" t="str">
        <f t="shared" si="2"/>
        <v/>
      </c>
      <c r="D140" s="26" t="str">
        <f t="array" ref="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40" s="26" t="str">
        <f t="shared" si="3"/>
        <v/>
      </c>
      <c r="F140" s="26" t="str">
        <f t="array" ref="F140">IF(D140="","",IFERROR(INDEX(Dados_Evap!$C$2:$N$15,MATCH($B$9,Dados_Evap!$A$2:$A$15,0),C140),0))</f>
        <v/>
      </c>
      <c r="G140" s="26" t="str">
        <f t="shared" si="4"/>
        <v/>
      </c>
      <c r="H140" s="26" t="str">
        <f t="shared" si="22"/>
        <v/>
      </c>
      <c r="I140" s="26" t="str">
        <f t="array" ref="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/>
      </c>
      <c r="J140" s="26" t="str">
        <f t="shared" si="5"/>
        <v/>
      </c>
      <c r="K140" s="26" t="str">
        <f t="shared" si="6"/>
        <v/>
      </c>
      <c r="L140" s="26" t="str">
        <f t="shared" si="7"/>
        <v/>
      </c>
      <c r="M140" s="26" t="str">
        <f t="array" ref="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/>
      </c>
      <c r="N140" s="26" t="str">
        <f t="shared" si="8"/>
        <v/>
      </c>
      <c r="O140" s="26" t="str">
        <f t="shared" si="9"/>
        <v/>
      </c>
      <c r="P140" s="26" t="str">
        <f t="shared" si="10"/>
        <v/>
      </c>
      <c r="Q140" s="26" t="str">
        <f t="shared" si="11"/>
        <v/>
      </c>
      <c r="R140" s="26" t="str">
        <f t="shared" si="12"/>
        <v/>
      </c>
      <c r="S140" s="26" t="str">
        <f t="shared" si="13"/>
        <v/>
      </c>
      <c r="T140" s="26" t="str">
        <f t="shared" si="14"/>
        <v/>
      </c>
      <c r="U140" s="26" t="str">
        <f t="shared" si="15"/>
        <v/>
      </c>
      <c r="V140" s="26" t="str">
        <f t="shared" si="16"/>
        <v/>
      </c>
      <c r="W140" s="26" t="str">
        <f t="shared" si="17"/>
        <v/>
      </c>
      <c r="X140" s="26" t="str">
        <f t="shared" si="18"/>
        <v/>
      </c>
      <c r="Y140" s="26" t="str">
        <f t="shared" si="19"/>
        <v/>
      </c>
      <c r="Z140" s="31" t="str">
        <f t="shared" si="20"/>
        <v/>
      </c>
      <c r="AA140" s="31" t="str">
        <f>IF(D140="","",IF(H140&lt;=$B$16,1,IF(H140&gt;=$B$17,$B$21,MATCH(H140,Aux_CAV!$A$2:$A$121,1))))</f>
        <v/>
      </c>
      <c r="AB140" s="31" t="str">
        <f>IF(D140="","",IF(L140&lt;=$B$16,1,IF(L140&gt;=$B$17,$B$21,MATCH(L140,Aux_CAV!$A$2:$A$121,1))))</f>
        <v/>
      </c>
      <c r="AC140" s="3" t="str">
        <f t="shared" si="21"/>
        <v/>
      </c>
    </row>
    <row r="141" ht="12.75" customHeight="1">
      <c r="A141" s="25" t="str">
        <f t="shared" si="1"/>
        <v/>
      </c>
      <c r="B141" s="29" t="str">
        <f t="array" ref="B141">IF(D141="","",IFERROR(VALUE(INDEX(Vazoes_COLAR!$A$2:$A$200,INT((ROW()-24)/12)+1)),""))</f>
        <v/>
      </c>
      <c r="C141" s="29" t="str">
        <f t="shared" si="2"/>
        <v/>
      </c>
      <c r="D141" s="26" t="str">
        <f t="array" ref="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41" s="26" t="str">
        <f t="shared" si="3"/>
        <v/>
      </c>
      <c r="F141" s="26" t="str">
        <f t="array" ref="F141">IF(D141="","",IFERROR(INDEX(Dados_Evap!$C$2:$N$15,MATCH($B$9,Dados_Evap!$A$2:$A$15,0),C141),0))</f>
        <v/>
      </c>
      <c r="G141" s="26" t="str">
        <f t="shared" si="4"/>
        <v/>
      </c>
      <c r="H141" s="26" t="str">
        <f t="shared" si="22"/>
        <v/>
      </c>
      <c r="I141" s="26" t="str">
        <f t="array" ref="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/>
      </c>
      <c r="J141" s="26" t="str">
        <f t="shared" si="5"/>
        <v/>
      </c>
      <c r="K141" s="26" t="str">
        <f t="shared" si="6"/>
        <v/>
      </c>
      <c r="L141" s="26" t="str">
        <f t="shared" si="7"/>
        <v/>
      </c>
      <c r="M141" s="26" t="str">
        <f t="array" ref="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/>
      </c>
      <c r="N141" s="26" t="str">
        <f t="shared" si="8"/>
        <v/>
      </c>
      <c r="O141" s="26" t="str">
        <f t="shared" si="9"/>
        <v/>
      </c>
      <c r="P141" s="26" t="str">
        <f t="shared" si="10"/>
        <v/>
      </c>
      <c r="Q141" s="26" t="str">
        <f t="shared" si="11"/>
        <v/>
      </c>
      <c r="R141" s="26" t="str">
        <f t="shared" si="12"/>
        <v/>
      </c>
      <c r="S141" s="26" t="str">
        <f t="shared" si="13"/>
        <v/>
      </c>
      <c r="T141" s="26" t="str">
        <f t="shared" si="14"/>
        <v/>
      </c>
      <c r="U141" s="26" t="str">
        <f t="shared" si="15"/>
        <v/>
      </c>
      <c r="V141" s="26" t="str">
        <f t="shared" si="16"/>
        <v/>
      </c>
      <c r="W141" s="26" t="str">
        <f t="shared" si="17"/>
        <v/>
      </c>
      <c r="X141" s="26" t="str">
        <f t="shared" si="18"/>
        <v/>
      </c>
      <c r="Y141" s="26" t="str">
        <f t="shared" si="19"/>
        <v/>
      </c>
      <c r="Z141" s="31" t="str">
        <f t="shared" si="20"/>
        <v/>
      </c>
      <c r="AA141" s="31" t="str">
        <f>IF(D141="","",IF(H141&lt;=$B$16,1,IF(H141&gt;=$B$17,$B$21,MATCH(H141,Aux_CAV!$A$2:$A$121,1))))</f>
        <v/>
      </c>
      <c r="AB141" s="31" t="str">
        <f>IF(D141="","",IF(L141&lt;=$B$16,1,IF(L141&gt;=$B$17,$B$21,MATCH(L141,Aux_CAV!$A$2:$A$121,1))))</f>
        <v/>
      </c>
      <c r="AC141" s="3" t="str">
        <f t="shared" si="21"/>
        <v/>
      </c>
    </row>
    <row r="142" ht="12.75" customHeight="1">
      <c r="A142" s="25" t="str">
        <f t="shared" si="1"/>
        <v/>
      </c>
      <c r="B142" s="29" t="str">
        <f t="array" ref="B142">IF(D142="","",IFERROR(VALUE(INDEX(Vazoes_COLAR!$A$2:$A$200,INT((ROW()-24)/12)+1)),""))</f>
        <v/>
      </c>
      <c r="C142" s="29" t="str">
        <f t="shared" si="2"/>
        <v/>
      </c>
      <c r="D142" s="26" t="str">
        <f t="array" ref="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42" s="26" t="str">
        <f t="shared" si="3"/>
        <v/>
      </c>
      <c r="F142" s="26" t="str">
        <f t="array" ref="F142">IF(D142="","",IFERROR(INDEX(Dados_Evap!$C$2:$N$15,MATCH($B$9,Dados_Evap!$A$2:$A$15,0),C142),0))</f>
        <v/>
      </c>
      <c r="G142" s="26" t="str">
        <f t="shared" si="4"/>
        <v/>
      </c>
      <c r="H142" s="26" t="str">
        <f t="shared" si="22"/>
        <v/>
      </c>
      <c r="I142" s="26" t="str">
        <f t="array" ref="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/>
      </c>
      <c r="J142" s="26" t="str">
        <f t="shared" si="5"/>
        <v/>
      </c>
      <c r="K142" s="26" t="str">
        <f t="shared" si="6"/>
        <v/>
      </c>
      <c r="L142" s="26" t="str">
        <f t="shared" si="7"/>
        <v/>
      </c>
      <c r="M142" s="26" t="str">
        <f t="array" ref="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/>
      </c>
      <c r="N142" s="26" t="str">
        <f t="shared" si="8"/>
        <v/>
      </c>
      <c r="O142" s="26" t="str">
        <f t="shared" si="9"/>
        <v/>
      </c>
      <c r="P142" s="26" t="str">
        <f t="shared" si="10"/>
        <v/>
      </c>
      <c r="Q142" s="26" t="str">
        <f t="shared" si="11"/>
        <v/>
      </c>
      <c r="R142" s="26" t="str">
        <f t="shared" si="12"/>
        <v/>
      </c>
      <c r="S142" s="26" t="str">
        <f t="shared" si="13"/>
        <v/>
      </c>
      <c r="T142" s="26" t="str">
        <f t="shared" si="14"/>
        <v/>
      </c>
      <c r="U142" s="26" t="str">
        <f t="shared" si="15"/>
        <v/>
      </c>
      <c r="V142" s="26" t="str">
        <f t="shared" si="16"/>
        <v/>
      </c>
      <c r="W142" s="26" t="str">
        <f t="shared" si="17"/>
        <v/>
      </c>
      <c r="X142" s="26" t="str">
        <f t="shared" si="18"/>
        <v/>
      </c>
      <c r="Y142" s="26" t="str">
        <f t="shared" si="19"/>
        <v/>
      </c>
      <c r="Z142" s="31" t="str">
        <f t="shared" si="20"/>
        <v/>
      </c>
      <c r="AA142" s="31" t="str">
        <f>IF(D142="","",IF(H142&lt;=$B$16,1,IF(H142&gt;=$B$17,$B$21,MATCH(H142,Aux_CAV!$A$2:$A$121,1))))</f>
        <v/>
      </c>
      <c r="AB142" s="31" t="str">
        <f>IF(D142="","",IF(L142&lt;=$B$16,1,IF(L142&gt;=$B$17,$B$21,MATCH(L142,Aux_CAV!$A$2:$A$121,1))))</f>
        <v/>
      </c>
      <c r="AC142" s="3" t="str">
        <f t="shared" si="21"/>
        <v/>
      </c>
    </row>
    <row r="143" ht="12.75" customHeight="1">
      <c r="A143" s="25" t="str">
        <f t="shared" si="1"/>
        <v/>
      </c>
      <c r="B143" s="29" t="str">
        <f t="array" ref="B143">IF(D143="","",IFERROR(VALUE(INDEX(Vazoes_COLAR!$A$2:$A$200,INT((ROW()-24)/12)+1)),""))</f>
        <v/>
      </c>
      <c r="C143" s="29" t="str">
        <f t="shared" si="2"/>
        <v/>
      </c>
      <c r="D143" s="26" t="str">
        <f t="array" ref="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43" s="26" t="str">
        <f t="shared" si="3"/>
        <v/>
      </c>
      <c r="F143" s="26" t="str">
        <f t="array" ref="F143">IF(D143="","",IFERROR(INDEX(Dados_Evap!$C$2:$N$15,MATCH($B$9,Dados_Evap!$A$2:$A$15,0),C143),0))</f>
        <v/>
      </c>
      <c r="G143" s="26" t="str">
        <f t="shared" si="4"/>
        <v/>
      </c>
      <c r="H143" s="26" t="str">
        <f t="shared" si="22"/>
        <v/>
      </c>
      <c r="I143" s="26" t="str">
        <f t="array" ref="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/>
      </c>
      <c r="J143" s="26" t="str">
        <f t="shared" si="5"/>
        <v/>
      </c>
      <c r="K143" s="26" t="str">
        <f t="shared" si="6"/>
        <v/>
      </c>
      <c r="L143" s="26" t="str">
        <f t="shared" si="7"/>
        <v/>
      </c>
      <c r="M143" s="26" t="str">
        <f t="array" ref="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/>
      </c>
      <c r="N143" s="26" t="str">
        <f t="shared" si="8"/>
        <v/>
      </c>
      <c r="O143" s="26" t="str">
        <f t="shared" si="9"/>
        <v/>
      </c>
      <c r="P143" s="26" t="str">
        <f t="shared" si="10"/>
        <v/>
      </c>
      <c r="Q143" s="26" t="str">
        <f t="shared" si="11"/>
        <v/>
      </c>
      <c r="R143" s="26" t="str">
        <f t="shared" si="12"/>
        <v/>
      </c>
      <c r="S143" s="26" t="str">
        <f t="shared" si="13"/>
        <v/>
      </c>
      <c r="T143" s="26" t="str">
        <f t="shared" si="14"/>
        <v/>
      </c>
      <c r="U143" s="26" t="str">
        <f t="shared" si="15"/>
        <v/>
      </c>
      <c r="V143" s="26" t="str">
        <f t="shared" si="16"/>
        <v/>
      </c>
      <c r="W143" s="26" t="str">
        <f t="shared" si="17"/>
        <v/>
      </c>
      <c r="X143" s="26" t="str">
        <f t="shared" si="18"/>
        <v/>
      </c>
      <c r="Y143" s="26" t="str">
        <f t="shared" si="19"/>
        <v/>
      </c>
      <c r="Z143" s="31" t="str">
        <f t="shared" si="20"/>
        <v/>
      </c>
      <c r="AA143" s="31" t="str">
        <f>IF(D143="","",IF(H143&lt;=$B$16,1,IF(H143&gt;=$B$17,$B$21,MATCH(H143,Aux_CAV!$A$2:$A$121,1))))</f>
        <v/>
      </c>
      <c r="AB143" s="31" t="str">
        <f>IF(D143="","",IF(L143&lt;=$B$16,1,IF(L143&gt;=$B$17,$B$21,MATCH(L143,Aux_CAV!$A$2:$A$121,1))))</f>
        <v/>
      </c>
      <c r="AC143" s="3" t="str">
        <f t="shared" si="21"/>
        <v/>
      </c>
    </row>
    <row r="144" ht="12.75" customHeight="1">
      <c r="A144" s="25" t="str">
        <f t="shared" si="1"/>
        <v/>
      </c>
      <c r="B144" s="29" t="str">
        <f t="array" ref="B144">IF(D144="","",IFERROR(VALUE(INDEX(Vazoes_COLAR!$A$2:$A$200,INT((ROW()-24)/12)+1)),""))</f>
        <v/>
      </c>
      <c r="C144" s="29" t="str">
        <f t="shared" si="2"/>
        <v/>
      </c>
      <c r="D144" s="26" t="str">
        <f t="array" ref="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44" s="26" t="str">
        <f t="shared" si="3"/>
        <v/>
      </c>
      <c r="F144" s="26" t="str">
        <f t="array" ref="F144">IF(D144="","",IFERROR(INDEX(Dados_Evap!$C$2:$N$15,MATCH($B$9,Dados_Evap!$A$2:$A$15,0),C144),0))</f>
        <v/>
      </c>
      <c r="G144" s="26" t="str">
        <f t="shared" si="4"/>
        <v/>
      </c>
      <c r="H144" s="26" t="str">
        <f t="shared" si="22"/>
        <v/>
      </c>
      <c r="I144" s="26" t="str">
        <f t="array" ref="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/>
      </c>
      <c r="J144" s="26" t="str">
        <f t="shared" si="5"/>
        <v/>
      </c>
      <c r="K144" s="26" t="str">
        <f t="shared" si="6"/>
        <v/>
      </c>
      <c r="L144" s="26" t="str">
        <f t="shared" si="7"/>
        <v/>
      </c>
      <c r="M144" s="26" t="str">
        <f t="array" ref="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/>
      </c>
      <c r="N144" s="26" t="str">
        <f t="shared" si="8"/>
        <v/>
      </c>
      <c r="O144" s="26" t="str">
        <f t="shared" si="9"/>
        <v/>
      </c>
      <c r="P144" s="26" t="str">
        <f t="shared" si="10"/>
        <v/>
      </c>
      <c r="Q144" s="26" t="str">
        <f t="shared" si="11"/>
        <v/>
      </c>
      <c r="R144" s="26" t="str">
        <f t="shared" si="12"/>
        <v/>
      </c>
      <c r="S144" s="26" t="str">
        <f t="shared" si="13"/>
        <v/>
      </c>
      <c r="T144" s="26" t="str">
        <f t="shared" si="14"/>
        <v/>
      </c>
      <c r="U144" s="26" t="str">
        <f t="shared" si="15"/>
        <v/>
      </c>
      <c r="V144" s="26" t="str">
        <f t="shared" si="16"/>
        <v/>
      </c>
      <c r="W144" s="26" t="str">
        <f t="shared" si="17"/>
        <v/>
      </c>
      <c r="X144" s="26" t="str">
        <f t="shared" si="18"/>
        <v/>
      </c>
      <c r="Y144" s="26" t="str">
        <f t="shared" si="19"/>
        <v/>
      </c>
      <c r="Z144" s="31" t="str">
        <f t="shared" si="20"/>
        <v/>
      </c>
      <c r="AA144" s="31" t="str">
        <f>IF(D144="","",IF(H144&lt;=$B$16,1,IF(H144&gt;=$B$17,$B$21,MATCH(H144,Aux_CAV!$A$2:$A$121,1))))</f>
        <v/>
      </c>
      <c r="AB144" s="31" t="str">
        <f>IF(D144="","",IF(L144&lt;=$B$16,1,IF(L144&gt;=$B$17,$B$21,MATCH(L144,Aux_CAV!$A$2:$A$121,1))))</f>
        <v/>
      </c>
      <c r="AC144" s="3" t="str">
        <f t="shared" si="21"/>
        <v/>
      </c>
    </row>
    <row r="145" ht="12.75" customHeight="1">
      <c r="A145" s="25" t="str">
        <f t="shared" si="1"/>
        <v/>
      </c>
      <c r="B145" s="29" t="str">
        <f t="array" ref="B145">IF(D145="","",IFERROR(VALUE(INDEX(Vazoes_COLAR!$A$2:$A$200,INT((ROW()-24)/12)+1)),""))</f>
        <v/>
      </c>
      <c r="C145" s="29" t="str">
        <f t="shared" si="2"/>
        <v/>
      </c>
      <c r="D145" s="26" t="str">
        <f t="array" ref="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45" s="26" t="str">
        <f t="shared" si="3"/>
        <v/>
      </c>
      <c r="F145" s="26" t="str">
        <f t="array" ref="F145">IF(D145="","",IFERROR(INDEX(Dados_Evap!$C$2:$N$15,MATCH($B$9,Dados_Evap!$A$2:$A$15,0),C145),0))</f>
        <v/>
      </c>
      <c r="G145" s="26" t="str">
        <f t="shared" si="4"/>
        <v/>
      </c>
      <c r="H145" s="26" t="str">
        <f t="shared" si="22"/>
        <v/>
      </c>
      <c r="I145" s="26" t="str">
        <f t="array" ref="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/>
      </c>
      <c r="J145" s="26" t="str">
        <f t="shared" si="5"/>
        <v/>
      </c>
      <c r="K145" s="26" t="str">
        <f t="shared" si="6"/>
        <v/>
      </c>
      <c r="L145" s="26" t="str">
        <f t="shared" si="7"/>
        <v/>
      </c>
      <c r="M145" s="26" t="str">
        <f t="array" ref="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/>
      </c>
      <c r="N145" s="26" t="str">
        <f t="shared" si="8"/>
        <v/>
      </c>
      <c r="O145" s="26" t="str">
        <f t="shared" si="9"/>
        <v/>
      </c>
      <c r="P145" s="26" t="str">
        <f t="shared" si="10"/>
        <v/>
      </c>
      <c r="Q145" s="26" t="str">
        <f t="shared" si="11"/>
        <v/>
      </c>
      <c r="R145" s="26" t="str">
        <f t="shared" si="12"/>
        <v/>
      </c>
      <c r="S145" s="26" t="str">
        <f t="shared" si="13"/>
        <v/>
      </c>
      <c r="T145" s="26" t="str">
        <f t="shared" si="14"/>
        <v/>
      </c>
      <c r="U145" s="26" t="str">
        <f t="shared" si="15"/>
        <v/>
      </c>
      <c r="V145" s="26" t="str">
        <f t="shared" si="16"/>
        <v/>
      </c>
      <c r="W145" s="26" t="str">
        <f t="shared" si="17"/>
        <v/>
      </c>
      <c r="X145" s="26" t="str">
        <f t="shared" si="18"/>
        <v/>
      </c>
      <c r="Y145" s="26" t="str">
        <f t="shared" si="19"/>
        <v/>
      </c>
      <c r="Z145" s="31" t="str">
        <f t="shared" si="20"/>
        <v/>
      </c>
      <c r="AA145" s="31" t="str">
        <f>IF(D145="","",IF(H145&lt;=$B$16,1,IF(H145&gt;=$B$17,$B$21,MATCH(H145,Aux_CAV!$A$2:$A$121,1))))</f>
        <v/>
      </c>
      <c r="AB145" s="31" t="str">
        <f>IF(D145="","",IF(L145&lt;=$B$16,1,IF(L145&gt;=$B$17,$B$21,MATCH(L145,Aux_CAV!$A$2:$A$121,1))))</f>
        <v/>
      </c>
      <c r="AC145" s="3" t="str">
        <f t="shared" si="21"/>
        <v/>
      </c>
    </row>
    <row r="146" ht="12.75" customHeight="1">
      <c r="A146" s="25" t="str">
        <f t="shared" si="1"/>
        <v/>
      </c>
      <c r="B146" s="29" t="str">
        <f t="array" ref="B146">IF(D146="","",IFERROR(VALUE(INDEX(Vazoes_COLAR!$A$2:$A$200,INT((ROW()-24)/12)+1)),""))</f>
        <v/>
      </c>
      <c r="C146" s="29" t="str">
        <f t="shared" si="2"/>
        <v/>
      </c>
      <c r="D146" s="26" t="str">
        <f t="array" ref="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46" s="26" t="str">
        <f t="shared" si="3"/>
        <v/>
      </c>
      <c r="F146" s="26" t="str">
        <f t="array" ref="F146">IF(D146="","",IFERROR(INDEX(Dados_Evap!$C$2:$N$15,MATCH($B$9,Dados_Evap!$A$2:$A$15,0),C146),0))</f>
        <v/>
      </c>
      <c r="G146" s="26" t="str">
        <f t="shared" si="4"/>
        <v/>
      </c>
      <c r="H146" s="26" t="str">
        <f t="shared" si="22"/>
        <v/>
      </c>
      <c r="I146" s="26" t="str">
        <f t="array" ref="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/>
      </c>
      <c r="J146" s="26" t="str">
        <f t="shared" si="5"/>
        <v/>
      </c>
      <c r="K146" s="26" t="str">
        <f t="shared" si="6"/>
        <v/>
      </c>
      <c r="L146" s="26" t="str">
        <f t="shared" si="7"/>
        <v/>
      </c>
      <c r="M146" s="26" t="str">
        <f t="array" ref="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/>
      </c>
      <c r="N146" s="26" t="str">
        <f t="shared" si="8"/>
        <v/>
      </c>
      <c r="O146" s="26" t="str">
        <f t="shared" si="9"/>
        <v/>
      </c>
      <c r="P146" s="26" t="str">
        <f t="shared" si="10"/>
        <v/>
      </c>
      <c r="Q146" s="26" t="str">
        <f t="shared" si="11"/>
        <v/>
      </c>
      <c r="R146" s="26" t="str">
        <f t="shared" si="12"/>
        <v/>
      </c>
      <c r="S146" s="26" t="str">
        <f t="shared" si="13"/>
        <v/>
      </c>
      <c r="T146" s="26" t="str">
        <f t="shared" si="14"/>
        <v/>
      </c>
      <c r="U146" s="26" t="str">
        <f t="shared" si="15"/>
        <v/>
      </c>
      <c r="V146" s="26" t="str">
        <f t="shared" si="16"/>
        <v/>
      </c>
      <c r="W146" s="26" t="str">
        <f t="shared" si="17"/>
        <v/>
      </c>
      <c r="X146" s="26" t="str">
        <f t="shared" si="18"/>
        <v/>
      </c>
      <c r="Y146" s="26" t="str">
        <f t="shared" si="19"/>
        <v/>
      </c>
      <c r="Z146" s="31" t="str">
        <f t="shared" si="20"/>
        <v/>
      </c>
      <c r="AA146" s="31" t="str">
        <f>IF(D146="","",IF(H146&lt;=$B$16,1,IF(H146&gt;=$B$17,$B$21,MATCH(H146,Aux_CAV!$A$2:$A$121,1))))</f>
        <v/>
      </c>
      <c r="AB146" s="31" t="str">
        <f>IF(D146="","",IF(L146&lt;=$B$16,1,IF(L146&gt;=$B$17,$B$21,MATCH(L146,Aux_CAV!$A$2:$A$121,1))))</f>
        <v/>
      </c>
      <c r="AC146" s="3" t="str">
        <f t="shared" si="21"/>
        <v/>
      </c>
    </row>
    <row r="147" ht="12.75" customHeight="1">
      <c r="A147" s="25" t="str">
        <f t="shared" si="1"/>
        <v/>
      </c>
      <c r="B147" s="29" t="str">
        <f t="array" ref="B147">IF(D147="","",IFERROR(VALUE(INDEX(Vazoes_COLAR!$A$2:$A$200,INT((ROW()-24)/12)+1)),""))</f>
        <v/>
      </c>
      <c r="C147" s="29" t="str">
        <f t="shared" si="2"/>
        <v/>
      </c>
      <c r="D147" s="26" t="str">
        <f t="array" ref="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47" s="26" t="str">
        <f t="shared" si="3"/>
        <v/>
      </c>
      <c r="F147" s="26" t="str">
        <f t="array" ref="F147">IF(D147="","",IFERROR(INDEX(Dados_Evap!$C$2:$N$15,MATCH($B$9,Dados_Evap!$A$2:$A$15,0),C147),0))</f>
        <v/>
      </c>
      <c r="G147" s="26" t="str">
        <f t="shared" si="4"/>
        <v/>
      </c>
      <c r="H147" s="26" t="str">
        <f t="shared" si="22"/>
        <v/>
      </c>
      <c r="I147" s="26" t="str">
        <f t="array" ref="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/>
      </c>
      <c r="J147" s="26" t="str">
        <f t="shared" si="5"/>
        <v/>
      </c>
      <c r="K147" s="26" t="str">
        <f t="shared" si="6"/>
        <v/>
      </c>
      <c r="L147" s="26" t="str">
        <f t="shared" si="7"/>
        <v/>
      </c>
      <c r="M147" s="26" t="str">
        <f t="array" ref="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/>
      </c>
      <c r="N147" s="26" t="str">
        <f t="shared" si="8"/>
        <v/>
      </c>
      <c r="O147" s="26" t="str">
        <f t="shared" si="9"/>
        <v/>
      </c>
      <c r="P147" s="26" t="str">
        <f t="shared" si="10"/>
        <v/>
      </c>
      <c r="Q147" s="26" t="str">
        <f t="shared" si="11"/>
        <v/>
      </c>
      <c r="R147" s="26" t="str">
        <f t="shared" si="12"/>
        <v/>
      </c>
      <c r="S147" s="26" t="str">
        <f t="shared" si="13"/>
        <v/>
      </c>
      <c r="T147" s="26" t="str">
        <f t="shared" si="14"/>
        <v/>
      </c>
      <c r="U147" s="26" t="str">
        <f t="shared" si="15"/>
        <v/>
      </c>
      <c r="V147" s="26" t="str">
        <f t="shared" si="16"/>
        <v/>
      </c>
      <c r="W147" s="26" t="str">
        <f t="shared" si="17"/>
        <v/>
      </c>
      <c r="X147" s="26" t="str">
        <f t="shared" si="18"/>
        <v/>
      </c>
      <c r="Y147" s="26" t="str">
        <f t="shared" si="19"/>
        <v/>
      </c>
      <c r="Z147" s="31" t="str">
        <f t="shared" si="20"/>
        <v/>
      </c>
      <c r="AA147" s="31" t="str">
        <f>IF(D147="","",IF(H147&lt;=$B$16,1,IF(H147&gt;=$B$17,$B$21,MATCH(H147,Aux_CAV!$A$2:$A$121,1))))</f>
        <v/>
      </c>
      <c r="AB147" s="31" t="str">
        <f>IF(D147="","",IF(L147&lt;=$B$16,1,IF(L147&gt;=$B$17,$B$21,MATCH(L147,Aux_CAV!$A$2:$A$121,1))))</f>
        <v/>
      </c>
      <c r="AC147" s="3" t="str">
        <f t="shared" si="21"/>
        <v/>
      </c>
    </row>
    <row r="148" ht="12.75" customHeight="1">
      <c r="A148" s="25" t="str">
        <f t="shared" si="1"/>
        <v/>
      </c>
      <c r="B148" s="29" t="str">
        <f t="array" ref="B148">IF(D148="","",IFERROR(VALUE(INDEX(Vazoes_COLAR!$A$2:$A$200,INT((ROW()-24)/12)+1)),""))</f>
        <v/>
      </c>
      <c r="C148" s="29" t="str">
        <f t="shared" si="2"/>
        <v/>
      </c>
      <c r="D148" s="26" t="str">
        <f t="array" ref="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48" s="26" t="str">
        <f t="shared" si="3"/>
        <v/>
      </c>
      <c r="F148" s="26" t="str">
        <f t="array" ref="F148">IF(D148="","",IFERROR(INDEX(Dados_Evap!$C$2:$N$15,MATCH($B$9,Dados_Evap!$A$2:$A$15,0),C148),0))</f>
        <v/>
      </c>
      <c r="G148" s="26" t="str">
        <f t="shared" si="4"/>
        <v/>
      </c>
      <c r="H148" s="26" t="str">
        <f t="shared" si="22"/>
        <v/>
      </c>
      <c r="I148" s="26" t="str">
        <f t="array" ref="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/>
      </c>
      <c r="J148" s="26" t="str">
        <f t="shared" si="5"/>
        <v/>
      </c>
      <c r="K148" s="26" t="str">
        <f t="shared" si="6"/>
        <v/>
      </c>
      <c r="L148" s="26" t="str">
        <f t="shared" si="7"/>
        <v/>
      </c>
      <c r="M148" s="26" t="str">
        <f t="array" ref="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/>
      </c>
      <c r="N148" s="26" t="str">
        <f t="shared" si="8"/>
        <v/>
      </c>
      <c r="O148" s="26" t="str">
        <f t="shared" si="9"/>
        <v/>
      </c>
      <c r="P148" s="26" t="str">
        <f t="shared" si="10"/>
        <v/>
      </c>
      <c r="Q148" s="26" t="str">
        <f t="shared" si="11"/>
        <v/>
      </c>
      <c r="R148" s="26" t="str">
        <f t="shared" si="12"/>
        <v/>
      </c>
      <c r="S148" s="26" t="str">
        <f t="shared" si="13"/>
        <v/>
      </c>
      <c r="T148" s="26" t="str">
        <f t="shared" si="14"/>
        <v/>
      </c>
      <c r="U148" s="26" t="str">
        <f t="shared" si="15"/>
        <v/>
      </c>
      <c r="V148" s="26" t="str">
        <f t="shared" si="16"/>
        <v/>
      </c>
      <c r="W148" s="26" t="str">
        <f t="shared" si="17"/>
        <v/>
      </c>
      <c r="X148" s="26" t="str">
        <f t="shared" si="18"/>
        <v/>
      </c>
      <c r="Y148" s="26" t="str">
        <f t="shared" si="19"/>
        <v/>
      </c>
      <c r="Z148" s="31" t="str">
        <f t="shared" si="20"/>
        <v/>
      </c>
      <c r="AA148" s="31" t="str">
        <f>IF(D148="","",IF(H148&lt;=$B$16,1,IF(H148&gt;=$B$17,$B$21,MATCH(H148,Aux_CAV!$A$2:$A$121,1))))</f>
        <v/>
      </c>
      <c r="AB148" s="31" t="str">
        <f>IF(D148="","",IF(L148&lt;=$B$16,1,IF(L148&gt;=$B$17,$B$21,MATCH(L148,Aux_CAV!$A$2:$A$121,1))))</f>
        <v/>
      </c>
      <c r="AC148" s="3" t="str">
        <f t="shared" si="21"/>
        <v/>
      </c>
    </row>
    <row r="149" ht="12.75" customHeight="1">
      <c r="A149" s="25" t="str">
        <f t="shared" si="1"/>
        <v/>
      </c>
      <c r="B149" s="29" t="str">
        <f t="array" ref="B149">IF(D149="","",IFERROR(VALUE(INDEX(Vazoes_COLAR!$A$2:$A$200,INT((ROW()-24)/12)+1)),""))</f>
        <v/>
      </c>
      <c r="C149" s="29" t="str">
        <f t="shared" si="2"/>
        <v/>
      </c>
      <c r="D149" s="26" t="str">
        <f t="array" ref="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49" s="26" t="str">
        <f t="shared" si="3"/>
        <v/>
      </c>
      <c r="F149" s="26" t="str">
        <f t="array" ref="F149">IF(D149="","",IFERROR(INDEX(Dados_Evap!$C$2:$N$15,MATCH($B$9,Dados_Evap!$A$2:$A$15,0),C149),0))</f>
        <v/>
      </c>
      <c r="G149" s="26" t="str">
        <f t="shared" si="4"/>
        <v/>
      </c>
      <c r="H149" s="26" t="str">
        <f t="shared" si="22"/>
        <v/>
      </c>
      <c r="I149" s="26" t="str">
        <f t="array" ref="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/>
      </c>
      <c r="J149" s="26" t="str">
        <f t="shared" si="5"/>
        <v/>
      </c>
      <c r="K149" s="26" t="str">
        <f t="shared" si="6"/>
        <v/>
      </c>
      <c r="L149" s="26" t="str">
        <f t="shared" si="7"/>
        <v/>
      </c>
      <c r="M149" s="26" t="str">
        <f t="array" ref="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/>
      </c>
      <c r="N149" s="26" t="str">
        <f t="shared" si="8"/>
        <v/>
      </c>
      <c r="O149" s="26" t="str">
        <f t="shared" si="9"/>
        <v/>
      </c>
      <c r="P149" s="26" t="str">
        <f t="shared" si="10"/>
        <v/>
      </c>
      <c r="Q149" s="26" t="str">
        <f t="shared" si="11"/>
        <v/>
      </c>
      <c r="R149" s="26" t="str">
        <f t="shared" si="12"/>
        <v/>
      </c>
      <c r="S149" s="26" t="str">
        <f t="shared" si="13"/>
        <v/>
      </c>
      <c r="T149" s="26" t="str">
        <f t="shared" si="14"/>
        <v/>
      </c>
      <c r="U149" s="26" t="str">
        <f t="shared" si="15"/>
        <v/>
      </c>
      <c r="V149" s="26" t="str">
        <f t="shared" si="16"/>
        <v/>
      </c>
      <c r="W149" s="26" t="str">
        <f t="shared" si="17"/>
        <v/>
      </c>
      <c r="X149" s="26" t="str">
        <f t="shared" si="18"/>
        <v/>
      </c>
      <c r="Y149" s="26" t="str">
        <f t="shared" si="19"/>
        <v/>
      </c>
      <c r="Z149" s="31" t="str">
        <f t="shared" si="20"/>
        <v/>
      </c>
      <c r="AA149" s="31" t="str">
        <f>IF(D149="","",IF(H149&lt;=$B$16,1,IF(H149&gt;=$B$17,$B$21,MATCH(H149,Aux_CAV!$A$2:$A$121,1))))</f>
        <v/>
      </c>
      <c r="AB149" s="31" t="str">
        <f>IF(D149="","",IF(L149&lt;=$B$16,1,IF(L149&gt;=$B$17,$B$21,MATCH(L149,Aux_CAV!$A$2:$A$121,1))))</f>
        <v/>
      </c>
      <c r="AC149" s="3" t="str">
        <f t="shared" si="21"/>
        <v/>
      </c>
    </row>
    <row r="150" ht="12.75" customHeight="1">
      <c r="A150" s="25" t="str">
        <f t="shared" si="1"/>
        <v/>
      </c>
      <c r="B150" s="29" t="str">
        <f t="array" ref="B150">IF(D150="","",IFERROR(VALUE(INDEX(Vazoes_COLAR!$A$2:$A$200,INT((ROW()-24)/12)+1)),""))</f>
        <v/>
      </c>
      <c r="C150" s="29" t="str">
        <f t="shared" si="2"/>
        <v/>
      </c>
      <c r="D150" s="26" t="str">
        <f t="array" ref="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50" s="26" t="str">
        <f t="shared" si="3"/>
        <v/>
      </c>
      <c r="F150" s="26" t="str">
        <f t="array" ref="F150">IF(D150="","",IFERROR(INDEX(Dados_Evap!$C$2:$N$15,MATCH($B$9,Dados_Evap!$A$2:$A$15,0),C150),0))</f>
        <v/>
      </c>
      <c r="G150" s="26" t="str">
        <f t="shared" si="4"/>
        <v/>
      </c>
      <c r="H150" s="26" t="str">
        <f t="shared" si="22"/>
        <v/>
      </c>
      <c r="I150" s="26" t="str">
        <f t="array" ref="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/>
      </c>
      <c r="J150" s="26" t="str">
        <f t="shared" si="5"/>
        <v/>
      </c>
      <c r="K150" s="26" t="str">
        <f t="shared" si="6"/>
        <v/>
      </c>
      <c r="L150" s="26" t="str">
        <f t="shared" si="7"/>
        <v/>
      </c>
      <c r="M150" s="26" t="str">
        <f t="array" ref="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/>
      </c>
      <c r="N150" s="26" t="str">
        <f t="shared" si="8"/>
        <v/>
      </c>
      <c r="O150" s="26" t="str">
        <f t="shared" si="9"/>
        <v/>
      </c>
      <c r="P150" s="26" t="str">
        <f t="shared" si="10"/>
        <v/>
      </c>
      <c r="Q150" s="26" t="str">
        <f t="shared" si="11"/>
        <v/>
      </c>
      <c r="R150" s="26" t="str">
        <f t="shared" si="12"/>
        <v/>
      </c>
      <c r="S150" s="26" t="str">
        <f t="shared" si="13"/>
        <v/>
      </c>
      <c r="T150" s="26" t="str">
        <f t="shared" si="14"/>
        <v/>
      </c>
      <c r="U150" s="26" t="str">
        <f t="shared" si="15"/>
        <v/>
      </c>
      <c r="V150" s="26" t="str">
        <f t="shared" si="16"/>
        <v/>
      </c>
      <c r="W150" s="26" t="str">
        <f t="shared" si="17"/>
        <v/>
      </c>
      <c r="X150" s="26" t="str">
        <f t="shared" si="18"/>
        <v/>
      </c>
      <c r="Y150" s="26" t="str">
        <f t="shared" si="19"/>
        <v/>
      </c>
      <c r="Z150" s="31" t="str">
        <f t="shared" si="20"/>
        <v/>
      </c>
      <c r="AA150" s="31" t="str">
        <f>IF(D150="","",IF(H150&lt;=$B$16,1,IF(H150&gt;=$B$17,$B$21,MATCH(H150,Aux_CAV!$A$2:$A$121,1))))</f>
        <v/>
      </c>
      <c r="AB150" s="31" t="str">
        <f>IF(D150="","",IF(L150&lt;=$B$16,1,IF(L150&gt;=$B$17,$B$21,MATCH(L150,Aux_CAV!$A$2:$A$121,1))))</f>
        <v/>
      </c>
      <c r="AC150" s="3" t="str">
        <f t="shared" si="21"/>
        <v/>
      </c>
    </row>
    <row r="151" ht="12.75" customHeight="1">
      <c r="A151" s="25" t="str">
        <f t="shared" si="1"/>
        <v/>
      </c>
      <c r="B151" s="29" t="str">
        <f t="array" ref="B151">IF(D151="","",IFERROR(VALUE(INDEX(Vazoes_COLAR!$A$2:$A$200,INT((ROW()-24)/12)+1)),""))</f>
        <v/>
      </c>
      <c r="C151" s="29" t="str">
        <f t="shared" si="2"/>
        <v/>
      </c>
      <c r="D151" s="26" t="str">
        <f t="array" ref="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51" s="26" t="str">
        <f t="shared" si="3"/>
        <v/>
      </c>
      <c r="F151" s="26" t="str">
        <f t="array" ref="F151">IF(D151="","",IFERROR(INDEX(Dados_Evap!$C$2:$N$15,MATCH($B$9,Dados_Evap!$A$2:$A$15,0),C151),0))</f>
        <v/>
      </c>
      <c r="G151" s="26" t="str">
        <f t="shared" si="4"/>
        <v/>
      </c>
      <c r="H151" s="26" t="str">
        <f t="shared" si="22"/>
        <v/>
      </c>
      <c r="I151" s="26" t="str">
        <f t="array" ref="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/>
      </c>
      <c r="J151" s="26" t="str">
        <f t="shared" si="5"/>
        <v/>
      </c>
      <c r="K151" s="26" t="str">
        <f t="shared" si="6"/>
        <v/>
      </c>
      <c r="L151" s="26" t="str">
        <f t="shared" si="7"/>
        <v/>
      </c>
      <c r="M151" s="26" t="str">
        <f t="array" ref="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/>
      </c>
      <c r="N151" s="26" t="str">
        <f t="shared" si="8"/>
        <v/>
      </c>
      <c r="O151" s="26" t="str">
        <f t="shared" si="9"/>
        <v/>
      </c>
      <c r="P151" s="26" t="str">
        <f t="shared" si="10"/>
        <v/>
      </c>
      <c r="Q151" s="26" t="str">
        <f t="shared" si="11"/>
        <v/>
      </c>
      <c r="R151" s="26" t="str">
        <f t="shared" si="12"/>
        <v/>
      </c>
      <c r="S151" s="26" t="str">
        <f t="shared" si="13"/>
        <v/>
      </c>
      <c r="T151" s="26" t="str">
        <f t="shared" si="14"/>
        <v/>
      </c>
      <c r="U151" s="26" t="str">
        <f t="shared" si="15"/>
        <v/>
      </c>
      <c r="V151" s="26" t="str">
        <f t="shared" si="16"/>
        <v/>
      </c>
      <c r="W151" s="26" t="str">
        <f t="shared" si="17"/>
        <v/>
      </c>
      <c r="X151" s="26" t="str">
        <f t="shared" si="18"/>
        <v/>
      </c>
      <c r="Y151" s="26" t="str">
        <f t="shared" si="19"/>
        <v/>
      </c>
      <c r="Z151" s="31" t="str">
        <f t="shared" si="20"/>
        <v/>
      </c>
      <c r="AA151" s="31" t="str">
        <f>IF(D151="","",IF(H151&lt;=$B$16,1,IF(H151&gt;=$B$17,$B$21,MATCH(H151,Aux_CAV!$A$2:$A$121,1))))</f>
        <v/>
      </c>
      <c r="AB151" s="31" t="str">
        <f>IF(D151="","",IF(L151&lt;=$B$16,1,IF(L151&gt;=$B$17,$B$21,MATCH(L151,Aux_CAV!$A$2:$A$121,1))))</f>
        <v/>
      </c>
      <c r="AC151" s="3" t="str">
        <f t="shared" si="21"/>
        <v/>
      </c>
    </row>
    <row r="152" ht="12.75" customHeight="1">
      <c r="A152" s="25" t="str">
        <f t="shared" si="1"/>
        <v/>
      </c>
      <c r="B152" s="29" t="str">
        <f t="array" ref="B152">IF(D152="","",IFERROR(VALUE(INDEX(Vazoes_COLAR!$A$2:$A$200,INT((ROW()-24)/12)+1)),""))</f>
        <v/>
      </c>
      <c r="C152" s="29" t="str">
        <f t="shared" si="2"/>
        <v/>
      </c>
      <c r="D152" s="26" t="str">
        <f t="array" ref="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52" s="26" t="str">
        <f t="shared" si="3"/>
        <v/>
      </c>
      <c r="F152" s="26" t="str">
        <f t="array" ref="F152">IF(D152="","",IFERROR(INDEX(Dados_Evap!$C$2:$N$15,MATCH($B$9,Dados_Evap!$A$2:$A$15,0),C152),0))</f>
        <v/>
      </c>
      <c r="G152" s="26" t="str">
        <f t="shared" si="4"/>
        <v/>
      </c>
      <c r="H152" s="26" t="str">
        <f t="shared" si="22"/>
        <v/>
      </c>
      <c r="I152" s="26" t="str">
        <f t="array" ref="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/>
      </c>
      <c r="J152" s="26" t="str">
        <f t="shared" si="5"/>
        <v/>
      </c>
      <c r="K152" s="26" t="str">
        <f t="shared" si="6"/>
        <v/>
      </c>
      <c r="L152" s="26" t="str">
        <f t="shared" si="7"/>
        <v/>
      </c>
      <c r="M152" s="26" t="str">
        <f t="array" ref="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/>
      </c>
      <c r="N152" s="26" t="str">
        <f t="shared" si="8"/>
        <v/>
      </c>
      <c r="O152" s="26" t="str">
        <f t="shared" si="9"/>
        <v/>
      </c>
      <c r="P152" s="26" t="str">
        <f t="shared" si="10"/>
        <v/>
      </c>
      <c r="Q152" s="26" t="str">
        <f t="shared" si="11"/>
        <v/>
      </c>
      <c r="R152" s="26" t="str">
        <f t="shared" si="12"/>
        <v/>
      </c>
      <c r="S152" s="26" t="str">
        <f t="shared" si="13"/>
        <v/>
      </c>
      <c r="T152" s="26" t="str">
        <f t="shared" si="14"/>
        <v/>
      </c>
      <c r="U152" s="26" t="str">
        <f t="shared" si="15"/>
        <v/>
      </c>
      <c r="V152" s="26" t="str">
        <f t="shared" si="16"/>
        <v/>
      </c>
      <c r="W152" s="26" t="str">
        <f t="shared" si="17"/>
        <v/>
      </c>
      <c r="X152" s="26" t="str">
        <f t="shared" si="18"/>
        <v/>
      </c>
      <c r="Y152" s="26" t="str">
        <f t="shared" si="19"/>
        <v/>
      </c>
      <c r="Z152" s="31" t="str">
        <f t="shared" si="20"/>
        <v/>
      </c>
      <c r="AA152" s="31" t="str">
        <f>IF(D152="","",IF(H152&lt;=$B$16,1,IF(H152&gt;=$B$17,$B$21,MATCH(H152,Aux_CAV!$A$2:$A$121,1))))</f>
        <v/>
      </c>
      <c r="AB152" s="31" t="str">
        <f>IF(D152="","",IF(L152&lt;=$B$16,1,IF(L152&gt;=$B$17,$B$21,MATCH(L152,Aux_CAV!$A$2:$A$121,1))))</f>
        <v/>
      </c>
      <c r="AC152" s="3" t="str">
        <f t="shared" si="21"/>
        <v/>
      </c>
    </row>
    <row r="153" ht="12.75" customHeight="1">
      <c r="A153" s="25" t="str">
        <f t="shared" si="1"/>
        <v/>
      </c>
      <c r="B153" s="29" t="str">
        <f t="array" ref="B153">IF(D153="","",IFERROR(VALUE(INDEX(Vazoes_COLAR!$A$2:$A$200,INT((ROW()-24)/12)+1)),""))</f>
        <v/>
      </c>
      <c r="C153" s="29" t="str">
        <f t="shared" si="2"/>
        <v/>
      </c>
      <c r="D153" s="26" t="str">
        <f t="array" ref="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53" s="26" t="str">
        <f t="shared" si="3"/>
        <v/>
      </c>
      <c r="F153" s="26" t="str">
        <f t="array" ref="F153">IF(D153="","",IFERROR(INDEX(Dados_Evap!$C$2:$N$15,MATCH($B$9,Dados_Evap!$A$2:$A$15,0),C153),0))</f>
        <v/>
      </c>
      <c r="G153" s="26" t="str">
        <f t="shared" si="4"/>
        <v/>
      </c>
      <c r="H153" s="26" t="str">
        <f t="shared" si="22"/>
        <v/>
      </c>
      <c r="I153" s="26" t="str">
        <f t="array" ref="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/>
      </c>
      <c r="J153" s="26" t="str">
        <f t="shared" si="5"/>
        <v/>
      </c>
      <c r="K153" s="26" t="str">
        <f t="shared" si="6"/>
        <v/>
      </c>
      <c r="L153" s="26" t="str">
        <f t="shared" si="7"/>
        <v/>
      </c>
      <c r="M153" s="26" t="str">
        <f t="array" ref="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/>
      </c>
      <c r="N153" s="26" t="str">
        <f t="shared" si="8"/>
        <v/>
      </c>
      <c r="O153" s="26" t="str">
        <f t="shared" si="9"/>
        <v/>
      </c>
      <c r="P153" s="26" t="str">
        <f t="shared" si="10"/>
        <v/>
      </c>
      <c r="Q153" s="26" t="str">
        <f t="shared" si="11"/>
        <v/>
      </c>
      <c r="R153" s="26" t="str">
        <f t="shared" si="12"/>
        <v/>
      </c>
      <c r="S153" s="26" t="str">
        <f t="shared" si="13"/>
        <v/>
      </c>
      <c r="T153" s="26" t="str">
        <f t="shared" si="14"/>
        <v/>
      </c>
      <c r="U153" s="26" t="str">
        <f t="shared" si="15"/>
        <v/>
      </c>
      <c r="V153" s="26" t="str">
        <f t="shared" si="16"/>
        <v/>
      </c>
      <c r="W153" s="26" t="str">
        <f t="shared" si="17"/>
        <v/>
      </c>
      <c r="X153" s="26" t="str">
        <f t="shared" si="18"/>
        <v/>
      </c>
      <c r="Y153" s="26" t="str">
        <f t="shared" si="19"/>
        <v/>
      </c>
      <c r="Z153" s="31" t="str">
        <f t="shared" si="20"/>
        <v/>
      </c>
      <c r="AA153" s="31" t="str">
        <f>IF(D153="","",IF(H153&lt;=$B$16,1,IF(H153&gt;=$B$17,$B$21,MATCH(H153,Aux_CAV!$A$2:$A$121,1))))</f>
        <v/>
      </c>
      <c r="AB153" s="31" t="str">
        <f>IF(D153="","",IF(L153&lt;=$B$16,1,IF(L153&gt;=$B$17,$B$21,MATCH(L153,Aux_CAV!$A$2:$A$121,1))))</f>
        <v/>
      </c>
      <c r="AC153" s="3" t="str">
        <f t="shared" si="21"/>
        <v/>
      </c>
    </row>
    <row r="154" ht="12.75" customHeight="1">
      <c r="A154" s="25" t="str">
        <f t="shared" si="1"/>
        <v/>
      </c>
      <c r="B154" s="29" t="str">
        <f t="array" ref="B154">IF(D154="","",IFERROR(VALUE(INDEX(Vazoes_COLAR!$A$2:$A$200,INT((ROW()-24)/12)+1)),""))</f>
        <v/>
      </c>
      <c r="C154" s="29" t="str">
        <f t="shared" si="2"/>
        <v/>
      </c>
      <c r="D154" s="26" t="str">
        <f t="array" ref="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54" s="26" t="str">
        <f t="shared" si="3"/>
        <v/>
      </c>
      <c r="F154" s="26" t="str">
        <f t="array" ref="F154">IF(D154="","",IFERROR(INDEX(Dados_Evap!$C$2:$N$15,MATCH($B$9,Dados_Evap!$A$2:$A$15,0),C154),0))</f>
        <v/>
      </c>
      <c r="G154" s="26" t="str">
        <f t="shared" si="4"/>
        <v/>
      </c>
      <c r="H154" s="26" t="str">
        <f t="shared" si="22"/>
        <v/>
      </c>
      <c r="I154" s="26" t="str">
        <f t="array" ref="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/>
      </c>
      <c r="J154" s="26" t="str">
        <f t="shared" si="5"/>
        <v/>
      </c>
      <c r="K154" s="26" t="str">
        <f t="shared" si="6"/>
        <v/>
      </c>
      <c r="L154" s="26" t="str">
        <f t="shared" si="7"/>
        <v/>
      </c>
      <c r="M154" s="26" t="str">
        <f t="array" ref="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/>
      </c>
      <c r="N154" s="26" t="str">
        <f t="shared" si="8"/>
        <v/>
      </c>
      <c r="O154" s="26" t="str">
        <f t="shared" si="9"/>
        <v/>
      </c>
      <c r="P154" s="26" t="str">
        <f t="shared" si="10"/>
        <v/>
      </c>
      <c r="Q154" s="26" t="str">
        <f t="shared" si="11"/>
        <v/>
      </c>
      <c r="R154" s="26" t="str">
        <f t="shared" si="12"/>
        <v/>
      </c>
      <c r="S154" s="26" t="str">
        <f t="shared" si="13"/>
        <v/>
      </c>
      <c r="T154" s="26" t="str">
        <f t="shared" si="14"/>
        <v/>
      </c>
      <c r="U154" s="26" t="str">
        <f t="shared" si="15"/>
        <v/>
      </c>
      <c r="V154" s="26" t="str">
        <f t="shared" si="16"/>
        <v/>
      </c>
      <c r="W154" s="26" t="str">
        <f t="shared" si="17"/>
        <v/>
      </c>
      <c r="X154" s="26" t="str">
        <f t="shared" si="18"/>
        <v/>
      </c>
      <c r="Y154" s="26" t="str">
        <f t="shared" si="19"/>
        <v/>
      </c>
      <c r="Z154" s="31" t="str">
        <f t="shared" si="20"/>
        <v/>
      </c>
      <c r="AA154" s="31" t="str">
        <f>IF(D154="","",IF(H154&lt;=$B$16,1,IF(H154&gt;=$B$17,$B$21,MATCH(H154,Aux_CAV!$A$2:$A$121,1))))</f>
        <v/>
      </c>
      <c r="AB154" s="31" t="str">
        <f>IF(D154="","",IF(L154&lt;=$B$16,1,IF(L154&gt;=$B$17,$B$21,MATCH(L154,Aux_CAV!$A$2:$A$121,1))))</f>
        <v/>
      </c>
      <c r="AC154" s="3" t="str">
        <f t="shared" si="21"/>
        <v/>
      </c>
    </row>
    <row r="155" ht="12.75" customHeight="1">
      <c r="A155" s="25" t="str">
        <f t="shared" si="1"/>
        <v/>
      </c>
      <c r="B155" s="29" t="str">
        <f t="array" ref="B155">IF(D155="","",IFERROR(VALUE(INDEX(Vazoes_COLAR!$A$2:$A$200,INT((ROW()-24)/12)+1)),""))</f>
        <v/>
      </c>
      <c r="C155" s="29" t="str">
        <f t="shared" si="2"/>
        <v/>
      </c>
      <c r="D155" s="26" t="str">
        <f t="array" ref="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55" s="26" t="str">
        <f t="shared" si="3"/>
        <v/>
      </c>
      <c r="F155" s="26" t="str">
        <f t="array" ref="F155">IF(D155="","",IFERROR(INDEX(Dados_Evap!$C$2:$N$15,MATCH($B$9,Dados_Evap!$A$2:$A$15,0),C155),0))</f>
        <v/>
      </c>
      <c r="G155" s="26" t="str">
        <f t="shared" si="4"/>
        <v/>
      </c>
      <c r="H155" s="26" t="str">
        <f t="shared" si="22"/>
        <v/>
      </c>
      <c r="I155" s="26" t="str">
        <f t="array" ref="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/>
      </c>
      <c r="J155" s="26" t="str">
        <f t="shared" si="5"/>
        <v/>
      </c>
      <c r="K155" s="26" t="str">
        <f t="shared" si="6"/>
        <v/>
      </c>
      <c r="L155" s="26" t="str">
        <f t="shared" si="7"/>
        <v/>
      </c>
      <c r="M155" s="26" t="str">
        <f t="array" ref="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/>
      </c>
      <c r="N155" s="26" t="str">
        <f t="shared" si="8"/>
        <v/>
      </c>
      <c r="O155" s="26" t="str">
        <f t="shared" si="9"/>
        <v/>
      </c>
      <c r="P155" s="26" t="str">
        <f t="shared" si="10"/>
        <v/>
      </c>
      <c r="Q155" s="26" t="str">
        <f t="shared" si="11"/>
        <v/>
      </c>
      <c r="R155" s="26" t="str">
        <f t="shared" si="12"/>
        <v/>
      </c>
      <c r="S155" s="26" t="str">
        <f t="shared" si="13"/>
        <v/>
      </c>
      <c r="T155" s="26" t="str">
        <f t="shared" si="14"/>
        <v/>
      </c>
      <c r="U155" s="26" t="str">
        <f t="shared" si="15"/>
        <v/>
      </c>
      <c r="V155" s="26" t="str">
        <f t="shared" si="16"/>
        <v/>
      </c>
      <c r="W155" s="26" t="str">
        <f t="shared" si="17"/>
        <v/>
      </c>
      <c r="X155" s="26" t="str">
        <f t="shared" si="18"/>
        <v/>
      </c>
      <c r="Y155" s="26" t="str">
        <f t="shared" si="19"/>
        <v/>
      </c>
      <c r="Z155" s="31" t="str">
        <f t="shared" si="20"/>
        <v/>
      </c>
      <c r="AA155" s="31" t="str">
        <f>IF(D155="","",IF(H155&lt;=$B$16,1,IF(H155&gt;=$B$17,$B$21,MATCH(H155,Aux_CAV!$A$2:$A$121,1))))</f>
        <v/>
      </c>
      <c r="AB155" s="31" t="str">
        <f>IF(D155="","",IF(L155&lt;=$B$16,1,IF(L155&gt;=$B$17,$B$21,MATCH(L155,Aux_CAV!$A$2:$A$121,1))))</f>
        <v/>
      </c>
      <c r="AC155" s="3" t="str">
        <f t="shared" si="21"/>
        <v/>
      </c>
    </row>
    <row r="156" ht="12.75" customHeight="1">
      <c r="A156" s="25" t="str">
        <f t="shared" si="1"/>
        <v/>
      </c>
      <c r="B156" s="29" t="str">
        <f t="array" ref="B156">IF(D156="","",IFERROR(VALUE(INDEX(Vazoes_COLAR!$A$2:$A$200,INT((ROW()-24)/12)+1)),""))</f>
        <v/>
      </c>
      <c r="C156" s="29" t="str">
        <f t="shared" si="2"/>
        <v/>
      </c>
      <c r="D156" s="26" t="str">
        <f t="array" ref="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56" s="26" t="str">
        <f t="shared" si="3"/>
        <v/>
      </c>
      <c r="F156" s="26" t="str">
        <f t="array" ref="F156">IF(D156="","",IFERROR(INDEX(Dados_Evap!$C$2:$N$15,MATCH($B$9,Dados_Evap!$A$2:$A$15,0),C156),0))</f>
        <v/>
      </c>
      <c r="G156" s="26" t="str">
        <f t="shared" si="4"/>
        <v/>
      </c>
      <c r="H156" s="26" t="str">
        <f t="shared" si="22"/>
        <v/>
      </c>
      <c r="I156" s="26" t="str">
        <f t="array" ref="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/>
      </c>
      <c r="J156" s="26" t="str">
        <f t="shared" si="5"/>
        <v/>
      </c>
      <c r="K156" s="26" t="str">
        <f t="shared" si="6"/>
        <v/>
      </c>
      <c r="L156" s="26" t="str">
        <f t="shared" si="7"/>
        <v/>
      </c>
      <c r="M156" s="26" t="str">
        <f t="array" ref="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/>
      </c>
      <c r="N156" s="26" t="str">
        <f t="shared" si="8"/>
        <v/>
      </c>
      <c r="O156" s="26" t="str">
        <f t="shared" si="9"/>
        <v/>
      </c>
      <c r="P156" s="26" t="str">
        <f t="shared" si="10"/>
        <v/>
      </c>
      <c r="Q156" s="26" t="str">
        <f t="shared" si="11"/>
        <v/>
      </c>
      <c r="R156" s="26" t="str">
        <f t="shared" si="12"/>
        <v/>
      </c>
      <c r="S156" s="26" t="str">
        <f t="shared" si="13"/>
        <v/>
      </c>
      <c r="T156" s="26" t="str">
        <f t="shared" si="14"/>
        <v/>
      </c>
      <c r="U156" s="26" t="str">
        <f t="shared" si="15"/>
        <v/>
      </c>
      <c r="V156" s="26" t="str">
        <f t="shared" si="16"/>
        <v/>
      </c>
      <c r="W156" s="26" t="str">
        <f t="shared" si="17"/>
        <v/>
      </c>
      <c r="X156" s="26" t="str">
        <f t="shared" si="18"/>
        <v/>
      </c>
      <c r="Y156" s="26" t="str">
        <f t="shared" si="19"/>
        <v/>
      </c>
      <c r="Z156" s="31" t="str">
        <f t="shared" si="20"/>
        <v/>
      </c>
      <c r="AA156" s="31" t="str">
        <f>IF(D156="","",IF(H156&lt;=$B$16,1,IF(H156&gt;=$B$17,$B$21,MATCH(H156,Aux_CAV!$A$2:$A$121,1))))</f>
        <v/>
      </c>
      <c r="AB156" s="31" t="str">
        <f>IF(D156="","",IF(L156&lt;=$B$16,1,IF(L156&gt;=$B$17,$B$21,MATCH(L156,Aux_CAV!$A$2:$A$121,1))))</f>
        <v/>
      </c>
      <c r="AC156" s="3" t="str">
        <f t="shared" si="21"/>
        <v/>
      </c>
    </row>
    <row r="157" ht="12.75" customHeight="1">
      <c r="A157" s="25" t="str">
        <f t="shared" si="1"/>
        <v/>
      </c>
      <c r="B157" s="29" t="str">
        <f t="array" ref="B157">IF(D157="","",IFERROR(VALUE(INDEX(Vazoes_COLAR!$A$2:$A$200,INT((ROW()-24)/12)+1)),""))</f>
        <v/>
      </c>
      <c r="C157" s="29" t="str">
        <f t="shared" si="2"/>
        <v/>
      </c>
      <c r="D157" s="26" t="str">
        <f t="array" ref="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57" s="26" t="str">
        <f t="shared" si="3"/>
        <v/>
      </c>
      <c r="F157" s="26" t="str">
        <f t="array" ref="F157">IF(D157="","",IFERROR(INDEX(Dados_Evap!$C$2:$N$15,MATCH($B$9,Dados_Evap!$A$2:$A$15,0),C157),0))</f>
        <v/>
      </c>
      <c r="G157" s="26" t="str">
        <f t="shared" si="4"/>
        <v/>
      </c>
      <c r="H157" s="26" t="str">
        <f t="shared" si="22"/>
        <v/>
      </c>
      <c r="I157" s="26" t="str">
        <f t="array" ref="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/>
      </c>
      <c r="J157" s="26" t="str">
        <f t="shared" si="5"/>
        <v/>
      </c>
      <c r="K157" s="26" t="str">
        <f t="shared" si="6"/>
        <v/>
      </c>
      <c r="L157" s="26" t="str">
        <f t="shared" si="7"/>
        <v/>
      </c>
      <c r="M157" s="26" t="str">
        <f t="array" ref="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/>
      </c>
      <c r="N157" s="26" t="str">
        <f t="shared" si="8"/>
        <v/>
      </c>
      <c r="O157" s="26" t="str">
        <f t="shared" si="9"/>
        <v/>
      </c>
      <c r="P157" s="26" t="str">
        <f t="shared" si="10"/>
        <v/>
      </c>
      <c r="Q157" s="26" t="str">
        <f t="shared" si="11"/>
        <v/>
      </c>
      <c r="R157" s="26" t="str">
        <f t="shared" si="12"/>
        <v/>
      </c>
      <c r="S157" s="26" t="str">
        <f t="shared" si="13"/>
        <v/>
      </c>
      <c r="T157" s="26" t="str">
        <f t="shared" si="14"/>
        <v/>
      </c>
      <c r="U157" s="26" t="str">
        <f t="shared" si="15"/>
        <v/>
      </c>
      <c r="V157" s="26" t="str">
        <f t="shared" si="16"/>
        <v/>
      </c>
      <c r="W157" s="26" t="str">
        <f t="shared" si="17"/>
        <v/>
      </c>
      <c r="X157" s="26" t="str">
        <f t="shared" si="18"/>
        <v/>
      </c>
      <c r="Y157" s="26" t="str">
        <f t="shared" si="19"/>
        <v/>
      </c>
      <c r="Z157" s="31" t="str">
        <f t="shared" si="20"/>
        <v/>
      </c>
      <c r="AA157" s="31" t="str">
        <f>IF(D157="","",IF(H157&lt;=$B$16,1,IF(H157&gt;=$B$17,$B$21,MATCH(H157,Aux_CAV!$A$2:$A$121,1))))</f>
        <v/>
      </c>
      <c r="AB157" s="31" t="str">
        <f>IF(D157="","",IF(L157&lt;=$B$16,1,IF(L157&gt;=$B$17,$B$21,MATCH(L157,Aux_CAV!$A$2:$A$121,1))))</f>
        <v/>
      </c>
      <c r="AC157" s="3" t="str">
        <f t="shared" si="21"/>
        <v/>
      </c>
    </row>
    <row r="158" ht="12.75" customHeight="1">
      <c r="A158" s="25" t="str">
        <f t="shared" si="1"/>
        <v/>
      </c>
      <c r="B158" s="29" t="str">
        <f t="array" ref="B158">IF(D158="","",IFERROR(VALUE(INDEX(Vazoes_COLAR!$A$2:$A$200,INT((ROW()-24)/12)+1)),""))</f>
        <v/>
      </c>
      <c r="C158" s="29" t="str">
        <f t="shared" si="2"/>
        <v/>
      </c>
      <c r="D158" s="26" t="str">
        <f t="array" ref="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58" s="26" t="str">
        <f t="shared" si="3"/>
        <v/>
      </c>
      <c r="F158" s="26" t="str">
        <f t="array" ref="F158">IF(D158="","",IFERROR(INDEX(Dados_Evap!$C$2:$N$15,MATCH($B$9,Dados_Evap!$A$2:$A$15,0),C158),0))</f>
        <v/>
      </c>
      <c r="G158" s="26" t="str">
        <f t="shared" si="4"/>
        <v/>
      </c>
      <c r="H158" s="26" t="str">
        <f t="shared" si="22"/>
        <v/>
      </c>
      <c r="I158" s="26" t="str">
        <f t="array" ref="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/>
      </c>
      <c r="J158" s="26" t="str">
        <f t="shared" si="5"/>
        <v/>
      </c>
      <c r="K158" s="26" t="str">
        <f t="shared" si="6"/>
        <v/>
      </c>
      <c r="L158" s="26" t="str">
        <f t="shared" si="7"/>
        <v/>
      </c>
      <c r="M158" s="26" t="str">
        <f t="array" ref="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/>
      </c>
      <c r="N158" s="26" t="str">
        <f t="shared" si="8"/>
        <v/>
      </c>
      <c r="O158" s="26" t="str">
        <f t="shared" si="9"/>
        <v/>
      </c>
      <c r="P158" s="26" t="str">
        <f t="shared" si="10"/>
        <v/>
      </c>
      <c r="Q158" s="26" t="str">
        <f t="shared" si="11"/>
        <v/>
      </c>
      <c r="R158" s="26" t="str">
        <f t="shared" si="12"/>
        <v/>
      </c>
      <c r="S158" s="26" t="str">
        <f t="shared" si="13"/>
        <v/>
      </c>
      <c r="T158" s="26" t="str">
        <f t="shared" si="14"/>
        <v/>
      </c>
      <c r="U158" s="26" t="str">
        <f t="shared" si="15"/>
        <v/>
      </c>
      <c r="V158" s="26" t="str">
        <f t="shared" si="16"/>
        <v/>
      </c>
      <c r="W158" s="26" t="str">
        <f t="shared" si="17"/>
        <v/>
      </c>
      <c r="X158" s="26" t="str">
        <f t="shared" si="18"/>
        <v/>
      </c>
      <c r="Y158" s="26" t="str">
        <f t="shared" si="19"/>
        <v/>
      </c>
      <c r="Z158" s="31" t="str">
        <f t="shared" si="20"/>
        <v/>
      </c>
      <c r="AA158" s="31" t="str">
        <f>IF(D158="","",IF(H158&lt;=$B$16,1,IF(H158&gt;=$B$17,$B$21,MATCH(H158,Aux_CAV!$A$2:$A$121,1))))</f>
        <v/>
      </c>
      <c r="AB158" s="31" t="str">
        <f>IF(D158="","",IF(L158&lt;=$B$16,1,IF(L158&gt;=$B$17,$B$21,MATCH(L158,Aux_CAV!$A$2:$A$121,1))))</f>
        <v/>
      </c>
      <c r="AC158" s="3" t="str">
        <f t="shared" si="21"/>
        <v/>
      </c>
    </row>
    <row r="159" ht="12.75" customHeight="1">
      <c r="A159" s="25" t="str">
        <f t="shared" si="1"/>
        <v/>
      </c>
      <c r="B159" s="29" t="str">
        <f t="array" ref="B159">IF(D159="","",IFERROR(VALUE(INDEX(Vazoes_COLAR!$A$2:$A$200,INT((ROW()-24)/12)+1)),""))</f>
        <v/>
      </c>
      <c r="C159" s="29" t="str">
        <f t="shared" si="2"/>
        <v/>
      </c>
      <c r="D159" s="26" t="str">
        <f t="array" ref="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59" s="26" t="str">
        <f t="shared" si="3"/>
        <v/>
      </c>
      <c r="F159" s="26" t="str">
        <f t="array" ref="F159">IF(D159="","",IFERROR(INDEX(Dados_Evap!$C$2:$N$15,MATCH($B$9,Dados_Evap!$A$2:$A$15,0),C159),0))</f>
        <v/>
      </c>
      <c r="G159" s="26" t="str">
        <f t="shared" si="4"/>
        <v/>
      </c>
      <c r="H159" s="26" t="str">
        <f t="shared" si="22"/>
        <v/>
      </c>
      <c r="I159" s="26" t="str">
        <f t="array" ref="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/>
      </c>
      <c r="J159" s="26" t="str">
        <f t="shared" si="5"/>
        <v/>
      </c>
      <c r="K159" s="26" t="str">
        <f t="shared" si="6"/>
        <v/>
      </c>
      <c r="L159" s="26" t="str">
        <f t="shared" si="7"/>
        <v/>
      </c>
      <c r="M159" s="26" t="str">
        <f t="array" ref="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/>
      </c>
      <c r="N159" s="26" t="str">
        <f t="shared" si="8"/>
        <v/>
      </c>
      <c r="O159" s="26" t="str">
        <f t="shared" si="9"/>
        <v/>
      </c>
      <c r="P159" s="26" t="str">
        <f t="shared" si="10"/>
        <v/>
      </c>
      <c r="Q159" s="26" t="str">
        <f t="shared" si="11"/>
        <v/>
      </c>
      <c r="R159" s="26" t="str">
        <f t="shared" si="12"/>
        <v/>
      </c>
      <c r="S159" s="26" t="str">
        <f t="shared" si="13"/>
        <v/>
      </c>
      <c r="T159" s="26" t="str">
        <f t="shared" si="14"/>
        <v/>
      </c>
      <c r="U159" s="26" t="str">
        <f t="shared" si="15"/>
        <v/>
      </c>
      <c r="V159" s="26" t="str">
        <f t="shared" si="16"/>
        <v/>
      </c>
      <c r="W159" s="26" t="str">
        <f t="shared" si="17"/>
        <v/>
      </c>
      <c r="X159" s="26" t="str">
        <f t="shared" si="18"/>
        <v/>
      </c>
      <c r="Y159" s="26" t="str">
        <f t="shared" si="19"/>
        <v/>
      </c>
      <c r="Z159" s="31" t="str">
        <f t="shared" si="20"/>
        <v/>
      </c>
      <c r="AA159" s="31" t="str">
        <f>IF(D159="","",IF(H159&lt;=$B$16,1,IF(H159&gt;=$B$17,$B$21,MATCH(H159,Aux_CAV!$A$2:$A$121,1))))</f>
        <v/>
      </c>
      <c r="AB159" s="31" t="str">
        <f>IF(D159="","",IF(L159&lt;=$B$16,1,IF(L159&gt;=$B$17,$B$21,MATCH(L159,Aux_CAV!$A$2:$A$121,1))))</f>
        <v/>
      </c>
      <c r="AC159" s="3" t="str">
        <f t="shared" si="21"/>
        <v/>
      </c>
    </row>
    <row r="160" ht="12.75" customHeight="1">
      <c r="A160" s="25" t="str">
        <f t="shared" si="1"/>
        <v/>
      </c>
      <c r="B160" s="29" t="str">
        <f t="array" ref="B160">IF(D160="","",IFERROR(VALUE(INDEX(Vazoes_COLAR!$A$2:$A$200,INT((ROW()-24)/12)+1)),""))</f>
        <v/>
      </c>
      <c r="C160" s="29" t="str">
        <f t="shared" si="2"/>
        <v/>
      </c>
      <c r="D160" s="26" t="str">
        <f t="array" ref="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60" s="26" t="str">
        <f t="shared" si="3"/>
        <v/>
      </c>
      <c r="F160" s="26" t="str">
        <f t="array" ref="F160">IF(D160="","",IFERROR(INDEX(Dados_Evap!$C$2:$N$15,MATCH($B$9,Dados_Evap!$A$2:$A$15,0),C160),0))</f>
        <v/>
      </c>
      <c r="G160" s="26" t="str">
        <f t="shared" si="4"/>
        <v/>
      </c>
      <c r="H160" s="26" t="str">
        <f t="shared" si="22"/>
        <v/>
      </c>
      <c r="I160" s="26" t="str">
        <f t="array" ref="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/>
      </c>
      <c r="J160" s="26" t="str">
        <f t="shared" si="5"/>
        <v/>
      </c>
      <c r="K160" s="26" t="str">
        <f t="shared" si="6"/>
        <v/>
      </c>
      <c r="L160" s="26" t="str">
        <f t="shared" si="7"/>
        <v/>
      </c>
      <c r="M160" s="26" t="str">
        <f t="array" ref="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/>
      </c>
      <c r="N160" s="26" t="str">
        <f t="shared" si="8"/>
        <v/>
      </c>
      <c r="O160" s="26" t="str">
        <f t="shared" si="9"/>
        <v/>
      </c>
      <c r="P160" s="26" t="str">
        <f t="shared" si="10"/>
        <v/>
      </c>
      <c r="Q160" s="26" t="str">
        <f t="shared" si="11"/>
        <v/>
      </c>
      <c r="R160" s="26" t="str">
        <f t="shared" si="12"/>
        <v/>
      </c>
      <c r="S160" s="26" t="str">
        <f t="shared" si="13"/>
        <v/>
      </c>
      <c r="T160" s="26" t="str">
        <f t="shared" si="14"/>
        <v/>
      </c>
      <c r="U160" s="26" t="str">
        <f t="shared" si="15"/>
        <v/>
      </c>
      <c r="V160" s="26" t="str">
        <f t="shared" si="16"/>
        <v/>
      </c>
      <c r="W160" s="26" t="str">
        <f t="shared" si="17"/>
        <v/>
      </c>
      <c r="X160" s="26" t="str">
        <f t="shared" si="18"/>
        <v/>
      </c>
      <c r="Y160" s="26" t="str">
        <f t="shared" si="19"/>
        <v/>
      </c>
      <c r="Z160" s="31" t="str">
        <f t="shared" si="20"/>
        <v/>
      </c>
      <c r="AA160" s="31" t="str">
        <f>IF(D160="","",IF(H160&lt;=$B$16,1,IF(H160&gt;=$B$17,$B$21,MATCH(H160,Aux_CAV!$A$2:$A$121,1))))</f>
        <v/>
      </c>
      <c r="AB160" s="31" t="str">
        <f>IF(D160="","",IF(L160&lt;=$B$16,1,IF(L160&gt;=$B$17,$B$21,MATCH(L160,Aux_CAV!$A$2:$A$121,1))))</f>
        <v/>
      </c>
      <c r="AC160" s="3" t="str">
        <f t="shared" si="21"/>
        <v/>
      </c>
    </row>
    <row r="161" ht="12.75" customHeight="1">
      <c r="A161" s="25" t="str">
        <f t="shared" si="1"/>
        <v/>
      </c>
      <c r="B161" s="29" t="str">
        <f t="array" ref="B161">IF(D161="","",IFERROR(VALUE(INDEX(Vazoes_COLAR!$A$2:$A$200,INT((ROW()-24)/12)+1)),""))</f>
        <v/>
      </c>
      <c r="C161" s="29" t="str">
        <f t="shared" si="2"/>
        <v/>
      </c>
      <c r="D161" s="26" t="str">
        <f t="array" ref="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61" s="26" t="str">
        <f t="shared" si="3"/>
        <v/>
      </c>
      <c r="F161" s="26" t="str">
        <f t="array" ref="F161">IF(D161="","",IFERROR(INDEX(Dados_Evap!$C$2:$N$15,MATCH($B$9,Dados_Evap!$A$2:$A$15,0),C161),0))</f>
        <v/>
      </c>
      <c r="G161" s="26" t="str">
        <f t="shared" si="4"/>
        <v/>
      </c>
      <c r="H161" s="26" t="str">
        <f t="shared" si="22"/>
        <v/>
      </c>
      <c r="I161" s="26" t="str">
        <f t="array" ref="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/>
      </c>
      <c r="J161" s="26" t="str">
        <f t="shared" si="5"/>
        <v/>
      </c>
      <c r="K161" s="26" t="str">
        <f t="shared" si="6"/>
        <v/>
      </c>
      <c r="L161" s="26" t="str">
        <f t="shared" si="7"/>
        <v/>
      </c>
      <c r="M161" s="26" t="str">
        <f t="array" ref="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/>
      </c>
      <c r="N161" s="26" t="str">
        <f t="shared" si="8"/>
        <v/>
      </c>
      <c r="O161" s="26" t="str">
        <f t="shared" si="9"/>
        <v/>
      </c>
      <c r="P161" s="26" t="str">
        <f t="shared" si="10"/>
        <v/>
      </c>
      <c r="Q161" s="26" t="str">
        <f t="shared" si="11"/>
        <v/>
      </c>
      <c r="R161" s="26" t="str">
        <f t="shared" si="12"/>
        <v/>
      </c>
      <c r="S161" s="26" t="str">
        <f t="shared" si="13"/>
        <v/>
      </c>
      <c r="T161" s="26" t="str">
        <f t="shared" si="14"/>
        <v/>
      </c>
      <c r="U161" s="26" t="str">
        <f t="shared" si="15"/>
        <v/>
      </c>
      <c r="V161" s="26" t="str">
        <f t="shared" si="16"/>
        <v/>
      </c>
      <c r="W161" s="26" t="str">
        <f t="shared" si="17"/>
        <v/>
      </c>
      <c r="X161" s="26" t="str">
        <f t="shared" si="18"/>
        <v/>
      </c>
      <c r="Y161" s="26" t="str">
        <f t="shared" si="19"/>
        <v/>
      </c>
      <c r="Z161" s="31" t="str">
        <f t="shared" si="20"/>
        <v/>
      </c>
      <c r="AA161" s="31" t="str">
        <f>IF(D161="","",IF(H161&lt;=$B$16,1,IF(H161&gt;=$B$17,$B$21,MATCH(H161,Aux_CAV!$A$2:$A$121,1))))</f>
        <v/>
      </c>
      <c r="AB161" s="31" t="str">
        <f>IF(D161="","",IF(L161&lt;=$B$16,1,IF(L161&gt;=$B$17,$B$21,MATCH(L161,Aux_CAV!$A$2:$A$121,1))))</f>
        <v/>
      </c>
      <c r="AC161" s="3" t="str">
        <f t="shared" si="21"/>
        <v/>
      </c>
    </row>
    <row r="162" ht="12.75" customHeight="1">
      <c r="A162" s="25" t="str">
        <f t="shared" si="1"/>
        <v/>
      </c>
      <c r="B162" s="29" t="str">
        <f t="array" ref="B162">IF(D162="","",IFERROR(VALUE(INDEX(Vazoes_COLAR!$A$2:$A$200,INT((ROW()-24)/12)+1)),""))</f>
        <v/>
      </c>
      <c r="C162" s="29" t="str">
        <f t="shared" si="2"/>
        <v/>
      </c>
      <c r="D162" s="26" t="str">
        <f t="array" ref="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62" s="26" t="str">
        <f t="shared" si="3"/>
        <v/>
      </c>
      <c r="F162" s="26" t="str">
        <f t="array" ref="F162">IF(D162="","",IFERROR(INDEX(Dados_Evap!$C$2:$N$15,MATCH($B$9,Dados_Evap!$A$2:$A$15,0),C162),0))</f>
        <v/>
      </c>
      <c r="G162" s="26" t="str">
        <f t="shared" si="4"/>
        <v/>
      </c>
      <c r="H162" s="26" t="str">
        <f t="shared" si="22"/>
        <v/>
      </c>
      <c r="I162" s="26" t="str">
        <f t="array" ref="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/>
      </c>
      <c r="J162" s="26" t="str">
        <f t="shared" si="5"/>
        <v/>
      </c>
      <c r="K162" s="26" t="str">
        <f t="shared" si="6"/>
        <v/>
      </c>
      <c r="L162" s="26" t="str">
        <f t="shared" si="7"/>
        <v/>
      </c>
      <c r="M162" s="26" t="str">
        <f t="array" ref="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/>
      </c>
      <c r="N162" s="26" t="str">
        <f t="shared" si="8"/>
        <v/>
      </c>
      <c r="O162" s="26" t="str">
        <f t="shared" si="9"/>
        <v/>
      </c>
      <c r="P162" s="26" t="str">
        <f t="shared" si="10"/>
        <v/>
      </c>
      <c r="Q162" s="26" t="str">
        <f t="shared" si="11"/>
        <v/>
      </c>
      <c r="R162" s="26" t="str">
        <f t="shared" si="12"/>
        <v/>
      </c>
      <c r="S162" s="26" t="str">
        <f t="shared" si="13"/>
        <v/>
      </c>
      <c r="T162" s="26" t="str">
        <f t="shared" si="14"/>
        <v/>
      </c>
      <c r="U162" s="26" t="str">
        <f t="shared" si="15"/>
        <v/>
      </c>
      <c r="V162" s="26" t="str">
        <f t="shared" si="16"/>
        <v/>
      </c>
      <c r="W162" s="26" t="str">
        <f t="shared" si="17"/>
        <v/>
      </c>
      <c r="X162" s="26" t="str">
        <f t="shared" si="18"/>
        <v/>
      </c>
      <c r="Y162" s="26" t="str">
        <f t="shared" si="19"/>
        <v/>
      </c>
      <c r="Z162" s="31" t="str">
        <f t="shared" si="20"/>
        <v/>
      </c>
      <c r="AA162" s="31" t="str">
        <f>IF(D162="","",IF(H162&lt;=$B$16,1,IF(H162&gt;=$B$17,$B$21,MATCH(H162,Aux_CAV!$A$2:$A$121,1))))</f>
        <v/>
      </c>
      <c r="AB162" s="31" t="str">
        <f>IF(D162="","",IF(L162&lt;=$B$16,1,IF(L162&gt;=$B$17,$B$21,MATCH(L162,Aux_CAV!$A$2:$A$121,1))))</f>
        <v/>
      </c>
      <c r="AC162" s="3" t="str">
        <f t="shared" si="21"/>
        <v/>
      </c>
    </row>
    <row r="163" ht="12.75" customHeight="1">
      <c r="A163" s="25" t="str">
        <f t="shared" si="1"/>
        <v/>
      </c>
      <c r="B163" s="29" t="str">
        <f t="array" ref="B163">IF(D163="","",IFERROR(VALUE(INDEX(Vazoes_COLAR!$A$2:$A$200,INT((ROW()-24)/12)+1)),""))</f>
        <v/>
      </c>
      <c r="C163" s="29" t="str">
        <f t="shared" si="2"/>
        <v/>
      </c>
      <c r="D163" s="26" t="str">
        <f t="array" ref="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63" s="26" t="str">
        <f t="shared" si="3"/>
        <v/>
      </c>
      <c r="F163" s="26" t="str">
        <f t="array" ref="F163">IF(D163="","",IFERROR(INDEX(Dados_Evap!$C$2:$N$15,MATCH($B$9,Dados_Evap!$A$2:$A$15,0),C163),0))</f>
        <v/>
      </c>
      <c r="G163" s="26" t="str">
        <f t="shared" si="4"/>
        <v/>
      </c>
      <c r="H163" s="26" t="str">
        <f t="shared" si="22"/>
        <v/>
      </c>
      <c r="I163" s="26" t="str">
        <f t="array" ref="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/>
      </c>
      <c r="J163" s="26" t="str">
        <f t="shared" si="5"/>
        <v/>
      </c>
      <c r="K163" s="26" t="str">
        <f t="shared" si="6"/>
        <v/>
      </c>
      <c r="L163" s="26" t="str">
        <f t="shared" si="7"/>
        <v/>
      </c>
      <c r="M163" s="26" t="str">
        <f t="array" ref="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/>
      </c>
      <c r="N163" s="26" t="str">
        <f t="shared" si="8"/>
        <v/>
      </c>
      <c r="O163" s="26" t="str">
        <f t="shared" si="9"/>
        <v/>
      </c>
      <c r="P163" s="26" t="str">
        <f t="shared" si="10"/>
        <v/>
      </c>
      <c r="Q163" s="26" t="str">
        <f t="shared" si="11"/>
        <v/>
      </c>
      <c r="R163" s="26" t="str">
        <f t="shared" si="12"/>
        <v/>
      </c>
      <c r="S163" s="26" t="str">
        <f t="shared" si="13"/>
        <v/>
      </c>
      <c r="T163" s="26" t="str">
        <f t="shared" si="14"/>
        <v/>
      </c>
      <c r="U163" s="26" t="str">
        <f t="shared" si="15"/>
        <v/>
      </c>
      <c r="V163" s="26" t="str">
        <f t="shared" si="16"/>
        <v/>
      </c>
      <c r="W163" s="26" t="str">
        <f t="shared" si="17"/>
        <v/>
      </c>
      <c r="X163" s="26" t="str">
        <f t="shared" si="18"/>
        <v/>
      </c>
      <c r="Y163" s="26" t="str">
        <f t="shared" si="19"/>
        <v/>
      </c>
      <c r="Z163" s="31" t="str">
        <f t="shared" si="20"/>
        <v/>
      </c>
      <c r="AA163" s="31" t="str">
        <f>IF(D163="","",IF(H163&lt;=$B$16,1,IF(H163&gt;=$B$17,$B$21,MATCH(H163,Aux_CAV!$A$2:$A$121,1))))</f>
        <v/>
      </c>
      <c r="AB163" s="31" t="str">
        <f>IF(D163="","",IF(L163&lt;=$B$16,1,IF(L163&gt;=$B$17,$B$21,MATCH(L163,Aux_CAV!$A$2:$A$121,1))))</f>
        <v/>
      </c>
      <c r="AC163" s="3" t="str">
        <f t="shared" si="21"/>
        <v/>
      </c>
    </row>
    <row r="164" ht="12.75" customHeight="1">
      <c r="A164" s="25" t="str">
        <f t="shared" si="1"/>
        <v/>
      </c>
      <c r="B164" s="29" t="str">
        <f t="array" ref="B164">IF(D164="","",IFERROR(VALUE(INDEX(Vazoes_COLAR!$A$2:$A$200,INT((ROW()-24)/12)+1)),""))</f>
        <v/>
      </c>
      <c r="C164" s="29" t="str">
        <f t="shared" si="2"/>
        <v/>
      </c>
      <c r="D164" s="26" t="str">
        <f t="array" ref="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64" s="26" t="str">
        <f t="shared" si="3"/>
        <v/>
      </c>
      <c r="F164" s="26" t="str">
        <f t="array" ref="F164">IF(D164="","",IFERROR(INDEX(Dados_Evap!$C$2:$N$15,MATCH($B$9,Dados_Evap!$A$2:$A$15,0),C164),0))</f>
        <v/>
      </c>
      <c r="G164" s="26" t="str">
        <f t="shared" si="4"/>
        <v/>
      </c>
      <c r="H164" s="26" t="str">
        <f t="shared" si="22"/>
        <v/>
      </c>
      <c r="I164" s="26" t="str">
        <f t="array" ref="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/>
      </c>
      <c r="J164" s="26" t="str">
        <f t="shared" si="5"/>
        <v/>
      </c>
      <c r="K164" s="26" t="str">
        <f t="shared" si="6"/>
        <v/>
      </c>
      <c r="L164" s="26" t="str">
        <f t="shared" si="7"/>
        <v/>
      </c>
      <c r="M164" s="26" t="str">
        <f t="array" ref="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/>
      </c>
      <c r="N164" s="26" t="str">
        <f t="shared" si="8"/>
        <v/>
      </c>
      <c r="O164" s="26" t="str">
        <f t="shared" si="9"/>
        <v/>
      </c>
      <c r="P164" s="26" t="str">
        <f t="shared" si="10"/>
        <v/>
      </c>
      <c r="Q164" s="26" t="str">
        <f t="shared" si="11"/>
        <v/>
      </c>
      <c r="R164" s="26" t="str">
        <f t="shared" si="12"/>
        <v/>
      </c>
      <c r="S164" s="26" t="str">
        <f t="shared" si="13"/>
        <v/>
      </c>
      <c r="T164" s="26" t="str">
        <f t="shared" si="14"/>
        <v/>
      </c>
      <c r="U164" s="26" t="str">
        <f t="shared" si="15"/>
        <v/>
      </c>
      <c r="V164" s="26" t="str">
        <f t="shared" si="16"/>
        <v/>
      </c>
      <c r="W164" s="26" t="str">
        <f t="shared" si="17"/>
        <v/>
      </c>
      <c r="X164" s="26" t="str">
        <f t="shared" si="18"/>
        <v/>
      </c>
      <c r="Y164" s="26" t="str">
        <f t="shared" si="19"/>
        <v/>
      </c>
      <c r="Z164" s="31" t="str">
        <f t="shared" si="20"/>
        <v/>
      </c>
      <c r="AA164" s="31" t="str">
        <f>IF(D164="","",IF(H164&lt;=$B$16,1,IF(H164&gt;=$B$17,$B$21,MATCH(H164,Aux_CAV!$A$2:$A$121,1))))</f>
        <v/>
      </c>
      <c r="AB164" s="31" t="str">
        <f>IF(D164="","",IF(L164&lt;=$B$16,1,IF(L164&gt;=$B$17,$B$21,MATCH(L164,Aux_CAV!$A$2:$A$121,1))))</f>
        <v/>
      </c>
      <c r="AC164" s="3" t="str">
        <f t="shared" si="21"/>
        <v/>
      </c>
    </row>
    <row r="165" ht="12.75" customHeight="1">
      <c r="A165" s="25" t="str">
        <f t="shared" si="1"/>
        <v/>
      </c>
      <c r="B165" s="29" t="str">
        <f t="array" ref="B165">IF(D165="","",IFERROR(VALUE(INDEX(Vazoes_COLAR!$A$2:$A$200,INT((ROW()-24)/12)+1)),""))</f>
        <v/>
      </c>
      <c r="C165" s="29" t="str">
        <f t="shared" si="2"/>
        <v/>
      </c>
      <c r="D165" s="26" t="str">
        <f t="array" ref="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65" s="26" t="str">
        <f t="shared" si="3"/>
        <v/>
      </c>
      <c r="F165" s="26" t="str">
        <f t="array" ref="F165">IF(D165="","",IFERROR(INDEX(Dados_Evap!$C$2:$N$15,MATCH($B$9,Dados_Evap!$A$2:$A$15,0),C165),0))</f>
        <v/>
      </c>
      <c r="G165" s="26" t="str">
        <f t="shared" si="4"/>
        <v/>
      </c>
      <c r="H165" s="26" t="str">
        <f t="shared" si="22"/>
        <v/>
      </c>
      <c r="I165" s="26" t="str">
        <f t="array" ref="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/>
      </c>
      <c r="J165" s="26" t="str">
        <f t="shared" si="5"/>
        <v/>
      </c>
      <c r="K165" s="26" t="str">
        <f t="shared" si="6"/>
        <v/>
      </c>
      <c r="L165" s="26" t="str">
        <f t="shared" si="7"/>
        <v/>
      </c>
      <c r="M165" s="26" t="str">
        <f t="array" ref="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/>
      </c>
      <c r="N165" s="26" t="str">
        <f t="shared" si="8"/>
        <v/>
      </c>
      <c r="O165" s="26" t="str">
        <f t="shared" si="9"/>
        <v/>
      </c>
      <c r="P165" s="26" t="str">
        <f t="shared" si="10"/>
        <v/>
      </c>
      <c r="Q165" s="26" t="str">
        <f t="shared" si="11"/>
        <v/>
      </c>
      <c r="R165" s="26" t="str">
        <f t="shared" si="12"/>
        <v/>
      </c>
      <c r="S165" s="26" t="str">
        <f t="shared" si="13"/>
        <v/>
      </c>
      <c r="T165" s="26" t="str">
        <f t="shared" si="14"/>
        <v/>
      </c>
      <c r="U165" s="26" t="str">
        <f t="shared" si="15"/>
        <v/>
      </c>
      <c r="V165" s="26" t="str">
        <f t="shared" si="16"/>
        <v/>
      </c>
      <c r="W165" s="26" t="str">
        <f t="shared" si="17"/>
        <v/>
      </c>
      <c r="X165" s="26" t="str">
        <f t="shared" si="18"/>
        <v/>
      </c>
      <c r="Y165" s="26" t="str">
        <f t="shared" si="19"/>
        <v/>
      </c>
      <c r="Z165" s="31" t="str">
        <f t="shared" si="20"/>
        <v/>
      </c>
      <c r="AA165" s="31" t="str">
        <f>IF(D165="","",IF(H165&lt;=$B$16,1,IF(H165&gt;=$B$17,$B$21,MATCH(H165,Aux_CAV!$A$2:$A$121,1))))</f>
        <v/>
      </c>
      <c r="AB165" s="31" t="str">
        <f>IF(D165="","",IF(L165&lt;=$B$16,1,IF(L165&gt;=$B$17,$B$21,MATCH(L165,Aux_CAV!$A$2:$A$121,1))))</f>
        <v/>
      </c>
      <c r="AC165" s="3" t="str">
        <f t="shared" si="21"/>
        <v/>
      </c>
    </row>
    <row r="166" ht="12.75" customHeight="1">
      <c r="A166" s="25" t="str">
        <f t="shared" si="1"/>
        <v/>
      </c>
      <c r="B166" s="29" t="str">
        <f t="array" ref="B166">IF(D166="","",IFERROR(VALUE(INDEX(Vazoes_COLAR!$A$2:$A$200,INT((ROW()-24)/12)+1)),""))</f>
        <v/>
      </c>
      <c r="C166" s="29" t="str">
        <f t="shared" si="2"/>
        <v/>
      </c>
      <c r="D166" s="26" t="str">
        <f t="array" ref="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66" s="26" t="str">
        <f t="shared" si="3"/>
        <v/>
      </c>
      <c r="F166" s="26" t="str">
        <f t="array" ref="F166">IF(D166="","",IFERROR(INDEX(Dados_Evap!$C$2:$N$15,MATCH($B$9,Dados_Evap!$A$2:$A$15,0),C166),0))</f>
        <v/>
      </c>
      <c r="G166" s="26" t="str">
        <f t="shared" si="4"/>
        <v/>
      </c>
      <c r="H166" s="26" t="str">
        <f t="shared" si="22"/>
        <v/>
      </c>
      <c r="I166" s="26" t="str">
        <f t="array" ref="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/>
      </c>
      <c r="J166" s="26" t="str">
        <f t="shared" si="5"/>
        <v/>
      </c>
      <c r="K166" s="26" t="str">
        <f t="shared" si="6"/>
        <v/>
      </c>
      <c r="L166" s="26" t="str">
        <f t="shared" si="7"/>
        <v/>
      </c>
      <c r="M166" s="26" t="str">
        <f t="array" ref="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/>
      </c>
      <c r="N166" s="26" t="str">
        <f t="shared" si="8"/>
        <v/>
      </c>
      <c r="O166" s="26" t="str">
        <f t="shared" si="9"/>
        <v/>
      </c>
      <c r="P166" s="26" t="str">
        <f t="shared" si="10"/>
        <v/>
      </c>
      <c r="Q166" s="26" t="str">
        <f t="shared" si="11"/>
        <v/>
      </c>
      <c r="R166" s="26" t="str">
        <f t="shared" si="12"/>
        <v/>
      </c>
      <c r="S166" s="26" t="str">
        <f t="shared" si="13"/>
        <v/>
      </c>
      <c r="T166" s="26" t="str">
        <f t="shared" si="14"/>
        <v/>
      </c>
      <c r="U166" s="26" t="str">
        <f t="shared" si="15"/>
        <v/>
      </c>
      <c r="V166" s="26" t="str">
        <f t="shared" si="16"/>
        <v/>
      </c>
      <c r="W166" s="26" t="str">
        <f t="shared" si="17"/>
        <v/>
      </c>
      <c r="X166" s="26" t="str">
        <f t="shared" si="18"/>
        <v/>
      </c>
      <c r="Y166" s="26" t="str">
        <f t="shared" si="19"/>
        <v/>
      </c>
      <c r="Z166" s="31" t="str">
        <f t="shared" si="20"/>
        <v/>
      </c>
      <c r="AA166" s="31" t="str">
        <f>IF(D166="","",IF(H166&lt;=$B$16,1,IF(H166&gt;=$B$17,$B$21,MATCH(H166,Aux_CAV!$A$2:$A$121,1))))</f>
        <v/>
      </c>
      <c r="AB166" s="31" t="str">
        <f>IF(D166="","",IF(L166&lt;=$B$16,1,IF(L166&gt;=$B$17,$B$21,MATCH(L166,Aux_CAV!$A$2:$A$121,1))))</f>
        <v/>
      </c>
      <c r="AC166" s="3" t="str">
        <f t="shared" si="21"/>
        <v/>
      </c>
    </row>
    <row r="167" ht="12.75" customHeight="1">
      <c r="A167" s="25" t="str">
        <f t="shared" si="1"/>
        <v/>
      </c>
      <c r="B167" s="29" t="str">
        <f t="array" ref="B167">IF(D167="","",IFERROR(VALUE(INDEX(Vazoes_COLAR!$A$2:$A$200,INT((ROW()-24)/12)+1)),""))</f>
        <v/>
      </c>
      <c r="C167" s="29" t="str">
        <f t="shared" si="2"/>
        <v/>
      </c>
      <c r="D167" s="26" t="str">
        <f t="array" ref="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67" s="26" t="str">
        <f t="shared" si="3"/>
        <v/>
      </c>
      <c r="F167" s="26" t="str">
        <f t="array" ref="F167">IF(D167="","",IFERROR(INDEX(Dados_Evap!$C$2:$N$15,MATCH($B$9,Dados_Evap!$A$2:$A$15,0),C167),0))</f>
        <v/>
      </c>
      <c r="G167" s="26" t="str">
        <f t="shared" si="4"/>
        <v/>
      </c>
      <c r="H167" s="26" t="str">
        <f t="shared" si="22"/>
        <v/>
      </c>
      <c r="I167" s="26" t="str">
        <f t="array" ref="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/>
      </c>
      <c r="J167" s="26" t="str">
        <f t="shared" si="5"/>
        <v/>
      </c>
      <c r="K167" s="26" t="str">
        <f t="shared" si="6"/>
        <v/>
      </c>
      <c r="L167" s="26" t="str">
        <f t="shared" si="7"/>
        <v/>
      </c>
      <c r="M167" s="26" t="str">
        <f t="array" ref="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/>
      </c>
      <c r="N167" s="26" t="str">
        <f t="shared" si="8"/>
        <v/>
      </c>
      <c r="O167" s="26" t="str">
        <f t="shared" si="9"/>
        <v/>
      </c>
      <c r="P167" s="26" t="str">
        <f t="shared" si="10"/>
        <v/>
      </c>
      <c r="Q167" s="26" t="str">
        <f t="shared" si="11"/>
        <v/>
      </c>
      <c r="R167" s="26" t="str">
        <f t="shared" si="12"/>
        <v/>
      </c>
      <c r="S167" s="26" t="str">
        <f t="shared" si="13"/>
        <v/>
      </c>
      <c r="T167" s="26" t="str">
        <f t="shared" si="14"/>
        <v/>
      </c>
      <c r="U167" s="26" t="str">
        <f t="shared" si="15"/>
        <v/>
      </c>
      <c r="V167" s="26" t="str">
        <f t="shared" si="16"/>
        <v/>
      </c>
      <c r="W167" s="26" t="str">
        <f t="shared" si="17"/>
        <v/>
      </c>
      <c r="X167" s="26" t="str">
        <f t="shared" si="18"/>
        <v/>
      </c>
      <c r="Y167" s="26" t="str">
        <f t="shared" si="19"/>
        <v/>
      </c>
      <c r="Z167" s="31" t="str">
        <f t="shared" si="20"/>
        <v/>
      </c>
      <c r="AA167" s="31" t="str">
        <f>IF(D167="","",IF(H167&lt;=$B$16,1,IF(H167&gt;=$B$17,$B$21,MATCH(H167,Aux_CAV!$A$2:$A$121,1))))</f>
        <v/>
      </c>
      <c r="AB167" s="31" t="str">
        <f>IF(D167="","",IF(L167&lt;=$B$16,1,IF(L167&gt;=$B$17,$B$21,MATCH(L167,Aux_CAV!$A$2:$A$121,1))))</f>
        <v/>
      </c>
      <c r="AC167" s="3" t="str">
        <f t="shared" si="21"/>
        <v/>
      </c>
    </row>
    <row r="168" ht="12.75" customHeight="1">
      <c r="A168" s="25" t="str">
        <f t="shared" si="1"/>
        <v/>
      </c>
      <c r="B168" s="29" t="str">
        <f t="array" ref="B168">IF(D168="","",IFERROR(VALUE(INDEX(Vazoes_COLAR!$A$2:$A$200,INT((ROW()-24)/12)+1)),""))</f>
        <v/>
      </c>
      <c r="C168" s="29" t="str">
        <f t="shared" si="2"/>
        <v/>
      </c>
      <c r="D168" s="26" t="str">
        <f t="array" ref="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68" s="26" t="str">
        <f t="shared" si="3"/>
        <v/>
      </c>
      <c r="F168" s="26" t="str">
        <f t="array" ref="F168">IF(D168="","",IFERROR(INDEX(Dados_Evap!$C$2:$N$15,MATCH($B$9,Dados_Evap!$A$2:$A$15,0),C168),0))</f>
        <v/>
      </c>
      <c r="G168" s="26" t="str">
        <f t="shared" si="4"/>
        <v/>
      </c>
      <c r="H168" s="26" t="str">
        <f t="shared" si="22"/>
        <v/>
      </c>
      <c r="I168" s="26" t="str">
        <f t="array" ref="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/>
      </c>
      <c r="J168" s="26" t="str">
        <f t="shared" si="5"/>
        <v/>
      </c>
      <c r="K168" s="26" t="str">
        <f t="shared" si="6"/>
        <v/>
      </c>
      <c r="L168" s="26" t="str">
        <f t="shared" si="7"/>
        <v/>
      </c>
      <c r="M168" s="26" t="str">
        <f t="array" ref="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/>
      </c>
      <c r="N168" s="26" t="str">
        <f t="shared" si="8"/>
        <v/>
      </c>
      <c r="O168" s="26" t="str">
        <f t="shared" si="9"/>
        <v/>
      </c>
      <c r="P168" s="26" t="str">
        <f t="shared" si="10"/>
        <v/>
      </c>
      <c r="Q168" s="26" t="str">
        <f t="shared" si="11"/>
        <v/>
      </c>
      <c r="R168" s="26" t="str">
        <f t="shared" si="12"/>
        <v/>
      </c>
      <c r="S168" s="26" t="str">
        <f t="shared" si="13"/>
        <v/>
      </c>
      <c r="T168" s="26" t="str">
        <f t="shared" si="14"/>
        <v/>
      </c>
      <c r="U168" s="26" t="str">
        <f t="shared" si="15"/>
        <v/>
      </c>
      <c r="V168" s="26" t="str">
        <f t="shared" si="16"/>
        <v/>
      </c>
      <c r="W168" s="26" t="str">
        <f t="shared" si="17"/>
        <v/>
      </c>
      <c r="X168" s="26" t="str">
        <f t="shared" si="18"/>
        <v/>
      </c>
      <c r="Y168" s="26" t="str">
        <f t="shared" si="19"/>
        <v/>
      </c>
      <c r="Z168" s="31" t="str">
        <f t="shared" si="20"/>
        <v/>
      </c>
      <c r="AA168" s="31" t="str">
        <f>IF(D168="","",IF(H168&lt;=$B$16,1,IF(H168&gt;=$B$17,$B$21,MATCH(H168,Aux_CAV!$A$2:$A$121,1))))</f>
        <v/>
      </c>
      <c r="AB168" s="31" t="str">
        <f>IF(D168="","",IF(L168&lt;=$B$16,1,IF(L168&gt;=$B$17,$B$21,MATCH(L168,Aux_CAV!$A$2:$A$121,1))))</f>
        <v/>
      </c>
      <c r="AC168" s="3" t="str">
        <f t="shared" si="21"/>
        <v/>
      </c>
    </row>
    <row r="169" ht="12.75" customHeight="1">
      <c r="A169" s="25" t="str">
        <f t="shared" si="1"/>
        <v/>
      </c>
      <c r="B169" s="29" t="str">
        <f t="array" ref="B169">IF(D169="","",IFERROR(VALUE(INDEX(Vazoes_COLAR!$A$2:$A$200,INT((ROW()-24)/12)+1)),""))</f>
        <v/>
      </c>
      <c r="C169" s="29" t="str">
        <f t="shared" si="2"/>
        <v/>
      </c>
      <c r="D169" s="26" t="str">
        <f t="array" ref="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69" s="26" t="str">
        <f t="shared" si="3"/>
        <v/>
      </c>
      <c r="F169" s="26" t="str">
        <f t="array" ref="F169">IF(D169="","",IFERROR(INDEX(Dados_Evap!$C$2:$N$15,MATCH($B$9,Dados_Evap!$A$2:$A$15,0),C169),0))</f>
        <v/>
      </c>
      <c r="G169" s="26" t="str">
        <f t="shared" si="4"/>
        <v/>
      </c>
      <c r="H169" s="26" t="str">
        <f t="shared" si="22"/>
        <v/>
      </c>
      <c r="I169" s="26" t="str">
        <f t="array" ref="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/>
      </c>
      <c r="J169" s="26" t="str">
        <f t="shared" si="5"/>
        <v/>
      </c>
      <c r="K169" s="26" t="str">
        <f t="shared" si="6"/>
        <v/>
      </c>
      <c r="L169" s="26" t="str">
        <f t="shared" si="7"/>
        <v/>
      </c>
      <c r="M169" s="26" t="str">
        <f t="array" ref="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/>
      </c>
      <c r="N169" s="26" t="str">
        <f t="shared" si="8"/>
        <v/>
      </c>
      <c r="O169" s="26" t="str">
        <f t="shared" si="9"/>
        <v/>
      </c>
      <c r="P169" s="26" t="str">
        <f t="shared" si="10"/>
        <v/>
      </c>
      <c r="Q169" s="26" t="str">
        <f t="shared" si="11"/>
        <v/>
      </c>
      <c r="R169" s="26" t="str">
        <f t="shared" si="12"/>
        <v/>
      </c>
      <c r="S169" s="26" t="str">
        <f t="shared" si="13"/>
        <v/>
      </c>
      <c r="T169" s="26" t="str">
        <f t="shared" si="14"/>
        <v/>
      </c>
      <c r="U169" s="26" t="str">
        <f t="shared" si="15"/>
        <v/>
      </c>
      <c r="V169" s="26" t="str">
        <f t="shared" si="16"/>
        <v/>
      </c>
      <c r="W169" s="26" t="str">
        <f t="shared" si="17"/>
        <v/>
      </c>
      <c r="X169" s="26" t="str">
        <f t="shared" si="18"/>
        <v/>
      </c>
      <c r="Y169" s="26" t="str">
        <f t="shared" si="19"/>
        <v/>
      </c>
      <c r="Z169" s="31" t="str">
        <f t="shared" si="20"/>
        <v/>
      </c>
      <c r="AA169" s="31" t="str">
        <f>IF(D169="","",IF(H169&lt;=$B$16,1,IF(H169&gt;=$B$17,$B$21,MATCH(H169,Aux_CAV!$A$2:$A$121,1))))</f>
        <v/>
      </c>
      <c r="AB169" s="31" t="str">
        <f>IF(D169="","",IF(L169&lt;=$B$16,1,IF(L169&gt;=$B$17,$B$21,MATCH(L169,Aux_CAV!$A$2:$A$121,1))))</f>
        <v/>
      </c>
      <c r="AC169" s="3" t="str">
        <f t="shared" si="21"/>
        <v/>
      </c>
    </row>
    <row r="170" ht="12.75" customHeight="1">
      <c r="A170" s="25" t="str">
        <f t="shared" si="1"/>
        <v/>
      </c>
      <c r="B170" s="29" t="str">
        <f t="array" ref="B170">IF(D170="","",IFERROR(VALUE(INDEX(Vazoes_COLAR!$A$2:$A$200,INT((ROW()-24)/12)+1)),""))</f>
        <v/>
      </c>
      <c r="C170" s="29" t="str">
        <f t="shared" si="2"/>
        <v/>
      </c>
      <c r="D170" s="26" t="str">
        <f t="array" ref="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70" s="26" t="str">
        <f t="shared" si="3"/>
        <v/>
      </c>
      <c r="F170" s="26" t="str">
        <f t="array" ref="F170">IF(D170="","",IFERROR(INDEX(Dados_Evap!$C$2:$N$15,MATCH($B$9,Dados_Evap!$A$2:$A$15,0),C170),0))</f>
        <v/>
      </c>
      <c r="G170" s="26" t="str">
        <f t="shared" si="4"/>
        <v/>
      </c>
      <c r="H170" s="26" t="str">
        <f t="shared" si="22"/>
        <v/>
      </c>
      <c r="I170" s="26" t="str">
        <f t="array" ref="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/>
      </c>
      <c r="J170" s="26" t="str">
        <f t="shared" si="5"/>
        <v/>
      </c>
      <c r="K170" s="26" t="str">
        <f t="shared" si="6"/>
        <v/>
      </c>
      <c r="L170" s="26" t="str">
        <f t="shared" si="7"/>
        <v/>
      </c>
      <c r="M170" s="26" t="str">
        <f t="array" ref="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/>
      </c>
      <c r="N170" s="26" t="str">
        <f t="shared" si="8"/>
        <v/>
      </c>
      <c r="O170" s="26" t="str">
        <f t="shared" si="9"/>
        <v/>
      </c>
      <c r="P170" s="26" t="str">
        <f t="shared" si="10"/>
        <v/>
      </c>
      <c r="Q170" s="26" t="str">
        <f t="shared" si="11"/>
        <v/>
      </c>
      <c r="R170" s="26" t="str">
        <f t="shared" si="12"/>
        <v/>
      </c>
      <c r="S170" s="26" t="str">
        <f t="shared" si="13"/>
        <v/>
      </c>
      <c r="T170" s="26" t="str">
        <f t="shared" si="14"/>
        <v/>
      </c>
      <c r="U170" s="26" t="str">
        <f t="shared" si="15"/>
        <v/>
      </c>
      <c r="V170" s="26" t="str">
        <f t="shared" si="16"/>
        <v/>
      </c>
      <c r="W170" s="26" t="str">
        <f t="shared" si="17"/>
        <v/>
      </c>
      <c r="X170" s="26" t="str">
        <f t="shared" si="18"/>
        <v/>
      </c>
      <c r="Y170" s="26" t="str">
        <f t="shared" si="19"/>
        <v/>
      </c>
      <c r="Z170" s="31" t="str">
        <f t="shared" si="20"/>
        <v/>
      </c>
      <c r="AA170" s="31" t="str">
        <f>IF(D170="","",IF(H170&lt;=$B$16,1,IF(H170&gt;=$B$17,$B$21,MATCH(H170,Aux_CAV!$A$2:$A$121,1))))</f>
        <v/>
      </c>
      <c r="AB170" s="31" t="str">
        <f>IF(D170="","",IF(L170&lt;=$B$16,1,IF(L170&gt;=$B$17,$B$21,MATCH(L170,Aux_CAV!$A$2:$A$121,1))))</f>
        <v/>
      </c>
      <c r="AC170" s="3" t="str">
        <f t="shared" si="21"/>
        <v/>
      </c>
    </row>
    <row r="171" ht="12.75" customHeight="1">
      <c r="A171" s="25" t="str">
        <f t="shared" si="1"/>
        <v/>
      </c>
      <c r="B171" s="29" t="str">
        <f t="array" ref="B171">IF(D171="","",IFERROR(VALUE(INDEX(Vazoes_COLAR!$A$2:$A$200,INT((ROW()-24)/12)+1)),""))</f>
        <v/>
      </c>
      <c r="C171" s="29" t="str">
        <f t="shared" si="2"/>
        <v/>
      </c>
      <c r="D171" s="26" t="str">
        <f t="array" ref="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71" s="26" t="str">
        <f t="shared" si="3"/>
        <v/>
      </c>
      <c r="F171" s="26" t="str">
        <f t="array" ref="F171">IF(D171="","",IFERROR(INDEX(Dados_Evap!$C$2:$N$15,MATCH($B$9,Dados_Evap!$A$2:$A$15,0),C171),0))</f>
        <v/>
      </c>
      <c r="G171" s="26" t="str">
        <f t="shared" si="4"/>
        <v/>
      </c>
      <c r="H171" s="26" t="str">
        <f t="shared" si="22"/>
        <v/>
      </c>
      <c r="I171" s="26" t="str">
        <f t="array" ref="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/>
      </c>
      <c r="J171" s="26" t="str">
        <f t="shared" si="5"/>
        <v/>
      </c>
      <c r="K171" s="26" t="str">
        <f t="shared" si="6"/>
        <v/>
      </c>
      <c r="L171" s="26" t="str">
        <f t="shared" si="7"/>
        <v/>
      </c>
      <c r="M171" s="26" t="str">
        <f t="array" ref="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/>
      </c>
      <c r="N171" s="26" t="str">
        <f t="shared" si="8"/>
        <v/>
      </c>
      <c r="O171" s="26" t="str">
        <f t="shared" si="9"/>
        <v/>
      </c>
      <c r="P171" s="26" t="str">
        <f t="shared" si="10"/>
        <v/>
      </c>
      <c r="Q171" s="26" t="str">
        <f t="shared" si="11"/>
        <v/>
      </c>
      <c r="R171" s="26" t="str">
        <f t="shared" si="12"/>
        <v/>
      </c>
      <c r="S171" s="26" t="str">
        <f t="shared" si="13"/>
        <v/>
      </c>
      <c r="T171" s="26" t="str">
        <f t="shared" si="14"/>
        <v/>
      </c>
      <c r="U171" s="26" t="str">
        <f t="shared" si="15"/>
        <v/>
      </c>
      <c r="V171" s="26" t="str">
        <f t="shared" si="16"/>
        <v/>
      </c>
      <c r="W171" s="26" t="str">
        <f t="shared" si="17"/>
        <v/>
      </c>
      <c r="X171" s="26" t="str">
        <f t="shared" si="18"/>
        <v/>
      </c>
      <c r="Y171" s="26" t="str">
        <f t="shared" si="19"/>
        <v/>
      </c>
      <c r="Z171" s="31" t="str">
        <f t="shared" si="20"/>
        <v/>
      </c>
      <c r="AA171" s="31" t="str">
        <f>IF(D171="","",IF(H171&lt;=$B$16,1,IF(H171&gt;=$B$17,$B$21,MATCH(H171,Aux_CAV!$A$2:$A$121,1))))</f>
        <v/>
      </c>
      <c r="AB171" s="31" t="str">
        <f>IF(D171="","",IF(L171&lt;=$B$16,1,IF(L171&gt;=$B$17,$B$21,MATCH(L171,Aux_CAV!$A$2:$A$121,1))))</f>
        <v/>
      </c>
      <c r="AC171" s="3" t="str">
        <f t="shared" si="21"/>
        <v/>
      </c>
    </row>
    <row r="172" ht="12.75" customHeight="1">
      <c r="A172" s="25" t="str">
        <f t="shared" si="1"/>
        <v/>
      </c>
      <c r="B172" s="29" t="str">
        <f t="array" ref="B172">IF(D172="","",IFERROR(VALUE(INDEX(Vazoes_COLAR!$A$2:$A$200,INT((ROW()-24)/12)+1)),""))</f>
        <v/>
      </c>
      <c r="C172" s="29" t="str">
        <f t="shared" si="2"/>
        <v/>
      </c>
      <c r="D172" s="26" t="str">
        <f t="array" ref="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72" s="26" t="str">
        <f t="shared" si="3"/>
        <v/>
      </c>
      <c r="F172" s="26" t="str">
        <f t="array" ref="F172">IF(D172="","",IFERROR(INDEX(Dados_Evap!$C$2:$N$15,MATCH($B$9,Dados_Evap!$A$2:$A$15,0),C172),0))</f>
        <v/>
      </c>
      <c r="G172" s="26" t="str">
        <f t="shared" si="4"/>
        <v/>
      </c>
      <c r="H172" s="26" t="str">
        <f t="shared" si="22"/>
        <v/>
      </c>
      <c r="I172" s="26" t="str">
        <f t="array" ref="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/>
      </c>
      <c r="J172" s="26" t="str">
        <f t="shared" si="5"/>
        <v/>
      </c>
      <c r="K172" s="26" t="str">
        <f t="shared" si="6"/>
        <v/>
      </c>
      <c r="L172" s="26" t="str">
        <f t="shared" si="7"/>
        <v/>
      </c>
      <c r="M172" s="26" t="str">
        <f t="array" ref="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/>
      </c>
      <c r="N172" s="26" t="str">
        <f t="shared" si="8"/>
        <v/>
      </c>
      <c r="O172" s="26" t="str">
        <f t="shared" si="9"/>
        <v/>
      </c>
      <c r="P172" s="26" t="str">
        <f t="shared" si="10"/>
        <v/>
      </c>
      <c r="Q172" s="26" t="str">
        <f t="shared" si="11"/>
        <v/>
      </c>
      <c r="R172" s="26" t="str">
        <f t="shared" si="12"/>
        <v/>
      </c>
      <c r="S172" s="26" t="str">
        <f t="shared" si="13"/>
        <v/>
      </c>
      <c r="T172" s="26" t="str">
        <f t="shared" si="14"/>
        <v/>
      </c>
      <c r="U172" s="26" t="str">
        <f t="shared" si="15"/>
        <v/>
      </c>
      <c r="V172" s="26" t="str">
        <f t="shared" si="16"/>
        <v/>
      </c>
      <c r="W172" s="26" t="str">
        <f t="shared" si="17"/>
        <v/>
      </c>
      <c r="X172" s="26" t="str">
        <f t="shared" si="18"/>
        <v/>
      </c>
      <c r="Y172" s="26" t="str">
        <f t="shared" si="19"/>
        <v/>
      </c>
      <c r="Z172" s="31" t="str">
        <f t="shared" si="20"/>
        <v/>
      </c>
      <c r="AA172" s="31" t="str">
        <f>IF(D172="","",IF(H172&lt;=$B$16,1,IF(H172&gt;=$B$17,$B$21,MATCH(H172,Aux_CAV!$A$2:$A$121,1))))</f>
        <v/>
      </c>
      <c r="AB172" s="31" t="str">
        <f>IF(D172="","",IF(L172&lt;=$B$16,1,IF(L172&gt;=$B$17,$B$21,MATCH(L172,Aux_CAV!$A$2:$A$121,1))))</f>
        <v/>
      </c>
      <c r="AC172" s="3" t="str">
        <f t="shared" si="21"/>
        <v/>
      </c>
    </row>
    <row r="173" ht="12.75" customHeight="1">
      <c r="A173" s="25" t="str">
        <f t="shared" si="1"/>
        <v/>
      </c>
      <c r="B173" s="29" t="str">
        <f t="array" ref="B173">IF(D173="","",IFERROR(VALUE(INDEX(Vazoes_COLAR!$A$2:$A$200,INT((ROW()-24)/12)+1)),""))</f>
        <v/>
      </c>
      <c r="C173" s="29" t="str">
        <f t="shared" si="2"/>
        <v/>
      </c>
      <c r="D173" s="26" t="str">
        <f t="array" ref="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73" s="26" t="str">
        <f t="shared" si="3"/>
        <v/>
      </c>
      <c r="F173" s="26" t="str">
        <f t="array" ref="F173">IF(D173="","",IFERROR(INDEX(Dados_Evap!$C$2:$N$15,MATCH($B$9,Dados_Evap!$A$2:$A$15,0),C173),0))</f>
        <v/>
      </c>
      <c r="G173" s="26" t="str">
        <f t="shared" si="4"/>
        <v/>
      </c>
      <c r="H173" s="26" t="str">
        <f t="shared" si="22"/>
        <v/>
      </c>
      <c r="I173" s="26" t="str">
        <f t="array" ref="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/>
      </c>
      <c r="J173" s="26" t="str">
        <f t="shared" si="5"/>
        <v/>
      </c>
      <c r="K173" s="26" t="str">
        <f t="shared" si="6"/>
        <v/>
      </c>
      <c r="L173" s="26" t="str">
        <f t="shared" si="7"/>
        <v/>
      </c>
      <c r="M173" s="26" t="str">
        <f t="array" ref="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/>
      </c>
      <c r="N173" s="26" t="str">
        <f t="shared" si="8"/>
        <v/>
      </c>
      <c r="O173" s="26" t="str">
        <f t="shared" si="9"/>
        <v/>
      </c>
      <c r="P173" s="26" t="str">
        <f t="shared" si="10"/>
        <v/>
      </c>
      <c r="Q173" s="26" t="str">
        <f t="shared" si="11"/>
        <v/>
      </c>
      <c r="R173" s="26" t="str">
        <f t="shared" si="12"/>
        <v/>
      </c>
      <c r="S173" s="26" t="str">
        <f t="shared" si="13"/>
        <v/>
      </c>
      <c r="T173" s="26" t="str">
        <f t="shared" si="14"/>
        <v/>
      </c>
      <c r="U173" s="26" t="str">
        <f t="shared" si="15"/>
        <v/>
      </c>
      <c r="V173" s="26" t="str">
        <f t="shared" si="16"/>
        <v/>
      </c>
      <c r="W173" s="26" t="str">
        <f t="shared" si="17"/>
        <v/>
      </c>
      <c r="X173" s="26" t="str">
        <f t="shared" si="18"/>
        <v/>
      </c>
      <c r="Y173" s="26" t="str">
        <f t="shared" si="19"/>
        <v/>
      </c>
      <c r="Z173" s="31" t="str">
        <f t="shared" si="20"/>
        <v/>
      </c>
      <c r="AA173" s="31" t="str">
        <f>IF(D173="","",IF(H173&lt;=$B$16,1,IF(H173&gt;=$B$17,$B$21,MATCH(H173,Aux_CAV!$A$2:$A$121,1))))</f>
        <v/>
      </c>
      <c r="AB173" s="31" t="str">
        <f>IF(D173="","",IF(L173&lt;=$B$16,1,IF(L173&gt;=$B$17,$B$21,MATCH(L173,Aux_CAV!$A$2:$A$121,1))))</f>
        <v/>
      </c>
      <c r="AC173" s="3" t="str">
        <f t="shared" si="21"/>
        <v/>
      </c>
    </row>
    <row r="174" ht="12.75" customHeight="1">
      <c r="A174" s="25" t="str">
        <f t="shared" si="1"/>
        <v/>
      </c>
      <c r="B174" s="29" t="str">
        <f t="array" ref="B174">IF(D174="","",IFERROR(VALUE(INDEX(Vazoes_COLAR!$A$2:$A$200,INT((ROW()-24)/12)+1)),""))</f>
        <v/>
      </c>
      <c r="C174" s="29" t="str">
        <f t="shared" si="2"/>
        <v/>
      </c>
      <c r="D174" s="26" t="str">
        <f t="array" ref="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74" s="26" t="str">
        <f t="shared" si="3"/>
        <v/>
      </c>
      <c r="F174" s="26" t="str">
        <f t="array" ref="F174">IF(D174="","",IFERROR(INDEX(Dados_Evap!$C$2:$N$15,MATCH($B$9,Dados_Evap!$A$2:$A$15,0),C174),0))</f>
        <v/>
      </c>
      <c r="G174" s="26" t="str">
        <f t="shared" si="4"/>
        <v/>
      </c>
      <c r="H174" s="26" t="str">
        <f t="shared" si="22"/>
        <v/>
      </c>
      <c r="I174" s="26" t="str">
        <f t="array" ref="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/>
      </c>
      <c r="J174" s="26" t="str">
        <f t="shared" si="5"/>
        <v/>
      </c>
      <c r="K174" s="26" t="str">
        <f t="shared" si="6"/>
        <v/>
      </c>
      <c r="L174" s="26" t="str">
        <f t="shared" si="7"/>
        <v/>
      </c>
      <c r="M174" s="26" t="str">
        <f t="array" ref="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/>
      </c>
      <c r="N174" s="26" t="str">
        <f t="shared" si="8"/>
        <v/>
      </c>
      <c r="O174" s="26" t="str">
        <f t="shared" si="9"/>
        <v/>
      </c>
      <c r="P174" s="26" t="str">
        <f t="shared" si="10"/>
        <v/>
      </c>
      <c r="Q174" s="26" t="str">
        <f t="shared" si="11"/>
        <v/>
      </c>
      <c r="R174" s="26" t="str">
        <f t="shared" si="12"/>
        <v/>
      </c>
      <c r="S174" s="26" t="str">
        <f t="shared" si="13"/>
        <v/>
      </c>
      <c r="T174" s="26" t="str">
        <f t="shared" si="14"/>
        <v/>
      </c>
      <c r="U174" s="26" t="str">
        <f t="shared" si="15"/>
        <v/>
      </c>
      <c r="V174" s="26" t="str">
        <f t="shared" si="16"/>
        <v/>
      </c>
      <c r="W174" s="26" t="str">
        <f t="shared" si="17"/>
        <v/>
      </c>
      <c r="X174" s="26" t="str">
        <f t="shared" si="18"/>
        <v/>
      </c>
      <c r="Y174" s="26" t="str">
        <f t="shared" si="19"/>
        <v/>
      </c>
      <c r="Z174" s="31" t="str">
        <f t="shared" si="20"/>
        <v/>
      </c>
      <c r="AA174" s="31" t="str">
        <f>IF(D174="","",IF(H174&lt;=$B$16,1,IF(H174&gt;=$B$17,$B$21,MATCH(H174,Aux_CAV!$A$2:$A$121,1))))</f>
        <v/>
      </c>
      <c r="AB174" s="31" t="str">
        <f>IF(D174="","",IF(L174&lt;=$B$16,1,IF(L174&gt;=$B$17,$B$21,MATCH(L174,Aux_CAV!$A$2:$A$121,1))))</f>
        <v/>
      </c>
      <c r="AC174" s="3" t="str">
        <f t="shared" si="21"/>
        <v/>
      </c>
    </row>
    <row r="175" ht="12.75" customHeight="1">
      <c r="A175" s="25" t="str">
        <f t="shared" si="1"/>
        <v/>
      </c>
      <c r="B175" s="29" t="str">
        <f t="array" ref="B175">IF(D175="","",IFERROR(VALUE(INDEX(Vazoes_COLAR!$A$2:$A$200,INT((ROW()-24)/12)+1)),""))</f>
        <v/>
      </c>
      <c r="C175" s="29" t="str">
        <f t="shared" si="2"/>
        <v/>
      </c>
      <c r="D175" s="26" t="str">
        <f t="array" ref="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75" s="26" t="str">
        <f t="shared" si="3"/>
        <v/>
      </c>
      <c r="F175" s="26" t="str">
        <f t="array" ref="F175">IF(D175="","",IFERROR(INDEX(Dados_Evap!$C$2:$N$15,MATCH($B$9,Dados_Evap!$A$2:$A$15,0),C175),0))</f>
        <v/>
      </c>
      <c r="G175" s="26" t="str">
        <f t="shared" si="4"/>
        <v/>
      </c>
      <c r="H175" s="26" t="str">
        <f t="shared" si="22"/>
        <v/>
      </c>
      <c r="I175" s="26" t="str">
        <f t="array" ref="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/>
      </c>
      <c r="J175" s="26" t="str">
        <f t="shared" si="5"/>
        <v/>
      </c>
      <c r="K175" s="26" t="str">
        <f t="shared" si="6"/>
        <v/>
      </c>
      <c r="L175" s="26" t="str">
        <f t="shared" si="7"/>
        <v/>
      </c>
      <c r="M175" s="26" t="str">
        <f t="array" ref="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/>
      </c>
      <c r="N175" s="26" t="str">
        <f t="shared" si="8"/>
        <v/>
      </c>
      <c r="O175" s="26" t="str">
        <f t="shared" si="9"/>
        <v/>
      </c>
      <c r="P175" s="26" t="str">
        <f t="shared" si="10"/>
        <v/>
      </c>
      <c r="Q175" s="26" t="str">
        <f t="shared" si="11"/>
        <v/>
      </c>
      <c r="R175" s="26" t="str">
        <f t="shared" si="12"/>
        <v/>
      </c>
      <c r="S175" s="26" t="str">
        <f t="shared" si="13"/>
        <v/>
      </c>
      <c r="T175" s="26" t="str">
        <f t="shared" si="14"/>
        <v/>
      </c>
      <c r="U175" s="26" t="str">
        <f t="shared" si="15"/>
        <v/>
      </c>
      <c r="V175" s="26" t="str">
        <f t="shared" si="16"/>
        <v/>
      </c>
      <c r="W175" s="26" t="str">
        <f t="shared" si="17"/>
        <v/>
      </c>
      <c r="X175" s="26" t="str">
        <f t="shared" si="18"/>
        <v/>
      </c>
      <c r="Y175" s="26" t="str">
        <f t="shared" si="19"/>
        <v/>
      </c>
      <c r="Z175" s="31" t="str">
        <f t="shared" si="20"/>
        <v/>
      </c>
      <c r="AA175" s="31" t="str">
        <f>IF(D175="","",IF(H175&lt;=$B$16,1,IF(H175&gt;=$B$17,$B$21,MATCH(H175,Aux_CAV!$A$2:$A$121,1))))</f>
        <v/>
      </c>
      <c r="AB175" s="31" t="str">
        <f>IF(D175="","",IF(L175&lt;=$B$16,1,IF(L175&gt;=$B$17,$B$21,MATCH(L175,Aux_CAV!$A$2:$A$121,1))))</f>
        <v/>
      </c>
      <c r="AC175" s="3" t="str">
        <f t="shared" si="21"/>
        <v/>
      </c>
    </row>
    <row r="176" ht="12.75" customHeight="1">
      <c r="A176" s="25" t="str">
        <f t="shared" si="1"/>
        <v/>
      </c>
      <c r="B176" s="29" t="str">
        <f t="array" ref="B176">IF(D176="","",IFERROR(VALUE(INDEX(Vazoes_COLAR!$A$2:$A$200,INT((ROW()-24)/12)+1)),""))</f>
        <v/>
      </c>
      <c r="C176" s="29" t="str">
        <f t="shared" si="2"/>
        <v/>
      </c>
      <c r="D176" s="26" t="str">
        <f t="array" ref="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76" s="26" t="str">
        <f t="shared" si="3"/>
        <v/>
      </c>
      <c r="F176" s="26" t="str">
        <f t="array" ref="F176">IF(D176="","",IFERROR(INDEX(Dados_Evap!$C$2:$N$15,MATCH($B$9,Dados_Evap!$A$2:$A$15,0),C176),0))</f>
        <v/>
      </c>
      <c r="G176" s="26" t="str">
        <f t="shared" si="4"/>
        <v/>
      </c>
      <c r="H176" s="26" t="str">
        <f t="shared" si="22"/>
        <v/>
      </c>
      <c r="I176" s="26" t="str">
        <f t="array" ref="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/>
      </c>
      <c r="J176" s="26" t="str">
        <f t="shared" si="5"/>
        <v/>
      </c>
      <c r="K176" s="26" t="str">
        <f t="shared" si="6"/>
        <v/>
      </c>
      <c r="L176" s="26" t="str">
        <f t="shared" si="7"/>
        <v/>
      </c>
      <c r="M176" s="26" t="str">
        <f t="array" ref="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/>
      </c>
      <c r="N176" s="26" t="str">
        <f t="shared" si="8"/>
        <v/>
      </c>
      <c r="O176" s="26" t="str">
        <f t="shared" si="9"/>
        <v/>
      </c>
      <c r="P176" s="26" t="str">
        <f t="shared" si="10"/>
        <v/>
      </c>
      <c r="Q176" s="26" t="str">
        <f t="shared" si="11"/>
        <v/>
      </c>
      <c r="R176" s="26" t="str">
        <f t="shared" si="12"/>
        <v/>
      </c>
      <c r="S176" s="26" t="str">
        <f t="shared" si="13"/>
        <v/>
      </c>
      <c r="T176" s="26" t="str">
        <f t="shared" si="14"/>
        <v/>
      </c>
      <c r="U176" s="26" t="str">
        <f t="shared" si="15"/>
        <v/>
      </c>
      <c r="V176" s="26" t="str">
        <f t="shared" si="16"/>
        <v/>
      </c>
      <c r="W176" s="26" t="str">
        <f t="shared" si="17"/>
        <v/>
      </c>
      <c r="X176" s="26" t="str">
        <f t="shared" si="18"/>
        <v/>
      </c>
      <c r="Y176" s="26" t="str">
        <f t="shared" si="19"/>
        <v/>
      </c>
      <c r="Z176" s="31" t="str">
        <f t="shared" si="20"/>
        <v/>
      </c>
      <c r="AA176" s="31" t="str">
        <f>IF(D176="","",IF(H176&lt;=$B$16,1,IF(H176&gt;=$B$17,$B$21,MATCH(H176,Aux_CAV!$A$2:$A$121,1))))</f>
        <v/>
      </c>
      <c r="AB176" s="31" t="str">
        <f>IF(D176="","",IF(L176&lt;=$B$16,1,IF(L176&gt;=$B$17,$B$21,MATCH(L176,Aux_CAV!$A$2:$A$121,1))))</f>
        <v/>
      </c>
      <c r="AC176" s="3" t="str">
        <f t="shared" si="21"/>
        <v/>
      </c>
    </row>
    <row r="177" ht="12.75" customHeight="1">
      <c r="A177" s="25" t="str">
        <f t="shared" si="1"/>
        <v/>
      </c>
      <c r="B177" s="29" t="str">
        <f t="array" ref="B177">IF(D177="","",IFERROR(VALUE(INDEX(Vazoes_COLAR!$A$2:$A$200,INT((ROW()-24)/12)+1)),""))</f>
        <v/>
      </c>
      <c r="C177" s="29" t="str">
        <f t="shared" si="2"/>
        <v/>
      </c>
      <c r="D177" s="26" t="str">
        <f t="array" ref="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77" s="26" t="str">
        <f t="shared" si="3"/>
        <v/>
      </c>
      <c r="F177" s="26" t="str">
        <f t="array" ref="F177">IF(D177="","",IFERROR(INDEX(Dados_Evap!$C$2:$N$15,MATCH($B$9,Dados_Evap!$A$2:$A$15,0),C177),0))</f>
        <v/>
      </c>
      <c r="G177" s="26" t="str">
        <f t="shared" si="4"/>
        <v/>
      </c>
      <c r="H177" s="26" t="str">
        <f t="shared" si="22"/>
        <v/>
      </c>
      <c r="I177" s="26" t="str">
        <f t="array" ref="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/>
      </c>
      <c r="J177" s="26" t="str">
        <f t="shared" si="5"/>
        <v/>
      </c>
      <c r="K177" s="26" t="str">
        <f t="shared" si="6"/>
        <v/>
      </c>
      <c r="L177" s="26" t="str">
        <f t="shared" si="7"/>
        <v/>
      </c>
      <c r="M177" s="26" t="str">
        <f t="array" ref="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/>
      </c>
      <c r="N177" s="26" t="str">
        <f t="shared" si="8"/>
        <v/>
      </c>
      <c r="O177" s="26" t="str">
        <f t="shared" si="9"/>
        <v/>
      </c>
      <c r="P177" s="26" t="str">
        <f t="shared" si="10"/>
        <v/>
      </c>
      <c r="Q177" s="26" t="str">
        <f t="shared" si="11"/>
        <v/>
      </c>
      <c r="R177" s="26" t="str">
        <f t="shared" si="12"/>
        <v/>
      </c>
      <c r="S177" s="26" t="str">
        <f t="shared" si="13"/>
        <v/>
      </c>
      <c r="T177" s="26" t="str">
        <f t="shared" si="14"/>
        <v/>
      </c>
      <c r="U177" s="26" t="str">
        <f t="shared" si="15"/>
        <v/>
      </c>
      <c r="V177" s="26" t="str">
        <f t="shared" si="16"/>
        <v/>
      </c>
      <c r="W177" s="26" t="str">
        <f t="shared" si="17"/>
        <v/>
      </c>
      <c r="X177" s="26" t="str">
        <f t="shared" si="18"/>
        <v/>
      </c>
      <c r="Y177" s="26" t="str">
        <f t="shared" si="19"/>
        <v/>
      </c>
      <c r="Z177" s="31" t="str">
        <f t="shared" si="20"/>
        <v/>
      </c>
      <c r="AA177" s="31" t="str">
        <f>IF(D177="","",IF(H177&lt;=$B$16,1,IF(H177&gt;=$B$17,$B$21,MATCH(H177,Aux_CAV!$A$2:$A$121,1))))</f>
        <v/>
      </c>
      <c r="AB177" s="31" t="str">
        <f>IF(D177="","",IF(L177&lt;=$B$16,1,IF(L177&gt;=$B$17,$B$21,MATCH(L177,Aux_CAV!$A$2:$A$121,1))))</f>
        <v/>
      </c>
      <c r="AC177" s="3" t="str">
        <f t="shared" si="21"/>
        <v/>
      </c>
    </row>
    <row r="178" ht="12.75" customHeight="1">
      <c r="A178" s="25" t="str">
        <f t="shared" si="1"/>
        <v/>
      </c>
      <c r="B178" s="29" t="str">
        <f t="array" ref="B178">IF(D178="","",IFERROR(VALUE(INDEX(Vazoes_COLAR!$A$2:$A$200,INT((ROW()-24)/12)+1)),""))</f>
        <v/>
      </c>
      <c r="C178" s="29" t="str">
        <f t="shared" si="2"/>
        <v/>
      </c>
      <c r="D178" s="26" t="str">
        <f t="array" ref="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78" s="26" t="str">
        <f t="shared" si="3"/>
        <v/>
      </c>
      <c r="F178" s="26" t="str">
        <f t="array" ref="F178">IF(D178="","",IFERROR(INDEX(Dados_Evap!$C$2:$N$15,MATCH($B$9,Dados_Evap!$A$2:$A$15,0),C178),0))</f>
        <v/>
      </c>
      <c r="G178" s="26" t="str">
        <f t="shared" si="4"/>
        <v/>
      </c>
      <c r="H178" s="26" t="str">
        <f t="shared" si="22"/>
        <v/>
      </c>
      <c r="I178" s="26" t="str">
        <f t="array" ref="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/>
      </c>
      <c r="J178" s="26" t="str">
        <f t="shared" si="5"/>
        <v/>
      </c>
      <c r="K178" s="26" t="str">
        <f t="shared" si="6"/>
        <v/>
      </c>
      <c r="L178" s="26" t="str">
        <f t="shared" si="7"/>
        <v/>
      </c>
      <c r="M178" s="26" t="str">
        <f t="array" ref="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/>
      </c>
      <c r="N178" s="26" t="str">
        <f t="shared" si="8"/>
        <v/>
      </c>
      <c r="O178" s="26" t="str">
        <f t="shared" si="9"/>
        <v/>
      </c>
      <c r="P178" s="26" t="str">
        <f t="shared" si="10"/>
        <v/>
      </c>
      <c r="Q178" s="26" t="str">
        <f t="shared" si="11"/>
        <v/>
      </c>
      <c r="R178" s="26" t="str">
        <f t="shared" si="12"/>
        <v/>
      </c>
      <c r="S178" s="26" t="str">
        <f t="shared" si="13"/>
        <v/>
      </c>
      <c r="T178" s="26" t="str">
        <f t="shared" si="14"/>
        <v/>
      </c>
      <c r="U178" s="26" t="str">
        <f t="shared" si="15"/>
        <v/>
      </c>
      <c r="V178" s="26" t="str">
        <f t="shared" si="16"/>
        <v/>
      </c>
      <c r="W178" s="26" t="str">
        <f t="shared" si="17"/>
        <v/>
      </c>
      <c r="X178" s="26" t="str">
        <f t="shared" si="18"/>
        <v/>
      </c>
      <c r="Y178" s="26" t="str">
        <f t="shared" si="19"/>
        <v/>
      </c>
      <c r="Z178" s="31" t="str">
        <f t="shared" si="20"/>
        <v/>
      </c>
      <c r="AA178" s="31" t="str">
        <f>IF(D178="","",IF(H178&lt;=$B$16,1,IF(H178&gt;=$B$17,$B$21,MATCH(H178,Aux_CAV!$A$2:$A$121,1))))</f>
        <v/>
      </c>
      <c r="AB178" s="31" t="str">
        <f>IF(D178="","",IF(L178&lt;=$B$16,1,IF(L178&gt;=$B$17,$B$21,MATCH(L178,Aux_CAV!$A$2:$A$121,1))))</f>
        <v/>
      </c>
      <c r="AC178" s="3" t="str">
        <f t="shared" si="21"/>
        <v/>
      </c>
    </row>
    <row r="179" ht="12.75" customHeight="1">
      <c r="A179" s="25" t="str">
        <f t="shared" si="1"/>
        <v/>
      </c>
      <c r="B179" s="29" t="str">
        <f t="array" ref="B179">IF(D179="","",IFERROR(VALUE(INDEX(Vazoes_COLAR!$A$2:$A$200,INT((ROW()-24)/12)+1)),""))</f>
        <v/>
      </c>
      <c r="C179" s="29" t="str">
        <f t="shared" si="2"/>
        <v/>
      </c>
      <c r="D179" s="26" t="str">
        <f t="array" ref="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79" s="26" t="str">
        <f t="shared" si="3"/>
        <v/>
      </c>
      <c r="F179" s="26" t="str">
        <f t="array" ref="F179">IF(D179="","",IFERROR(INDEX(Dados_Evap!$C$2:$N$15,MATCH($B$9,Dados_Evap!$A$2:$A$15,0),C179),0))</f>
        <v/>
      </c>
      <c r="G179" s="26" t="str">
        <f t="shared" si="4"/>
        <v/>
      </c>
      <c r="H179" s="26" t="str">
        <f t="shared" si="22"/>
        <v/>
      </c>
      <c r="I179" s="26" t="str">
        <f t="array" ref="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/>
      </c>
      <c r="J179" s="26" t="str">
        <f t="shared" si="5"/>
        <v/>
      </c>
      <c r="K179" s="26" t="str">
        <f t="shared" si="6"/>
        <v/>
      </c>
      <c r="L179" s="26" t="str">
        <f t="shared" si="7"/>
        <v/>
      </c>
      <c r="M179" s="26" t="str">
        <f t="array" ref="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/>
      </c>
      <c r="N179" s="26" t="str">
        <f t="shared" si="8"/>
        <v/>
      </c>
      <c r="O179" s="26" t="str">
        <f t="shared" si="9"/>
        <v/>
      </c>
      <c r="P179" s="26" t="str">
        <f t="shared" si="10"/>
        <v/>
      </c>
      <c r="Q179" s="26" t="str">
        <f t="shared" si="11"/>
        <v/>
      </c>
      <c r="R179" s="26" t="str">
        <f t="shared" si="12"/>
        <v/>
      </c>
      <c r="S179" s="26" t="str">
        <f t="shared" si="13"/>
        <v/>
      </c>
      <c r="T179" s="26" t="str">
        <f t="shared" si="14"/>
        <v/>
      </c>
      <c r="U179" s="26" t="str">
        <f t="shared" si="15"/>
        <v/>
      </c>
      <c r="V179" s="26" t="str">
        <f t="shared" si="16"/>
        <v/>
      </c>
      <c r="W179" s="26" t="str">
        <f t="shared" si="17"/>
        <v/>
      </c>
      <c r="X179" s="26" t="str">
        <f t="shared" si="18"/>
        <v/>
      </c>
      <c r="Y179" s="26" t="str">
        <f t="shared" si="19"/>
        <v/>
      </c>
      <c r="Z179" s="31" t="str">
        <f t="shared" si="20"/>
        <v/>
      </c>
      <c r="AA179" s="31" t="str">
        <f>IF(D179="","",IF(H179&lt;=$B$16,1,IF(H179&gt;=$B$17,$B$21,MATCH(H179,Aux_CAV!$A$2:$A$121,1))))</f>
        <v/>
      </c>
      <c r="AB179" s="31" t="str">
        <f>IF(D179="","",IF(L179&lt;=$B$16,1,IF(L179&gt;=$B$17,$B$21,MATCH(L179,Aux_CAV!$A$2:$A$121,1))))</f>
        <v/>
      </c>
      <c r="AC179" s="3" t="str">
        <f t="shared" si="21"/>
        <v/>
      </c>
    </row>
    <row r="180" ht="12.75" customHeight="1">
      <c r="A180" s="25" t="str">
        <f t="shared" si="1"/>
        <v/>
      </c>
      <c r="B180" s="29" t="str">
        <f t="array" ref="B180">IF(D180="","",IFERROR(VALUE(INDEX(Vazoes_COLAR!$A$2:$A$200,INT((ROW()-24)/12)+1)),""))</f>
        <v/>
      </c>
      <c r="C180" s="29" t="str">
        <f t="shared" si="2"/>
        <v/>
      </c>
      <c r="D180" s="26" t="str">
        <f t="array" ref="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80" s="26" t="str">
        <f t="shared" si="3"/>
        <v/>
      </c>
      <c r="F180" s="26" t="str">
        <f t="array" ref="F180">IF(D180="","",IFERROR(INDEX(Dados_Evap!$C$2:$N$15,MATCH($B$9,Dados_Evap!$A$2:$A$15,0),C180),0))</f>
        <v/>
      </c>
      <c r="G180" s="26" t="str">
        <f t="shared" si="4"/>
        <v/>
      </c>
      <c r="H180" s="26" t="str">
        <f t="shared" si="22"/>
        <v/>
      </c>
      <c r="I180" s="26" t="str">
        <f t="array" ref="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/>
      </c>
      <c r="J180" s="26" t="str">
        <f t="shared" si="5"/>
        <v/>
      </c>
      <c r="K180" s="26" t="str">
        <f t="shared" si="6"/>
        <v/>
      </c>
      <c r="L180" s="26" t="str">
        <f t="shared" si="7"/>
        <v/>
      </c>
      <c r="M180" s="26" t="str">
        <f t="array" ref="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/>
      </c>
      <c r="N180" s="26" t="str">
        <f t="shared" si="8"/>
        <v/>
      </c>
      <c r="O180" s="26" t="str">
        <f t="shared" si="9"/>
        <v/>
      </c>
      <c r="P180" s="26" t="str">
        <f t="shared" si="10"/>
        <v/>
      </c>
      <c r="Q180" s="26" t="str">
        <f t="shared" si="11"/>
        <v/>
      </c>
      <c r="R180" s="26" t="str">
        <f t="shared" si="12"/>
        <v/>
      </c>
      <c r="S180" s="26" t="str">
        <f t="shared" si="13"/>
        <v/>
      </c>
      <c r="T180" s="26" t="str">
        <f t="shared" si="14"/>
        <v/>
      </c>
      <c r="U180" s="26" t="str">
        <f t="shared" si="15"/>
        <v/>
      </c>
      <c r="V180" s="26" t="str">
        <f t="shared" si="16"/>
        <v/>
      </c>
      <c r="W180" s="26" t="str">
        <f t="shared" si="17"/>
        <v/>
      </c>
      <c r="X180" s="26" t="str">
        <f t="shared" si="18"/>
        <v/>
      </c>
      <c r="Y180" s="26" t="str">
        <f t="shared" si="19"/>
        <v/>
      </c>
      <c r="Z180" s="31" t="str">
        <f t="shared" si="20"/>
        <v/>
      </c>
      <c r="AA180" s="31" t="str">
        <f>IF(D180="","",IF(H180&lt;=$B$16,1,IF(H180&gt;=$B$17,$B$21,MATCH(H180,Aux_CAV!$A$2:$A$121,1))))</f>
        <v/>
      </c>
      <c r="AB180" s="31" t="str">
        <f>IF(D180="","",IF(L180&lt;=$B$16,1,IF(L180&gt;=$B$17,$B$21,MATCH(L180,Aux_CAV!$A$2:$A$121,1))))</f>
        <v/>
      </c>
      <c r="AC180" s="3" t="str">
        <f t="shared" si="21"/>
        <v/>
      </c>
    </row>
    <row r="181" ht="12.75" customHeight="1">
      <c r="A181" s="25" t="str">
        <f t="shared" si="1"/>
        <v/>
      </c>
      <c r="B181" s="29" t="str">
        <f t="array" ref="B181">IF(D181="","",IFERROR(VALUE(INDEX(Vazoes_COLAR!$A$2:$A$200,INT((ROW()-24)/12)+1)),""))</f>
        <v/>
      </c>
      <c r="C181" s="29" t="str">
        <f t="shared" si="2"/>
        <v/>
      </c>
      <c r="D181" s="26" t="str">
        <f t="array" ref="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81" s="26" t="str">
        <f t="shared" si="3"/>
        <v/>
      </c>
      <c r="F181" s="26" t="str">
        <f t="array" ref="F181">IF(D181="","",IFERROR(INDEX(Dados_Evap!$C$2:$N$15,MATCH($B$9,Dados_Evap!$A$2:$A$15,0),C181),0))</f>
        <v/>
      </c>
      <c r="G181" s="26" t="str">
        <f t="shared" si="4"/>
        <v/>
      </c>
      <c r="H181" s="26" t="str">
        <f t="shared" si="22"/>
        <v/>
      </c>
      <c r="I181" s="26" t="str">
        <f t="array" ref="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/>
      </c>
      <c r="J181" s="26" t="str">
        <f t="shared" si="5"/>
        <v/>
      </c>
      <c r="K181" s="26" t="str">
        <f t="shared" si="6"/>
        <v/>
      </c>
      <c r="L181" s="26" t="str">
        <f t="shared" si="7"/>
        <v/>
      </c>
      <c r="M181" s="26" t="str">
        <f t="array" ref="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/>
      </c>
      <c r="N181" s="26" t="str">
        <f t="shared" si="8"/>
        <v/>
      </c>
      <c r="O181" s="26" t="str">
        <f t="shared" si="9"/>
        <v/>
      </c>
      <c r="P181" s="26" t="str">
        <f t="shared" si="10"/>
        <v/>
      </c>
      <c r="Q181" s="26" t="str">
        <f t="shared" si="11"/>
        <v/>
      </c>
      <c r="R181" s="26" t="str">
        <f t="shared" si="12"/>
        <v/>
      </c>
      <c r="S181" s="26" t="str">
        <f t="shared" si="13"/>
        <v/>
      </c>
      <c r="T181" s="26" t="str">
        <f t="shared" si="14"/>
        <v/>
      </c>
      <c r="U181" s="26" t="str">
        <f t="shared" si="15"/>
        <v/>
      </c>
      <c r="V181" s="26" t="str">
        <f t="shared" si="16"/>
        <v/>
      </c>
      <c r="W181" s="26" t="str">
        <f t="shared" si="17"/>
        <v/>
      </c>
      <c r="X181" s="26" t="str">
        <f t="shared" si="18"/>
        <v/>
      </c>
      <c r="Y181" s="26" t="str">
        <f t="shared" si="19"/>
        <v/>
      </c>
      <c r="Z181" s="31" t="str">
        <f t="shared" si="20"/>
        <v/>
      </c>
      <c r="AA181" s="31" t="str">
        <f>IF(D181="","",IF(H181&lt;=$B$16,1,IF(H181&gt;=$B$17,$B$21,MATCH(H181,Aux_CAV!$A$2:$A$121,1))))</f>
        <v/>
      </c>
      <c r="AB181" s="31" t="str">
        <f>IF(D181="","",IF(L181&lt;=$B$16,1,IF(L181&gt;=$B$17,$B$21,MATCH(L181,Aux_CAV!$A$2:$A$121,1))))</f>
        <v/>
      </c>
      <c r="AC181" s="3" t="str">
        <f t="shared" si="21"/>
        <v/>
      </c>
    </row>
    <row r="182" ht="12.75" customHeight="1">
      <c r="A182" s="25" t="str">
        <f t="shared" si="1"/>
        <v/>
      </c>
      <c r="B182" s="29" t="str">
        <f t="array" ref="B182">IF(D182="","",IFERROR(VALUE(INDEX(Vazoes_COLAR!$A$2:$A$200,INT((ROW()-24)/12)+1)),""))</f>
        <v/>
      </c>
      <c r="C182" s="29" t="str">
        <f t="shared" si="2"/>
        <v/>
      </c>
      <c r="D182" s="26" t="str">
        <f t="array" ref="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82" s="26" t="str">
        <f t="shared" si="3"/>
        <v/>
      </c>
      <c r="F182" s="26" t="str">
        <f t="array" ref="F182">IF(D182="","",IFERROR(INDEX(Dados_Evap!$C$2:$N$15,MATCH($B$9,Dados_Evap!$A$2:$A$15,0),C182),0))</f>
        <v/>
      </c>
      <c r="G182" s="26" t="str">
        <f t="shared" si="4"/>
        <v/>
      </c>
      <c r="H182" s="26" t="str">
        <f t="shared" si="22"/>
        <v/>
      </c>
      <c r="I182" s="26" t="str">
        <f t="array" ref="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/>
      </c>
      <c r="J182" s="26" t="str">
        <f t="shared" si="5"/>
        <v/>
      </c>
      <c r="K182" s="26" t="str">
        <f t="shared" si="6"/>
        <v/>
      </c>
      <c r="L182" s="26" t="str">
        <f t="shared" si="7"/>
        <v/>
      </c>
      <c r="M182" s="26" t="str">
        <f t="array" ref="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/>
      </c>
      <c r="N182" s="26" t="str">
        <f t="shared" si="8"/>
        <v/>
      </c>
      <c r="O182" s="26" t="str">
        <f t="shared" si="9"/>
        <v/>
      </c>
      <c r="P182" s="26" t="str">
        <f t="shared" si="10"/>
        <v/>
      </c>
      <c r="Q182" s="26" t="str">
        <f t="shared" si="11"/>
        <v/>
      </c>
      <c r="R182" s="26" t="str">
        <f t="shared" si="12"/>
        <v/>
      </c>
      <c r="S182" s="26" t="str">
        <f t="shared" si="13"/>
        <v/>
      </c>
      <c r="T182" s="26" t="str">
        <f t="shared" si="14"/>
        <v/>
      </c>
      <c r="U182" s="26" t="str">
        <f t="shared" si="15"/>
        <v/>
      </c>
      <c r="V182" s="26" t="str">
        <f t="shared" si="16"/>
        <v/>
      </c>
      <c r="W182" s="26" t="str">
        <f t="shared" si="17"/>
        <v/>
      </c>
      <c r="X182" s="26" t="str">
        <f t="shared" si="18"/>
        <v/>
      </c>
      <c r="Y182" s="26" t="str">
        <f t="shared" si="19"/>
        <v/>
      </c>
      <c r="Z182" s="31" t="str">
        <f t="shared" si="20"/>
        <v/>
      </c>
      <c r="AA182" s="31" t="str">
        <f>IF(D182="","",IF(H182&lt;=$B$16,1,IF(H182&gt;=$B$17,$B$21,MATCH(H182,Aux_CAV!$A$2:$A$121,1))))</f>
        <v/>
      </c>
      <c r="AB182" s="31" t="str">
        <f>IF(D182="","",IF(L182&lt;=$B$16,1,IF(L182&gt;=$B$17,$B$21,MATCH(L182,Aux_CAV!$A$2:$A$121,1))))</f>
        <v/>
      </c>
      <c r="AC182" s="3" t="str">
        <f t="shared" si="21"/>
        <v/>
      </c>
    </row>
    <row r="183" ht="12.75" customHeight="1">
      <c r="A183" s="25" t="str">
        <f t="shared" si="1"/>
        <v/>
      </c>
      <c r="B183" s="29" t="str">
        <f t="array" ref="B183">IF(D183="","",IFERROR(VALUE(INDEX(Vazoes_COLAR!$A$2:$A$200,INT((ROW()-24)/12)+1)),""))</f>
        <v/>
      </c>
      <c r="C183" s="29" t="str">
        <f t="shared" si="2"/>
        <v/>
      </c>
      <c r="D183" s="26" t="str">
        <f t="array" ref="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83" s="26" t="str">
        <f t="shared" si="3"/>
        <v/>
      </c>
      <c r="F183" s="26" t="str">
        <f t="array" ref="F183">IF(D183="","",IFERROR(INDEX(Dados_Evap!$C$2:$N$15,MATCH($B$9,Dados_Evap!$A$2:$A$15,0),C183),0))</f>
        <v/>
      </c>
      <c r="G183" s="26" t="str">
        <f t="shared" si="4"/>
        <v/>
      </c>
      <c r="H183" s="26" t="str">
        <f t="shared" si="22"/>
        <v/>
      </c>
      <c r="I183" s="26" t="str">
        <f t="array" ref="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/>
      </c>
      <c r="J183" s="26" t="str">
        <f t="shared" si="5"/>
        <v/>
      </c>
      <c r="K183" s="26" t="str">
        <f t="shared" si="6"/>
        <v/>
      </c>
      <c r="L183" s="26" t="str">
        <f t="shared" si="7"/>
        <v/>
      </c>
      <c r="M183" s="26" t="str">
        <f t="array" ref="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/>
      </c>
      <c r="N183" s="26" t="str">
        <f t="shared" si="8"/>
        <v/>
      </c>
      <c r="O183" s="26" t="str">
        <f t="shared" si="9"/>
        <v/>
      </c>
      <c r="P183" s="26" t="str">
        <f t="shared" si="10"/>
        <v/>
      </c>
      <c r="Q183" s="26" t="str">
        <f t="shared" si="11"/>
        <v/>
      </c>
      <c r="R183" s="26" t="str">
        <f t="shared" si="12"/>
        <v/>
      </c>
      <c r="S183" s="26" t="str">
        <f t="shared" si="13"/>
        <v/>
      </c>
      <c r="T183" s="26" t="str">
        <f t="shared" si="14"/>
        <v/>
      </c>
      <c r="U183" s="26" t="str">
        <f t="shared" si="15"/>
        <v/>
      </c>
      <c r="V183" s="26" t="str">
        <f t="shared" si="16"/>
        <v/>
      </c>
      <c r="W183" s="26" t="str">
        <f t="shared" si="17"/>
        <v/>
      </c>
      <c r="X183" s="26" t="str">
        <f t="shared" si="18"/>
        <v/>
      </c>
      <c r="Y183" s="26" t="str">
        <f t="shared" si="19"/>
        <v/>
      </c>
      <c r="Z183" s="31" t="str">
        <f t="shared" si="20"/>
        <v/>
      </c>
      <c r="AA183" s="31" t="str">
        <f>IF(D183="","",IF(H183&lt;=$B$16,1,IF(H183&gt;=$B$17,$B$21,MATCH(H183,Aux_CAV!$A$2:$A$121,1))))</f>
        <v/>
      </c>
      <c r="AB183" s="31" t="str">
        <f>IF(D183="","",IF(L183&lt;=$B$16,1,IF(L183&gt;=$B$17,$B$21,MATCH(L183,Aux_CAV!$A$2:$A$121,1))))</f>
        <v/>
      </c>
      <c r="AC183" s="3" t="str">
        <f t="shared" si="21"/>
        <v/>
      </c>
    </row>
    <row r="184" ht="12.75" customHeight="1">
      <c r="A184" s="25" t="str">
        <f t="shared" si="1"/>
        <v/>
      </c>
      <c r="B184" s="29" t="str">
        <f t="array" ref="B184">IF(D184="","",IFERROR(VALUE(INDEX(Vazoes_COLAR!$A$2:$A$200,INT((ROW()-24)/12)+1)),""))</f>
        <v/>
      </c>
      <c r="C184" s="29" t="str">
        <f t="shared" si="2"/>
        <v/>
      </c>
      <c r="D184" s="26" t="str">
        <f t="array" ref="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84" s="26" t="str">
        <f t="shared" si="3"/>
        <v/>
      </c>
      <c r="F184" s="26" t="str">
        <f t="array" ref="F184">IF(D184="","",IFERROR(INDEX(Dados_Evap!$C$2:$N$15,MATCH($B$9,Dados_Evap!$A$2:$A$15,0),C184),0))</f>
        <v/>
      </c>
      <c r="G184" s="26" t="str">
        <f t="shared" si="4"/>
        <v/>
      </c>
      <c r="H184" s="26" t="str">
        <f t="shared" si="22"/>
        <v/>
      </c>
      <c r="I184" s="26" t="str">
        <f t="array" ref="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/>
      </c>
      <c r="J184" s="26" t="str">
        <f t="shared" si="5"/>
        <v/>
      </c>
      <c r="K184" s="26" t="str">
        <f t="shared" si="6"/>
        <v/>
      </c>
      <c r="L184" s="26" t="str">
        <f t="shared" si="7"/>
        <v/>
      </c>
      <c r="M184" s="26" t="str">
        <f t="array" ref="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/>
      </c>
      <c r="N184" s="26" t="str">
        <f t="shared" si="8"/>
        <v/>
      </c>
      <c r="O184" s="26" t="str">
        <f t="shared" si="9"/>
        <v/>
      </c>
      <c r="P184" s="26" t="str">
        <f t="shared" si="10"/>
        <v/>
      </c>
      <c r="Q184" s="26" t="str">
        <f t="shared" si="11"/>
        <v/>
      </c>
      <c r="R184" s="26" t="str">
        <f t="shared" si="12"/>
        <v/>
      </c>
      <c r="S184" s="26" t="str">
        <f t="shared" si="13"/>
        <v/>
      </c>
      <c r="T184" s="26" t="str">
        <f t="shared" si="14"/>
        <v/>
      </c>
      <c r="U184" s="26" t="str">
        <f t="shared" si="15"/>
        <v/>
      </c>
      <c r="V184" s="26" t="str">
        <f t="shared" si="16"/>
        <v/>
      </c>
      <c r="W184" s="26" t="str">
        <f t="shared" si="17"/>
        <v/>
      </c>
      <c r="X184" s="26" t="str">
        <f t="shared" si="18"/>
        <v/>
      </c>
      <c r="Y184" s="26" t="str">
        <f t="shared" si="19"/>
        <v/>
      </c>
      <c r="Z184" s="31" t="str">
        <f t="shared" si="20"/>
        <v/>
      </c>
      <c r="AA184" s="31" t="str">
        <f>IF(D184="","",IF(H184&lt;=$B$16,1,IF(H184&gt;=$B$17,$B$21,MATCH(H184,Aux_CAV!$A$2:$A$121,1))))</f>
        <v/>
      </c>
      <c r="AB184" s="31" t="str">
        <f>IF(D184="","",IF(L184&lt;=$B$16,1,IF(L184&gt;=$B$17,$B$21,MATCH(L184,Aux_CAV!$A$2:$A$121,1))))</f>
        <v/>
      </c>
      <c r="AC184" s="3" t="str">
        <f t="shared" si="21"/>
        <v/>
      </c>
    </row>
    <row r="185" ht="12.75" customHeight="1">
      <c r="A185" s="25" t="str">
        <f t="shared" si="1"/>
        <v/>
      </c>
      <c r="B185" s="29" t="str">
        <f t="array" ref="B185">IF(D185="","",IFERROR(VALUE(INDEX(Vazoes_COLAR!$A$2:$A$200,INT((ROW()-24)/12)+1)),""))</f>
        <v/>
      </c>
      <c r="C185" s="29" t="str">
        <f t="shared" si="2"/>
        <v/>
      </c>
      <c r="D185" s="26" t="str">
        <f t="array" ref="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85" s="26" t="str">
        <f t="shared" si="3"/>
        <v/>
      </c>
      <c r="F185" s="26" t="str">
        <f t="array" ref="F185">IF(D185="","",IFERROR(INDEX(Dados_Evap!$C$2:$N$15,MATCH($B$9,Dados_Evap!$A$2:$A$15,0),C185),0))</f>
        <v/>
      </c>
      <c r="G185" s="26" t="str">
        <f t="shared" si="4"/>
        <v/>
      </c>
      <c r="H185" s="26" t="str">
        <f t="shared" si="22"/>
        <v/>
      </c>
      <c r="I185" s="26" t="str">
        <f t="array" ref="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/>
      </c>
      <c r="J185" s="26" t="str">
        <f t="shared" si="5"/>
        <v/>
      </c>
      <c r="K185" s="26" t="str">
        <f t="shared" si="6"/>
        <v/>
      </c>
      <c r="L185" s="26" t="str">
        <f t="shared" si="7"/>
        <v/>
      </c>
      <c r="M185" s="26" t="str">
        <f t="array" ref="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/>
      </c>
      <c r="N185" s="26" t="str">
        <f t="shared" si="8"/>
        <v/>
      </c>
      <c r="O185" s="26" t="str">
        <f t="shared" si="9"/>
        <v/>
      </c>
      <c r="P185" s="26" t="str">
        <f t="shared" si="10"/>
        <v/>
      </c>
      <c r="Q185" s="26" t="str">
        <f t="shared" si="11"/>
        <v/>
      </c>
      <c r="R185" s="26" t="str">
        <f t="shared" si="12"/>
        <v/>
      </c>
      <c r="S185" s="26" t="str">
        <f t="shared" si="13"/>
        <v/>
      </c>
      <c r="T185" s="26" t="str">
        <f t="shared" si="14"/>
        <v/>
      </c>
      <c r="U185" s="26" t="str">
        <f t="shared" si="15"/>
        <v/>
      </c>
      <c r="V185" s="26" t="str">
        <f t="shared" si="16"/>
        <v/>
      </c>
      <c r="W185" s="26" t="str">
        <f t="shared" si="17"/>
        <v/>
      </c>
      <c r="X185" s="26" t="str">
        <f t="shared" si="18"/>
        <v/>
      </c>
      <c r="Y185" s="26" t="str">
        <f t="shared" si="19"/>
        <v/>
      </c>
      <c r="Z185" s="31" t="str">
        <f t="shared" si="20"/>
        <v/>
      </c>
      <c r="AA185" s="31" t="str">
        <f>IF(D185="","",IF(H185&lt;=$B$16,1,IF(H185&gt;=$B$17,$B$21,MATCH(H185,Aux_CAV!$A$2:$A$121,1))))</f>
        <v/>
      </c>
      <c r="AB185" s="31" t="str">
        <f>IF(D185="","",IF(L185&lt;=$B$16,1,IF(L185&gt;=$B$17,$B$21,MATCH(L185,Aux_CAV!$A$2:$A$121,1))))</f>
        <v/>
      </c>
      <c r="AC185" s="3" t="str">
        <f t="shared" si="21"/>
        <v/>
      </c>
    </row>
    <row r="186" ht="12.75" customHeight="1">
      <c r="A186" s="25" t="str">
        <f t="shared" si="1"/>
        <v/>
      </c>
      <c r="B186" s="29" t="str">
        <f t="array" ref="B186">IF(D186="","",IFERROR(VALUE(INDEX(Vazoes_COLAR!$A$2:$A$200,INT((ROW()-24)/12)+1)),""))</f>
        <v/>
      </c>
      <c r="C186" s="29" t="str">
        <f t="shared" si="2"/>
        <v/>
      </c>
      <c r="D186" s="26" t="str">
        <f t="array" ref="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86" s="26" t="str">
        <f t="shared" si="3"/>
        <v/>
      </c>
      <c r="F186" s="26" t="str">
        <f t="array" ref="F186">IF(D186="","",IFERROR(INDEX(Dados_Evap!$C$2:$N$15,MATCH($B$9,Dados_Evap!$A$2:$A$15,0),C186),0))</f>
        <v/>
      </c>
      <c r="G186" s="26" t="str">
        <f t="shared" si="4"/>
        <v/>
      </c>
      <c r="H186" s="26" t="str">
        <f t="shared" si="22"/>
        <v/>
      </c>
      <c r="I186" s="26" t="str">
        <f t="array" ref="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/>
      </c>
      <c r="J186" s="26" t="str">
        <f t="shared" si="5"/>
        <v/>
      </c>
      <c r="K186" s="26" t="str">
        <f t="shared" si="6"/>
        <v/>
      </c>
      <c r="L186" s="26" t="str">
        <f t="shared" si="7"/>
        <v/>
      </c>
      <c r="M186" s="26" t="str">
        <f t="array" ref="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/>
      </c>
      <c r="N186" s="26" t="str">
        <f t="shared" si="8"/>
        <v/>
      </c>
      <c r="O186" s="26" t="str">
        <f t="shared" si="9"/>
        <v/>
      </c>
      <c r="P186" s="26" t="str">
        <f t="shared" si="10"/>
        <v/>
      </c>
      <c r="Q186" s="26" t="str">
        <f t="shared" si="11"/>
        <v/>
      </c>
      <c r="R186" s="26" t="str">
        <f t="shared" si="12"/>
        <v/>
      </c>
      <c r="S186" s="26" t="str">
        <f t="shared" si="13"/>
        <v/>
      </c>
      <c r="T186" s="26" t="str">
        <f t="shared" si="14"/>
        <v/>
      </c>
      <c r="U186" s="26" t="str">
        <f t="shared" si="15"/>
        <v/>
      </c>
      <c r="V186" s="26" t="str">
        <f t="shared" si="16"/>
        <v/>
      </c>
      <c r="W186" s="26" t="str">
        <f t="shared" si="17"/>
        <v/>
      </c>
      <c r="X186" s="26" t="str">
        <f t="shared" si="18"/>
        <v/>
      </c>
      <c r="Y186" s="26" t="str">
        <f t="shared" si="19"/>
        <v/>
      </c>
      <c r="Z186" s="31" t="str">
        <f t="shared" si="20"/>
        <v/>
      </c>
      <c r="AA186" s="31" t="str">
        <f>IF(D186="","",IF(H186&lt;=$B$16,1,IF(H186&gt;=$B$17,$B$21,MATCH(H186,Aux_CAV!$A$2:$A$121,1))))</f>
        <v/>
      </c>
      <c r="AB186" s="31" t="str">
        <f>IF(D186="","",IF(L186&lt;=$B$16,1,IF(L186&gt;=$B$17,$B$21,MATCH(L186,Aux_CAV!$A$2:$A$121,1))))</f>
        <v/>
      </c>
      <c r="AC186" s="3" t="str">
        <f t="shared" si="21"/>
        <v/>
      </c>
    </row>
    <row r="187" ht="12.75" customHeight="1">
      <c r="A187" s="25" t="str">
        <f t="shared" si="1"/>
        <v/>
      </c>
      <c r="B187" s="29" t="str">
        <f t="array" ref="B187">IF(D187="","",IFERROR(VALUE(INDEX(Vazoes_COLAR!$A$2:$A$200,INT((ROW()-24)/12)+1)),""))</f>
        <v/>
      </c>
      <c r="C187" s="29" t="str">
        <f t="shared" si="2"/>
        <v/>
      </c>
      <c r="D187" s="26" t="str">
        <f t="array" ref="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87" s="26" t="str">
        <f t="shared" si="3"/>
        <v/>
      </c>
      <c r="F187" s="26" t="str">
        <f t="array" ref="F187">IF(D187="","",IFERROR(INDEX(Dados_Evap!$C$2:$N$15,MATCH($B$9,Dados_Evap!$A$2:$A$15,0),C187),0))</f>
        <v/>
      </c>
      <c r="G187" s="26" t="str">
        <f t="shared" si="4"/>
        <v/>
      </c>
      <c r="H187" s="26" t="str">
        <f t="shared" si="22"/>
        <v/>
      </c>
      <c r="I187" s="26" t="str">
        <f t="array" ref="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/>
      </c>
      <c r="J187" s="26" t="str">
        <f t="shared" si="5"/>
        <v/>
      </c>
      <c r="K187" s="26" t="str">
        <f t="shared" si="6"/>
        <v/>
      </c>
      <c r="L187" s="26" t="str">
        <f t="shared" si="7"/>
        <v/>
      </c>
      <c r="M187" s="26" t="str">
        <f t="array" ref="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/>
      </c>
      <c r="N187" s="26" t="str">
        <f t="shared" si="8"/>
        <v/>
      </c>
      <c r="O187" s="26" t="str">
        <f t="shared" si="9"/>
        <v/>
      </c>
      <c r="P187" s="26" t="str">
        <f t="shared" si="10"/>
        <v/>
      </c>
      <c r="Q187" s="26" t="str">
        <f t="shared" si="11"/>
        <v/>
      </c>
      <c r="R187" s="26" t="str">
        <f t="shared" si="12"/>
        <v/>
      </c>
      <c r="S187" s="26" t="str">
        <f t="shared" si="13"/>
        <v/>
      </c>
      <c r="T187" s="26" t="str">
        <f t="shared" si="14"/>
        <v/>
      </c>
      <c r="U187" s="26" t="str">
        <f t="shared" si="15"/>
        <v/>
      </c>
      <c r="V187" s="26" t="str">
        <f t="shared" si="16"/>
        <v/>
      </c>
      <c r="W187" s="26" t="str">
        <f t="shared" si="17"/>
        <v/>
      </c>
      <c r="X187" s="26" t="str">
        <f t="shared" si="18"/>
        <v/>
      </c>
      <c r="Y187" s="26" t="str">
        <f t="shared" si="19"/>
        <v/>
      </c>
      <c r="Z187" s="31" t="str">
        <f t="shared" si="20"/>
        <v/>
      </c>
      <c r="AA187" s="31" t="str">
        <f>IF(D187="","",IF(H187&lt;=$B$16,1,IF(H187&gt;=$B$17,$B$21,MATCH(H187,Aux_CAV!$A$2:$A$121,1))))</f>
        <v/>
      </c>
      <c r="AB187" s="31" t="str">
        <f>IF(D187="","",IF(L187&lt;=$B$16,1,IF(L187&gt;=$B$17,$B$21,MATCH(L187,Aux_CAV!$A$2:$A$121,1))))</f>
        <v/>
      </c>
      <c r="AC187" s="3" t="str">
        <f t="shared" si="21"/>
        <v/>
      </c>
    </row>
    <row r="188" ht="12.75" customHeight="1">
      <c r="A188" s="25" t="str">
        <f t="shared" si="1"/>
        <v/>
      </c>
      <c r="B188" s="29" t="str">
        <f t="array" ref="B188">IF(D188="","",IFERROR(VALUE(INDEX(Vazoes_COLAR!$A$2:$A$200,INT((ROW()-24)/12)+1)),""))</f>
        <v/>
      </c>
      <c r="C188" s="29" t="str">
        <f t="shared" si="2"/>
        <v/>
      </c>
      <c r="D188" s="26" t="str">
        <f t="array" ref="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88" s="26" t="str">
        <f t="shared" si="3"/>
        <v/>
      </c>
      <c r="F188" s="26" t="str">
        <f t="array" ref="F188">IF(D188="","",IFERROR(INDEX(Dados_Evap!$C$2:$N$15,MATCH($B$9,Dados_Evap!$A$2:$A$15,0),C188),0))</f>
        <v/>
      </c>
      <c r="G188" s="26" t="str">
        <f t="shared" si="4"/>
        <v/>
      </c>
      <c r="H188" s="26" t="str">
        <f t="shared" si="22"/>
        <v/>
      </c>
      <c r="I188" s="26" t="str">
        <f t="array" ref="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/>
      </c>
      <c r="J188" s="26" t="str">
        <f t="shared" si="5"/>
        <v/>
      </c>
      <c r="K188" s="26" t="str">
        <f t="shared" si="6"/>
        <v/>
      </c>
      <c r="L188" s="26" t="str">
        <f t="shared" si="7"/>
        <v/>
      </c>
      <c r="M188" s="26" t="str">
        <f t="array" ref="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/>
      </c>
      <c r="N188" s="26" t="str">
        <f t="shared" si="8"/>
        <v/>
      </c>
      <c r="O188" s="26" t="str">
        <f t="shared" si="9"/>
        <v/>
      </c>
      <c r="P188" s="26" t="str">
        <f t="shared" si="10"/>
        <v/>
      </c>
      <c r="Q188" s="26" t="str">
        <f t="shared" si="11"/>
        <v/>
      </c>
      <c r="R188" s="26" t="str">
        <f t="shared" si="12"/>
        <v/>
      </c>
      <c r="S188" s="26" t="str">
        <f t="shared" si="13"/>
        <v/>
      </c>
      <c r="T188" s="26" t="str">
        <f t="shared" si="14"/>
        <v/>
      </c>
      <c r="U188" s="26" t="str">
        <f t="shared" si="15"/>
        <v/>
      </c>
      <c r="V188" s="26" t="str">
        <f t="shared" si="16"/>
        <v/>
      </c>
      <c r="W188" s="26" t="str">
        <f t="shared" si="17"/>
        <v/>
      </c>
      <c r="X188" s="26" t="str">
        <f t="shared" si="18"/>
        <v/>
      </c>
      <c r="Y188" s="26" t="str">
        <f t="shared" si="19"/>
        <v/>
      </c>
      <c r="Z188" s="31" t="str">
        <f t="shared" si="20"/>
        <v/>
      </c>
      <c r="AA188" s="31" t="str">
        <f>IF(D188="","",IF(H188&lt;=$B$16,1,IF(H188&gt;=$B$17,$B$21,MATCH(H188,Aux_CAV!$A$2:$A$121,1))))</f>
        <v/>
      </c>
      <c r="AB188" s="31" t="str">
        <f>IF(D188="","",IF(L188&lt;=$B$16,1,IF(L188&gt;=$B$17,$B$21,MATCH(L188,Aux_CAV!$A$2:$A$121,1))))</f>
        <v/>
      </c>
      <c r="AC188" s="3" t="str">
        <f t="shared" si="21"/>
        <v/>
      </c>
    </row>
    <row r="189" ht="12.75" customHeight="1">
      <c r="A189" s="25" t="str">
        <f t="shared" si="1"/>
        <v/>
      </c>
      <c r="B189" s="29" t="str">
        <f t="array" ref="B189">IF(D189="","",IFERROR(VALUE(INDEX(Vazoes_COLAR!$A$2:$A$200,INT((ROW()-24)/12)+1)),""))</f>
        <v/>
      </c>
      <c r="C189" s="29" t="str">
        <f t="shared" si="2"/>
        <v/>
      </c>
      <c r="D189" s="26" t="str">
        <f t="array" ref="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89" s="26" t="str">
        <f t="shared" si="3"/>
        <v/>
      </c>
      <c r="F189" s="26" t="str">
        <f t="array" ref="F189">IF(D189="","",IFERROR(INDEX(Dados_Evap!$C$2:$N$15,MATCH($B$9,Dados_Evap!$A$2:$A$15,0),C189),0))</f>
        <v/>
      </c>
      <c r="G189" s="26" t="str">
        <f t="shared" si="4"/>
        <v/>
      </c>
      <c r="H189" s="26" t="str">
        <f t="shared" si="22"/>
        <v/>
      </c>
      <c r="I189" s="26" t="str">
        <f t="array" ref="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/>
      </c>
      <c r="J189" s="26" t="str">
        <f t="shared" si="5"/>
        <v/>
      </c>
      <c r="K189" s="26" t="str">
        <f t="shared" si="6"/>
        <v/>
      </c>
      <c r="L189" s="26" t="str">
        <f t="shared" si="7"/>
        <v/>
      </c>
      <c r="M189" s="26" t="str">
        <f t="array" ref="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/>
      </c>
      <c r="N189" s="26" t="str">
        <f t="shared" si="8"/>
        <v/>
      </c>
      <c r="O189" s="26" t="str">
        <f t="shared" si="9"/>
        <v/>
      </c>
      <c r="P189" s="26" t="str">
        <f t="shared" si="10"/>
        <v/>
      </c>
      <c r="Q189" s="26" t="str">
        <f t="shared" si="11"/>
        <v/>
      </c>
      <c r="R189" s="26" t="str">
        <f t="shared" si="12"/>
        <v/>
      </c>
      <c r="S189" s="26" t="str">
        <f t="shared" si="13"/>
        <v/>
      </c>
      <c r="T189" s="26" t="str">
        <f t="shared" si="14"/>
        <v/>
      </c>
      <c r="U189" s="26" t="str">
        <f t="shared" si="15"/>
        <v/>
      </c>
      <c r="V189" s="26" t="str">
        <f t="shared" si="16"/>
        <v/>
      </c>
      <c r="W189" s="26" t="str">
        <f t="shared" si="17"/>
        <v/>
      </c>
      <c r="X189" s="26" t="str">
        <f t="shared" si="18"/>
        <v/>
      </c>
      <c r="Y189" s="26" t="str">
        <f t="shared" si="19"/>
        <v/>
      </c>
      <c r="Z189" s="31" t="str">
        <f t="shared" si="20"/>
        <v/>
      </c>
      <c r="AA189" s="31" t="str">
        <f>IF(D189="","",IF(H189&lt;=$B$16,1,IF(H189&gt;=$B$17,$B$21,MATCH(H189,Aux_CAV!$A$2:$A$121,1))))</f>
        <v/>
      </c>
      <c r="AB189" s="31" t="str">
        <f>IF(D189="","",IF(L189&lt;=$B$16,1,IF(L189&gt;=$B$17,$B$21,MATCH(L189,Aux_CAV!$A$2:$A$121,1))))</f>
        <v/>
      </c>
      <c r="AC189" s="3" t="str">
        <f t="shared" si="21"/>
        <v/>
      </c>
    </row>
    <row r="190" ht="12.75" customHeight="1">
      <c r="A190" s="25" t="str">
        <f t="shared" si="1"/>
        <v/>
      </c>
      <c r="B190" s="29" t="str">
        <f t="array" ref="B190">IF(D190="","",IFERROR(VALUE(INDEX(Vazoes_COLAR!$A$2:$A$200,INT((ROW()-24)/12)+1)),""))</f>
        <v/>
      </c>
      <c r="C190" s="29" t="str">
        <f t="shared" si="2"/>
        <v/>
      </c>
      <c r="D190" s="26" t="str">
        <f t="array" ref="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90" s="26" t="str">
        <f t="shared" si="3"/>
        <v/>
      </c>
      <c r="F190" s="26" t="str">
        <f t="array" ref="F190">IF(D190="","",IFERROR(INDEX(Dados_Evap!$C$2:$N$15,MATCH($B$9,Dados_Evap!$A$2:$A$15,0),C190),0))</f>
        <v/>
      </c>
      <c r="G190" s="26" t="str">
        <f t="shared" si="4"/>
        <v/>
      </c>
      <c r="H190" s="26" t="str">
        <f t="shared" si="22"/>
        <v/>
      </c>
      <c r="I190" s="26" t="str">
        <f t="array" ref="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/>
      </c>
      <c r="J190" s="26" t="str">
        <f t="shared" si="5"/>
        <v/>
      </c>
      <c r="K190" s="26" t="str">
        <f t="shared" si="6"/>
        <v/>
      </c>
      <c r="L190" s="26" t="str">
        <f t="shared" si="7"/>
        <v/>
      </c>
      <c r="M190" s="26" t="str">
        <f t="array" ref="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/>
      </c>
      <c r="N190" s="26" t="str">
        <f t="shared" si="8"/>
        <v/>
      </c>
      <c r="O190" s="26" t="str">
        <f t="shared" si="9"/>
        <v/>
      </c>
      <c r="P190" s="26" t="str">
        <f t="shared" si="10"/>
        <v/>
      </c>
      <c r="Q190" s="26" t="str">
        <f t="shared" si="11"/>
        <v/>
      </c>
      <c r="R190" s="26" t="str">
        <f t="shared" si="12"/>
        <v/>
      </c>
      <c r="S190" s="26" t="str">
        <f t="shared" si="13"/>
        <v/>
      </c>
      <c r="T190" s="26" t="str">
        <f t="shared" si="14"/>
        <v/>
      </c>
      <c r="U190" s="26" t="str">
        <f t="shared" si="15"/>
        <v/>
      </c>
      <c r="V190" s="26" t="str">
        <f t="shared" si="16"/>
        <v/>
      </c>
      <c r="W190" s="26" t="str">
        <f t="shared" si="17"/>
        <v/>
      </c>
      <c r="X190" s="26" t="str">
        <f t="shared" si="18"/>
        <v/>
      </c>
      <c r="Y190" s="26" t="str">
        <f t="shared" si="19"/>
        <v/>
      </c>
      <c r="Z190" s="31" t="str">
        <f t="shared" si="20"/>
        <v/>
      </c>
      <c r="AA190" s="31" t="str">
        <f>IF(D190="","",IF(H190&lt;=$B$16,1,IF(H190&gt;=$B$17,$B$21,MATCH(H190,Aux_CAV!$A$2:$A$121,1))))</f>
        <v/>
      </c>
      <c r="AB190" s="31" t="str">
        <f>IF(D190="","",IF(L190&lt;=$B$16,1,IF(L190&gt;=$B$17,$B$21,MATCH(L190,Aux_CAV!$A$2:$A$121,1))))</f>
        <v/>
      </c>
      <c r="AC190" s="3" t="str">
        <f t="shared" si="21"/>
        <v/>
      </c>
    </row>
    <row r="191" ht="12.75" customHeight="1">
      <c r="A191" s="25" t="str">
        <f t="shared" si="1"/>
        <v/>
      </c>
      <c r="B191" s="29" t="str">
        <f t="array" ref="B191">IF(D191="","",IFERROR(VALUE(INDEX(Vazoes_COLAR!$A$2:$A$200,INT((ROW()-24)/12)+1)),""))</f>
        <v/>
      </c>
      <c r="C191" s="29" t="str">
        <f t="shared" si="2"/>
        <v/>
      </c>
      <c r="D191" s="26" t="str">
        <f t="array" ref="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91" s="26" t="str">
        <f t="shared" si="3"/>
        <v/>
      </c>
      <c r="F191" s="26" t="str">
        <f t="array" ref="F191">IF(D191="","",IFERROR(INDEX(Dados_Evap!$C$2:$N$15,MATCH($B$9,Dados_Evap!$A$2:$A$15,0),C191),0))</f>
        <v/>
      </c>
      <c r="G191" s="26" t="str">
        <f t="shared" si="4"/>
        <v/>
      </c>
      <c r="H191" s="26" t="str">
        <f t="shared" si="22"/>
        <v/>
      </c>
      <c r="I191" s="26" t="str">
        <f t="array" ref="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/>
      </c>
      <c r="J191" s="26" t="str">
        <f t="shared" si="5"/>
        <v/>
      </c>
      <c r="K191" s="26" t="str">
        <f t="shared" si="6"/>
        <v/>
      </c>
      <c r="L191" s="26" t="str">
        <f t="shared" si="7"/>
        <v/>
      </c>
      <c r="M191" s="26" t="str">
        <f t="array" ref="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/>
      </c>
      <c r="N191" s="26" t="str">
        <f t="shared" si="8"/>
        <v/>
      </c>
      <c r="O191" s="26" t="str">
        <f t="shared" si="9"/>
        <v/>
      </c>
      <c r="P191" s="26" t="str">
        <f t="shared" si="10"/>
        <v/>
      </c>
      <c r="Q191" s="26" t="str">
        <f t="shared" si="11"/>
        <v/>
      </c>
      <c r="R191" s="26" t="str">
        <f t="shared" si="12"/>
        <v/>
      </c>
      <c r="S191" s="26" t="str">
        <f t="shared" si="13"/>
        <v/>
      </c>
      <c r="T191" s="26" t="str">
        <f t="shared" si="14"/>
        <v/>
      </c>
      <c r="U191" s="26" t="str">
        <f t="shared" si="15"/>
        <v/>
      </c>
      <c r="V191" s="26" t="str">
        <f t="shared" si="16"/>
        <v/>
      </c>
      <c r="W191" s="26" t="str">
        <f t="shared" si="17"/>
        <v/>
      </c>
      <c r="X191" s="26" t="str">
        <f t="shared" si="18"/>
        <v/>
      </c>
      <c r="Y191" s="26" t="str">
        <f t="shared" si="19"/>
        <v/>
      </c>
      <c r="Z191" s="31" t="str">
        <f t="shared" si="20"/>
        <v/>
      </c>
      <c r="AA191" s="31" t="str">
        <f>IF(D191="","",IF(H191&lt;=$B$16,1,IF(H191&gt;=$B$17,$B$21,MATCH(H191,Aux_CAV!$A$2:$A$121,1))))</f>
        <v/>
      </c>
      <c r="AB191" s="31" t="str">
        <f>IF(D191="","",IF(L191&lt;=$B$16,1,IF(L191&gt;=$B$17,$B$21,MATCH(L191,Aux_CAV!$A$2:$A$121,1))))</f>
        <v/>
      </c>
      <c r="AC191" s="3" t="str">
        <f t="shared" si="21"/>
        <v/>
      </c>
    </row>
    <row r="192" ht="12.75" customHeight="1">
      <c r="A192" s="25" t="str">
        <f t="shared" si="1"/>
        <v/>
      </c>
      <c r="B192" s="29" t="str">
        <f t="array" ref="B192">IF(D192="","",IFERROR(VALUE(INDEX(Vazoes_COLAR!$A$2:$A$200,INT((ROW()-24)/12)+1)),""))</f>
        <v/>
      </c>
      <c r="C192" s="29" t="str">
        <f t="shared" si="2"/>
        <v/>
      </c>
      <c r="D192" s="26" t="str">
        <f t="array" ref="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92" s="26" t="str">
        <f t="shared" si="3"/>
        <v/>
      </c>
      <c r="F192" s="26" t="str">
        <f t="array" ref="F192">IF(D192="","",IFERROR(INDEX(Dados_Evap!$C$2:$N$15,MATCH($B$9,Dados_Evap!$A$2:$A$15,0),C192),0))</f>
        <v/>
      </c>
      <c r="G192" s="26" t="str">
        <f t="shared" si="4"/>
        <v/>
      </c>
      <c r="H192" s="26" t="str">
        <f t="shared" si="22"/>
        <v/>
      </c>
      <c r="I192" s="26" t="str">
        <f t="array" ref="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/>
      </c>
      <c r="J192" s="26" t="str">
        <f t="shared" si="5"/>
        <v/>
      </c>
      <c r="K192" s="26" t="str">
        <f t="shared" si="6"/>
        <v/>
      </c>
      <c r="L192" s="26" t="str">
        <f t="shared" si="7"/>
        <v/>
      </c>
      <c r="M192" s="26" t="str">
        <f t="array" ref="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/>
      </c>
      <c r="N192" s="26" t="str">
        <f t="shared" si="8"/>
        <v/>
      </c>
      <c r="O192" s="26" t="str">
        <f t="shared" si="9"/>
        <v/>
      </c>
      <c r="P192" s="26" t="str">
        <f t="shared" si="10"/>
        <v/>
      </c>
      <c r="Q192" s="26" t="str">
        <f t="shared" si="11"/>
        <v/>
      </c>
      <c r="R192" s="26" t="str">
        <f t="shared" si="12"/>
        <v/>
      </c>
      <c r="S192" s="26" t="str">
        <f t="shared" si="13"/>
        <v/>
      </c>
      <c r="T192" s="26" t="str">
        <f t="shared" si="14"/>
        <v/>
      </c>
      <c r="U192" s="26" t="str">
        <f t="shared" si="15"/>
        <v/>
      </c>
      <c r="V192" s="26" t="str">
        <f t="shared" si="16"/>
        <v/>
      </c>
      <c r="W192" s="26" t="str">
        <f t="shared" si="17"/>
        <v/>
      </c>
      <c r="X192" s="26" t="str">
        <f t="shared" si="18"/>
        <v/>
      </c>
      <c r="Y192" s="26" t="str">
        <f t="shared" si="19"/>
        <v/>
      </c>
      <c r="Z192" s="31" t="str">
        <f t="shared" si="20"/>
        <v/>
      </c>
      <c r="AA192" s="31" t="str">
        <f>IF(D192="","",IF(H192&lt;=$B$16,1,IF(H192&gt;=$B$17,$B$21,MATCH(H192,Aux_CAV!$A$2:$A$121,1))))</f>
        <v/>
      </c>
      <c r="AB192" s="31" t="str">
        <f>IF(D192="","",IF(L192&lt;=$B$16,1,IF(L192&gt;=$B$17,$B$21,MATCH(L192,Aux_CAV!$A$2:$A$121,1))))</f>
        <v/>
      </c>
      <c r="AC192" s="3" t="str">
        <f t="shared" si="21"/>
        <v/>
      </c>
    </row>
    <row r="193" ht="12.75" customHeight="1">
      <c r="A193" s="25" t="str">
        <f t="shared" si="1"/>
        <v/>
      </c>
      <c r="B193" s="29" t="str">
        <f t="array" ref="B193">IF(D193="","",IFERROR(VALUE(INDEX(Vazoes_COLAR!$A$2:$A$200,INT((ROW()-24)/12)+1)),""))</f>
        <v/>
      </c>
      <c r="C193" s="29" t="str">
        <f t="shared" si="2"/>
        <v/>
      </c>
      <c r="D193" s="26" t="str">
        <f t="array" ref="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93" s="26" t="str">
        <f t="shared" si="3"/>
        <v/>
      </c>
      <c r="F193" s="26" t="str">
        <f t="array" ref="F193">IF(D193="","",IFERROR(INDEX(Dados_Evap!$C$2:$N$15,MATCH($B$9,Dados_Evap!$A$2:$A$15,0),C193),0))</f>
        <v/>
      </c>
      <c r="G193" s="26" t="str">
        <f t="shared" si="4"/>
        <v/>
      </c>
      <c r="H193" s="26" t="str">
        <f t="shared" si="22"/>
        <v/>
      </c>
      <c r="I193" s="26" t="str">
        <f t="array" ref="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/>
      </c>
      <c r="J193" s="26" t="str">
        <f t="shared" si="5"/>
        <v/>
      </c>
      <c r="K193" s="26" t="str">
        <f t="shared" si="6"/>
        <v/>
      </c>
      <c r="L193" s="26" t="str">
        <f t="shared" si="7"/>
        <v/>
      </c>
      <c r="M193" s="26" t="str">
        <f t="array" ref="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/>
      </c>
      <c r="N193" s="26" t="str">
        <f t="shared" si="8"/>
        <v/>
      </c>
      <c r="O193" s="26" t="str">
        <f t="shared" si="9"/>
        <v/>
      </c>
      <c r="P193" s="26" t="str">
        <f t="shared" si="10"/>
        <v/>
      </c>
      <c r="Q193" s="26" t="str">
        <f t="shared" si="11"/>
        <v/>
      </c>
      <c r="R193" s="26" t="str">
        <f t="shared" si="12"/>
        <v/>
      </c>
      <c r="S193" s="26" t="str">
        <f t="shared" si="13"/>
        <v/>
      </c>
      <c r="T193" s="26" t="str">
        <f t="shared" si="14"/>
        <v/>
      </c>
      <c r="U193" s="26" t="str">
        <f t="shared" si="15"/>
        <v/>
      </c>
      <c r="V193" s="26" t="str">
        <f t="shared" si="16"/>
        <v/>
      </c>
      <c r="W193" s="26" t="str">
        <f t="shared" si="17"/>
        <v/>
      </c>
      <c r="X193" s="26" t="str">
        <f t="shared" si="18"/>
        <v/>
      </c>
      <c r="Y193" s="26" t="str">
        <f t="shared" si="19"/>
        <v/>
      </c>
      <c r="Z193" s="31" t="str">
        <f t="shared" si="20"/>
        <v/>
      </c>
      <c r="AA193" s="31" t="str">
        <f>IF(D193="","",IF(H193&lt;=$B$16,1,IF(H193&gt;=$B$17,$B$21,MATCH(H193,Aux_CAV!$A$2:$A$121,1))))</f>
        <v/>
      </c>
      <c r="AB193" s="31" t="str">
        <f>IF(D193="","",IF(L193&lt;=$B$16,1,IF(L193&gt;=$B$17,$B$21,MATCH(L193,Aux_CAV!$A$2:$A$121,1))))</f>
        <v/>
      </c>
      <c r="AC193" s="3" t="str">
        <f t="shared" si="21"/>
        <v/>
      </c>
    </row>
    <row r="194" ht="12.75" customHeight="1">
      <c r="A194" s="25" t="str">
        <f t="shared" si="1"/>
        <v/>
      </c>
      <c r="B194" s="29" t="str">
        <f t="array" ref="B194">IF(D194="","",IFERROR(VALUE(INDEX(Vazoes_COLAR!$A$2:$A$200,INT((ROW()-24)/12)+1)),""))</f>
        <v/>
      </c>
      <c r="C194" s="29" t="str">
        <f t="shared" si="2"/>
        <v/>
      </c>
      <c r="D194" s="26" t="str">
        <f t="array" ref="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94" s="26" t="str">
        <f t="shared" si="3"/>
        <v/>
      </c>
      <c r="F194" s="26" t="str">
        <f t="array" ref="F194">IF(D194="","",IFERROR(INDEX(Dados_Evap!$C$2:$N$15,MATCH($B$9,Dados_Evap!$A$2:$A$15,0),C194),0))</f>
        <v/>
      </c>
      <c r="G194" s="26" t="str">
        <f t="shared" si="4"/>
        <v/>
      </c>
      <c r="H194" s="26" t="str">
        <f t="shared" si="22"/>
        <v/>
      </c>
      <c r="I194" s="26" t="str">
        <f t="array" ref="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/>
      </c>
      <c r="J194" s="26" t="str">
        <f t="shared" si="5"/>
        <v/>
      </c>
      <c r="K194" s="26" t="str">
        <f t="shared" si="6"/>
        <v/>
      </c>
      <c r="L194" s="26" t="str">
        <f t="shared" si="7"/>
        <v/>
      </c>
      <c r="M194" s="26" t="str">
        <f t="array" ref="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/>
      </c>
      <c r="N194" s="26" t="str">
        <f t="shared" si="8"/>
        <v/>
      </c>
      <c r="O194" s="26" t="str">
        <f t="shared" si="9"/>
        <v/>
      </c>
      <c r="P194" s="26" t="str">
        <f t="shared" si="10"/>
        <v/>
      </c>
      <c r="Q194" s="26" t="str">
        <f t="shared" si="11"/>
        <v/>
      </c>
      <c r="R194" s="26" t="str">
        <f t="shared" si="12"/>
        <v/>
      </c>
      <c r="S194" s="26" t="str">
        <f t="shared" si="13"/>
        <v/>
      </c>
      <c r="T194" s="26" t="str">
        <f t="shared" si="14"/>
        <v/>
      </c>
      <c r="U194" s="26" t="str">
        <f t="shared" si="15"/>
        <v/>
      </c>
      <c r="V194" s="26" t="str">
        <f t="shared" si="16"/>
        <v/>
      </c>
      <c r="W194" s="26" t="str">
        <f t="shared" si="17"/>
        <v/>
      </c>
      <c r="X194" s="26" t="str">
        <f t="shared" si="18"/>
        <v/>
      </c>
      <c r="Y194" s="26" t="str">
        <f t="shared" si="19"/>
        <v/>
      </c>
      <c r="Z194" s="31" t="str">
        <f t="shared" si="20"/>
        <v/>
      </c>
      <c r="AA194" s="31" t="str">
        <f>IF(D194="","",IF(H194&lt;=$B$16,1,IF(H194&gt;=$B$17,$B$21,MATCH(H194,Aux_CAV!$A$2:$A$121,1))))</f>
        <v/>
      </c>
      <c r="AB194" s="31" t="str">
        <f>IF(D194="","",IF(L194&lt;=$B$16,1,IF(L194&gt;=$B$17,$B$21,MATCH(L194,Aux_CAV!$A$2:$A$121,1))))</f>
        <v/>
      </c>
      <c r="AC194" s="3" t="str">
        <f t="shared" si="21"/>
        <v/>
      </c>
    </row>
    <row r="195" ht="12.75" customHeight="1">
      <c r="A195" s="25" t="str">
        <f t="shared" si="1"/>
        <v/>
      </c>
      <c r="B195" s="29" t="str">
        <f t="array" ref="B195">IF(D195="","",IFERROR(VALUE(INDEX(Vazoes_COLAR!$A$2:$A$200,INT((ROW()-24)/12)+1)),""))</f>
        <v/>
      </c>
      <c r="C195" s="29" t="str">
        <f t="shared" si="2"/>
        <v/>
      </c>
      <c r="D195" s="26" t="str">
        <f t="array" ref="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95" s="26" t="str">
        <f t="shared" si="3"/>
        <v/>
      </c>
      <c r="F195" s="26" t="str">
        <f t="array" ref="F195">IF(D195="","",IFERROR(INDEX(Dados_Evap!$C$2:$N$15,MATCH($B$9,Dados_Evap!$A$2:$A$15,0),C195),0))</f>
        <v/>
      </c>
      <c r="G195" s="26" t="str">
        <f t="shared" si="4"/>
        <v/>
      </c>
      <c r="H195" s="26" t="str">
        <f t="shared" si="22"/>
        <v/>
      </c>
      <c r="I195" s="26" t="str">
        <f t="array" ref="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/>
      </c>
      <c r="J195" s="26" t="str">
        <f t="shared" si="5"/>
        <v/>
      </c>
      <c r="K195" s="26" t="str">
        <f t="shared" si="6"/>
        <v/>
      </c>
      <c r="L195" s="26" t="str">
        <f t="shared" si="7"/>
        <v/>
      </c>
      <c r="M195" s="26" t="str">
        <f t="array" ref="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/>
      </c>
      <c r="N195" s="26" t="str">
        <f t="shared" si="8"/>
        <v/>
      </c>
      <c r="O195" s="26" t="str">
        <f t="shared" si="9"/>
        <v/>
      </c>
      <c r="P195" s="26" t="str">
        <f t="shared" si="10"/>
        <v/>
      </c>
      <c r="Q195" s="26" t="str">
        <f t="shared" si="11"/>
        <v/>
      </c>
      <c r="R195" s="26" t="str">
        <f t="shared" si="12"/>
        <v/>
      </c>
      <c r="S195" s="26" t="str">
        <f t="shared" si="13"/>
        <v/>
      </c>
      <c r="T195" s="26" t="str">
        <f t="shared" si="14"/>
        <v/>
      </c>
      <c r="U195" s="26" t="str">
        <f t="shared" si="15"/>
        <v/>
      </c>
      <c r="V195" s="26" t="str">
        <f t="shared" si="16"/>
        <v/>
      </c>
      <c r="W195" s="26" t="str">
        <f t="shared" si="17"/>
        <v/>
      </c>
      <c r="X195" s="26" t="str">
        <f t="shared" si="18"/>
        <v/>
      </c>
      <c r="Y195" s="26" t="str">
        <f t="shared" si="19"/>
        <v/>
      </c>
      <c r="Z195" s="31" t="str">
        <f t="shared" si="20"/>
        <v/>
      </c>
      <c r="AA195" s="31" t="str">
        <f>IF(D195="","",IF(H195&lt;=$B$16,1,IF(H195&gt;=$B$17,$B$21,MATCH(H195,Aux_CAV!$A$2:$A$121,1))))</f>
        <v/>
      </c>
      <c r="AB195" s="31" t="str">
        <f>IF(D195="","",IF(L195&lt;=$B$16,1,IF(L195&gt;=$B$17,$B$21,MATCH(L195,Aux_CAV!$A$2:$A$121,1))))</f>
        <v/>
      </c>
      <c r="AC195" s="3" t="str">
        <f t="shared" si="21"/>
        <v/>
      </c>
    </row>
    <row r="196" ht="12.75" customHeight="1">
      <c r="A196" s="25" t="str">
        <f t="shared" si="1"/>
        <v/>
      </c>
      <c r="B196" s="29" t="str">
        <f t="array" ref="B196">IF(D196="","",IFERROR(VALUE(INDEX(Vazoes_COLAR!$A$2:$A$200,INT((ROW()-24)/12)+1)),""))</f>
        <v/>
      </c>
      <c r="C196" s="29" t="str">
        <f t="shared" si="2"/>
        <v/>
      </c>
      <c r="D196" s="26" t="str">
        <f t="array" ref="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96" s="26" t="str">
        <f t="shared" si="3"/>
        <v/>
      </c>
      <c r="F196" s="26" t="str">
        <f t="array" ref="F196">IF(D196="","",IFERROR(INDEX(Dados_Evap!$C$2:$N$15,MATCH($B$9,Dados_Evap!$A$2:$A$15,0),C196),0))</f>
        <v/>
      </c>
      <c r="G196" s="26" t="str">
        <f t="shared" si="4"/>
        <v/>
      </c>
      <c r="H196" s="26" t="str">
        <f t="shared" si="22"/>
        <v/>
      </c>
      <c r="I196" s="26" t="str">
        <f t="array" ref="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/>
      </c>
      <c r="J196" s="26" t="str">
        <f t="shared" si="5"/>
        <v/>
      </c>
      <c r="K196" s="26" t="str">
        <f t="shared" si="6"/>
        <v/>
      </c>
      <c r="L196" s="26" t="str">
        <f t="shared" si="7"/>
        <v/>
      </c>
      <c r="M196" s="26" t="str">
        <f t="array" ref="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/>
      </c>
      <c r="N196" s="26" t="str">
        <f t="shared" si="8"/>
        <v/>
      </c>
      <c r="O196" s="26" t="str">
        <f t="shared" si="9"/>
        <v/>
      </c>
      <c r="P196" s="26" t="str">
        <f t="shared" si="10"/>
        <v/>
      </c>
      <c r="Q196" s="26" t="str">
        <f t="shared" si="11"/>
        <v/>
      </c>
      <c r="R196" s="26" t="str">
        <f t="shared" si="12"/>
        <v/>
      </c>
      <c r="S196" s="26" t="str">
        <f t="shared" si="13"/>
        <v/>
      </c>
      <c r="T196" s="26" t="str">
        <f t="shared" si="14"/>
        <v/>
      </c>
      <c r="U196" s="26" t="str">
        <f t="shared" si="15"/>
        <v/>
      </c>
      <c r="V196" s="26" t="str">
        <f t="shared" si="16"/>
        <v/>
      </c>
      <c r="W196" s="26" t="str">
        <f t="shared" si="17"/>
        <v/>
      </c>
      <c r="X196" s="26" t="str">
        <f t="shared" si="18"/>
        <v/>
      </c>
      <c r="Y196" s="26" t="str">
        <f t="shared" si="19"/>
        <v/>
      </c>
      <c r="Z196" s="31" t="str">
        <f t="shared" si="20"/>
        <v/>
      </c>
      <c r="AA196" s="31" t="str">
        <f>IF(D196="","",IF(H196&lt;=$B$16,1,IF(H196&gt;=$B$17,$B$21,MATCH(H196,Aux_CAV!$A$2:$A$121,1))))</f>
        <v/>
      </c>
      <c r="AB196" s="31" t="str">
        <f>IF(D196="","",IF(L196&lt;=$B$16,1,IF(L196&gt;=$B$17,$B$21,MATCH(L196,Aux_CAV!$A$2:$A$121,1))))</f>
        <v/>
      </c>
      <c r="AC196" s="3" t="str">
        <f t="shared" si="21"/>
        <v/>
      </c>
    </row>
    <row r="197" ht="12.75" customHeight="1">
      <c r="A197" s="25" t="str">
        <f t="shared" si="1"/>
        <v/>
      </c>
      <c r="B197" s="29" t="str">
        <f t="array" ref="B197">IF(D197="","",IFERROR(VALUE(INDEX(Vazoes_COLAR!$A$2:$A$200,INT((ROW()-24)/12)+1)),""))</f>
        <v/>
      </c>
      <c r="C197" s="29" t="str">
        <f t="shared" si="2"/>
        <v/>
      </c>
      <c r="D197" s="26" t="str">
        <f t="array" ref="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97" s="26" t="str">
        <f t="shared" si="3"/>
        <v/>
      </c>
      <c r="F197" s="26" t="str">
        <f t="array" ref="F197">IF(D197="","",IFERROR(INDEX(Dados_Evap!$C$2:$N$15,MATCH($B$9,Dados_Evap!$A$2:$A$15,0),C197),0))</f>
        <v/>
      </c>
      <c r="G197" s="26" t="str">
        <f t="shared" si="4"/>
        <v/>
      </c>
      <c r="H197" s="26" t="str">
        <f t="shared" si="22"/>
        <v/>
      </c>
      <c r="I197" s="26" t="str">
        <f t="array" ref="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/>
      </c>
      <c r="J197" s="26" t="str">
        <f t="shared" si="5"/>
        <v/>
      </c>
      <c r="K197" s="26" t="str">
        <f t="shared" si="6"/>
        <v/>
      </c>
      <c r="L197" s="26" t="str">
        <f t="shared" si="7"/>
        <v/>
      </c>
      <c r="M197" s="26" t="str">
        <f t="array" ref="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/>
      </c>
      <c r="N197" s="26" t="str">
        <f t="shared" si="8"/>
        <v/>
      </c>
      <c r="O197" s="26" t="str">
        <f t="shared" si="9"/>
        <v/>
      </c>
      <c r="P197" s="26" t="str">
        <f t="shared" si="10"/>
        <v/>
      </c>
      <c r="Q197" s="26" t="str">
        <f t="shared" si="11"/>
        <v/>
      </c>
      <c r="R197" s="26" t="str">
        <f t="shared" si="12"/>
        <v/>
      </c>
      <c r="S197" s="26" t="str">
        <f t="shared" si="13"/>
        <v/>
      </c>
      <c r="T197" s="26" t="str">
        <f t="shared" si="14"/>
        <v/>
      </c>
      <c r="U197" s="26" t="str">
        <f t="shared" si="15"/>
        <v/>
      </c>
      <c r="V197" s="26" t="str">
        <f t="shared" si="16"/>
        <v/>
      </c>
      <c r="W197" s="26" t="str">
        <f t="shared" si="17"/>
        <v/>
      </c>
      <c r="X197" s="26" t="str">
        <f t="shared" si="18"/>
        <v/>
      </c>
      <c r="Y197" s="26" t="str">
        <f t="shared" si="19"/>
        <v/>
      </c>
      <c r="Z197" s="31" t="str">
        <f t="shared" si="20"/>
        <v/>
      </c>
      <c r="AA197" s="31" t="str">
        <f>IF(D197="","",IF(H197&lt;=$B$16,1,IF(H197&gt;=$B$17,$B$21,MATCH(H197,Aux_CAV!$A$2:$A$121,1))))</f>
        <v/>
      </c>
      <c r="AB197" s="31" t="str">
        <f>IF(D197="","",IF(L197&lt;=$B$16,1,IF(L197&gt;=$B$17,$B$21,MATCH(L197,Aux_CAV!$A$2:$A$121,1))))</f>
        <v/>
      </c>
      <c r="AC197" s="3" t="str">
        <f t="shared" si="21"/>
        <v/>
      </c>
    </row>
    <row r="198" ht="12.75" customHeight="1">
      <c r="A198" s="25" t="str">
        <f t="shared" si="1"/>
        <v/>
      </c>
      <c r="B198" s="29" t="str">
        <f t="array" ref="B198">IF(D198="","",IFERROR(VALUE(INDEX(Vazoes_COLAR!$A$2:$A$200,INT((ROW()-24)/12)+1)),""))</f>
        <v/>
      </c>
      <c r="C198" s="29" t="str">
        <f t="shared" si="2"/>
        <v/>
      </c>
      <c r="D198" s="26" t="str">
        <f t="array" ref="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98" s="26" t="str">
        <f t="shared" si="3"/>
        <v/>
      </c>
      <c r="F198" s="26" t="str">
        <f t="array" ref="F198">IF(D198="","",IFERROR(INDEX(Dados_Evap!$C$2:$N$15,MATCH($B$9,Dados_Evap!$A$2:$A$15,0),C198),0))</f>
        <v/>
      </c>
      <c r="G198" s="26" t="str">
        <f t="shared" si="4"/>
        <v/>
      </c>
      <c r="H198" s="26" t="str">
        <f t="shared" si="22"/>
        <v/>
      </c>
      <c r="I198" s="26" t="str">
        <f t="array" ref="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/>
      </c>
      <c r="J198" s="26" t="str">
        <f t="shared" si="5"/>
        <v/>
      </c>
      <c r="K198" s="26" t="str">
        <f t="shared" si="6"/>
        <v/>
      </c>
      <c r="L198" s="26" t="str">
        <f t="shared" si="7"/>
        <v/>
      </c>
      <c r="M198" s="26" t="str">
        <f t="array" ref="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/>
      </c>
      <c r="N198" s="26" t="str">
        <f t="shared" si="8"/>
        <v/>
      </c>
      <c r="O198" s="26" t="str">
        <f t="shared" si="9"/>
        <v/>
      </c>
      <c r="P198" s="26" t="str">
        <f t="shared" si="10"/>
        <v/>
      </c>
      <c r="Q198" s="26" t="str">
        <f t="shared" si="11"/>
        <v/>
      </c>
      <c r="R198" s="26" t="str">
        <f t="shared" si="12"/>
        <v/>
      </c>
      <c r="S198" s="26" t="str">
        <f t="shared" si="13"/>
        <v/>
      </c>
      <c r="T198" s="26" t="str">
        <f t="shared" si="14"/>
        <v/>
      </c>
      <c r="U198" s="26" t="str">
        <f t="shared" si="15"/>
        <v/>
      </c>
      <c r="V198" s="26" t="str">
        <f t="shared" si="16"/>
        <v/>
      </c>
      <c r="W198" s="26" t="str">
        <f t="shared" si="17"/>
        <v/>
      </c>
      <c r="X198" s="26" t="str">
        <f t="shared" si="18"/>
        <v/>
      </c>
      <c r="Y198" s="26" t="str">
        <f t="shared" si="19"/>
        <v/>
      </c>
      <c r="Z198" s="31" t="str">
        <f t="shared" si="20"/>
        <v/>
      </c>
      <c r="AA198" s="31" t="str">
        <f>IF(D198="","",IF(H198&lt;=$B$16,1,IF(H198&gt;=$B$17,$B$21,MATCH(H198,Aux_CAV!$A$2:$A$121,1))))</f>
        <v/>
      </c>
      <c r="AB198" s="31" t="str">
        <f>IF(D198="","",IF(L198&lt;=$B$16,1,IF(L198&gt;=$B$17,$B$21,MATCH(L198,Aux_CAV!$A$2:$A$121,1))))</f>
        <v/>
      </c>
      <c r="AC198" s="3" t="str">
        <f t="shared" si="21"/>
        <v/>
      </c>
    </row>
    <row r="199" ht="12.75" customHeight="1">
      <c r="A199" s="25" t="str">
        <f t="shared" si="1"/>
        <v/>
      </c>
      <c r="B199" s="29" t="str">
        <f t="array" ref="B199">IF(D199="","",IFERROR(VALUE(INDEX(Vazoes_COLAR!$A$2:$A$200,INT((ROW()-24)/12)+1)),""))</f>
        <v/>
      </c>
      <c r="C199" s="29" t="str">
        <f t="shared" si="2"/>
        <v/>
      </c>
      <c r="D199" s="26" t="str">
        <f t="array" ref="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99" s="26" t="str">
        <f t="shared" si="3"/>
        <v/>
      </c>
      <c r="F199" s="26" t="str">
        <f t="array" ref="F199">IF(D199="","",IFERROR(INDEX(Dados_Evap!$C$2:$N$15,MATCH($B$9,Dados_Evap!$A$2:$A$15,0),C199),0))</f>
        <v/>
      </c>
      <c r="G199" s="26" t="str">
        <f t="shared" si="4"/>
        <v/>
      </c>
      <c r="H199" s="26" t="str">
        <f t="shared" si="22"/>
        <v/>
      </c>
      <c r="I199" s="26" t="str">
        <f t="array" ref="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/>
      </c>
      <c r="J199" s="26" t="str">
        <f t="shared" si="5"/>
        <v/>
      </c>
      <c r="K199" s="26" t="str">
        <f t="shared" si="6"/>
        <v/>
      </c>
      <c r="L199" s="26" t="str">
        <f t="shared" si="7"/>
        <v/>
      </c>
      <c r="M199" s="26" t="str">
        <f t="array" ref="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/>
      </c>
      <c r="N199" s="26" t="str">
        <f t="shared" si="8"/>
        <v/>
      </c>
      <c r="O199" s="26" t="str">
        <f t="shared" si="9"/>
        <v/>
      </c>
      <c r="P199" s="26" t="str">
        <f t="shared" si="10"/>
        <v/>
      </c>
      <c r="Q199" s="26" t="str">
        <f t="shared" si="11"/>
        <v/>
      </c>
      <c r="R199" s="26" t="str">
        <f t="shared" si="12"/>
        <v/>
      </c>
      <c r="S199" s="26" t="str">
        <f t="shared" si="13"/>
        <v/>
      </c>
      <c r="T199" s="26" t="str">
        <f t="shared" si="14"/>
        <v/>
      </c>
      <c r="U199" s="26" t="str">
        <f t="shared" si="15"/>
        <v/>
      </c>
      <c r="V199" s="26" t="str">
        <f t="shared" si="16"/>
        <v/>
      </c>
      <c r="W199" s="26" t="str">
        <f t="shared" si="17"/>
        <v/>
      </c>
      <c r="X199" s="26" t="str">
        <f t="shared" si="18"/>
        <v/>
      </c>
      <c r="Y199" s="26" t="str">
        <f t="shared" si="19"/>
        <v/>
      </c>
      <c r="Z199" s="31" t="str">
        <f t="shared" si="20"/>
        <v/>
      </c>
      <c r="AA199" s="31" t="str">
        <f>IF(D199="","",IF(H199&lt;=$B$16,1,IF(H199&gt;=$B$17,$B$21,MATCH(H199,Aux_CAV!$A$2:$A$121,1))))</f>
        <v/>
      </c>
      <c r="AB199" s="31" t="str">
        <f>IF(D199="","",IF(L199&lt;=$B$16,1,IF(L199&gt;=$B$17,$B$21,MATCH(L199,Aux_CAV!$A$2:$A$121,1))))</f>
        <v/>
      </c>
      <c r="AC199" s="3" t="str">
        <f t="shared" si="21"/>
        <v/>
      </c>
    </row>
    <row r="200" ht="12.75" customHeight="1">
      <c r="A200" s="25" t="str">
        <f t="shared" si="1"/>
        <v/>
      </c>
      <c r="B200" s="29" t="str">
        <f t="array" ref="B200">IF(D200="","",IFERROR(VALUE(INDEX(Vazoes_COLAR!$A$2:$A$200,INT((ROW()-24)/12)+1)),""))</f>
        <v/>
      </c>
      <c r="C200" s="29" t="str">
        <f t="shared" si="2"/>
        <v/>
      </c>
      <c r="D200" s="26" t="str">
        <f t="array" ref="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00" s="26" t="str">
        <f t="shared" si="3"/>
        <v/>
      </c>
      <c r="F200" s="26" t="str">
        <f t="array" ref="F200">IF(D200="","",IFERROR(INDEX(Dados_Evap!$C$2:$N$15,MATCH($B$9,Dados_Evap!$A$2:$A$15,0),C200),0))</f>
        <v/>
      </c>
      <c r="G200" s="26" t="str">
        <f t="shared" si="4"/>
        <v/>
      </c>
      <c r="H200" s="26" t="str">
        <f t="shared" si="22"/>
        <v/>
      </c>
      <c r="I200" s="26" t="str">
        <f t="array" ref="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/>
      </c>
      <c r="J200" s="26" t="str">
        <f t="shared" si="5"/>
        <v/>
      </c>
      <c r="K200" s="26" t="str">
        <f t="shared" si="6"/>
        <v/>
      </c>
      <c r="L200" s="26" t="str">
        <f t="shared" si="7"/>
        <v/>
      </c>
      <c r="M200" s="26" t="str">
        <f t="array" ref="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/>
      </c>
      <c r="N200" s="26" t="str">
        <f t="shared" si="8"/>
        <v/>
      </c>
      <c r="O200" s="26" t="str">
        <f t="shared" si="9"/>
        <v/>
      </c>
      <c r="P200" s="26" t="str">
        <f t="shared" si="10"/>
        <v/>
      </c>
      <c r="Q200" s="26" t="str">
        <f t="shared" si="11"/>
        <v/>
      </c>
      <c r="R200" s="26" t="str">
        <f t="shared" si="12"/>
        <v/>
      </c>
      <c r="S200" s="26" t="str">
        <f t="shared" si="13"/>
        <v/>
      </c>
      <c r="T200" s="26" t="str">
        <f t="shared" si="14"/>
        <v/>
      </c>
      <c r="U200" s="26" t="str">
        <f t="shared" si="15"/>
        <v/>
      </c>
      <c r="V200" s="26" t="str">
        <f t="shared" si="16"/>
        <v/>
      </c>
      <c r="W200" s="26" t="str">
        <f t="shared" si="17"/>
        <v/>
      </c>
      <c r="X200" s="26" t="str">
        <f t="shared" si="18"/>
        <v/>
      </c>
      <c r="Y200" s="26" t="str">
        <f t="shared" si="19"/>
        <v/>
      </c>
      <c r="Z200" s="31" t="str">
        <f t="shared" si="20"/>
        <v/>
      </c>
      <c r="AA200" s="31" t="str">
        <f>IF(D200="","",IF(H200&lt;=$B$16,1,IF(H200&gt;=$B$17,$B$21,MATCH(H200,Aux_CAV!$A$2:$A$121,1))))</f>
        <v/>
      </c>
      <c r="AB200" s="31" t="str">
        <f>IF(D200="","",IF(L200&lt;=$B$16,1,IF(L200&gt;=$B$17,$B$21,MATCH(L200,Aux_CAV!$A$2:$A$121,1))))</f>
        <v/>
      </c>
      <c r="AC200" s="3" t="str">
        <f t="shared" si="21"/>
        <v/>
      </c>
    </row>
    <row r="201" ht="12.75" customHeight="1">
      <c r="A201" s="25" t="str">
        <f t="shared" si="1"/>
        <v/>
      </c>
      <c r="B201" s="29" t="str">
        <f t="array" ref="B201">IF(D201="","",IFERROR(VALUE(INDEX(Vazoes_COLAR!$A$2:$A$200,INT((ROW()-24)/12)+1)),""))</f>
        <v/>
      </c>
      <c r="C201" s="29" t="str">
        <f t="shared" si="2"/>
        <v/>
      </c>
      <c r="D201" s="26" t="str">
        <f t="array" ref="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01" s="26" t="str">
        <f t="shared" si="3"/>
        <v/>
      </c>
      <c r="F201" s="26" t="str">
        <f t="array" ref="F201">IF(D201="","",IFERROR(INDEX(Dados_Evap!$C$2:$N$15,MATCH($B$9,Dados_Evap!$A$2:$A$15,0),C201),0))</f>
        <v/>
      </c>
      <c r="G201" s="26" t="str">
        <f t="shared" si="4"/>
        <v/>
      </c>
      <c r="H201" s="26" t="str">
        <f t="shared" si="22"/>
        <v/>
      </c>
      <c r="I201" s="26" t="str">
        <f t="array" ref="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/>
      </c>
      <c r="J201" s="26" t="str">
        <f t="shared" si="5"/>
        <v/>
      </c>
      <c r="K201" s="26" t="str">
        <f t="shared" si="6"/>
        <v/>
      </c>
      <c r="L201" s="26" t="str">
        <f t="shared" si="7"/>
        <v/>
      </c>
      <c r="M201" s="26" t="str">
        <f t="array" ref="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/>
      </c>
      <c r="N201" s="26" t="str">
        <f t="shared" si="8"/>
        <v/>
      </c>
      <c r="O201" s="26" t="str">
        <f t="shared" si="9"/>
        <v/>
      </c>
      <c r="P201" s="26" t="str">
        <f t="shared" si="10"/>
        <v/>
      </c>
      <c r="Q201" s="26" t="str">
        <f t="shared" si="11"/>
        <v/>
      </c>
      <c r="R201" s="26" t="str">
        <f t="shared" si="12"/>
        <v/>
      </c>
      <c r="S201" s="26" t="str">
        <f t="shared" si="13"/>
        <v/>
      </c>
      <c r="T201" s="26" t="str">
        <f t="shared" si="14"/>
        <v/>
      </c>
      <c r="U201" s="26" t="str">
        <f t="shared" si="15"/>
        <v/>
      </c>
      <c r="V201" s="26" t="str">
        <f t="shared" si="16"/>
        <v/>
      </c>
      <c r="W201" s="26" t="str">
        <f t="shared" si="17"/>
        <v/>
      </c>
      <c r="X201" s="26" t="str">
        <f t="shared" si="18"/>
        <v/>
      </c>
      <c r="Y201" s="26" t="str">
        <f t="shared" si="19"/>
        <v/>
      </c>
      <c r="Z201" s="31" t="str">
        <f t="shared" si="20"/>
        <v/>
      </c>
      <c r="AA201" s="31" t="str">
        <f>IF(D201="","",IF(H201&lt;=$B$16,1,IF(H201&gt;=$B$17,$B$21,MATCH(H201,Aux_CAV!$A$2:$A$121,1))))</f>
        <v/>
      </c>
      <c r="AB201" s="31" t="str">
        <f>IF(D201="","",IF(L201&lt;=$B$16,1,IF(L201&gt;=$B$17,$B$21,MATCH(L201,Aux_CAV!$A$2:$A$121,1))))</f>
        <v/>
      </c>
      <c r="AC201" s="3" t="str">
        <f t="shared" si="21"/>
        <v/>
      </c>
    </row>
    <row r="202" ht="12.75" customHeight="1">
      <c r="A202" s="25" t="str">
        <f t="shared" si="1"/>
        <v/>
      </c>
      <c r="B202" s="29" t="str">
        <f t="array" ref="B202">IF(D202="","",IFERROR(VALUE(INDEX(Vazoes_COLAR!$A$2:$A$200,INT((ROW()-24)/12)+1)),""))</f>
        <v/>
      </c>
      <c r="C202" s="29" t="str">
        <f t="shared" si="2"/>
        <v/>
      </c>
      <c r="D202" s="26" t="str">
        <f t="array" ref="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02" s="26" t="str">
        <f t="shared" si="3"/>
        <v/>
      </c>
      <c r="F202" s="26" t="str">
        <f t="array" ref="F202">IF(D202="","",IFERROR(INDEX(Dados_Evap!$C$2:$N$15,MATCH($B$9,Dados_Evap!$A$2:$A$15,0),C202),0))</f>
        <v/>
      </c>
      <c r="G202" s="26" t="str">
        <f t="shared" si="4"/>
        <v/>
      </c>
      <c r="H202" s="26" t="str">
        <f t="shared" si="22"/>
        <v/>
      </c>
      <c r="I202" s="26" t="str">
        <f t="array" ref="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/>
      </c>
      <c r="J202" s="26" t="str">
        <f t="shared" si="5"/>
        <v/>
      </c>
      <c r="K202" s="26" t="str">
        <f t="shared" si="6"/>
        <v/>
      </c>
      <c r="L202" s="26" t="str">
        <f t="shared" si="7"/>
        <v/>
      </c>
      <c r="M202" s="26" t="str">
        <f t="array" ref="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/>
      </c>
      <c r="N202" s="26" t="str">
        <f t="shared" si="8"/>
        <v/>
      </c>
      <c r="O202" s="26" t="str">
        <f t="shared" si="9"/>
        <v/>
      </c>
      <c r="P202" s="26" t="str">
        <f t="shared" si="10"/>
        <v/>
      </c>
      <c r="Q202" s="26" t="str">
        <f t="shared" si="11"/>
        <v/>
      </c>
      <c r="R202" s="26" t="str">
        <f t="shared" si="12"/>
        <v/>
      </c>
      <c r="S202" s="26" t="str">
        <f t="shared" si="13"/>
        <v/>
      </c>
      <c r="T202" s="26" t="str">
        <f t="shared" si="14"/>
        <v/>
      </c>
      <c r="U202" s="26" t="str">
        <f t="shared" si="15"/>
        <v/>
      </c>
      <c r="V202" s="26" t="str">
        <f t="shared" si="16"/>
        <v/>
      </c>
      <c r="W202" s="26" t="str">
        <f t="shared" si="17"/>
        <v/>
      </c>
      <c r="X202" s="26" t="str">
        <f t="shared" si="18"/>
        <v/>
      </c>
      <c r="Y202" s="26" t="str">
        <f t="shared" si="19"/>
        <v/>
      </c>
      <c r="Z202" s="31" t="str">
        <f t="shared" si="20"/>
        <v/>
      </c>
      <c r="AA202" s="31" t="str">
        <f>IF(D202="","",IF(H202&lt;=$B$16,1,IF(H202&gt;=$B$17,$B$21,MATCH(H202,Aux_CAV!$A$2:$A$121,1))))</f>
        <v/>
      </c>
      <c r="AB202" s="31" t="str">
        <f>IF(D202="","",IF(L202&lt;=$B$16,1,IF(L202&gt;=$B$17,$B$21,MATCH(L202,Aux_CAV!$A$2:$A$121,1))))</f>
        <v/>
      </c>
      <c r="AC202" s="3" t="str">
        <f t="shared" si="21"/>
        <v/>
      </c>
    </row>
    <row r="203" ht="12.75" customHeight="1">
      <c r="A203" s="25" t="str">
        <f t="shared" si="1"/>
        <v/>
      </c>
      <c r="B203" s="29" t="str">
        <f t="array" ref="B203">IF(D203="","",IFERROR(VALUE(INDEX(Vazoes_COLAR!$A$2:$A$200,INT((ROW()-24)/12)+1)),""))</f>
        <v/>
      </c>
      <c r="C203" s="29" t="str">
        <f t="shared" si="2"/>
        <v/>
      </c>
      <c r="D203" s="26" t="str">
        <f t="array" ref="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03" s="26" t="str">
        <f t="shared" si="3"/>
        <v/>
      </c>
      <c r="F203" s="26" t="str">
        <f t="array" ref="F203">IF(D203="","",IFERROR(INDEX(Dados_Evap!$C$2:$N$15,MATCH($B$9,Dados_Evap!$A$2:$A$15,0),C203),0))</f>
        <v/>
      </c>
      <c r="G203" s="26" t="str">
        <f t="shared" si="4"/>
        <v/>
      </c>
      <c r="H203" s="26" t="str">
        <f t="shared" si="22"/>
        <v/>
      </c>
      <c r="I203" s="26" t="str">
        <f t="array" ref="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/>
      </c>
      <c r="J203" s="26" t="str">
        <f t="shared" si="5"/>
        <v/>
      </c>
      <c r="K203" s="26" t="str">
        <f t="shared" si="6"/>
        <v/>
      </c>
      <c r="L203" s="26" t="str">
        <f t="shared" si="7"/>
        <v/>
      </c>
      <c r="M203" s="26" t="str">
        <f t="array" ref="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/>
      </c>
      <c r="N203" s="26" t="str">
        <f t="shared" si="8"/>
        <v/>
      </c>
      <c r="O203" s="26" t="str">
        <f t="shared" si="9"/>
        <v/>
      </c>
      <c r="P203" s="26" t="str">
        <f t="shared" si="10"/>
        <v/>
      </c>
      <c r="Q203" s="26" t="str">
        <f t="shared" si="11"/>
        <v/>
      </c>
      <c r="R203" s="26" t="str">
        <f t="shared" si="12"/>
        <v/>
      </c>
      <c r="S203" s="26" t="str">
        <f t="shared" si="13"/>
        <v/>
      </c>
      <c r="T203" s="26" t="str">
        <f t="shared" si="14"/>
        <v/>
      </c>
      <c r="U203" s="26" t="str">
        <f t="shared" si="15"/>
        <v/>
      </c>
      <c r="V203" s="26" t="str">
        <f t="shared" si="16"/>
        <v/>
      </c>
      <c r="W203" s="26" t="str">
        <f t="shared" si="17"/>
        <v/>
      </c>
      <c r="X203" s="26" t="str">
        <f t="shared" si="18"/>
        <v/>
      </c>
      <c r="Y203" s="26" t="str">
        <f t="shared" si="19"/>
        <v/>
      </c>
      <c r="Z203" s="31" t="str">
        <f t="shared" si="20"/>
        <v/>
      </c>
      <c r="AA203" s="31" t="str">
        <f>IF(D203="","",IF(H203&lt;=$B$16,1,IF(H203&gt;=$B$17,$B$21,MATCH(H203,Aux_CAV!$A$2:$A$121,1))))</f>
        <v/>
      </c>
      <c r="AB203" s="31" t="str">
        <f>IF(D203="","",IF(L203&lt;=$B$16,1,IF(L203&gt;=$B$17,$B$21,MATCH(L203,Aux_CAV!$A$2:$A$121,1))))</f>
        <v/>
      </c>
      <c r="AC203" s="3" t="str">
        <f t="shared" si="21"/>
        <v/>
      </c>
    </row>
    <row r="204" ht="12.75" customHeight="1">
      <c r="A204" s="25" t="str">
        <f t="shared" si="1"/>
        <v/>
      </c>
      <c r="B204" s="29" t="str">
        <f t="array" ref="B204">IF(D204="","",IFERROR(VALUE(INDEX(Vazoes_COLAR!$A$2:$A$200,INT((ROW()-24)/12)+1)),""))</f>
        <v/>
      </c>
      <c r="C204" s="29" t="str">
        <f t="shared" si="2"/>
        <v/>
      </c>
      <c r="D204" s="26" t="str">
        <f t="array" ref="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04" s="26" t="str">
        <f t="shared" si="3"/>
        <v/>
      </c>
      <c r="F204" s="26" t="str">
        <f t="array" ref="F204">IF(D204="","",IFERROR(INDEX(Dados_Evap!$C$2:$N$15,MATCH($B$9,Dados_Evap!$A$2:$A$15,0),C204),0))</f>
        <v/>
      </c>
      <c r="G204" s="26" t="str">
        <f t="shared" si="4"/>
        <v/>
      </c>
      <c r="H204" s="26" t="str">
        <f t="shared" si="22"/>
        <v/>
      </c>
      <c r="I204" s="26" t="str">
        <f t="array" ref="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/>
      </c>
      <c r="J204" s="26" t="str">
        <f t="shared" si="5"/>
        <v/>
      </c>
      <c r="K204" s="26" t="str">
        <f t="shared" si="6"/>
        <v/>
      </c>
      <c r="L204" s="26" t="str">
        <f t="shared" si="7"/>
        <v/>
      </c>
      <c r="M204" s="26" t="str">
        <f t="array" ref="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/>
      </c>
      <c r="N204" s="26" t="str">
        <f t="shared" si="8"/>
        <v/>
      </c>
      <c r="O204" s="26" t="str">
        <f t="shared" si="9"/>
        <v/>
      </c>
      <c r="P204" s="26" t="str">
        <f t="shared" si="10"/>
        <v/>
      </c>
      <c r="Q204" s="26" t="str">
        <f t="shared" si="11"/>
        <v/>
      </c>
      <c r="R204" s="26" t="str">
        <f t="shared" si="12"/>
        <v/>
      </c>
      <c r="S204" s="26" t="str">
        <f t="shared" si="13"/>
        <v/>
      </c>
      <c r="T204" s="26" t="str">
        <f t="shared" si="14"/>
        <v/>
      </c>
      <c r="U204" s="26" t="str">
        <f t="shared" si="15"/>
        <v/>
      </c>
      <c r="V204" s="26" t="str">
        <f t="shared" si="16"/>
        <v/>
      </c>
      <c r="W204" s="26" t="str">
        <f t="shared" si="17"/>
        <v/>
      </c>
      <c r="X204" s="26" t="str">
        <f t="shared" si="18"/>
        <v/>
      </c>
      <c r="Y204" s="26" t="str">
        <f t="shared" si="19"/>
        <v/>
      </c>
      <c r="Z204" s="31" t="str">
        <f t="shared" si="20"/>
        <v/>
      </c>
      <c r="AA204" s="31" t="str">
        <f>IF(D204="","",IF(H204&lt;=$B$16,1,IF(H204&gt;=$B$17,$B$21,MATCH(H204,Aux_CAV!$A$2:$A$121,1))))</f>
        <v/>
      </c>
      <c r="AB204" s="31" t="str">
        <f>IF(D204="","",IF(L204&lt;=$B$16,1,IF(L204&gt;=$B$17,$B$21,MATCH(L204,Aux_CAV!$A$2:$A$121,1))))</f>
        <v/>
      </c>
      <c r="AC204" s="3" t="str">
        <f t="shared" si="21"/>
        <v/>
      </c>
    </row>
    <row r="205" ht="12.75" customHeight="1">
      <c r="A205" s="25" t="str">
        <f t="shared" si="1"/>
        <v/>
      </c>
      <c r="B205" s="29" t="str">
        <f t="array" ref="B205">IF(D205="","",IFERROR(VALUE(INDEX(Vazoes_COLAR!$A$2:$A$200,INT((ROW()-24)/12)+1)),""))</f>
        <v/>
      </c>
      <c r="C205" s="29" t="str">
        <f t="shared" si="2"/>
        <v/>
      </c>
      <c r="D205" s="26" t="str">
        <f t="array" ref="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05" s="26" t="str">
        <f t="shared" si="3"/>
        <v/>
      </c>
      <c r="F205" s="26" t="str">
        <f t="array" ref="F205">IF(D205="","",IFERROR(INDEX(Dados_Evap!$C$2:$N$15,MATCH($B$9,Dados_Evap!$A$2:$A$15,0),C205),0))</f>
        <v/>
      </c>
      <c r="G205" s="26" t="str">
        <f t="shared" si="4"/>
        <v/>
      </c>
      <c r="H205" s="26" t="str">
        <f t="shared" si="22"/>
        <v/>
      </c>
      <c r="I205" s="26" t="str">
        <f t="array" ref="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/>
      </c>
      <c r="J205" s="26" t="str">
        <f t="shared" si="5"/>
        <v/>
      </c>
      <c r="K205" s="26" t="str">
        <f t="shared" si="6"/>
        <v/>
      </c>
      <c r="L205" s="26" t="str">
        <f t="shared" si="7"/>
        <v/>
      </c>
      <c r="M205" s="26" t="str">
        <f t="array" ref="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/>
      </c>
      <c r="N205" s="26" t="str">
        <f t="shared" si="8"/>
        <v/>
      </c>
      <c r="O205" s="26" t="str">
        <f t="shared" si="9"/>
        <v/>
      </c>
      <c r="P205" s="26" t="str">
        <f t="shared" si="10"/>
        <v/>
      </c>
      <c r="Q205" s="26" t="str">
        <f t="shared" si="11"/>
        <v/>
      </c>
      <c r="R205" s="26" t="str">
        <f t="shared" si="12"/>
        <v/>
      </c>
      <c r="S205" s="26" t="str">
        <f t="shared" si="13"/>
        <v/>
      </c>
      <c r="T205" s="26" t="str">
        <f t="shared" si="14"/>
        <v/>
      </c>
      <c r="U205" s="26" t="str">
        <f t="shared" si="15"/>
        <v/>
      </c>
      <c r="V205" s="26" t="str">
        <f t="shared" si="16"/>
        <v/>
      </c>
      <c r="W205" s="26" t="str">
        <f t="shared" si="17"/>
        <v/>
      </c>
      <c r="X205" s="26" t="str">
        <f t="shared" si="18"/>
        <v/>
      </c>
      <c r="Y205" s="26" t="str">
        <f t="shared" si="19"/>
        <v/>
      </c>
      <c r="Z205" s="31" t="str">
        <f t="shared" si="20"/>
        <v/>
      </c>
      <c r="AA205" s="31" t="str">
        <f>IF(D205="","",IF(H205&lt;=$B$16,1,IF(H205&gt;=$B$17,$B$21,MATCH(H205,Aux_CAV!$A$2:$A$121,1))))</f>
        <v/>
      </c>
      <c r="AB205" s="31" t="str">
        <f>IF(D205="","",IF(L205&lt;=$B$16,1,IF(L205&gt;=$B$17,$B$21,MATCH(L205,Aux_CAV!$A$2:$A$121,1))))</f>
        <v/>
      </c>
      <c r="AC205" s="3" t="str">
        <f t="shared" si="21"/>
        <v/>
      </c>
    </row>
    <row r="206" ht="12.75" customHeight="1">
      <c r="A206" s="25" t="str">
        <f t="shared" si="1"/>
        <v/>
      </c>
      <c r="B206" s="29" t="str">
        <f t="array" ref="B206">IF(D206="","",IFERROR(VALUE(INDEX(Vazoes_COLAR!$A$2:$A$200,INT((ROW()-24)/12)+1)),""))</f>
        <v/>
      </c>
      <c r="C206" s="29" t="str">
        <f t="shared" si="2"/>
        <v/>
      </c>
      <c r="D206" s="26" t="str">
        <f t="array" ref="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06" s="26" t="str">
        <f t="shared" si="3"/>
        <v/>
      </c>
      <c r="F206" s="26" t="str">
        <f t="array" ref="F206">IF(D206="","",IFERROR(INDEX(Dados_Evap!$C$2:$N$15,MATCH($B$9,Dados_Evap!$A$2:$A$15,0),C206),0))</f>
        <v/>
      </c>
      <c r="G206" s="26" t="str">
        <f t="shared" si="4"/>
        <v/>
      </c>
      <c r="H206" s="26" t="str">
        <f t="shared" si="22"/>
        <v/>
      </c>
      <c r="I206" s="26" t="str">
        <f t="array" ref="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/>
      </c>
      <c r="J206" s="26" t="str">
        <f t="shared" si="5"/>
        <v/>
      </c>
      <c r="K206" s="26" t="str">
        <f t="shared" si="6"/>
        <v/>
      </c>
      <c r="L206" s="26" t="str">
        <f t="shared" si="7"/>
        <v/>
      </c>
      <c r="M206" s="26" t="str">
        <f t="array" ref="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/>
      </c>
      <c r="N206" s="26" t="str">
        <f t="shared" si="8"/>
        <v/>
      </c>
      <c r="O206" s="26" t="str">
        <f t="shared" si="9"/>
        <v/>
      </c>
      <c r="P206" s="26" t="str">
        <f t="shared" si="10"/>
        <v/>
      </c>
      <c r="Q206" s="26" t="str">
        <f t="shared" si="11"/>
        <v/>
      </c>
      <c r="R206" s="26" t="str">
        <f t="shared" si="12"/>
        <v/>
      </c>
      <c r="S206" s="26" t="str">
        <f t="shared" si="13"/>
        <v/>
      </c>
      <c r="T206" s="26" t="str">
        <f t="shared" si="14"/>
        <v/>
      </c>
      <c r="U206" s="26" t="str">
        <f t="shared" si="15"/>
        <v/>
      </c>
      <c r="V206" s="26" t="str">
        <f t="shared" si="16"/>
        <v/>
      </c>
      <c r="W206" s="26" t="str">
        <f t="shared" si="17"/>
        <v/>
      </c>
      <c r="X206" s="26" t="str">
        <f t="shared" si="18"/>
        <v/>
      </c>
      <c r="Y206" s="26" t="str">
        <f t="shared" si="19"/>
        <v/>
      </c>
      <c r="Z206" s="31" t="str">
        <f t="shared" si="20"/>
        <v/>
      </c>
      <c r="AA206" s="31" t="str">
        <f>IF(D206="","",IF(H206&lt;=$B$16,1,IF(H206&gt;=$B$17,$B$21,MATCH(H206,Aux_CAV!$A$2:$A$121,1))))</f>
        <v/>
      </c>
      <c r="AB206" s="31" t="str">
        <f>IF(D206="","",IF(L206&lt;=$B$16,1,IF(L206&gt;=$B$17,$B$21,MATCH(L206,Aux_CAV!$A$2:$A$121,1))))</f>
        <v/>
      </c>
      <c r="AC206" s="3" t="str">
        <f t="shared" si="21"/>
        <v/>
      </c>
    </row>
    <row r="207" ht="12.75" customHeight="1">
      <c r="A207" s="25" t="str">
        <f t="shared" si="1"/>
        <v/>
      </c>
      <c r="B207" s="29" t="str">
        <f t="array" ref="B207">IF(D207="","",IFERROR(VALUE(INDEX(Vazoes_COLAR!$A$2:$A$200,INT((ROW()-24)/12)+1)),""))</f>
        <v/>
      </c>
      <c r="C207" s="29" t="str">
        <f t="shared" si="2"/>
        <v/>
      </c>
      <c r="D207" s="26" t="str">
        <f t="array" ref="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07" s="26" t="str">
        <f t="shared" si="3"/>
        <v/>
      </c>
      <c r="F207" s="26" t="str">
        <f t="array" ref="F207">IF(D207="","",IFERROR(INDEX(Dados_Evap!$C$2:$N$15,MATCH($B$9,Dados_Evap!$A$2:$A$15,0),C207),0))</f>
        <v/>
      </c>
      <c r="G207" s="26" t="str">
        <f t="shared" si="4"/>
        <v/>
      </c>
      <c r="H207" s="26" t="str">
        <f t="shared" si="22"/>
        <v/>
      </c>
      <c r="I207" s="26" t="str">
        <f t="array" ref="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/>
      </c>
      <c r="J207" s="26" t="str">
        <f t="shared" si="5"/>
        <v/>
      </c>
      <c r="K207" s="26" t="str">
        <f t="shared" si="6"/>
        <v/>
      </c>
      <c r="L207" s="26" t="str">
        <f t="shared" si="7"/>
        <v/>
      </c>
      <c r="M207" s="26" t="str">
        <f t="array" ref="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/>
      </c>
      <c r="N207" s="26" t="str">
        <f t="shared" si="8"/>
        <v/>
      </c>
      <c r="O207" s="26" t="str">
        <f t="shared" si="9"/>
        <v/>
      </c>
      <c r="P207" s="26" t="str">
        <f t="shared" si="10"/>
        <v/>
      </c>
      <c r="Q207" s="26" t="str">
        <f t="shared" si="11"/>
        <v/>
      </c>
      <c r="R207" s="26" t="str">
        <f t="shared" si="12"/>
        <v/>
      </c>
      <c r="S207" s="26" t="str">
        <f t="shared" si="13"/>
        <v/>
      </c>
      <c r="T207" s="26" t="str">
        <f t="shared" si="14"/>
        <v/>
      </c>
      <c r="U207" s="26" t="str">
        <f t="shared" si="15"/>
        <v/>
      </c>
      <c r="V207" s="26" t="str">
        <f t="shared" si="16"/>
        <v/>
      </c>
      <c r="W207" s="26" t="str">
        <f t="shared" si="17"/>
        <v/>
      </c>
      <c r="X207" s="26" t="str">
        <f t="shared" si="18"/>
        <v/>
      </c>
      <c r="Y207" s="26" t="str">
        <f t="shared" si="19"/>
        <v/>
      </c>
      <c r="Z207" s="31" t="str">
        <f t="shared" si="20"/>
        <v/>
      </c>
      <c r="AA207" s="31" t="str">
        <f>IF(D207="","",IF(H207&lt;=$B$16,1,IF(H207&gt;=$B$17,$B$21,MATCH(H207,Aux_CAV!$A$2:$A$121,1))))</f>
        <v/>
      </c>
      <c r="AB207" s="31" t="str">
        <f>IF(D207="","",IF(L207&lt;=$B$16,1,IF(L207&gt;=$B$17,$B$21,MATCH(L207,Aux_CAV!$A$2:$A$121,1))))</f>
        <v/>
      </c>
      <c r="AC207" s="3" t="str">
        <f t="shared" si="21"/>
        <v/>
      </c>
    </row>
    <row r="208" ht="12.75" customHeight="1">
      <c r="A208" s="25" t="str">
        <f t="shared" si="1"/>
        <v/>
      </c>
      <c r="B208" s="29" t="str">
        <f t="array" ref="B208">IF(D208="","",IFERROR(VALUE(INDEX(Vazoes_COLAR!$A$2:$A$200,INT((ROW()-24)/12)+1)),""))</f>
        <v/>
      </c>
      <c r="C208" s="29" t="str">
        <f t="shared" si="2"/>
        <v/>
      </c>
      <c r="D208" s="26" t="str">
        <f t="array" ref="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08" s="26" t="str">
        <f t="shared" si="3"/>
        <v/>
      </c>
      <c r="F208" s="26" t="str">
        <f t="array" ref="F208">IF(D208="","",IFERROR(INDEX(Dados_Evap!$C$2:$N$15,MATCH($B$9,Dados_Evap!$A$2:$A$15,0),C208),0))</f>
        <v/>
      </c>
      <c r="G208" s="26" t="str">
        <f t="shared" si="4"/>
        <v/>
      </c>
      <c r="H208" s="26" t="str">
        <f t="shared" si="22"/>
        <v/>
      </c>
      <c r="I208" s="26" t="str">
        <f t="array" ref="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/>
      </c>
      <c r="J208" s="26" t="str">
        <f t="shared" si="5"/>
        <v/>
      </c>
      <c r="K208" s="26" t="str">
        <f t="shared" si="6"/>
        <v/>
      </c>
      <c r="L208" s="26" t="str">
        <f t="shared" si="7"/>
        <v/>
      </c>
      <c r="M208" s="26" t="str">
        <f t="array" ref="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/>
      </c>
      <c r="N208" s="26" t="str">
        <f t="shared" si="8"/>
        <v/>
      </c>
      <c r="O208" s="26" t="str">
        <f t="shared" si="9"/>
        <v/>
      </c>
      <c r="P208" s="26" t="str">
        <f t="shared" si="10"/>
        <v/>
      </c>
      <c r="Q208" s="26" t="str">
        <f t="shared" si="11"/>
        <v/>
      </c>
      <c r="R208" s="26" t="str">
        <f t="shared" si="12"/>
        <v/>
      </c>
      <c r="S208" s="26" t="str">
        <f t="shared" si="13"/>
        <v/>
      </c>
      <c r="T208" s="26" t="str">
        <f t="shared" si="14"/>
        <v/>
      </c>
      <c r="U208" s="26" t="str">
        <f t="shared" si="15"/>
        <v/>
      </c>
      <c r="V208" s="26" t="str">
        <f t="shared" si="16"/>
        <v/>
      </c>
      <c r="W208" s="26" t="str">
        <f t="shared" si="17"/>
        <v/>
      </c>
      <c r="X208" s="26" t="str">
        <f t="shared" si="18"/>
        <v/>
      </c>
      <c r="Y208" s="26" t="str">
        <f t="shared" si="19"/>
        <v/>
      </c>
      <c r="Z208" s="31" t="str">
        <f t="shared" si="20"/>
        <v/>
      </c>
      <c r="AA208" s="31" t="str">
        <f>IF(D208="","",IF(H208&lt;=$B$16,1,IF(H208&gt;=$B$17,$B$21,MATCH(H208,Aux_CAV!$A$2:$A$121,1))))</f>
        <v/>
      </c>
      <c r="AB208" s="31" t="str">
        <f>IF(D208="","",IF(L208&lt;=$B$16,1,IF(L208&gt;=$B$17,$B$21,MATCH(L208,Aux_CAV!$A$2:$A$121,1))))</f>
        <v/>
      </c>
      <c r="AC208" s="3" t="str">
        <f t="shared" si="21"/>
        <v/>
      </c>
    </row>
    <row r="209" ht="12.75" customHeight="1">
      <c r="A209" s="25" t="str">
        <f t="shared" si="1"/>
        <v/>
      </c>
      <c r="B209" s="29" t="str">
        <f t="array" ref="B209">IF(D209="","",IFERROR(VALUE(INDEX(Vazoes_COLAR!$A$2:$A$200,INT((ROW()-24)/12)+1)),""))</f>
        <v/>
      </c>
      <c r="C209" s="29" t="str">
        <f t="shared" si="2"/>
        <v/>
      </c>
      <c r="D209" s="26" t="str">
        <f t="array" ref="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09" s="26" t="str">
        <f t="shared" si="3"/>
        <v/>
      </c>
      <c r="F209" s="26" t="str">
        <f t="array" ref="F209">IF(D209="","",IFERROR(INDEX(Dados_Evap!$C$2:$N$15,MATCH($B$9,Dados_Evap!$A$2:$A$15,0),C209),0))</f>
        <v/>
      </c>
      <c r="G209" s="26" t="str">
        <f t="shared" si="4"/>
        <v/>
      </c>
      <c r="H209" s="26" t="str">
        <f t="shared" si="22"/>
        <v/>
      </c>
      <c r="I209" s="26" t="str">
        <f t="array" ref="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/>
      </c>
      <c r="J209" s="26" t="str">
        <f t="shared" si="5"/>
        <v/>
      </c>
      <c r="K209" s="26" t="str">
        <f t="shared" si="6"/>
        <v/>
      </c>
      <c r="L209" s="26" t="str">
        <f t="shared" si="7"/>
        <v/>
      </c>
      <c r="M209" s="26" t="str">
        <f t="array" ref="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/>
      </c>
      <c r="N209" s="26" t="str">
        <f t="shared" si="8"/>
        <v/>
      </c>
      <c r="O209" s="26" t="str">
        <f t="shared" si="9"/>
        <v/>
      </c>
      <c r="P209" s="26" t="str">
        <f t="shared" si="10"/>
        <v/>
      </c>
      <c r="Q209" s="26" t="str">
        <f t="shared" si="11"/>
        <v/>
      </c>
      <c r="R209" s="26" t="str">
        <f t="shared" si="12"/>
        <v/>
      </c>
      <c r="S209" s="26" t="str">
        <f t="shared" si="13"/>
        <v/>
      </c>
      <c r="T209" s="26" t="str">
        <f t="shared" si="14"/>
        <v/>
      </c>
      <c r="U209" s="26" t="str">
        <f t="shared" si="15"/>
        <v/>
      </c>
      <c r="V209" s="26" t="str">
        <f t="shared" si="16"/>
        <v/>
      </c>
      <c r="W209" s="26" t="str">
        <f t="shared" si="17"/>
        <v/>
      </c>
      <c r="X209" s="26" t="str">
        <f t="shared" si="18"/>
        <v/>
      </c>
      <c r="Y209" s="26" t="str">
        <f t="shared" si="19"/>
        <v/>
      </c>
      <c r="Z209" s="31" t="str">
        <f t="shared" si="20"/>
        <v/>
      </c>
      <c r="AA209" s="31" t="str">
        <f>IF(D209="","",IF(H209&lt;=$B$16,1,IF(H209&gt;=$B$17,$B$21,MATCH(H209,Aux_CAV!$A$2:$A$121,1))))</f>
        <v/>
      </c>
      <c r="AB209" s="31" t="str">
        <f>IF(D209="","",IF(L209&lt;=$B$16,1,IF(L209&gt;=$B$17,$B$21,MATCH(L209,Aux_CAV!$A$2:$A$121,1))))</f>
        <v/>
      </c>
      <c r="AC209" s="3" t="str">
        <f t="shared" si="21"/>
        <v/>
      </c>
    </row>
    <row r="210" ht="12.75" customHeight="1">
      <c r="A210" s="25" t="str">
        <f t="shared" si="1"/>
        <v/>
      </c>
      <c r="B210" s="29" t="str">
        <f t="array" ref="B210">IF(D210="","",IFERROR(VALUE(INDEX(Vazoes_COLAR!$A$2:$A$200,INT((ROW()-24)/12)+1)),""))</f>
        <v/>
      </c>
      <c r="C210" s="29" t="str">
        <f t="shared" si="2"/>
        <v/>
      </c>
      <c r="D210" s="26" t="str">
        <f t="array" ref="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10" s="26" t="str">
        <f t="shared" si="3"/>
        <v/>
      </c>
      <c r="F210" s="26" t="str">
        <f t="array" ref="F210">IF(D210="","",IFERROR(INDEX(Dados_Evap!$C$2:$N$15,MATCH($B$9,Dados_Evap!$A$2:$A$15,0),C210),0))</f>
        <v/>
      </c>
      <c r="G210" s="26" t="str">
        <f t="shared" si="4"/>
        <v/>
      </c>
      <c r="H210" s="26" t="str">
        <f t="shared" si="22"/>
        <v/>
      </c>
      <c r="I210" s="26" t="str">
        <f t="array" ref="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/>
      </c>
      <c r="J210" s="26" t="str">
        <f t="shared" si="5"/>
        <v/>
      </c>
      <c r="K210" s="26" t="str">
        <f t="shared" si="6"/>
        <v/>
      </c>
      <c r="L210" s="26" t="str">
        <f t="shared" si="7"/>
        <v/>
      </c>
      <c r="M210" s="26" t="str">
        <f t="array" ref="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/>
      </c>
      <c r="N210" s="26" t="str">
        <f t="shared" si="8"/>
        <v/>
      </c>
      <c r="O210" s="26" t="str">
        <f t="shared" si="9"/>
        <v/>
      </c>
      <c r="P210" s="26" t="str">
        <f t="shared" si="10"/>
        <v/>
      </c>
      <c r="Q210" s="26" t="str">
        <f t="shared" si="11"/>
        <v/>
      </c>
      <c r="R210" s="26" t="str">
        <f t="shared" si="12"/>
        <v/>
      </c>
      <c r="S210" s="26" t="str">
        <f t="shared" si="13"/>
        <v/>
      </c>
      <c r="T210" s="26" t="str">
        <f t="shared" si="14"/>
        <v/>
      </c>
      <c r="U210" s="26" t="str">
        <f t="shared" si="15"/>
        <v/>
      </c>
      <c r="V210" s="26" t="str">
        <f t="shared" si="16"/>
        <v/>
      </c>
      <c r="W210" s="26" t="str">
        <f t="shared" si="17"/>
        <v/>
      </c>
      <c r="X210" s="26" t="str">
        <f t="shared" si="18"/>
        <v/>
      </c>
      <c r="Y210" s="26" t="str">
        <f t="shared" si="19"/>
        <v/>
      </c>
      <c r="Z210" s="31" t="str">
        <f t="shared" si="20"/>
        <v/>
      </c>
      <c r="AA210" s="31" t="str">
        <f>IF(D210="","",IF(H210&lt;=$B$16,1,IF(H210&gt;=$B$17,$B$21,MATCH(H210,Aux_CAV!$A$2:$A$121,1))))</f>
        <v/>
      </c>
      <c r="AB210" s="31" t="str">
        <f>IF(D210="","",IF(L210&lt;=$B$16,1,IF(L210&gt;=$B$17,$B$21,MATCH(L210,Aux_CAV!$A$2:$A$121,1))))</f>
        <v/>
      </c>
      <c r="AC210" s="3" t="str">
        <f t="shared" si="21"/>
        <v/>
      </c>
    </row>
    <row r="211" ht="12.75" customHeight="1">
      <c r="A211" s="25" t="str">
        <f t="shared" si="1"/>
        <v/>
      </c>
      <c r="B211" s="29" t="str">
        <f t="array" ref="B211">IF(D211="","",IFERROR(VALUE(INDEX(Vazoes_COLAR!$A$2:$A$200,INT((ROW()-24)/12)+1)),""))</f>
        <v/>
      </c>
      <c r="C211" s="29" t="str">
        <f t="shared" si="2"/>
        <v/>
      </c>
      <c r="D211" s="26" t="str">
        <f t="array" ref="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11" s="26" t="str">
        <f t="shared" si="3"/>
        <v/>
      </c>
      <c r="F211" s="26" t="str">
        <f t="array" ref="F211">IF(D211="","",IFERROR(INDEX(Dados_Evap!$C$2:$N$15,MATCH($B$9,Dados_Evap!$A$2:$A$15,0),C211),0))</f>
        <v/>
      </c>
      <c r="G211" s="26" t="str">
        <f t="shared" si="4"/>
        <v/>
      </c>
      <c r="H211" s="26" t="str">
        <f t="shared" si="22"/>
        <v/>
      </c>
      <c r="I211" s="26" t="str">
        <f t="array" ref="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/>
      </c>
      <c r="J211" s="26" t="str">
        <f t="shared" si="5"/>
        <v/>
      </c>
      <c r="K211" s="26" t="str">
        <f t="shared" si="6"/>
        <v/>
      </c>
      <c r="L211" s="26" t="str">
        <f t="shared" si="7"/>
        <v/>
      </c>
      <c r="M211" s="26" t="str">
        <f t="array" ref="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/>
      </c>
      <c r="N211" s="26" t="str">
        <f t="shared" si="8"/>
        <v/>
      </c>
      <c r="O211" s="26" t="str">
        <f t="shared" si="9"/>
        <v/>
      </c>
      <c r="P211" s="26" t="str">
        <f t="shared" si="10"/>
        <v/>
      </c>
      <c r="Q211" s="26" t="str">
        <f t="shared" si="11"/>
        <v/>
      </c>
      <c r="R211" s="26" t="str">
        <f t="shared" si="12"/>
        <v/>
      </c>
      <c r="S211" s="26" t="str">
        <f t="shared" si="13"/>
        <v/>
      </c>
      <c r="T211" s="26" t="str">
        <f t="shared" si="14"/>
        <v/>
      </c>
      <c r="U211" s="26" t="str">
        <f t="shared" si="15"/>
        <v/>
      </c>
      <c r="V211" s="26" t="str">
        <f t="shared" si="16"/>
        <v/>
      </c>
      <c r="W211" s="26" t="str">
        <f t="shared" si="17"/>
        <v/>
      </c>
      <c r="X211" s="26" t="str">
        <f t="shared" si="18"/>
        <v/>
      </c>
      <c r="Y211" s="26" t="str">
        <f t="shared" si="19"/>
        <v/>
      </c>
      <c r="Z211" s="31" t="str">
        <f t="shared" si="20"/>
        <v/>
      </c>
      <c r="AA211" s="31" t="str">
        <f>IF(D211="","",IF(H211&lt;=$B$16,1,IF(H211&gt;=$B$17,$B$21,MATCH(H211,Aux_CAV!$A$2:$A$121,1))))</f>
        <v/>
      </c>
      <c r="AB211" s="31" t="str">
        <f>IF(D211="","",IF(L211&lt;=$B$16,1,IF(L211&gt;=$B$17,$B$21,MATCH(L211,Aux_CAV!$A$2:$A$121,1))))</f>
        <v/>
      </c>
      <c r="AC211" s="3" t="str">
        <f t="shared" si="21"/>
        <v/>
      </c>
    </row>
    <row r="212" ht="12.75" customHeight="1">
      <c r="A212" s="25" t="str">
        <f t="shared" si="1"/>
        <v/>
      </c>
      <c r="B212" s="29" t="str">
        <f t="array" ref="B212">IF(D212="","",IFERROR(VALUE(INDEX(Vazoes_COLAR!$A$2:$A$200,INT((ROW()-24)/12)+1)),""))</f>
        <v/>
      </c>
      <c r="C212" s="29" t="str">
        <f t="shared" si="2"/>
        <v/>
      </c>
      <c r="D212" s="26" t="str">
        <f t="array" ref="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12" s="26" t="str">
        <f t="shared" si="3"/>
        <v/>
      </c>
      <c r="F212" s="26" t="str">
        <f t="array" ref="F212">IF(D212="","",IFERROR(INDEX(Dados_Evap!$C$2:$N$15,MATCH($B$9,Dados_Evap!$A$2:$A$15,0),C212),0))</f>
        <v/>
      </c>
      <c r="G212" s="26" t="str">
        <f t="shared" si="4"/>
        <v/>
      </c>
      <c r="H212" s="26" t="str">
        <f t="shared" si="22"/>
        <v/>
      </c>
      <c r="I212" s="26" t="str">
        <f t="array" ref="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/>
      </c>
      <c r="J212" s="26" t="str">
        <f t="shared" si="5"/>
        <v/>
      </c>
      <c r="K212" s="26" t="str">
        <f t="shared" si="6"/>
        <v/>
      </c>
      <c r="L212" s="26" t="str">
        <f t="shared" si="7"/>
        <v/>
      </c>
      <c r="M212" s="26" t="str">
        <f t="array" ref="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/>
      </c>
      <c r="N212" s="26" t="str">
        <f t="shared" si="8"/>
        <v/>
      </c>
      <c r="O212" s="26" t="str">
        <f t="shared" si="9"/>
        <v/>
      </c>
      <c r="P212" s="26" t="str">
        <f t="shared" si="10"/>
        <v/>
      </c>
      <c r="Q212" s="26" t="str">
        <f t="shared" si="11"/>
        <v/>
      </c>
      <c r="R212" s="26" t="str">
        <f t="shared" si="12"/>
        <v/>
      </c>
      <c r="S212" s="26" t="str">
        <f t="shared" si="13"/>
        <v/>
      </c>
      <c r="T212" s="26" t="str">
        <f t="shared" si="14"/>
        <v/>
      </c>
      <c r="U212" s="26" t="str">
        <f t="shared" si="15"/>
        <v/>
      </c>
      <c r="V212" s="26" t="str">
        <f t="shared" si="16"/>
        <v/>
      </c>
      <c r="W212" s="26" t="str">
        <f t="shared" si="17"/>
        <v/>
      </c>
      <c r="X212" s="26" t="str">
        <f t="shared" si="18"/>
        <v/>
      </c>
      <c r="Y212" s="26" t="str">
        <f t="shared" si="19"/>
        <v/>
      </c>
      <c r="Z212" s="31" t="str">
        <f t="shared" si="20"/>
        <v/>
      </c>
      <c r="AA212" s="31" t="str">
        <f>IF(D212="","",IF(H212&lt;=$B$16,1,IF(H212&gt;=$B$17,$B$21,MATCH(H212,Aux_CAV!$A$2:$A$121,1))))</f>
        <v/>
      </c>
      <c r="AB212" s="31" t="str">
        <f>IF(D212="","",IF(L212&lt;=$B$16,1,IF(L212&gt;=$B$17,$B$21,MATCH(L212,Aux_CAV!$A$2:$A$121,1))))</f>
        <v/>
      </c>
      <c r="AC212" s="3" t="str">
        <f t="shared" si="21"/>
        <v/>
      </c>
    </row>
    <row r="213" ht="12.75" customHeight="1">
      <c r="A213" s="25" t="str">
        <f t="shared" si="1"/>
        <v/>
      </c>
      <c r="B213" s="29" t="str">
        <f t="array" ref="B213">IF(D213="","",IFERROR(VALUE(INDEX(Vazoes_COLAR!$A$2:$A$200,INT((ROW()-24)/12)+1)),""))</f>
        <v/>
      </c>
      <c r="C213" s="29" t="str">
        <f t="shared" si="2"/>
        <v/>
      </c>
      <c r="D213" s="26" t="str">
        <f t="array" ref="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13" s="26" t="str">
        <f t="shared" si="3"/>
        <v/>
      </c>
      <c r="F213" s="26" t="str">
        <f t="array" ref="F213">IF(D213="","",IFERROR(INDEX(Dados_Evap!$C$2:$N$15,MATCH($B$9,Dados_Evap!$A$2:$A$15,0),C213),0))</f>
        <v/>
      </c>
      <c r="G213" s="26" t="str">
        <f t="shared" si="4"/>
        <v/>
      </c>
      <c r="H213" s="26" t="str">
        <f t="shared" si="22"/>
        <v/>
      </c>
      <c r="I213" s="26" t="str">
        <f t="array" ref="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/>
      </c>
      <c r="J213" s="26" t="str">
        <f t="shared" si="5"/>
        <v/>
      </c>
      <c r="K213" s="26" t="str">
        <f t="shared" si="6"/>
        <v/>
      </c>
      <c r="L213" s="26" t="str">
        <f t="shared" si="7"/>
        <v/>
      </c>
      <c r="M213" s="26" t="str">
        <f t="array" ref="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/>
      </c>
      <c r="N213" s="26" t="str">
        <f t="shared" si="8"/>
        <v/>
      </c>
      <c r="O213" s="26" t="str">
        <f t="shared" si="9"/>
        <v/>
      </c>
      <c r="P213" s="26" t="str">
        <f t="shared" si="10"/>
        <v/>
      </c>
      <c r="Q213" s="26" t="str">
        <f t="shared" si="11"/>
        <v/>
      </c>
      <c r="R213" s="26" t="str">
        <f t="shared" si="12"/>
        <v/>
      </c>
      <c r="S213" s="26" t="str">
        <f t="shared" si="13"/>
        <v/>
      </c>
      <c r="T213" s="26" t="str">
        <f t="shared" si="14"/>
        <v/>
      </c>
      <c r="U213" s="26" t="str">
        <f t="shared" si="15"/>
        <v/>
      </c>
      <c r="V213" s="26" t="str">
        <f t="shared" si="16"/>
        <v/>
      </c>
      <c r="W213" s="26" t="str">
        <f t="shared" si="17"/>
        <v/>
      </c>
      <c r="X213" s="26" t="str">
        <f t="shared" si="18"/>
        <v/>
      </c>
      <c r="Y213" s="26" t="str">
        <f t="shared" si="19"/>
        <v/>
      </c>
      <c r="Z213" s="31" t="str">
        <f t="shared" si="20"/>
        <v/>
      </c>
      <c r="AA213" s="31" t="str">
        <f>IF(D213="","",IF(H213&lt;=$B$16,1,IF(H213&gt;=$B$17,$B$21,MATCH(H213,Aux_CAV!$A$2:$A$121,1))))</f>
        <v/>
      </c>
      <c r="AB213" s="31" t="str">
        <f>IF(D213="","",IF(L213&lt;=$B$16,1,IF(L213&gt;=$B$17,$B$21,MATCH(L213,Aux_CAV!$A$2:$A$121,1))))</f>
        <v/>
      </c>
      <c r="AC213" s="3" t="str">
        <f t="shared" si="21"/>
        <v/>
      </c>
    </row>
    <row r="214" ht="12.75" customHeight="1">
      <c r="A214" s="25" t="str">
        <f t="shared" si="1"/>
        <v/>
      </c>
      <c r="B214" s="29" t="str">
        <f t="array" ref="B214">IF(D214="","",IFERROR(VALUE(INDEX(Vazoes_COLAR!$A$2:$A$200,INT((ROW()-24)/12)+1)),""))</f>
        <v/>
      </c>
      <c r="C214" s="29" t="str">
        <f t="shared" si="2"/>
        <v/>
      </c>
      <c r="D214" s="26" t="str">
        <f t="array" ref="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14" s="26" t="str">
        <f t="shared" si="3"/>
        <v/>
      </c>
      <c r="F214" s="26" t="str">
        <f t="array" ref="F214">IF(D214="","",IFERROR(INDEX(Dados_Evap!$C$2:$N$15,MATCH($B$9,Dados_Evap!$A$2:$A$15,0),C214),0))</f>
        <v/>
      </c>
      <c r="G214" s="26" t="str">
        <f t="shared" si="4"/>
        <v/>
      </c>
      <c r="H214" s="26" t="str">
        <f t="shared" si="22"/>
        <v/>
      </c>
      <c r="I214" s="26" t="str">
        <f t="array" ref="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/>
      </c>
      <c r="J214" s="26" t="str">
        <f t="shared" si="5"/>
        <v/>
      </c>
      <c r="K214" s="26" t="str">
        <f t="shared" si="6"/>
        <v/>
      </c>
      <c r="L214" s="26" t="str">
        <f t="shared" si="7"/>
        <v/>
      </c>
      <c r="M214" s="26" t="str">
        <f t="array" ref="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/>
      </c>
      <c r="N214" s="26" t="str">
        <f t="shared" si="8"/>
        <v/>
      </c>
      <c r="O214" s="26" t="str">
        <f t="shared" si="9"/>
        <v/>
      </c>
      <c r="P214" s="26" t="str">
        <f t="shared" si="10"/>
        <v/>
      </c>
      <c r="Q214" s="26" t="str">
        <f t="shared" si="11"/>
        <v/>
      </c>
      <c r="R214" s="26" t="str">
        <f t="shared" si="12"/>
        <v/>
      </c>
      <c r="S214" s="26" t="str">
        <f t="shared" si="13"/>
        <v/>
      </c>
      <c r="T214" s="26" t="str">
        <f t="shared" si="14"/>
        <v/>
      </c>
      <c r="U214" s="26" t="str">
        <f t="shared" si="15"/>
        <v/>
      </c>
      <c r="V214" s="26" t="str">
        <f t="shared" si="16"/>
        <v/>
      </c>
      <c r="W214" s="26" t="str">
        <f t="shared" si="17"/>
        <v/>
      </c>
      <c r="X214" s="26" t="str">
        <f t="shared" si="18"/>
        <v/>
      </c>
      <c r="Y214" s="26" t="str">
        <f t="shared" si="19"/>
        <v/>
      </c>
      <c r="Z214" s="31" t="str">
        <f t="shared" si="20"/>
        <v/>
      </c>
      <c r="AA214" s="31" t="str">
        <f>IF(D214="","",IF(H214&lt;=$B$16,1,IF(H214&gt;=$B$17,$B$21,MATCH(H214,Aux_CAV!$A$2:$A$121,1))))</f>
        <v/>
      </c>
      <c r="AB214" s="31" t="str">
        <f>IF(D214="","",IF(L214&lt;=$B$16,1,IF(L214&gt;=$B$17,$B$21,MATCH(L214,Aux_CAV!$A$2:$A$121,1))))</f>
        <v/>
      </c>
      <c r="AC214" s="3" t="str">
        <f t="shared" si="21"/>
        <v/>
      </c>
    </row>
    <row r="215" ht="12.75" customHeight="1">
      <c r="A215" s="25" t="str">
        <f t="shared" si="1"/>
        <v/>
      </c>
      <c r="B215" s="29" t="str">
        <f t="array" ref="B215">IF(D215="","",IFERROR(VALUE(INDEX(Vazoes_COLAR!$A$2:$A$200,INT((ROW()-24)/12)+1)),""))</f>
        <v/>
      </c>
      <c r="C215" s="29" t="str">
        <f t="shared" si="2"/>
        <v/>
      </c>
      <c r="D215" s="26" t="str">
        <f t="array" ref="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15" s="26" t="str">
        <f t="shared" si="3"/>
        <v/>
      </c>
      <c r="F215" s="26" t="str">
        <f t="array" ref="F215">IF(D215="","",IFERROR(INDEX(Dados_Evap!$C$2:$N$15,MATCH($B$9,Dados_Evap!$A$2:$A$15,0),C215),0))</f>
        <v/>
      </c>
      <c r="G215" s="26" t="str">
        <f t="shared" si="4"/>
        <v/>
      </c>
      <c r="H215" s="26" t="str">
        <f t="shared" si="22"/>
        <v/>
      </c>
      <c r="I215" s="26" t="str">
        <f t="array" ref="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/>
      </c>
      <c r="J215" s="26" t="str">
        <f t="shared" si="5"/>
        <v/>
      </c>
      <c r="K215" s="26" t="str">
        <f t="shared" si="6"/>
        <v/>
      </c>
      <c r="L215" s="26" t="str">
        <f t="shared" si="7"/>
        <v/>
      </c>
      <c r="M215" s="26" t="str">
        <f t="array" ref="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/>
      </c>
      <c r="N215" s="26" t="str">
        <f t="shared" si="8"/>
        <v/>
      </c>
      <c r="O215" s="26" t="str">
        <f t="shared" si="9"/>
        <v/>
      </c>
      <c r="P215" s="26" t="str">
        <f t="shared" si="10"/>
        <v/>
      </c>
      <c r="Q215" s="26" t="str">
        <f t="shared" si="11"/>
        <v/>
      </c>
      <c r="R215" s="26" t="str">
        <f t="shared" si="12"/>
        <v/>
      </c>
      <c r="S215" s="26" t="str">
        <f t="shared" si="13"/>
        <v/>
      </c>
      <c r="T215" s="26" t="str">
        <f t="shared" si="14"/>
        <v/>
      </c>
      <c r="U215" s="26" t="str">
        <f t="shared" si="15"/>
        <v/>
      </c>
      <c r="V215" s="26" t="str">
        <f t="shared" si="16"/>
        <v/>
      </c>
      <c r="W215" s="26" t="str">
        <f t="shared" si="17"/>
        <v/>
      </c>
      <c r="X215" s="26" t="str">
        <f t="shared" si="18"/>
        <v/>
      </c>
      <c r="Y215" s="26" t="str">
        <f t="shared" si="19"/>
        <v/>
      </c>
      <c r="Z215" s="31" t="str">
        <f t="shared" si="20"/>
        <v/>
      </c>
      <c r="AA215" s="31" t="str">
        <f>IF(D215="","",IF(H215&lt;=$B$16,1,IF(H215&gt;=$B$17,$B$21,MATCH(H215,Aux_CAV!$A$2:$A$121,1))))</f>
        <v/>
      </c>
      <c r="AB215" s="31" t="str">
        <f>IF(D215="","",IF(L215&lt;=$B$16,1,IF(L215&gt;=$B$17,$B$21,MATCH(L215,Aux_CAV!$A$2:$A$121,1))))</f>
        <v/>
      </c>
      <c r="AC215" s="3" t="str">
        <f t="shared" si="21"/>
        <v/>
      </c>
    </row>
    <row r="216" ht="12.75" customHeight="1">
      <c r="A216" s="25" t="str">
        <f t="shared" si="1"/>
        <v/>
      </c>
      <c r="B216" s="29" t="str">
        <f t="array" ref="B216">IF(D216="","",IFERROR(VALUE(INDEX(Vazoes_COLAR!$A$2:$A$200,INT((ROW()-24)/12)+1)),""))</f>
        <v/>
      </c>
      <c r="C216" s="29" t="str">
        <f t="shared" si="2"/>
        <v/>
      </c>
      <c r="D216" s="26" t="str">
        <f t="array" ref="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16" s="26" t="str">
        <f t="shared" si="3"/>
        <v/>
      </c>
      <c r="F216" s="26" t="str">
        <f t="array" ref="F216">IF(D216="","",IFERROR(INDEX(Dados_Evap!$C$2:$N$15,MATCH($B$9,Dados_Evap!$A$2:$A$15,0),C216),0))</f>
        <v/>
      </c>
      <c r="G216" s="26" t="str">
        <f t="shared" si="4"/>
        <v/>
      </c>
      <c r="H216" s="26" t="str">
        <f t="shared" si="22"/>
        <v/>
      </c>
      <c r="I216" s="26" t="str">
        <f t="array" ref="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/>
      </c>
      <c r="J216" s="26" t="str">
        <f t="shared" si="5"/>
        <v/>
      </c>
      <c r="K216" s="26" t="str">
        <f t="shared" si="6"/>
        <v/>
      </c>
      <c r="L216" s="26" t="str">
        <f t="shared" si="7"/>
        <v/>
      </c>
      <c r="M216" s="26" t="str">
        <f t="array" ref="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/>
      </c>
      <c r="N216" s="26" t="str">
        <f t="shared" si="8"/>
        <v/>
      </c>
      <c r="O216" s="26" t="str">
        <f t="shared" si="9"/>
        <v/>
      </c>
      <c r="P216" s="26" t="str">
        <f t="shared" si="10"/>
        <v/>
      </c>
      <c r="Q216" s="26" t="str">
        <f t="shared" si="11"/>
        <v/>
      </c>
      <c r="R216" s="26" t="str">
        <f t="shared" si="12"/>
        <v/>
      </c>
      <c r="S216" s="26" t="str">
        <f t="shared" si="13"/>
        <v/>
      </c>
      <c r="T216" s="26" t="str">
        <f t="shared" si="14"/>
        <v/>
      </c>
      <c r="U216" s="26" t="str">
        <f t="shared" si="15"/>
        <v/>
      </c>
      <c r="V216" s="26" t="str">
        <f t="shared" si="16"/>
        <v/>
      </c>
      <c r="W216" s="26" t="str">
        <f t="shared" si="17"/>
        <v/>
      </c>
      <c r="X216" s="26" t="str">
        <f t="shared" si="18"/>
        <v/>
      </c>
      <c r="Y216" s="26" t="str">
        <f t="shared" si="19"/>
        <v/>
      </c>
      <c r="Z216" s="31" t="str">
        <f t="shared" si="20"/>
        <v/>
      </c>
      <c r="AA216" s="31" t="str">
        <f>IF(D216="","",IF(H216&lt;=$B$16,1,IF(H216&gt;=$B$17,$B$21,MATCH(H216,Aux_CAV!$A$2:$A$121,1))))</f>
        <v/>
      </c>
      <c r="AB216" s="31" t="str">
        <f>IF(D216="","",IF(L216&lt;=$B$16,1,IF(L216&gt;=$B$17,$B$21,MATCH(L216,Aux_CAV!$A$2:$A$121,1))))</f>
        <v/>
      </c>
      <c r="AC216" s="3" t="str">
        <f t="shared" si="21"/>
        <v/>
      </c>
    </row>
    <row r="217" ht="12.75" customHeight="1">
      <c r="A217" s="25" t="str">
        <f t="shared" si="1"/>
        <v/>
      </c>
      <c r="B217" s="29" t="str">
        <f t="array" ref="B217">IF(D217="","",IFERROR(VALUE(INDEX(Vazoes_COLAR!$A$2:$A$200,INT((ROW()-24)/12)+1)),""))</f>
        <v/>
      </c>
      <c r="C217" s="29" t="str">
        <f t="shared" si="2"/>
        <v/>
      </c>
      <c r="D217" s="26" t="str">
        <f t="array" ref="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17" s="26" t="str">
        <f t="shared" si="3"/>
        <v/>
      </c>
      <c r="F217" s="26" t="str">
        <f t="array" ref="F217">IF(D217="","",IFERROR(INDEX(Dados_Evap!$C$2:$N$15,MATCH($B$9,Dados_Evap!$A$2:$A$15,0),C217),0))</f>
        <v/>
      </c>
      <c r="G217" s="26" t="str">
        <f t="shared" si="4"/>
        <v/>
      </c>
      <c r="H217" s="26" t="str">
        <f t="shared" si="22"/>
        <v/>
      </c>
      <c r="I217" s="26" t="str">
        <f t="array" ref="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/>
      </c>
      <c r="J217" s="26" t="str">
        <f t="shared" si="5"/>
        <v/>
      </c>
      <c r="K217" s="26" t="str">
        <f t="shared" si="6"/>
        <v/>
      </c>
      <c r="L217" s="26" t="str">
        <f t="shared" si="7"/>
        <v/>
      </c>
      <c r="M217" s="26" t="str">
        <f t="array" ref="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/>
      </c>
      <c r="N217" s="26" t="str">
        <f t="shared" si="8"/>
        <v/>
      </c>
      <c r="O217" s="26" t="str">
        <f t="shared" si="9"/>
        <v/>
      </c>
      <c r="P217" s="26" t="str">
        <f t="shared" si="10"/>
        <v/>
      </c>
      <c r="Q217" s="26" t="str">
        <f t="shared" si="11"/>
        <v/>
      </c>
      <c r="R217" s="26" t="str">
        <f t="shared" si="12"/>
        <v/>
      </c>
      <c r="S217" s="26" t="str">
        <f t="shared" si="13"/>
        <v/>
      </c>
      <c r="T217" s="26" t="str">
        <f t="shared" si="14"/>
        <v/>
      </c>
      <c r="U217" s="26" t="str">
        <f t="shared" si="15"/>
        <v/>
      </c>
      <c r="V217" s="26" t="str">
        <f t="shared" si="16"/>
        <v/>
      </c>
      <c r="W217" s="26" t="str">
        <f t="shared" si="17"/>
        <v/>
      </c>
      <c r="X217" s="26" t="str">
        <f t="shared" si="18"/>
        <v/>
      </c>
      <c r="Y217" s="26" t="str">
        <f t="shared" si="19"/>
        <v/>
      </c>
      <c r="Z217" s="31" t="str">
        <f t="shared" si="20"/>
        <v/>
      </c>
      <c r="AA217" s="31" t="str">
        <f>IF(D217="","",IF(H217&lt;=$B$16,1,IF(H217&gt;=$B$17,$B$21,MATCH(H217,Aux_CAV!$A$2:$A$121,1))))</f>
        <v/>
      </c>
      <c r="AB217" s="31" t="str">
        <f>IF(D217="","",IF(L217&lt;=$B$16,1,IF(L217&gt;=$B$17,$B$21,MATCH(L217,Aux_CAV!$A$2:$A$121,1))))</f>
        <v/>
      </c>
      <c r="AC217" s="3" t="str">
        <f t="shared" si="21"/>
        <v/>
      </c>
    </row>
    <row r="218" ht="12.75" customHeight="1">
      <c r="A218" s="25" t="str">
        <f t="shared" si="1"/>
        <v/>
      </c>
      <c r="B218" s="29" t="str">
        <f t="array" ref="B218">IF(D218="","",IFERROR(VALUE(INDEX(Vazoes_COLAR!$A$2:$A$200,INT((ROW()-24)/12)+1)),""))</f>
        <v/>
      </c>
      <c r="C218" s="29" t="str">
        <f t="shared" si="2"/>
        <v/>
      </c>
      <c r="D218" s="26" t="str">
        <f t="array" ref="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18" s="26" t="str">
        <f t="shared" si="3"/>
        <v/>
      </c>
      <c r="F218" s="26" t="str">
        <f t="array" ref="F218">IF(D218="","",IFERROR(INDEX(Dados_Evap!$C$2:$N$15,MATCH($B$9,Dados_Evap!$A$2:$A$15,0),C218),0))</f>
        <v/>
      </c>
      <c r="G218" s="26" t="str">
        <f t="shared" si="4"/>
        <v/>
      </c>
      <c r="H218" s="26" t="str">
        <f t="shared" si="22"/>
        <v/>
      </c>
      <c r="I218" s="26" t="str">
        <f t="array" ref="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/>
      </c>
      <c r="J218" s="26" t="str">
        <f t="shared" si="5"/>
        <v/>
      </c>
      <c r="K218" s="26" t="str">
        <f t="shared" si="6"/>
        <v/>
      </c>
      <c r="L218" s="26" t="str">
        <f t="shared" si="7"/>
        <v/>
      </c>
      <c r="M218" s="26" t="str">
        <f t="array" ref="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/>
      </c>
      <c r="N218" s="26" t="str">
        <f t="shared" si="8"/>
        <v/>
      </c>
      <c r="O218" s="26" t="str">
        <f t="shared" si="9"/>
        <v/>
      </c>
      <c r="P218" s="26" t="str">
        <f t="shared" si="10"/>
        <v/>
      </c>
      <c r="Q218" s="26" t="str">
        <f t="shared" si="11"/>
        <v/>
      </c>
      <c r="R218" s="26" t="str">
        <f t="shared" si="12"/>
        <v/>
      </c>
      <c r="S218" s="26" t="str">
        <f t="shared" si="13"/>
        <v/>
      </c>
      <c r="T218" s="26" t="str">
        <f t="shared" si="14"/>
        <v/>
      </c>
      <c r="U218" s="26" t="str">
        <f t="shared" si="15"/>
        <v/>
      </c>
      <c r="V218" s="26" t="str">
        <f t="shared" si="16"/>
        <v/>
      </c>
      <c r="W218" s="26" t="str">
        <f t="shared" si="17"/>
        <v/>
      </c>
      <c r="X218" s="26" t="str">
        <f t="shared" si="18"/>
        <v/>
      </c>
      <c r="Y218" s="26" t="str">
        <f t="shared" si="19"/>
        <v/>
      </c>
      <c r="Z218" s="31" t="str">
        <f t="shared" si="20"/>
        <v/>
      </c>
      <c r="AA218" s="31" t="str">
        <f>IF(D218="","",IF(H218&lt;=$B$16,1,IF(H218&gt;=$B$17,$B$21,MATCH(H218,Aux_CAV!$A$2:$A$121,1))))</f>
        <v/>
      </c>
      <c r="AB218" s="31" t="str">
        <f>IF(D218="","",IF(L218&lt;=$B$16,1,IF(L218&gt;=$B$17,$B$21,MATCH(L218,Aux_CAV!$A$2:$A$121,1))))</f>
        <v/>
      </c>
      <c r="AC218" s="3" t="str">
        <f t="shared" si="21"/>
        <v/>
      </c>
    </row>
    <row r="219" ht="12.75" customHeight="1">
      <c r="A219" s="25" t="str">
        <f t="shared" si="1"/>
        <v/>
      </c>
      <c r="B219" s="29" t="str">
        <f t="array" ref="B219">IF(D219="","",IFERROR(VALUE(INDEX(Vazoes_COLAR!$A$2:$A$200,INT((ROW()-24)/12)+1)),""))</f>
        <v/>
      </c>
      <c r="C219" s="29" t="str">
        <f t="shared" si="2"/>
        <v/>
      </c>
      <c r="D219" s="26" t="str">
        <f t="array" ref="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19" s="26" t="str">
        <f t="shared" si="3"/>
        <v/>
      </c>
      <c r="F219" s="26" t="str">
        <f t="array" ref="F219">IF(D219="","",IFERROR(INDEX(Dados_Evap!$C$2:$N$15,MATCH($B$9,Dados_Evap!$A$2:$A$15,0),C219),0))</f>
        <v/>
      </c>
      <c r="G219" s="26" t="str">
        <f t="shared" si="4"/>
        <v/>
      </c>
      <c r="H219" s="26" t="str">
        <f t="shared" si="22"/>
        <v/>
      </c>
      <c r="I219" s="26" t="str">
        <f t="array" ref="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/>
      </c>
      <c r="J219" s="26" t="str">
        <f t="shared" si="5"/>
        <v/>
      </c>
      <c r="K219" s="26" t="str">
        <f t="shared" si="6"/>
        <v/>
      </c>
      <c r="L219" s="26" t="str">
        <f t="shared" si="7"/>
        <v/>
      </c>
      <c r="M219" s="26" t="str">
        <f t="array" ref="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/>
      </c>
      <c r="N219" s="26" t="str">
        <f t="shared" si="8"/>
        <v/>
      </c>
      <c r="O219" s="26" t="str">
        <f t="shared" si="9"/>
        <v/>
      </c>
      <c r="P219" s="26" t="str">
        <f t="shared" si="10"/>
        <v/>
      </c>
      <c r="Q219" s="26" t="str">
        <f t="shared" si="11"/>
        <v/>
      </c>
      <c r="R219" s="26" t="str">
        <f t="shared" si="12"/>
        <v/>
      </c>
      <c r="S219" s="26" t="str">
        <f t="shared" si="13"/>
        <v/>
      </c>
      <c r="T219" s="26" t="str">
        <f t="shared" si="14"/>
        <v/>
      </c>
      <c r="U219" s="26" t="str">
        <f t="shared" si="15"/>
        <v/>
      </c>
      <c r="V219" s="26" t="str">
        <f t="shared" si="16"/>
        <v/>
      </c>
      <c r="W219" s="26" t="str">
        <f t="shared" si="17"/>
        <v/>
      </c>
      <c r="X219" s="26" t="str">
        <f t="shared" si="18"/>
        <v/>
      </c>
      <c r="Y219" s="26" t="str">
        <f t="shared" si="19"/>
        <v/>
      </c>
      <c r="Z219" s="31" t="str">
        <f t="shared" si="20"/>
        <v/>
      </c>
      <c r="AA219" s="31" t="str">
        <f>IF(D219="","",IF(H219&lt;=$B$16,1,IF(H219&gt;=$B$17,$B$21,MATCH(H219,Aux_CAV!$A$2:$A$121,1))))</f>
        <v/>
      </c>
      <c r="AB219" s="31" t="str">
        <f>IF(D219="","",IF(L219&lt;=$B$16,1,IF(L219&gt;=$B$17,$B$21,MATCH(L219,Aux_CAV!$A$2:$A$121,1))))</f>
        <v/>
      </c>
      <c r="AC219" s="3" t="str">
        <f t="shared" si="21"/>
        <v/>
      </c>
    </row>
    <row r="220" ht="12.75" customHeight="1">
      <c r="A220" s="25" t="str">
        <f t="shared" si="1"/>
        <v/>
      </c>
      <c r="B220" s="29" t="str">
        <f t="array" ref="B220">IF(D220="","",IFERROR(VALUE(INDEX(Vazoes_COLAR!$A$2:$A$200,INT((ROW()-24)/12)+1)),""))</f>
        <v/>
      </c>
      <c r="C220" s="29" t="str">
        <f t="shared" si="2"/>
        <v/>
      </c>
      <c r="D220" s="26" t="str">
        <f t="array" ref="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20" s="26" t="str">
        <f t="shared" si="3"/>
        <v/>
      </c>
      <c r="F220" s="26" t="str">
        <f t="array" ref="F220">IF(D220="","",IFERROR(INDEX(Dados_Evap!$C$2:$N$15,MATCH($B$9,Dados_Evap!$A$2:$A$15,0),C220),0))</f>
        <v/>
      </c>
      <c r="G220" s="26" t="str">
        <f t="shared" si="4"/>
        <v/>
      </c>
      <c r="H220" s="26" t="str">
        <f t="shared" si="22"/>
        <v/>
      </c>
      <c r="I220" s="26" t="str">
        <f t="array" ref="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/>
      </c>
      <c r="J220" s="26" t="str">
        <f t="shared" si="5"/>
        <v/>
      </c>
      <c r="K220" s="26" t="str">
        <f t="shared" si="6"/>
        <v/>
      </c>
      <c r="L220" s="26" t="str">
        <f t="shared" si="7"/>
        <v/>
      </c>
      <c r="M220" s="26" t="str">
        <f t="array" ref="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/>
      </c>
      <c r="N220" s="26" t="str">
        <f t="shared" si="8"/>
        <v/>
      </c>
      <c r="O220" s="26" t="str">
        <f t="shared" si="9"/>
        <v/>
      </c>
      <c r="P220" s="26" t="str">
        <f t="shared" si="10"/>
        <v/>
      </c>
      <c r="Q220" s="26" t="str">
        <f t="shared" si="11"/>
        <v/>
      </c>
      <c r="R220" s="26" t="str">
        <f t="shared" si="12"/>
        <v/>
      </c>
      <c r="S220" s="26" t="str">
        <f t="shared" si="13"/>
        <v/>
      </c>
      <c r="T220" s="26" t="str">
        <f t="shared" si="14"/>
        <v/>
      </c>
      <c r="U220" s="26" t="str">
        <f t="shared" si="15"/>
        <v/>
      </c>
      <c r="V220" s="26" t="str">
        <f t="shared" si="16"/>
        <v/>
      </c>
      <c r="W220" s="26" t="str">
        <f t="shared" si="17"/>
        <v/>
      </c>
      <c r="X220" s="26" t="str">
        <f t="shared" si="18"/>
        <v/>
      </c>
      <c r="Y220" s="26" t="str">
        <f t="shared" si="19"/>
        <v/>
      </c>
      <c r="Z220" s="31" t="str">
        <f t="shared" si="20"/>
        <v/>
      </c>
      <c r="AA220" s="31" t="str">
        <f>IF(D220="","",IF(H220&lt;=$B$16,1,IF(H220&gt;=$B$17,$B$21,MATCH(H220,Aux_CAV!$A$2:$A$121,1))))</f>
        <v/>
      </c>
      <c r="AB220" s="31" t="str">
        <f>IF(D220="","",IF(L220&lt;=$B$16,1,IF(L220&gt;=$B$17,$B$21,MATCH(L220,Aux_CAV!$A$2:$A$121,1))))</f>
        <v/>
      </c>
      <c r="AC220" s="3" t="str">
        <f t="shared" si="21"/>
        <v/>
      </c>
    </row>
    <row r="221" ht="12.75" customHeight="1">
      <c r="A221" s="25" t="str">
        <f t="shared" si="1"/>
        <v/>
      </c>
      <c r="B221" s="29" t="str">
        <f t="array" ref="B221">IF(D221="","",IFERROR(VALUE(INDEX(Vazoes_COLAR!$A$2:$A$200,INT((ROW()-24)/12)+1)),""))</f>
        <v/>
      </c>
      <c r="C221" s="29" t="str">
        <f t="shared" si="2"/>
        <v/>
      </c>
      <c r="D221" s="26" t="str">
        <f t="array" ref="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21" s="26" t="str">
        <f t="shared" si="3"/>
        <v/>
      </c>
      <c r="F221" s="26" t="str">
        <f t="array" ref="F221">IF(D221="","",IFERROR(INDEX(Dados_Evap!$C$2:$N$15,MATCH($B$9,Dados_Evap!$A$2:$A$15,0),C221),0))</f>
        <v/>
      </c>
      <c r="G221" s="26" t="str">
        <f t="shared" si="4"/>
        <v/>
      </c>
      <c r="H221" s="26" t="str">
        <f t="shared" si="22"/>
        <v/>
      </c>
      <c r="I221" s="26" t="str">
        <f t="array" ref="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/>
      </c>
      <c r="J221" s="26" t="str">
        <f t="shared" si="5"/>
        <v/>
      </c>
      <c r="K221" s="26" t="str">
        <f t="shared" si="6"/>
        <v/>
      </c>
      <c r="L221" s="26" t="str">
        <f t="shared" si="7"/>
        <v/>
      </c>
      <c r="M221" s="26" t="str">
        <f t="array" ref="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/>
      </c>
      <c r="N221" s="26" t="str">
        <f t="shared" si="8"/>
        <v/>
      </c>
      <c r="O221" s="26" t="str">
        <f t="shared" si="9"/>
        <v/>
      </c>
      <c r="P221" s="26" t="str">
        <f t="shared" si="10"/>
        <v/>
      </c>
      <c r="Q221" s="26" t="str">
        <f t="shared" si="11"/>
        <v/>
      </c>
      <c r="R221" s="26" t="str">
        <f t="shared" si="12"/>
        <v/>
      </c>
      <c r="S221" s="26" t="str">
        <f t="shared" si="13"/>
        <v/>
      </c>
      <c r="T221" s="26" t="str">
        <f t="shared" si="14"/>
        <v/>
      </c>
      <c r="U221" s="26" t="str">
        <f t="shared" si="15"/>
        <v/>
      </c>
      <c r="V221" s="26" t="str">
        <f t="shared" si="16"/>
        <v/>
      </c>
      <c r="W221" s="26" t="str">
        <f t="shared" si="17"/>
        <v/>
      </c>
      <c r="X221" s="26" t="str">
        <f t="shared" si="18"/>
        <v/>
      </c>
      <c r="Y221" s="26" t="str">
        <f t="shared" si="19"/>
        <v/>
      </c>
      <c r="Z221" s="31" t="str">
        <f t="shared" si="20"/>
        <v/>
      </c>
      <c r="AA221" s="31" t="str">
        <f>IF(D221="","",IF(H221&lt;=$B$16,1,IF(H221&gt;=$B$17,$B$21,MATCH(H221,Aux_CAV!$A$2:$A$121,1))))</f>
        <v/>
      </c>
      <c r="AB221" s="31" t="str">
        <f>IF(D221="","",IF(L221&lt;=$B$16,1,IF(L221&gt;=$B$17,$B$21,MATCH(L221,Aux_CAV!$A$2:$A$121,1))))</f>
        <v/>
      </c>
      <c r="AC221" s="3" t="str">
        <f t="shared" si="21"/>
        <v/>
      </c>
    </row>
    <row r="222" ht="12.75" customHeight="1">
      <c r="A222" s="25" t="str">
        <f t="shared" si="1"/>
        <v/>
      </c>
      <c r="B222" s="29" t="str">
        <f t="array" ref="B222">IF(D222="","",IFERROR(VALUE(INDEX(Vazoes_COLAR!$A$2:$A$200,INT((ROW()-24)/12)+1)),""))</f>
        <v/>
      </c>
      <c r="C222" s="29" t="str">
        <f t="shared" si="2"/>
        <v/>
      </c>
      <c r="D222" s="26" t="str">
        <f t="array" ref="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22" s="26" t="str">
        <f t="shared" si="3"/>
        <v/>
      </c>
      <c r="F222" s="26" t="str">
        <f t="array" ref="F222">IF(D222="","",IFERROR(INDEX(Dados_Evap!$C$2:$N$15,MATCH($B$9,Dados_Evap!$A$2:$A$15,0),C222),0))</f>
        <v/>
      </c>
      <c r="G222" s="26" t="str">
        <f t="shared" si="4"/>
        <v/>
      </c>
      <c r="H222" s="26" t="str">
        <f t="shared" si="22"/>
        <v/>
      </c>
      <c r="I222" s="26" t="str">
        <f t="array" ref="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/>
      </c>
      <c r="J222" s="26" t="str">
        <f t="shared" si="5"/>
        <v/>
      </c>
      <c r="K222" s="26" t="str">
        <f t="shared" si="6"/>
        <v/>
      </c>
      <c r="L222" s="26" t="str">
        <f t="shared" si="7"/>
        <v/>
      </c>
      <c r="M222" s="26" t="str">
        <f t="array" ref="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/>
      </c>
      <c r="N222" s="26" t="str">
        <f t="shared" si="8"/>
        <v/>
      </c>
      <c r="O222" s="26" t="str">
        <f t="shared" si="9"/>
        <v/>
      </c>
      <c r="P222" s="26" t="str">
        <f t="shared" si="10"/>
        <v/>
      </c>
      <c r="Q222" s="26" t="str">
        <f t="shared" si="11"/>
        <v/>
      </c>
      <c r="R222" s="26" t="str">
        <f t="shared" si="12"/>
        <v/>
      </c>
      <c r="S222" s="26" t="str">
        <f t="shared" si="13"/>
        <v/>
      </c>
      <c r="T222" s="26" t="str">
        <f t="shared" si="14"/>
        <v/>
      </c>
      <c r="U222" s="26" t="str">
        <f t="shared" si="15"/>
        <v/>
      </c>
      <c r="V222" s="26" t="str">
        <f t="shared" si="16"/>
        <v/>
      </c>
      <c r="W222" s="26" t="str">
        <f t="shared" si="17"/>
        <v/>
      </c>
      <c r="X222" s="26" t="str">
        <f t="shared" si="18"/>
        <v/>
      </c>
      <c r="Y222" s="26" t="str">
        <f t="shared" si="19"/>
        <v/>
      </c>
      <c r="Z222" s="31" t="str">
        <f t="shared" si="20"/>
        <v/>
      </c>
      <c r="AA222" s="31" t="str">
        <f>IF(D222="","",IF(H222&lt;=$B$16,1,IF(H222&gt;=$B$17,$B$21,MATCH(H222,Aux_CAV!$A$2:$A$121,1))))</f>
        <v/>
      </c>
      <c r="AB222" s="31" t="str">
        <f>IF(D222="","",IF(L222&lt;=$B$16,1,IF(L222&gt;=$B$17,$B$21,MATCH(L222,Aux_CAV!$A$2:$A$121,1))))</f>
        <v/>
      </c>
      <c r="AC222" s="3" t="str">
        <f t="shared" si="21"/>
        <v/>
      </c>
    </row>
    <row r="223" ht="12.75" customHeight="1">
      <c r="A223" s="25" t="str">
        <f t="shared" si="1"/>
        <v/>
      </c>
      <c r="B223" s="29" t="str">
        <f t="array" ref="B223">IF(D223="","",IFERROR(VALUE(INDEX(Vazoes_COLAR!$A$2:$A$200,INT((ROW()-24)/12)+1)),""))</f>
        <v/>
      </c>
      <c r="C223" s="29" t="str">
        <f t="shared" si="2"/>
        <v/>
      </c>
      <c r="D223" s="26" t="str">
        <f t="array" ref="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23" s="26" t="str">
        <f t="shared" si="3"/>
        <v/>
      </c>
      <c r="F223" s="26" t="str">
        <f t="array" ref="F223">IF(D223="","",IFERROR(INDEX(Dados_Evap!$C$2:$N$15,MATCH($B$9,Dados_Evap!$A$2:$A$15,0),C223),0))</f>
        <v/>
      </c>
      <c r="G223" s="26" t="str">
        <f t="shared" si="4"/>
        <v/>
      </c>
      <c r="H223" s="26" t="str">
        <f t="shared" si="22"/>
        <v/>
      </c>
      <c r="I223" s="26" t="str">
        <f t="array" ref="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/>
      </c>
      <c r="J223" s="26" t="str">
        <f t="shared" si="5"/>
        <v/>
      </c>
      <c r="K223" s="26" t="str">
        <f t="shared" si="6"/>
        <v/>
      </c>
      <c r="L223" s="26" t="str">
        <f t="shared" si="7"/>
        <v/>
      </c>
      <c r="M223" s="26" t="str">
        <f t="array" ref="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/>
      </c>
      <c r="N223" s="26" t="str">
        <f t="shared" si="8"/>
        <v/>
      </c>
      <c r="O223" s="26" t="str">
        <f t="shared" si="9"/>
        <v/>
      </c>
      <c r="P223" s="26" t="str">
        <f t="shared" si="10"/>
        <v/>
      </c>
      <c r="Q223" s="26" t="str">
        <f t="shared" si="11"/>
        <v/>
      </c>
      <c r="R223" s="26" t="str">
        <f t="shared" si="12"/>
        <v/>
      </c>
      <c r="S223" s="26" t="str">
        <f t="shared" si="13"/>
        <v/>
      </c>
      <c r="T223" s="26" t="str">
        <f t="shared" si="14"/>
        <v/>
      </c>
      <c r="U223" s="26" t="str">
        <f t="shared" si="15"/>
        <v/>
      </c>
      <c r="V223" s="26" t="str">
        <f t="shared" si="16"/>
        <v/>
      </c>
      <c r="W223" s="26" t="str">
        <f t="shared" si="17"/>
        <v/>
      </c>
      <c r="X223" s="26" t="str">
        <f t="shared" si="18"/>
        <v/>
      </c>
      <c r="Y223" s="26" t="str">
        <f t="shared" si="19"/>
        <v/>
      </c>
      <c r="Z223" s="31" t="str">
        <f t="shared" si="20"/>
        <v/>
      </c>
      <c r="AA223" s="31" t="str">
        <f>IF(D223="","",IF(H223&lt;=$B$16,1,IF(H223&gt;=$B$17,$B$21,MATCH(H223,Aux_CAV!$A$2:$A$121,1))))</f>
        <v/>
      </c>
      <c r="AB223" s="31" t="str">
        <f>IF(D223="","",IF(L223&lt;=$B$16,1,IF(L223&gt;=$B$17,$B$21,MATCH(L223,Aux_CAV!$A$2:$A$121,1))))</f>
        <v/>
      </c>
      <c r="AC223" s="3" t="str">
        <f t="shared" si="21"/>
        <v/>
      </c>
    </row>
    <row r="224" ht="12.75" customHeight="1">
      <c r="A224" s="25" t="str">
        <f t="shared" si="1"/>
        <v/>
      </c>
      <c r="B224" s="29" t="str">
        <f t="array" ref="B224">IF(D224="","",IFERROR(VALUE(INDEX(Vazoes_COLAR!$A$2:$A$200,INT((ROW()-24)/12)+1)),""))</f>
        <v/>
      </c>
      <c r="C224" s="29" t="str">
        <f t="shared" si="2"/>
        <v/>
      </c>
      <c r="D224" s="26" t="str">
        <f t="array" ref="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24" s="26" t="str">
        <f t="shared" si="3"/>
        <v/>
      </c>
      <c r="F224" s="26" t="str">
        <f t="array" ref="F224">IF(D224="","",IFERROR(INDEX(Dados_Evap!$C$2:$N$15,MATCH($B$9,Dados_Evap!$A$2:$A$15,0),C224),0))</f>
        <v/>
      </c>
      <c r="G224" s="26" t="str">
        <f t="shared" si="4"/>
        <v/>
      </c>
      <c r="H224" s="26" t="str">
        <f t="shared" si="22"/>
        <v/>
      </c>
      <c r="I224" s="26" t="str">
        <f t="array" ref="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/>
      </c>
      <c r="J224" s="26" t="str">
        <f t="shared" si="5"/>
        <v/>
      </c>
      <c r="K224" s="26" t="str">
        <f t="shared" si="6"/>
        <v/>
      </c>
      <c r="L224" s="26" t="str">
        <f t="shared" si="7"/>
        <v/>
      </c>
      <c r="M224" s="26" t="str">
        <f t="array" ref="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/>
      </c>
      <c r="N224" s="26" t="str">
        <f t="shared" si="8"/>
        <v/>
      </c>
      <c r="O224" s="26" t="str">
        <f t="shared" si="9"/>
        <v/>
      </c>
      <c r="P224" s="26" t="str">
        <f t="shared" si="10"/>
        <v/>
      </c>
      <c r="Q224" s="26" t="str">
        <f t="shared" si="11"/>
        <v/>
      </c>
      <c r="R224" s="26" t="str">
        <f t="shared" si="12"/>
        <v/>
      </c>
      <c r="S224" s="26" t="str">
        <f t="shared" si="13"/>
        <v/>
      </c>
      <c r="T224" s="26" t="str">
        <f t="shared" si="14"/>
        <v/>
      </c>
      <c r="U224" s="26" t="str">
        <f t="shared" si="15"/>
        <v/>
      </c>
      <c r="V224" s="26" t="str">
        <f t="shared" si="16"/>
        <v/>
      </c>
      <c r="W224" s="26" t="str">
        <f t="shared" si="17"/>
        <v/>
      </c>
      <c r="X224" s="26" t="str">
        <f t="shared" si="18"/>
        <v/>
      </c>
      <c r="Y224" s="26" t="str">
        <f t="shared" si="19"/>
        <v/>
      </c>
      <c r="Z224" s="31" t="str">
        <f t="shared" si="20"/>
        <v/>
      </c>
      <c r="AA224" s="31" t="str">
        <f>IF(D224="","",IF(H224&lt;=$B$16,1,IF(H224&gt;=$B$17,$B$21,MATCH(H224,Aux_CAV!$A$2:$A$121,1))))</f>
        <v/>
      </c>
      <c r="AB224" s="31" t="str">
        <f>IF(D224="","",IF(L224&lt;=$B$16,1,IF(L224&gt;=$B$17,$B$21,MATCH(L224,Aux_CAV!$A$2:$A$121,1))))</f>
        <v/>
      </c>
      <c r="AC224" s="3" t="str">
        <f t="shared" si="21"/>
        <v/>
      </c>
    </row>
    <row r="225" ht="12.75" customHeight="1">
      <c r="A225" s="25" t="str">
        <f t="shared" si="1"/>
        <v/>
      </c>
      <c r="B225" s="29" t="str">
        <f t="array" ref="B225">IF(D225="","",IFERROR(VALUE(INDEX(Vazoes_COLAR!$A$2:$A$200,INT((ROW()-24)/12)+1)),""))</f>
        <v/>
      </c>
      <c r="C225" s="29" t="str">
        <f t="shared" si="2"/>
        <v/>
      </c>
      <c r="D225" s="26" t="str">
        <f t="array" ref="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25" s="26" t="str">
        <f t="shared" si="3"/>
        <v/>
      </c>
      <c r="F225" s="26" t="str">
        <f t="array" ref="F225">IF(D225="","",IFERROR(INDEX(Dados_Evap!$C$2:$N$15,MATCH($B$9,Dados_Evap!$A$2:$A$15,0),C225),0))</f>
        <v/>
      </c>
      <c r="G225" s="26" t="str">
        <f t="shared" si="4"/>
        <v/>
      </c>
      <c r="H225" s="26" t="str">
        <f t="shared" si="22"/>
        <v/>
      </c>
      <c r="I225" s="26" t="str">
        <f t="array" ref="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/>
      </c>
      <c r="J225" s="26" t="str">
        <f t="shared" si="5"/>
        <v/>
      </c>
      <c r="K225" s="26" t="str">
        <f t="shared" si="6"/>
        <v/>
      </c>
      <c r="L225" s="26" t="str">
        <f t="shared" si="7"/>
        <v/>
      </c>
      <c r="M225" s="26" t="str">
        <f t="array" ref="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/>
      </c>
      <c r="N225" s="26" t="str">
        <f t="shared" si="8"/>
        <v/>
      </c>
      <c r="O225" s="26" t="str">
        <f t="shared" si="9"/>
        <v/>
      </c>
      <c r="P225" s="26" t="str">
        <f t="shared" si="10"/>
        <v/>
      </c>
      <c r="Q225" s="26" t="str">
        <f t="shared" si="11"/>
        <v/>
      </c>
      <c r="R225" s="26" t="str">
        <f t="shared" si="12"/>
        <v/>
      </c>
      <c r="S225" s="26" t="str">
        <f t="shared" si="13"/>
        <v/>
      </c>
      <c r="T225" s="26" t="str">
        <f t="shared" si="14"/>
        <v/>
      </c>
      <c r="U225" s="26" t="str">
        <f t="shared" si="15"/>
        <v/>
      </c>
      <c r="V225" s="26" t="str">
        <f t="shared" si="16"/>
        <v/>
      </c>
      <c r="W225" s="26" t="str">
        <f t="shared" si="17"/>
        <v/>
      </c>
      <c r="X225" s="26" t="str">
        <f t="shared" si="18"/>
        <v/>
      </c>
      <c r="Y225" s="26" t="str">
        <f t="shared" si="19"/>
        <v/>
      </c>
      <c r="Z225" s="31" t="str">
        <f t="shared" si="20"/>
        <v/>
      </c>
      <c r="AA225" s="31" t="str">
        <f>IF(D225="","",IF(H225&lt;=$B$16,1,IF(H225&gt;=$B$17,$B$21,MATCH(H225,Aux_CAV!$A$2:$A$121,1))))</f>
        <v/>
      </c>
      <c r="AB225" s="31" t="str">
        <f>IF(D225="","",IF(L225&lt;=$B$16,1,IF(L225&gt;=$B$17,$B$21,MATCH(L225,Aux_CAV!$A$2:$A$121,1))))</f>
        <v/>
      </c>
      <c r="AC225" s="3" t="str">
        <f t="shared" si="21"/>
        <v/>
      </c>
    </row>
    <row r="226" ht="12.75" customHeight="1">
      <c r="A226" s="25" t="str">
        <f t="shared" si="1"/>
        <v/>
      </c>
      <c r="B226" s="29" t="str">
        <f t="array" ref="B226">IF(D226="","",IFERROR(VALUE(INDEX(Vazoes_COLAR!$A$2:$A$200,INT((ROW()-24)/12)+1)),""))</f>
        <v/>
      </c>
      <c r="C226" s="29" t="str">
        <f t="shared" si="2"/>
        <v/>
      </c>
      <c r="D226" s="26" t="str">
        <f t="array" ref="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26" s="26" t="str">
        <f t="shared" si="3"/>
        <v/>
      </c>
      <c r="F226" s="26" t="str">
        <f t="array" ref="F226">IF(D226="","",IFERROR(INDEX(Dados_Evap!$C$2:$N$15,MATCH($B$9,Dados_Evap!$A$2:$A$15,0),C226),0))</f>
        <v/>
      </c>
      <c r="G226" s="26" t="str">
        <f t="shared" si="4"/>
        <v/>
      </c>
      <c r="H226" s="26" t="str">
        <f t="shared" si="22"/>
        <v/>
      </c>
      <c r="I226" s="26" t="str">
        <f t="array" ref="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/>
      </c>
      <c r="J226" s="26" t="str">
        <f t="shared" si="5"/>
        <v/>
      </c>
      <c r="K226" s="26" t="str">
        <f t="shared" si="6"/>
        <v/>
      </c>
      <c r="L226" s="26" t="str">
        <f t="shared" si="7"/>
        <v/>
      </c>
      <c r="M226" s="26" t="str">
        <f t="array" ref="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/>
      </c>
      <c r="N226" s="26" t="str">
        <f t="shared" si="8"/>
        <v/>
      </c>
      <c r="O226" s="26" t="str">
        <f t="shared" si="9"/>
        <v/>
      </c>
      <c r="P226" s="26" t="str">
        <f t="shared" si="10"/>
        <v/>
      </c>
      <c r="Q226" s="26" t="str">
        <f t="shared" si="11"/>
        <v/>
      </c>
      <c r="R226" s="26" t="str">
        <f t="shared" si="12"/>
        <v/>
      </c>
      <c r="S226" s="26" t="str">
        <f t="shared" si="13"/>
        <v/>
      </c>
      <c r="T226" s="26" t="str">
        <f t="shared" si="14"/>
        <v/>
      </c>
      <c r="U226" s="26" t="str">
        <f t="shared" si="15"/>
        <v/>
      </c>
      <c r="V226" s="26" t="str">
        <f t="shared" si="16"/>
        <v/>
      </c>
      <c r="W226" s="26" t="str">
        <f t="shared" si="17"/>
        <v/>
      </c>
      <c r="X226" s="26" t="str">
        <f t="shared" si="18"/>
        <v/>
      </c>
      <c r="Y226" s="26" t="str">
        <f t="shared" si="19"/>
        <v/>
      </c>
      <c r="Z226" s="31" t="str">
        <f t="shared" si="20"/>
        <v/>
      </c>
      <c r="AA226" s="31" t="str">
        <f>IF(D226="","",IF(H226&lt;=$B$16,1,IF(H226&gt;=$B$17,$B$21,MATCH(H226,Aux_CAV!$A$2:$A$121,1))))</f>
        <v/>
      </c>
      <c r="AB226" s="31" t="str">
        <f>IF(D226="","",IF(L226&lt;=$B$16,1,IF(L226&gt;=$B$17,$B$21,MATCH(L226,Aux_CAV!$A$2:$A$121,1))))</f>
        <v/>
      </c>
      <c r="AC226" s="3" t="str">
        <f t="shared" si="21"/>
        <v/>
      </c>
    </row>
    <row r="227" ht="12.75" customHeight="1">
      <c r="A227" s="25" t="str">
        <f t="shared" si="1"/>
        <v/>
      </c>
      <c r="B227" s="29" t="str">
        <f t="array" ref="B227">IF(D227="","",IFERROR(VALUE(INDEX(Vazoes_COLAR!$A$2:$A$200,INT((ROW()-24)/12)+1)),""))</f>
        <v/>
      </c>
      <c r="C227" s="29" t="str">
        <f t="shared" si="2"/>
        <v/>
      </c>
      <c r="D227" s="26" t="str">
        <f t="array" ref="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27" s="26" t="str">
        <f t="shared" si="3"/>
        <v/>
      </c>
      <c r="F227" s="26" t="str">
        <f t="array" ref="F227">IF(D227="","",IFERROR(INDEX(Dados_Evap!$C$2:$N$15,MATCH($B$9,Dados_Evap!$A$2:$A$15,0),C227),0))</f>
        <v/>
      </c>
      <c r="G227" s="26" t="str">
        <f t="shared" si="4"/>
        <v/>
      </c>
      <c r="H227" s="26" t="str">
        <f t="shared" si="22"/>
        <v/>
      </c>
      <c r="I227" s="26" t="str">
        <f t="array" ref="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/>
      </c>
      <c r="J227" s="26" t="str">
        <f t="shared" si="5"/>
        <v/>
      </c>
      <c r="K227" s="26" t="str">
        <f t="shared" si="6"/>
        <v/>
      </c>
      <c r="L227" s="26" t="str">
        <f t="shared" si="7"/>
        <v/>
      </c>
      <c r="M227" s="26" t="str">
        <f t="array" ref="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/>
      </c>
      <c r="N227" s="26" t="str">
        <f t="shared" si="8"/>
        <v/>
      </c>
      <c r="O227" s="26" t="str">
        <f t="shared" si="9"/>
        <v/>
      </c>
      <c r="P227" s="26" t="str">
        <f t="shared" si="10"/>
        <v/>
      </c>
      <c r="Q227" s="26" t="str">
        <f t="shared" si="11"/>
        <v/>
      </c>
      <c r="R227" s="26" t="str">
        <f t="shared" si="12"/>
        <v/>
      </c>
      <c r="S227" s="26" t="str">
        <f t="shared" si="13"/>
        <v/>
      </c>
      <c r="T227" s="26" t="str">
        <f t="shared" si="14"/>
        <v/>
      </c>
      <c r="U227" s="26" t="str">
        <f t="shared" si="15"/>
        <v/>
      </c>
      <c r="V227" s="26" t="str">
        <f t="shared" si="16"/>
        <v/>
      </c>
      <c r="W227" s="26" t="str">
        <f t="shared" si="17"/>
        <v/>
      </c>
      <c r="X227" s="26" t="str">
        <f t="shared" si="18"/>
        <v/>
      </c>
      <c r="Y227" s="26" t="str">
        <f t="shared" si="19"/>
        <v/>
      </c>
      <c r="Z227" s="31" t="str">
        <f t="shared" si="20"/>
        <v/>
      </c>
      <c r="AA227" s="31" t="str">
        <f>IF(D227="","",IF(H227&lt;=$B$16,1,IF(H227&gt;=$B$17,$B$21,MATCH(H227,Aux_CAV!$A$2:$A$121,1))))</f>
        <v/>
      </c>
      <c r="AB227" s="31" t="str">
        <f>IF(D227="","",IF(L227&lt;=$B$16,1,IF(L227&gt;=$B$17,$B$21,MATCH(L227,Aux_CAV!$A$2:$A$121,1))))</f>
        <v/>
      </c>
      <c r="AC227" s="3" t="str">
        <f t="shared" si="21"/>
        <v/>
      </c>
    </row>
    <row r="228" ht="12.75" customHeight="1">
      <c r="A228" s="25" t="str">
        <f t="shared" si="1"/>
        <v/>
      </c>
      <c r="B228" s="29" t="str">
        <f t="array" ref="B228">IF(D228="","",IFERROR(VALUE(INDEX(Vazoes_COLAR!$A$2:$A$200,INT((ROW()-24)/12)+1)),""))</f>
        <v/>
      </c>
      <c r="C228" s="29" t="str">
        <f t="shared" si="2"/>
        <v/>
      </c>
      <c r="D228" s="26" t="str">
        <f t="array" ref="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28" s="26" t="str">
        <f t="shared" si="3"/>
        <v/>
      </c>
      <c r="F228" s="26" t="str">
        <f t="array" ref="F228">IF(D228="","",IFERROR(INDEX(Dados_Evap!$C$2:$N$15,MATCH($B$9,Dados_Evap!$A$2:$A$15,0),C228),0))</f>
        <v/>
      </c>
      <c r="G228" s="26" t="str">
        <f t="shared" si="4"/>
        <v/>
      </c>
      <c r="H228" s="26" t="str">
        <f t="shared" si="22"/>
        <v/>
      </c>
      <c r="I228" s="26" t="str">
        <f t="array" ref="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/>
      </c>
      <c r="J228" s="26" t="str">
        <f t="shared" si="5"/>
        <v/>
      </c>
      <c r="K228" s="26" t="str">
        <f t="shared" si="6"/>
        <v/>
      </c>
      <c r="L228" s="26" t="str">
        <f t="shared" si="7"/>
        <v/>
      </c>
      <c r="M228" s="26" t="str">
        <f t="array" ref="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/>
      </c>
      <c r="N228" s="26" t="str">
        <f t="shared" si="8"/>
        <v/>
      </c>
      <c r="O228" s="26" t="str">
        <f t="shared" si="9"/>
        <v/>
      </c>
      <c r="P228" s="26" t="str">
        <f t="shared" si="10"/>
        <v/>
      </c>
      <c r="Q228" s="26" t="str">
        <f t="shared" si="11"/>
        <v/>
      </c>
      <c r="R228" s="26" t="str">
        <f t="shared" si="12"/>
        <v/>
      </c>
      <c r="S228" s="26" t="str">
        <f t="shared" si="13"/>
        <v/>
      </c>
      <c r="T228" s="26" t="str">
        <f t="shared" si="14"/>
        <v/>
      </c>
      <c r="U228" s="26" t="str">
        <f t="shared" si="15"/>
        <v/>
      </c>
      <c r="V228" s="26" t="str">
        <f t="shared" si="16"/>
        <v/>
      </c>
      <c r="W228" s="26" t="str">
        <f t="shared" si="17"/>
        <v/>
      </c>
      <c r="X228" s="26" t="str">
        <f t="shared" si="18"/>
        <v/>
      </c>
      <c r="Y228" s="26" t="str">
        <f t="shared" si="19"/>
        <v/>
      </c>
      <c r="Z228" s="31" t="str">
        <f t="shared" si="20"/>
        <v/>
      </c>
      <c r="AA228" s="31" t="str">
        <f>IF(D228="","",IF(H228&lt;=$B$16,1,IF(H228&gt;=$B$17,$B$21,MATCH(H228,Aux_CAV!$A$2:$A$121,1))))</f>
        <v/>
      </c>
      <c r="AB228" s="31" t="str">
        <f>IF(D228="","",IF(L228&lt;=$B$16,1,IF(L228&gt;=$B$17,$B$21,MATCH(L228,Aux_CAV!$A$2:$A$121,1))))</f>
        <v/>
      </c>
      <c r="AC228" s="3" t="str">
        <f t="shared" si="21"/>
        <v/>
      </c>
    </row>
    <row r="229" ht="12.75" customHeight="1">
      <c r="A229" s="25" t="str">
        <f t="shared" si="1"/>
        <v/>
      </c>
      <c r="B229" s="29" t="str">
        <f t="array" ref="B229">IF(D229="","",IFERROR(VALUE(INDEX(Vazoes_COLAR!$A$2:$A$200,INT((ROW()-24)/12)+1)),""))</f>
        <v/>
      </c>
      <c r="C229" s="29" t="str">
        <f t="shared" si="2"/>
        <v/>
      </c>
      <c r="D229" s="26" t="str">
        <f t="array" ref="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29" s="26" t="str">
        <f t="shared" si="3"/>
        <v/>
      </c>
      <c r="F229" s="26" t="str">
        <f t="array" ref="F229">IF(D229="","",IFERROR(INDEX(Dados_Evap!$C$2:$N$15,MATCH($B$9,Dados_Evap!$A$2:$A$15,0),C229),0))</f>
        <v/>
      </c>
      <c r="G229" s="26" t="str">
        <f t="shared" si="4"/>
        <v/>
      </c>
      <c r="H229" s="26" t="str">
        <f t="shared" si="22"/>
        <v/>
      </c>
      <c r="I229" s="26" t="str">
        <f t="array" ref="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/>
      </c>
      <c r="J229" s="26" t="str">
        <f t="shared" si="5"/>
        <v/>
      </c>
      <c r="K229" s="26" t="str">
        <f t="shared" si="6"/>
        <v/>
      </c>
      <c r="L229" s="26" t="str">
        <f t="shared" si="7"/>
        <v/>
      </c>
      <c r="M229" s="26" t="str">
        <f t="array" ref="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/>
      </c>
      <c r="N229" s="26" t="str">
        <f t="shared" si="8"/>
        <v/>
      </c>
      <c r="O229" s="26" t="str">
        <f t="shared" si="9"/>
        <v/>
      </c>
      <c r="P229" s="26" t="str">
        <f t="shared" si="10"/>
        <v/>
      </c>
      <c r="Q229" s="26" t="str">
        <f t="shared" si="11"/>
        <v/>
      </c>
      <c r="R229" s="26" t="str">
        <f t="shared" si="12"/>
        <v/>
      </c>
      <c r="S229" s="26" t="str">
        <f t="shared" si="13"/>
        <v/>
      </c>
      <c r="T229" s="26" t="str">
        <f t="shared" si="14"/>
        <v/>
      </c>
      <c r="U229" s="26" t="str">
        <f t="shared" si="15"/>
        <v/>
      </c>
      <c r="V229" s="26" t="str">
        <f t="shared" si="16"/>
        <v/>
      </c>
      <c r="W229" s="26" t="str">
        <f t="shared" si="17"/>
        <v/>
      </c>
      <c r="X229" s="26" t="str">
        <f t="shared" si="18"/>
        <v/>
      </c>
      <c r="Y229" s="26" t="str">
        <f t="shared" si="19"/>
        <v/>
      </c>
      <c r="Z229" s="31" t="str">
        <f t="shared" si="20"/>
        <v/>
      </c>
      <c r="AA229" s="31" t="str">
        <f>IF(D229="","",IF(H229&lt;=$B$16,1,IF(H229&gt;=$B$17,$B$21,MATCH(H229,Aux_CAV!$A$2:$A$121,1))))</f>
        <v/>
      </c>
      <c r="AB229" s="31" t="str">
        <f>IF(D229="","",IF(L229&lt;=$B$16,1,IF(L229&gt;=$B$17,$B$21,MATCH(L229,Aux_CAV!$A$2:$A$121,1))))</f>
        <v/>
      </c>
      <c r="AC229" s="3" t="str">
        <f t="shared" si="21"/>
        <v/>
      </c>
    </row>
    <row r="230" ht="12.75" customHeight="1">
      <c r="A230" s="25" t="str">
        <f t="shared" si="1"/>
        <v/>
      </c>
      <c r="B230" s="29" t="str">
        <f t="array" ref="B230">IF(D230="","",IFERROR(VALUE(INDEX(Vazoes_COLAR!$A$2:$A$200,INT((ROW()-24)/12)+1)),""))</f>
        <v/>
      </c>
      <c r="C230" s="29" t="str">
        <f t="shared" si="2"/>
        <v/>
      </c>
      <c r="D230" s="26" t="str">
        <f t="array" ref="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30" s="26" t="str">
        <f t="shared" si="3"/>
        <v/>
      </c>
      <c r="F230" s="26" t="str">
        <f t="array" ref="F230">IF(D230="","",IFERROR(INDEX(Dados_Evap!$C$2:$N$15,MATCH($B$9,Dados_Evap!$A$2:$A$15,0),C230),0))</f>
        <v/>
      </c>
      <c r="G230" s="26" t="str">
        <f t="shared" si="4"/>
        <v/>
      </c>
      <c r="H230" s="26" t="str">
        <f t="shared" si="22"/>
        <v/>
      </c>
      <c r="I230" s="26" t="str">
        <f t="array" ref="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/>
      </c>
      <c r="J230" s="26" t="str">
        <f t="shared" si="5"/>
        <v/>
      </c>
      <c r="K230" s="26" t="str">
        <f t="shared" si="6"/>
        <v/>
      </c>
      <c r="L230" s="26" t="str">
        <f t="shared" si="7"/>
        <v/>
      </c>
      <c r="M230" s="26" t="str">
        <f t="array" ref="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/>
      </c>
      <c r="N230" s="26" t="str">
        <f t="shared" si="8"/>
        <v/>
      </c>
      <c r="O230" s="26" t="str">
        <f t="shared" si="9"/>
        <v/>
      </c>
      <c r="P230" s="26" t="str">
        <f t="shared" si="10"/>
        <v/>
      </c>
      <c r="Q230" s="26" t="str">
        <f t="shared" si="11"/>
        <v/>
      </c>
      <c r="R230" s="26" t="str">
        <f t="shared" si="12"/>
        <v/>
      </c>
      <c r="S230" s="26" t="str">
        <f t="shared" si="13"/>
        <v/>
      </c>
      <c r="T230" s="26" t="str">
        <f t="shared" si="14"/>
        <v/>
      </c>
      <c r="U230" s="26" t="str">
        <f t="shared" si="15"/>
        <v/>
      </c>
      <c r="V230" s="26" t="str">
        <f t="shared" si="16"/>
        <v/>
      </c>
      <c r="W230" s="26" t="str">
        <f t="shared" si="17"/>
        <v/>
      </c>
      <c r="X230" s="26" t="str">
        <f t="shared" si="18"/>
        <v/>
      </c>
      <c r="Y230" s="26" t="str">
        <f t="shared" si="19"/>
        <v/>
      </c>
      <c r="Z230" s="31" t="str">
        <f t="shared" si="20"/>
        <v/>
      </c>
      <c r="AA230" s="31" t="str">
        <f>IF(D230="","",IF(H230&lt;=$B$16,1,IF(H230&gt;=$B$17,$B$21,MATCH(H230,Aux_CAV!$A$2:$A$121,1))))</f>
        <v/>
      </c>
      <c r="AB230" s="31" t="str">
        <f>IF(D230="","",IF(L230&lt;=$B$16,1,IF(L230&gt;=$B$17,$B$21,MATCH(L230,Aux_CAV!$A$2:$A$121,1))))</f>
        <v/>
      </c>
      <c r="AC230" s="3" t="str">
        <f t="shared" si="21"/>
        <v/>
      </c>
    </row>
    <row r="231" ht="12.75" customHeight="1">
      <c r="A231" s="25" t="str">
        <f t="shared" si="1"/>
        <v/>
      </c>
      <c r="B231" s="29" t="str">
        <f t="array" ref="B231">IF(D231="","",IFERROR(VALUE(INDEX(Vazoes_COLAR!$A$2:$A$200,INT((ROW()-24)/12)+1)),""))</f>
        <v/>
      </c>
      <c r="C231" s="29" t="str">
        <f t="shared" si="2"/>
        <v/>
      </c>
      <c r="D231" s="26" t="str">
        <f t="array" ref="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31" s="26" t="str">
        <f t="shared" si="3"/>
        <v/>
      </c>
      <c r="F231" s="26" t="str">
        <f t="array" ref="F231">IF(D231="","",IFERROR(INDEX(Dados_Evap!$C$2:$N$15,MATCH($B$9,Dados_Evap!$A$2:$A$15,0),C231),0))</f>
        <v/>
      </c>
      <c r="G231" s="26" t="str">
        <f t="shared" si="4"/>
        <v/>
      </c>
      <c r="H231" s="26" t="str">
        <f t="shared" si="22"/>
        <v/>
      </c>
      <c r="I231" s="26" t="str">
        <f t="array" ref="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/>
      </c>
      <c r="J231" s="26" t="str">
        <f t="shared" si="5"/>
        <v/>
      </c>
      <c r="K231" s="26" t="str">
        <f t="shared" si="6"/>
        <v/>
      </c>
      <c r="L231" s="26" t="str">
        <f t="shared" si="7"/>
        <v/>
      </c>
      <c r="M231" s="26" t="str">
        <f t="array" ref="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/>
      </c>
      <c r="N231" s="26" t="str">
        <f t="shared" si="8"/>
        <v/>
      </c>
      <c r="O231" s="26" t="str">
        <f t="shared" si="9"/>
        <v/>
      </c>
      <c r="P231" s="26" t="str">
        <f t="shared" si="10"/>
        <v/>
      </c>
      <c r="Q231" s="26" t="str">
        <f t="shared" si="11"/>
        <v/>
      </c>
      <c r="R231" s="26" t="str">
        <f t="shared" si="12"/>
        <v/>
      </c>
      <c r="S231" s="26" t="str">
        <f t="shared" si="13"/>
        <v/>
      </c>
      <c r="T231" s="26" t="str">
        <f t="shared" si="14"/>
        <v/>
      </c>
      <c r="U231" s="26" t="str">
        <f t="shared" si="15"/>
        <v/>
      </c>
      <c r="V231" s="26" t="str">
        <f t="shared" si="16"/>
        <v/>
      </c>
      <c r="W231" s="26" t="str">
        <f t="shared" si="17"/>
        <v/>
      </c>
      <c r="X231" s="26" t="str">
        <f t="shared" si="18"/>
        <v/>
      </c>
      <c r="Y231" s="26" t="str">
        <f t="shared" si="19"/>
        <v/>
      </c>
      <c r="Z231" s="31" t="str">
        <f t="shared" si="20"/>
        <v/>
      </c>
      <c r="AA231" s="31" t="str">
        <f>IF(D231="","",IF(H231&lt;=$B$16,1,IF(H231&gt;=$B$17,$B$21,MATCH(H231,Aux_CAV!$A$2:$A$121,1))))</f>
        <v/>
      </c>
      <c r="AB231" s="31" t="str">
        <f>IF(D231="","",IF(L231&lt;=$B$16,1,IF(L231&gt;=$B$17,$B$21,MATCH(L231,Aux_CAV!$A$2:$A$121,1))))</f>
        <v/>
      </c>
      <c r="AC231" s="3" t="str">
        <f t="shared" si="21"/>
        <v/>
      </c>
    </row>
    <row r="232" ht="12.75" customHeight="1">
      <c r="A232" s="25" t="str">
        <f t="shared" si="1"/>
        <v/>
      </c>
      <c r="B232" s="29" t="str">
        <f t="array" ref="B232">IF(D232="","",IFERROR(VALUE(INDEX(Vazoes_COLAR!$A$2:$A$200,INT((ROW()-24)/12)+1)),""))</f>
        <v/>
      </c>
      <c r="C232" s="29" t="str">
        <f t="shared" si="2"/>
        <v/>
      </c>
      <c r="D232" s="26" t="str">
        <f t="array" ref="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32" s="26" t="str">
        <f t="shared" si="3"/>
        <v/>
      </c>
      <c r="F232" s="26" t="str">
        <f t="array" ref="F232">IF(D232="","",IFERROR(INDEX(Dados_Evap!$C$2:$N$15,MATCH($B$9,Dados_Evap!$A$2:$A$15,0),C232),0))</f>
        <v/>
      </c>
      <c r="G232" s="26" t="str">
        <f t="shared" si="4"/>
        <v/>
      </c>
      <c r="H232" s="26" t="str">
        <f t="shared" si="22"/>
        <v/>
      </c>
      <c r="I232" s="26" t="str">
        <f t="array" ref="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/>
      </c>
      <c r="J232" s="26" t="str">
        <f t="shared" si="5"/>
        <v/>
      </c>
      <c r="K232" s="26" t="str">
        <f t="shared" si="6"/>
        <v/>
      </c>
      <c r="L232" s="26" t="str">
        <f t="shared" si="7"/>
        <v/>
      </c>
      <c r="M232" s="26" t="str">
        <f t="array" ref="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/>
      </c>
      <c r="N232" s="26" t="str">
        <f t="shared" si="8"/>
        <v/>
      </c>
      <c r="O232" s="26" t="str">
        <f t="shared" si="9"/>
        <v/>
      </c>
      <c r="P232" s="26" t="str">
        <f t="shared" si="10"/>
        <v/>
      </c>
      <c r="Q232" s="26" t="str">
        <f t="shared" si="11"/>
        <v/>
      </c>
      <c r="R232" s="26" t="str">
        <f t="shared" si="12"/>
        <v/>
      </c>
      <c r="S232" s="26" t="str">
        <f t="shared" si="13"/>
        <v/>
      </c>
      <c r="T232" s="26" t="str">
        <f t="shared" si="14"/>
        <v/>
      </c>
      <c r="U232" s="26" t="str">
        <f t="shared" si="15"/>
        <v/>
      </c>
      <c r="V232" s="26" t="str">
        <f t="shared" si="16"/>
        <v/>
      </c>
      <c r="W232" s="26" t="str">
        <f t="shared" si="17"/>
        <v/>
      </c>
      <c r="X232" s="26" t="str">
        <f t="shared" si="18"/>
        <v/>
      </c>
      <c r="Y232" s="26" t="str">
        <f t="shared" si="19"/>
        <v/>
      </c>
      <c r="Z232" s="31" t="str">
        <f t="shared" si="20"/>
        <v/>
      </c>
      <c r="AA232" s="31" t="str">
        <f>IF(D232="","",IF(H232&lt;=$B$16,1,IF(H232&gt;=$B$17,$B$21,MATCH(H232,Aux_CAV!$A$2:$A$121,1))))</f>
        <v/>
      </c>
      <c r="AB232" s="31" t="str">
        <f>IF(D232="","",IF(L232&lt;=$B$16,1,IF(L232&gt;=$B$17,$B$21,MATCH(L232,Aux_CAV!$A$2:$A$121,1))))</f>
        <v/>
      </c>
      <c r="AC232" s="3" t="str">
        <f t="shared" si="21"/>
        <v/>
      </c>
    </row>
    <row r="233" ht="12.75" customHeight="1">
      <c r="A233" s="25" t="str">
        <f t="shared" si="1"/>
        <v/>
      </c>
      <c r="B233" s="29" t="str">
        <f t="array" ref="B233">IF(D233="","",IFERROR(VALUE(INDEX(Vazoes_COLAR!$A$2:$A$200,INT((ROW()-24)/12)+1)),""))</f>
        <v/>
      </c>
      <c r="C233" s="29" t="str">
        <f t="shared" si="2"/>
        <v/>
      </c>
      <c r="D233" s="26" t="str">
        <f t="array" ref="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33" s="26" t="str">
        <f t="shared" si="3"/>
        <v/>
      </c>
      <c r="F233" s="26" t="str">
        <f t="array" ref="F233">IF(D233="","",IFERROR(INDEX(Dados_Evap!$C$2:$N$15,MATCH($B$9,Dados_Evap!$A$2:$A$15,0),C233),0))</f>
        <v/>
      </c>
      <c r="G233" s="26" t="str">
        <f t="shared" si="4"/>
        <v/>
      </c>
      <c r="H233" s="26" t="str">
        <f t="shared" si="22"/>
        <v/>
      </c>
      <c r="I233" s="26" t="str">
        <f t="array" ref="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/>
      </c>
      <c r="J233" s="26" t="str">
        <f t="shared" si="5"/>
        <v/>
      </c>
      <c r="K233" s="26" t="str">
        <f t="shared" si="6"/>
        <v/>
      </c>
      <c r="L233" s="26" t="str">
        <f t="shared" si="7"/>
        <v/>
      </c>
      <c r="M233" s="26" t="str">
        <f t="array" ref="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/>
      </c>
      <c r="N233" s="26" t="str">
        <f t="shared" si="8"/>
        <v/>
      </c>
      <c r="O233" s="26" t="str">
        <f t="shared" si="9"/>
        <v/>
      </c>
      <c r="P233" s="26" t="str">
        <f t="shared" si="10"/>
        <v/>
      </c>
      <c r="Q233" s="26" t="str">
        <f t="shared" si="11"/>
        <v/>
      </c>
      <c r="R233" s="26" t="str">
        <f t="shared" si="12"/>
        <v/>
      </c>
      <c r="S233" s="26" t="str">
        <f t="shared" si="13"/>
        <v/>
      </c>
      <c r="T233" s="26" t="str">
        <f t="shared" si="14"/>
        <v/>
      </c>
      <c r="U233" s="26" t="str">
        <f t="shared" si="15"/>
        <v/>
      </c>
      <c r="V233" s="26" t="str">
        <f t="shared" si="16"/>
        <v/>
      </c>
      <c r="W233" s="26" t="str">
        <f t="shared" si="17"/>
        <v/>
      </c>
      <c r="X233" s="26" t="str">
        <f t="shared" si="18"/>
        <v/>
      </c>
      <c r="Y233" s="26" t="str">
        <f t="shared" si="19"/>
        <v/>
      </c>
      <c r="Z233" s="31" t="str">
        <f t="shared" si="20"/>
        <v/>
      </c>
      <c r="AA233" s="31" t="str">
        <f>IF(D233="","",IF(H233&lt;=$B$16,1,IF(H233&gt;=$B$17,$B$21,MATCH(H233,Aux_CAV!$A$2:$A$121,1))))</f>
        <v/>
      </c>
      <c r="AB233" s="31" t="str">
        <f>IF(D233="","",IF(L233&lt;=$B$16,1,IF(L233&gt;=$B$17,$B$21,MATCH(L233,Aux_CAV!$A$2:$A$121,1))))</f>
        <v/>
      </c>
      <c r="AC233" s="3" t="str">
        <f t="shared" si="21"/>
        <v/>
      </c>
    </row>
    <row r="234" ht="12.75" customHeight="1">
      <c r="A234" s="25" t="str">
        <f t="shared" si="1"/>
        <v/>
      </c>
      <c r="B234" s="29" t="str">
        <f t="array" ref="B234">IF(D234="","",IFERROR(VALUE(INDEX(Vazoes_COLAR!$A$2:$A$200,INT((ROW()-24)/12)+1)),""))</f>
        <v/>
      </c>
      <c r="C234" s="29" t="str">
        <f t="shared" si="2"/>
        <v/>
      </c>
      <c r="D234" s="26" t="str">
        <f t="array" ref="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34" s="26" t="str">
        <f t="shared" si="3"/>
        <v/>
      </c>
      <c r="F234" s="26" t="str">
        <f t="array" ref="F234">IF(D234="","",IFERROR(INDEX(Dados_Evap!$C$2:$N$15,MATCH($B$9,Dados_Evap!$A$2:$A$15,0),C234),0))</f>
        <v/>
      </c>
      <c r="G234" s="26" t="str">
        <f t="shared" si="4"/>
        <v/>
      </c>
      <c r="H234" s="26" t="str">
        <f t="shared" si="22"/>
        <v/>
      </c>
      <c r="I234" s="26" t="str">
        <f t="array" ref="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/>
      </c>
      <c r="J234" s="26" t="str">
        <f t="shared" si="5"/>
        <v/>
      </c>
      <c r="K234" s="26" t="str">
        <f t="shared" si="6"/>
        <v/>
      </c>
      <c r="L234" s="26" t="str">
        <f t="shared" si="7"/>
        <v/>
      </c>
      <c r="M234" s="26" t="str">
        <f t="array" ref="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/>
      </c>
      <c r="N234" s="26" t="str">
        <f t="shared" si="8"/>
        <v/>
      </c>
      <c r="O234" s="26" t="str">
        <f t="shared" si="9"/>
        <v/>
      </c>
      <c r="P234" s="26" t="str">
        <f t="shared" si="10"/>
        <v/>
      </c>
      <c r="Q234" s="26" t="str">
        <f t="shared" si="11"/>
        <v/>
      </c>
      <c r="R234" s="26" t="str">
        <f t="shared" si="12"/>
        <v/>
      </c>
      <c r="S234" s="26" t="str">
        <f t="shared" si="13"/>
        <v/>
      </c>
      <c r="T234" s="26" t="str">
        <f t="shared" si="14"/>
        <v/>
      </c>
      <c r="U234" s="26" t="str">
        <f t="shared" si="15"/>
        <v/>
      </c>
      <c r="V234" s="26" t="str">
        <f t="shared" si="16"/>
        <v/>
      </c>
      <c r="W234" s="26" t="str">
        <f t="shared" si="17"/>
        <v/>
      </c>
      <c r="X234" s="26" t="str">
        <f t="shared" si="18"/>
        <v/>
      </c>
      <c r="Y234" s="26" t="str">
        <f t="shared" si="19"/>
        <v/>
      </c>
      <c r="Z234" s="31" t="str">
        <f t="shared" si="20"/>
        <v/>
      </c>
      <c r="AA234" s="31" t="str">
        <f>IF(D234="","",IF(H234&lt;=$B$16,1,IF(H234&gt;=$B$17,$B$21,MATCH(H234,Aux_CAV!$A$2:$A$121,1))))</f>
        <v/>
      </c>
      <c r="AB234" s="31" t="str">
        <f>IF(D234="","",IF(L234&lt;=$B$16,1,IF(L234&gt;=$B$17,$B$21,MATCH(L234,Aux_CAV!$A$2:$A$121,1))))</f>
        <v/>
      </c>
      <c r="AC234" s="3" t="str">
        <f t="shared" si="21"/>
        <v/>
      </c>
    </row>
    <row r="235" ht="12.75" customHeight="1">
      <c r="A235" s="25" t="str">
        <f t="shared" si="1"/>
        <v/>
      </c>
      <c r="B235" s="29" t="str">
        <f t="array" ref="B235">IF(D235="","",IFERROR(VALUE(INDEX(Vazoes_COLAR!$A$2:$A$200,INT((ROW()-24)/12)+1)),""))</f>
        <v/>
      </c>
      <c r="C235" s="29" t="str">
        <f t="shared" si="2"/>
        <v/>
      </c>
      <c r="D235" s="26" t="str">
        <f t="array" ref="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35" s="26" t="str">
        <f t="shared" si="3"/>
        <v/>
      </c>
      <c r="F235" s="26" t="str">
        <f t="array" ref="F235">IF(D235="","",IFERROR(INDEX(Dados_Evap!$C$2:$N$15,MATCH($B$9,Dados_Evap!$A$2:$A$15,0),C235),0))</f>
        <v/>
      </c>
      <c r="G235" s="26" t="str">
        <f t="shared" si="4"/>
        <v/>
      </c>
      <c r="H235" s="26" t="str">
        <f t="shared" si="22"/>
        <v/>
      </c>
      <c r="I235" s="26" t="str">
        <f t="array" ref="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/>
      </c>
      <c r="J235" s="26" t="str">
        <f t="shared" si="5"/>
        <v/>
      </c>
      <c r="K235" s="26" t="str">
        <f t="shared" si="6"/>
        <v/>
      </c>
      <c r="L235" s="26" t="str">
        <f t="shared" si="7"/>
        <v/>
      </c>
      <c r="M235" s="26" t="str">
        <f t="array" ref="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/>
      </c>
      <c r="N235" s="26" t="str">
        <f t="shared" si="8"/>
        <v/>
      </c>
      <c r="O235" s="26" t="str">
        <f t="shared" si="9"/>
        <v/>
      </c>
      <c r="P235" s="26" t="str">
        <f t="shared" si="10"/>
        <v/>
      </c>
      <c r="Q235" s="26" t="str">
        <f t="shared" si="11"/>
        <v/>
      </c>
      <c r="R235" s="26" t="str">
        <f t="shared" si="12"/>
        <v/>
      </c>
      <c r="S235" s="26" t="str">
        <f t="shared" si="13"/>
        <v/>
      </c>
      <c r="T235" s="26" t="str">
        <f t="shared" si="14"/>
        <v/>
      </c>
      <c r="U235" s="26" t="str">
        <f t="shared" si="15"/>
        <v/>
      </c>
      <c r="V235" s="26" t="str">
        <f t="shared" si="16"/>
        <v/>
      </c>
      <c r="W235" s="26" t="str">
        <f t="shared" si="17"/>
        <v/>
      </c>
      <c r="X235" s="26" t="str">
        <f t="shared" si="18"/>
        <v/>
      </c>
      <c r="Y235" s="26" t="str">
        <f t="shared" si="19"/>
        <v/>
      </c>
      <c r="Z235" s="31" t="str">
        <f t="shared" si="20"/>
        <v/>
      </c>
      <c r="AA235" s="31" t="str">
        <f>IF(D235="","",IF(H235&lt;=$B$16,1,IF(H235&gt;=$B$17,$B$21,MATCH(H235,Aux_CAV!$A$2:$A$121,1))))</f>
        <v/>
      </c>
      <c r="AB235" s="31" t="str">
        <f>IF(D235="","",IF(L235&lt;=$B$16,1,IF(L235&gt;=$B$17,$B$21,MATCH(L235,Aux_CAV!$A$2:$A$121,1))))</f>
        <v/>
      </c>
      <c r="AC235" s="3" t="str">
        <f t="shared" si="21"/>
        <v/>
      </c>
    </row>
    <row r="236" ht="12.75" customHeight="1">
      <c r="A236" s="25" t="str">
        <f t="shared" si="1"/>
        <v/>
      </c>
      <c r="B236" s="29" t="str">
        <f t="array" ref="B236">IF(D236="","",IFERROR(VALUE(INDEX(Vazoes_COLAR!$A$2:$A$200,INT((ROW()-24)/12)+1)),""))</f>
        <v/>
      </c>
      <c r="C236" s="29" t="str">
        <f t="shared" si="2"/>
        <v/>
      </c>
      <c r="D236" s="26" t="str">
        <f t="array" ref="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36" s="26" t="str">
        <f t="shared" si="3"/>
        <v/>
      </c>
      <c r="F236" s="26" t="str">
        <f t="array" ref="F236">IF(D236="","",IFERROR(INDEX(Dados_Evap!$C$2:$N$15,MATCH($B$9,Dados_Evap!$A$2:$A$15,0),C236),0))</f>
        <v/>
      </c>
      <c r="G236" s="26" t="str">
        <f t="shared" si="4"/>
        <v/>
      </c>
      <c r="H236" s="26" t="str">
        <f t="shared" si="22"/>
        <v/>
      </c>
      <c r="I236" s="26" t="str">
        <f t="array" ref="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/>
      </c>
      <c r="J236" s="26" t="str">
        <f t="shared" si="5"/>
        <v/>
      </c>
      <c r="K236" s="26" t="str">
        <f t="shared" si="6"/>
        <v/>
      </c>
      <c r="L236" s="26" t="str">
        <f t="shared" si="7"/>
        <v/>
      </c>
      <c r="M236" s="26" t="str">
        <f t="array" ref="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/>
      </c>
      <c r="N236" s="26" t="str">
        <f t="shared" si="8"/>
        <v/>
      </c>
      <c r="O236" s="26" t="str">
        <f t="shared" si="9"/>
        <v/>
      </c>
      <c r="P236" s="26" t="str">
        <f t="shared" si="10"/>
        <v/>
      </c>
      <c r="Q236" s="26" t="str">
        <f t="shared" si="11"/>
        <v/>
      </c>
      <c r="R236" s="26" t="str">
        <f t="shared" si="12"/>
        <v/>
      </c>
      <c r="S236" s="26" t="str">
        <f t="shared" si="13"/>
        <v/>
      </c>
      <c r="T236" s="26" t="str">
        <f t="shared" si="14"/>
        <v/>
      </c>
      <c r="U236" s="26" t="str">
        <f t="shared" si="15"/>
        <v/>
      </c>
      <c r="V236" s="26" t="str">
        <f t="shared" si="16"/>
        <v/>
      </c>
      <c r="W236" s="26" t="str">
        <f t="shared" si="17"/>
        <v/>
      </c>
      <c r="X236" s="26" t="str">
        <f t="shared" si="18"/>
        <v/>
      </c>
      <c r="Y236" s="26" t="str">
        <f t="shared" si="19"/>
        <v/>
      </c>
      <c r="Z236" s="31" t="str">
        <f t="shared" si="20"/>
        <v/>
      </c>
      <c r="AA236" s="31" t="str">
        <f>IF(D236="","",IF(H236&lt;=$B$16,1,IF(H236&gt;=$B$17,$B$21,MATCH(H236,Aux_CAV!$A$2:$A$121,1))))</f>
        <v/>
      </c>
      <c r="AB236" s="31" t="str">
        <f>IF(D236="","",IF(L236&lt;=$B$16,1,IF(L236&gt;=$B$17,$B$21,MATCH(L236,Aux_CAV!$A$2:$A$121,1))))</f>
        <v/>
      </c>
      <c r="AC236" s="3" t="str">
        <f t="shared" si="21"/>
        <v/>
      </c>
    </row>
    <row r="237" ht="12.75" customHeight="1">
      <c r="A237" s="25" t="str">
        <f t="shared" si="1"/>
        <v/>
      </c>
      <c r="B237" s="29" t="str">
        <f t="array" ref="B237">IF(D237="","",IFERROR(VALUE(INDEX(Vazoes_COLAR!$A$2:$A$200,INT((ROW()-24)/12)+1)),""))</f>
        <v/>
      </c>
      <c r="C237" s="29" t="str">
        <f t="shared" si="2"/>
        <v/>
      </c>
      <c r="D237" s="26" t="str">
        <f t="array" ref="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37" s="26" t="str">
        <f t="shared" si="3"/>
        <v/>
      </c>
      <c r="F237" s="26" t="str">
        <f t="array" ref="F237">IF(D237="","",IFERROR(INDEX(Dados_Evap!$C$2:$N$15,MATCH($B$9,Dados_Evap!$A$2:$A$15,0),C237),0))</f>
        <v/>
      </c>
      <c r="G237" s="26" t="str">
        <f t="shared" si="4"/>
        <v/>
      </c>
      <c r="H237" s="26" t="str">
        <f t="shared" si="22"/>
        <v/>
      </c>
      <c r="I237" s="26" t="str">
        <f t="array" ref="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/>
      </c>
      <c r="J237" s="26" t="str">
        <f t="shared" si="5"/>
        <v/>
      </c>
      <c r="K237" s="26" t="str">
        <f t="shared" si="6"/>
        <v/>
      </c>
      <c r="L237" s="26" t="str">
        <f t="shared" si="7"/>
        <v/>
      </c>
      <c r="M237" s="26" t="str">
        <f t="array" ref="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/>
      </c>
      <c r="N237" s="26" t="str">
        <f t="shared" si="8"/>
        <v/>
      </c>
      <c r="O237" s="26" t="str">
        <f t="shared" si="9"/>
        <v/>
      </c>
      <c r="P237" s="26" t="str">
        <f t="shared" si="10"/>
        <v/>
      </c>
      <c r="Q237" s="26" t="str">
        <f t="shared" si="11"/>
        <v/>
      </c>
      <c r="R237" s="26" t="str">
        <f t="shared" si="12"/>
        <v/>
      </c>
      <c r="S237" s="26" t="str">
        <f t="shared" si="13"/>
        <v/>
      </c>
      <c r="T237" s="26" t="str">
        <f t="shared" si="14"/>
        <v/>
      </c>
      <c r="U237" s="26" t="str">
        <f t="shared" si="15"/>
        <v/>
      </c>
      <c r="V237" s="26" t="str">
        <f t="shared" si="16"/>
        <v/>
      </c>
      <c r="W237" s="26" t="str">
        <f t="shared" si="17"/>
        <v/>
      </c>
      <c r="X237" s="26" t="str">
        <f t="shared" si="18"/>
        <v/>
      </c>
      <c r="Y237" s="26" t="str">
        <f t="shared" si="19"/>
        <v/>
      </c>
      <c r="Z237" s="31" t="str">
        <f t="shared" si="20"/>
        <v/>
      </c>
      <c r="AA237" s="31" t="str">
        <f>IF(D237="","",IF(H237&lt;=$B$16,1,IF(H237&gt;=$B$17,$B$21,MATCH(H237,Aux_CAV!$A$2:$A$121,1))))</f>
        <v/>
      </c>
      <c r="AB237" s="31" t="str">
        <f>IF(D237="","",IF(L237&lt;=$B$16,1,IF(L237&gt;=$B$17,$B$21,MATCH(L237,Aux_CAV!$A$2:$A$121,1))))</f>
        <v/>
      </c>
      <c r="AC237" s="3" t="str">
        <f t="shared" si="21"/>
        <v/>
      </c>
    </row>
    <row r="238" ht="12.75" customHeight="1">
      <c r="A238" s="25" t="str">
        <f t="shared" si="1"/>
        <v/>
      </c>
      <c r="B238" s="29" t="str">
        <f t="array" ref="B238">IF(D238="","",IFERROR(VALUE(INDEX(Vazoes_COLAR!$A$2:$A$200,INT((ROW()-24)/12)+1)),""))</f>
        <v/>
      </c>
      <c r="C238" s="29" t="str">
        <f t="shared" si="2"/>
        <v/>
      </c>
      <c r="D238" s="26" t="str">
        <f t="array" ref="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38" s="26" t="str">
        <f t="shared" si="3"/>
        <v/>
      </c>
      <c r="F238" s="26" t="str">
        <f t="array" ref="F238">IF(D238="","",IFERROR(INDEX(Dados_Evap!$C$2:$N$15,MATCH($B$9,Dados_Evap!$A$2:$A$15,0),C238),0))</f>
        <v/>
      </c>
      <c r="G238" s="26" t="str">
        <f t="shared" si="4"/>
        <v/>
      </c>
      <c r="H238" s="26" t="str">
        <f t="shared" si="22"/>
        <v/>
      </c>
      <c r="I238" s="26" t="str">
        <f t="array" ref="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/>
      </c>
      <c r="J238" s="26" t="str">
        <f t="shared" si="5"/>
        <v/>
      </c>
      <c r="K238" s="26" t="str">
        <f t="shared" si="6"/>
        <v/>
      </c>
      <c r="L238" s="26" t="str">
        <f t="shared" si="7"/>
        <v/>
      </c>
      <c r="M238" s="26" t="str">
        <f t="array" ref="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/>
      </c>
      <c r="N238" s="26" t="str">
        <f t="shared" si="8"/>
        <v/>
      </c>
      <c r="O238" s="26" t="str">
        <f t="shared" si="9"/>
        <v/>
      </c>
      <c r="P238" s="26" t="str">
        <f t="shared" si="10"/>
        <v/>
      </c>
      <c r="Q238" s="26" t="str">
        <f t="shared" si="11"/>
        <v/>
      </c>
      <c r="R238" s="26" t="str">
        <f t="shared" si="12"/>
        <v/>
      </c>
      <c r="S238" s="26" t="str">
        <f t="shared" si="13"/>
        <v/>
      </c>
      <c r="T238" s="26" t="str">
        <f t="shared" si="14"/>
        <v/>
      </c>
      <c r="U238" s="26" t="str">
        <f t="shared" si="15"/>
        <v/>
      </c>
      <c r="V238" s="26" t="str">
        <f t="shared" si="16"/>
        <v/>
      </c>
      <c r="W238" s="26" t="str">
        <f t="shared" si="17"/>
        <v/>
      </c>
      <c r="X238" s="26" t="str">
        <f t="shared" si="18"/>
        <v/>
      </c>
      <c r="Y238" s="26" t="str">
        <f t="shared" si="19"/>
        <v/>
      </c>
      <c r="Z238" s="31" t="str">
        <f t="shared" si="20"/>
        <v/>
      </c>
      <c r="AA238" s="31" t="str">
        <f>IF(D238="","",IF(H238&lt;=$B$16,1,IF(H238&gt;=$B$17,$B$21,MATCH(H238,Aux_CAV!$A$2:$A$121,1))))</f>
        <v/>
      </c>
      <c r="AB238" s="31" t="str">
        <f>IF(D238="","",IF(L238&lt;=$B$16,1,IF(L238&gt;=$B$17,$B$21,MATCH(L238,Aux_CAV!$A$2:$A$121,1))))</f>
        <v/>
      </c>
      <c r="AC238" s="3" t="str">
        <f t="shared" si="21"/>
        <v/>
      </c>
    </row>
    <row r="239" ht="12.75" customHeight="1">
      <c r="A239" s="25" t="str">
        <f t="shared" si="1"/>
        <v/>
      </c>
      <c r="B239" s="29" t="str">
        <f t="array" ref="B239">IF(D239="","",IFERROR(VALUE(INDEX(Vazoes_COLAR!$A$2:$A$200,INT((ROW()-24)/12)+1)),""))</f>
        <v/>
      </c>
      <c r="C239" s="29" t="str">
        <f t="shared" si="2"/>
        <v/>
      </c>
      <c r="D239" s="26" t="str">
        <f t="array" ref="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39" s="26" t="str">
        <f t="shared" si="3"/>
        <v/>
      </c>
      <c r="F239" s="26" t="str">
        <f t="array" ref="F239">IF(D239="","",IFERROR(INDEX(Dados_Evap!$C$2:$N$15,MATCH($B$9,Dados_Evap!$A$2:$A$15,0),C239),0))</f>
        <v/>
      </c>
      <c r="G239" s="26" t="str">
        <f t="shared" si="4"/>
        <v/>
      </c>
      <c r="H239" s="26" t="str">
        <f t="shared" si="22"/>
        <v/>
      </c>
      <c r="I239" s="26" t="str">
        <f t="array" ref="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/>
      </c>
      <c r="J239" s="26" t="str">
        <f t="shared" si="5"/>
        <v/>
      </c>
      <c r="K239" s="26" t="str">
        <f t="shared" si="6"/>
        <v/>
      </c>
      <c r="L239" s="26" t="str">
        <f t="shared" si="7"/>
        <v/>
      </c>
      <c r="M239" s="26" t="str">
        <f t="array" ref="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/>
      </c>
      <c r="N239" s="26" t="str">
        <f t="shared" si="8"/>
        <v/>
      </c>
      <c r="O239" s="26" t="str">
        <f t="shared" si="9"/>
        <v/>
      </c>
      <c r="P239" s="26" t="str">
        <f t="shared" si="10"/>
        <v/>
      </c>
      <c r="Q239" s="26" t="str">
        <f t="shared" si="11"/>
        <v/>
      </c>
      <c r="R239" s="26" t="str">
        <f t="shared" si="12"/>
        <v/>
      </c>
      <c r="S239" s="26" t="str">
        <f t="shared" si="13"/>
        <v/>
      </c>
      <c r="T239" s="26" t="str">
        <f t="shared" si="14"/>
        <v/>
      </c>
      <c r="U239" s="26" t="str">
        <f t="shared" si="15"/>
        <v/>
      </c>
      <c r="V239" s="26" t="str">
        <f t="shared" si="16"/>
        <v/>
      </c>
      <c r="W239" s="26" t="str">
        <f t="shared" si="17"/>
        <v/>
      </c>
      <c r="X239" s="26" t="str">
        <f t="shared" si="18"/>
        <v/>
      </c>
      <c r="Y239" s="26" t="str">
        <f t="shared" si="19"/>
        <v/>
      </c>
      <c r="Z239" s="31" t="str">
        <f t="shared" si="20"/>
        <v/>
      </c>
      <c r="AA239" s="31" t="str">
        <f>IF(D239="","",IF(H239&lt;=$B$16,1,IF(H239&gt;=$B$17,$B$21,MATCH(H239,Aux_CAV!$A$2:$A$121,1))))</f>
        <v/>
      </c>
      <c r="AB239" s="31" t="str">
        <f>IF(D239="","",IF(L239&lt;=$B$16,1,IF(L239&gt;=$B$17,$B$21,MATCH(L239,Aux_CAV!$A$2:$A$121,1))))</f>
        <v/>
      </c>
      <c r="AC239" s="3" t="str">
        <f t="shared" si="21"/>
        <v/>
      </c>
    </row>
    <row r="240" ht="12.75" customHeight="1">
      <c r="A240" s="25" t="str">
        <f t="shared" si="1"/>
        <v/>
      </c>
      <c r="B240" s="29" t="str">
        <f t="array" ref="B240">IF(D240="","",IFERROR(VALUE(INDEX(Vazoes_COLAR!$A$2:$A$200,INT((ROW()-24)/12)+1)),""))</f>
        <v/>
      </c>
      <c r="C240" s="29" t="str">
        <f t="shared" si="2"/>
        <v/>
      </c>
      <c r="D240" s="26" t="str">
        <f t="array" ref="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0" s="26" t="str">
        <f t="shared" si="3"/>
        <v/>
      </c>
      <c r="F240" s="26" t="str">
        <f t="array" ref="F240">IF(D240="","",IFERROR(INDEX(Dados_Evap!$C$2:$N$15,MATCH($B$9,Dados_Evap!$A$2:$A$15,0),C240),0))</f>
        <v/>
      </c>
      <c r="G240" s="26" t="str">
        <f t="shared" si="4"/>
        <v/>
      </c>
      <c r="H240" s="26" t="str">
        <f t="shared" si="22"/>
        <v/>
      </c>
      <c r="I240" s="26" t="str">
        <f t="array" ref="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/>
      </c>
      <c r="J240" s="26" t="str">
        <f t="shared" si="5"/>
        <v/>
      </c>
      <c r="K240" s="26" t="str">
        <f t="shared" si="6"/>
        <v/>
      </c>
      <c r="L240" s="26" t="str">
        <f t="shared" si="7"/>
        <v/>
      </c>
      <c r="M240" s="26" t="str">
        <f t="array" ref="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/>
      </c>
      <c r="N240" s="26" t="str">
        <f t="shared" si="8"/>
        <v/>
      </c>
      <c r="O240" s="26" t="str">
        <f t="shared" si="9"/>
        <v/>
      </c>
      <c r="P240" s="26" t="str">
        <f t="shared" si="10"/>
        <v/>
      </c>
      <c r="Q240" s="26" t="str">
        <f t="shared" si="11"/>
        <v/>
      </c>
      <c r="R240" s="26" t="str">
        <f t="shared" si="12"/>
        <v/>
      </c>
      <c r="S240" s="26" t="str">
        <f t="shared" si="13"/>
        <v/>
      </c>
      <c r="T240" s="26" t="str">
        <f t="shared" si="14"/>
        <v/>
      </c>
      <c r="U240" s="26" t="str">
        <f t="shared" si="15"/>
        <v/>
      </c>
      <c r="V240" s="26" t="str">
        <f t="shared" si="16"/>
        <v/>
      </c>
      <c r="W240" s="26" t="str">
        <f t="shared" si="17"/>
        <v/>
      </c>
      <c r="X240" s="26" t="str">
        <f t="shared" si="18"/>
        <v/>
      </c>
      <c r="Y240" s="26" t="str">
        <f t="shared" si="19"/>
        <v/>
      </c>
      <c r="Z240" s="31" t="str">
        <f t="shared" si="20"/>
        <v/>
      </c>
      <c r="AA240" s="31" t="str">
        <f>IF(D240="","",IF(H240&lt;=$B$16,1,IF(H240&gt;=$B$17,$B$21,MATCH(H240,Aux_CAV!$A$2:$A$121,1))))</f>
        <v/>
      </c>
      <c r="AB240" s="31" t="str">
        <f>IF(D240="","",IF(L240&lt;=$B$16,1,IF(L240&gt;=$B$17,$B$21,MATCH(L240,Aux_CAV!$A$2:$A$121,1))))</f>
        <v/>
      </c>
      <c r="AC240" s="3" t="str">
        <f t="shared" si="21"/>
        <v/>
      </c>
    </row>
    <row r="241" ht="12.75" customHeight="1">
      <c r="A241" s="25" t="str">
        <f t="shared" si="1"/>
        <v/>
      </c>
      <c r="B241" s="29" t="str">
        <f t="array" ref="B241">IF(D241="","",IFERROR(VALUE(INDEX(Vazoes_COLAR!$A$2:$A$200,INT((ROW()-24)/12)+1)),""))</f>
        <v/>
      </c>
      <c r="C241" s="29" t="str">
        <f t="shared" si="2"/>
        <v/>
      </c>
      <c r="D241" s="26" t="str">
        <f t="array" ref="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1" s="26" t="str">
        <f t="shared" si="3"/>
        <v/>
      </c>
      <c r="F241" s="26" t="str">
        <f t="array" ref="F241">IF(D241="","",IFERROR(INDEX(Dados_Evap!$C$2:$N$15,MATCH($B$9,Dados_Evap!$A$2:$A$15,0),C241),0))</f>
        <v/>
      </c>
      <c r="G241" s="26" t="str">
        <f t="shared" si="4"/>
        <v/>
      </c>
      <c r="H241" s="26" t="str">
        <f t="shared" si="22"/>
        <v/>
      </c>
      <c r="I241" s="26" t="str">
        <f t="array" ref="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/>
      </c>
      <c r="J241" s="26" t="str">
        <f t="shared" si="5"/>
        <v/>
      </c>
      <c r="K241" s="26" t="str">
        <f t="shared" si="6"/>
        <v/>
      </c>
      <c r="L241" s="26" t="str">
        <f t="shared" si="7"/>
        <v/>
      </c>
      <c r="M241" s="26" t="str">
        <f t="array" ref="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/>
      </c>
      <c r="N241" s="26" t="str">
        <f t="shared" si="8"/>
        <v/>
      </c>
      <c r="O241" s="26" t="str">
        <f t="shared" si="9"/>
        <v/>
      </c>
      <c r="P241" s="26" t="str">
        <f t="shared" si="10"/>
        <v/>
      </c>
      <c r="Q241" s="26" t="str">
        <f t="shared" si="11"/>
        <v/>
      </c>
      <c r="R241" s="26" t="str">
        <f t="shared" si="12"/>
        <v/>
      </c>
      <c r="S241" s="26" t="str">
        <f t="shared" si="13"/>
        <v/>
      </c>
      <c r="T241" s="26" t="str">
        <f t="shared" si="14"/>
        <v/>
      </c>
      <c r="U241" s="26" t="str">
        <f t="shared" si="15"/>
        <v/>
      </c>
      <c r="V241" s="26" t="str">
        <f t="shared" si="16"/>
        <v/>
      </c>
      <c r="W241" s="26" t="str">
        <f t="shared" si="17"/>
        <v/>
      </c>
      <c r="X241" s="26" t="str">
        <f t="shared" si="18"/>
        <v/>
      </c>
      <c r="Y241" s="26" t="str">
        <f t="shared" si="19"/>
        <v/>
      </c>
      <c r="Z241" s="31" t="str">
        <f t="shared" si="20"/>
        <v/>
      </c>
      <c r="AA241" s="31" t="str">
        <f>IF(D241="","",IF(H241&lt;=$B$16,1,IF(H241&gt;=$B$17,$B$21,MATCH(H241,Aux_CAV!$A$2:$A$121,1))))</f>
        <v/>
      </c>
      <c r="AB241" s="31" t="str">
        <f>IF(D241="","",IF(L241&lt;=$B$16,1,IF(L241&gt;=$B$17,$B$21,MATCH(L241,Aux_CAV!$A$2:$A$121,1))))</f>
        <v/>
      </c>
      <c r="AC241" s="3" t="str">
        <f t="shared" si="21"/>
        <v/>
      </c>
    </row>
    <row r="242" ht="12.75" customHeight="1">
      <c r="A242" s="25" t="str">
        <f t="shared" si="1"/>
        <v/>
      </c>
      <c r="B242" s="29" t="str">
        <f t="array" ref="B242">IF(D242="","",IFERROR(VALUE(INDEX(Vazoes_COLAR!$A$2:$A$200,INT((ROW()-24)/12)+1)),""))</f>
        <v/>
      </c>
      <c r="C242" s="29" t="str">
        <f t="shared" si="2"/>
        <v/>
      </c>
      <c r="D242" s="26" t="str">
        <f t="array" ref="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2" s="26" t="str">
        <f t="shared" si="3"/>
        <v/>
      </c>
      <c r="F242" s="26" t="str">
        <f t="array" ref="F242">IF(D242="","",IFERROR(INDEX(Dados_Evap!$C$2:$N$15,MATCH($B$9,Dados_Evap!$A$2:$A$15,0),C242),0))</f>
        <v/>
      </c>
      <c r="G242" s="26" t="str">
        <f t="shared" si="4"/>
        <v/>
      </c>
      <c r="H242" s="26" t="str">
        <f t="shared" si="22"/>
        <v/>
      </c>
      <c r="I242" s="26" t="str">
        <f t="array" ref="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/>
      </c>
      <c r="J242" s="26" t="str">
        <f t="shared" si="5"/>
        <v/>
      </c>
      <c r="K242" s="26" t="str">
        <f t="shared" si="6"/>
        <v/>
      </c>
      <c r="L242" s="26" t="str">
        <f t="shared" si="7"/>
        <v/>
      </c>
      <c r="M242" s="26" t="str">
        <f t="array" ref="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/>
      </c>
      <c r="N242" s="26" t="str">
        <f t="shared" si="8"/>
        <v/>
      </c>
      <c r="O242" s="26" t="str">
        <f t="shared" si="9"/>
        <v/>
      </c>
      <c r="P242" s="26" t="str">
        <f t="shared" si="10"/>
        <v/>
      </c>
      <c r="Q242" s="26" t="str">
        <f t="shared" si="11"/>
        <v/>
      </c>
      <c r="R242" s="26" t="str">
        <f t="shared" si="12"/>
        <v/>
      </c>
      <c r="S242" s="26" t="str">
        <f t="shared" si="13"/>
        <v/>
      </c>
      <c r="T242" s="26" t="str">
        <f t="shared" si="14"/>
        <v/>
      </c>
      <c r="U242" s="26" t="str">
        <f t="shared" si="15"/>
        <v/>
      </c>
      <c r="V242" s="26" t="str">
        <f t="shared" si="16"/>
        <v/>
      </c>
      <c r="W242" s="26" t="str">
        <f t="shared" si="17"/>
        <v/>
      </c>
      <c r="X242" s="26" t="str">
        <f t="shared" si="18"/>
        <v/>
      </c>
      <c r="Y242" s="26" t="str">
        <f t="shared" si="19"/>
        <v/>
      </c>
      <c r="Z242" s="31" t="str">
        <f t="shared" si="20"/>
        <v/>
      </c>
      <c r="AA242" s="31" t="str">
        <f>IF(D242="","",IF(H242&lt;=$B$16,1,IF(H242&gt;=$B$17,$B$21,MATCH(H242,Aux_CAV!$A$2:$A$121,1))))</f>
        <v/>
      </c>
      <c r="AB242" s="31" t="str">
        <f>IF(D242="","",IF(L242&lt;=$B$16,1,IF(L242&gt;=$B$17,$B$21,MATCH(L242,Aux_CAV!$A$2:$A$121,1))))</f>
        <v/>
      </c>
      <c r="AC242" s="3" t="str">
        <f t="shared" si="21"/>
        <v/>
      </c>
    </row>
    <row r="243" ht="12.75" customHeight="1">
      <c r="A243" s="25" t="str">
        <f t="shared" si="1"/>
        <v/>
      </c>
      <c r="B243" s="29" t="str">
        <f t="array" ref="B243">IF(D243="","",IFERROR(VALUE(INDEX(Vazoes_COLAR!$A$2:$A$200,INT((ROW()-24)/12)+1)),""))</f>
        <v/>
      </c>
      <c r="C243" s="29" t="str">
        <f t="shared" si="2"/>
        <v/>
      </c>
      <c r="D243" s="26" t="str">
        <f t="array" ref="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3" s="26" t="str">
        <f t="shared" si="3"/>
        <v/>
      </c>
      <c r="F243" s="26" t="str">
        <f t="array" ref="F243">IF(D243="","",IFERROR(INDEX(Dados_Evap!$C$2:$N$15,MATCH($B$9,Dados_Evap!$A$2:$A$15,0),C243),0))</f>
        <v/>
      </c>
      <c r="G243" s="26" t="str">
        <f t="shared" si="4"/>
        <v/>
      </c>
      <c r="H243" s="26" t="str">
        <f t="shared" si="22"/>
        <v/>
      </c>
      <c r="I243" s="26" t="str">
        <f t="array" ref="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/>
      </c>
      <c r="J243" s="26" t="str">
        <f t="shared" si="5"/>
        <v/>
      </c>
      <c r="K243" s="26" t="str">
        <f t="shared" si="6"/>
        <v/>
      </c>
      <c r="L243" s="26" t="str">
        <f t="shared" si="7"/>
        <v/>
      </c>
      <c r="M243" s="26" t="str">
        <f t="array" ref="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/>
      </c>
      <c r="N243" s="26" t="str">
        <f t="shared" si="8"/>
        <v/>
      </c>
      <c r="O243" s="26" t="str">
        <f t="shared" si="9"/>
        <v/>
      </c>
      <c r="P243" s="26" t="str">
        <f t="shared" si="10"/>
        <v/>
      </c>
      <c r="Q243" s="26" t="str">
        <f t="shared" si="11"/>
        <v/>
      </c>
      <c r="R243" s="26" t="str">
        <f t="shared" si="12"/>
        <v/>
      </c>
      <c r="S243" s="26" t="str">
        <f t="shared" si="13"/>
        <v/>
      </c>
      <c r="T243" s="26" t="str">
        <f t="shared" si="14"/>
        <v/>
      </c>
      <c r="U243" s="26" t="str">
        <f t="shared" si="15"/>
        <v/>
      </c>
      <c r="V243" s="26" t="str">
        <f t="shared" si="16"/>
        <v/>
      </c>
      <c r="W243" s="26" t="str">
        <f t="shared" si="17"/>
        <v/>
      </c>
      <c r="X243" s="26" t="str">
        <f t="shared" si="18"/>
        <v/>
      </c>
      <c r="Y243" s="26" t="str">
        <f t="shared" si="19"/>
        <v/>
      </c>
      <c r="Z243" s="31" t="str">
        <f t="shared" si="20"/>
        <v/>
      </c>
      <c r="AA243" s="31" t="str">
        <f>IF(D243="","",IF(H243&lt;=$B$16,1,IF(H243&gt;=$B$17,$B$21,MATCH(H243,Aux_CAV!$A$2:$A$121,1))))</f>
        <v/>
      </c>
      <c r="AB243" s="31" t="str">
        <f>IF(D243="","",IF(L243&lt;=$B$16,1,IF(L243&gt;=$B$17,$B$21,MATCH(L243,Aux_CAV!$A$2:$A$121,1))))</f>
        <v/>
      </c>
      <c r="AC243" s="3" t="str">
        <f t="shared" si="21"/>
        <v/>
      </c>
    </row>
    <row r="244" ht="12.75" customHeight="1">
      <c r="A244" s="25" t="str">
        <f t="shared" si="1"/>
        <v/>
      </c>
      <c r="B244" s="29" t="str">
        <f t="array" ref="B244">IF(D244="","",IFERROR(VALUE(INDEX(Vazoes_COLAR!$A$2:$A$200,INT((ROW()-24)/12)+1)),""))</f>
        <v/>
      </c>
      <c r="C244" s="29" t="str">
        <f t="shared" si="2"/>
        <v/>
      </c>
      <c r="D244" s="26" t="str">
        <f t="array" ref="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4" s="26" t="str">
        <f t="shared" si="3"/>
        <v/>
      </c>
      <c r="F244" s="26" t="str">
        <f t="array" ref="F244">IF(D244="","",IFERROR(INDEX(Dados_Evap!$C$2:$N$15,MATCH($B$9,Dados_Evap!$A$2:$A$15,0),C244),0))</f>
        <v/>
      </c>
      <c r="G244" s="26" t="str">
        <f t="shared" si="4"/>
        <v/>
      </c>
      <c r="H244" s="26" t="str">
        <f t="shared" si="22"/>
        <v/>
      </c>
      <c r="I244" s="26" t="str">
        <f t="array" ref="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/>
      </c>
      <c r="J244" s="26" t="str">
        <f t="shared" si="5"/>
        <v/>
      </c>
      <c r="K244" s="26" t="str">
        <f t="shared" si="6"/>
        <v/>
      </c>
      <c r="L244" s="26" t="str">
        <f t="shared" si="7"/>
        <v/>
      </c>
      <c r="M244" s="26" t="str">
        <f t="array" ref="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/>
      </c>
      <c r="N244" s="26" t="str">
        <f t="shared" si="8"/>
        <v/>
      </c>
      <c r="O244" s="26" t="str">
        <f t="shared" si="9"/>
        <v/>
      </c>
      <c r="P244" s="26" t="str">
        <f t="shared" si="10"/>
        <v/>
      </c>
      <c r="Q244" s="26" t="str">
        <f t="shared" si="11"/>
        <v/>
      </c>
      <c r="R244" s="26" t="str">
        <f t="shared" si="12"/>
        <v/>
      </c>
      <c r="S244" s="26" t="str">
        <f t="shared" si="13"/>
        <v/>
      </c>
      <c r="T244" s="26" t="str">
        <f t="shared" si="14"/>
        <v/>
      </c>
      <c r="U244" s="26" t="str">
        <f t="shared" si="15"/>
        <v/>
      </c>
      <c r="V244" s="26" t="str">
        <f t="shared" si="16"/>
        <v/>
      </c>
      <c r="W244" s="26" t="str">
        <f t="shared" si="17"/>
        <v/>
      </c>
      <c r="X244" s="26" t="str">
        <f t="shared" si="18"/>
        <v/>
      </c>
      <c r="Y244" s="26" t="str">
        <f t="shared" si="19"/>
        <v/>
      </c>
      <c r="Z244" s="31" t="str">
        <f t="shared" si="20"/>
        <v/>
      </c>
      <c r="AA244" s="31" t="str">
        <f>IF(D244="","",IF(H244&lt;=$B$16,1,IF(H244&gt;=$B$17,$B$21,MATCH(H244,Aux_CAV!$A$2:$A$121,1))))</f>
        <v/>
      </c>
      <c r="AB244" s="31" t="str">
        <f>IF(D244="","",IF(L244&lt;=$B$16,1,IF(L244&gt;=$B$17,$B$21,MATCH(L244,Aux_CAV!$A$2:$A$121,1))))</f>
        <v/>
      </c>
      <c r="AC244" s="3" t="str">
        <f t="shared" si="21"/>
        <v/>
      </c>
    </row>
    <row r="245" ht="12.75" customHeight="1">
      <c r="A245" s="25" t="str">
        <f t="shared" si="1"/>
        <v/>
      </c>
      <c r="B245" s="29" t="str">
        <f t="array" ref="B245">IF(D245="","",IFERROR(VALUE(INDEX(Vazoes_COLAR!$A$2:$A$200,INT((ROW()-24)/12)+1)),""))</f>
        <v/>
      </c>
      <c r="C245" s="29" t="str">
        <f t="shared" si="2"/>
        <v/>
      </c>
      <c r="D245" s="26" t="str">
        <f t="array" ref="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5" s="26" t="str">
        <f t="shared" si="3"/>
        <v/>
      </c>
      <c r="F245" s="26" t="str">
        <f t="array" ref="F245">IF(D245="","",IFERROR(INDEX(Dados_Evap!$C$2:$N$15,MATCH($B$9,Dados_Evap!$A$2:$A$15,0),C245),0))</f>
        <v/>
      </c>
      <c r="G245" s="26" t="str">
        <f t="shared" si="4"/>
        <v/>
      </c>
      <c r="H245" s="26" t="str">
        <f t="shared" si="22"/>
        <v/>
      </c>
      <c r="I245" s="26" t="str">
        <f t="array" ref="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/>
      </c>
      <c r="J245" s="26" t="str">
        <f t="shared" si="5"/>
        <v/>
      </c>
      <c r="K245" s="26" t="str">
        <f t="shared" si="6"/>
        <v/>
      </c>
      <c r="L245" s="26" t="str">
        <f t="shared" si="7"/>
        <v/>
      </c>
      <c r="M245" s="26" t="str">
        <f t="array" ref="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/>
      </c>
      <c r="N245" s="26" t="str">
        <f t="shared" si="8"/>
        <v/>
      </c>
      <c r="O245" s="26" t="str">
        <f t="shared" si="9"/>
        <v/>
      </c>
      <c r="P245" s="26" t="str">
        <f t="shared" si="10"/>
        <v/>
      </c>
      <c r="Q245" s="26" t="str">
        <f t="shared" si="11"/>
        <v/>
      </c>
      <c r="R245" s="26" t="str">
        <f t="shared" si="12"/>
        <v/>
      </c>
      <c r="S245" s="26" t="str">
        <f t="shared" si="13"/>
        <v/>
      </c>
      <c r="T245" s="26" t="str">
        <f t="shared" si="14"/>
        <v/>
      </c>
      <c r="U245" s="26" t="str">
        <f t="shared" si="15"/>
        <v/>
      </c>
      <c r="V245" s="26" t="str">
        <f t="shared" si="16"/>
        <v/>
      </c>
      <c r="W245" s="26" t="str">
        <f t="shared" si="17"/>
        <v/>
      </c>
      <c r="X245" s="26" t="str">
        <f t="shared" si="18"/>
        <v/>
      </c>
      <c r="Y245" s="26" t="str">
        <f t="shared" si="19"/>
        <v/>
      </c>
      <c r="Z245" s="31" t="str">
        <f t="shared" si="20"/>
        <v/>
      </c>
      <c r="AA245" s="31" t="str">
        <f>IF(D245="","",IF(H245&lt;=$B$16,1,IF(H245&gt;=$B$17,$B$21,MATCH(H245,Aux_CAV!$A$2:$A$121,1))))</f>
        <v/>
      </c>
      <c r="AB245" s="31" t="str">
        <f>IF(D245="","",IF(L245&lt;=$B$16,1,IF(L245&gt;=$B$17,$B$21,MATCH(L245,Aux_CAV!$A$2:$A$121,1))))</f>
        <v/>
      </c>
      <c r="AC245" s="3" t="str">
        <f t="shared" si="21"/>
        <v/>
      </c>
    </row>
    <row r="246" ht="12.75" customHeight="1">
      <c r="A246" s="25" t="str">
        <f t="shared" si="1"/>
        <v/>
      </c>
      <c r="B246" s="29" t="str">
        <f t="array" ref="B246">IF(D246="","",IFERROR(VALUE(INDEX(Vazoes_COLAR!$A$2:$A$200,INT((ROW()-24)/12)+1)),""))</f>
        <v/>
      </c>
      <c r="C246" s="29" t="str">
        <f t="shared" si="2"/>
        <v/>
      </c>
      <c r="D246" s="26" t="str">
        <f t="array" ref="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6" s="26" t="str">
        <f t="shared" si="3"/>
        <v/>
      </c>
      <c r="F246" s="26" t="str">
        <f t="array" ref="F246">IF(D246="","",IFERROR(INDEX(Dados_Evap!$C$2:$N$15,MATCH($B$9,Dados_Evap!$A$2:$A$15,0),C246),0))</f>
        <v/>
      </c>
      <c r="G246" s="26" t="str">
        <f t="shared" si="4"/>
        <v/>
      </c>
      <c r="H246" s="26" t="str">
        <f t="shared" si="22"/>
        <v/>
      </c>
      <c r="I246" s="26" t="str">
        <f t="array" ref="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/>
      </c>
      <c r="J246" s="26" t="str">
        <f t="shared" si="5"/>
        <v/>
      </c>
      <c r="K246" s="26" t="str">
        <f t="shared" si="6"/>
        <v/>
      </c>
      <c r="L246" s="26" t="str">
        <f t="shared" si="7"/>
        <v/>
      </c>
      <c r="M246" s="26" t="str">
        <f t="array" ref="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/>
      </c>
      <c r="N246" s="26" t="str">
        <f t="shared" si="8"/>
        <v/>
      </c>
      <c r="O246" s="26" t="str">
        <f t="shared" si="9"/>
        <v/>
      </c>
      <c r="P246" s="26" t="str">
        <f t="shared" si="10"/>
        <v/>
      </c>
      <c r="Q246" s="26" t="str">
        <f t="shared" si="11"/>
        <v/>
      </c>
      <c r="R246" s="26" t="str">
        <f t="shared" si="12"/>
        <v/>
      </c>
      <c r="S246" s="26" t="str">
        <f t="shared" si="13"/>
        <v/>
      </c>
      <c r="T246" s="26" t="str">
        <f t="shared" si="14"/>
        <v/>
      </c>
      <c r="U246" s="26" t="str">
        <f t="shared" si="15"/>
        <v/>
      </c>
      <c r="V246" s="26" t="str">
        <f t="shared" si="16"/>
        <v/>
      </c>
      <c r="W246" s="26" t="str">
        <f t="shared" si="17"/>
        <v/>
      </c>
      <c r="X246" s="26" t="str">
        <f t="shared" si="18"/>
        <v/>
      </c>
      <c r="Y246" s="26" t="str">
        <f t="shared" si="19"/>
        <v/>
      </c>
      <c r="Z246" s="31" t="str">
        <f t="shared" si="20"/>
        <v/>
      </c>
      <c r="AA246" s="31" t="str">
        <f>IF(D246="","",IF(H246&lt;=$B$16,1,IF(H246&gt;=$B$17,$B$21,MATCH(H246,Aux_CAV!$A$2:$A$121,1))))</f>
        <v/>
      </c>
      <c r="AB246" s="31" t="str">
        <f>IF(D246="","",IF(L246&lt;=$B$16,1,IF(L246&gt;=$B$17,$B$21,MATCH(L246,Aux_CAV!$A$2:$A$121,1))))</f>
        <v/>
      </c>
      <c r="AC246" s="3" t="str">
        <f t="shared" si="21"/>
        <v/>
      </c>
    </row>
    <row r="247" ht="12.75" customHeight="1">
      <c r="A247" s="25" t="str">
        <f t="shared" si="1"/>
        <v/>
      </c>
      <c r="B247" s="29" t="str">
        <f t="array" ref="B247">IF(D247="","",IFERROR(VALUE(INDEX(Vazoes_COLAR!$A$2:$A$200,INT((ROW()-24)/12)+1)),""))</f>
        <v/>
      </c>
      <c r="C247" s="29" t="str">
        <f t="shared" si="2"/>
        <v/>
      </c>
      <c r="D247" s="26" t="str">
        <f t="array" ref="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7" s="26" t="str">
        <f t="shared" si="3"/>
        <v/>
      </c>
      <c r="F247" s="26" t="str">
        <f t="array" ref="F247">IF(D247="","",IFERROR(INDEX(Dados_Evap!$C$2:$N$15,MATCH($B$9,Dados_Evap!$A$2:$A$15,0),C247),0))</f>
        <v/>
      </c>
      <c r="G247" s="26" t="str">
        <f t="shared" si="4"/>
        <v/>
      </c>
      <c r="H247" s="26" t="str">
        <f t="shared" si="22"/>
        <v/>
      </c>
      <c r="I247" s="26" t="str">
        <f t="array" ref="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/>
      </c>
      <c r="J247" s="26" t="str">
        <f t="shared" si="5"/>
        <v/>
      </c>
      <c r="K247" s="26" t="str">
        <f t="shared" si="6"/>
        <v/>
      </c>
      <c r="L247" s="26" t="str">
        <f t="shared" si="7"/>
        <v/>
      </c>
      <c r="M247" s="26" t="str">
        <f t="array" ref="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/>
      </c>
      <c r="N247" s="26" t="str">
        <f t="shared" si="8"/>
        <v/>
      </c>
      <c r="O247" s="26" t="str">
        <f t="shared" si="9"/>
        <v/>
      </c>
      <c r="P247" s="26" t="str">
        <f t="shared" si="10"/>
        <v/>
      </c>
      <c r="Q247" s="26" t="str">
        <f t="shared" si="11"/>
        <v/>
      </c>
      <c r="R247" s="26" t="str">
        <f t="shared" si="12"/>
        <v/>
      </c>
      <c r="S247" s="26" t="str">
        <f t="shared" si="13"/>
        <v/>
      </c>
      <c r="T247" s="26" t="str">
        <f t="shared" si="14"/>
        <v/>
      </c>
      <c r="U247" s="26" t="str">
        <f t="shared" si="15"/>
        <v/>
      </c>
      <c r="V247" s="26" t="str">
        <f t="shared" si="16"/>
        <v/>
      </c>
      <c r="W247" s="26" t="str">
        <f t="shared" si="17"/>
        <v/>
      </c>
      <c r="X247" s="26" t="str">
        <f t="shared" si="18"/>
        <v/>
      </c>
      <c r="Y247" s="26" t="str">
        <f t="shared" si="19"/>
        <v/>
      </c>
      <c r="Z247" s="31" t="str">
        <f t="shared" si="20"/>
        <v/>
      </c>
      <c r="AA247" s="31" t="str">
        <f>IF(D247="","",IF(H247&lt;=$B$16,1,IF(H247&gt;=$B$17,$B$21,MATCH(H247,Aux_CAV!$A$2:$A$121,1))))</f>
        <v/>
      </c>
      <c r="AB247" s="31" t="str">
        <f>IF(D247="","",IF(L247&lt;=$B$16,1,IF(L247&gt;=$B$17,$B$21,MATCH(L247,Aux_CAV!$A$2:$A$121,1))))</f>
        <v/>
      </c>
      <c r="AC247" s="3" t="str">
        <f t="shared" si="21"/>
        <v/>
      </c>
    </row>
    <row r="248" ht="12.75" customHeight="1">
      <c r="A248" s="25" t="str">
        <f t="shared" si="1"/>
        <v/>
      </c>
      <c r="B248" s="29" t="str">
        <f t="array" ref="B248">IF(D248="","",IFERROR(VALUE(INDEX(Vazoes_COLAR!$A$2:$A$200,INT((ROW()-24)/12)+1)),""))</f>
        <v/>
      </c>
      <c r="C248" s="29" t="str">
        <f t="shared" si="2"/>
        <v/>
      </c>
      <c r="D248" s="26" t="str">
        <f t="array" ref="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8" s="26" t="str">
        <f t="shared" si="3"/>
        <v/>
      </c>
      <c r="F248" s="26" t="str">
        <f t="array" ref="F248">IF(D248="","",IFERROR(INDEX(Dados_Evap!$C$2:$N$15,MATCH($B$9,Dados_Evap!$A$2:$A$15,0),C248),0))</f>
        <v/>
      </c>
      <c r="G248" s="26" t="str">
        <f t="shared" si="4"/>
        <v/>
      </c>
      <c r="H248" s="26" t="str">
        <f t="shared" si="22"/>
        <v/>
      </c>
      <c r="I248" s="26" t="str">
        <f t="array" ref="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/>
      </c>
      <c r="J248" s="26" t="str">
        <f t="shared" si="5"/>
        <v/>
      </c>
      <c r="K248" s="26" t="str">
        <f t="shared" si="6"/>
        <v/>
      </c>
      <c r="L248" s="26" t="str">
        <f t="shared" si="7"/>
        <v/>
      </c>
      <c r="M248" s="26" t="str">
        <f t="array" ref="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/>
      </c>
      <c r="N248" s="26" t="str">
        <f t="shared" si="8"/>
        <v/>
      </c>
      <c r="O248" s="26" t="str">
        <f t="shared" si="9"/>
        <v/>
      </c>
      <c r="P248" s="26" t="str">
        <f t="shared" si="10"/>
        <v/>
      </c>
      <c r="Q248" s="26" t="str">
        <f t="shared" si="11"/>
        <v/>
      </c>
      <c r="R248" s="26" t="str">
        <f t="shared" si="12"/>
        <v/>
      </c>
      <c r="S248" s="26" t="str">
        <f t="shared" si="13"/>
        <v/>
      </c>
      <c r="T248" s="26" t="str">
        <f t="shared" si="14"/>
        <v/>
      </c>
      <c r="U248" s="26" t="str">
        <f t="shared" si="15"/>
        <v/>
      </c>
      <c r="V248" s="26" t="str">
        <f t="shared" si="16"/>
        <v/>
      </c>
      <c r="W248" s="26" t="str">
        <f t="shared" si="17"/>
        <v/>
      </c>
      <c r="X248" s="26" t="str">
        <f t="shared" si="18"/>
        <v/>
      </c>
      <c r="Y248" s="26" t="str">
        <f t="shared" si="19"/>
        <v/>
      </c>
      <c r="Z248" s="31" t="str">
        <f t="shared" si="20"/>
        <v/>
      </c>
      <c r="AA248" s="31" t="str">
        <f>IF(D248="","",IF(H248&lt;=$B$16,1,IF(H248&gt;=$B$17,$B$21,MATCH(H248,Aux_CAV!$A$2:$A$121,1))))</f>
        <v/>
      </c>
      <c r="AB248" s="31" t="str">
        <f>IF(D248="","",IF(L248&lt;=$B$16,1,IF(L248&gt;=$B$17,$B$21,MATCH(L248,Aux_CAV!$A$2:$A$121,1))))</f>
        <v/>
      </c>
      <c r="AC248" s="3" t="str">
        <f t="shared" si="21"/>
        <v/>
      </c>
    </row>
    <row r="249" ht="12.75" customHeight="1">
      <c r="A249" s="25" t="str">
        <f t="shared" si="1"/>
        <v/>
      </c>
      <c r="B249" s="29" t="str">
        <f t="array" ref="B249">IF(D249="","",IFERROR(VALUE(INDEX(Vazoes_COLAR!$A$2:$A$200,INT((ROW()-24)/12)+1)),""))</f>
        <v/>
      </c>
      <c r="C249" s="29" t="str">
        <f t="shared" si="2"/>
        <v/>
      </c>
      <c r="D249" s="26" t="str">
        <f t="array" ref="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9" s="26" t="str">
        <f t="shared" si="3"/>
        <v/>
      </c>
      <c r="F249" s="26" t="str">
        <f t="array" ref="F249">IF(D249="","",IFERROR(INDEX(Dados_Evap!$C$2:$N$15,MATCH($B$9,Dados_Evap!$A$2:$A$15,0),C249),0))</f>
        <v/>
      </c>
      <c r="G249" s="26" t="str">
        <f t="shared" si="4"/>
        <v/>
      </c>
      <c r="H249" s="26" t="str">
        <f t="shared" si="22"/>
        <v/>
      </c>
      <c r="I249" s="26" t="str">
        <f t="array" ref="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/>
      </c>
      <c r="J249" s="26" t="str">
        <f t="shared" si="5"/>
        <v/>
      </c>
      <c r="K249" s="26" t="str">
        <f t="shared" si="6"/>
        <v/>
      </c>
      <c r="L249" s="26" t="str">
        <f t="shared" si="7"/>
        <v/>
      </c>
      <c r="M249" s="26" t="str">
        <f t="array" ref="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/>
      </c>
      <c r="N249" s="26" t="str">
        <f t="shared" si="8"/>
        <v/>
      </c>
      <c r="O249" s="26" t="str">
        <f t="shared" si="9"/>
        <v/>
      </c>
      <c r="P249" s="26" t="str">
        <f t="shared" si="10"/>
        <v/>
      </c>
      <c r="Q249" s="26" t="str">
        <f t="shared" si="11"/>
        <v/>
      </c>
      <c r="R249" s="26" t="str">
        <f t="shared" si="12"/>
        <v/>
      </c>
      <c r="S249" s="26" t="str">
        <f t="shared" si="13"/>
        <v/>
      </c>
      <c r="T249" s="26" t="str">
        <f t="shared" si="14"/>
        <v/>
      </c>
      <c r="U249" s="26" t="str">
        <f t="shared" si="15"/>
        <v/>
      </c>
      <c r="V249" s="26" t="str">
        <f t="shared" si="16"/>
        <v/>
      </c>
      <c r="W249" s="26" t="str">
        <f t="shared" si="17"/>
        <v/>
      </c>
      <c r="X249" s="26" t="str">
        <f t="shared" si="18"/>
        <v/>
      </c>
      <c r="Y249" s="26" t="str">
        <f t="shared" si="19"/>
        <v/>
      </c>
      <c r="Z249" s="31" t="str">
        <f t="shared" si="20"/>
        <v/>
      </c>
      <c r="AA249" s="31" t="str">
        <f>IF(D249="","",IF(H249&lt;=$B$16,1,IF(H249&gt;=$B$17,$B$21,MATCH(H249,Aux_CAV!$A$2:$A$121,1))))</f>
        <v/>
      </c>
      <c r="AB249" s="31" t="str">
        <f>IF(D249="","",IF(L249&lt;=$B$16,1,IF(L249&gt;=$B$17,$B$21,MATCH(L249,Aux_CAV!$A$2:$A$121,1))))</f>
        <v/>
      </c>
      <c r="AC249" s="3" t="str">
        <f t="shared" si="21"/>
        <v/>
      </c>
    </row>
    <row r="250" ht="12.75" customHeight="1">
      <c r="A250" s="25" t="str">
        <f t="shared" si="1"/>
        <v/>
      </c>
      <c r="B250" s="29" t="str">
        <f t="array" ref="B250">IF(D250="","",IFERROR(VALUE(INDEX(Vazoes_COLAR!$A$2:$A$200,INT((ROW()-24)/12)+1)),""))</f>
        <v/>
      </c>
      <c r="C250" s="29" t="str">
        <f t="shared" si="2"/>
        <v/>
      </c>
      <c r="D250" s="26" t="str">
        <f t="array" ref="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0" s="26" t="str">
        <f t="shared" si="3"/>
        <v/>
      </c>
      <c r="F250" s="26" t="str">
        <f t="array" ref="F250">IF(D250="","",IFERROR(INDEX(Dados_Evap!$C$2:$N$15,MATCH($B$9,Dados_Evap!$A$2:$A$15,0),C250),0))</f>
        <v/>
      </c>
      <c r="G250" s="26" t="str">
        <f t="shared" si="4"/>
        <v/>
      </c>
      <c r="H250" s="26" t="str">
        <f t="shared" si="22"/>
        <v/>
      </c>
      <c r="I250" s="26" t="str">
        <f t="array" ref="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/>
      </c>
      <c r="J250" s="26" t="str">
        <f t="shared" si="5"/>
        <v/>
      </c>
      <c r="K250" s="26" t="str">
        <f t="shared" si="6"/>
        <v/>
      </c>
      <c r="L250" s="26" t="str">
        <f t="shared" si="7"/>
        <v/>
      </c>
      <c r="M250" s="26" t="str">
        <f t="array" ref="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/>
      </c>
      <c r="N250" s="26" t="str">
        <f t="shared" si="8"/>
        <v/>
      </c>
      <c r="O250" s="26" t="str">
        <f t="shared" si="9"/>
        <v/>
      </c>
      <c r="P250" s="26" t="str">
        <f t="shared" si="10"/>
        <v/>
      </c>
      <c r="Q250" s="26" t="str">
        <f t="shared" si="11"/>
        <v/>
      </c>
      <c r="R250" s="26" t="str">
        <f t="shared" si="12"/>
        <v/>
      </c>
      <c r="S250" s="26" t="str">
        <f t="shared" si="13"/>
        <v/>
      </c>
      <c r="T250" s="26" t="str">
        <f t="shared" si="14"/>
        <v/>
      </c>
      <c r="U250" s="26" t="str">
        <f t="shared" si="15"/>
        <v/>
      </c>
      <c r="V250" s="26" t="str">
        <f t="shared" si="16"/>
        <v/>
      </c>
      <c r="W250" s="26" t="str">
        <f t="shared" si="17"/>
        <v/>
      </c>
      <c r="X250" s="26" t="str">
        <f t="shared" si="18"/>
        <v/>
      </c>
      <c r="Y250" s="26" t="str">
        <f t="shared" si="19"/>
        <v/>
      </c>
      <c r="Z250" s="31" t="str">
        <f t="shared" si="20"/>
        <v/>
      </c>
      <c r="AA250" s="31" t="str">
        <f>IF(D250="","",IF(H250&lt;=$B$16,1,IF(H250&gt;=$B$17,$B$21,MATCH(H250,Aux_CAV!$A$2:$A$121,1))))</f>
        <v/>
      </c>
      <c r="AB250" s="31" t="str">
        <f>IF(D250="","",IF(L250&lt;=$B$16,1,IF(L250&gt;=$B$17,$B$21,MATCH(L250,Aux_CAV!$A$2:$A$121,1))))</f>
        <v/>
      </c>
      <c r="AC250" s="3" t="str">
        <f t="shared" si="21"/>
        <v/>
      </c>
    </row>
    <row r="251" ht="12.75" customHeight="1">
      <c r="A251" s="25" t="str">
        <f t="shared" si="1"/>
        <v/>
      </c>
      <c r="B251" s="29" t="str">
        <f t="array" ref="B251">IF(D251="","",IFERROR(VALUE(INDEX(Vazoes_COLAR!$A$2:$A$200,INT((ROW()-24)/12)+1)),""))</f>
        <v/>
      </c>
      <c r="C251" s="29" t="str">
        <f t="shared" si="2"/>
        <v/>
      </c>
      <c r="D251" s="26" t="str">
        <f t="array" ref="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1" s="26" t="str">
        <f t="shared" si="3"/>
        <v/>
      </c>
      <c r="F251" s="26" t="str">
        <f t="array" ref="F251">IF(D251="","",IFERROR(INDEX(Dados_Evap!$C$2:$N$15,MATCH($B$9,Dados_Evap!$A$2:$A$15,0),C251),0))</f>
        <v/>
      </c>
      <c r="G251" s="26" t="str">
        <f t="shared" si="4"/>
        <v/>
      </c>
      <c r="H251" s="26" t="str">
        <f t="shared" si="22"/>
        <v/>
      </c>
      <c r="I251" s="26" t="str">
        <f t="array" ref="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/>
      </c>
      <c r="J251" s="26" t="str">
        <f t="shared" si="5"/>
        <v/>
      </c>
      <c r="K251" s="26" t="str">
        <f t="shared" si="6"/>
        <v/>
      </c>
      <c r="L251" s="26" t="str">
        <f t="shared" si="7"/>
        <v/>
      </c>
      <c r="M251" s="26" t="str">
        <f t="array" ref="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/>
      </c>
      <c r="N251" s="26" t="str">
        <f t="shared" si="8"/>
        <v/>
      </c>
      <c r="O251" s="26" t="str">
        <f t="shared" si="9"/>
        <v/>
      </c>
      <c r="P251" s="26" t="str">
        <f t="shared" si="10"/>
        <v/>
      </c>
      <c r="Q251" s="26" t="str">
        <f t="shared" si="11"/>
        <v/>
      </c>
      <c r="R251" s="26" t="str">
        <f t="shared" si="12"/>
        <v/>
      </c>
      <c r="S251" s="26" t="str">
        <f t="shared" si="13"/>
        <v/>
      </c>
      <c r="T251" s="26" t="str">
        <f t="shared" si="14"/>
        <v/>
      </c>
      <c r="U251" s="26" t="str">
        <f t="shared" si="15"/>
        <v/>
      </c>
      <c r="V251" s="26" t="str">
        <f t="shared" si="16"/>
        <v/>
      </c>
      <c r="W251" s="26" t="str">
        <f t="shared" si="17"/>
        <v/>
      </c>
      <c r="X251" s="26" t="str">
        <f t="shared" si="18"/>
        <v/>
      </c>
      <c r="Y251" s="26" t="str">
        <f t="shared" si="19"/>
        <v/>
      </c>
      <c r="Z251" s="31" t="str">
        <f t="shared" si="20"/>
        <v/>
      </c>
      <c r="AA251" s="31" t="str">
        <f>IF(D251="","",IF(H251&lt;=$B$16,1,IF(H251&gt;=$B$17,$B$21,MATCH(H251,Aux_CAV!$A$2:$A$121,1))))</f>
        <v/>
      </c>
      <c r="AB251" s="31" t="str">
        <f>IF(D251="","",IF(L251&lt;=$B$16,1,IF(L251&gt;=$B$17,$B$21,MATCH(L251,Aux_CAV!$A$2:$A$121,1))))</f>
        <v/>
      </c>
      <c r="AC251" s="3" t="str">
        <f t="shared" si="21"/>
        <v/>
      </c>
    </row>
    <row r="252" ht="12.75" customHeight="1">
      <c r="A252" s="25" t="str">
        <f t="shared" si="1"/>
        <v/>
      </c>
      <c r="B252" s="29" t="str">
        <f t="array" ref="B252">IF(D252="","",IFERROR(VALUE(INDEX(Vazoes_COLAR!$A$2:$A$200,INT((ROW()-24)/12)+1)),""))</f>
        <v/>
      </c>
      <c r="C252" s="29" t="str">
        <f t="shared" si="2"/>
        <v/>
      </c>
      <c r="D252" s="26" t="str">
        <f t="array" ref="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2" s="26" t="str">
        <f t="shared" si="3"/>
        <v/>
      </c>
      <c r="F252" s="26" t="str">
        <f t="array" ref="F252">IF(D252="","",IFERROR(INDEX(Dados_Evap!$C$2:$N$15,MATCH($B$9,Dados_Evap!$A$2:$A$15,0),C252),0))</f>
        <v/>
      </c>
      <c r="G252" s="26" t="str">
        <f t="shared" si="4"/>
        <v/>
      </c>
      <c r="H252" s="26" t="str">
        <f t="shared" si="22"/>
        <v/>
      </c>
      <c r="I252" s="26" t="str">
        <f t="array" ref="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/>
      </c>
      <c r="J252" s="26" t="str">
        <f t="shared" si="5"/>
        <v/>
      </c>
      <c r="K252" s="26" t="str">
        <f t="shared" si="6"/>
        <v/>
      </c>
      <c r="L252" s="26" t="str">
        <f t="shared" si="7"/>
        <v/>
      </c>
      <c r="M252" s="26" t="str">
        <f t="array" ref="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/>
      </c>
      <c r="N252" s="26" t="str">
        <f t="shared" si="8"/>
        <v/>
      </c>
      <c r="O252" s="26" t="str">
        <f t="shared" si="9"/>
        <v/>
      </c>
      <c r="P252" s="26" t="str">
        <f t="shared" si="10"/>
        <v/>
      </c>
      <c r="Q252" s="26" t="str">
        <f t="shared" si="11"/>
        <v/>
      </c>
      <c r="R252" s="26" t="str">
        <f t="shared" si="12"/>
        <v/>
      </c>
      <c r="S252" s="26" t="str">
        <f t="shared" si="13"/>
        <v/>
      </c>
      <c r="T252" s="26" t="str">
        <f t="shared" si="14"/>
        <v/>
      </c>
      <c r="U252" s="26" t="str">
        <f t="shared" si="15"/>
        <v/>
      </c>
      <c r="V252" s="26" t="str">
        <f t="shared" si="16"/>
        <v/>
      </c>
      <c r="W252" s="26" t="str">
        <f t="shared" si="17"/>
        <v/>
      </c>
      <c r="X252" s="26" t="str">
        <f t="shared" si="18"/>
        <v/>
      </c>
      <c r="Y252" s="26" t="str">
        <f t="shared" si="19"/>
        <v/>
      </c>
      <c r="Z252" s="31" t="str">
        <f t="shared" si="20"/>
        <v/>
      </c>
      <c r="AA252" s="31" t="str">
        <f>IF(D252="","",IF(H252&lt;=$B$16,1,IF(H252&gt;=$B$17,$B$21,MATCH(H252,Aux_CAV!$A$2:$A$121,1))))</f>
        <v/>
      </c>
      <c r="AB252" s="31" t="str">
        <f>IF(D252="","",IF(L252&lt;=$B$16,1,IF(L252&gt;=$B$17,$B$21,MATCH(L252,Aux_CAV!$A$2:$A$121,1))))</f>
        <v/>
      </c>
      <c r="AC252" s="3" t="str">
        <f t="shared" si="21"/>
        <v/>
      </c>
    </row>
    <row r="253" ht="12.75" customHeight="1">
      <c r="A253" s="25" t="str">
        <f t="shared" si="1"/>
        <v/>
      </c>
      <c r="B253" s="29" t="str">
        <f t="array" ref="B253">IF(D253="","",IFERROR(VALUE(INDEX(Vazoes_COLAR!$A$2:$A$200,INT((ROW()-24)/12)+1)),""))</f>
        <v/>
      </c>
      <c r="C253" s="29" t="str">
        <f t="shared" si="2"/>
        <v/>
      </c>
      <c r="D253" s="26" t="str">
        <f t="array" ref="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3" s="26" t="str">
        <f t="shared" si="3"/>
        <v/>
      </c>
      <c r="F253" s="26" t="str">
        <f t="array" ref="F253">IF(D253="","",IFERROR(INDEX(Dados_Evap!$C$2:$N$15,MATCH($B$9,Dados_Evap!$A$2:$A$15,0),C253),0))</f>
        <v/>
      </c>
      <c r="G253" s="26" t="str">
        <f t="shared" si="4"/>
        <v/>
      </c>
      <c r="H253" s="26" t="str">
        <f t="shared" si="22"/>
        <v/>
      </c>
      <c r="I253" s="26" t="str">
        <f t="array" ref="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/>
      </c>
      <c r="J253" s="26" t="str">
        <f t="shared" si="5"/>
        <v/>
      </c>
      <c r="K253" s="26" t="str">
        <f t="shared" si="6"/>
        <v/>
      </c>
      <c r="L253" s="26" t="str">
        <f t="shared" si="7"/>
        <v/>
      </c>
      <c r="M253" s="26" t="str">
        <f t="array" ref="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/>
      </c>
      <c r="N253" s="26" t="str">
        <f t="shared" si="8"/>
        <v/>
      </c>
      <c r="O253" s="26" t="str">
        <f t="shared" si="9"/>
        <v/>
      </c>
      <c r="P253" s="26" t="str">
        <f t="shared" si="10"/>
        <v/>
      </c>
      <c r="Q253" s="26" t="str">
        <f t="shared" si="11"/>
        <v/>
      </c>
      <c r="R253" s="26" t="str">
        <f t="shared" si="12"/>
        <v/>
      </c>
      <c r="S253" s="26" t="str">
        <f t="shared" si="13"/>
        <v/>
      </c>
      <c r="T253" s="26" t="str">
        <f t="shared" si="14"/>
        <v/>
      </c>
      <c r="U253" s="26" t="str">
        <f t="shared" si="15"/>
        <v/>
      </c>
      <c r="V253" s="26" t="str">
        <f t="shared" si="16"/>
        <v/>
      </c>
      <c r="W253" s="26" t="str">
        <f t="shared" si="17"/>
        <v/>
      </c>
      <c r="X253" s="26" t="str">
        <f t="shared" si="18"/>
        <v/>
      </c>
      <c r="Y253" s="26" t="str">
        <f t="shared" si="19"/>
        <v/>
      </c>
      <c r="Z253" s="31" t="str">
        <f t="shared" si="20"/>
        <v/>
      </c>
      <c r="AA253" s="31" t="str">
        <f>IF(D253="","",IF(H253&lt;=$B$16,1,IF(H253&gt;=$B$17,$B$21,MATCH(H253,Aux_CAV!$A$2:$A$121,1))))</f>
        <v/>
      </c>
      <c r="AB253" s="31" t="str">
        <f>IF(D253="","",IF(L253&lt;=$B$16,1,IF(L253&gt;=$B$17,$B$21,MATCH(L253,Aux_CAV!$A$2:$A$121,1))))</f>
        <v/>
      </c>
      <c r="AC253" s="3" t="str">
        <f t="shared" si="21"/>
        <v/>
      </c>
    </row>
    <row r="254" ht="12.75" customHeight="1">
      <c r="A254" s="25" t="str">
        <f t="shared" si="1"/>
        <v/>
      </c>
      <c r="B254" s="29" t="str">
        <f t="array" ref="B254">IF(D254="","",IFERROR(VALUE(INDEX(Vazoes_COLAR!$A$2:$A$200,INT((ROW()-24)/12)+1)),""))</f>
        <v/>
      </c>
      <c r="C254" s="29" t="str">
        <f t="shared" si="2"/>
        <v/>
      </c>
      <c r="D254" s="26" t="str">
        <f t="array" ref="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4" s="26" t="str">
        <f t="shared" si="3"/>
        <v/>
      </c>
      <c r="F254" s="26" t="str">
        <f t="array" ref="F254">IF(D254="","",IFERROR(INDEX(Dados_Evap!$C$2:$N$15,MATCH($B$9,Dados_Evap!$A$2:$A$15,0),C254),0))</f>
        <v/>
      </c>
      <c r="G254" s="26" t="str">
        <f t="shared" si="4"/>
        <v/>
      </c>
      <c r="H254" s="26" t="str">
        <f t="shared" si="22"/>
        <v/>
      </c>
      <c r="I254" s="26" t="str">
        <f t="array" ref="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/>
      </c>
      <c r="J254" s="26" t="str">
        <f t="shared" si="5"/>
        <v/>
      </c>
      <c r="K254" s="26" t="str">
        <f t="shared" si="6"/>
        <v/>
      </c>
      <c r="L254" s="26" t="str">
        <f t="shared" si="7"/>
        <v/>
      </c>
      <c r="M254" s="26" t="str">
        <f t="array" ref="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/>
      </c>
      <c r="N254" s="26" t="str">
        <f t="shared" si="8"/>
        <v/>
      </c>
      <c r="O254" s="26" t="str">
        <f t="shared" si="9"/>
        <v/>
      </c>
      <c r="P254" s="26" t="str">
        <f t="shared" si="10"/>
        <v/>
      </c>
      <c r="Q254" s="26" t="str">
        <f t="shared" si="11"/>
        <v/>
      </c>
      <c r="R254" s="26" t="str">
        <f t="shared" si="12"/>
        <v/>
      </c>
      <c r="S254" s="26" t="str">
        <f t="shared" si="13"/>
        <v/>
      </c>
      <c r="T254" s="26" t="str">
        <f t="shared" si="14"/>
        <v/>
      </c>
      <c r="U254" s="26" t="str">
        <f t="shared" si="15"/>
        <v/>
      </c>
      <c r="V254" s="26" t="str">
        <f t="shared" si="16"/>
        <v/>
      </c>
      <c r="W254" s="26" t="str">
        <f t="shared" si="17"/>
        <v/>
      </c>
      <c r="X254" s="26" t="str">
        <f t="shared" si="18"/>
        <v/>
      </c>
      <c r="Y254" s="26" t="str">
        <f t="shared" si="19"/>
        <v/>
      </c>
      <c r="Z254" s="31" t="str">
        <f t="shared" si="20"/>
        <v/>
      </c>
      <c r="AA254" s="31" t="str">
        <f>IF(D254="","",IF(H254&lt;=$B$16,1,IF(H254&gt;=$B$17,$B$21,MATCH(H254,Aux_CAV!$A$2:$A$121,1))))</f>
        <v/>
      </c>
      <c r="AB254" s="31" t="str">
        <f>IF(D254="","",IF(L254&lt;=$B$16,1,IF(L254&gt;=$B$17,$B$21,MATCH(L254,Aux_CAV!$A$2:$A$121,1))))</f>
        <v/>
      </c>
      <c r="AC254" s="3" t="str">
        <f t="shared" si="21"/>
        <v/>
      </c>
    </row>
    <row r="255" ht="12.75" customHeight="1">
      <c r="A255" s="25" t="str">
        <f t="shared" si="1"/>
        <v/>
      </c>
      <c r="B255" s="29" t="str">
        <f t="array" ref="B255">IF(D255="","",IFERROR(VALUE(INDEX(Vazoes_COLAR!$A$2:$A$200,INT((ROW()-24)/12)+1)),""))</f>
        <v/>
      </c>
      <c r="C255" s="29" t="str">
        <f t="shared" si="2"/>
        <v/>
      </c>
      <c r="D255" s="26" t="str">
        <f t="array" ref="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5" s="26" t="str">
        <f t="shared" si="3"/>
        <v/>
      </c>
      <c r="F255" s="26" t="str">
        <f t="array" ref="F255">IF(D255="","",IFERROR(INDEX(Dados_Evap!$C$2:$N$15,MATCH($B$9,Dados_Evap!$A$2:$A$15,0),C255),0))</f>
        <v/>
      </c>
      <c r="G255" s="26" t="str">
        <f t="shared" si="4"/>
        <v/>
      </c>
      <c r="H255" s="26" t="str">
        <f t="shared" si="22"/>
        <v/>
      </c>
      <c r="I255" s="26" t="str">
        <f t="array" ref="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/>
      </c>
      <c r="J255" s="26" t="str">
        <f t="shared" si="5"/>
        <v/>
      </c>
      <c r="K255" s="26" t="str">
        <f t="shared" si="6"/>
        <v/>
      </c>
      <c r="L255" s="26" t="str">
        <f t="shared" si="7"/>
        <v/>
      </c>
      <c r="M255" s="26" t="str">
        <f t="array" ref="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/>
      </c>
      <c r="N255" s="26" t="str">
        <f t="shared" si="8"/>
        <v/>
      </c>
      <c r="O255" s="26" t="str">
        <f t="shared" si="9"/>
        <v/>
      </c>
      <c r="P255" s="26" t="str">
        <f t="shared" si="10"/>
        <v/>
      </c>
      <c r="Q255" s="26" t="str">
        <f t="shared" si="11"/>
        <v/>
      </c>
      <c r="R255" s="26" t="str">
        <f t="shared" si="12"/>
        <v/>
      </c>
      <c r="S255" s="26" t="str">
        <f t="shared" si="13"/>
        <v/>
      </c>
      <c r="T255" s="26" t="str">
        <f t="shared" si="14"/>
        <v/>
      </c>
      <c r="U255" s="26" t="str">
        <f t="shared" si="15"/>
        <v/>
      </c>
      <c r="V255" s="26" t="str">
        <f t="shared" si="16"/>
        <v/>
      </c>
      <c r="W255" s="26" t="str">
        <f t="shared" si="17"/>
        <v/>
      </c>
      <c r="X255" s="26" t="str">
        <f t="shared" si="18"/>
        <v/>
      </c>
      <c r="Y255" s="26" t="str">
        <f t="shared" si="19"/>
        <v/>
      </c>
      <c r="Z255" s="31" t="str">
        <f t="shared" si="20"/>
        <v/>
      </c>
      <c r="AA255" s="31" t="str">
        <f>IF(D255="","",IF(H255&lt;=$B$16,1,IF(H255&gt;=$B$17,$B$21,MATCH(H255,Aux_CAV!$A$2:$A$121,1))))</f>
        <v/>
      </c>
      <c r="AB255" s="31" t="str">
        <f>IF(D255="","",IF(L255&lt;=$B$16,1,IF(L255&gt;=$B$17,$B$21,MATCH(L255,Aux_CAV!$A$2:$A$121,1))))</f>
        <v/>
      </c>
      <c r="AC255" s="3" t="str">
        <f t="shared" si="21"/>
        <v/>
      </c>
    </row>
    <row r="256" ht="12.75" customHeight="1">
      <c r="A256" s="25" t="str">
        <f t="shared" si="1"/>
        <v/>
      </c>
      <c r="B256" s="29" t="str">
        <f t="array" ref="B256">IF(D256="","",IFERROR(VALUE(INDEX(Vazoes_COLAR!$A$2:$A$200,INT((ROW()-24)/12)+1)),""))</f>
        <v/>
      </c>
      <c r="C256" s="29" t="str">
        <f t="shared" si="2"/>
        <v/>
      </c>
      <c r="D256" s="26" t="str">
        <f t="array" ref="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6" s="26" t="str">
        <f t="shared" si="3"/>
        <v/>
      </c>
      <c r="F256" s="26" t="str">
        <f t="array" ref="F256">IF(D256="","",IFERROR(INDEX(Dados_Evap!$C$2:$N$15,MATCH($B$9,Dados_Evap!$A$2:$A$15,0),C256),0))</f>
        <v/>
      </c>
      <c r="G256" s="26" t="str">
        <f t="shared" si="4"/>
        <v/>
      </c>
      <c r="H256" s="26" t="str">
        <f t="shared" si="22"/>
        <v/>
      </c>
      <c r="I256" s="26" t="str">
        <f t="array" ref="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/>
      </c>
      <c r="J256" s="26" t="str">
        <f t="shared" si="5"/>
        <v/>
      </c>
      <c r="K256" s="26" t="str">
        <f t="shared" si="6"/>
        <v/>
      </c>
      <c r="L256" s="26" t="str">
        <f t="shared" si="7"/>
        <v/>
      </c>
      <c r="M256" s="26" t="str">
        <f t="array" ref="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/>
      </c>
      <c r="N256" s="26" t="str">
        <f t="shared" si="8"/>
        <v/>
      </c>
      <c r="O256" s="26" t="str">
        <f t="shared" si="9"/>
        <v/>
      </c>
      <c r="P256" s="26" t="str">
        <f t="shared" si="10"/>
        <v/>
      </c>
      <c r="Q256" s="26" t="str">
        <f t="shared" si="11"/>
        <v/>
      </c>
      <c r="R256" s="26" t="str">
        <f t="shared" si="12"/>
        <v/>
      </c>
      <c r="S256" s="26" t="str">
        <f t="shared" si="13"/>
        <v/>
      </c>
      <c r="T256" s="26" t="str">
        <f t="shared" si="14"/>
        <v/>
      </c>
      <c r="U256" s="26" t="str">
        <f t="shared" si="15"/>
        <v/>
      </c>
      <c r="V256" s="26" t="str">
        <f t="shared" si="16"/>
        <v/>
      </c>
      <c r="W256" s="26" t="str">
        <f t="shared" si="17"/>
        <v/>
      </c>
      <c r="X256" s="26" t="str">
        <f t="shared" si="18"/>
        <v/>
      </c>
      <c r="Y256" s="26" t="str">
        <f t="shared" si="19"/>
        <v/>
      </c>
      <c r="Z256" s="31" t="str">
        <f t="shared" si="20"/>
        <v/>
      </c>
      <c r="AA256" s="31" t="str">
        <f>IF(D256="","",IF(H256&lt;=$B$16,1,IF(H256&gt;=$B$17,$B$21,MATCH(H256,Aux_CAV!$A$2:$A$121,1))))</f>
        <v/>
      </c>
      <c r="AB256" s="31" t="str">
        <f>IF(D256="","",IF(L256&lt;=$B$16,1,IF(L256&gt;=$B$17,$B$21,MATCH(L256,Aux_CAV!$A$2:$A$121,1))))</f>
        <v/>
      </c>
      <c r="AC256" s="3" t="str">
        <f t="shared" si="21"/>
        <v/>
      </c>
    </row>
    <row r="257" ht="12.75" customHeight="1">
      <c r="A257" s="25" t="str">
        <f t="shared" si="1"/>
        <v/>
      </c>
      <c r="B257" s="29" t="str">
        <f t="array" ref="B257">IF(D257="","",IFERROR(VALUE(INDEX(Vazoes_COLAR!$A$2:$A$200,INT((ROW()-24)/12)+1)),""))</f>
        <v/>
      </c>
      <c r="C257" s="29" t="str">
        <f t="shared" si="2"/>
        <v/>
      </c>
      <c r="D257" s="26" t="str">
        <f t="array" ref="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7" s="26" t="str">
        <f t="shared" si="3"/>
        <v/>
      </c>
      <c r="F257" s="26" t="str">
        <f t="array" ref="F257">IF(D257="","",IFERROR(INDEX(Dados_Evap!$C$2:$N$15,MATCH($B$9,Dados_Evap!$A$2:$A$15,0),C257),0))</f>
        <v/>
      </c>
      <c r="G257" s="26" t="str">
        <f t="shared" si="4"/>
        <v/>
      </c>
      <c r="H257" s="26" t="str">
        <f t="shared" si="22"/>
        <v/>
      </c>
      <c r="I257" s="26" t="str">
        <f t="array" ref="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/>
      </c>
      <c r="J257" s="26" t="str">
        <f t="shared" si="5"/>
        <v/>
      </c>
      <c r="K257" s="26" t="str">
        <f t="shared" si="6"/>
        <v/>
      </c>
      <c r="L257" s="26" t="str">
        <f t="shared" si="7"/>
        <v/>
      </c>
      <c r="M257" s="26" t="str">
        <f t="array" ref="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/>
      </c>
      <c r="N257" s="26" t="str">
        <f t="shared" si="8"/>
        <v/>
      </c>
      <c r="O257" s="26" t="str">
        <f t="shared" si="9"/>
        <v/>
      </c>
      <c r="P257" s="26" t="str">
        <f t="shared" si="10"/>
        <v/>
      </c>
      <c r="Q257" s="26" t="str">
        <f t="shared" si="11"/>
        <v/>
      </c>
      <c r="R257" s="26" t="str">
        <f t="shared" si="12"/>
        <v/>
      </c>
      <c r="S257" s="26" t="str">
        <f t="shared" si="13"/>
        <v/>
      </c>
      <c r="T257" s="26" t="str">
        <f t="shared" si="14"/>
        <v/>
      </c>
      <c r="U257" s="26" t="str">
        <f t="shared" si="15"/>
        <v/>
      </c>
      <c r="V257" s="26" t="str">
        <f t="shared" si="16"/>
        <v/>
      </c>
      <c r="W257" s="26" t="str">
        <f t="shared" si="17"/>
        <v/>
      </c>
      <c r="X257" s="26" t="str">
        <f t="shared" si="18"/>
        <v/>
      </c>
      <c r="Y257" s="26" t="str">
        <f t="shared" si="19"/>
        <v/>
      </c>
      <c r="Z257" s="31" t="str">
        <f t="shared" si="20"/>
        <v/>
      </c>
      <c r="AA257" s="31" t="str">
        <f>IF(D257="","",IF(H257&lt;=$B$16,1,IF(H257&gt;=$B$17,$B$21,MATCH(H257,Aux_CAV!$A$2:$A$121,1))))</f>
        <v/>
      </c>
      <c r="AB257" s="31" t="str">
        <f>IF(D257="","",IF(L257&lt;=$B$16,1,IF(L257&gt;=$B$17,$B$21,MATCH(L257,Aux_CAV!$A$2:$A$121,1))))</f>
        <v/>
      </c>
      <c r="AC257" s="3" t="str">
        <f t="shared" si="21"/>
        <v/>
      </c>
    </row>
    <row r="258" ht="12.75" customHeight="1">
      <c r="A258" s="25" t="str">
        <f t="shared" si="1"/>
        <v/>
      </c>
      <c r="B258" s="29" t="str">
        <f t="array" ref="B258">IF(D258="","",IFERROR(VALUE(INDEX(Vazoes_COLAR!$A$2:$A$200,INT((ROW()-24)/12)+1)),""))</f>
        <v/>
      </c>
      <c r="C258" s="29" t="str">
        <f t="shared" si="2"/>
        <v/>
      </c>
      <c r="D258" s="26" t="str">
        <f t="array" ref="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8" s="26" t="str">
        <f t="shared" si="3"/>
        <v/>
      </c>
      <c r="F258" s="26" t="str">
        <f t="array" ref="F258">IF(D258="","",IFERROR(INDEX(Dados_Evap!$C$2:$N$15,MATCH($B$9,Dados_Evap!$A$2:$A$15,0),C258),0))</f>
        <v/>
      </c>
      <c r="G258" s="26" t="str">
        <f t="shared" si="4"/>
        <v/>
      </c>
      <c r="H258" s="26" t="str">
        <f t="shared" si="22"/>
        <v/>
      </c>
      <c r="I258" s="26" t="str">
        <f t="array" ref="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/>
      </c>
      <c r="J258" s="26" t="str">
        <f t="shared" si="5"/>
        <v/>
      </c>
      <c r="K258" s="26" t="str">
        <f t="shared" si="6"/>
        <v/>
      </c>
      <c r="L258" s="26" t="str">
        <f t="shared" si="7"/>
        <v/>
      </c>
      <c r="M258" s="26" t="str">
        <f t="array" ref="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/>
      </c>
      <c r="N258" s="26" t="str">
        <f t="shared" si="8"/>
        <v/>
      </c>
      <c r="O258" s="26" t="str">
        <f t="shared" si="9"/>
        <v/>
      </c>
      <c r="P258" s="26" t="str">
        <f t="shared" si="10"/>
        <v/>
      </c>
      <c r="Q258" s="26" t="str">
        <f t="shared" si="11"/>
        <v/>
      </c>
      <c r="R258" s="26" t="str">
        <f t="shared" si="12"/>
        <v/>
      </c>
      <c r="S258" s="26" t="str">
        <f t="shared" si="13"/>
        <v/>
      </c>
      <c r="T258" s="26" t="str">
        <f t="shared" si="14"/>
        <v/>
      </c>
      <c r="U258" s="26" t="str">
        <f t="shared" si="15"/>
        <v/>
      </c>
      <c r="V258" s="26" t="str">
        <f t="shared" si="16"/>
        <v/>
      </c>
      <c r="W258" s="26" t="str">
        <f t="shared" si="17"/>
        <v/>
      </c>
      <c r="X258" s="26" t="str">
        <f t="shared" si="18"/>
        <v/>
      </c>
      <c r="Y258" s="26" t="str">
        <f t="shared" si="19"/>
        <v/>
      </c>
      <c r="Z258" s="31" t="str">
        <f t="shared" si="20"/>
        <v/>
      </c>
      <c r="AA258" s="31" t="str">
        <f>IF(D258="","",IF(H258&lt;=$B$16,1,IF(H258&gt;=$B$17,$B$21,MATCH(H258,Aux_CAV!$A$2:$A$121,1))))</f>
        <v/>
      </c>
      <c r="AB258" s="31" t="str">
        <f>IF(D258="","",IF(L258&lt;=$B$16,1,IF(L258&gt;=$B$17,$B$21,MATCH(L258,Aux_CAV!$A$2:$A$121,1))))</f>
        <v/>
      </c>
      <c r="AC258" s="3" t="str">
        <f t="shared" si="21"/>
        <v/>
      </c>
    </row>
    <row r="259" ht="12.75" customHeight="1">
      <c r="A259" s="25" t="str">
        <f t="shared" si="1"/>
        <v/>
      </c>
      <c r="B259" s="29" t="str">
        <f t="array" ref="B259">IF(D259="","",IFERROR(VALUE(INDEX(Vazoes_COLAR!$A$2:$A$200,INT((ROW()-24)/12)+1)),""))</f>
        <v/>
      </c>
      <c r="C259" s="29" t="str">
        <f t="shared" si="2"/>
        <v/>
      </c>
      <c r="D259" s="26" t="str">
        <f t="array" ref="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9" s="26" t="str">
        <f t="shared" si="3"/>
        <v/>
      </c>
      <c r="F259" s="26" t="str">
        <f t="array" ref="F259">IF(D259="","",IFERROR(INDEX(Dados_Evap!$C$2:$N$15,MATCH($B$9,Dados_Evap!$A$2:$A$15,0),C259),0))</f>
        <v/>
      </c>
      <c r="G259" s="26" t="str">
        <f t="shared" si="4"/>
        <v/>
      </c>
      <c r="H259" s="26" t="str">
        <f t="shared" si="22"/>
        <v/>
      </c>
      <c r="I259" s="26" t="str">
        <f t="array" ref="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/>
      </c>
      <c r="J259" s="26" t="str">
        <f t="shared" si="5"/>
        <v/>
      </c>
      <c r="K259" s="26" t="str">
        <f t="shared" si="6"/>
        <v/>
      </c>
      <c r="L259" s="26" t="str">
        <f t="shared" si="7"/>
        <v/>
      </c>
      <c r="M259" s="26" t="str">
        <f t="array" ref="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/>
      </c>
      <c r="N259" s="26" t="str">
        <f t="shared" si="8"/>
        <v/>
      </c>
      <c r="O259" s="26" t="str">
        <f t="shared" si="9"/>
        <v/>
      </c>
      <c r="P259" s="26" t="str">
        <f t="shared" si="10"/>
        <v/>
      </c>
      <c r="Q259" s="26" t="str">
        <f t="shared" si="11"/>
        <v/>
      </c>
      <c r="R259" s="26" t="str">
        <f t="shared" si="12"/>
        <v/>
      </c>
      <c r="S259" s="26" t="str">
        <f t="shared" si="13"/>
        <v/>
      </c>
      <c r="T259" s="26" t="str">
        <f t="shared" si="14"/>
        <v/>
      </c>
      <c r="U259" s="26" t="str">
        <f t="shared" si="15"/>
        <v/>
      </c>
      <c r="V259" s="26" t="str">
        <f t="shared" si="16"/>
        <v/>
      </c>
      <c r="W259" s="26" t="str">
        <f t="shared" si="17"/>
        <v/>
      </c>
      <c r="X259" s="26" t="str">
        <f t="shared" si="18"/>
        <v/>
      </c>
      <c r="Y259" s="26" t="str">
        <f t="shared" si="19"/>
        <v/>
      </c>
      <c r="Z259" s="31" t="str">
        <f t="shared" si="20"/>
        <v/>
      </c>
      <c r="AA259" s="31" t="str">
        <f>IF(D259="","",IF(H259&lt;=$B$16,1,IF(H259&gt;=$B$17,$B$21,MATCH(H259,Aux_CAV!$A$2:$A$121,1))))</f>
        <v/>
      </c>
      <c r="AB259" s="31" t="str">
        <f>IF(D259="","",IF(L259&lt;=$B$16,1,IF(L259&gt;=$B$17,$B$21,MATCH(L259,Aux_CAV!$A$2:$A$121,1))))</f>
        <v/>
      </c>
      <c r="AC259" s="3" t="str">
        <f t="shared" si="21"/>
        <v/>
      </c>
    </row>
    <row r="260" ht="12.75" customHeight="1">
      <c r="A260" s="25" t="str">
        <f t="shared" si="1"/>
        <v/>
      </c>
      <c r="B260" s="29" t="str">
        <f t="array" ref="B260">IF(D260="","",IFERROR(VALUE(INDEX(Vazoes_COLAR!$A$2:$A$200,INT((ROW()-24)/12)+1)),""))</f>
        <v/>
      </c>
      <c r="C260" s="29" t="str">
        <f t="shared" si="2"/>
        <v/>
      </c>
      <c r="D260" s="26" t="str">
        <f t="array" ref="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0" s="26" t="str">
        <f t="shared" si="3"/>
        <v/>
      </c>
      <c r="F260" s="26" t="str">
        <f t="array" ref="F260">IF(D260="","",IFERROR(INDEX(Dados_Evap!$C$2:$N$15,MATCH($B$9,Dados_Evap!$A$2:$A$15,0),C260),0))</f>
        <v/>
      </c>
      <c r="G260" s="26" t="str">
        <f t="shared" si="4"/>
        <v/>
      </c>
      <c r="H260" s="26" t="str">
        <f t="shared" si="22"/>
        <v/>
      </c>
      <c r="I260" s="26" t="str">
        <f t="array" ref="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/>
      </c>
      <c r="J260" s="26" t="str">
        <f t="shared" si="5"/>
        <v/>
      </c>
      <c r="K260" s="26" t="str">
        <f t="shared" si="6"/>
        <v/>
      </c>
      <c r="L260" s="26" t="str">
        <f t="shared" si="7"/>
        <v/>
      </c>
      <c r="M260" s="26" t="str">
        <f t="array" ref="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/>
      </c>
      <c r="N260" s="26" t="str">
        <f t="shared" si="8"/>
        <v/>
      </c>
      <c r="O260" s="26" t="str">
        <f t="shared" si="9"/>
        <v/>
      </c>
      <c r="P260" s="26" t="str">
        <f t="shared" si="10"/>
        <v/>
      </c>
      <c r="Q260" s="26" t="str">
        <f t="shared" si="11"/>
        <v/>
      </c>
      <c r="R260" s="26" t="str">
        <f t="shared" si="12"/>
        <v/>
      </c>
      <c r="S260" s="26" t="str">
        <f t="shared" si="13"/>
        <v/>
      </c>
      <c r="T260" s="26" t="str">
        <f t="shared" si="14"/>
        <v/>
      </c>
      <c r="U260" s="26" t="str">
        <f t="shared" si="15"/>
        <v/>
      </c>
      <c r="V260" s="26" t="str">
        <f t="shared" si="16"/>
        <v/>
      </c>
      <c r="W260" s="26" t="str">
        <f t="shared" si="17"/>
        <v/>
      </c>
      <c r="X260" s="26" t="str">
        <f t="shared" si="18"/>
        <v/>
      </c>
      <c r="Y260" s="26" t="str">
        <f t="shared" si="19"/>
        <v/>
      </c>
      <c r="Z260" s="31" t="str">
        <f t="shared" si="20"/>
        <v/>
      </c>
      <c r="AA260" s="31" t="str">
        <f>IF(D260="","",IF(H260&lt;=$B$16,1,IF(H260&gt;=$B$17,$B$21,MATCH(H260,Aux_CAV!$A$2:$A$121,1))))</f>
        <v/>
      </c>
      <c r="AB260" s="31" t="str">
        <f>IF(D260="","",IF(L260&lt;=$B$16,1,IF(L260&gt;=$B$17,$B$21,MATCH(L260,Aux_CAV!$A$2:$A$121,1))))</f>
        <v/>
      </c>
      <c r="AC260" s="3" t="str">
        <f t="shared" si="21"/>
        <v/>
      </c>
    </row>
    <row r="261" ht="12.75" customHeight="1">
      <c r="A261" s="25" t="str">
        <f t="shared" si="1"/>
        <v/>
      </c>
      <c r="B261" s="29" t="str">
        <f t="array" ref="B261">IF(D261="","",IFERROR(VALUE(INDEX(Vazoes_COLAR!$A$2:$A$200,INT((ROW()-24)/12)+1)),""))</f>
        <v/>
      </c>
      <c r="C261" s="29" t="str">
        <f t="shared" si="2"/>
        <v/>
      </c>
      <c r="D261" s="26" t="str">
        <f t="array" ref="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1" s="26" t="str">
        <f t="shared" si="3"/>
        <v/>
      </c>
      <c r="F261" s="26" t="str">
        <f t="array" ref="F261">IF(D261="","",IFERROR(INDEX(Dados_Evap!$C$2:$N$15,MATCH($B$9,Dados_Evap!$A$2:$A$15,0),C261),0))</f>
        <v/>
      </c>
      <c r="G261" s="26" t="str">
        <f t="shared" si="4"/>
        <v/>
      </c>
      <c r="H261" s="26" t="str">
        <f t="shared" si="22"/>
        <v/>
      </c>
      <c r="I261" s="26" t="str">
        <f t="array" ref="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/>
      </c>
      <c r="J261" s="26" t="str">
        <f t="shared" si="5"/>
        <v/>
      </c>
      <c r="K261" s="26" t="str">
        <f t="shared" si="6"/>
        <v/>
      </c>
      <c r="L261" s="26" t="str">
        <f t="shared" si="7"/>
        <v/>
      </c>
      <c r="M261" s="26" t="str">
        <f t="array" ref="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/>
      </c>
      <c r="N261" s="26" t="str">
        <f t="shared" si="8"/>
        <v/>
      </c>
      <c r="O261" s="26" t="str">
        <f t="shared" si="9"/>
        <v/>
      </c>
      <c r="P261" s="26" t="str">
        <f t="shared" si="10"/>
        <v/>
      </c>
      <c r="Q261" s="26" t="str">
        <f t="shared" si="11"/>
        <v/>
      </c>
      <c r="R261" s="26" t="str">
        <f t="shared" si="12"/>
        <v/>
      </c>
      <c r="S261" s="26" t="str">
        <f t="shared" si="13"/>
        <v/>
      </c>
      <c r="T261" s="26" t="str">
        <f t="shared" si="14"/>
        <v/>
      </c>
      <c r="U261" s="26" t="str">
        <f t="shared" si="15"/>
        <v/>
      </c>
      <c r="V261" s="26" t="str">
        <f t="shared" si="16"/>
        <v/>
      </c>
      <c r="W261" s="26" t="str">
        <f t="shared" si="17"/>
        <v/>
      </c>
      <c r="X261" s="26" t="str">
        <f t="shared" si="18"/>
        <v/>
      </c>
      <c r="Y261" s="26" t="str">
        <f t="shared" si="19"/>
        <v/>
      </c>
      <c r="Z261" s="31" t="str">
        <f t="shared" si="20"/>
        <v/>
      </c>
      <c r="AA261" s="31" t="str">
        <f>IF(D261="","",IF(H261&lt;=$B$16,1,IF(H261&gt;=$B$17,$B$21,MATCH(H261,Aux_CAV!$A$2:$A$121,1))))</f>
        <v/>
      </c>
      <c r="AB261" s="31" t="str">
        <f>IF(D261="","",IF(L261&lt;=$B$16,1,IF(L261&gt;=$B$17,$B$21,MATCH(L261,Aux_CAV!$A$2:$A$121,1))))</f>
        <v/>
      </c>
      <c r="AC261" s="3" t="str">
        <f t="shared" si="21"/>
        <v/>
      </c>
    </row>
    <row r="262" ht="12.75" customHeight="1">
      <c r="A262" s="25" t="str">
        <f t="shared" si="1"/>
        <v/>
      </c>
      <c r="B262" s="29" t="str">
        <f t="array" ref="B262">IF(D262="","",IFERROR(VALUE(INDEX(Vazoes_COLAR!$A$2:$A$200,INT((ROW()-24)/12)+1)),""))</f>
        <v/>
      </c>
      <c r="C262" s="29" t="str">
        <f t="shared" si="2"/>
        <v/>
      </c>
      <c r="D262" s="26" t="str">
        <f t="array" ref="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2" s="26" t="str">
        <f t="shared" si="3"/>
        <v/>
      </c>
      <c r="F262" s="26" t="str">
        <f t="array" ref="F262">IF(D262="","",IFERROR(INDEX(Dados_Evap!$C$2:$N$15,MATCH($B$9,Dados_Evap!$A$2:$A$15,0),C262),0))</f>
        <v/>
      </c>
      <c r="G262" s="26" t="str">
        <f t="shared" si="4"/>
        <v/>
      </c>
      <c r="H262" s="26" t="str">
        <f t="shared" si="22"/>
        <v/>
      </c>
      <c r="I262" s="26" t="str">
        <f t="array" ref="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/>
      </c>
      <c r="J262" s="26" t="str">
        <f t="shared" si="5"/>
        <v/>
      </c>
      <c r="K262" s="26" t="str">
        <f t="shared" si="6"/>
        <v/>
      </c>
      <c r="L262" s="26" t="str">
        <f t="shared" si="7"/>
        <v/>
      </c>
      <c r="M262" s="26" t="str">
        <f t="array" ref="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/>
      </c>
      <c r="N262" s="26" t="str">
        <f t="shared" si="8"/>
        <v/>
      </c>
      <c r="O262" s="26" t="str">
        <f t="shared" si="9"/>
        <v/>
      </c>
      <c r="P262" s="26" t="str">
        <f t="shared" si="10"/>
        <v/>
      </c>
      <c r="Q262" s="26" t="str">
        <f t="shared" si="11"/>
        <v/>
      </c>
      <c r="R262" s="26" t="str">
        <f t="shared" si="12"/>
        <v/>
      </c>
      <c r="S262" s="26" t="str">
        <f t="shared" si="13"/>
        <v/>
      </c>
      <c r="T262" s="26" t="str">
        <f t="shared" si="14"/>
        <v/>
      </c>
      <c r="U262" s="26" t="str">
        <f t="shared" si="15"/>
        <v/>
      </c>
      <c r="V262" s="26" t="str">
        <f t="shared" si="16"/>
        <v/>
      </c>
      <c r="W262" s="26" t="str">
        <f t="shared" si="17"/>
        <v/>
      </c>
      <c r="X262" s="26" t="str">
        <f t="shared" si="18"/>
        <v/>
      </c>
      <c r="Y262" s="26" t="str">
        <f t="shared" si="19"/>
        <v/>
      </c>
      <c r="Z262" s="31" t="str">
        <f t="shared" si="20"/>
        <v/>
      </c>
      <c r="AA262" s="31" t="str">
        <f>IF(D262="","",IF(H262&lt;=$B$16,1,IF(H262&gt;=$B$17,$B$21,MATCH(H262,Aux_CAV!$A$2:$A$121,1))))</f>
        <v/>
      </c>
      <c r="AB262" s="31" t="str">
        <f>IF(D262="","",IF(L262&lt;=$B$16,1,IF(L262&gt;=$B$17,$B$21,MATCH(L262,Aux_CAV!$A$2:$A$121,1))))</f>
        <v/>
      </c>
      <c r="AC262" s="3" t="str">
        <f t="shared" si="21"/>
        <v/>
      </c>
    </row>
    <row r="263" ht="12.75" customHeight="1">
      <c r="A263" s="25" t="str">
        <f t="shared" si="1"/>
        <v/>
      </c>
      <c r="B263" s="29" t="str">
        <f t="array" ref="B263">IF(D263="","",IFERROR(VALUE(INDEX(Vazoes_COLAR!$A$2:$A$200,INT((ROW()-24)/12)+1)),""))</f>
        <v/>
      </c>
      <c r="C263" s="29" t="str">
        <f t="shared" si="2"/>
        <v/>
      </c>
      <c r="D263" s="26" t="str">
        <f t="array" ref="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3" s="26" t="str">
        <f t="shared" si="3"/>
        <v/>
      </c>
      <c r="F263" s="26" t="str">
        <f t="array" ref="F263">IF(D263="","",IFERROR(INDEX(Dados_Evap!$C$2:$N$15,MATCH($B$9,Dados_Evap!$A$2:$A$15,0),C263),0))</f>
        <v/>
      </c>
      <c r="G263" s="26" t="str">
        <f t="shared" si="4"/>
        <v/>
      </c>
      <c r="H263" s="26" t="str">
        <f t="shared" si="22"/>
        <v/>
      </c>
      <c r="I263" s="26" t="str">
        <f t="array" ref="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/>
      </c>
      <c r="J263" s="26" t="str">
        <f t="shared" si="5"/>
        <v/>
      </c>
      <c r="K263" s="26" t="str">
        <f t="shared" si="6"/>
        <v/>
      </c>
      <c r="L263" s="26" t="str">
        <f t="shared" si="7"/>
        <v/>
      </c>
      <c r="M263" s="26" t="str">
        <f t="array" ref="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/>
      </c>
      <c r="N263" s="26" t="str">
        <f t="shared" si="8"/>
        <v/>
      </c>
      <c r="O263" s="26" t="str">
        <f t="shared" si="9"/>
        <v/>
      </c>
      <c r="P263" s="26" t="str">
        <f t="shared" si="10"/>
        <v/>
      </c>
      <c r="Q263" s="26" t="str">
        <f t="shared" si="11"/>
        <v/>
      </c>
      <c r="R263" s="26" t="str">
        <f t="shared" si="12"/>
        <v/>
      </c>
      <c r="S263" s="26" t="str">
        <f t="shared" si="13"/>
        <v/>
      </c>
      <c r="T263" s="26" t="str">
        <f t="shared" si="14"/>
        <v/>
      </c>
      <c r="U263" s="26" t="str">
        <f t="shared" si="15"/>
        <v/>
      </c>
      <c r="V263" s="26" t="str">
        <f t="shared" si="16"/>
        <v/>
      </c>
      <c r="W263" s="26" t="str">
        <f t="shared" si="17"/>
        <v/>
      </c>
      <c r="X263" s="26" t="str">
        <f t="shared" si="18"/>
        <v/>
      </c>
      <c r="Y263" s="26" t="str">
        <f t="shared" si="19"/>
        <v/>
      </c>
      <c r="Z263" s="31" t="str">
        <f t="shared" si="20"/>
        <v/>
      </c>
      <c r="AA263" s="31" t="str">
        <f>IF(D263="","",IF(H263&lt;=$B$16,1,IF(H263&gt;=$B$17,$B$21,MATCH(H263,Aux_CAV!$A$2:$A$121,1))))</f>
        <v/>
      </c>
      <c r="AB263" s="31" t="str">
        <f>IF(D263="","",IF(L263&lt;=$B$16,1,IF(L263&gt;=$B$17,$B$21,MATCH(L263,Aux_CAV!$A$2:$A$121,1))))</f>
        <v/>
      </c>
      <c r="AC263" s="3" t="str">
        <f t="shared" si="21"/>
        <v/>
      </c>
    </row>
    <row r="264" ht="12.75" customHeight="1">
      <c r="A264" s="25" t="str">
        <f t="shared" si="1"/>
        <v/>
      </c>
      <c r="B264" s="29" t="str">
        <f t="array" ref="B264">IF(D264="","",IFERROR(VALUE(INDEX(Vazoes_COLAR!$A$2:$A$200,INT((ROW()-24)/12)+1)),""))</f>
        <v/>
      </c>
      <c r="C264" s="29" t="str">
        <f t="shared" si="2"/>
        <v/>
      </c>
      <c r="D264" s="26" t="str">
        <f t="array" ref="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4" s="26" t="str">
        <f t="shared" si="3"/>
        <v/>
      </c>
      <c r="F264" s="26" t="str">
        <f t="array" ref="F264">IF(D264="","",IFERROR(INDEX(Dados_Evap!$C$2:$N$15,MATCH($B$9,Dados_Evap!$A$2:$A$15,0),C264),0))</f>
        <v/>
      </c>
      <c r="G264" s="26" t="str">
        <f t="shared" si="4"/>
        <v/>
      </c>
      <c r="H264" s="26" t="str">
        <f t="shared" si="22"/>
        <v/>
      </c>
      <c r="I264" s="26" t="str">
        <f t="array" ref="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/>
      </c>
      <c r="J264" s="26" t="str">
        <f t="shared" si="5"/>
        <v/>
      </c>
      <c r="K264" s="26" t="str">
        <f t="shared" si="6"/>
        <v/>
      </c>
      <c r="L264" s="26" t="str">
        <f t="shared" si="7"/>
        <v/>
      </c>
      <c r="M264" s="26" t="str">
        <f t="array" ref="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/>
      </c>
      <c r="N264" s="26" t="str">
        <f t="shared" si="8"/>
        <v/>
      </c>
      <c r="O264" s="26" t="str">
        <f t="shared" si="9"/>
        <v/>
      </c>
      <c r="P264" s="26" t="str">
        <f t="shared" si="10"/>
        <v/>
      </c>
      <c r="Q264" s="26" t="str">
        <f t="shared" si="11"/>
        <v/>
      </c>
      <c r="R264" s="26" t="str">
        <f t="shared" si="12"/>
        <v/>
      </c>
      <c r="S264" s="26" t="str">
        <f t="shared" si="13"/>
        <v/>
      </c>
      <c r="T264" s="26" t="str">
        <f t="shared" si="14"/>
        <v/>
      </c>
      <c r="U264" s="26" t="str">
        <f t="shared" si="15"/>
        <v/>
      </c>
      <c r="V264" s="26" t="str">
        <f t="shared" si="16"/>
        <v/>
      </c>
      <c r="W264" s="26" t="str">
        <f t="shared" si="17"/>
        <v/>
      </c>
      <c r="X264" s="26" t="str">
        <f t="shared" si="18"/>
        <v/>
      </c>
      <c r="Y264" s="26" t="str">
        <f t="shared" si="19"/>
        <v/>
      </c>
      <c r="Z264" s="31" t="str">
        <f t="shared" si="20"/>
        <v/>
      </c>
      <c r="AA264" s="31" t="str">
        <f>IF(D264="","",IF(H264&lt;=$B$16,1,IF(H264&gt;=$B$17,$B$21,MATCH(H264,Aux_CAV!$A$2:$A$121,1))))</f>
        <v/>
      </c>
      <c r="AB264" s="31" t="str">
        <f>IF(D264="","",IF(L264&lt;=$B$16,1,IF(L264&gt;=$B$17,$B$21,MATCH(L264,Aux_CAV!$A$2:$A$121,1))))</f>
        <v/>
      </c>
      <c r="AC264" s="3" t="str">
        <f t="shared" si="21"/>
        <v/>
      </c>
    </row>
    <row r="265" ht="12.75" customHeight="1">
      <c r="A265" s="25" t="str">
        <f t="shared" si="1"/>
        <v/>
      </c>
      <c r="B265" s="29" t="str">
        <f t="array" ref="B265">IF(D265="","",IFERROR(VALUE(INDEX(Vazoes_COLAR!$A$2:$A$200,INT((ROW()-24)/12)+1)),""))</f>
        <v/>
      </c>
      <c r="C265" s="29" t="str">
        <f t="shared" si="2"/>
        <v/>
      </c>
      <c r="D265" s="26" t="str">
        <f t="array" ref="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5" s="26" t="str">
        <f t="shared" si="3"/>
        <v/>
      </c>
      <c r="F265" s="26" t="str">
        <f t="array" ref="F265">IF(D265="","",IFERROR(INDEX(Dados_Evap!$C$2:$N$15,MATCH($B$9,Dados_Evap!$A$2:$A$15,0),C265),0))</f>
        <v/>
      </c>
      <c r="G265" s="26" t="str">
        <f t="shared" si="4"/>
        <v/>
      </c>
      <c r="H265" s="26" t="str">
        <f t="shared" si="22"/>
        <v/>
      </c>
      <c r="I265" s="26" t="str">
        <f t="array" ref="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/>
      </c>
      <c r="J265" s="26" t="str">
        <f t="shared" si="5"/>
        <v/>
      </c>
      <c r="K265" s="26" t="str">
        <f t="shared" si="6"/>
        <v/>
      </c>
      <c r="L265" s="26" t="str">
        <f t="shared" si="7"/>
        <v/>
      </c>
      <c r="M265" s="26" t="str">
        <f t="array" ref="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/>
      </c>
      <c r="N265" s="26" t="str">
        <f t="shared" si="8"/>
        <v/>
      </c>
      <c r="O265" s="26" t="str">
        <f t="shared" si="9"/>
        <v/>
      </c>
      <c r="P265" s="26" t="str">
        <f t="shared" si="10"/>
        <v/>
      </c>
      <c r="Q265" s="26" t="str">
        <f t="shared" si="11"/>
        <v/>
      </c>
      <c r="R265" s="26" t="str">
        <f t="shared" si="12"/>
        <v/>
      </c>
      <c r="S265" s="26" t="str">
        <f t="shared" si="13"/>
        <v/>
      </c>
      <c r="T265" s="26" t="str">
        <f t="shared" si="14"/>
        <v/>
      </c>
      <c r="U265" s="26" t="str">
        <f t="shared" si="15"/>
        <v/>
      </c>
      <c r="V265" s="26" t="str">
        <f t="shared" si="16"/>
        <v/>
      </c>
      <c r="W265" s="26" t="str">
        <f t="shared" si="17"/>
        <v/>
      </c>
      <c r="X265" s="26" t="str">
        <f t="shared" si="18"/>
        <v/>
      </c>
      <c r="Y265" s="26" t="str">
        <f t="shared" si="19"/>
        <v/>
      </c>
      <c r="Z265" s="31" t="str">
        <f t="shared" si="20"/>
        <v/>
      </c>
      <c r="AA265" s="31" t="str">
        <f>IF(D265="","",IF(H265&lt;=$B$16,1,IF(H265&gt;=$B$17,$B$21,MATCH(H265,Aux_CAV!$A$2:$A$121,1))))</f>
        <v/>
      </c>
      <c r="AB265" s="31" t="str">
        <f>IF(D265="","",IF(L265&lt;=$B$16,1,IF(L265&gt;=$B$17,$B$21,MATCH(L265,Aux_CAV!$A$2:$A$121,1))))</f>
        <v/>
      </c>
      <c r="AC265" s="3" t="str">
        <f t="shared" si="21"/>
        <v/>
      </c>
    </row>
    <row r="266" ht="12.75" customHeight="1">
      <c r="A266" s="25" t="str">
        <f t="shared" si="1"/>
        <v/>
      </c>
      <c r="B266" s="29" t="str">
        <f t="array" ref="B266">IF(D266="","",IFERROR(VALUE(INDEX(Vazoes_COLAR!$A$2:$A$200,INT((ROW()-24)/12)+1)),""))</f>
        <v/>
      </c>
      <c r="C266" s="29" t="str">
        <f t="shared" si="2"/>
        <v/>
      </c>
      <c r="D266" s="26" t="str">
        <f t="array" ref="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6" s="26" t="str">
        <f t="shared" si="3"/>
        <v/>
      </c>
      <c r="F266" s="26" t="str">
        <f t="array" ref="F266">IF(D266="","",IFERROR(INDEX(Dados_Evap!$C$2:$N$15,MATCH($B$9,Dados_Evap!$A$2:$A$15,0),C266),0))</f>
        <v/>
      </c>
      <c r="G266" s="26" t="str">
        <f t="shared" si="4"/>
        <v/>
      </c>
      <c r="H266" s="26" t="str">
        <f t="shared" si="22"/>
        <v/>
      </c>
      <c r="I266" s="26" t="str">
        <f t="array" ref="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/>
      </c>
      <c r="J266" s="26" t="str">
        <f t="shared" si="5"/>
        <v/>
      </c>
      <c r="K266" s="26" t="str">
        <f t="shared" si="6"/>
        <v/>
      </c>
      <c r="L266" s="26" t="str">
        <f t="shared" si="7"/>
        <v/>
      </c>
      <c r="M266" s="26" t="str">
        <f t="array" ref="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/>
      </c>
      <c r="N266" s="26" t="str">
        <f t="shared" si="8"/>
        <v/>
      </c>
      <c r="O266" s="26" t="str">
        <f t="shared" si="9"/>
        <v/>
      </c>
      <c r="P266" s="26" t="str">
        <f t="shared" si="10"/>
        <v/>
      </c>
      <c r="Q266" s="26" t="str">
        <f t="shared" si="11"/>
        <v/>
      </c>
      <c r="R266" s="26" t="str">
        <f t="shared" si="12"/>
        <v/>
      </c>
      <c r="S266" s="26" t="str">
        <f t="shared" si="13"/>
        <v/>
      </c>
      <c r="T266" s="26" t="str">
        <f t="shared" si="14"/>
        <v/>
      </c>
      <c r="U266" s="26" t="str">
        <f t="shared" si="15"/>
        <v/>
      </c>
      <c r="V266" s="26" t="str">
        <f t="shared" si="16"/>
        <v/>
      </c>
      <c r="W266" s="26" t="str">
        <f t="shared" si="17"/>
        <v/>
      </c>
      <c r="X266" s="26" t="str">
        <f t="shared" si="18"/>
        <v/>
      </c>
      <c r="Y266" s="26" t="str">
        <f t="shared" si="19"/>
        <v/>
      </c>
      <c r="Z266" s="31" t="str">
        <f t="shared" si="20"/>
        <v/>
      </c>
      <c r="AA266" s="31" t="str">
        <f>IF(D266="","",IF(H266&lt;=$B$16,1,IF(H266&gt;=$B$17,$B$21,MATCH(H266,Aux_CAV!$A$2:$A$121,1))))</f>
        <v/>
      </c>
      <c r="AB266" s="31" t="str">
        <f>IF(D266="","",IF(L266&lt;=$B$16,1,IF(L266&gt;=$B$17,$B$21,MATCH(L266,Aux_CAV!$A$2:$A$121,1))))</f>
        <v/>
      </c>
      <c r="AC266" s="3" t="str">
        <f t="shared" si="21"/>
        <v/>
      </c>
    </row>
    <row r="267" ht="12.75" customHeight="1">
      <c r="A267" s="25" t="str">
        <f t="shared" si="1"/>
        <v/>
      </c>
      <c r="B267" s="29" t="str">
        <f t="array" ref="B267">IF(D267="","",IFERROR(VALUE(INDEX(Vazoes_COLAR!$A$2:$A$200,INT((ROW()-24)/12)+1)),""))</f>
        <v/>
      </c>
      <c r="C267" s="29" t="str">
        <f t="shared" si="2"/>
        <v/>
      </c>
      <c r="D267" s="26" t="str">
        <f t="array" ref="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7" s="26" t="str">
        <f t="shared" si="3"/>
        <v/>
      </c>
      <c r="F267" s="26" t="str">
        <f t="array" ref="F267">IF(D267="","",IFERROR(INDEX(Dados_Evap!$C$2:$N$15,MATCH($B$9,Dados_Evap!$A$2:$A$15,0),C267),0))</f>
        <v/>
      </c>
      <c r="G267" s="26" t="str">
        <f t="shared" si="4"/>
        <v/>
      </c>
      <c r="H267" s="26" t="str">
        <f t="shared" si="22"/>
        <v/>
      </c>
      <c r="I267" s="26" t="str">
        <f t="array" ref="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/>
      </c>
      <c r="J267" s="26" t="str">
        <f t="shared" si="5"/>
        <v/>
      </c>
      <c r="K267" s="26" t="str">
        <f t="shared" si="6"/>
        <v/>
      </c>
      <c r="L267" s="26" t="str">
        <f t="shared" si="7"/>
        <v/>
      </c>
      <c r="M267" s="26" t="str">
        <f t="array" ref="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/>
      </c>
      <c r="N267" s="26" t="str">
        <f t="shared" si="8"/>
        <v/>
      </c>
      <c r="O267" s="26" t="str">
        <f t="shared" si="9"/>
        <v/>
      </c>
      <c r="P267" s="26" t="str">
        <f t="shared" si="10"/>
        <v/>
      </c>
      <c r="Q267" s="26" t="str">
        <f t="shared" si="11"/>
        <v/>
      </c>
      <c r="R267" s="26" t="str">
        <f t="shared" si="12"/>
        <v/>
      </c>
      <c r="S267" s="26" t="str">
        <f t="shared" si="13"/>
        <v/>
      </c>
      <c r="T267" s="26" t="str">
        <f t="shared" si="14"/>
        <v/>
      </c>
      <c r="U267" s="26" t="str">
        <f t="shared" si="15"/>
        <v/>
      </c>
      <c r="V267" s="26" t="str">
        <f t="shared" si="16"/>
        <v/>
      </c>
      <c r="W267" s="26" t="str">
        <f t="shared" si="17"/>
        <v/>
      </c>
      <c r="X267" s="26" t="str">
        <f t="shared" si="18"/>
        <v/>
      </c>
      <c r="Y267" s="26" t="str">
        <f t="shared" si="19"/>
        <v/>
      </c>
      <c r="Z267" s="31" t="str">
        <f t="shared" si="20"/>
        <v/>
      </c>
      <c r="AA267" s="31" t="str">
        <f>IF(D267="","",IF(H267&lt;=$B$16,1,IF(H267&gt;=$B$17,$B$21,MATCH(H267,Aux_CAV!$A$2:$A$121,1))))</f>
        <v/>
      </c>
      <c r="AB267" s="31" t="str">
        <f>IF(D267="","",IF(L267&lt;=$B$16,1,IF(L267&gt;=$B$17,$B$21,MATCH(L267,Aux_CAV!$A$2:$A$121,1))))</f>
        <v/>
      </c>
      <c r="AC267" s="3" t="str">
        <f t="shared" si="21"/>
        <v/>
      </c>
    </row>
    <row r="268" ht="12.75" customHeight="1">
      <c r="A268" s="25" t="str">
        <f t="shared" si="1"/>
        <v/>
      </c>
      <c r="B268" s="29" t="str">
        <f t="array" ref="B268">IF(D268="","",IFERROR(VALUE(INDEX(Vazoes_COLAR!$A$2:$A$200,INT((ROW()-24)/12)+1)),""))</f>
        <v/>
      </c>
      <c r="C268" s="29" t="str">
        <f t="shared" si="2"/>
        <v/>
      </c>
      <c r="D268" s="26" t="str">
        <f t="array" ref="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8" s="26" t="str">
        <f t="shared" si="3"/>
        <v/>
      </c>
      <c r="F268" s="26" t="str">
        <f t="array" ref="F268">IF(D268="","",IFERROR(INDEX(Dados_Evap!$C$2:$N$15,MATCH($B$9,Dados_Evap!$A$2:$A$15,0),C268),0))</f>
        <v/>
      </c>
      <c r="G268" s="26" t="str">
        <f t="shared" si="4"/>
        <v/>
      </c>
      <c r="H268" s="26" t="str">
        <f t="shared" si="22"/>
        <v/>
      </c>
      <c r="I268" s="26" t="str">
        <f t="array" ref="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/>
      </c>
      <c r="J268" s="26" t="str">
        <f t="shared" si="5"/>
        <v/>
      </c>
      <c r="K268" s="26" t="str">
        <f t="shared" si="6"/>
        <v/>
      </c>
      <c r="L268" s="26" t="str">
        <f t="shared" si="7"/>
        <v/>
      </c>
      <c r="M268" s="26" t="str">
        <f t="array" ref="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/>
      </c>
      <c r="N268" s="26" t="str">
        <f t="shared" si="8"/>
        <v/>
      </c>
      <c r="O268" s="26" t="str">
        <f t="shared" si="9"/>
        <v/>
      </c>
      <c r="P268" s="26" t="str">
        <f t="shared" si="10"/>
        <v/>
      </c>
      <c r="Q268" s="26" t="str">
        <f t="shared" si="11"/>
        <v/>
      </c>
      <c r="R268" s="26" t="str">
        <f t="shared" si="12"/>
        <v/>
      </c>
      <c r="S268" s="26" t="str">
        <f t="shared" si="13"/>
        <v/>
      </c>
      <c r="T268" s="26" t="str">
        <f t="shared" si="14"/>
        <v/>
      </c>
      <c r="U268" s="26" t="str">
        <f t="shared" si="15"/>
        <v/>
      </c>
      <c r="V268" s="26" t="str">
        <f t="shared" si="16"/>
        <v/>
      </c>
      <c r="W268" s="26" t="str">
        <f t="shared" si="17"/>
        <v/>
      </c>
      <c r="X268" s="26" t="str">
        <f t="shared" si="18"/>
        <v/>
      </c>
      <c r="Y268" s="26" t="str">
        <f t="shared" si="19"/>
        <v/>
      </c>
      <c r="Z268" s="31" t="str">
        <f t="shared" si="20"/>
        <v/>
      </c>
      <c r="AA268" s="31" t="str">
        <f>IF(D268="","",IF(H268&lt;=$B$16,1,IF(H268&gt;=$B$17,$B$21,MATCH(H268,Aux_CAV!$A$2:$A$121,1))))</f>
        <v/>
      </c>
      <c r="AB268" s="31" t="str">
        <f>IF(D268="","",IF(L268&lt;=$B$16,1,IF(L268&gt;=$B$17,$B$21,MATCH(L268,Aux_CAV!$A$2:$A$121,1))))</f>
        <v/>
      </c>
      <c r="AC268" s="3" t="str">
        <f t="shared" si="21"/>
        <v/>
      </c>
    </row>
    <row r="269" ht="12.75" customHeight="1">
      <c r="A269" s="25" t="str">
        <f t="shared" si="1"/>
        <v/>
      </c>
      <c r="B269" s="29" t="str">
        <f t="array" ref="B269">IF(D269="","",IFERROR(VALUE(INDEX(Vazoes_COLAR!$A$2:$A$200,INT((ROW()-24)/12)+1)),""))</f>
        <v/>
      </c>
      <c r="C269" s="29" t="str">
        <f t="shared" si="2"/>
        <v/>
      </c>
      <c r="D269" s="26" t="str">
        <f t="array" ref="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9" s="26" t="str">
        <f t="shared" si="3"/>
        <v/>
      </c>
      <c r="F269" s="26" t="str">
        <f t="array" ref="F269">IF(D269="","",IFERROR(INDEX(Dados_Evap!$C$2:$N$15,MATCH($B$9,Dados_Evap!$A$2:$A$15,0),C269),0))</f>
        <v/>
      </c>
      <c r="G269" s="26" t="str">
        <f t="shared" si="4"/>
        <v/>
      </c>
      <c r="H269" s="26" t="str">
        <f t="shared" si="22"/>
        <v/>
      </c>
      <c r="I269" s="26" t="str">
        <f t="array" ref="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/>
      </c>
      <c r="J269" s="26" t="str">
        <f t="shared" si="5"/>
        <v/>
      </c>
      <c r="K269" s="26" t="str">
        <f t="shared" si="6"/>
        <v/>
      </c>
      <c r="L269" s="26" t="str">
        <f t="shared" si="7"/>
        <v/>
      </c>
      <c r="M269" s="26" t="str">
        <f t="array" ref="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/>
      </c>
      <c r="N269" s="26" t="str">
        <f t="shared" si="8"/>
        <v/>
      </c>
      <c r="O269" s="26" t="str">
        <f t="shared" si="9"/>
        <v/>
      </c>
      <c r="P269" s="26" t="str">
        <f t="shared" si="10"/>
        <v/>
      </c>
      <c r="Q269" s="26" t="str">
        <f t="shared" si="11"/>
        <v/>
      </c>
      <c r="R269" s="26" t="str">
        <f t="shared" si="12"/>
        <v/>
      </c>
      <c r="S269" s="26" t="str">
        <f t="shared" si="13"/>
        <v/>
      </c>
      <c r="T269" s="26" t="str">
        <f t="shared" si="14"/>
        <v/>
      </c>
      <c r="U269" s="26" t="str">
        <f t="shared" si="15"/>
        <v/>
      </c>
      <c r="V269" s="26" t="str">
        <f t="shared" si="16"/>
        <v/>
      </c>
      <c r="W269" s="26" t="str">
        <f t="shared" si="17"/>
        <v/>
      </c>
      <c r="X269" s="26" t="str">
        <f t="shared" si="18"/>
        <v/>
      </c>
      <c r="Y269" s="26" t="str">
        <f t="shared" si="19"/>
        <v/>
      </c>
      <c r="Z269" s="31" t="str">
        <f t="shared" si="20"/>
        <v/>
      </c>
      <c r="AA269" s="31" t="str">
        <f>IF(D269="","",IF(H269&lt;=$B$16,1,IF(H269&gt;=$B$17,$B$21,MATCH(H269,Aux_CAV!$A$2:$A$121,1))))</f>
        <v/>
      </c>
      <c r="AB269" s="31" t="str">
        <f>IF(D269="","",IF(L269&lt;=$B$16,1,IF(L269&gt;=$B$17,$B$21,MATCH(L269,Aux_CAV!$A$2:$A$121,1))))</f>
        <v/>
      </c>
      <c r="AC269" s="3" t="str">
        <f t="shared" si="21"/>
        <v/>
      </c>
    </row>
    <row r="270" ht="12.75" customHeight="1">
      <c r="A270" s="25" t="str">
        <f t="shared" si="1"/>
        <v/>
      </c>
      <c r="B270" s="29" t="str">
        <f t="array" ref="B270">IF(D270="","",IFERROR(VALUE(INDEX(Vazoes_COLAR!$A$2:$A$200,INT((ROW()-24)/12)+1)),""))</f>
        <v/>
      </c>
      <c r="C270" s="29" t="str">
        <f t="shared" si="2"/>
        <v/>
      </c>
      <c r="D270" s="26" t="str">
        <f t="array" ref="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0" s="26" t="str">
        <f t="shared" si="3"/>
        <v/>
      </c>
      <c r="F270" s="26" t="str">
        <f t="array" ref="F270">IF(D270="","",IFERROR(INDEX(Dados_Evap!$C$2:$N$15,MATCH($B$9,Dados_Evap!$A$2:$A$15,0),C270),0))</f>
        <v/>
      </c>
      <c r="G270" s="26" t="str">
        <f t="shared" si="4"/>
        <v/>
      </c>
      <c r="H270" s="26" t="str">
        <f t="shared" si="22"/>
        <v/>
      </c>
      <c r="I270" s="26" t="str">
        <f t="array" ref="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/>
      </c>
      <c r="J270" s="26" t="str">
        <f t="shared" si="5"/>
        <v/>
      </c>
      <c r="K270" s="26" t="str">
        <f t="shared" si="6"/>
        <v/>
      </c>
      <c r="L270" s="26" t="str">
        <f t="shared" si="7"/>
        <v/>
      </c>
      <c r="M270" s="26" t="str">
        <f t="array" ref="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/>
      </c>
      <c r="N270" s="26" t="str">
        <f t="shared" si="8"/>
        <v/>
      </c>
      <c r="O270" s="26" t="str">
        <f t="shared" si="9"/>
        <v/>
      </c>
      <c r="P270" s="26" t="str">
        <f t="shared" si="10"/>
        <v/>
      </c>
      <c r="Q270" s="26" t="str">
        <f t="shared" si="11"/>
        <v/>
      </c>
      <c r="R270" s="26" t="str">
        <f t="shared" si="12"/>
        <v/>
      </c>
      <c r="S270" s="26" t="str">
        <f t="shared" si="13"/>
        <v/>
      </c>
      <c r="T270" s="26" t="str">
        <f t="shared" si="14"/>
        <v/>
      </c>
      <c r="U270" s="26" t="str">
        <f t="shared" si="15"/>
        <v/>
      </c>
      <c r="V270" s="26" t="str">
        <f t="shared" si="16"/>
        <v/>
      </c>
      <c r="W270" s="26" t="str">
        <f t="shared" si="17"/>
        <v/>
      </c>
      <c r="X270" s="26" t="str">
        <f t="shared" si="18"/>
        <v/>
      </c>
      <c r="Y270" s="26" t="str">
        <f t="shared" si="19"/>
        <v/>
      </c>
      <c r="Z270" s="31" t="str">
        <f t="shared" si="20"/>
        <v/>
      </c>
      <c r="AA270" s="31" t="str">
        <f>IF(D270="","",IF(H270&lt;=$B$16,1,IF(H270&gt;=$B$17,$B$21,MATCH(H270,Aux_CAV!$A$2:$A$121,1))))</f>
        <v/>
      </c>
      <c r="AB270" s="31" t="str">
        <f>IF(D270="","",IF(L270&lt;=$B$16,1,IF(L270&gt;=$B$17,$B$21,MATCH(L270,Aux_CAV!$A$2:$A$121,1))))</f>
        <v/>
      </c>
      <c r="AC270" s="3" t="str">
        <f t="shared" si="21"/>
        <v/>
      </c>
    </row>
    <row r="271" ht="12.75" customHeight="1">
      <c r="A271" s="25" t="str">
        <f t="shared" si="1"/>
        <v/>
      </c>
      <c r="B271" s="29" t="str">
        <f t="array" ref="B271">IF(D271="","",IFERROR(VALUE(INDEX(Vazoes_COLAR!$A$2:$A$200,INT((ROW()-24)/12)+1)),""))</f>
        <v/>
      </c>
      <c r="C271" s="29" t="str">
        <f t="shared" si="2"/>
        <v/>
      </c>
      <c r="D271" s="26" t="str">
        <f t="array" ref="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1" s="26" t="str">
        <f t="shared" si="3"/>
        <v/>
      </c>
      <c r="F271" s="26" t="str">
        <f t="array" ref="F271">IF(D271="","",IFERROR(INDEX(Dados_Evap!$C$2:$N$15,MATCH($B$9,Dados_Evap!$A$2:$A$15,0),C271),0))</f>
        <v/>
      </c>
      <c r="G271" s="26" t="str">
        <f t="shared" si="4"/>
        <v/>
      </c>
      <c r="H271" s="26" t="str">
        <f t="shared" si="22"/>
        <v/>
      </c>
      <c r="I271" s="26" t="str">
        <f t="array" ref="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/>
      </c>
      <c r="J271" s="26" t="str">
        <f t="shared" si="5"/>
        <v/>
      </c>
      <c r="K271" s="26" t="str">
        <f t="shared" si="6"/>
        <v/>
      </c>
      <c r="L271" s="26" t="str">
        <f t="shared" si="7"/>
        <v/>
      </c>
      <c r="M271" s="26" t="str">
        <f t="array" ref="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/>
      </c>
      <c r="N271" s="26" t="str">
        <f t="shared" si="8"/>
        <v/>
      </c>
      <c r="O271" s="26" t="str">
        <f t="shared" si="9"/>
        <v/>
      </c>
      <c r="P271" s="26" t="str">
        <f t="shared" si="10"/>
        <v/>
      </c>
      <c r="Q271" s="26" t="str">
        <f t="shared" si="11"/>
        <v/>
      </c>
      <c r="R271" s="26" t="str">
        <f t="shared" si="12"/>
        <v/>
      </c>
      <c r="S271" s="26" t="str">
        <f t="shared" si="13"/>
        <v/>
      </c>
      <c r="T271" s="26" t="str">
        <f t="shared" si="14"/>
        <v/>
      </c>
      <c r="U271" s="26" t="str">
        <f t="shared" si="15"/>
        <v/>
      </c>
      <c r="V271" s="26" t="str">
        <f t="shared" si="16"/>
        <v/>
      </c>
      <c r="W271" s="26" t="str">
        <f t="shared" si="17"/>
        <v/>
      </c>
      <c r="X271" s="26" t="str">
        <f t="shared" si="18"/>
        <v/>
      </c>
      <c r="Y271" s="26" t="str">
        <f t="shared" si="19"/>
        <v/>
      </c>
      <c r="Z271" s="31" t="str">
        <f t="shared" si="20"/>
        <v/>
      </c>
      <c r="AA271" s="31" t="str">
        <f>IF(D271="","",IF(H271&lt;=$B$16,1,IF(H271&gt;=$B$17,$B$21,MATCH(H271,Aux_CAV!$A$2:$A$121,1))))</f>
        <v/>
      </c>
      <c r="AB271" s="31" t="str">
        <f>IF(D271="","",IF(L271&lt;=$B$16,1,IF(L271&gt;=$B$17,$B$21,MATCH(L271,Aux_CAV!$A$2:$A$121,1))))</f>
        <v/>
      </c>
      <c r="AC271" s="3" t="str">
        <f t="shared" si="21"/>
        <v/>
      </c>
    </row>
    <row r="272" ht="12.75" customHeight="1">
      <c r="A272" s="25" t="str">
        <f t="shared" si="1"/>
        <v/>
      </c>
      <c r="B272" s="29" t="str">
        <f t="array" ref="B272">IF(D272="","",IFERROR(VALUE(INDEX(Vazoes_COLAR!$A$2:$A$200,INT((ROW()-24)/12)+1)),""))</f>
        <v/>
      </c>
      <c r="C272" s="29" t="str">
        <f t="shared" si="2"/>
        <v/>
      </c>
      <c r="D272" s="26" t="str">
        <f t="array" ref="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2" s="26" t="str">
        <f t="shared" si="3"/>
        <v/>
      </c>
      <c r="F272" s="26" t="str">
        <f t="array" ref="F272">IF(D272="","",IFERROR(INDEX(Dados_Evap!$C$2:$N$15,MATCH($B$9,Dados_Evap!$A$2:$A$15,0),C272),0))</f>
        <v/>
      </c>
      <c r="G272" s="26" t="str">
        <f t="shared" si="4"/>
        <v/>
      </c>
      <c r="H272" s="26" t="str">
        <f t="shared" si="22"/>
        <v/>
      </c>
      <c r="I272" s="26" t="str">
        <f t="array" ref="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/>
      </c>
      <c r="J272" s="26" t="str">
        <f t="shared" si="5"/>
        <v/>
      </c>
      <c r="K272" s="26" t="str">
        <f t="shared" si="6"/>
        <v/>
      </c>
      <c r="L272" s="26" t="str">
        <f t="shared" si="7"/>
        <v/>
      </c>
      <c r="M272" s="26" t="str">
        <f t="array" ref="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/>
      </c>
      <c r="N272" s="26" t="str">
        <f t="shared" si="8"/>
        <v/>
      </c>
      <c r="O272" s="26" t="str">
        <f t="shared" si="9"/>
        <v/>
      </c>
      <c r="P272" s="26" t="str">
        <f t="shared" si="10"/>
        <v/>
      </c>
      <c r="Q272" s="26" t="str">
        <f t="shared" si="11"/>
        <v/>
      </c>
      <c r="R272" s="26" t="str">
        <f t="shared" si="12"/>
        <v/>
      </c>
      <c r="S272" s="26" t="str">
        <f t="shared" si="13"/>
        <v/>
      </c>
      <c r="T272" s="26" t="str">
        <f t="shared" si="14"/>
        <v/>
      </c>
      <c r="U272" s="26" t="str">
        <f t="shared" si="15"/>
        <v/>
      </c>
      <c r="V272" s="26" t="str">
        <f t="shared" si="16"/>
        <v/>
      </c>
      <c r="W272" s="26" t="str">
        <f t="shared" si="17"/>
        <v/>
      </c>
      <c r="X272" s="26" t="str">
        <f t="shared" si="18"/>
        <v/>
      </c>
      <c r="Y272" s="26" t="str">
        <f t="shared" si="19"/>
        <v/>
      </c>
      <c r="Z272" s="31" t="str">
        <f t="shared" si="20"/>
        <v/>
      </c>
      <c r="AA272" s="31" t="str">
        <f>IF(D272="","",IF(H272&lt;=$B$16,1,IF(H272&gt;=$B$17,$B$21,MATCH(H272,Aux_CAV!$A$2:$A$121,1))))</f>
        <v/>
      </c>
      <c r="AB272" s="31" t="str">
        <f>IF(D272="","",IF(L272&lt;=$B$16,1,IF(L272&gt;=$B$17,$B$21,MATCH(L272,Aux_CAV!$A$2:$A$121,1))))</f>
        <v/>
      </c>
      <c r="AC272" s="3" t="str">
        <f t="shared" si="21"/>
        <v/>
      </c>
    </row>
    <row r="273" ht="12.75" customHeight="1">
      <c r="A273" s="25" t="str">
        <f t="shared" si="1"/>
        <v/>
      </c>
      <c r="B273" s="29" t="str">
        <f t="array" ref="B273">IF(D273="","",IFERROR(VALUE(INDEX(Vazoes_COLAR!$A$2:$A$200,INT((ROW()-24)/12)+1)),""))</f>
        <v/>
      </c>
      <c r="C273" s="29" t="str">
        <f t="shared" si="2"/>
        <v/>
      </c>
      <c r="D273" s="26" t="str">
        <f t="array" ref="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3" s="26" t="str">
        <f t="shared" si="3"/>
        <v/>
      </c>
      <c r="F273" s="26" t="str">
        <f t="array" ref="F273">IF(D273="","",IFERROR(INDEX(Dados_Evap!$C$2:$N$15,MATCH($B$9,Dados_Evap!$A$2:$A$15,0),C273),0))</f>
        <v/>
      </c>
      <c r="G273" s="26" t="str">
        <f t="shared" si="4"/>
        <v/>
      </c>
      <c r="H273" s="26" t="str">
        <f t="shared" si="22"/>
        <v/>
      </c>
      <c r="I273" s="26" t="str">
        <f t="array" ref="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/>
      </c>
      <c r="J273" s="26" t="str">
        <f t="shared" si="5"/>
        <v/>
      </c>
      <c r="K273" s="26" t="str">
        <f t="shared" si="6"/>
        <v/>
      </c>
      <c r="L273" s="26" t="str">
        <f t="shared" si="7"/>
        <v/>
      </c>
      <c r="M273" s="26" t="str">
        <f t="array" ref="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/>
      </c>
      <c r="N273" s="26" t="str">
        <f t="shared" si="8"/>
        <v/>
      </c>
      <c r="O273" s="26" t="str">
        <f t="shared" si="9"/>
        <v/>
      </c>
      <c r="P273" s="26" t="str">
        <f t="shared" si="10"/>
        <v/>
      </c>
      <c r="Q273" s="26" t="str">
        <f t="shared" si="11"/>
        <v/>
      </c>
      <c r="R273" s="26" t="str">
        <f t="shared" si="12"/>
        <v/>
      </c>
      <c r="S273" s="26" t="str">
        <f t="shared" si="13"/>
        <v/>
      </c>
      <c r="T273" s="26" t="str">
        <f t="shared" si="14"/>
        <v/>
      </c>
      <c r="U273" s="26" t="str">
        <f t="shared" si="15"/>
        <v/>
      </c>
      <c r="V273" s="26" t="str">
        <f t="shared" si="16"/>
        <v/>
      </c>
      <c r="W273" s="26" t="str">
        <f t="shared" si="17"/>
        <v/>
      </c>
      <c r="X273" s="26" t="str">
        <f t="shared" si="18"/>
        <v/>
      </c>
      <c r="Y273" s="26" t="str">
        <f t="shared" si="19"/>
        <v/>
      </c>
      <c r="Z273" s="31" t="str">
        <f t="shared" si="20"/>
        <v/>
      </c>
      <c r="AA273" s="31" t="str">
        <f>IF(D273="","",IF(H273&lt;=$B$16,1,IF(H273&gt;=$B$17,$B$21,MATCH(H273,Aux_CAV!$A$2:$A$121,1))))</f>
        <v/>
      </c>
      <c r="AB273" s="31" t="str">
        <f>IF(D273="","",IF(L273&lt;=$B$16,1,IF(L273&gt;=$B$17,$B$21,MATCH(L273,Aux_CAV!$A$2:$A$121,1))))</f>
        <v/>
      </c>
      <c r="AC273" s="3" t="str">
        <f t="shared" si="21"/>
        <v/>
      </c>
    </row>
    <row r="274" ht="12.75" customHeight="1">
      <c r="A274" s="25" t="str">
        <f t="shared" si="1"/>
        <v/>
      </c>
      <c r="B274" s="29" t="str">
        <f t="array" ref="B274">IF(D274="","",IFERROR(VALUE(INDEX(Vazoes_COLAR!$A$2:$A$200,INT((ROW()-24)/12)+1)),""))</f>
        <v/>
      </c>
      <c r="C274" s="29" t="str">
        <f t="shared" si="2"/>
        <v/>
      </c>
      <c r="D274" s="26" t="str">
        <f t="array" ref="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4" s="26" t="str">
        <f t="shared" si="3"/>
        <v/>
      </c>
      <c r="F274" s="26" t="str">
        <f t="array" ref="F274">IF(D274="","",IFERROR(INDEX(Dados_Evap!$C$2:$N$15,MATCH($B$9,Dados_Evap!$A$2:$A$15,0),C274),0))</f>
        <v/>
      </c>
      <c r="G274" s="26" t="str">
        <f t="shared" si="4"/>
        <v/>
      </c>
      <c r="H274" s="26" t="str">
        <f t="shared" si="22"/>
        <v/>
      </c>
      <c r="I274" s="26" t="str">
        <f t="array" ref="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/>
      </c>
      <c r="J274" s="26" t="str">
        <f t="shared" si="5"/>
        <v/>
      </c>
      <c r="K274" s="26" t="str">
        <f t="shared" si="6"/>
        <v/>
      </c>
      <c r="L274" s="26" t="str">
        <f t="shared" si="7"/>
        <v/>
      </c>
      <c r="M274" s="26" t="str">
        <f t="array" ref="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/>
      </c>
      <c r="N274" s="26" t="str">
        <f t="shared" si="8"/>
        <v/>
      </c>
      <c r="O274" s="26" t="str">
        <f t="shared" si="9"/>
        <v/>
      </c>
      <c r="P274" s="26" t="str">
        <f t="shared" si="10"/>
        <v/>
      </c>
      <c r="Q274" s="26" t="str">
        <f t="shared" si="11"/>
        <v/>
      </c>
      <c r="R274" s="26" t="str">
        <f t="shared" si="12"/>
        <v/>
      </c>
      <c r="S274" s="26" t="str">
        <f t="shared" si="13"/>
        <v/>
      </c>
      <c r="T274" s="26" t="str">
        <f t="shared" si="14"/>
        <v/>
      </c>
      <c r="U274" s="26" t="str">
        <f t="shared" si="15"/>
        <v/>
      </c>
      <c r="V274" s="26" t="str">
        <f t="shared" si="16"/>
        <v/>
      </c>
      <c r="W274" s="26" t="str">
        <f t="shared" si="17"/>
        <v/>
      </c>
      <c r="X274" s="26" t="str">
        <f t="shared" si="18"/>
        <v/>
      </c>
      <c r="Y274" s="26" t="str">
        <f t="shared" si="19"/>
        <v/>
      </c>
      <c r="Z274" s="31" t="str">
        <f t="shared" si="20"/>
        <v/>
      </c>
      <c r="AA274" s="31" t="str">
        <f>IF(D274="","",IF(H274&lt;=$B$16,1,IF(H274&gt;=$B$17,$B$21,MATCH(H274,Aux_CAV!$A$2:$A$121,1))))</f>
        <v/>
      </c>
      <c r="AB274" s="31" t="str">
        <f>IF(D274="","",IF(L274&lt;=$B$16,1,IF(L274&gt;=$B$17,$B$21,MATCH(L274,Aux_CAV!$A$2:$A$121,1))))</f>
        <v/>
      </c>
      <c r="AC274" s="3" t="str">
        <f t="shared" si="21"/>
        <v/>
      </c>
    </row>
    <row r="275" ht="12.75" customHeight="1">
      <c r="A275" s="25" t="str">
        <f t="shared" si="1"/>
        <v/>
      </c>
      <c r="B275" s="29" t="str">
        <f t="array" ref="B275">IF(D275="","",IFERROR(VALUE(INDEX(Vazoes_COLAR!$A$2:$A$200,INT((ROW()-24)/12)+1)),""))</f>
        <v/>
      </c>
      <c r="C275" s="29" t="str">
        <f t="shared" si="2"/>
        <v/>
      </c>
      <c r="D275" s="26" t="str">
        <f t="array" ref="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5" s="26" t="str">
        <f t="shared" si="3"/>
        <v/>
      </c>
      <c r="F275" s="26" t="str">
        <f t="array" ref="F275">IF(D275="","",IFERROR(INDEX(Dados_Evap!$C$2:$N$15,MATCH($B$9,Dados_Evap!$A$2:$A$15,0),C275),0))</f>
        <v/>
      </c>
      <c r="G275" s="26" t="str">
        <f t="shared" si="4"/>
        <v/>
      </c>
      <c r="H275" s="26" t="str">
        <f t="shared" si="22"/>
        <v/>
      </c>
      <c r="I275" s="26" t="str">
        <f t="array" ref="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/>
      </c>
      <c r="J275" s="26" t="str">
        <f t="shared" si="5"/>
        <v/>
      </c>
      <c r="K275" s="26" t="str">
        <f t="shared" si="6"/>
        <v/>
      </c>
      <c r="L275" s="26" t="str">
        <f t="shared" si="7"/>
        <v/>
      </c>
      <c r="M275" s="26" t="str">
        <f t="array" ref="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/>
      </c>
      <c r="N275" s="26" t="str">
        <f t="shared" si="8"/>
        <v/>
      </c>
      <c r="O275" s="26" t="str">
        <f t="shared" si="9"/>
        <v/>
      </c>
      <c r="P275" s="26" t="str">
        <f t="shared" si="10"/>
        <v/>
      </c>
      <c r="Q275" s="26" t="str">
        <f t="shared" si="11"/>
        <v/>
      </c>
      <c r="R275" s="26" t="str">
        <f t="shared" si="12"/>
        <v/>
      </c>
      <c r="S275" s="26" t="str">
        <f t="shared" si="13"/>
        <v/>
      </c>
      <c r="T275" s="26" t="str">
        <f t="shared" si="14"/>
        <v/>
      </c>
      <c r="U275" s="26" t="str">
        <f t="shared" si="15"/>
        <v/>
      </c>
      <c r="V275" s="26" t="str">
        <f t="shared" si="16"/>
        <v/>
      </c>
      <c r="W275" s="26" t="str">
        <f t="shared" si="17"/>
        <v/>
      </c>
      <c r="X275" s="26" t="str">
        <f t="shared" si="18"/>
        <v/>
      </c>
      <c r="Y275" s="26" t="str">
        <f t="shared" si="19"/>
        <v/>
      </c>
      <c r="Z275" s="31" t="str">
        <f t="shared" si="20"/>
        <v/>
      </c>
      <c r="AA275" s="31" t="str">
        <f>IF(D275="","",IF(H275&lt;=$B$16,1,IF(H275&gt;=$B$17,$B$21,MATCH(H275,Aux_CAV!$A$2:$A$121,1))))</f>
        <v/>
      </c>
      <c r="AB275" s="31" t="str">
        <f>IF(D275="","",IF(L275&lt;=$B$16,1,IF(L275&gt;=$B$17,$B$21,MATCH(L275,Aux_CAV!$A$2:$A$121,1))))</f>
        <v/>
      </c>
      <c r="AC275" s="3" t="str">
        <f t="shared" si="21"/>
        <v/>
      </c>
    </row>
    <row r="276" ht="12.75" customHeight="1">
      <c r="A276" s="25" t="str">
        <f t="shared" si="1"/>
        <v/>
      </c>
      <c r="B276" s="29" t="str">
        <f t="array" ref="B276">IF(D276="","",IFERROR(VALUE(INDEX(Vazoes_COLAR!$A$2:$A$200,INT((ROW()-24)/12)+1)),""))</f>
        <v/>
      </c>
      <c r="C276" s="29" t="str">
        <f t="shared" si="2"/>
        <v/>
      </c>
      <c r="D276" s="26" t="str">
        <f t="array" ref="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6" s="26" t="str">
        <f t="shared" si="3"/>
        <v/>
      </c>
      <c r="F276" s="26" t="str">
        <f t="array" ref="F276">IF(D276="","",IFERROR(INDEX(Dados_Evap!$C$2:$N$15,MATCH($B$9,Dados_Evap!$A$2:$A$15,0),C276),0))</f>
        <v/>
      </c>
      <c r="G276" s="26" t="str">
        <f t="shared" si="4"/>
        <v/>
      </c>
      <c r="H276" s="26" t="str">
        <f t="shared" si="22"/>
        <v/>
      </c>
      <c r="I276" s="26" t="str">
        <f t="array" ref="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/>
      </c>
      <c r="J276" s="26" t="str">
        <f t="shared" si="5"/>
        <v/>
      </c>
      <c r="K276" s="26" t="str">
        <f t="shared" si="6"/>
        <v/>
      </c>
      <c r="L276" s="26" t="str">
        <f t="shared" si="7"/>
        <v/>
      </c>
      <c r="M276" s="26" t="str">
        <f t="array" ref="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/>
      </c>
      <c r="N276" s="26" t="str">
        <f t="shared" si="8"/>
        <v/>
      </c>
      <c r="O276" s="26" t="str">
        <f t="shared" si="9"/>
        <v/>
      </c>
      <c r="P276" s="26" t="str">
        <f t="shared" si="10"/>
        <v/>
      </c>
      <c r="Q276" s="26" t="str">
        <f t="shared" si="11"/>
        <v/>
      </c>
      <c r="R276" s="26" t="str">
        <f t="shared" si="12"/>
        <v/>
      </c>
      <c r="S276" s="26" t="str">
        <f t="shared" si="13"/>
        <v/>
      </c>
      <c r="T276" s="26" t="str">
        <f t="shared" si="14"/>
        <v/>
      </c>
      <c r="U276" s="26" t="str">
        <f t="shared" si="15"/>
        <v/>
      </c>
      <c r="V276" s="26" t="str">
        <f t="shared" si="16"/>
        <v/>
      </c>
      <c r="W276" s="26" t="str">
        <f t="shared" si="17"/>
        <v/>
      </c>
      <c r="X276" s="26" t="str">
        <f t="shared" si="18"/>
        <v/>
      </c>
      <c r="Y276" s="26" t="str">
        <f t="shared" si="19"/>
        <v/>
      </c>
      <c r="Z276" s="31" t="str">
        <f t="shared" si="20"/>
        <v/>
      </c>
      <c r="AA276" s="31" t="str">
        <f>IF(D276="","",IF(H276&lt;=$B$16,1,IF(H276&gt;=$B$17,$B$21,MATCH(H276,Aux_CAV!$A$2:$A$121,1))))</f>
        <v/>
      </c>
      <c r="AB276" s="31" t="str">
        <f>IF(D276="","",IF(L276&lt;=$B$16,1,IF(L276&gt;=$B$17,$B$21,MATCH(L276,Aux_CAV!$A$2:$A$121,1))))</f>
        <v/>
      </c>
      <c r="AC276" s="3" t="str">
        <f t="shared" si="21"/>
        <v/>
      </c>
    </row>
    <row r="277" ht="12.75" customHeight="1">
      <c r="A277" s="25" t="str">
        <f t="shared" si="1"/>
        <v/>
      </c>
      <c r="B277" s="29" t="str">
        <f t="array" ref="B277">IF(D277="","",IFERROR(VALUE(INDEX(Vazoes_COLAR!$A$2:$A$200,INT((ROW()-24)/12)+1)),""))</f>
        <v/>
      </c>
      <c r="C277" s="29" t="str">
        <f t="shared" si="2"/>
        <v/>
      </c>
      <c r="D277" s="26" t="str">
        <f t="array" ref="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7" s="26" t="str">
        <f t="shared" si="3"/>
        <v/>
      </c>
      <c r="F277" s="26" t="str">
        <f t="array" ref="F277">IF(D277="","",IFERROR(INDEX(Dados_Evap!$C$2:$N$15,MATCH($B$9,Dados_Evap!$A$2:$A$15,0),C277),0))</f>
        <v/>
      </c>
      <c r="G277" s="26" t="str">
        <f t="shared" si="4"/>
        <v/>
      </c>
      <c r="H277" s="26" t="str">
        <f t="shared" si="22"/>
        <v/>
      </c>
      <c r="I277" s="26" t="str">
        <f t="array" ref="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/>
      </c>
      <c r="J277" s="26" t="str">
        <f t="shared" si="5"/>
        <v/>
      </c>
      <c r="K277" s="26" t="str">
        <f t="shared" si="6"/>
        <v/>
      </c>
      <c r="L277" s="26" t="str">
        <f t="shared" si="7"/>
        <v/>
      </c>
      <c r="M277" s="26" t="str">
        <f t="array" ref="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/>
      </c>
      <c r="N277" s="26" t="str">
        <f t="shared" si="8"/>
        <v/>
      </c>
      <c r="O277" s="26" t="str">
        <f t="shared" si="9"/>
        <v/>
      </c>
      <c r="P277" s="26" t="str">
        <f t="shared" si="10"/>
        <v/>
      </c>
      <c r="Q277" s="26" t="str">
        <f t="shared" si="11"/>
        <v/>
      </c>
      <c r="R277" s="26" t="str">
        <f t="shared" si="12"/>
        <v/>
      </c>
      <c r="S277" s="26" t="str">
        <f t="shared" si="13"/>
        <v/>
      </c>
      <c r="T277" s="26" t="str">
        <f t="shared" si="14"/>
        <v/>
      </c>
      <c r="U277" s="26" t="str">
        <f t="shared" si="15"/>
        <v/>
      </c>
      <c r="V277" s="26" t="str">
        <f t="shared" si="16"/>
        <v/>
      </c>
      <c r="W277" s="26" t="str">
        <f t="shared" si="17"/>
        <v/>
      </c>
      <c r="X277" s="26" t="str">
        <f t="shared" si="18"/>
        <v/>
      </c>
      <c r="Y277" s="26" t="str">
        <f t="shared" si="19"/>
        <v/>
      </c>
      <c r="Z277" s="31" t="str">
        <f t="shared" si="20"/>
        <v/>
      </c>
      <c r="AA277" s="31" t="str">
        <f>IF(D277="","",IF(H277&lt;=$B$16,1,IF(H277&gt;=$B$17,$B$21,MATCH(H277,Aux_CAV!$A$2:$A$121,1))))</f>
        <v/>
      </c>
      <c r="AB277" s="31" t="str">
        <f>IF(D277="","",IF(L277&lt;=$B$16,1,IF(L277&gt;=$B$17,$B$21,MATCH(L277,Aux_CAV!$A$2:$A$121,1))))</f>
        <v/>
      </c>
      <c r="AC277" s="3" t="str">
        <f t="shared" si="21"/>
        <v/>
      </c>
    </row>
    <row r="278" ht="12.75" customHeight="1">
      <c r="A278" s="25" t="str">
        <f t="shared" si="1"/>
        <v/>
      </c>
      <c r="B278" s="29" t="str">
        <f t="array" ref="B278">IF(D278="","",IFERROR(VALUE(INDEX(Vazoes_COLAR!$A$2:$A$200,INT((ROW()-24)/12)+1)),""))</f>
        <v/>
      </c>
      <c r="C278" s="29" t="str">
        <f t="shared" si="2"/>
        <v/>
      </c>
      <c r="D278" s="26" t="str">
        <f t="array" ref="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8" s="26" t="str">
        <f t="shared" si="3"/>
        <v/>
      </c>
      <c r="F278" s="26" t="str">
        <f t="array" ref="F278">IF(D278="","",IFERROR(INDEX(Dados_Evap!$C$2:$N$15,MATCH($B$9,Dados_Evap!$A$2:$A$15,0),C278),0))</f>
        <v/>
      </c>
      <c r="G278" s="26" t="str">
        <f t="shared" si="4"/>
        <v/>
      </c>
      <c r="H278" s="26" t="str">
        <f t="shared" si="22"/>
        <v/>
      </c>
      <c r="I278" s="26" t="str">
        <f t="array" ref="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/>
      </c>
      <c r="J278" s="26" t="str">
        <f t="shared" si="5"/>
        <v/>
      </c>
      <c r="K278" s="26" t="str">
        <f t="shared" si="6"/>
        <v/>
      </c>
      <c r="L278" s="26" t="str">
        <f t="shared" si="7"/>
        <v/>
      </c>
      <c r="M278" s="26" t="str">
        <f t="array" ref="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/>
      </c>
      <c r="N278" s="26" t="str">
        <f t="shared" si="8"/>
        <v/>
      </c>
      <c r="O278" s="26" t="str">
        <f t="shared" si="9"/>
        <v/>
      </c>
      <c r="P278" s="26" t="str">
        <f t="shared" si="10"/>
        <v/>
      </c>
      <c r="Q278" s="26" t="str">
        <f t="shared" si="11"/>
        <v/>
      </c>
      <c r="R278" s="26" t="str">
        <f t="shared" si="12"/>
        <v/>
      </c>
      <c r="S278" s="26" t="str">
        <f t="shared" si="13"/>
        <v/>
      </c>
      <c r="T278" s="26" t="str">
        <f t="shared" si="14"/>
        <v/>
      </c>
      <c r="U278" s="26" t="str">
        <f t="shared" si="15"/>
        <v/>
      </c>
      <c r="V278" s="26" t="str">
        <f t="shared" si="16"/>
        <v/>
      </c>
      <c r="W278" s="26" t="str">
        <f t="shared" si="17"/>
        <v/>
      </c>
      <c r="X278" s="26" t="str">
        <f t="shared" si="18"/>
        <v/>
      </c>
      <c r="Y278" s="26" t="str">
        <f t="shared" si="19"/>
        <v/>
      </c>
      <c r="Z278" s="31" t="str">
        <f t="shared" si="20"/>
        <v/>
      </c>
      <c r="AA278" s="31" t="str">
        <f>IF(D278="","",IF(H278&lt;=$B$16,1,IF(H278&gt;=$B$17,$B$21,MATCH(H278,Aux_CAV!$A$2:$A$121,1))))</f>
        <v/>
      </c>
      <c r="AB278" s="31" t="str">
        <f>IF(D278="","",IF(L278&lt;=$B$16,1,IF(L278&gt;=$B$17,$B$21,MATCH(L278,Aux_CAV!$A$2:$A$121,1))))</f>
        <v/>
      </c>
      <c r="AC278" s="3" t="str">
        <f t="shared" si="21"/>
        <v/>
      </c>
    </row>
    <row r="279" ht="12.75" customHeight="1">
      <c r="A279" s="25" t="str">
        <f t="shared" si="1"/>
        <v/>
      </c>
      <c r="B279" s="29" t="str">
        <f t="array" ref="B279">IF(D279="","",IFERROR(VALUE(INDEX(Vazoes_COLAR!$A$2:$A$200,INT((ROW()-24)/12)+1)),""))</f>
        <v/>
      </c>
      <c r="C279" s="29" t="str">
        <f t="shared" si="2"/>
        <v/>
      </c>
      <c r="D279" s="26" t="str">
        <f t="array" ref="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9" s="26" t="str">
        <f t="shared" si="3"/>
        <v/>
      </c>
      <c r="F279" s="26" t="str">
        <f t="array" ref="F279">IF(D279="","",IFERROR(INDEX(Dados_Evap!$C$2:$N$15,MATCH($B$9,Dados_Evap!$A$2:$A$15,0),C279),0))</f>
        <v/>
      </c>
      <c r="G279" s="26" t="str">
        <f t="shared" si="4"/>
        <v/>
      </c>
      <c r="H279" s="26" t="str">
        <f t="shared" si="22"/>
        <v/>
      </c>
      <c r="I279" s="26" t="str">
        <f t="array" ref="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/>
      </c>
      <c r="J279" s="26" t="str">
        <f t="shared" si="5"/>
        <v/>
      </c>
      <c r="K279" s="26" t="str">
        <f t="shared" si="6"/>
        <v/>
      </c>
      <c r="L279" s="26" t="str">
        <f t="shared" si="7"/>
        <v/>
      </c>
      <c r="M279" s="26" t="str">
        <f t="array" ref="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/>
      </c>
      <c r="N279" s="26" t="str">
        <f t="shared" si="8"/>
        <v/>
      </c>
      <c r="O279" s="26" t="str">
        <f t="shared" si="9"/>
        <v/>
      </c>
      <c r="P279" s="26" t="str">
        <f t="shared" si="10"/>
        <v/>
      </c>
      <c r="Q279" s="26" t="str">
        <f t="shared" si="11"/>
        <v/>
      </c>
      <c r="R279" s="26" t="str">
        <f t="shared" si="12"/>
        <v/>
      </c>
      <c r="S279" s="26" t="str">
        <f t="shared" si="13"/>
        <v/>
      </c>
      <c r="T279" s="26" t="str">
        <f t="shared" si="14"/>
        <v/>
      </c>
      <c r="U279" s="26" t="str">
        <f t="shared" si="15"/>
        <v/>
      </c>
      <c r="V279" s="26" t="str">
        <f t="shared" si="16"/>
        <v/>
      </c>
      <c r="W279" s="26" t="str">
        <f t="shared" si="17"/>
        <v/>
      </c>
      <c r="X279" s="26" t="str">
        <f t="shared" si="18"/>
        <v/>
      </c>
      <c r="Y279" s="26" t="str">
        <f t="shared" si="19"/>
        <v/>
      </c>
      <c r="Z279" s="31" t="str">
        <f t="shared" si="20"/>
        <v/>
      </c>
      <c r="AA279" s="31" t="str">
        <f>IF(D279="","",IF(H279&lt;=$B$16,1,IF(H279&gt;=$B$17,$B$21,MATCH(H279,Aux_CAV!$A$2:$A$121,1))))</f>
        <v/>
      </c>
      <c r="AB279" s="31" t="str">
        <f>IF(D279="","",IF(L279&lt;=$B$16,1,IF(L279&gt;=$B$17,$B$21,MATCH(L279,Aux_CAV!$A$2:$A$121,1))))</f>
        <v/>
      </c>
      <c r="AC279" s="3" t="str">
        <f t="shared" si="21"/>
        <v/>
      </c>
    </row>
    <row r="280" ht="12.75" customHeight="1">
      <c r="A280" s="25" t="str">
        <f t="shared" si="1"/>
        <v/>
      </c>
      <c r="B280" s="29" t="str">
        <f t="array" ref="B280">IF(D280="","",IFERROR(VALUE(INDEX(Vazoes_COLAR!$A$2:$A$200,INT((ROW()-24)/12)+1)),""))</f>
        <v/>
      </c>
      <c r="C280" s="29" t="str">
        <f t="shared" si="2"/>
        <v/>
      </c>
      <c r="D280" s="26" t="str">
        <f t="array" ref="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0" s="26" t="str">
        <f t="shared" si="3"/>
        <v/>
      </c>
      <c r="F280" s="26" t="str">
        <f t="array" ref="F280">IF(D280="","",IFERROR(INDEX(Dados_Evap!$C$2:$N$15,MATCH($B$9,Dados_Evap!$A$2:$A$15,0),C280),0))</f>
        <v/>
      </c>
      <c r="G280" s="26" t="str">
        <f t="shared" si="4"/>
        <v/>
      </c>
      <c r="H280" s="26" t="str">
        <f t="shared" si="22"/>
        <v/>
      </c>
      <c r="I280" s="26" t="str">
        <f t="array" ref="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/>
      </c>
      <c r="J280" s="26" t="str">
        <f t="shared" si="5"/>
        <v/>
      </c>
      <c r="K280" s="26" t="str">
        <f t="shared" si="6"/>
        <v/>
      </c>
      <c r="L280" s="26" t="str">
        <f t="shared" si="7"/>
        <v/>
      </c>
      <c r="M280" s="26" t="str">
        <f t="array" ref="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/>
      </c>
      <c r="N280" s="26" t="str">
        <f t="shared" si="8"/>
        <v/>
      </c>
      <c r="O280" s="26" t="str">
        <f t="shared" si="9"/>
        <v/>
      </c>
      <c r="P280" s="26" t="str">
        <f t="shared" si="10"/>
        <v/>
      </c>
      <c r="Q280" s="26" t="str">
        <f t="shared" si="11"/>
        <v/>
      </c>
      <c r="R280" s="26" t="str">
        <f t="shared" si="12"/>
        <v/>
      </c>
      <c r="S280" s="26" t="str">
        <f t="shared" si="13"/>
        <v/>
      </c>
      <c r="T280" s="26" t="str">
        <f t="shared" si="14"/>
        <v/>
      </c>
      <c r="U280" s="26" t="str">
        <f t="shared" si="15"/>
        <v/>
      </c>
      <c r="V280" s="26" t="str">
        <f t="shared" si="16"/>
        <v/>
      </c>
      <c r="W280" s="26" t="str">
        <f t="shared" si="17"/>
        <v/>
      </c>
      <c r="X280" s="26" t="str">
        <f t="shared" si="18"/>
        <v/>
      </c>
      <c r="Y280" s="26" t="str">
        <f t="shared" si="19"/>
        <v/>
      </c>
      <c r="Z280" s="31" t="str">
        <f t="shared" si="20"/>
        <v/>
      </c>
      <c r="AA280" s="31" t="str">
        <f>IF(D280="","",IF(H280&lt;=$B$16,1,IF(H280&gt;=$B$17,$B$21,MATCH(H280,Aux_CAV!$A$2:$A$121,1))))</f>
        <v/>
      </c>
      <c r="AB280" s="31" t="str">
        <f>IF(D280="","",IF(L280&lt;=$B$16,1,IF(L280&gt;=$B$17,$B$21,MATCH(L280,Aux_CAV!$A$2:$A$121,1))))</f>
        <v/>
      </c>
      <c r="AC280" s="3" t="str">
        <f t="shared" si="21"/>
        <v/>
      </c>
    </row>
    <row r="281" ht="12.75" customHeight="1">
      <c r="A281" s="25" t="str">
        <f t="shared" si="1"/>
        <v/>
      </c>
      <c r="B281" s="29" t="str">
        <f t="array" ref="B281">IF(D281="","",IFERROR(VALUE(INDEX(Vazoes_COLAR!$A$2:$A$200,INT((ROW()-24)/12)+1)),""))</f>
        <v/>
      </c>
      <c r="C281" s="29" t="str">
        <f t="shared" si="2"/>
        <v/>
      </c>
      <c r="D281" s="26" t="str">
        <f t="array" ref="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1" s="26" t="str">
        <f t="shared" si="3"/>
        <v/>
      </c>
      <c r="F281" s="26" t="str">
        <f t="array" ref="F281">IF(D281="","",IFERROR(INDEX(Dados_Evap!$C$2:$N$15,MATCH($B$9,Dados_Evap!$A$2:$A$15,0),C281),0))</f>
        <v/>
      </c>
      <c r="G281" s="26" t="str">
        <f t="shared" si="4"/>
        <v/>
      </c>
      <c r="H281" s="26" t="str">
        <f t="shared" si="22"/>
        <v/>
      </c>
      <c r="I281" s="26" t="str">
        <f t="array" ref="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/>
      </c>
      <c r="J281" s="26" t="str">
        <f t="shared" si="5"/>
        <v/>
      </c>
      <c r="K281" s="26" t="str">
        <f t="shared" si="6"/>
        <v/>
      </c>
      <c r="L281" s="26" t="str">
        <f t="shared" si="7"/>
        <v/>
      </c>
      <c r="M281" s="26" t="str">
        <f t="array" ref="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/>
      </c>
      <c r="N281" s="26" t="str">
        <f t="shared" si="8"/>
        <v/>
      </c>
      <c r="O281" s="26" t="str">
        <f t="shared" si="9"/>
        <v/>
      </c>
      <c r="P281" s="26" t="str">
        <f t="shared" si="10"/>
        <v/>
      </c>
      <c r="Q281" s="26" t="str">
        <f t="shared" si="11"/>
        <v/>
      </c>
      <c r="R281" s="26" t="str">
        <f t="shared" si="12"/>
        <v/>
      </c>
      <c r="S281" s="26" t="str">
        <f t="shared" si="13"/>
        <v/>
      </c>
      <c r="T281" s="26" t="str">
        <f t="shared" si="14"/>
        <v/>
      </c>
      <c r="U281" s="26" t="str">
        <f t="shared" si="15"/>
        <v/>
      </c>
      <c r="V281" s="26" t="str">
        <f t="shared" si="16"/>
        <v/>
      </c>
      <c r="W281" s="26" t="str">
        <f t="shared" si="17"/>
        <v/>
      </c>
      <c r="X281" s="26" t="str">
        <f t="shared" si="18"/>
        <v/>
      </c>
      <c r="Y281" s="26" t="str">
        <f t="shared" si="19"/>
        <v/>
      </c>
      <c r="Z281" s="31" t="str">
        <f t="shared" si="20"/>
        <v/>
      </c>
      <c r="AA281" s="31" t="str">
        <f>IF(D281="","",IF(H281&lt;=$B$16,1,IF(H281&gt;=$B$17,$B$21,MATCH(H281,Aux_CAV!$A$2:$A$121,1))))</f>
        <v/>
      </c>
      <c r="AB281" s="31" t="str">
        <f>IF(D281="","",IF(L281&lt;=$B$16,1,IF(L281&gt;=$B$17,$B$21,MATCH(L281,Aux_CAV!$A$2:$A$121,1))))</f>
        <v/>
      </c>
      <c r="AC281" s="3" t="str">
        <f t="shared" si="21"/>
        <v/>
      </c>
    </row>
    <row r="282" ht="12.75" customHeight="1">
      <c r="A282" s="25" t="str">
        <f t="shared" si="1"/>
        <v/>
      </c>
      <c r="B282" s="29" t="str">
        <f t="array" ref="B282">IF(D282="","",IFERROR(VALUE(INDEX(Vazoes_COLAR!$A$2:$A$200,INT((ROW()-24)/12)+1)),""))</f>
        <v/>
      </c>
      <c r="C282" s="29" t="str">
        <f t="shared" si="2"/>
        <v/>
      </c>
      <c r="D282" s="26" t="str">
        <f t="array" ref="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2" s="26" t="str">
        <f t="shared" si="3"/>
        <v/>
      </c>
      <c r="F282" s="26" t="str">
        <f t="array" ref="F282">IF(D282="","",IFERROR(INDEX(Dados_Evap!$C$2:$N$15,MATCH($B$9,Dados_Evap!$A$2:$A$15,0),C282),0))</f>
        <v/>
      </c>
      <c r="G282" s="26" t="str">
        <f t="shared" si="4"/>
        <v/>
      </c>
      <c r="H282" s="26" t="str">
        <f t="shared" si="22"/>
        <v/>
      </c>
      <c r="I282" s="26" t="str">
        <f t="array" ref="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/>
      </c>
      <c r="J282" s="26" t="str">
        <f t="shared" si="5"/>
        <v/>
      </c>
      <c r="K282" s="26" t="str">
        <f t="shared" si="6"/>
        <v/>
      </c>
      <c r="L282" s="26" t="str">
        <f t="shared" si="7"/>
        <v/>
      </c>
      <c r="M282" s="26" t="str">
        <f t="array" ref="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/>
      </c>
      <c r="N282" s="26" t="str">
        <f t="shared" si="8"/>
        <v/>
      </c>
      <c r="O282" s="26" t="str">
        <f t="shared" si="9"/>
        <v/>
      </c>
      <c r="P282" s="26" t="str">
        <f t="shared" si="10"/>
        <v/>
      </c>
      <c r="Q282" s="26" t="str">
        <f t="shared" si="11"/>
        <v/>
      </c>
      <c r="R282" s="26" t="str">
        <f t="shared" si="12"/>
        <v/>
      </c>
      <c r="S282" s="26" t="str">
        <f t="shared" si="13"/>
        <v/>
      </c>
      <c r="T282" s="26" t="str">
        <f t="shared" si="14"/>
        <v/>
      </c>
      <c r="U282" s="26" t="str">
        <f t="shared" si="15"/>
        <v/>
      </c>
      <c r="V282" s="26" t="str">
        <f t="shared" si="16"/>
        <v/>
      </c>
      <c r="W282" s="26" t="str">
        <f t="shared" si="17"/>
        <v/>
      </c>
      <c r="X282" s="26" t="str">
        <f t="shared" si="18"/>
        <v/>
      </c>
      <c r="Y282" s="26" t="str">
        <f t="shared" si="19"/>
        <v/>
      </c>
      <c r="Z282" s="31" t="str">
        <f t="shared" si="20"/>
        <v/>
      </c>
      <c r="AA282" s="31" t="str">
        <f>IF(D282="","",IF(H282&lt;=$B$16,1,IF(H282&gt;=$B$17,$B$21,MATCH(H282,Aux_CAV!$A$2:$A$121,1))))</f>
        <v/>
      </c>
      <c r="AB282" s="31" t="str">
        <f>IF(D282="","",IF(L282&lt;=$B$16,1,IF(L282&gt;=$B$17,$B$21,MATCH(L282,Aux_CAV!$A$2:$A$121,1))))</f>
        <v/>
      </c>
      <c r="AC282" s="3" t="str">
        <f t="shared" si="21"/>
        <v/>
      </c>
    </row>
    <row r="283" ht="12.75" customHeight="1">
      <c r="A283" s="25" t="str">
        <f t="shared" si="1"/>
        <v/>
      </c>
      <c r="B283" s="29" t="str">
        <f t="array" ref="B283">IF(D283="","",IFERROR(VALUE(INDEX(Vazoes_COLAR!$A$2:$A$200,INT((ROW()-24)/12)+1)),""))</f>
        <v/>
      </c>
      <c r="C283" s="29" t="str">
        <f t="shared" si="2"/>
        <v/>
      </c>
      <c r="D283" s="26" t="str">
        <f t="array" ref="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3" s="26" t="str">
        <f t="shared" si="3"/>
        <v/>
      </c>
      <c r="F283" s="26" t="str">
        <f t="array" ref="F283">IF(D283="","",IFERROR(INDEX(Dados_Evap!$C$2:$N$15,MATCH($B$9,Dados_Evap!$A$2:$A$15,0),C283),0))</f>
        <v/>
      </c>
      <c r="G283" s="26" t="str">
        <f t="shared" si="4"/>
        <v/>
      </c>
      <c r="H283" s="26" t="str">
        <f t="shared" si="22"/>
        <v/>
      </c>
      <c r="I283" s="26" t="str">
        <f t="array" ref="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/>
      </c>
      <c r="J283" s="26" t="str">
        <f t="shared" si="5"/>
        <v/>
      </c>
      <c r="K283" s="26" t="str">
        <f t="shared" si="6"/>
        <v/>
      </c>
      <c r="L283" s="26" t="str">
        <f t="shared" si="7"/>
        <v/>
      </c>
      <c r="M283" s="26" t="str">
        <f t="array" ref="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/>
      </c>
      <c r="N283" s="26" t="str">
        <f t="shared" si="8"/>
        <v/>
      </c>
      <c r="O283" s="26" t="str">
        <f t="shared" si="9"/>
        <v/>
      </c>
      <c r="P283" s="26" t="str">
        <f t="shared" si="10"/>
        <v/>
      </c>
      <c r="Q283" s="26" t="str">
        <f t="shared" si="11"/>
        <v/>
      </c>
      <c r="R283" s="26" t="str">
        <f t="shared" si="12"/>
        <v/>
      </c>
      <c r="S283" s="26" t="str">
        <f t="shared" si="13"/>
        <v/>
      </c>
      <c r="T283" s="26" t="str">
        <f t="shared" si="14"/>
        <v/>
      </c>
      <c r="U283" s="26" t="str">
        <f t="shared" si="15"/>
        <v/>
      </c>
      <c r="V283" s="26" t="str">
        <f t="shared" si="16"/>
        <v/>
      </c>
      <c r="W283" s="26" t="str">
        <f t="shared" si="17"/>
        <v/>
      </c>
      <c r="X283" s="26" t="str">
        <f t="shared" si="18"/>
        <v/>
      </c>
      <c r="Y283" s="26" t="str">
        <f t="shared" si="19"/>
        <v/>
      </c>
      <c r="Z283" s="31" t="str">
        <f t="shared" si="20"/>
        <v/>
      </c>
      <c r="AA283" s="31" t="str">
        <f>IF(D283="","",IF(H283&lt;=$B$16,1,IF(H283&gt;=$B$17,$B$21,MATCH(H283,Aux_CAV!$A$2:$A$121,1))))</f>
        <v/>
      </c>
      <c r="AB283" s="31" t="str">
        <f>IF(D283="","",IF(L283&lt;=$B$16,1,IF(L283&gt;=$B$17,$B$21,MATCH(L283,Aux_CAV!$A$2:$A$121,1))))</f>
        <v/>
      </c>
      <c r="AC283" s="3" t="str">
        <f t="shared" si="21"/>
        <v/>
      </c>
    </row>
    <row r="284" ht="12.75" customHeight="1">
      <c r="A284" s="25" t="str">
        <f t="shared" si="1"/>
        <v/>
      </c>
      <c r="B284" s="29" t="str">
        <f t="array" ref="B284">IF(D284="","",IFERROR(VALUE(INDEX(Vazoes_COLAR!$A$2:$A$200,INT((ROW()-24)/12)+1)),""))</f>
        <v/>
      </c>
      <c r="C284" s="29" t="str">
        <f t="shared" si="2"/>
        <v/>
      </c>
      <c r="D284" s="26" t="str">
        <f t="array" ref="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4" s="26" t="str">
        <f t="shared" si="3"/>
        <v/>
      </c>
      <c r="F284" s="26" t="str">
        <f t="array" ref="F284">IF(D284="","",IFERROR(INDEX(Dados_Evap!$C$2:$N$15,MATCH($B$9,Dados_Evap!$A$2:$A$15,0),C284),0))</f>
        <v/>
      </c>
      <c r="G284" s="26" t="str">
        <f t="shared" si="4"/>
        <v/>
      </c>
      <c r="H284" s="26" t="str">
        <f t="shared" si="22"/>
        <v/>
      </c>
      <c r="I284" s="26" t="str">
        <f t="array" ref="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/>
      </c>
      <c r="J284" s="26" t="str">
        <f t="shared" si="5"/>
        <v/>
      </c>
      <c r="K284" s="26" t="str">
        <f t="shared" si="6"/>
        <v/>
      </c>
      <c r="L284" s="26" t="str">
        <f t="shared" si="7"/>
        <v/>
      </c>
      <c r="M284" s="26" t="str">
        <f t="array" ref="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/>
      </c>
      <c r="N284" s="26" t="str">
        <f t="shared" si="8"/>
        <v/>
      </c>
      <c r="O284" s="26" t="str">
        <f t="shared" si="9"/>
        <v/>
      </c>
      <c r="P284" s="26" t="str">
        <f t="shared" si="10"/>
        <v/>
      </c>
      <c r="Q284" s="26" t="str">
        <f t="shared" si="11"/>
        <v/>
      </c>
      <c r="R284" s="26" t="str">
        <f t="shared" si="12"/>
        <v/>
      </c>
      <c r="S284" s="26" t="str">
        <f t="shared" si="13"/>
        <v/>
      </c>
      <c r="T284" s="26" t="str">
        <f t="shared" si="14"/>
        <v/>
      </c>
      <c r="U284" s="26" t="str">
        <f t="shared" si="15"/>
        <v/>
      </c>
      <c r="V284" s="26" t="str">
        <f t="shared" si="16"/>
        <v/>
      </c>
      <c r="W284" s="26" t="str">
        <f t="shared" si="17"/>
        <v/>
      </c>
      <c r="X284" s="26" t="str">
        <f t="shared" si="18"/>
        <v/>
      </c>
      <c r="Y284" s="26" t="str">
        <f t="shared" si="19"/>
        <v/>
      </c>
      <c r="Z284" s="31" t="str">
        <f t="shared" si="20"/>
        <v/>
      </c>
      <c r="AA284" s="31" t="str">
        <f>IF(D284="","",IF(H284&lt;=$B$16,1,IF(H284&gt;=$B$17,$B$21,MATCH(H284,Aux_CAV!$A$2:$A$121,1))))</f>
        <v/>
      </c>
      <c r="AB284" s="31" t="str">
        <f>IF(D284="","",IF(L284&lt;=$B$16,1,IF(L284&gt;=$B$17,$B$21,MATCH(L284,Aux_CAV!$A$2:$A$121,1))))</f>
        <v/>
      </c>
      <c r="AC284" s="3" t="str">
        <f t="shared" si="21"/>
        <v/>
      </c>
    </row>
    <row r="285" ht="12.75" customHeight="1">
      <c r="A285" s="25" t="str">
        <f t="shared" si="1"/>
        <v/>
      </c>
      <c r="B285" s="29" t="str">
        <f t="array" ref="B285">IF(D285="","",IFERROR(VALUE(INDEX(Vazoes_COLAR!$A$2:$A$200,INT((ROW()-24)/12)+1)),""))</f>
        <v/>
      </c>
      <c r="C285" s="29" t="str">
        <f t="shared" si="2"/>
        <v/>
      </c>
      <c r="D285" s="26" t="str">
        <f t="array" ref="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5" s="26" t="str">
        <f t="shared" si="3"/>
        <v/>
      </c>
      <c r="F285" s="26" t="str">
        <f t="array" ref="F285">IF(D285="","",IFERROR(INDEX(Dados_Evap!$C$2:$N$15,MATCH($B$9,Dados_Evap!$A$2:$A$15,0),C285),0))</f>
        <v/>
      </c>
      <c r="G285" s="26" t="str">
        <f t="shared" si="4"/>
        <v/>
      </c>
      <c r="H285" s="26" t="str">
        <f t="shared" si="22"/>
        <v/>
      </c>
      <c r="I285" s="26" t="str">
        <f t="array" ref="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/>
      </c>
      <c r="J285" s="26" t="str">
        <f t="shared" si="5"/>
        <v/>
      </c>
      <c r="K285" s="26" t="str">
        <f t="shared" si="6"/>
        <v/>
      </c>
      <c r="L285" s="26" t="str">
        <f t="shared" si="7"/>
        <v/>
      </c>
      <c r="M285" s="26" t="str">
        <f t="array" ref="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/>
      </c>
      <c r="N285" s="26" t="str">
        <f t="shared" si="8"/>
        <v/>
      </c>
      <c r="O285" s="26" t="str">
        <f t="shared" si="9"/>
        <v/>
      </c>
      <c r="P285" s="26" t="str">
        <f t="shared" si="10"/>
        <v/>
      </c>
      <c r="Q285" s="26" t="str">
        <f t="shared" si="11"/>
        <v/>
      </c>
      <c r="R285" s="26" t="str">
        <f t="shared" si="12"/>
        <v/>
      </c>
      <c r="S285" s="26" t="str">
        <f t="shared" si="13"/>
        <v/>
      </c>
      <c r="T285" s="26" t="str">
        <f t="shared" si="14"/>
        <v/>
      </c>
      <c r="U285" s="26" t="str">
        <f t="shared" si="15"/>
        <v/>
      </c>
      <c r="V285" s="26" t="str">
        <f t="shared" si="16"/>
        <v/>
      </c>
      <c r="W285" s="26" t="str">
        <f t="shared" si="17"/>
        <v/>
      </c>
      <c r="X285" s="26" t="str">
        <f t="shared" si="18"/>
        <v/>
      </c>
      <c r="Y285" s="26" t="str">
        <f t="shared" si="19"/>
        <v/>
      </c>
      <c r="Z285" s="31" t="str">
        <f t="shared" si="20"/>
        <v/>
      </c>
      <c r="AA285" s="31" t="str">
        <f>IF(D285="","",IF(H285&lt;=$B$16,1,IF(H285&gt;=$B$17,$B$21,MATCH(H285,Aux_CAV!$A$2:$A$121,1))))</f>
        <v/>
      </c>
      <c r="AB285" s="31" t="str">
        <f>IF(D285="","",IF(L285&lt;=$B$16,1,IF(L285&gt;=$B$17,$B$21,MATCH(L285,Aux_CAV!$A$2:$A$121,1))))</f>
        <v/>
      </c>
      <c r="AC285" s="3" t="str">
        <f t="shared" si="21"/>
        <v/>
      </c>
    </row>
    <row r="286" ht="12.75" customHeight="1">
      <c r="A286" s="25" t="str">
        <f t="shared" si="1"/>
        <v/>
      </c>
      <c r="B286" s="29" t="str">
        <f t="array" ref="B286">IF(D286="","",IFERROR(VALUE(INDEX(Vazoes_COLAR!$A$2:$A$200,INT((ROW()-24)/12)+1)),""))</f>
        <v/>
      </c>
      <c r="C286" s="29" t="str">
        <f t="shared" si="2"/>
        <v/>
      </c>
      <c r="D286" s="26" t="str">
        <f t="array" ref="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6" s="26" t="str">
        <f t="shared" si="3"/>
        <v/>
      </c>
      <c r="F286" s="26" t="str">
        <f t="array" ref="F286">IF(D286="","",IFERROR(INDEX(Dados_Evap!$C$2:$N$15,MATCH($B$9,Dados_Evap!$A$2:$A$15,0),C286),0))</f>
        <v/>
      </c>
      <c r="G286" s="26" t="str">
        <f t="shared" si="4"/>
        <v/>
      </c>
      <c r="H286" s="26" t="str">
        <f t="shared" si="22"/>
        <v/>
      </c>
      <c r="I286" s="26" t="str">
        <f t="array" ref="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/>
      </c>
      <c r="J286" s="26" t="str">
        <f t="shared" si="5"/>
        <v/>
      </c>
      <c r="K286" s="26" t="str">
        <f t="shared" si="6"/>
        <v/>
      </c>
      <c r="L286" s="26" t="str">
        <f t="shared" si="7"/>
        <v/>
      </c>
      <c r="M286" s="26" t="str">
        <f t="array" ref="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/>
      </c>
      <c r="N286" s="26" t="str">
        <f t="shared" si="8"/>
        <v/>
      </c>
      <c r="O286" s="26" t="str">
        <f t="shared" si="9"/>
        <v/>
      </c>
      <c r="P286" s="26" t="str">
        <f t="shared" si="10"/>
        <v/>
      </c>
      <c r="Q286" s="26" t="str">
        <f t="shared" si="11"/>
        <v/>
      </c>
      <c r="R286" s="26" t="str">
        <f t="shared" si="12"/>
        <v/>
      </c>
      <c r="S286" s="26" t="str">
        <f t="shared" si="13"/>
        <v/>
      </c>
      <c r="T286" s="26" t="str">
        <f t="shared" si="14"/>
        <v/>
      </c>
      <c r="U286" s="26" t="str">
        <f t="shared" si="15"/>
        <v/>
      </c>
      <c r="V286" s="26" t="str">
        <f t="shared" si="16"/>
        <v/>
      </c>
      <c r="W286" s="26" t="str">
        <f t="shared" si="17"/>
        <v/>
      </c>
      <c r="X286" s="26" t="str">
        <f t="shared" si="18"/>
        <v/>
      </c>
      <c r="Y286" s="26" t="str">
        <f t="shared" si="19"/>
        <v/>
      </c>
      <c r="Z286" s="31" t="str">
        <f t="shared" si="20"/>
        <v/>
      </c>
      <c r="AA286" s="31" t="str">
        <f>IF(D286="","",IF(H286&lt;=$B$16,1,IF(H286&gt;=$B$17,$B$21,MATCH(H286,Aux_CAV!$A$2:$A$121,1))))</f>
        <v/>
      </c>
      <c r="AB286" s="31" t="str">
        <f>IF(D286="","",IF(L286&lt;=$B$16,1,IF(L286&gt;=$B$17,$B$21,MATCH(L286,Aux_CAV!$A$2:$A$121,1))))</f>
        <v/>
      </c>
      <c r="AC286" s="3" t="str">
        <f t="shared" si="21"/>
        <v/>
      </c>
    </row>
    <row r="287" ht="12.75" customHeight="1">
      <c r="A287" s="25" t="str">
        <f t="shared" si="1"/>
        <v/>
      </c>
      <c r="B287" s="29" t="str">
        <f t="array" ref="B287">IF(D287="","",IFERROR(VALUE(INDEX(Vazoes_COLAR!$A$2:$A$200,INT((ROW()-24)/12)+1)),""))</f>
        <v/>
      </c>
      <c r="C287" s="29" t="str">
        <f t="shared" si="2"/>
        <v/>
      </c>
      <c r="D287" s="26" t="str">
        <f t="array" ref="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7" s="26" t="str">
        <f t="shared" si="3"/>
        <v/>
      </c>
      <c r="F287" s="26" t="str">
        <f t="array" ref="F287">IF(D287="","",IFERROR(INDEX(Dados_Evap!$C$2:$N$15,MATCH($B$9,Dados_Evap!$A$2:$A$15,0),C287),0))</f>
        <v/>
      </c>
      <c r="G287" s="26" t="str">
        <f t="shared" si="4"/>
        <v/>
      </c>
      <c r="H287" s="26" t="str">
        <f t="shared" si="22"/>
        <v/>
      </c>
      <c r="I287" s="26" t="str">
        <f t="array" ref="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/>
      </c>
      <c r="J287" s="26" t="str">
        <f t="shared" si="5"/>
        <v/>
      </c>
      <c r="K287" s="26" t="str">
        <f t="shared" si="6"/>
        <v/>
      </c>
      <c r="L287" s="26" t="str">
        <f t="shared" si="7"/>
        <v/>
      </c>
      <c r="M287" s="26" t="str">
        <f t="array" ref="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/>
      </c>
      <c r="N287" s="26" t="str">
        <f t="shared" si="8"/>
        <v/>
      </c>
      <c r="O287" s="26" t="str">
        <f t="shared" si="9"/>
        <v/>
      </c>
      <c r="P287" s="26" t="str">
        <f t="shared" si="10"/>
        <v/>
      </c>
      <c r="Q287" s="26" t="str">
        <f t="shared" si="11"/>
        <v/>
      </c>
      <c r="R287" s="26" t="str">
        <f t="shared" si="12"/>
        <v/>
      </c>
      <c r="S287" s="26" t="str">
        <f t="shared" si="13"/>
        <v/>
      </c>
      <c r="T287" s="26" t="str">
        <f t="shared" si="14"/>
        <v/>
      </c>
      <c r="U287" s="26" t="str">
        <f t="shared" si="15"/>
        <v/>
      </c>
      <c r="V287" s="26" t="str">
        <f t="shared" si="16"/>
        <v/>
      </c>
      <c r="W287" s="26" t="str">
        <f t="shared" si="17"/>
        <v/>
      </c>
      <c r="X287" s="26" t="str">
        <f t="shared" si="18"/>
        <v/>
      </c>
      <c r="Y287" s="26" t="str">
        <f t="shared" si="19"/>
        <v/>
      </c>
      <c r="Z287" s="31" t="str">
        <f t="shared" si="20"/>
        <v/>
      </c>
      <c r="AA287" s="31" t="str">
        <f>IF(D287="","",IF(H287&lt;=$B$16,1,IF(H287&gt;=$B$17,$B$21,MATCH(H287,Aux_CAV!$A$2:$A$121,1))))</f>
        <v/>
      </c>
      <c r="AB287" s="31" t="str">
        <f>IF(D287="","",IF(L287&lt;=$B$16,1,IF(L287&gt;=$B$17,$B$21,MATCH(L287,Aux_CAV!$A$2:$A$121,1))))</f>
        <v/>
      </c>
      <c r="AC287" s="3" t="str">
        <f t="shared" si="21"/>
        <v/>
      </c>
    </row>
    <row r="288" ht="12.75" customHeight="1">
      <c r="A288" s="25" t="str">
        <f t="shared" si="1"/>
        <v/>
      </c>
      <c r="B288" s="29" t="str">
        <f t="array" ref="B288">IF(D288="","",IFERROR(VALUE(INDEX(Vazoes_COLAR!$A$2:$A$200,INT((ROW()-24)/12)+1)),""))</f>
        <v/>
      </c>
      <c r="C288" s="29" t="str">
        <f t="shared" si="2"/>
        <v/>
      </c>
      <c r="D288" s="26" t="str">
        <f t="array" ref="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8" s="26" t="str">
        <f t="shared" si="3"/>
        <v/>
      </c>
      <c r="F288" s="26" t="str">
        <f t="array" ref="F288">IF(D288="","",IFERROR(INDEX(Dados_Evap!$C$2:$N$15,MATCH($B$9,Dados_Evap!$A$2:$A$15,0),C288),0))</f>
        <v/>
      </c>
      <c r="G288" s="26" t="str">
        <f t="shared" si="4"/>
        <v/>
      </c>
      <c r="H288" s="26" t="str">
        <f t="shared" si="22"/>
        <v/>
      </c>
      <c r="I288" s="26" t="str">
        <f t="array" ref="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/>
      </c>
      <c r="J288" s="26" t="str">
        <f t="shared" si="5"/>
        <v/>
      </c>
      <c r="K288" s="26" t="str">
        <f t="shared" si="6"/>
        <v/>
      </c>
      <c r="L288" s="26" t="str">
        <f t="shared" si="7"/>
        <v/>
      </c>
      <c r="M288" s="26" t="str">
        <f t="array" ref="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/>
      </c>
      <c r="N288" s="26" t="str">
        <f t="shared" si="8"/>
        <v/>
      </c>
      <c r="O288" s="26" t="str">
        <f t="shared" si="9"/>
        <v/>
      </c>
      <c r="P288" s="26" t="str">
        <f t="shared" si="10"/>
        <v/>
      </c>
      <c r="Q288" s="26" t="str">
        <f t="shared" si="11"/>
        <v/>
      </c>
      <c r="R288" s="26" t="str">
        <f t="shared" si="12"/>
        <v/>
      </c>
      <c r="S288" s="26" t="str">
        <f t="shared" si="13"/>
        <v/>
      </c>
      <c r="T288" s="26" t="str">
        <f t="shared" si="14"/>
        <v/>
      </c>
      <c r="U288" s="26" t="str">
        <f t="shared" si="15"/>
        <v/>
      </c>
      <c r="V288" s="26" t="str">
        <f t="shared" si="16"/>
        <v/>
      </c>
      <c r="W288" s="26" t="str">
        <f t="shared" si="17"/>
        <v/>
      </c>
      <c r="X288" s="26" t="str">
        <f t="shared" si="18"/>
        <v/>
      </c>
      <c r="Y288" s="26" t="str">
        <f t="shared" si="19"/>
        <v/>
      </c>
      <c r="Z288" s="31" t="str">
        <f t="shared" si="20"/>
        <v/>
      </c>
      <c r="AA288" s="31" t="str">
        <f>IF(D288="","",IF(H288&lt;=$B$16,1,IF(H288&gt;=$B$17,$B$21,MATCH(H288,Aux_CAV!$A$2:$A$121,1))))</f>
        <v/>
      </c>
      <c r="AB288" s="31" t="str">
        <f>IF(D288="","",IF(L288&lt;=$B$16,1,IF(L288&gt;=$B$17,$B$21,MATCH(L288,Aux_CAV!$A$2:$A$121,1))))</f>
        <v/>
      </c>
      <c r="AC288" s="3" t="str">
        <f t="shared" si="21"/>
        <v/>
      </c>
    </row>
    <row r="289" ht="12.75" customHeight="1">
      <c r="A289" s="25" t="str">
        <f t="shared" si="1"/>
        <v/>
      </c>
      <c r="B289" s="29" t="str">
        <f t="array" ref="B289">IF(D289="","",IFERROR(VALUE(INDEX(Vazoes_COLAR!$A$2:$A$200,INT((ROW()-24)/12)+1)),""))</f>
        <v/>
      </c>
      <c r="C289" s="29" t="str">
        <f t="shared" si="2"/>
        <v/>
      </c>
      <c r="D289" s="26" t="str">
        <f t="array" ref="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9" s="26" t="str">
        <f t="shared" si="3"/>
        <v/>
      </c>
      <c r="F289" s="26" t="str">
        <f t="array" ref="F289">IF(D289="","",IFERROR(INDEX(Dados_Evap!$C$2:$N$15,MATCH($B$9,Dados_Evap!$A$2:$A$15,0),C289),0))</f>
        <v/>
      </c>
      <c r="G289" s="26" t="str">
        <f t="shared" si="4"/>
        <v/>
      </c>
      <c r="H289" s="26" t="str">
        <f t="shared" si="22"/>
        <v/>
      </c>
      <c r="I289" s="26" t="str">
        <f t="array" ref="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/>
      </c>
      <c r="J289" s="26" t="str">
        <f t="shared" si="5"/>
        <v/>
      </c>
      <c r="K289" s="26" t="str">
        <f t="shared" si="6"/>
        <v/>
      </c>
      <c r="L289" s="26" t="str">
        <f t="shared" si="7"/>
        <v/>
      </c>
      <c r="M289" s="26" t="str">
        <f t="array" ref="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/>
      </c>
      <c r="N289" s="26" t="str">
        <f t="shared" si="8"/>
        <v/>
      </c>
      <c r="O289" s="26" t="str">
        <f t="shared" si="9"/>
        <v/>
      </c>
      <c r="P289" s="26" t="str">
        <f t="shared" si="10"/>
        <v/>
      </c>
      <c r="Q289" s="26" t="str">
        <f t="shared" si="11"/>
        <v/>
      </c>
      <c r="R289" s="26" t="str">
        <f t="shared" si="12"/>
        <v/>
      </c>
      <c r="S289" s="26" t="str">
        <f t="shared" si="13"/>
        <v/>
      </c>
      <c r="T289" s="26" t="str">
        <f t="shared" si="14"/>
        <v/>
      </c>
      <c r="U289" s="26" t="str">
        <f t="shared" si="15"/>
        <v/>
      </c>
      <c r="V289" s="26" t="str">
        <f t="shared" si="16"/>
        <v/>
      </c>
      <c r="W289" s="26" t="str">
        <f t="shared" si="17"/>
        <v/>
      </c>
      <c r="X289" s="26" t="str">
        <f t="shared" si="18"/>
        <v/>
      </c>
      <c r="Y289" s="26" t="str">
        <f t="shared" si="19"/>
        <v/>
      </c>
      <c r="Z289" s="31" t="str">
        <f t="shared" si="20"/>
        <v/>
      </c>
      <c r="AA289" s="31" t="str">
        <f>IF(D289="","",IF(H289&lt;=$B$16,1,IF(H289&gt;=$B$17,$B$21,MATCH(H289,Aux_CAV!$A$2:$A$121,1))))</f>
        <v/>
      </c>
      <c r="AB289" s="31" t="str">
        <f>IF(D289="","",IF(L289&lt;=$B$16,1,IF(L289&gt;=$B$17,$B$21,MATCH(L289,Aux_CAV!$A$2:$A$121,1))))</f>
        <v/>
      </c>
      <c r="AC289" s="3" t="str">
        <f t="shared" si="21"/>
        <v/>
      </c>
    </row>
    <row r="290" ht="12.75" customHeight="1">
      <c r="A290" s="25" t="str">
        <f t="shared" si="1"/>
        <v/>
      </c>
      <c r="B290" s="29" t="str">
        <f t="array" ref="B290">IF(D290="","",IFERROR(VALUE(INDEX(Vazoes_COLAR!$A$2:$A$200,INT((ROW()-24)/12)+1)),""))</f>
        <v/>
      </c>
      <c r="C290" s="29" t="str">
        <f t="shared" si="2"/>
        <v/>
      </c>
      <c r="D290" s="26" t="str">
        <f t="array" ref="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0" s="26" t="str">
        <f t="shared" si="3"/>
        <v/>
      </c>
      <c r="F290" s="26" t="str">
        <f t="array" ref="F290">IF(D290="","",IFERROR(INDEX(Dados_Evap!$C$2:$N$15,MATCH($B$9,Dados_Evap!$A$2:$A$15,0),C290),0))</f>
        <v/>
      </c>
      <c r="G290" s="26" t="str">
        <f t="shared" si="4"/>
        <v/>
      </c>
      <c r="H290" s="26" t="str">
        <f t="shared" si="22"/>
        <v/>
      </c>
      <c r="I290" s="26" t="str">
        <f t="array" ref="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/>
      </c>
      <c r="J290" s="26" t="str">
        <f t="shared" si="5"/>
        <v/>
      </c>
      <c r="K290" s="26" t="str">
        <f t="shared" si="6"/>
        <v/>
      </c>
      <c r="L290" s="26" t="str">
        <f t="shared" si="7"/>
        <v/>
      </c>
      <c r="M290" s="26" t="str">
        <f t="array" ref="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/>
      </c>
      <c r="N290" s="26" t="str">
        <f t="shared" si="8"/>
        <v/>
      </c>
      <c r="O290" s="26" t="str">
        <f t="shared" si="9"/>
        <v/>
      </c>
      <c r="P290" s="26" t="str">
        <f t="shared" si="10"/>
        <v/>
      </c>
      <c r="Q290" s="26" t="str">
        <f t="shared" si="11"/>
        <v/>
      </c>
      <c r="R290" s="26" t="str">
        <f t="shared" si="12"/>
        <v/>
      </c>
      <c r="S290" s="26" t="str">
        <f t="shared" si="13"/>
        <v/>
      </c>
      <c r="T290" s="26" t="str">
        <f t="shared" si="14"/>
        <v/>
      </c>
      <c r="U290" s="26" t="str">
        <f t="shared" si="15"/>
        <v/>
      </c>
      <c r="V290" s="26" t="str">
        <f t="shared" si="16"/>
        <v/>
      </c>
      <c r="W290" s="26" t="str">
        <f t="shared" si="17"/>
        <v/>
      </c>
      <c r="X290" s="26" t="str">
        <f t="shared" si="18"/>
        <v/>
      </c>
      <c r="Y290" s="26" t="str">
        <f t="shared" si="19"/>
        <v/>
      </c>
      <c r="Z290" s="31" t="str">
        <f t="shared" si="20"/>
        <v/>
      </c>
      <c r="AA290" s="31" t="str">
        <f>IF(D290="","",IF(H290&lt;=$B$16,1,IF(H290&gt;=$B$17,$B$21,MATCH(H290,Aux_CAV!$A$2:$A$121,1))))</f>
        <v/>
      </c>
      <c r="AB290" s="31" t="str">
        <f>IF(D290="","",IF(L290&lt;=$B$16,1,IF(L290&gt;=$B$17,$B$21,MATCH(L290,Aux_CAV!$A$2:$A$121,1))))</f>
        <v/>
      </c>
      <c r="AC290" s="3" t="str">
        <f t="shared" si="21"/>
        <v/>
      </c>
    </row>
    <row r="291" ht="12.75" customHeight="1">
      <c r="A291" s="25" t="str">
        <f t="shared" si="1"/>
        <v/>
      </c>
      <c r="B291" s="29" t="str">
        <f t="array" ref="B291">IF(D291="","",IFERROR(VALUE(INDEX(Vazoes_COLAR!$A$2:$A$200,INT((ROW()-24)/12)+1)),""))</f>
        <v/>
      </c>
      <c r="C291" s="29" t="str">
        <f t="shared" si="2"/>
        <v/>
      </c>
      <c r="D291" s="26" t="str">
        <f t="array" ref="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1" s="26" t="str">
        <f t="shared" si="3"/>
        <v/>
      </c>
      <c r="F291" s="26" t="str">
        <f t="array" ref="F291">IF(D291="","",IFERROR(INDEX(Dados_Evap!$C$2:$N$15,MATCH($B$9,Dados_Evap!$A$2:$A$15,0),C291),0))</f>
        <v/>
      </c>
      <c r="G291" s="26" t="str">
        <f t="shared" si="4"/>
        <v/>
      </c>
      <c r="H291" s="26" t="str">
        <f t="shared" si="22"/>
        <v/>
      </c>
      <c r="I291" s="26" t="str">
        <f t="array" ref="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/>
      </c>
      <c r="J291" s="26" t="str">
        <f t="shared" si="5"/>
        <v/>
      </c>
      <c r="K291" s="26" t="str">
        <f t="shared" si="6"/>
        <v/>
      </c>
      <c r="L291" s="26" t="str">
        <f t="shared" si="7"/>
        <v/>
      </c>
      <c r="M291" s="26" t="str">
        <f t="array" ref="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/>
      </c>
      <c r="N291" s="26" t="str">
        <f t="shared" si="8"/>
        <v/>
      </c>
      <c r="O291" s="26" t="str">
        <f t="shared" si="9"/>
        <v/>
      </c>
      <c r="P291" s="26" t="str">
        <f t="shared" si="10"/>
        <v/>
      </c>
      <c r="Q291" s="26" t="str">
        <f t="shared" si="11"/>
        <v/>
      </c>
      <c r="R291" s="26" t="str">
        <f t="shared" si="12"/>
        <v/>
      </c>
      <c r="S291" s="26" t="str">
        <f t="shared" si="13"/>
        <v/>
      </c>
      <c r="T291" s="26" t="str">
        <f t="shared" si="14"/>
        <v/>
      </c>
      <c r="U291" s="26" t="str">
        <f t="shared" si="15"/>
        <v/>
      </c>
      <c r="V291" s="26" t="str">
        <f t="shared" si="16"/>
        <v/>
      </c>
      <c r="W291" s="26" t="str">
        <f t="shared" si="17"/>
        <v/>
      </c>
      <c r="X291" s="26" t="str">
        <f t="shared" si="18"/>
        <v/>
      </c>
      <c r="Y291" s="26" t="str">
        <f t="shared" si="19"/>
        <v/>
      </c>
      <c r="Z291" s="31" t="str">
        <f t="shared" si="20"/>
        <v/>
      </c>
      <c r="AA291" s="31" t="str">
        <f>IF(D291="","",IF(H291&lt;=$B$16,1,IF(H291&gt;=$B$17,$B$21,MATCH(H291,Aux_CAV!$A$2:$A$121,1))))</f>
        <v/>
      </c>
      <c r="AB291" s="31" t="str">
        <f>IF(D291="","",IF(L291&lt;=$B$16,1,IF(L291&gt;=$B$17,$B$21,MATCH(L291,Aux_CAV!$A$2:$A$121,1))))</f>
        <v/>
      </c>
      <c r="AC291" s="3" t="str">
        <f t="shared" si="21"/>
        <v/>
      </c>
    </row>
    <row r="292" ht="12.75" customHeight="1">
      <c r="A292" s="25" t="str">
        <f t="shared" si="1"/>
        <v/>
      </c>
      <c r="B292" s="29" t="str">
        <f t="array" ref="B292">IF(D292="","",IFERROR(VALUE(INDEX(Vazoes_COLAR!$A$2:$A$200,INT((ROW()-24)/12)+1)),""))</f>
        <v/>
      </c>
      <c r="C292" s="29" t="str">
        <f t="shared" si="2"/>
        <v/>
      </c>
      <c r="D292" s="26" t="str">
        <f t="array" ref="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2" s="26" t="str">
        <f t="shared" si="3"/>
        <v/>
      </c>
      <c r="F292" s="26" t="str">
        <f t="array" ref="F292">IF(D292="","",IFERROR(INDEX(Dados_Evap!$C$2:$N$15,MATCH($B$9,Dados_Evap!$A$2:$A$15,0),C292),0))</f>
        <v/>
      </c>
      <c r="G292" s="26" t="str">
        <f t="shared" si="4"/>
        <v/>
      </c>
      <c r="H292" s="26" t="str">
        <f t="shared" si="22"/>
        <v/>
      </c>
      <c r="I292" s="26" t="str">
        <f t="array" ref="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/>
      </c>
      <c r="J292" s="26" t="str">
        <f t="shared" si="5"/>
        <v/>
      </c>
      <c r="K292" s="26" t="str">
        <f t="shared" si="6"/>
        <v/>
      </c>
      <c r="L292" s="26" t="str">
        <f t="shared" si="7"/>
        <v/>
      </c>
      <c r="M292" s="26" t="str">
        <f t="array" ref="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/>
      </c>
      <c r="N292" s="26" t="str">
        <f t="shared" si="8"/>
        <v/>
      </c>
      <c r="O292" s="26" t="str">
        <f t="shared" si="9"/>
        <v/>
      </c>
      <c r="P292" s="26" t="str">
        <f t="shared" si="10"/>
        <v/>
      </c>
      <c r="Q292" s="26" t="str">
        <f t="shared" si="11"/>
        <v/>
      </c>
      <c r="R292" s="26" t="str">
        <f t="shared" si="12"/>
        <v/>
      </c>
      <c r="S292" s="26" t="str">
        <f t="shared" si="13"/>
        <v/>
      </c>
      <c r="T292" s="26" t="str">
        <f t="shared" si="14"/>
        <v/>
      </c>
      <c r="U292" s="26" t="str">
        <f t="shared" si="15"/>
        <v/>
      </c>
      <c r="V292" s="26" t="str">
        <f t="shared" si="16"/>
        <v/>
      </c>
      <c r="W292" s="26" t="str">
        <f t="shared" si="17"/>
        <v/>
      </c>
      <c r="X292" s="26" t="str">
        <f t="shared" si="18"/>
        <v/>
      </c>
      <c r="Y292" s="26" t="str">
        <f t="shared" si="19"/>
        <v/>
      </c>
      <c r="Z292" s="31" t="str">
        <f t="shared" si="20"/>
        <v/>
      </c>
      <c r="AA292" s="31" t="str">
        <f>IF(D292="","",IF(H292&lt;=$B$16,1,IF(H292&gt;=$B$17,$B$21,MATCH(H292,Aux_CAV!$A$2:$A$121,1))))</f>
        <v/>
      </c>
      <c r="AB292" s="31" t="str">
        <f>IF(D292="","",IF(L292&lt;=$B$16,1,IF(L292&gt;=$B$17,$B$21,MATCH(L292,Aux_CAV!$A$2:$A$121,1))))</f>
        <v/>
      </c>
      <c r="AC292" s="3" t="str">
        <f t="shared" si="21"/>
        <v/>
      </c>
    </row>
    <row r="293" ht="12.75" customHeight="1">
      <c r="A293" s="25" t="str">
        <f t="shared" si="1"/>
        <v/>
      </c>
      <c r="B293" s="29" t="str">
        <f t="array" ref="B293">IF(D293="","",IFERROR(VALUE(INDEX(Vazoes_COLAR!$A$2:$A$200,INT((ROW()-24)/12)+1)),""))</f>
        <v/>
      </c>
      <c r="C293" s="29" t="str">
        <f t="shared" si="2"/>
        <v/>
      </c>
      <c r="D293" s="26" t="str">
        <f t="array" ref="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3" s="26" t="str">
        <f t="shared" si="3"/>
        <v/>
      </c>
      <c r="F293" s="26" t="str">
        <f t="array" ref="F293">IF(D293="","",IFERROR(INDEX(Dados_Evap!$C$2:$N$15,MATCH($B$9,Dados_Evap!$A$2:$A$15,0),C293),0))</f>
        <v/>
      </c>
      <c r="G293" s="26" t="str">
        <f t="shared" si="4"/>
        <v/>
      </c>
      <c r="H293" s="26" t="str">
        <f t="shared" si="22"/>
        <v/>
      </c>
      <c r="I293" s="26" t="str">
        <f t="array" ref="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/>
      </c>
      <c r="J293" s="26" t="str">
        <f t="shared" si="5"/>
        <v/>
      </c>
      <c r="K293" s="26" t="str">
        <f t="shared" si="6"/>
        <v/>
      </c>
      <c r="L293" s="26" t="str">
        <f t="shared" si="7"/>
        <v/>
      </c>
      <c r="M293" s="26" t="str">
        <f t="array" ref="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/>
      </c>
      <c r="N293" s="26" t="str">
        <f t="shared" si="8"/>
        <v/>
      </c>
      <c r="O293" s="26" t="str">
        <f t="shared" si="9"/>
        <v/>
      </c>
      <c r="P293" s="26" t="str">
        <f t="shared" si="10"/>
        <v/>
      </c>
      <c r="Q293" s="26" t="str">
        <f t="shared" si="11"/>
        <v/>
      </c>
      <c r="R293" s="26" t="str">
        <f t="shared" si="12"/>
        <v/>
      </c>
      <c r="S293" s="26" t="str">
        <f t="shared" si="13"/>
        <v/>
      </c>
      <c r="T293" s="26" t="str">
        <f t="shared" si="14"/>
        <v/>
      </c>
      <c r="U293" s="26" t="str">
        <f t="shared" si="15"/>
        <v/>
      </c>
      <c r="V293" s="26" t="str">
        <f t="shared" si="16"/>
        <v/>
      </c>
      <c r="W293" s="26" t="str">
        <f t="shared" si="17"/>
        <v/>
      </c>
      <c r="X293" s="26" t="str">
        <f t="shared" si="18"/>
        <v/>
      </c>
      <c r="Y293" s="26" t="str">
        <f t="shared" si="19"/>
        <v/>
      </c>
      <c r="Z293" s="31" t="str">
        <f t="shared" si="20"/>
        <v/>
      </c>
      <c r="AA293" s="31" t="str">
        <f>IF(D293="","",IF(H293&lt;=$B$16,1,IF(H293&gt;=$B$17,$B$21,MATCH(H293,Aux_CAV!$A$2:$A$121,1))))</f>
        <v/>
      </c>
      <c r="AB293" s="31" t="str">
        <f>IF(D293="","",IF(L293&lt;=$B$16,1,IF(L293&gt;=$B$17,$B$21,MATCH(L293,Aux_CAV!$A$2:$A$121,1))))</f>
        <v/>
      </c>
      <c r="AC293" s="3" t="str">
        <f t="shared" si="21"/>
        <v/>
      </c>
    </row>
    <row r="294" ht="12.75" customHeight="1">
      <c r="A294" s="25" t="str">
        <f t="shared" si="1"/>
        <v/>
      </c>
      <c r="B294" s="29" t="str">
        <f t="array" ref="B294">IF(D294="","",IFERROR(VALUE(INDEX(Vazoes_COLAR!$A$2:$A$200,INT((ROW()-24)/12)+1)),""))</f>
        <v/>
      </c>
      <c r="C294" s="29" t="str">
        <f t="shared" si="2"/>
        <v/>
      </c>
      <c r="D294" s="26" t="str">
        <f t="array" ref="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4" s="26" t="str">
        <f t="shared" si="3"/>
        <v/>
      </c>
      <c r="F294" s="26" t="str">
        <f t="array" ref="F294">IF(D294="","",IFERROR(INDEX(Dados_Evap!$C$2:$N$15,MATCH($B$9,Dados_Evap!$A$2:$A$15,0),C294),0))</f>
        <v/>
      </c>
      <c r="G294" s="26" t="str">
        <f t="shared" si="4"/>
        <v/>
      </c>
      <c r="H294" s="26" t="str">
        <f t="shared" si="22"/>
        <v/>
      </c>
      <c r="I294" s="26" t="str">
        <f t="array" ref="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/>
      </c>
      <c r="J294" s="26" t="str">
        <f t="shared" si="5"/>
        <v/>
      </c>
      <c r="K294" s="26" t="str">
        <f t="shared" si="6"/>
        <v/>
      </c>
      <c r="L294" s="26" t="str">
        <f t="shared" si="7"/>
        <v/>
      </c>
      <c r="M294" s="26" t="str">
        <f t="array" ref="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/>
      </c>
      <c r="N294" s="26" t="str">
        <f t="shared" si="8"/>
        <v/>
      </c>
      <c r="O294" s="26" t="str">
        <f t="shared" si="9"/>
        <v/>
      </c>
      <c r="P294" s="26" t="str">
        <f t="shared" si="10"/>
        <v/>
      </c>
      <c r="Q294" s="26" t="str">
        <f t="shared" si="11"/>
        <v/>
      </c>
      <c r="R294" s="26" t="str">
        <f t="shared" si="12"/>
        <v/>
      </c>
      <c r="S294" s="26" t="str">
        <f t="shared" si="13"/>
        <v/>
      </c>
      <c r="T294" s="26" t="str">
        <f t="shared" si="14"/>
        <v/>
      </c>
      <c r="U294" s="26" t="str">
        <f t="shared" si="15"/>
        <v/>
      </c>
      <c r="V294" s="26" t="str">
        <f t="shared" si="16"/>
        <v/>
      </c>
      <c r="W294" s="26" t="str">
        <f t="shared" si="17"/>
        <v/>
      </c>
      <c r="X294" s="26" t="str">
        <f t="shared" si="18"/>
        <v/>
      </c>
      <c r="Y294" s="26" t="str">
        <f t="shared" si="19"/>
        <v/>
      </c>
      <c r="Z294" s="31" t="str">
        <f t="shared" si="20"/>
        <v/>
      </c>
      <c r="AA294" s="31" t="str">
        <f>IF(D294="","",IF(H294&lt;=$B$16,1,IF(H294&gt;=$B$17,$B$21,MATCH(H294,Aux_CAV!$A$2:$A$121,1))))</f>
        <v/>
      </c>
      <c r="AB294" s="31" t="str">
        <f>IF(D294="","",IF(L294&lt;=$B$16,1,IF(L294&gt;=$B$17,$B$21,MATCH(L294,Aux_CAV!$A$2:$A$121,1))))</f>
        <v/>
      </c>
      <c r="AC294" s="3" t="str">
        <f t="shared" si="21"/>
        <v/>
      </c>
    </row>
    <row r="295" ht="12.75" customHeight="1">
      <c r="A295" s="25" t="str">
        <f t="shared" si="1"/>
        <v/>
      </c>
      <c r="B295" s="29" t="str">
        <f t="array" ref="B295">IF(D295="","",IFERROR(VALUE(INDEX(Vazoes_COLAR!$A$2:$A$200,INT((ROW()-24)/12)+1)),""))</f>
        <v/>
      </c>
      <c r="C295" s="29" t="str">
        <f t="shared" si="2"/>
        <v/>
      </c>
      <c r="D295" s="26" t="str">
        <f t="array" ref="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5" s="26" t="str">
        <f t="shared" si="3"/>
        <v/>
      </c>
      <c r="F295" s="26" t="str">
        <f t="array" ref="F295">IF(D295="","",IFERROR(INDEX(Dados_Evap!$C$2:$N$15,MATCH($B$9,Dados_Evap!$A$2:$A$15,0),C295),0))</f>
        <v/>
      </c>
      <c r="G295" s="26" t="str">
        <f t="shared" si="4"/>
        <v/>
      </c>
      <c r="H295" s="26" t="str">
        <f t="shared" si="22"/>
        <v/>
      </c>
      <c r="I295" s="26" t="str">
        <f t="array" ref="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/>
      </c>
      <c r="J295" s="26" t="str">
        <f t="shared" si="5"/>
        <v/>
      </c>
      <c r="K295" s="26" t="str">
        <f t="shared" si="6"/>
        <v/>
      </c>
      <c r="L295" s="26" t="str">
        <f t="shared" si="7"/>
        <v/>
      </c>
      <c r="M295" s="26" t="str">
        <f t="array" ref="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/>
      </c>
      <c r="N295" s="26" t="str">
        <f t="shared" si="8"/>
        <v/>
      </c>
      <c r="O295" s="26" t="str">
        <f t="shared" si="9"/>
        <v/>
      </c>
      <c r="P295" s="26" t="str">
        <f t="shared" si="10"/>
        <v/>
      </c>
      <c r="Q295" s="26" t="str">
        <f t="shared" si="11"/>
        <v/>
      </c>
      <c r="R295" s="26" t="str">
        <f t="shared" si="12"/>
        <v/>
      </c>
      <c r="S295" s="26" t="str">
        <f t="shared" si="13"/>
        <v/>
      </c>
      <c r="T295" s="26" t="str">
        <f t="shared" si="14"/>
        <v/>
      </c>
      <c r="U295" s="26" t="str">
        <f t="shared" si="15"/>
        <v/>
      </c>
      <c r="V295" s="26" t="str">
        <f t="shared" si="16"/>
        <v/>
      </c>
      <c r="W295" s="26" t="str">
        <f t="shared" si="17"/>
        <v/>
      </c>
      <c r="X295" s="26" t="str">
        <f t="shared" si="18"/>
        <v/>
      </c>
      <c r="Y295" s="26" t="str">
        <f t="shared" si="19"/>
        <v/>
      </c>
      <c r="Z295" s="31" t="str">
        <f t="shared" si="20"/>
        <v/>
      </c>
      <c r="AA295" s="31" t="str">
        <f>IF(D295="","",IF(H295&lt;=$B$16,1,IF(H295&gt;=$B$17,$B$21,MATCH(H295,Aux_CAV!$A$2:$A$121,1))))</f>
        <v/>
      </c>
      <c r="AB295" s="31" t="str">
        <f>IF(D295="","",IF(L295&lt;=$B$16,1,IF(L295&gt;=$B$17,$B$21,MATCH(L295,Aux_CAV!$A$2:$A$121,1))))</f>
        <v/>
      </c>
      <c r="AC295" s="3" t="str">
        <f t="shared" si="21"/>
        <v/>
      </c>
    </row>
    <row r="296" ht="12.75" customHeight="1">
      <c r="A296" s="25" t="str">
        <f t="shared" si="1"/>
        <v/>
      </c>
      <c r="B296" s="29" t="str">
        <f t="array" ref="B296">IF(D296="","",IFERROR(VALUE(INDEX(Vazoes_COLAR!$A$2:$A$200,INT((ROW()-24)/12)+1)),""))</f>
        <v/>
      </c>
      <c r="C296" s="29" t="str">
        <f t="shared" si="2"/>
        <v/>
      </c>
      <c r="D296" s="26" t="str">
        <f t="array" ref="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6" s="26" t="str">
        <f t="shared" si="3"/>
        <v/>
      </c>
      <c r="F296" s="26" t="str">
        <f t="array" ref="F296">IF(D296="","",IFERROR(INDEX(Dados_Evap!$C$2:$N$15,MATCH($B$9,Dados_Evap!$A$2:$A$15,0),C296),0))</f>
        <v/>
      </c>
      <c r="G296" s="26" t="str">
        <f t="shared" si="4"/>
        <v/>
      </c>
      <c r="H296" s="26" t="str">
        <f t="shared" si="22"/>
        <v/>
      </c>
      <c r="I296" s="26" t="str">
        <f t="array" ref="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/>
      </c>
      <c r="J296" s="26" t="str">
        <f t="shared" si="5"/>
        <v/>
      </c>
      <c r="K296" s="26" t="str">
        <f t="shared" si="6"/>
        <v/>
      </c>
      <c r="L296" s="26" t="str">
        <f t="shared" si="7"/>
        <v/>
      </c>
      <c r="M296" s="26" t="str">
        <f t="array" ref="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/>
      </c>
      <c r="N296" s="26" t="str">
        <f t="shared" si="8"/>
        <v/>
      </c>
      <c r="O296" s="26" t="str">
        <f t="shared" si="9"/>
        <v/>
      </c>
      <c r="P296" s="26" t="str">
        <f t="shared" si="10"/>
        <v/>
      </c>
      <c r="Q296" s="26" t="str">
        <f t="shared" si="11"/>
        <v/>
      </c>
      <c r="R296" s="26" t="str">
        <f t="shared" si="12"/>
        <v/>
      </c>
      <c r="S296" s="26" t="str">
        <f t="shared" si="13"/>
        <v/>
      </c>
      <c r="T296" s="26" t="str">
        <f t="shared" si="14"/>
        <v/>
      </c>
      <c r="U296" s="26" t="str">
        <f t="shared" si="15"/>
        <v/>
      </c>
      <c r="V296" s="26" t="str">
        <f t="shared" si="16"/>
        <v/>
      </c>
      <c r="W296" s="26" t="str">
        <f t="shared" si="17"/>
        <v/>
      </c>
      <c r="X296" s="26" t="str">
        <f t="shared" si="18"/>
        <v/>
      </c>
      <c r="Y296" s="26" t="str">
        <f t="shared" si="19"/>
        <v/>
      </c>
      <c r="Z296" s="31" t="str">
        <f t="shared" si="20"/>
        <v/>
      </c>
      <c r="AA296" s="31" t="str">
        <f>IF(D296="","",IF(H296&lt;=$B$16,1,IF(H296&gt;=$B$17,$B$21,MATCH(H296,Aux_CAV!$A$2:$A$121,1))))</f>
        <v/>
      </c>
      <c r="AB296" s="31" t="str">
        <f>IF(D296="","",IF(L296&lt;=$B$16,1,IF(L296&gt;=$B$17,$B$21,MATCH(L296,Aux_CAV!$A$2:$A$121,1))))</f>
        <v/>
      </c>
      <c r="AC296" s="3" t="str">
        <f t="shared" si="21"/>
        <v/>
      </c>
    </row>
    <row r="297" ht="12.75" customHeight="1">
      <c r="A297" s="25" t="str">
        <f t="shared" si="1"/>
        <v/>
      </c>
      <c r="B297" s="29" t="str">
        <f t="array" ref="B297">IF(D297="","",IFERROR(VALUE(INDEX(Vazoes_COLAR!$A$2:$A$200,INT((ROW()-24)/12)+1)),""))</f>
        <v/>
      </c>
      <c r="C297" s="29" t="str">
        <f t="shared" si="2"/>
        <v/>
      </c>
      <c r="D297" s="26" t="str">
        <f t="array" ref="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7" s="26" t="str">
        <f t="shared" si="3"/>
        <v/>
      </c>
      <c r="F297" s="26" t="str">
        <f t="array" ref="F297">IF(D297="","",IFERROR(INDEX(Dados_Evap!$C$2:$N$15,MATCH($B$9,Dados_Evap!$A$2:$A$15,0),C297),0))</f>
        <v/>
      </c>
      <c r="G297" s="26" t="str">
        <f t="shared" si="4"/>
        <v/>
      </c>
      <c r="H297" s="26" t="str">
        <f t="shared" si="22"/>
        <v/>
      </c>
      <c r="I297" s="26" t="str">
        <f t="array" ref="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/>
      </c>
      <c r="J297" s="26" t="str">
        <f t="shared" si="5"/>
        <v/>
      </c>
      <c r="K297" s="26" t="str">
        <f t="shared" si="6"/>
        <v/>
      </c>
      <c r="L297" s="26" t="str">
        <f t="shared" si="7"/>
        <v/>
      </c>
      <c r="M297" s="26" t="str">
        <f t="array" ref="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/>
      </c>
      <c r="N297" s="26" t="str">
        <f t="shared" si="8"/>
        <v/>
      </c>
      <c r="O297" s="26" t="str">
        <f t="shared" si="9"/>
        <v/>
      </c>
      <c r="P297" s="26" t="str">
        <f t="shared" si="10"/>
        <v/>
      </c>
      <c r="Q297" s="26" t="str">
        <f t="shared" si="11"/>
        <v/>
      </c>
      <c r="R297" s="26" t="str">
        <f t="shared" si="12"/>
        <v/>
      </c>
      <c r="S297" s="26" t="str">
        <f t="shared" si="13"/>
        <v/>
      </c>
      <c r="T297" s="26" t="str">
        <f t="shared" si="14"/>
        <v/>
      </c>
      <c r="U297" s="26" t="str">
        <f t="shared" si="15"/>
        <v/>
      </c>
      <c r="V297" s="26" t="str">
        <f t="shared" si="16"/>
        <v/>
      </c>
      <c r="W297" s="26" t="str">
        <f t="shared" si="17"/>
        <v/>
      </c>
      <c r="X297" s="26" t="str">
        <f t="shared" si="18"/>
        <v/>
      </c>
      <c r="Y297" s="26" t="str">
        <f t="shared" si="19"/>
        <v/>
      </c>
      <c r="Z297" s="31" t="str">
        <f t="shared" si="20"/>
        <v/>
      </c>
      <c r="AA297" s="31" t="str">
        <f>IF(D297="","",IF(H297&lt;=$B$16,1,IF(H297&gt;=$B$17,$B$21,MATCH(H297,Aux_CAV!$A$2:$A$121,1))))</f>
        <v/>
      </c>
      <c r="AB297" s="31" t="str">
        <f>IF(D297="","",IF(L297&lt;=$B$16,1,IF(L297&gt;=$B$17,$B$21,MATCH(L297,Aux_CAV!$A$2:$A$121,1))))</f>
        <v/>
      </c>
      <c r="AC297" s="3" t="str">
        <f t="shared" si="21"/>
        <v/>
      </c>
    </row>
    <row r="298" ht="12.75" customHeight="1">
      <c r="A298" s="25" t="str">
        <f t="shared" si="1"/>
        <v/>
      </c>
      <c r="B298" s="29" t="str">
        <f t="array" ref="B298">IF(D298="","",IFERROR(VALUE(INDEX(Vazoes_COLAR!$A$2:$A$200,INT((ROW()-24)/12)+1)),""))</f>
        <v/>
      </c>
      <c r="C298" s="29" t="str">
        <f t="shared" si="2"/>
        <v/>
      </c>
      <c r="D298" s="26" t="str">
        <f t="array" ref="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8" s="26" t="str">
        <f t="shared" si="3"/>
        <v/>
      </c>
      <c r="F298" s="26" t="str">
        <f t="array" ref="F298">IF(D298="","",IFERROR(INDEX(Dados_Evap!$C$2:$N$15,MATCH($B$9,Dados_Evap!$A$2:$A$15,0),C298),0))</f>
        <v/>
      </c>
      <c r="G298" s="26" t="str">
        <f t="shared" si="4"/>
        <v/>
      </c>
      <c r="H298" s="26" t="str">
        <f t="shared" si="22"/>
        <v/>
      </c>
      <c r="I298" s="26" t="str">
        <f t="array" ref="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/>
      </c>
      <c r="J298" s="26" t="str">
        <f t="shared" si="5"/>
        <v/>
      </c>
      <c r="K298" s="26" t="str">
        <f t="shared" si="6"/>
        <v/>
      </c>
      <c r="L298" s="26" t="str">
        <f t="shared" si="7"/>
        <v/>
      </c>
      <c r="M298" s="26" t="str">
        <f t="array" ref="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/>
      </c>
      <c r="N298" s="26" t="str">
        <f t="shared" si="8"/>
        <v/>
      </c>
      <c r="O298" s="26" t="str">
        <f t="shared" si="9"/>
        <v/>
      </c>
      <c r="P298" s="26" t="str">
        <f t="shared" si="10"/>
        <v/>
      </c>
      <c r="Q298" s="26" t="str">
        <f t="shared" si="11"/>
        <v/>
      </c>
      <c r="R298" s="26" t="str">
        <f t="shared" si="12"/>
        <v/>
      </c>
      <c r="S298" s="26" t="str">
        <f t="shared" si="13"/>
        <v/>
      </c>
      <c r="T298" s="26" t="str">
        <f t="shared" si="14"/>
        <v/>
      </c>
      <c r="U298" s="26" t="str">
        <f t="shared" si="15"/>
        <v/>
      </c>
      <c r="V298" s="26" t="str">
        <f t="shared" si="16"/>
        <v/>
      </c>
      <c r="W298" s="26" t="str">
        <f t="shared" si="17"/>
        <v/>
      </c>
      <c r="X298" s="26" t="str">
        <f t="shared" si="18"/>
        <v/>
      </c>
      <c r="Y298" s="26" t="str">
        <f t="shared" si="19"/>
        <v/>
      </c>
      <c r="Z298" s="31" t="str">
        <f t="shared" si="20"/>
        <v/>
      </c>
      <c r="AA298" s="31" t="str">
        <f>IF(D298="","",IF(H298&lt;=$B$16,1,IF(H298&gt;=$B$17,$B$21,MATCH(H298,Aux_CAV!$A$2:$A$121,1))))</f>
        <v/>
      </c>
      <c r="AB298" s="31" t="str">
        <f>IF(D298="","",IF(L298&lt;=$B$16,1,IF(L298&gt;=$B$17,$B$21,MATCH(L298,Aux_CAV!$A$2:$A$121,1))))</f>
        <v/>
      </c>
      <c r="AC298" s="3" t="str">
        <f t="shared" si="21"/>
        <v/>
      </c>
    </row>
    <row r="299" ht="12.75" customHeight="1">
      <c r="A299" s="25" t="str">
        <f t="shared" si="1"/>
        <v/>
      </c>
      <c r="B299" s="29" t="str">
        <f t="array" ref="B299">IF(D299="","",IFERROR(VALUE(INDEX(Vazoes_COLAR!$A$2:$A$200,INT((ROW()-24)/12)+1)),""))</f>
        <v/>
      </c>
      <c r="C299" s="29" t="str">
        <f t="shared" si="2"/>
        <v/>
      </c>
      <c r="D299" s="26" t="str">
        <f t="array" ref="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9" s="26" t="str">
        <f t="shared" si="3"/>
        <v/>
      </c>
      <c r="F299" s="26" t="str">
        <f t="array" ref="F299">IF(D299="","",IFERROR(INDEX(Dados_Evap!$C$2:$N$15,MATCH($B$9,Dados_Evap!$A$2:$A$15,0),C299),0))</f>
        <v/>
      </c>
      <c r="G299" s="26" t="str">
        <f t="shared" si="4"/>
        <v/>
      </c>
      <c r="H299" s="26" t="str">
        <f t="shared" si="22"/>
        <v/>
      </c>
      <c r="I299" s="26" t="str">
        <f t="array" ref="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/>
      </c>
      <c r="J299" s="26" t="str">
        <f t="shared" si="5"/>
        <v/>
      </c>
      <c r="K299" s="26" t="str">
        <f t="shared" si="6"/>
        <v/>
      </c>
      <c r="L299" s="26" t="str">
        <f t="shared" si="7"/>
        <v/>
      </c>
      <c r="M299" s="26" t="str">
        <f t="array" ref="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/>
      </c>
      <c r="N299" s="26" t="str">
        <f t="shared" si="8"/>
        <v/>
      </c>
      <c r="O299" s="26" t="str">
        <f t="shared" si="9"/>
        <v/>
      </c>
      <c r="P299" s="26" t="str">
        <f t="shared" si="10"/>
        <v/>
      </c>
      <c r="Q299" s="26" t="str">
        <f t="shared" si="11"/>
        <v/>
      </c>
      <c r="R299" s="26" t="str">
        <f t="shared" si="12"/>
        <v/>
      </c>
      <c r="S299" s="26" t="str">
        <f t="shared" si="13"/>
        <v/>
      </c>
      <c r="T299" s="26" t="str">
        <f t="shared" si="14"/>
        <v/>
      </c>
      <c r="U299" s="26" t="str">
        <f t="shared" si="15"/>
        <v/>
      </c>
      <c r="V299" s="26" t="str">
        <f t="shared" si="16"/>
        <v/>
      </c>
      <c r="W299" s="26" t="str">
        <f t="shared" si="17"/>
        <v/>
      </c>
      <c r="X299" s="26" t="str">
        <f t="shared" si="18"/>
        <v/>
      </c>
      <c r="Y299" s="26" t="str">
        <f t="shared" si="19"/>
        <v/>
      </c>
      <c r="Z299" s="31" t="str">
        <f t="shared" si="20"/>
        <v/>
      </c>
      <c r="AA299" s="31" t="str">
        <f>IF(D299="","",IF(H299&lt;=$B$16,1,IF(H299&gt;=$B$17,$B$21,MATCH(H299,Aux_CAV!$A$2:$A$121,1))))</f>
        <v/>
      </c>
      <c r="AB299" s="31" t="str">
        <f>IF(D299="","",IF(L299&lt;=$B$16,1,IF(L299&gt;=$B$17,$B$21,MATCH(L299,Aux_CAV!$A$2:$A$121,1))))</f>
        <v/>
      </c>
      <c r="AC299" s="3" t="str">
        <f t="shared" si="21"/>
        <v/>
      </c>
    </row>
    <row r="300" ht="12.75" customHeight="1">
      <c r="A300" s="25" t="str">
        <f t="shared" si="1"/>
        <v/>
      </c>
      <c r="B300" s="29" t="str">
        <f t="array" ref="B300">IF(D300="","",IFERROR(VALUE(INDEX(Vazoes_COLAR!$A$2:$A$200,INT((ROW()-24)/12)+1)),""))</f>
        <v/>
      </c>
      <c r="C300" s="29" t="str">
        <f t="shared" si="2"/>
        <v/>
      </c>
      <c r="D300" s="26" t="str">
        <f t="array" ref="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0" s="26" t="str">
        <f t="shared" si="3"/>
        <v/>
      </c>
      <c r="F300" s="26" t="str">
        <f t="array" ref="F300">IF(D300="","",IFERROR(INDEX(Dados_Evap!$C$2:$N$15,MATCH($B$9,Dados_Evap!$A$2:$A$15,0),C300),0))</f>
        <v/>
      </c>
      <c r="G300" s="26" t="str">
        <f t="shared" si="4"/>
        <v/>
      </c>
      <c r="H300" s="26" t="str">
        <f t="shared" si="22"/>
        <v/>
      </c>
      <c r="I300" s="26" t="str">
        <f t="array" ref="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/>
      </c>
      <c r="J300" s="26" t="str">
        <f t="shared" si="5"/>
        <v/>
      </c>
      <c r="K300" s="26" t="str">
        <f t="shared" si="6"/>
        <v/>
      </c>
      <c r="L300" s="26" t="str">
        <f t="shared" si="7"/>
        <v/>
      </c>
      <c r="M300" s="26" t="str">
        <f t="array" ref="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/>
      </c>
      <c r="N300" s="26" t="str">
        <f t="shared" si="8"/>
        <v/>
      </c>
      <c r="O300" s="26" t="str">
        <f t="shared" si="9"/>
        <v/>
      </c>
      <c r="P300" s="26" t="str">
        <f t="shared" si="10"/>
        <v/>
      </c>
      <c r="Q300" s="26" t="str">
        <f t="shared" si="11"/>
        <v/>
      </c>
      <c r="R300" s="26" t="str">
        <f t="shared" si="12"/>
        <v/>
      </c>
      <c r="S300" s="26" t="str">
        <f t="shared" si="13"/>
        <v/>
      </c>
      <c r="T300" s="26" t="str">
        <f t="shared" si="14"/>
        <v/>
      </c>
      <c r="U300" s="26" t="str">
        <f t="shared" si="15"/>
        <v/>
      </c>
      <c r="V300" s="26" t="str">
        <f t="shared" si="16"/>
        <v/>
      </c>
      <c r="W300" s="26" t="str">
        <f t="shared" si="17"/>
        <v/>
      </c>
      <c r="X300" s="26" t="str">
        <f t="shared" si="18"/>
        <v/>
      </c>
      <c r="Y300" s="26" t="str">
        <f t="shared" si="19"/>
        <v/>
      </c>
      <c r="Z300" s="31" t="str">
        <f t="shared" si="20"/>
        <v/>
      </c>
      <c r="AA300" s="31" t="str">
        <f>IF(D300="","",IF(H300&lt;=$B$16,1,IF(H300&gt;=$B$17,$B$21,MATCH(H300,Aux_CAV!$A$2:$A$121,1))))</f>
        <v/>
      </c>
      <c r="AB300" s="31" t="str">
        <f>IF(D300="","",IF(L300&lt;=$B$16,1,IF(L300&gt;=$B$17,$B$21,MATCH(L300,Aux_CAV!$A$2:$A$121,1))))</f>
        <v/>
      </c>
      <c r="AC300" s="3" t="str">
        <f t="shared" si="21"/>
        <v/>
      </c>
    </row>
    <row r="301" ht="12.75" customHeight="1">
      <c r="A301" s="25" t="str">
        <f t="shared" si="1"/>
        <v/>
      </c>
      <c r="B301" s="29" t="str">
        <f t="array" ref="B301">IF(D301="","",IFERROR(VALUE(INDEX(Vazoes_COLAR!$A$2:$A$200,INT((ROW()-24)/12)+1)),""))</f>
        <v/>
      </c>
      <c r="C301" s="29" t="str">
        <f t="shared" si="2"/>
        <v/>
      </c>
      <c r="D301" s="26" t="str">
        <f t="array" ref="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1" s="26" t="str">
        <f t="shared" si="3"/>
        <v/>
      </c>
      <c r="F301" s="26" t="str">
        <f t="array" ref="F301">IF(D301="","",IFERROR(INDEX(Dados_Evap!$C$2:$N$15,MATCH($B$9,Dados_Evap!$A$2:$A$15,0),C301),0))</f>
        <v/>
      </c>
      <c r="G301" s="26" t="str">
        <f t="shared" si="4"/>
        <v/>
      </c>
      <c r="H301" s="26" t="str">
        <f t="shared" si="22"/>
        <v/>
      </c>
      <c r="I301" s="26" t="str">
        <f t="array" ref="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/>
      </c>
      <c r="J301" s="26" t="str">
        <f t="shared" si="5"/>
        <v/>
      </c>
      <c r="K301" s="26" t="str">
        <f t="shared" si="6"/>
        <v/>
      </c>
      <c r="L301" s="26" t="str">
        <f t="shared" si="7"/>
        <v/>
      </c>
      <c r="M301" s="26" t="str">
        <f t="array" ref="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/>
      </c>
      <c r="N301" s="26" t="str">
        <f t="shared" si="8"/>
        <v/>
      </c>
      <c r="O301" s="26" t="str">
        <f t="shared" si="9"/>
        <v/>
      </c>
      <c r="P301" s="26" t="str">
        <f t="shared" si="10"/>
        <v/>
      </c>
      <c r="Q301" s="26" t="str">
        <f t="shared" si="11"/>
        <v/>
      </c>
      <c r="R301" s="26" t="str">
        <f t="shared" si="12"/>
        <v/>
      </c>
      <c r="S301" s="26" t="str">
        <f t="shared" si="13"/>
        <v/>
      </c>
      <c r="T301" s="26" t="str">
        <f t="shared" si="14"/>
        <v/>
      </c>
      <c r="U301" s="26" t="str">
        <f t="shared" si="15"/>
        <v/>
      </c>
      <c r="V301" s="26" t="str">
        <f t="shared" si="16"/>
        <v/>
      </c>
      <c r="W301" s="26" t="str">
        <f t="shared" si="17"/>
        <v/>
      </c>
      <c r="X301" s="26" t="str">
        <f t="shared" si="18"/>
        <v/>
      </c>
      <c r="Y301" s="26" t="str">
        <f t="shared" si="19"/>
        <v/>
      </c>
      <c r="Z301" s="31" t="str">
        <f t="shared" si="20"/>
        <v/>
      </c>
      <c r="AA301" s="31" t="str">
        <f>IF(D301="","",IF(H301&lt;=$B$16,1,IF(H301&gt;=$B$17,$B$21,MATCH(H301,Aux_CAV!$A$2:$A$121,1))))</f>
        <v/>
      </c>
      <c r="AB301" s="31" t="str">
        <f>IF(D301="","",IF(L301&lt;=$B$16,1,IF(L301&gt;=$B$17,$B$21,MATCH(L301,Aux_CAV!$A$2:$A$121,1))))</f>
        <v/>
      </c>
      <c r="AC301" s="3" t="str">
        <f t="shared" si="21"/>
        <v/>
      </c>
    </row>
    <row r="302" ht="12.75" customHeight="1">
      <c r="A302" s="25" t="str">
        <f t="shared" si="1"/>
        <v/>
      </c>
      <c r="B302" s="29" t="str">
        <f t="array" ref="B302">IF(D302="","",IFERROR(VALUE(INDEX(Vazoes_COLAR!$A$2:$A$200,INT((ROW()-24)/12)+1)),""))</f>
        <v/>
      </c>
      <c r="C302" s="29" t="str">
        <f t="shared" si="2"/>
        <v/>
      </c>
      <c r="D302" s="26" t="str">
        <f t="array" ref="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2" s="26" t="str">
        <f t="shared" si="3"/>
        <v/>
      </c>
      <c r="F302" s="26" t="str">
        <f t="array" ref="F302">IF(D302="","",IFERROR(INDEX(Dados_Evap!$C$2:$N$15,MATCH($B$9,Dados_Evap!$A$2:$A$15,0),C302),0))</f>
        <v/>
      </c>
      <c r="G302" s="26" t="str">
        <f t="shared" si="4"/>
        <v/>
      </c>
      <c r="H302" s="26" t="str">
        <f t="shared" si="22"/>
        <v/>
      </c>
      <c r="I302" s="26" t="str">
        <f t="array" ref="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/>
      </c>
      <c r="J302" s="26" t="str">
        <f t="shared" si="5"/>
        <v/>
      </c>
      <c r="K302" s="26" t="str">
        <f t="shared" si="6"/>
        <v/>
      </c>
      <c r="L302" s="26" t="str">
        <f t="shared" si="7"/>
        <v/>
      </c>
      <c r="M302" s="26" t="str">
        <f t="array" ref="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/>
      </c>
      <c r="N302" s="26" t="str">
        <f t="shared" si="8"/>
        <v/>
      </c>
      <c r="O302" s="26" t="str">
        <f t="shared" si="9"/>
        <v/>
      </c>
      <c r="P302" s="26" t="str">
        <f t="shared" si="10"/>
        <v/>
      </c>
      <c r="Q302" s="26" t="str">
        <f t="shared" si="11"/>
        <v/>
      </c>
      <c r="R302" s="26" t="str">
        <f t="shared" si="12"/>
        <v/>
      </c>
      <c r="S302" s="26" t="str">
        <f t="shared" si="13"/>
        <v/>
      </c>
      <c r="T302" s="26" t="str">
        <f t="shared" si="14"/>
        <v/>
      </c>
      <c r="U302" s="26" t="str">
        <f t="shared" si="15"/>
        <v/>
      </c>
      <c r="V302" s="26" t="str">
        <f t="shared" si="16"/>
        <v/>
      </c>
      <c r="W302" s="26" t="str">
        <f t="shared" si="17"/>
        <v/>
      </c>
      <c r="X302" s="26" t="str">
        <f t="shared" si="18"/>
        <v/>
      </c>
      <c r="Y302" s="26" t="str">
        <f t="shared" si="19"/>
        <v/>
      </c>
      <c r="Z302" s="31" t="str">
        <f t="shared" si="20"/>
        <v/>
      </c>
      <c r="AA302" s="31" t="str">
        <f>IF(D302="","",IF(H302&lt;=$B$16,1,IF(H302&gt;=$B$17,$B$21,MATCH(H302,Aux_CAV!$A$2:$A$121,1))))</f>
        <v/>
      </c>
      <c r="AB302" s="31" t="str">
        <f>IF(D302="","",IF(L302&lt;=$B$16,1,IF(L302&gt;=$B$17,$B$21,MATCH(L302,Aux_CAV!$A$2:$A$121,1))))</f>
        <v/>
      </c>
      <c r="AC302" s="3" t="str">
        <f t="shared" si="21"/>
        <v/>
      </c>
    </row>
    <row r="303" ht="12.75" customHeight="1">
      <c r="A303" s="25" t="str">
        <f t="shared" si="1"/>
        <v/>
      </c>
      <c r="B303" s="29" t="str">
        <f t="array" ref="B303">IF(D303="","",IFERROR(VALUE(INDEX(Vazoes_COLAR!$A$2:$A$200,INT((ROW()-24)/12)+1)),""))</f>
        <v/>
      </c>
      <c r="C303" s="29" t="str">
        <f t="shared" si="2"/>
        <v/>
      </c>
      <c r="D303" s="26" t="str">
        <f t="array" ref="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3" s="26" t="str">
        <f t="shared" si="3"/>
        <v/>
      </c>
      <c r="F303" s="26" t="str">
        <f t="array" ref="F303">IF(D303="","",IFERROR(INDEX(Dados_Evap!$C$2:$N$15,MATCH($B$9,Dados_Evap!$A$2:$A$15,0),C303),0))</f>
        <v/>
      </c>
      <c r="G303" s="26" t="str">
        <f t="shared" si="4"/>
        <v/>
      </c>
      <c r="H303" s="26" t="str">
        <f t="shared" si="22"/>
        <v/>
      </c>
      <c r="I303" s="26" t="str">
        <f t="array" ref="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/>
      </c>
      <c r="J303" s="26" t="str">
        <f t="shared" si="5"/>
        <v/>
      </c>
      <c r="K303" s="26" t="str">
        <f t="shared" si="6"/>
        <v/>
      </c>
      <c r="L303" s="26" t="str">
        <f t="shared" si="7"/>
        <v/>
      </c>
      <c r="M303" s="26" t="str">
        <f t="array" ref="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/>
      </c>
      <c r="N303" s="26" t="str">
        <f t="shared" si="8"/>
        <v/>
      </c>
      <c r="O303" s="26" t="str">
        <f t="shared" si="9"/>
        <v/>
      </c>
      <c r="P303" s="26" t="str">
        <f t="shared" si="10"/>
        <v/>
      </c>
      <c r="Q303" s="26" t="str">
        <f t="shared" si="11"/>
        <v/>
      </c>
      <c r="R303" s="26" t="str">
        <f t="shared" si="12"/>
        <v/>
      </c>
      <c r="S303" s="26" t="str">
        <f t="shared" si="13"/>
        <v/>
      </c>
      <c r="T303" s="26" t="str">
        <f t="shared" si="14"/>
        <v/>
      </c>
      <c r="U303" s="26" t="str">
        <f t="shared" si="15"/>
        <v/>
      </c>
      <c r="V303" s="26" t="str">
        <f t="shared" si="16"/>
        <v/>
      </c>
      <c r="W303" s="26" t="str">
        <f t="shared" si="17"/>
        <v/>
      </c>
      <c r="X303" s="26" t="str">
        <f t="shared" si="18"/>
        <v/>
      </c>
      <c r="Y303" s="26" t="str">
        <f t="shared" si="19"/>
        <v/>
      </c>
      <c r="Z303" s="31" t="str">
        <f t="shared" si="20"/>
        <v/>
      </c>
      <c r="AA303" s="31" t="str">
        <f>IF(D303="","",IF(H303&lt;=$B$16,1,IF(H303&gt;=$B$17,$B$21,MATCH(H303,Aux_CAV!$A$2:$A$121,1))))</f>
        <v/>
      </c>
      <c r="AB303" s="31" t="str">
        <f>IF(D303="","",IF(L303&lt;=$B$16,1,IF(L303&gt;=$B$17,$B$21,MATCH(L303,Aux_CAV!$A$2:$A$121,1))))</f>
        <v/>
      </c>
      <c r="AC303" s="3" t="str">
        <f t="shared" si="21"/>
        <v/>
      </c>
    </row>
    <row r="304" ht="12.75" customHeight="1">
      <c r="A304" s="25" t="str">
        <f t="shared" si="1"/>
        <v/>
      </c>
      <c r="B304" s="29" t="str">
        <f t="array" ref="B304">IF(D304="","",IFERROR(VALUE(INDEX(Vazoes_COLAR!$A$2:$A$200,INT((ROW()-24)/12)+1)),""))</f>
        <v/>
      </c>
      <c r="C304" s="29" t="str">
        <f t="shared" si="2"/>
        <v/>
      </c>
      <c r="D304" s="26" t="str">
        <f t="array" ref="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4" s="26" t="str">
        <f t="shared" si="3"/>
        <v/>
      </c>
      <c r="F304" s="26" t="str">
        <f t="array" ref="F304">IF(D304="","",IFERROR(INDEX(Dados_Evap!$C$2:$N$15,MATCH($B$9,Dados_Evap!$A$2:$A$15,0),C304),0))</f>
        <v/>
      </c>
      <c r="G304" s="26" t="str">
        <f t="shared" si="4"/>
        <v/>
      </c>
      <c r="H304" s="26" t="str">
        <f t="shared" si="22"/>
        <v/>
      </c>
      <c r="I304" s="26" t="str">
        <f t="array" ref="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/>
      </c>
      <c r="J304" s="26" t="str">
        <f t="shared" si="5"/>
        <v/>
      </c>
      <c r="K304" s="26" t="str">
        <f t="shared" si="6"/>
        <v/>
      </c>
      <c r="L304" s="26" t="str">
        <f t="shared" si="7"/>
        <v/>
      </c>
      <c r="M304" s="26" t="str">
        <f t="array" ref="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/>
      </c>
      <c r="N304" s="26" t="str">
        <f t="shared" si="8"/>
        <v/>
      </c>
      <c r="O304" s="26" t="str">
        <f t="shared" si="9"/>
        <v/>
      </c>
      <c r="P304" s="26" t="str">
        <f t="shared" si="10"/>
        <v/>
      </c>
      <c r="Q304" s="26" t="str">
        <f t="shared" si="11"/>
        <v/>
      </c>
      <c r="R304" s="26" t="str">
        <f t="shared" si="12"/>
        <v/>
      </c>
      <c r="S304" s="26" t="str">
        <f t="shared" si="13"/>
        <v/>
      </c>
      <c r="T304" s="26" t="str">
        <f t="shared" si="14"/>
        <v/>
      </c>
      <c r="U304" s="26" t="str">
        <f t="shared" si="15"/>
        <v/>
      </c>
      <c r="V304" s="26" t="str">
        <f t="shared" si="16"/>
        <v/>
      </c>
      <c r="W304" s="26" t="str">
        <f t="shared" si="17"/>
        <v/>
      </c>
      <c r="X304" s="26" t="str">
        <f t="shared" si="18"/>
        <v/>
      </c>
      <c r="Y304" s="26" t="str">
        <f t="shared" si="19"/>
        <v/>
      </c>
      <c r="Z304" s="31" t="str">
        <f t="shared" si="20"/>
        <v/>
      </c>
      <c r="AA304" s="31" t="str">
        <f>IF(D304="","",IF(H304&lt;=$B$16,1,IF(H304&gt;=$B$17,$B$21,MATCH(H304,Aux_CAV!$A$2:$A$121,1))))</f>
        <v/>
      </c>
      <c r="AB304" s="31" t="str">
        <f>IF(D304="","",IF(L304&lt;=$B$16,1,IF(L304&gt;=$B$17,$B$21,MATCH(L304,Aux_CAV!$A$2:$A$121,1))))</f>
        <v/>
      </c>
      <c r="AC304" s="3" t="str">
        <f t="shared" si="21"/>
        <v/>
      </c>
    </row>
    <row r="305" ht="12.75" customHeight="1">
      <c r="A305" s="25" t="str">
        <f t="shared" si="1"/>
        <v/>
      </c>
      <c r="B305" s="29" t="str">
        <f t="array" ref="B305">IF(D305="","",IFERROR(VALUE(INDEX(Vazoes_COLAR!$A$2:$A$200,INT((ROW()-24)/12)+1)),""))</f>
        <v/>
      </c>
      <c r="C305" s="29" t="str">
        <f t="shared" si="2"/>
        <v/>
      </c>
      <c r="D305" s="26" t="str">
        <f t="array" ref="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5" s="26" t="str">
        <f t="shared" si="3"/>
        <v/>
      </c>
      <c r="F305" s="26" t="str">
        <f t="array" ref="F305">IF(D305="","",IFERROR(INDEX(Dados_Evap!$C$2:$N$15,MATCH($B$9,Dados_Evap!$A$2:$A$15,0),C305),0))</f>
        <v/>
      </c>
      <c r="G305" s="26" t="str">
        <f t="shared" si="4"/>
        <v/>
      </c>
      <c r="H305" s="26" t="str">
        <f t="shared" si="22"/>
        <v/>
      </c>
      <c r="I305" s="26" t="str">
        <f t="array" ref="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/>
      </c>
      <c r="J305" s="26" t="str">
        <f t="shared" si="5"/>
        <v/>
      </c>
      <c r="K305" s="26" t="str">
        <f t="shared" si="6"/>
        <v/>
      </c>
      <c r="L305" s="26" t="str">
        <f t="shared" si="7"/>
        <v/>
      </c>
      <c r="M305" s="26" t="str">
        <f t="array" ref="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/>
      </c>
      <c r="N305" s="26" t="str">
        <f t="shared" si="8"/>
        <v/>
      </c>
      <c r="O305" s="26" t="str">
        <f t="shared" si="9"/>
        <v/>
      </c>
      <c r="P305" s="26" t="str">
        <f t="shared" si="10"/>
        <v/>
      </c>
      <c r="Q305" s="26" t="str">
        <f t="shared" si="11"/>
        <v/>
      </c>
      <c r="R305" s="26" t="str">
        <f t="shared" si="12"/>
        <v/>
      </c>
      <c r="S305" s="26" t="str">
        <f t="shared" si="13"/>
        <v/>
      </c>
      <c r="T305" s="26" t="str">
        <f t="shared" si="14"/>
        <v/>
      </c>
      <c r="U305" s="26" t="str">
        <f t="shared" si="15"/>
        <v/>
      </c>
      <c r="V305" s="26" t="str">
        <f t="shared" si="16"/>
        <v/>
      </c>
      <c r="W305" s="26" t="str">
        <f t="shared" si="17"/>
        <v/>
      </c>
      <c r="X305" s="26" t="str">
        <f t="shared" si="18"/>
        <v/>
      </c>
      <c r="Y305" s="26" t="str">
        <f t="shared" si="19"/>
        <v/>
      </c>
      <c r="Z305" s="31" t="str">
        <f t="shared" si="20"/>
        <v/>
      </c>
      <c r="AA305" s="31" t="str">
        <f>IF(D305="","",IF(H305&lt;=$B$16,1,IF(H305&gt;=$B$17,$B$21,MATCH(H305,Aux_CAV!$A$2:$A$121,1))))</f>
        <v/>
      </c>
      <c r="AB305" s="31" t="str">
        <f>IF(D305="","",IF(L305&lt;=$B$16,1,IF(L305&gt;=$B$17,$B$21,MATCH(L305,Aux_CAV!$A$2:$A$121,1))))</f>
        <v/>
      </c>
      <c r="AC305" s="3" t="str">
        <f t="shared" si="21"/>
        <v/>
      </c>
    </row>
    <row r="306" ht="12.75" customHeight="1">
      <c r="A306" s="25" t="str">
        <f t="shared" si="1"/>
        <v/>
      </c>
      <c r="B306" s="29" t="str">
        <f t="array" ref="B306">IF(D306="","",IFERROR(VALUE(INDEX(Vazoes_COLAR!$A$2:$A$200,INT((ROW()-24)/12)+1)),""))</f>
        <v/>
      </c>
      <c r="C306" s="29" t="str">
        <f t="shared" si="2"/>
        <v/>
      </c>
      <c r="D306" s="26" t="str">
        <f t="array" ref="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6" s="26" t="str">
        <f t="shared" si="3"/>
        <v/>
      </c>
      <c r="F306" s="26" t="str">
        <f t="array" ref="F306">IF(D306="","",IFERROR(INDEX(Dados_Evap!$C$2:$N$15,MATCH($B$9,Dados_Evap!$A$2:$A$15,0),C306),0))</f>
        <v/>
      </c>
      <c r="G306" s="26" t="str">
        <f t="shared" si="4"/>
        <v/>
      </c>
      <c r="H306" s="26" t="str">
        <f t="shared" si="22"/>
        <v/>
      </c>
      <c r="I306" s="26" t="str">
        <f t="array" ref="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/>
      </c>
      <c r="J306" s="26" t="str">
        <f t="shared" si="5"/>
        <v/>
      </c>
      <c r="K306" s="26" t="str">
        <f t="shared" si="6"/>
        <v/>
      </c>
      <c r="L306" s="26" t="str">
        <f t="shared" si="7"/>
        <v/>
      </c>
      <c r="M306" s="26" t="str">
        <f t="array" ref="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/>
      </c>
      <c r="N306" s="26" t="str">
        <f t="shared" si="8"/>
        <v/>
      </c>
      <c r="O306" s="26" t="str">
        <f t="shared" si="9"/>
        <v/>
      </c>
      <c r="P306" s="26" t="str">
        <f t="shared" si="10"/>
        <v/>
      </c>
      <c r="Q306" s="26" t="str">
        <f t="shared" si="11"/>
        <v/>
      </c>
      <c r="R306" s="26" t="str">
        <f t="shared" si="12"/>
        <v/>
      </c>
      <c r="S306" s="26" t="str">
        <f t="shared" si="13"/>
        <v/>
      </c>
      <c r="T306" s="26" t="str">
        <f t="shared" si="14"/>
        <v/>
      </c>
      <c r="U306" s="26" t="str">
        <f t="shared" si="15"/>
        <v/>
      </c>
      <c r="V306" s="26" t="str">
        <f t="shared" si="16"/>
        <v/>
      </c>
      <c r="W306" s="26" t="str">
        <f t="shared" si="17"/>
        <v/>
      </c>
      <c r="X306" s="26" t="str">
        <f t="shared" si="18"/>
        <v/>
      </c>
      <c r="Y306" s="26" t="str">
        <f t="shared" si="19"/>
        <v/>
      </c>
      <c r="Z306" s="31" t="str">
        <f t="shared" si="20"/>
        <v/>
      </c>
      <c r="AA306" s="31" t="str">
        <f>IF(D306="","",IF(H306&lt;=$B$16,1,IF(H306&gt;=$B$17,$B$21,MATCH(H306,Aux_CAV!$A$2:$A$121,1))))</f>
        <v/>
      </c>
      <c r="AB306" s="31" t="str">
        <f>IF(D306="","",IF(L306&lt;=$B$16,1,IF(L306&gt;=$B$17,$B$21,MATCH(L306,Aux_CAV!$A$2:$A$121,1))))</f>
        <v/>
      </c>
      <c r="AC306" s="3" t="str">
        <f t="shared" si="21"/>
        <v/>
      </c>
    </row>
    <row r="307" ht="12.75" customHeight="1">
      <c r="A307" s="25" t="str">
        <f t="shared" si="1"/>
        <v/>
      </c>
      <c r="B307" s="29" t="str">
        <f t="array" ref="B307">IF(D307="","",IFERROR(VALUE(INDEX(Vazoes_COLAR!$A$2:$A$200,INT((ROW()-24)/12)+1)),""))</f>
        <v/>
      </c>
      <c r="C307" s="29" t="str">
        <f t="shared" si="2"/>
        <v/>
      </c>
      <c r="D307" s="26" t="str">
        <f t="array" ref="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7" s="26" t="str">
        <f t="shared" si="3"/>
        <v/>
      </c>
      <c r="F307" s="26" t="str">
        <f t="array" ref="F307">IF(D307="","",IFERROR(INDEX(Dados_Evap!$C$2:$N$15,MATCH($B$9,Dados_Evap!$A$2:$A$15,0),C307),0))</f>
        <v/>
      </c>
      <c r="G307" s="26" t="str">
        <f t="shared" si="4"/>
        <v/>
      </c>
      <c r="H307" s="26" t="str">
        <f t="shared" si="22"/>
        <v/>
      </c>
      <c r="I307" s="26" t="str">
        <f t="array" ref="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/>
      </c>
      <c r="J307" s="26" t="str">
        <f t="shared" si="5"/>
        <v/>
      </c>
      <c r="K307" s="26" t="str">
        <f t="shared" si="6"/>
        <v/>
      </c>
      <c r="L307" s="26" t="str">
        <f t="shared" si="7"/>
        <v/>
      </c>
      <c r="M307" s="26" t="str">
        <f t="array" ref="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/>
      </c>
      <c r="N307" s="26" t="str">
        <f t="shared" si="8"/>
        <v/>
      </c>
      <c r="O307" s="26" t="str">
        <f t="shared" si="9"/>
        <v/>
      </c>
      <c r="P307" s="26" t="str">
        <f t="shared" si="10"/>
        <v/>
      </c>
      <c r="Q307" s="26" t="str">
        <f t="shared" si="11"/>
        <v/>
      </c>
      <c r="R307" s="26" t="str">
        <f t="shared" si="12"/>
        <v/>
      </c>
      <c r="S307" s="26" t="str">
        <f t="shared" si="13"/>
        <v/>
      </c>
      <c r="T307" s="26" t="str">
        <f t="shared" si="14"/>
        <v/>
      </c>
      <c r="U307" s="26" t="str">
        <f t="shared" si="15"/>
        <v/>
      </c>
      <c r="V307" s="26" t="str">
        <f t="shared" si="16"/>
        <v/>
      </c>
      <c r="W307" s="26" t="str">
        <f t="shared" si="17"/>
        <v/>
      </c>
      <c r="X307" s="26" t="str">
        <f t="shared" si="18"/>
        <v/>
      </c>
      <c r="Y307" s="26" t="str">
        <f t="shared" si="19"/>
        <v/>
      </c>
      <c r="Z307" s="31" t="str">
        <f t="shared" si="20"/>
        <v/>
      </c>
      <c r="AA307" s="31" t="str">
        <f>IF(D307="","",IF(H307&lt;=$B$16,1,IF(H307&gt;=$B$17,$B$21,MATCH(H307,Aux_CAV!$A$2:$A$121,1))))</f>
        <v/>
      </c>
      <c r="AB307" s="31" t="str">
        <f>IF(D307="","",IF(L307&lt;=$B$16,1,IF(L307&gt;=$B$17,$B$21,MATCH(L307,Aux_CAV!$A$2:$A$121,1))))</f>
        <v/>
      </c>
      <c r="AC307" s="3" t="str">
        <f t="shared" si="21"/>
        <v/>
      </c>
    </row>
    <row r="308" ht="12.75" customHeight="1">
      <c r="A308" s="25" t="str">
        <f t="shared" si="1"/>
        <v/>
      </c>
      <c r="B308" s="29" t="str">
        <f t="array" ref="B308">IF(D308="","",IFERROR(VALUE(INDEX(Vazoes_COLAR!$A$2:$A$200,INT((ROW()-24)/12)+1)),""))</f>
        <v/>
      </c>
      <c r="C308" s="29" t="str">
        <f t="shared" si="2"/>
        <v/>
      </c>
      <c r="D308" s="26" t="str">
        <f t="array" ref="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8" s="26" t="str">
        <f t="shared" si="3"/>
        <v/>
      </c>
      <c r="F308" s="26" t="str">
        <f t="array" ref="F308">IF(D308="","",IFERROR(INDEX(Dados_Evap!$C$2:$N$15,MATCH($B$9,Dados_Evap!$A$2:$A$15,0),C308),0))</f>
        <v/>
      </c>
      <c r="G308" s="26" t="str">
        <f t="shared" si="4"/>
        <v/>
      </c>
      <c r="H308" s="26" t="str">
        <f t="shared" si="22"/>
        <v/>
      </c>
      <c r="I308" s="26" t="str">
        <f t="array" ref="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/>
      </c>
      <c r="J308" s="26" t="str">
        <f t="shared" si="5"/>
        <v/>
      </c>
      <c r="K308" s="26" t="str">
        <f t="shared" si="6"/>
        <v/>
      </c>
      <c r="L308" s="26" t="str">
        <f t="shared" si="7"/>
        <v/>
      </c>
      <c r="M308" s="26" t="str">
        <f t="array" ref="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/>
      </c>
      <c r="N308" s="26" t="str">
        <f t="shared" si="8"/>
        <v/>
      </c>
      <c r="O308" s="26" t="str">
        <f t="shared" si="9"/>
        <v/>
      </c>
      <c r="P308" s="26" t="str">
        <f t="shared" si="10"/>
        <v/>
      </c>
      <c r="Q308" s="26" t="str">
        <f t="shared" si="11"/>
        <v/>
      </c>
      <c r="R308" s="26" t="str">
        <f t="shared" si="12"/>
        <v/>
      </c>
      <c r="S308" s="26" t="str">
        <f t="shared" si="13"/>
        <v/>
      </c>
      <c r="T308" s="26" t="str">
        <f t="shared" si="14"/>
        <v/>
      </c>
      <c r="U308" s="26" t="str">
        <f t="shared" si="15"/>
        <v/>
      </c>
      <c r="V308" s="26" t="str">
        <f t="shared" si="16"/>
        <v/>
      </c>
      <c r="W308" s="26" t="str">
        <f t="shared" si="17"/>
        <v/>
      </c>
      <c r="X308" s="26" t="str">
        <f t="shared" si="18"/>
        <v/>
      </c>
      <c r="Y308" s="26" t="str">
        <f t="shared" si="19"/>
        <v/>
      </c>
      <c r="Z308" s="31" t="str">
        <f t="shared" si="20"/>
        <v/>
      </c>
      <c r="AA308" s="31" t="str">
        <f>IF(D308="","",IF(H308&lt;=$B$16,1,IF(H308&gt;=$B$17,$B$21,MATCH(H308,Aux_CAV!$A$2:$A$121,1))))</f>
        <v/>
      </c>
      <c r="AB308" s="31" t="str">
        <f>IF(D308="","",IF(L308&lt;=$B$16,1,IF(L308&gt;=$B$17,$B$21,MATCH(L308,Aux_CAV!$A$2:$A$121,1))))</f>
        <v/>
      </c>
      <c r="AC308" s="3" t="str">
        <f t="shared" si="21"/>
        <v/>
      </c>
    </row>
    <row r="309" ht="12.75" customHeight="1">
      <c r="A309" s="25" t="str">
        <f t="shared" si="1"/>
        <v/>
      </c>
      <c r="B309" s="29" t="str">
        <f t="array" ref="B309">IF(D309="","",IFERROR(VALUE(INDEX(Vazoes_COLAR!$A$2:$A$200,INT((ROW()-24)/12)+1)),""))</f>
        <v/>
      </c>
      <c r="C309" s="29" t="str">
        <f t="shared" si="2"/>
        <v/>
      </c>
      <c r="D309" s="26" t="str">
        <f t="array" ref="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9" s="26" t="str">
        <f t="shared" si="3"/>
        <v/>
      </c>
      <c r="F309" s="26" t="str">
        <f t="array" ref="F309">IF(D309="","",IFERROR(INDEX(Dados_Evap!$C$2:$N$15,MATCH($B$9,Dados_Evap!$A$2:$A$15,0),C309),0))</f>
        <v/>
      </c>
      <c r="G309" s="26" t="str">
        <f t="shared" si="4"/>
        <v/>
      </c>
      <c r="H309" s="26" t="str">
        <f t="shared" si="22"/>
        <v/>
      </c>
      <c r="I309" s="26" t="str">
        <f t="array" ref="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/>
      </c>
      <c r="J309" s="26" t="str">
        <f t="shared" si="5"/>
        <v/>
      </c>
      <c r="K309" s="26" t="str">
        <f t="shared" si="6"/>
        <v/>
      </c>
      <c r="L309" s="26" t="str">
        <f t="shared" si="7"/>
        <v/>
      </c>
      <c r="M309" s="26" t="str">
        <f t="array" ref="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/>
      </c>
      <c r="N309" s="26" t="str">
        <f t="shared" si="8"/>
        <v/>
      </c>
      <c r="O309" s="26" t="str">
        <f t="shared" si="9"/>
        <v/>
      </c>
      <c r="P309" s="26" t="str">
        <f t="shared" si="10"/>
        <v/>
      </c>
      <c r="Q309" s="26" t="str">
        <f t="shared" si="11"/>
        <v/>
      </c>
      <c r="R309" s="26" t="str">
        <f t="shared" si="12"/>
        <v/>
      </c>
      <c r="S309" s="26" t="str">
        <f t="shared" si="13"/>
        <v/>
      </c>
      <c r="T309" s="26" t="str">
        <f t="shared" si="14"/>
        <v/>
      </c>
      <c r="U309" s="26" t="str">
        <f t="shared" si="15"/>
        <v/>
      </c>
      <c r="V309" s="26" t="str">
        <f t="shared" si="16"/>
        <v/>
      </c>
      <c r="W309" s="26" t="str">
        <f t="shared" si="17"/>
        <v/>
      </c>
      <c r="X309" s="26" t="str">
        <f t="shared" si="18"/>
        <v/>
      </c>
      <c r="Y309" s="26" t="str">
        <f t="shared" si="19"/>
        <v/>
      </c>
      <c r="Z309" s="31" t="str">
        <f t="shared" si="20"/>
        <v/>
      </c>
      <c r="AA309" s="31" t="str">
        <f>IF(D309="","",IF(H309&lt;=$B$16,1,IF(H309&gt;=$B$17,$B$21,MATCH(H309,Aux_CAV!$A$2:$A$121,1))))</f>
        <v/>
      </c>
      <c r="AB309" s="31" t="str">
        <f>IF(D309="","",IF(L309&lt;=$B$16,1,IF(L309&gt;=$B$17,$B$21,MATCH(L309,Aux_CAV!$A$2:$A$121,1))))</f>
        <v/>
      </c>
      <c r="AC309" s="3" t="str">
        <f t="shared" si="21"/>
        <v/>
      </c>
    </row>
    <row r="310" ht="12.75" customHeight="1">
      <c r="A310" s="25" t="str">
        <f t="shared" si="1"/>
        <v/>
      </c>
      <c r="B310" s="29" t="str">
        <f t="array" ref="B310">IF(D310="","",IFERROR(VALUE(INDEX(Vazoes_COLAR!$A$2:$A$200,INT((ROW()-24)/12)+1)),""))</f>
        <v/>
      </c>
      <c r="C310" s="29" t="str">
        <f t="shared" si="2"/>
        <v/>
      </c>
      <c r="D310" s="26" t="str">
        <f t="array" ref="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0" s="26" t="str">
        <f t="shared" si="3"/>
        <v/>
      </c>
      <c r="F310" s="26" t="str">
        <f t="array" ref="F310">IF(D310="","",IFERROR(INDEX(Dados_Evap!$C$2:$N$15,MATCH($B$9,Dados_Evap!$A$2:$A$15,0),C310),0))</f>
        <v/>
      </c>
      <c r="G310" s="26" t="str">
        <f t="shared" si="4"/>
        <v/>
      </c>
      <c r="H310" s="26" t="str">
        <f t="shared" si="22"/>
        <v/>
      </c>
      <c r="I310" s="26" t="str">
        <f t="array" ref="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/>
      </c>
      <c r="J310" s="26" t="str">
        <f t="shared" si="5"/>
        <v/>
      </c>
      <c r="K310" s="26" t="str">
        <f t="shared" si="6"/>
        <v/>
      </c>
      <c r="L310" s="26" t="str">
        <f t="shared" si="7"/>
        <v/>
      </c>
      <c r="M310" s="26" t="str">
        <f t="array" ref="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/>
      </c>
      <c r="N310" s="26" t="str">
        <f t="shared" si="8"/>
        <v/>
      </c>
      <c r="O310" s="26" t="str">
        <f t="shared" si="9"/>
        <v/>
      </c>
      <c r="P310" s="26" t="str">
        <f t="shared" si="10"/>
        <v/>
      </c>
      <c r="Q310" s="26" t="str">
        <f t="shared" si="11"/>
        <v/>
      </c>
      <c r="R310" s="26" t="str">
        <f t="shared" si="12"/>
        <v/>
      </c>
      <c r="S310" s="26" t="str">
        <f t="shared" si="13"/>
        <v/>
      </c>
      <c r="T310" s="26" t="str">
        <f t="shared" si="14"/>
        <v/>
      </c>
      <c r="U310" s="26" t="str">
        <f t="shared" si="15"/>
        <v/>
      </c>
      <c r="V310" s="26" t="str">
        <f t="shared" si="16"/>
        <v/>
      </c>
      <c r="W310" s="26" t="str">
        <f t="shared" si="17"/>
        <v/>
      </c>
      <c r="X310" s="26" t="str">
        <f t="shared" si="18"/>
        <v/>
      </c>
      <c r="Y310" s="26" t="str">
        <f t="shared" si="19"/>
        <v/>
      </c>
      <c r="Z310" s="31" t="str">
        <f t="shared" si="20"/>
        <v/>
      </c>
      <c r="AA310" s="31" t="str">
        <f>IF(D310="","",IF(H310&lt;=$B$16,1,IF(H310&gt;=$B$17,$B$21,MATCH(H310,Aux_CAV!$A$2:$A$121,1))))</f>
        <v/>
      </c>
      <c r="AB310" s="31" t="str">
        <f>IF(D310="","",IF(L310&lt;=$B$16,1,IF(L310&gt;=$B$17,$B$21,MATCH(L310,Aux_CAV!$A$2:$A$121,1))))</f>
        <v/>
      </c>
      <c r="AC310" s="3" t="str">
        <f t="shared" si="21"/>
        <v/>
      </c>
    </row>
    <row r="311" ht="12.75" customHeight="1">
      <c r="A311" s="25" t="str">
        <f t="shared" si="1"/>
        <v/>
      </c>
      <c r="B311" s="29" t="str">
        <f t="array" ref="B311">IF(D311="","",IFERROR(VALUE(INDEX(Vazoes_COLAR!$A$2:$A$200,INT((ROW()-24)/12)+1)),""))</f>
        <v/>
      </c>
      <c r="C311" s="29" t="str">
        <f t="shared" si="2"/>
        <v/>
      </c>
      <c r="D311" s="26" t="str">
        <f t="array" ref="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1" s="26" t="str">
        <f t="shared" si="3"/>
        <v/>
      </c>
      <c r="F311" s="26" t="str">
        <f t="array" ref="F311">IF(D311="","",IFERROR(INDEX(Dados_Evap!$C$2:$N$15,MATCH($B$9,Dados_Evap!$A$2:$A$15,0),C311),0))</f>
        <v/>
      </c>
      <c r="G311" s="26" t="str">
        <f t="shared" si="4"/>
        <v/>
      </c>
      <c r="H311" s="26" t="str">
        <f t="shared" si="22"/>
        <v/>
      </c>
      <c r="I311" s="26" t="str">
        <f t="array" ref="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/>
      </c>
      <c r="J311" s="26" t="str">
        <f t="shared" si="5"/>
        <v/>
      </c>
      <c r="K311" s="26" t="str">
        <f t="shared" si="6"/>
        <v/>
      </c>
      <c r="L311" s="26" t="str">
        <f t="shared" si="7"/>
        <v/>
      </c>
      <c r="M311" s="26" t="str">
        <f t="array" ref="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/>
      </c>
      <c r="N311" s="26" t="str">
        <f t="shared" si="8"/>
        <v/>
      </c>
      <c r="O311" s="26" t="str">
        <f t="shared" si="9"/>
        <v/>
      </c>
      <c r="P311" s="26" t="str">
        <f t="shared" si="10"/>
        <v/>
      </c>
      <c r="Q311" s="26" t="str">
        <f t="shared" si="11"/>
        <v/>
      </c>
      <c r="R311" s="26" t="str">
        <f t="shared" si="12"/>
        <v/>
      </c>
      <c r="S311" s="26" t="str">
        <f t="shared" si="13"/>
        <v/>
      </c>
      <c r="T311" s="26" t="str">
        <f t="shared" si="14"/>
        <v/>
      </c>
      <c r="U311" s="26" t="str">
        <f t="shared" si="15"/>
        <v/>
      </c>
      <c r="V311" s="26" t="str">
        <f t="shared" si="16"/>
        <v/>
      </c>
      <c r="W311" s="26" t="str">
        <f t="shared" si="17"/>
        <v/>
      </c>
      <c r="X311" s="26" t="str">
        <f t="shared" si="18"/>
        <v/>
      </c>
      <c r="Y311" s="26" t="str">
        <f t="shared" si="19"/>
        <v/>
      </c>
      <c r="Z311" s="31" t="str">
        <f t="shared" si="20"/>
        <v/>
      </c>
      <c r="AA311" s="31" t="str">
        <f>IF(D311="","",IF(H311&lt;=$B$16,1,IF(H311&gt;=$B$17,$B$21,MATCH(H311,Aux_CAV!$A$2:$A$121,1))))</f>
        <v/>
      </c>
      <c r="AB311" s="31" t="str">
        <f>IF(D311="","",IF(L311&lt;=$B$16,1,IF(L311&gt;=$B$17,$B$21,MATCH(L311,Aux_CAV!$A$2:$A$121,1))))</f>
        <v/>
      </c>
      <c r="AC311" s="3" t="str">
        <f t="shared" si="21"/>
        <v/>
      </c>
    </row>
    <row r="312" ht="12.75" customHeight="1">
      <c r="A312" s="25" t="str">
        <f t="shared" si="1"/>
        <v/>
      </c>
      <c r="B312" s="29" t="str">
        <f t="array" ref="B312">IF(D312="","",IFERROR(VALUE(INDEX(Vazoes_COLAR!$A$2:$A$200,INT((ROW()-24)/12)+1)),""))</f>
        <v/>
      </c>
      <c r="C312" s="29" t="str">
        <f t="shared" si="2"/>
        <v/>
      </c>
      <c r="D312" s="26" t="str">
        <f t="array" ref="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2" s="26" t="str">
        <f t="shared" si="3"/>
        <v/>
      </c>
      <c r="F312" s="26" t="str">
        <f t="array" ref="F312">IF(D312="","",IFERROR(INDEX(Dados_Evap!$C$2:$N$15,MATCH($B$9,Dados_Evap!$A$2:$A$15,0),C312),0))</f>
        <v/>
      </c>
      <c r="G312" s="26" t="str">
        <f t="shared" si="4"/>
        <v/>
      </c>
      <c r="H312" s="26" t="str">
        <f t="shared" si="22"/>
        <v/>
      </c>
      <c r="I312" s="26" t="str">
        <f t="array" ref="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/>
      </c>
      <c r="J312" s="26" t="str">
        <f t="shared" si="5"/>
        <v/>
      </c>
      <c r="K312" s="26" t="str">
        <f t="shared" si="6"/>
        <v/>
      </c>
      <c r="L312" s="26" t="str">
        <f t="shared" si="7"/>
        <v/>
      </c>
      <c r="M312" s="26" t="str">
        <f t="array" ref="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/>
      </c>
      <c r="N312" s="26" t="str">
        <f t="shared" si="8"/>
        <v/>
      </c>
      <c r="O312" s="26" t="str">
        <f t="shared" si="9"/>
        <v/>
      </c>
      <c r="P312" s="26" t="str">
        <f t="shared" si="10"/>
        <v/>
      </c>
      <c r="Q312" s="26" t="str">
        <f t="shared" si="11"/>
        <v/>
      </c>
      <c r="R312" s="26" t="str">
        <f t="shared" si="12"/>
        <v/>
      </c>
      <c r="S312" s="26" t="str">
        <f t="shared" si="13"/>
        <v/>
      </c>
      <c r="T312" s="26" t="str">
        <f t="shared" si="14"/>
        <v/>
      </c>
      <c r="U312" s="26" t="str">
        <f t="shared" si="15"/>
        <v/>
      </c>
      <c r="V312" s="26" t="str">
        <f t="shared" si="16"/>
        <v/>
      </c>
      <c r="W312" s="26" t="str">
        <f t="shared" si="17"/>
        <v/>
      </c>
      <c r="X312" s="26" t="str">
        <f t="shared" si="18"/>
        <v/>
      </c>
      <c r="Y312" s="26" t="str">
        <f t="shared" si="19"/>
        <v/>
      </c>
      <c r="Z312" s="31" t="str">
        <f t="shared" si="20"/>
        <v/>
      </c>
      <c r="AA312" s="31" t="str">
        <f>IF(D312="","",IF(H312&lt;=$B$16,1,IF(H312&gt;=$B$17,$B$21,MATCH(H312,Aux_CAV!$A$2:$A$121,1))))</f>
        <v/>
      </c>
      <c r="AB312" s="31" t="str">
        <f>IF(D312="","",IF(L312&lt;=$B$16,1,IF(L312&gt;=$B$17,$B$21,MATCH(L312,Aux_CAV!$A$2:$A$121,1))))</f>
        <v/>
      </c>
      <c r="AC312" s="3" t="str">
        <f t="shared" si="21"/>
        <v/>
      </c>
    </row>
    <row r="313" ht="12.75" customHeight="1">
      <c r="A313" s="25" t="str">
        <f t="shared" si="1"/>
        <v/>
      </c>
      <c r="B313" s="29" t="str">
        <f t="array" ref="B313">IF(D313="","",IFERROR(VALUE(INDEX(Vazoes_COLAR!$A$2:$A$200,INT((ROW()-24)/12)+1)),""))</f>
        <v/>
      </c>
      <c r="C313" s="29" t="str">
        <f t="shared" si="2"/>
        <v/>
      </c>
      <c r="D313" s="26" t="str">
        <f t="array" ref="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3" s="26" t="str">
        <f t="shared" si="3"/>
        <v/>
      </c>
      <c r="F313" s="26" t="str">
        <f t="array" ref="F313">IF(D313="","",IFERROR(INDEX(Dados_Evap!$C$2:$N$15,MATCH($B$9,Dados_Evap!$A$2:$A$15,0),C313),0))</f>
        <v/>
      </c>
      <c r="G313" s="26" t="str">
        <f t="shared" si="4"/>
        <v/>
      </c>
      <c r="H313" s="26" t="str">
        <f t="shared" si="22"/>
        <v/>
      </c>
      <c r="I313" s="26" t="str">
        <f t="array" ref="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/>
      </c>
      <c r="J313" s="26" t="str">
        <f t="shared" si="5"/>
        <v/>
      </c>
      <c r="K313" s="26" t="str">
        <f t="shared" si="6"/>
        <v/>
      </c>
      <c r="L313" s="26" t="str">
        <f t="shared" si="7"/>
        <v/>
      </c>
      <c r="M313" s="26" t="str">
        <f t="array" ref="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/>
      </c>
      <c r="N313" s="26" t="str">
        <f t="shared" si="8"/>
        <v/>
      </c>
      <c r="O313" s="26" t="str">
        <f t="shared" si="9"/>
        <v/>
      </c>
      <c r="P313" s="26" t="str">
        <f t="shared" si="10"/>
        <v/>
      </c>
      <c r="Q313" s="26" t="str">
        <f t="shared" si="11"/>
        <v/>
      </c>
      <c r="R313" s="26" t="str">
        <f t="shared" si="12"/>
        <v/>
      </c>
      <c r="S313" s="26" t="str">
        <f t="shared" si="13"/>
        <v/>
      </c>
      <c r="T313" s="26" t="str">
        <f t="shared" si="14"/>
        <v/>
      </c>
      <c r="U313" s="26" t="str">
        <f t="shared" si="15"/>
        <v/>
      </c>
      <c r="V313" s="26" t="str">
        <f t="shared" si="16"/>
        <v/>
      </c>
      <c r="W313" s="26" t="str">
        <f t="shared" si="17"/>
        <v/>
      </c>
      <c r="X313" s="26" t="str">
        <f t="shared" si="18"/>
        <v/>
      </c>
      <c r="Y313" s="26" t="str">
        <f t="shared" si="19"/>
        <v/>
      </c>
      <c r="Z313" s="31" t="str">
        <f t="shared" si="20"/>
        <v/>
      </c>
      <c r="AA313" s="31" t="str">
        <f>IF(D313="","",IF(H313&lt;=$B$16,1,IF(H313&gt;=$B$17,$B$21,MATCH(H313,Aux_CAV!$A$2:$A$121,1))))</f>
        <v/>
      </c>
      <c r="AB313" s="31" t="str">
        <f>IF(D313="","",IF(L313&lt;=$B$16,1,IF(L313&gt;=$B$17,$B$21,MATCH(L313,Aux_CAV!$A$2:$A$121,1))))</f>
        <v/>
      </c>
      <c r="AC313" s="3" t="str">
        <f t="shared" si="21"/>
        <v/>
      </c>
    </row>
    <row r="314" ht="12.75" customHeight="1">
      <c r="A314" s="25" t="str">
        <f t="shared" si="1"/>
        <v/>
      </c>
      <c r="B314" s="29" t="str">
        <f t="array" ref="B314">IF(D314="","",IFERROR(VALUE(INDEX(Vazoes_COLAR!$A$2:$A$200,INT((ROW()-24)/12)+1)),""))</f>
        <v/>
      </c>
      <c r="C314" s="29" t="str">
        <f t="shared" si="2"/>
        <v/>
      </c>
      <c r="D314" s="26" t="str">
        <f t="array" ref="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4" s="26" t="str">
        <f t="shared" si="3"/>
        <v/>
      </c>
      <c r="F314" s="26" t="str">
        <f t="array" ref="F314">IF(D314="","",IFERROR(INDEX(Dados_Evap!$C$2:$N$15,MATCH($B$9,Dados_Evap!$A$2:$A$15,0),C314),0))</f>
        <v/>
      </c>
      <c r="G314" s="26" t="str">
        <f t="shared" si="4"/>
        <v/>
      </c>
      <c r="H314" s="26" t="str">
        <f t="shared" si="22"/>
        <v/>
      </c>
      <c r="I314" s="26" t="str">
        <f t="array" ref="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/>
      </c>
      <c r="J314" s="26" t="str">
        <f t="shared" si="5"/>
        <v/>
      </c>
      <c r="K314" s="26" t="str">
        <f t="shared" si="6"/>
        <v/>
      </c>
      <c r="L314" s="26" t="str">
        <f t="shared" si="7"/>
        <v/>
      </c>
      <c r="M314" s="26" t="str">
        <f t="array" ref="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/>
      </c>
      <c r="N314" s="26" t="str">
        <f t="shared" si="8"/>
        <v/>
      </c>
      <c r="O314" s="26" t="str">
        <f t="shared" si="9"/>
        <v/>
      </c>
      <c r="P314" s="26" t="str">
        <f t="shared" si="10"/>
        <v/>
      </c>
      <c r="Q314" s="26" t="str">
        <f t="shared" si="11"/>
        <v/>
      </c>
      <c r="R314" s="26" t="str">
        <f t="shared" si="12"/>
        <v/>
      </c>
      <c r="S314" s="26" t="str">
        <f t="shared" si="13"/>
        <v/>
      </c>
      <c r="T314" s="26" t="str">
        <f t="shared" si="14"/>
        <v/>
      </c>
      <c r="U314" s="26" t="str">
        <f t="shared" si="15"/>
        <v/>
      </c>
      <c r="V314" s="26" t="str">
        <f t="shared" si="16"/>
        <v/>
      </c>
      <c r="W314" s="26" t="str">
        <f t="shared" si="17"/>
        <v/>
      </c>
      <c r="X314" s="26" t="str">
        <f t="shared" si="18"/>
        <v/>
      </c>
      <c r="Y314" s="26" t="str">
        <f t="shared" si="19"/>
        <v/>
      </c>
      <c r="Z314" s="31" t="str">
        <f t="shared" si="20"/>
        <v/>
      </c>
      <c r="AA314" s="31" t="str">
        <f>IF(D314="","",IF(H314&lt;=$B$16,1,IF(H314&gt;=$B$17,$B$21,MATCH(H314,Aux_CAV!$A$2:$A$121,1))))</f>
        <v/>
      </c>
      <c r="AB314" s="31" t="str">
        <f>IF(D314="","",IF(L314&lt;=$B$16,1,IF(L314&gt;=$B$17,$B$21,MATCH(L314,Aux_CAV!$A$2:$A$121,1))))</f>
        <v/>
      </c>
      <c r="AC314" s="3" t="str">
        <f t="shared" si="21"/>
        <v/>
      </c>
    </row>
    <row r="315" ht="12.75" customHeight="1">
      <c r="A315" s="25" t="str">
        <f t="shared" si="1"/>
        <v/>
      </c>
      <c r="B315" s="29" t="str">
        <f t="array" ref="B315">IF(D315="","",IFERROR(VALUE(INDEX(Vazoes_COLAR!$A$2:$A$200,INT((ROW()-24)/12)+1)),""))</f>
        <v/>
      </c>
      <c r="C315" s="29" t="str">
        <f t="shared" si="2"/>
        <v/>
      </c>
      <c r="D315" s="26" t="str">
        <f t="array" ref="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5" s="26" t="str">
        <f t="shared" si="3"/>
        <v/>
      </c>
      <c r="F315" s="26" t="str">
        <f t="array" ref="F315">IF(D315="","",IFERROR(INDEX(Dados_Evap!$C$2:$N$15,MATCH($B$9,Dados_Evap!$A$2:$A$15,0),C315),0))</f>
        <v/>
      </c>
      <c r="G315" s="26" t="str">
        <f t="shared" si="4"/>
        <v/>
      </c>
      <c r="H315" s="26" t="str">
        <f t="shared" si="22"/>
        <v/>
      </c>
      <c r="I315" s="26" t="str">
        <f t="array" ref="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/>
      </c>
      <c r="J315" s="26" t="str">
        <f t="shared" si="5"/>
        <v/>
      </c>
      <c r="K315" s="26" t="str">
        <f t="shared" si="6"/>
        <v/>
      </c>
      <c r="L315" s="26" t="str">
        <f t="shared" si="7"/>
        <v/>
      </c>
      <c r="M315" s="26" t="str">
        <f t="array" ref="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/>
      </c>
      <c r="N315" s="26" t="str">
        <f t="shared" si="8"/>
        <v/>
      </c>
      <c r="O315" s="26" t="str">
        <f t="shared" si="9"/>
        <v/>
      </c>
      <c r="P315" s="26" t="str">
        <f t="shared" si="10"/>
        <v/>
      </c>
      <c r="Q315" s="26" t="str">
        <f t="shared" si="11"/>
        <v/>
      </c>
      <c r="R315" s="26" t="str">
        <f t="shared" si="12"/>
        <v/>
      </c>
      <c r="S315" s="26" t="str">
        <f t="shared" si="13"/>
        <v/>
      </c>
      <c r="T315" s="26" t="str">
        <f t="shared" si="14"/>
        <v/>
      </c>
      <c r="U315" s="26" t="str">
        <f t="shared" si="15"/>
        <v/>
      </c>
      <c r="V315" s="26" t="str">
        <f t="shared" si="16"/>
        <v/>
      </c>
      <c r="W315" s="26" t="str">
        <f t="shared" si="17"/>
        <v/>
      </c>
      <c r="X315" s="26" t="str">
        <f t="shared" si="18"/>
        <v/>
      </c>
      <c r="Y315" s="26" t="str">
        <f t="shared" si="19"/>
        <v/>
      </c>
      <c r="Z315" s="31" t="str">
        <f t="shared" si="20"/>
        <v/>
      </c>
      <c r="AA315" s="31" t="str">
        <f>IF(D315="","",IF(H315&lt;=$B$16,1,IF(H315&gt;=$B$17,$B$21,MATCH(H315,Aux_CAV!$A$2:$A$121,1))))</f>
        <v/>
      </c>
      <c r="AB315" s="31" t="str">
        <f>IF(D315="","",IF(L315&lt;=$B$16,1,IF(L315&gt;=$B$17,$B$21,MATCH(L315,Aux_CAV!$A$2:$A$121,1))))</f>
        <v/>
      </c>
      <c r="AC315" s="3" t="str">
        <f t="shared" si="21"/>
        <v/>
      </c>
    </row>
    <row r="316" ht="12.75" customHeight="1">
      <c r="A316" s="25" t="str">
        <f t="shared" si="1"/>
        <v/>
      </c>
      <c r="B316" s="29" t="str">
        <f t="array" ref="B316">IF(D316="","",IFERROR(VALUE(INDEX(Vazoes_COLAR!$A$2:$A$200,INT((ROW()-24)/12)+1)),""))</f>
        <v/>
      </c>
      <c r="C316" s="29" t="str">
        <f t="shared" si="2"/>
        <v/>
      </c>
      <c r="D316" s="26" t="str">
        <f t="array" ref="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6" s="26" t="str">
        <f t="shared" si="3"/>
        <v/>
      </c>
      <c r="F316" s="26" t="str">
        <f t="array" ref="F316">IF(D316="","",IFERROR(INDEX(Dados_Evap!$C$2:$N$15,MATCH($B$9,Dados_Evap!$A$2:$A$15,0),C316),0))</f>
        <v/>
      </c>
      <c r="G316" s="26" t="str">
        <f t="shared" si="4"/>
        <v/>
      </c>
      <c r="H316" s="26" t="str">
        <f t="shared" si="22"/>
        <v/>
      </c>
      <c r="I316" s="26" t="str">
        <f t="array" ref="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/>
      </c>
      <c r="J316" s="26" t="str">
        <f t="shared" si="5"/>
        <v/>
      </c>
      <c r="K316" s="26" t="str">
        <f t="shared" si="6"/>
        <v/>
      </c>
      <c r="L316" s="26" t="str">
        <f t="shared" si="7"/>
        <v/>
      </c>
      <c r="M316" s="26" t="str">
        <f t="array" ref="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/>
      </c>
      <c r="N316" s="26" t="str">
        <f t="shared" si="8"/>
        <v/>
      </c>
      <c r="O316" s="26" t="str">
        <f t="shared" si="9"/>
        <v/>
      </c>
      <c r="P316" s="26" t="str">
        <f t="shared" si="10"/>
        <v/>
      </c>
      <c r="Q316" s="26" t="str">
        <f t="shared" si="11"/>
        <v/>
      </c>
      <c r="R316" s="26" t="str">
        <f t="shared" si="12"/>
        <v/>
      </c>
      <c r="S316" s="26" t="str">
        <f t="shared" si="13"/>
        <v/>
      </c>
      <c r="T316" s="26" t="str">
        <f t="shared" si="14"/>
        <v/>
      </c>
      <c r="U316" s="26" t="str">
        <f t="shared" si="15"/>
        <v/>
      </c>
      <c r="V316" s="26" t="str">
        <f t="shared" si="16"/>
        <v/>
      </c>
      <c r="W316" s="26" t="str">
        <f t="shared" si="17"/>
        <v/>
      </c>
      <c r="X316" s="26" t="str">
        <f t="shared" si="18"/>
        <v/>
      </c>
      <c r="Y316" s="26" t="str">
        <f t="shared" si="19"/>
        <v/>
      </c>
      <c r="Z316" s="31" t="str">
        <f t="shared" si="20"/>
        <v/>
      </c>
      <c r="AA316" s="31" t="str">
        <f>IF(D316="","",IF(H316&lt;=$B$16,1,IF(H316&gt;=$B$17,$B$21,MATCH(H316,Aux_CAV!$A$2:$A$121,1))))</f>
        <v/>
      </c>
      <c r="AB316" s="31" t="str">
        <f>IF(D316="","",IF(L316&lt;=$B$16,1,IF(L316&gt;=$B$17,$B$21,MATCH(L316,Aux_CAV!$A$2:$A$121,1))))</f>
        <v/>
      </c>
      <c r="AC316" s="3" t="str">
        <f t="shared" si="21"/>
        <v/>
      </c>
    </row>
    <row r="317" ht="12.75" customHeight="1">
      <c r="A317" s="25" t="str">
        <f t="shared" si="1"/>
        <v/>
      </c>
      <c r="B317" s="29" t="str">
        <f t="array" ref="B317">IF(D317="","",IFERROR(VALUE(INDEX(Vazoes_COLAR!$A$2:$A$200,INT((ROW()-24)/12)+1)),""))</f>
        <v/>
      </c>
      <c r="C317" s="29" t="str">
        <f t="shared" si="2"/>
        <v/>
      </c>
      <c r="D317" s="26" t="str">
        <f t="array" ref="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7" s="26" t="str">
        <f t="shared" si="3"/>
        <v/>
      </c>
      <c r="F317" s="26" t="str">
        <f t="array" ref="F317">IF(D317="","",IFERROR(INDEX(Dados_Evap!$C$2:$N$15,MATCH($B$9,Dados_Evap!$A$2:$A$15,0),C317),0))</f>
        <v/>
      </c>
      <c r="G317" s="26" t="str">
        <f t="shared" si="4"/>
        <v/>
      </c>
      <c r="H317" s="26" t="str">
        <f t="shared" si="22"/>
        <v/>
      </c>
      <c r="I317" s="26" t="str">
        <f t="array" ref="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/>
      </c>
      <c r="J317" s="26" t="str">
        <f t="shared" si="5"/>
        <v/>
      </c>
      <c r="K317" s="26" t="str">
        <f t="shared" si="6"/>
        <v/>
      </c>
      <c r="L317" s="26" t="str">
        <f t="shared" si="7"/>
        <v/>
      </c>
      <c r="M317" s="26" t="str">
        <f t="array" ref="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/>
      </c>
      <c r="N317" s="26" t="str">
        <f t="shared" si="8"/>
        <v/>
      </c>
      <c r="O317" s="26" t="str">
        <f t="shared" si="9"/>
        <v/>
      </c>
      <c r="P317" s="26" t="str">
        <f t="shared" si="10"/>
        <v/>
      </c>
      <c r="Q317" s="26" t="str">
        <f t="shared" si="11"/>
        <v/>
      </c>
      <c r="R317" s="26" t="str">
        <f t="shared" si="12"/>
        <v/>
      </c>
      <c r="S317" s="26" t="str">
        <f t="shared" si="13"/>
        <v/>
      </c>
      <c r="T317" s="26" t="str">
        <f t="shared" si="14"/>
        <v/>
      </c>
      <c r="U317" s="26" t="str">
        <f t="shared" si="15"/>
        <v/>
      </c>
      <c r="V317" s="26" t="str">
        <f t="shared" si="16"/>
        <v/>
      </c>
      <c r="W317" s="26" t="str">
        <f t="shared" si="17"/>
        <v/>
      </c>
      <c r="X317" s="26" t="str">
        <f t="shared" si="18"/>
        <v/>
      </c>
      <c r="Y317" s="26" t="str">
        <f t="shared" si="19"/>
        <v/>
      </c>
      <c r="Z317" s="31" t="str">
        <f t="shared" si="20"/>
        <v/>
      </c>
      <c r="AA317" s="31" t="str">
        <f>IF(D317="","",IF(H317&lt;=$B$16,1,IF(H317&gt;=$B$17,$B$21,MATCH(H317,Aux_CAV!$A$2:$A$121,1))))</f>
        <v/>
      </c>
      <c r="AB317" s="31" t="str">
        <f>IF(D317="","",IF(L317&lt;=$B$16,1,IF(L317&gt;=$B$17,$B$21,MATCH(L317,Aux_CAV!$A$2:$A$121,1))))</f>
        <v/>
      </c>
      <c r="AC317" s="3" t="str">
        <f t="shared" si="21"/>
        <v/>
      </c>
    </row>
    <row r="318" ht="12.75" customHeight="1">
      <c r="A318" s="25" t="str">
        <f t="shared" si="1"/>
        <v/>
      </c>
      <c r="B318" s="29" t="str">
        <f t="array" ref="B318">IF(D318="","",IFERROR(VALUE(INDEX(Vazoes_COLAR!$A$2:$A$200,INT((ROW()-24)/12)+1)),""))</f>
        <v/>
      </c>
      <c r="C318" s="29" t="str">
        <f t="shared" si="2"/>
        <v/>
      </c>
      <c r="D318" s="26" t="str">
        <f t="array" ref="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8" s="26" t="str">
        <f t="shared" si="3"/>
        <v/>
      </c>
      <c r="F318" s="26" t="str">
        <f t="array" ref="F318">IF(D318="","",IFERROR(INDEX(Dados_Evap!$C$2:$N$15,MATCH($B$9,Dados_Evap!$A$2:$A$15,0),C318),0))</f>
        <v/>
      </c>
      <c r="G318" s="26" t="str">
        <f t="shared" si="4"/>
        <v/>
      </c>
      <c r="H318" s="26" t="str">
        <f t="shared" si="22"/>
        <v/>
      </c>
      <c r="I318" s="26" t="str">
        <f t="array" ref="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/>
      </c>
      <c r="J318" s="26" t="str">
        <f t="shared" si="5"/>
        <v/>
      </c>
      <c r="K318" s="26" t="str">
        <f t="shared" si="6"/>
        <v/>
      </c>
      <c r="L318" s="26" t="str">
        <f t="shared" si="7"/>
        <v/>
      </c>
      <c r="M318" s="26" t="str">
        <f t="array" ref="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/>
      </c>
      <c r="N318" s="26" t="str">
        <f t="shared" si="8"/>
        <v/>
      </c>
      <c r="O318" s="26" t="str">
        <f t="shared" si="9"/>
        <v/>
      </c>
      <c r="P318" s="26" t="str">
        <f t="shared" si="10"/>
        <v/>
      </c>
      <c r="Q318" s="26" t="str">
        <f t="shared" si="11"/>
        <v/>
      </c>
      <c r="R318" s="26" t="str">
        <f t="shared" si="12"/>
        <v/>
      </c>
      <c r="S318" s="26" t="str">
        <f t="shared" si="13"/>
        <v/>
      </c>
      <c r="T318" s="26" t="str">
        <f t="shared" si="14"/>
        <v/>
      </c>
      <c r="U318" s="26" t="str">
        <f t="shared" si="15"/>
        <v/>
      </c>
      <c r="V318" s="26" t="str">
        <f t="shared" si="16"/>
        <v/>
      </c>
      <c r="W318" s="26" t="str">
        <f t="shared" si="17"/>
        <v/>
      </c>
      <c r="X318" s="26" t="str">
        <f t="shared" si="18"/>
        <v/>
      </c>
      <c r="Y318" s="26" t="str">
        <f t="shared" si="19"/>
        <v/>
      </c>
      <c r="Z318" s="31" t="str">
        <f t="shared" si="20"/>
        <v/>
      </c>
      <c r="AA318" s="31" t="str">
        <f>IF(D318="","",IF(H318&lt;=$B$16,1,IF(H318&gt;=$B$17,$B$21,MATCH(H318,Aux_CAV!$A$2:$A$121,1))))</f>
        <v/>
      </c>
      <c r="AB318" s="31" t="str">
        <f>IF(D318="","",IF(L318&lt;=$B$16,1,IF(L318&gt;=$B$17,$B$21,MATCH(L318,Aux_CAV!$A$2:$A$121,1))))</f>
        <v/>
      </c>
      <c r="AC318" s="3" t="str">
        <f t="shared" si="21"/>
        <v/>
      </c>
    </row>
    <row r="319" ht="12.75" customHeight="1">
      <c r="A319" s="25" t="str">
        <f t="shared" si="1"/>
        <v/>
      </c>
      <c r="B319" s="29" t="str">
        <f t="array" ref="B319">IF(D319="","",IFERROR(VALUE(INDEX(Vazoes_COLAR!$A$2:$A$200,INT((ROW()-24)/12)+1)),""))</f>
        <v/>
      </c>
      <c r="C319" s="29" t="str">
        <f t="shared" si="2"/>
        <v/>
      </c>
      <c r="D319" s="26" t="str">
        <f t="array" ref="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9" s="26" t="str">
        <f t="shared" si="3"/>
        <v/>
      </c>
      <c r="F319" s="26" t="str">
        <f t="array" ref="F319">IF(D319="","",IFERROR(INDEX(Dados_Evap!$C$2:$N$15,MATCH($B$9,Dados_Evap!$A$2:$A$15,0),C319),0))</f>
        <v/>
      </c>
      <c r="G319" s="26" t="str">
        <f t="shared" si="4"/>
        <v/>
      </c>
      <c r="H319" s="26" t="str">
        <f t="shared" si="22"/>
        <v/>
      </c>
      <c r="I319" s="26" t="str">
        <f t="array" ref="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/>
      </c>
      <c r="J319" s="26" t="str">
        <f t="shared" si="5"/>
        <v/>
      </c>
      <c r="K319" s="26" t="str">
        <f t="shared" si="6"/>
        <v/>
      </c>
      <c r="L319" s="26" t="str">
        <f t="shared" si="7"/>
        <v/>
      </c>
      <c r="M319" s="26" t="str">
        <f t="array" ref="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/>
      </c>
      <c r="N319" s="26" t="str">
        <f t="shared" si="8"/>
        <v/>
      </c>
      <c r="O319" s="26" t="str">
        <f t="shared" si="9"/>
        <v/>
      </c>
      <c r="P319" s="26" t="str">
        <f t="shared" si="10"/>
        <v/>
      </c>
      <c r="Q319" s="26" t="str">
        <f t="shared" si="11"/>
        <v/>
      </c>
      <c r="R319" s="26" t="str">
        <f t="shared" si="12"/>
        <v/>
      </c>
      <c r="S319" s="26" t="str">
        <f t="shared" si="13"/>
        <v/>
      </c>
      <c r="T319" s="26" t="str">
        <f t="shared" si="14"/>
        <v/>
      </c>
      <c r="U319" s="26" t="str">
        <f t="shared" si="15"/>
        <v/>
      </c>
      <c r="V319" s="26" t="str">
        <f t="shared" si="16"/>
        <v/>
      </c>
      <c r="W319" s="26" t="str">
        <f t="shared" si="17"/>
        <v/>
      </c>
      <c r="X319" s="26" t="str">
        <f t="shared" si="18"/>
        <v/>
      </c>
      <c r="Y319" s="26" t="str">
        <f t="shared" si="19"/>
        <v/>
      </c>
      <c r="Z319" s="31" t="str">
        <f t="shared" si="20"/>
        <v/>
      </c>
      <c r="AA319" s="31" t="str">
        <f>IF(D319="","",IF(H319&lt;=$B$16,1,IF(H319&gt;=$B$17,$B$21,MATCH(H319,Aux_CAV!$A$2:$A$121,1))))</f>
        <v/>
      </c>
      <c r="AB319" s="31" t="str">
        <f>IF(D319="","",IF(L319&lt;=$B$16,1,IF(L319&gt;=$B$17,$B$21,MATCH(L319,Aux_CAV!$A$2:$A$121,1))))</f>
        <v/>
      </c>
      <c r="AC319" s="3" t="str">
        <f t="shared" si="21"/>
        <v/>
      </c>
    </row>
    <row r="320" ht="12.75" customHeight="1">
      <c r="A320" s="25" t="str">
        <f t="shared" si="1"/>
        <v/>
      </c>
      <c r="B320" s="29" t="str">
        <f t="array" ref="B320">IF(D320="","",IFERROR(VALUE(INDEX(Vazoes_COLAR!$A$2:$A$200,INT((ROW()-24)/12)+1)),""))</f>
        <v/>
      </c>
      <c r="C320" s="29" t="str">
        <f t="shared" si="2"/>
        <v/>
      </c>
      <c r="D320" s="26" t="str">
        <f t="array" ref="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0" s="26" t="str">
        <f t="shared" si="3"/>
        <v/>
      </c>
      <c r="F320" s="26" t="str">
        <f t="array" ref="F320">IF(D320="","",IFERROR(INDEX(Dados_Evap!$C$2:$N$15,MATCH($B$9,Dados_Evap!$A$2:$A$15,0),C320),0))</f>
        <v/>
      </c>
      <c r="G320" s="26" t="str">
        <f t="shared" si="4"/>
        <v/>
      </c>
      <c r="H320" s="26" t="str">
        <f t="shared" si="22"/>
        <v/>
      </c>
      <c r="I320" s="26" t="str">
        <f t="array" ref="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/>
      </c>
      <c r="J320" s="26" t="str">
        <f t="shared" si="5"/>
        <v/>
      </c>
      <c r="K320" s="26" t="str">
        <f t="shared" si="6"/>
        <v/>
      </c>
      <c r="L320" s="26" t="str">
        <f t="shared" si="7"/>
        <v/>
      </c>
      <c r="M320" s="26" t="str">
        <f t="array" ref="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/>
      </c>
      <c r="N320" s="26" t="str">
        <f t="shared" si="8"/>
        <v/>
      </c>
      <c r="O320" s="26" t="str">
        <f t="shared" si="9"/>
        <v/>
      </c>
      <c r="P320" s="26" t="str">
        <f t="shared" si="10"/>
        <v/>
      </c>
      <c r="Q320" s="26" t="str">
        <f t="shared" si="11"/>
        <v/>
      </c>
      <c r="R320" s="26" t="str">
        <f t="shared" si="12"/>
        <v/>
      </c>
      <c r="S320" s="26" t="str">
        <f t="shared" si="13"/>
        <v/>
      </c>
      <c r="T320" s="26" t="str">
        <f t="shared" si="14"/>
        <v/>
      </c>
      <c r="U320" s="26" t="str">
        <f t="shared" si="15"/>
        <v/>
      </c>
      <c r="V320" s="26" t="str">
        <f t="shared" si="16"/>
        <v/>
      </c>
      <c r="W320" s="26" t="str">
        <f t="shared" si="17"/>
        <v/>
      </c>
      <c r="X320" s="26" t="str">
        <f t="shared" si="18"/>
        <v/>
      </c>
      <c r="Y320" s="26" t="str">
        <f t="shared" si="19"/>
        <v/>
      </c>
      <c r="Z320" s="31" t="str">
        <f t="shared" si="20"/>
        <v/>
      </c>
      <c r="AA320" s="31" t="str">
        <f>IF(D320="","",IF(H320&lt;=$B$16,1,IF(H320&gt;=$B$17,$B$21,MATCH(H320,Aux_CAV!$A$2:$A$121,1))))</f>
        <v/>
      </c>
      <c r="AB320" s="31" t="str">
        <f>IF(D320="","",IF(L320&lt;=$B$16,1,IF(L320&gt;=$B$17,$B$21,MATCH(L320,Aux_CAV!$A$2:$A$121,1))))</f>
        <v/>
      </c>
      <c r="AC320" s="3" t="str">
        <f t="shared" si="21"/>
        <v/>
      </c>
    </row>
    <row r="321" ht="12.75" customHeight="1">
      <c r="A321" s="25" t="str">
        <f t="shared" si="1"/>
        <v/>
      </c>
      <c r="B321" s="29" t="str">
        <f t="array" ref="B321">IF(D321="","",IFERROR(VALUE(INDEX(Vazoes_COLAR!$A$2:$A$200,INT((ROW()-24)/12)+1)),""))</f>
        <v/>
      </c>
      <c r="C321" s="29" t="str">
        <f t="shared" si="2"/>
        <v/>
      </c>
      <c r="D321" s="26" t="str">
        <f t="array" ref="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1" s="26" t="str">
        <f t="shared" si="3"/>
        <v/>
      </c>
      <c r="F321" s="26" t="str">
        <f t="array" ref="F321">IF(D321="","",IFERROR(INDEX(Dados_Evap!$C$2:$N$15,MATCH($B$9,Dados_Evap!$A$2:$A$15,0),C321),0))</f>
        <v/>
      </c>
      <c r="G321" s="26" t="str">
        <f t="shared" si="4"/>
        <v/>
      </c>
      <c r="H321" s="26" t="str">
        <f t="shared" si="22"/>
        <v/>
      </c>
      <c r="I321" s="26" t="str">
        <f t="array" ref="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/>
      </c>
      <c r="J321" s="26" t="str">
        <f t="shared" si="5"/>
        <v/>
      </c>
      <c r="K321" s="26" t="str">
        <f t="shared" si="6"/>
        <v/>
      </c>
      <c r="L321" s="26" t="str">
        <f t="shared" si="7"/>
        <v/>
      </c>
      <c r="M321" s="26" t="str">
        <f t="array" ref="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/>
      </c>
      <c r="N321" s="26" t="str">
        <f t="shared" si="8"/>
        <v/>
      </c>
      <c r="O321" s="26" t="str">
        <f t="shared" si="9"/>
        <v/>
      </c>
      <c r="P321" s="26" t="str">
        <f t="shared" si="10"/>
        <v/>
      </c>
      <c r="Q321" s="26" t="str">
        <f t="shared" si="11"/>
        <v/>
      </c>
      <c r="R321" s="26" t="str">
        <f t="shared" si="12"/>
        <v/>
      </c>
      <c r="S321" s="26" t="str">
        <f t="shared" si="13"/>
        <v/>
      </c>
      <c r="T321" s="26" t="str">
        <f t="shared" si="14"/>
        <v/>
      </c>
      <c r="U321" s="26" t="str">
        <f t="shared" si="15"/>
        <v/>
      </c>
      <c r="V321" s="26" t="str">
        <f t="shared" si="16"/>
        <v/>
      </c>
      <c r="W321" s="26" t="str">
        <f t="shared" si="17"/>
        <v/>
      </c>
      <c r="X321" s="26" t="str">
        <f t="shared" si="18"/>
        <v/>
      </c>
      <c r="Y321" s="26" t="str">
        <f t="shared" si="19"/>
        <v/>
      </c>
      <c r="Z321" s="31" t="str">
        <f t="shared" si="20"/>
        <v/>
      </c>
      <c r="AA321" s="31" t="str">
        <f>IF(D321="","",IF(H321&lt;=$B$16,1,IF(H321&gt;=$B$17,$B$21,MATCH(H321,Aux_CAV!$A$2:$A$121,1))))</f>
        <v/>
      </c>
      <c r="AB321" s="31" t="str">
        <f>IF(D321="","",IF(L321&lt;=$B$16,1,IF(L321&gt;=$B$17,$B$21,MATCH(L321,Aux_CAV!$A$2:$A$121,1))))</f>
        <v/>
      </c>
      <c r="AC321" s="3" t="str">
        <f t="shared" si="21"/>
        <v/>
      </c>
    </row>
    <row r="322" ht="12.75" customHeight="1">
      <c r="A322" s="25" t="str">
        <f t="shared" si="1"/>
        <v/>
      </c>
      <c r="B322" s="29" t="str">
        <f t="array" ref="B322">IF(D322="","",IFERROR(VALUE(INDEX(Vazoes_COLAR!$A$2:$A$200,INT((ROW()-24)/12)+1)),""))</f>
        <v/>
      </c>
      <c r="C322" s="29" t="str">
        <f t="shared" si="2"/>
        <v/>
      </c>
      <c r="D322" s="26" t="str">
        <f t="array" ref="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2" s="26" t="str">
        <f t="shared" si="3"/>
        <v/>
      </c>
      <c r="F322" s="26" t="str">
        <f t="array" ref="F322">IF(D322="","",IFERROR(INDEX(Dados_Evap!$C$2:$N$15,MATCH($B$9,Dados_Evap!$A$2:$A$15,0),C322),0))</f>
        <v/>
      </c>
      <c r="G322" s="26" t="str">
        <f t="shared" si="4"/>
        <v/>
      </c>
      <c r="H322" s="26" t="str">
        <f t="shared" si="22"/>
        <v/>
      </c>
      <c r="I322" s="26" t="str">
        <f t="array" ref="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/>
      </c>
      <c r="J322" s="26" t="str">
        <f t="shared" si="5"/>
        <v/>
      </c>
      <c r="K322" s="26" t="str">
        <f t="shared" si="6"/>
        <v/>
      </c>
      <c r="L322" s="26" t="str">
        <f t="shared" si="7"/>
        <v/>
      </c>
      <c r="M322" s="26" t="str">
        <f t="array" ref="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/>
      </c>
      <c r="N322" s="26" t="str">
        <f t="shared" si="8"/>
        <v/>
      </c>
      <c r="O322" s="26" t="str">
        <f t="shared" si="9"/>
        <v/>
      </c>
      <c r="P322" s="26" t="str">
        <f t="shared" si="10"/>
        <v/>
      </c>
      <c r="Q322" s="26" t="str">
        <f t="shared" si="11"/>
        <v/>
      </c>
      <c r="R322" s="26" t="str">
        <f t="shared" si="12"/>
        <v/>
      </c>
      <c r="S322" s="26" t="str">
        <f t="shared" si="13"/>
        <v/>
      </c>
      <c r="T322" s="26" t="str">
        <f t="shared" si="14"/>
        <v/>
      </c>
      <c r="U322" s="26" t="str">
        <f t="shared" si="15"/>
        <v/>
      </c>
      <c r="V322" s="26" t="str">
        <f t="shared" si="16"/>
        <v/>
      </c>
      <c r="W322" s="26" t="str">
        <f t="shared" si="17"/>
        <v/>
      </c>
      <c r="X322" s="26" t="str">
        <f t="shared" si="18"/>
        <v/>
      </c>
      <c r="Y322" s="26" t="str">
        <f t="shared" si="19"/>
        <v/>
      </c>
      <c r="Z322" s="31" t="str">
        <f t="shared" si="20"/>
        <v/>
      </c>
      <c r="AA322" s="31" t="str">
        <f>IF(D322="","",IF(H322&lt;=$B$16,1,IF(H322&gt;=$B$17,$B$21,MATCH(H322,Aux_CAV!$A$2:$A$121,1))))</f>
        <v/>
      </c>
      <c r="AB322" s="31" t="str">
        <f>IF(D322="","",IF(L322&lt;=$B$16,1,IF(L322&gt;=$B$17,$B$21,MATCH(L322,Aux_CAV!$A$2:$A$121,1))))</f>
        <v/>
      </c>
      <c r="AC322" s="3" t="str">
        <f t="shared" si="21"/>
        <v/>
      </c>
    </row>
    <row r="323" ht="12.75" customHeight="1">
      <c r="A323" s="25" t="str">
        <f t="shared" si="1"/>
        <v/>
      </c>
      <c r="B323" s="29" t="str">
        <f t="array" ref="B323">IF(D323="","",IFERROR(VALUE(INDEX(Vazoes_COLAR!$A$2:$A$200,INT((ROW()-24)/12)+1)),""))</f>
        <v/>
      </c>
      <c r="C323" s="29" t="str">
        <f t="shared" si="2"/>
        <v/>
      </c>
      <c r="D323" s="26" t="str">
        <f t="array" ref="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3" s="26" t="str">
        <f t="shared" si="3"/>
        <v/>
      </c>
      <c r="F323" s="26" t="str">
        <f t="array" ref="F323">IF(D323="","",IFERROR(INDEX(Dados_Evap!$C$2:$N$15,MATCH($B$9,Dados_Evap!$A$2:$A$15,0),C323),0))</f>
        <v/>
      </c>
      <c r="G323" s="26" t="str">
        <f t="shared" si="4"/>
        <v/>
      </c>
      <c r="H323" s="26" t="str">
        <f t="shared" si="22"/>
        <v/>
      </c>
      <c r="I323" s="26" t="str">
        <f t="array" ref="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/>
      </c>
      <c r="J323" s="26" t="str">
        <f t="shared" si="5"/>
        <v/>
      </c>
      <c r="K323" s="26" t="str">
        <f t="shared" si="6"/>
        <v/>
      </c>
      <c r="L323" s="26" t="str">
        <f t="shared" si="7"/>
        <v/>
      </c>
      <c r="M323" s="26" t="str">
        <f t="array" ref="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/>
      </c>
      <c r="N323" s="26" t="str">
        <f t="shared" si="8"/>
        <v/>
      </c>
      <c r="O323" s="26" t="str">
        <f t="shared" si="9"/>
        <v/>
      </c>
      <c r="P323" s="26" t="str">
        <f t="shared" si="10"/>
        <v/>
      </c>
      <c r="Q323" s="26" t="str">
        <f t="shared" si="11"/>
        <v/>
      </c>
      <c r="R323" s="26" t="str">
        <f t="shared" si="12"/>
        <v/>
      </c>
      <c r="S323" s="26" t="str">
        <f t="shared" si="13"/>
        <v/>
      </c>
      <c r="T323" s="26" t="str">
        <f t="shared" si="14"/>
        <v/>
      </c>
      <c r="U323" s="26" t="str">
        <f t="shared" si="15"/>
        <v/>
      </c>
      <c r="V323" s="26" t="str">
        <f t="shared" si="16"/>
        <v/>
      </c>
      <c r="W323" s="26" t="str">
        <f t="shared" si="17"/>
        <v/>
      </c>
      <c r="X323" s="26" t="str">
        <f t="shared" si="18"/>
        <v/>
      </c>
      <c r="Y323" s="26" t="str">
        <f t="shared" si="19"/>
        <v/>
      </c>
      <c r="Z323" s="31" t="str">
        <f t="shared" si="20"/>
        <v/>
      </c>
      <c r="AA323" s="31" t="str">
        <f>IF(D323="","",IF(H323&lt;=$B$16,1,IF(H323&gt;=$B$17,$B$21,MATCH(H323,Aux_CAV!$A$2:$A$121,1))))</f>
        <v/>
      </c>
      <c r="AB323" s="31" t="str">
        <f>IF(D323="","",IF(L323&lt;=$B$16,1,IF(L323&gt;=$B$17,$B$21,MATCH(L323,Aux_CAV!$A$2:$A$121,1))))</f>
        <v/>
      </c>
      <c r="AC323" s="3" t="str">
        <f t="shared" si="21"/>
        <v/>
      </c>
    </row>
    <row r="324" ht="12.75" customHeight="1">
      <c r="A324" s="25" t="str">
        <f t="shared" si="1"/>
        <v/>
      </c>
      <c r="B324" s="29" t="str">
        <f t="array" ref="B324">IF(D324="","",IFERROR(VALUE(INDEX(Vazoes_COLAR!$A$2:$A$200,INT((ROW()-24)/12)+1)),""))</f>
        <v/>
      </c>
      <c r="C324" s="29" t="str">
        <f t="shared" si="2"/>
        <v/>
      </c>
      <c r="D324" s="26" t="str">
        <f t="array" ref="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4" s="26" t="str">
        <f t="shared" si="3"/>
        <v/>
      </c>
      <c r="F324" s="26" t="str">
        <f t="array" ref="F324">IF(D324="","",IFERROR(INDEX(Dados_Evap!$C$2:$N$15,MATCH($B$9,Dados_Evap!$A$2:$A$15,0),C324),0))</f>
        <v/>
      </c>
      <c r="G324" s="26" t="str">
        <f t="shared" si="4"/>
        <v/>
      </c>
      <c r="H324" s="26" t="str">
        <f t="shared" si="22"/>
        <v/>
      </c>
      <c r="I324" s="26" t="str">
        <f t="array" ref="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/>
      </c>
      <c r="J324" s="26" t="str">
        <f t="shared" si="5"/>
        <v/>
      </c>
      <c r="K324" s="26" t="str">
        <f t="shared" si="6"/>
        <v/>
      </c>
      <c r="L324" s="26" t="str">
        <f t="shared" si="7"/>
        <v/>
      </c>
      <c r="M324" s="26" t="str">
        <f t="array" ref="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/>
      </c>
      <c r="N324" s="26" t="str">
        <f t="shared" si="8"/>
        <v/>
      </c>
      <c r="O324" s="26" t="str">
        <f t="shared" si="9"/>
        <v/>
      </c>
      <c r="P324" s="26" t="str">
        <f t="shared" si="10"/>
        <v/>
      </c>
      <c r="Q324" s="26" t="str">
        <f t="shared" si="11"/>
        <v/>
      </c>
      <c r="R324" s="26" t="str">
        <f t="shared" si="12"/>
        <v/>
      </c>
      <c r="S324" s="26" t="str">
        <f t="shared" si="13"/>
        <v/>
      </c>
      <c r="T324" s="26" t="str">
        <f t="shared" si="14"/>
        <v/>
      </c>
      <c r="U324" s="26" t="str">
        <f t="shared" si="15"/>
        <v/>
      </c>
      <c r="V324" s="26" t="str">
        <f t="shared" si="16"/>
        <v/>
      </c>
      <c r="W324" s="26" t="str">
        <f t="shared" si="17"/>
        <v/>
      </c>
      <c r="X324" s="26" t="str">
        <f t="shared" si="18"/>
        <v/>
      </c>
      <c r="Y324" s="26" t="str">
        <f t="shared" si="19"/>
        <v/>
      </c>
      <c r="Z324" s="31" t="str">
        <f t="shared" si="20"/>
        <v/>
      </c>
      <c r="AA324" s="31" t="str">
        <f>IF(D324="","",IF(H324&lt;=$B$16,1,IF(H324&gt;=$B$17,$B$21,MATCH(H324,Aux_CAV!$A$2:$A$121,1))))</f>
        <v/>
      </c>
      <c r="AB324" s="31" t="str">
        <f>IF(D324="","",IF(L324&lt;=$B$16,1,IF(L324&gt;=$B$17,$B$21,MATCH(L324,Aux_CAV!$A$2:$A$121,1))))</f>
        <v/>
      </c>
      <c r="AC324" s="3" t="str">
        <f t="shared" si="21"/>
        <v/>
      </c>
    </row>
    <row r="325" ht="12.75" customHeight="1">
      <c r="A325" s="25" t="str">
        <f t="shared" si="1"/>
        <v/>
      </c>
      <c r="B325" s="29" t="str">
        <f t="array" ref="B325">IF(D325="","",IFERROR(VALUE(INDEX(Vazoes_COLAR!$A$2:$A$200,INT((ROW()-24)/12)+1)),""))</f>
        <v/>
      </c>
      <c r="C325" s="29" t="str">
        <f t="shared" si="2"/>
        <v/>
      </c>
      <c r="D325" s="26" t="str">
        <f t="array" ref="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5" s="26" t="str">
        <f t="shared" si="3"/>
        <v/>
      </c>
      <c r="F325" s="26" t="str">
        <f t="array" ref="F325">IF(D325="","",IFERROR(INDEX(Dados_Evap!$C$2:$N$15,MATCH($B$9,Dados_Evap!$A$2:$A$15,0),C325),0))</f>
        <v/>
      </c>
      <c r="G325" s="26" t="str">
        <f t="shared" si="4"/>
        <v/>
      </c>
      <c r="H325" s="26" t="str">
        <f t="shared" si="22"/>
        <v/>
      </c>
      <c r="I325" s="26" t="str">
        <f t="array" ref="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/>
      </c>
      <c r="J325" s="26" t="str">
        <f t="shared" si="5"/>
        <v/>
      </c>
      <c r="K325" s="26" t="str">
        <f t="shared" si="6"/>
        <v/>
      </c>
      <c r="L325" s="26" t="str">
        <f t="shared" si="7"/>
        <v/>
      </c>
      <c r="M325" s="26" t="str">
        <f t="array" ref="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/>
      </c>
      <c r="N325" s="26" t="str">
        <f t="shared" si="8"/>
        <v/>
      </c>
      <c r="O325" s="26" t="str">
        <f t="shared" si="9"/>
        <v/>
      </c>
      <c r="P325" s="26" t="str">
        <f t="shared" si="10"/>
        <v/>
      </c>
      <c r="Q325" s="26" t="str">
        <f t="shared" si="11"/>
        <v/>
      </c>
      <c r="R325" s="26" t="str">
        <f t="shared" si="12"/>
        <v/>
      </c>
      <c r="S325" s="26" t="str">
        <f t="shared" si="13"/>
        <v/>
      </c>
      <c r="T325" s="26" t="str">
        <f t="shared" si="14"/>
        <v/>
      </c>
      <c r="U325" s="26" t="str">
        <f t="shared" si="15"/>
        <v/>
      </c>
      <c r="V325" s="26" t="str">
        <f t="shared" si="16"/>
        <v/>
      </c>
      <c r="W325" s="26" t="str">
        <f t="shared" si="17"/>
        <v/>
      </c>
      <c r="X325" s="26" t="str">
        <f t="shared" si="18"/>
        <v/>
      </c>
      <c r="Y325" s="26" t="str">
        <f t="shared" si="19"/>
        <v/>
      </c>
      <c r="Z325" s="31" t="str">
        <f t="shared" si="20"/>
        <v/>
      </c>
      <c r="AA325" s="31" t="str">
        <f>IF(D325="","",IF(H325&lt;=$B$16,1,IF(H325&gt;=$B$17,$B$21,MATCH(H325,Aux_CAV!$A$2:$A$121,1))))</f>
        <v/>
      </c>
      <c r="AB325" s="31" t="str">
        <f>IF(D325="","",IF(L325&lt;=$B$16,1,IF(L325&gt;=$B$17,$B$21,MATCH(L325,Aux_CAV!$A$2:$A$121,1))))</f>
        <v/>
      </c>
      <c r="AC325" s="3" t="str">
        <f t="shared" si="21"/>
        <v/>
      </c>
    </row>
    <row r="326" ht="12.75" customHeight="1">
      <c r="A326" s="25" t="str">
        <f t="shared" si="1"/>
        <v/>
      </c>
      <c r="B326" s="29" t="str">
        <f t="array" ref="B326">IF(D326="","",IFERROR(VALUE(INDEX(Vazoes_COLAR!$A$2:$A$200,INT((ROW()-24)/12)+1)),""))</f>
        <v/>
      </c>
      <c r="C326" s="29" t="str">
        <f t="shared" si="2"/>
        <v/>
      </c>
      <c r="D326" s="26" t="str">
        <f t="array" ref="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6" s="26" t="str">
        <f t="shared" si="3"/>
        <v/>
      </c>
      <c r="F326" s="26" t="str">
        <f t="array" ref="F326">IF(D326="","",IFERROR(INDEX(Dados_Evap!$C$2:$N$15,MATCH($B$9,Dados_Evap!$A$2:$A$15,0),C326),0))</f>
        <v/>
      </c>
      <c r="G326" s="26" t="str">
        <f t="shared" si="4"/>
        <v/>
      </c>
      <c r="H326" s="26" t="str">
        <f t="shared" si="22"/>
        <v/>
      </c>
      <c r="I326" s="26" t="str">
        <f t="array" ref="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/>
      </c>
      <c r="J326" s="26" t="str">
        <f t="shared" si="5"/>
        <v/>
      </c>
      <c r="K326" s="26" t="str">
        <f t="shared" si="6"/>
        <v/>
      </c>
      <c r="L326" s="26" t="str">
        <f t="shared" si="7"/>
        <v/>
      </c>
      <c r="M326" s="26" t="str">
        <f t="array" ref="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/>
      </c>
      <c r="N326" s="26" t="str">
        <f t="shared" si="8"/>
        <v/>
      </c>
      <c r="O326" s="26" t="str">
        <f t="shared" si="9"/>
        <v/>
      </c>
      <c r="P326" s="26" t="str">
        <f t="shared" si="10"/>
        <v/>
      </c>
      <c r="Q326" s="26" t="str">
        <f t="shared" si="11"/>
        <v/>
      </c>
      <c r="R326" s="26" t="str">
        <f t="shared" si="12"/>
        <v/>
      </c>
      <c r="S326" s="26" t="str">
        <f t="shared" si="13"/>
        <v/>
      </c>
      <c r="T326" s="26" t="str">
        <f t="shared" si="14"/>
        <v/>
      </c>
      <c r="U326" s="26" t="str">
        <f t="shared" si="15"/>
        <v/>
      </c>
      <c r="V326" s="26" t="str">
        <f t="shared" si="16"/>
        <v/>
      </c>
      <c r="W326" s="26" t="str">
        <f t="shared" si="17"/>
        <v/>
      </c>
      <c r="X326" s="26" t="str">
        <f t="shared" si="18"/>
        <v/>
      </c>
      <c r="Y326" s="26" t="str">
        <f t="shared" si="19"/>
        <v/>
      </c>
      <c r="Z326" s="31" t="str">
        <f t="shared" si="20"/>
        <v/>
      </c>
      <c r="AA326" s="31" t="str">
        <f>IF(D326="","",IF(H326&lt;=$B$16,1,IF(H326&gt;=$B$17,$B$21,MATCH(H326,Aux_CAV!$A$2:$A$121,1))))</f>
        <v/>
      </c>
      <c r="AB326" s="31" t="str">
        <f>IF(D326="","",IF(L326&lt;=$B$16,1,IF(L326&gt;=$B$17,$B$21,MATCH(L326,Aux_CAV!$A$2:$A$121,1))))</f>
        <v/>
      </c>
      <c r="AC326" s="3" t="str">
        <f t="shared" si="21"/>
        <v/>
      </c>
    </row>
    <row r="327" ht="12.75" customHeight="1">
      <c r="A327" s="25" t="str">
        <f t="shared" si="1"/>
        <v/>
      </c>
      <c r="B327" s="29" t="str">
        <f t="array" ref="B327">IF(D327="","",IFERROR(VALUE(INDEX(Vazoes_COLAR!$A$2:$A$200,INT((ROW()-24)/12)+1)),""))</f>
        <v/>
      </c>
      <c r="C327" s="29" t="str">
        <f t="shared" si="2"/>
        <v/>
      </c>
      <c r="D327" s="26" t="str">
        <f t="array" ref="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7" s="26" t="str">
        <f t="shared" si="3"/>
        <v/>
      </c>
      <c r="F327" s="26" t="str">
        <f t="array" ref="F327">IF(D327="","",IFERROR(INDEX(Dados_Evap!$C$2:$N$15,MATCH($B$9,Dados_Evap!$A$2:$A$15,0),C327),0))</f>
        <v/>
      </c>
      <c r="G327" s="26" t="str">
        <f t="shared" si="4"/>
        <v/>
      </c>
      <c r="H327" s="26" t="str">
        <f t="shared" si="22"/>
        <v/>
      </c>
      <c r="I327" s="26" t="str">
        <f t="array" ref="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/>
      </c>
      <c r="J327" s="26" t="str">
        <f t="shared" si="5"/>
        <v/>
      </c>
      <c r="K327" s="26" t="str">
        <f t="shared" si="6"/>
        <v/>
      </c>
      <c r="L327" s="26" t="str">
        <f t="shared" si="7"/>
        <v/>
      </c>
      <c r="M327" s="26" t="str">
        <f t="array" ref="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/>
      </c>
      <c r="N327" s="26" t="str">
        <f t="shared" si="8"/>
        <v/>
      </c>
      <c r="O327" s="26" t="str">
        <f t="shared" si="9"/>
        <v/>
      </c>
      <c r="P327" s="26" t="str">
        <f t="shared" si="10"/>
        <v/>
      </c>
      <c r="Q327" s="26" t="str">
        <f t="shared" si="11"/>
        <v/>
      </c>
      <c r="R327" s="26" t="str">
        <f t="shared" si="12"/>
        <v/>
      </c>
      <c r="S327" s="26" t="str">
        <f t="shared" si="13"/>
        <v/>
      </c>
      <c r="T327" s="26" t="str">
        <f t="shared" si="14"/>
        <v/>
      </c>
      <c r="U327" s="26" t="str">
        <f t="shared" si="15"/>
        <v/>
      </c>
      <c r="V327" s="26" t="str">
        <f t="shared" si="16"/>
        <v/>
      </c>
      <c r="W327" s="26" t="str">
        <f t="shared" si="17"/>
        <v/>
      </c>
      <c r="X327" s="26" t="str">
        <f t="shared" si="18"/>
        <v/>
      </c>
      <c r="Y327" s="26" t="str">
        <f t="shared" si="19"/>
        <v/>
      </c>
      <c r="Z327" s="31" t="str">
        <f t="shared" si="20"/>
        <v/>
      </c>
      <c r="AA327" s="31" t="str">
        <f>IF(D327="","",IF(H327&lt;=$B$16,1,IF(H327&gt;=$B$17,$B$21,MATCH(H327,Aux_CAV!$A$2:$A$121,1))))</f>
        <v/>
      </c>
      <c r="AB327" s="31" t="str">
        <f>IF(D327="","",IF(L327&lt;=$B$16,1,IF(L327&gt;=$B$17,$B$21,MATCH(L327,Aux_CAV!$A$2:$A$121,1))))</f>
        <v/>
      </c>
      <c r="AC327" s="3" t="str">
        <f t="shared" si="21"/>
        <v/>
      </c>
    </row>
    <row r="328" ht="12.75" customHeight="1">
      <c r="A328" s="25" t="str">
        <f t="shared" si="1"/>
        <v/>
      </c>
      <c r="B328" s="29" t="str">
        <f t="array" ref="B328">IF(D328="","",IFERROR(VALUE(INDEX(Vazoes_COLAR!$A$2:$A$200,INT((ROW()-24)/12)+1)),""))</f>
        <v/>
      </c>
      <c r="C328" s="29" t="str">
        <f t="shared" si="2"/>
        <v/>
      </c>
      <c r="D328" s="26" t="str">
        <f t="array" ref="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8" s="26" t="str">
        <f t="shared" si="3"/>
        <v/>
      </c>
      <c r="F328" s="26" t="str">
        <f t="array" ref="F328">IF(D328="","",IFERROR(INDEX(Dados_Evap!$C$2:$N$15,MATCH($B$9,Dados_Evap!$A$2:$A$15,0),C328),0))</f>
        <v/>
      </c>
      <c r="G328" s="26" t="str">
        <f t="shared" si="4"/>
        <v/>
      </c>
      <c r="H328" s="26" t="str">
        <f t="shared" si="22"/>
        <v/>
      </c>
      <c r="I328" s="26" t="str">
        <f t="array" ref="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/>
      </c>
      <c r="J328" s="26" t="str">
        <f t="shared" si="5"/>
        <v/>
      </c>
      <c r="K328" s="26" t="str">
        <f t="shared" si="6"/>
        <v/>
      </c>
      <c r="L328" s="26" t="str">
        <f t="shared" si="7"/>
        <v/>
      </c>
      <c r="M328" s="26" t="str">
        <f t="array" ref="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/>
      </c>
      <c r="N328" s="26" t="str">
        <f t="shared" si="8"/>
        <v/>
      </c>
      <c r="O328" s="26" t="str">
        <f t="shared" si="9"/>
        <v/>
      </c>
      <c r="P328" s="26" t="str">
        <f t="shared" si="10"/>
        <v/>
      </c>
      <c r="Q328" s="26" t="str">
        <f t="shared" si="11"/>
        <v/>
      </c>
      <c r="R328" s="26" t="str">
        <f t="shared" si="12"/>
        <v/>
      </c>
      <c r="S328" s="26" t="str">
        <f t="shared" si="13"/>
        <v/>
      </c>
      <c r="T328" s="26" t="str">
        <f t="shared" si="14"/>
        <v/>
      </c>
      <c r="U328" s="26" t="str">
        <f t="shared" si="15"/>
        <v/>
      </c>
      <c r="V328" s="26" t="str">
        <f t="shared" si="16"/>
        <v/>
      </c>
      <c r="W328" s="26" t="str">
        <f t="shared" si="17"/>
        <v/>
      </c>
      <c r="X328" s="26" t="str">
        <f t="shared" si="18"/>
        <v/>
      </c>
      <c r="Y328" s="26" t="str">
        <f t="shared" si="19"/>
        <v/>
      </c>
      <c r="Z328" s="31" t="str">
        <f t="shared" si="20"/>
        <v/>
      </c>
      <c r="AA328" s="31" t="str">
        <f>IF(D328="","",IF(H328&lt;=$B$16,1,IF(H328&gt;=$B$17,$B$21,MATCH(H328,Aux_CAV!$A$2:$A$121,1))))</f>
        <v/>
      </c>
      <c r="AB328" s="31" t="str">
        <f>IF(D328="","",IF(L328&lt;=$B$16,1,IF(L328&gt;=$B$17,$B$21,MATCH(L328,Aux_CAV!$A$2:$A$121,1))))</f>
        <v/>
      </c>
      <c r="AC328" s="3" t="str">
        <f t="shared" si="21"/>
        <v/>
      </c>
    </row>
    <row r="329" ht="12.75" customHeight="1">
      <c r="A329" s="25" t="str">
        <f t="shared" si="1"/>
        <v/>
      </c>
      <c r="B329" s="29" t="str">
        <f t="array" ref="B329">IF(D329="","",IFERROR(VALUE(INDEX(Vazoes_COLAR!$A$2:$A$200,INT((ROW()-24)/12)+1)),""))</f>
        <v/>
      </c>
      <c r="C329" s="29" t="str">
        <f t="shared" si="2"/>
        <v/>
      </c>
      <c r="D329" s="26" t="str">
        <f t="array" ref="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9" s="26" t="str">
        <f t="shared" si="3"/>
        <v/>
      </c>
      <c r="F329" s="26" t="str">
        <f t="array" ref="F329">IF(D329="","",IFERROR(INDEX(Dados_Evap!$C$2:$N$15,MATCH($B$9,Dados_Evap!$A$2:$A$15,0),C329),0))</f>
        <v/>
      </c>
      <c r="G329" s="26" t="str">
        <f t="shared" si="4"/>
        <v/>
      </c>
      <c r="H329" s="26" t="str">
        <f t="shared" si="22"/>
        <v/>
      </c>
      <c r="I329" s="26" t="str">
        <f t="array" ref="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/>
      </c>
      <c r="J329" s="26" t="str">
        <f t="shared" si="5"/>
        <v/>
      </c>
      <c r="K329" s="26" t="str">
        <f t="shared" si="6"/>
        <v/>
      </c>
      <c r="L329" s="26" t="str">
        <f t="shared" si="7"/>
        <v/>
      </c>
      <c r="M329" s="26" t="str">
        <f t="array" ref="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/>
      </c>
      <c r="N329" s="26" t="str">
        <f t="shared" si="8"/>
        <v/>
      </c>
      <c r="O329" s="26" t="str">
        <f t="shared" si="9"/>
        <v/>
      </c>
      <c r="P329" s="26" t="str">
        <f t="shared" si="10"/>
        <v/>
      </c>
      <c r="Q329" s="26" t="str">
        <f t="shared" si="11"/>
        <v/>
      </c>
      <c r="R329" s="26" t="str">
        <f t="shared" si="12"/>
        <v/>
      </c>
      <c r="S329" s="26" t="str">
        <f t="shared" si="13"/>
        <v/>
      </c>
      <c r="T329" s="26" t="str">
        <f t="shared" si="14"/>
        <v/>
      </c>
      <c r="U329" s="26" t="str">
        <f t="shared" si="15"/>
        <v/>
      </c>
      <c r="V329" s="26" t="str">
        <f t="shared" si="16"/>
        <v/>
      </c>
      <c r="W329" s="26" t="str">
        <f t="shared" si="17"/>
        <v/>
      </c>
      <c r="X329" s="26" t="str">
        <f t="shared" si="18"/>
        <v/>
      </c>
      <c r="Y329" s="26" t="str">
        <f t="shared" si="19"/>
        <v/>
      </c>
      <c r="Z329" s="31" t="str">
        <f t="shared" si="20"/>
        <v/>
      </c>
      <c r="AA329" s="31" t="str">
        <f>IF(D329="","",IF(H329&lt;=$B$16,1,IF(H329&gt;=$B$17,$B$21,MATCH(H329,Aux_CAV!$A$2:$A$121,1))))</f>
        <v/>
      </c>
      <c r="AB329" s="31" t="str">
        <f>IF(D329="","",IF(L329&lt;=$B$16,1,IF(L329&gt;=$B$17,$B$21,MATCH(L329,Aux_CAV!$A$2:$A$121,1))))</f>
        <v/>
      </c>
      <c r="AC329" s="3" t="str">
        <f t="shared" si="21"/>
        <v/>
      </c>
    </row>
    <row r="330" ht="12.75" customHeight="1">
      <c r="A330" s="25" t="str">
        <f t="shared" si="1"/>
        <v/>
      </c>
      <c r="B330" s="29" t="str">
        <f t="array" ref="B330">IF(D330="","",IFERROR(VALUE(INDEX(Vazoes_COLAR!$A$2:$A$200,INT((ROW()-24)/12)+1)),""))</f>
        <v/>
      </c>
      <c r="C330" s="29" t="str">
        <f t="shared" si="2"/>
        <v/>
      </c>
      <c r="D330" s="26" t="str">
        <f t="array" ref="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0" s="26" t="str">
        <f t="shared" si="3"/>
        <v/>
      </c>
      <c r="F330" s="26" t="str">
        <f t="array" ref="F330">IF(D330="","",IFERROR(INDEX(Dados_Evap!$C$2:$N$15,MATCH($B$9,Dados_Evap!$A$2:$A$15,0),C330),0))</f>
        <v/>
      </c>
      <c r="G330" s="26" t="str">
        <f t="shared" si="4"/>
        <v/>
      </c>
      <c r="H330" s="26" t="str">
        <f t="shared" si="22"/>
        <v/>
      </c>
      <c r="I330" s="26" t="str">
        <f t="array" ref="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/>
      </c>
      <c r="J330" s="26" t="str">
        <f t="shared" si="5"/>
        <v/>
      </c>
      <c r="K330" s="26" t="str">
        <f t="shared" si="6"/>
        <v/>
      </c>
      <c r="L330" s="26" t="str">
        <f t="shared" si="7"/>
        <v/>
      </c>
      <c r="M330" s="26" t="str">
        <f t="array" ref="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/>
      </c>
      <c r="N330" s="26" t="str">
        <f t="shared" si="8"/>
        <v/>
      </c>
      <c r="O330" s="26" t="str">
        <f t="shared" si="9"/>
        <v/>
      </c>
      <c r="P330" s="26" t="str">
        <f t="shared" si="10"/>
        <v/>
      </c>
      <c r="Q330" s="26" t="str">
        <f t="shared" si="11"/>
        <v/>
      </c>
      <c r="R330" s="26" t="str">
        <f t="shared" si="12"/>
        <v/>
      </c>
      <c r="S330" s="26" t="str">
        <f t="shared" si="13"/>
        <v/>
      </c>
      <c r="T330" s="26" t="str">
        <f t="shared" si="14"/>
        <v/>
      </c>
      <c r="U330" s="26" t="str">
        <f t="shared" si="15"/>
        <v/>
      </c>
      <c r="V330" s="26" t="str">
        <f t="shared" si="16"/>
        <v/>
      </c>
      <c r="W330" s="26" t="str">
        <f t="shared" si="17"/>
        <v/>
      </c>
      <c r="X330" s="26" t="str">
        <f t="shared" si="18"/>
        <v/>
      </c>
      <c r="Y330" s="26" t="str">
        <f t="shared" si="19"/>
        <v/>
      </c>
      <c r="Z330" s="31" t="str">
        <f t="shared" si="20"/>
        <v/>
      </c>
      <c r="AA330" s="31" t="str">
        <f>IF(D330="","",IF(H330&lt;=$B$16,1,IF(H330&gt;=$B$17,$B$21,MATCH(H330,Aux_CAV!$A$2:$A$121,1))))</f>
        <v/>
      </c>
      <c r="AB330" s="31" t="str">
        <f>IF(D330="","",IF(L330&lt;=$B$16,1,IF(L330&gt;=$B$17,$B$21,MATCH(L330,Aux_CAV!$A$2:$A$121,1))))</f>
        <v/>
      </c>
      <c r="AC330" s="3" t="str">
        <f t="shared" si="21"/>
        <v/>
      </c>
    </row>
    <row r="331" ht="12.75" customHeight="1">
      <c r="A331" s="25" t="str">
        <f t="shared" si="1"/>
        <v/>
      </c>
      <c r="B331" s="29" t="str">
        <f t="array" ref="B331">IF(D331="","",IFERROR(VALUE(INDEX(Vazoes_COLAR!$A$2:$A$200,INT((ROW()-24)/12)+1)),""))</f>
        <v/>
      </c>
      <c r="C331" s="29" t="str">
        <f t="shared" si="2"/>
        <v/>
      </c>
      <c r="D331" s="26" t="str">
        <f t="array" ref="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1" s="26" t="str">
        <f t="shared" si="3"/>
        <v/>
      </c>
      <c r="F331" s="26" t="str">
        <f t="array" ref="F331">IF(D331="","",IFERROR(INDEX(Dados_Evap!$C$2:$N$15,MATCH($B$9,Dados_Evap!$A$2:$A$15,0),C331),0))</f>
        <v/>
      </c>
      <c r="G331" s="26" t="str">
        <f t="shared" si="4"/>
        <v/>
      </c>
      <c r="H331" s="26" t="str">
        <f t="shared" si="22"/>
        <v/>
      </c>
      <c r="I331" s="26" t="str">
        <f t="array" ref="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/>
      </c>
      <c r="J331" s="26" t="str">
        <f t="shared" si="5"/>
        <v/>
      </c>
      <c r="K331" s="26" t="str">
        <f t="shared" si="6"/>
        <v/>
      </c>
      <c r="L331" s="26" t="str">
        <f t="shared" si="7"/>
        <v/>
      </c>
      <c r="M331" s="26" t="str">
        <f t="array" ref="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/>
      </c>
      <c r="N331" s="26" t="str">
        <f t="shared" si="8"/>
        <v/>
      </c>
      <c r="O331" s="26" t="str">
        <f t="shared" si="9"/>
        <v/>
      </c>
      <c r="P331" s="26" t="str">
        <f t="shared" si="10"/>
        <v/>
      </c>
      <c r="Q331" s="26" t="str">
        <f t="shared" si="11"/>
        <v/>
      </c>
      <c r="R331" s="26" t="str">
        <f t="shared" si="12"/>
        <v/>
      </c>
      <c r="S331" s="26" t="str">
        <f t="shared" si="13"/>
        <v/>
      </c>
      <c r="T331" s="26" t="str">
        <f t="shared" si="14"/>
        <v/>
      </c>
      <c r="U331" s="26" t="str">
        <f t="shared" si="15"/>
        <v/>
      </c>
      <c r="V331" s="26" t="str">
        <f t="shared" si="16"/>
        <v/>
      </c>
      <c r="W331" s="26" t="str">
        <f t="shared" si="17"/>
        <v/>
      </c>
      <c r="X331" s="26" t="str">
        <f t="shared" si="18"/>
        <v/>
      </c>
      <c r="Y331" s="26" t="str">
        <f t="shared" si="19"/>
        <v/>
      </c>
      <c r="Z331" s="31" t="str">
        <f t="shared" si="20"/>
        <v/>
      </c>
      <c r="AA331" s="31" t="str">
        <f>IF(D331="","",IF(H331&lt;=$B$16,1,IF(H331&gt;=$B$17,$B$21,MATCH(H331,Aux_CAV!$A$2:$A$121,1))))</f>
        <v/>
      </c>
      <c r="AB331" s="31" t="str">
        <f>IF(D331="","",IF(L331&lt;=$B$16,1,IF(L331&gt;=$B$17,$B$21,MATCH(L331,Aux_CAV!$A$2:$A$121,1))))</f>
        <v/>
      </c>
      <c r="AC331" s="3" t="str">
        <f t="shared" si="21"/>
        <v/>
      </c>
    </row>
    <row r="332" ht="12.75" customHeight="1">
      <c r="A332" s="25" t="str">
        <f t="shared" si="1"/>
        <v/>
      </c>
      <c r="B332" s="29" t="str">
        <f t="array" ref="B332">IF(D332="","",IFERROR(VALUE(INDEX(Vazoes_COLAR!$A$2:$A$200,INT((ROW()-24)/12)+1)),""))</f>
        <v/>
      </c>
      <c r="C332" s="29" t="str">
        <f t="shared" si="2"/>
        <v/>
      </c>
      <c r="D332" s="26" t="str">
        <f t="array" ref="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2" s="26" t="str">
        <f t="shared" si="3"/>
        <v/>
      </c>
      <c r="F332" s="26" t="str">
        <f t="array" ref="F332">IF(D332="","",IFERROR(INDEX(Dados_Evap!$C$2:$N$15,MATCH($B$9,Dados_Evap!$A$2:$A$15,0),C332),0))</f>
        <v/>
      </c>
      <c r="G332" s="26" t="str">
        <f t="shared" si="4"/>
        <v/>
      </c>
      <c r="H332" s="26" t="str">
        <f t="shared" si="22"/>
        <v/>
      </c>
      <c r="I332" s="26" t="str">
        <f t="array" ref="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/>
      </c>
      <c r="J332" s="26" t="str">
        <f t="shared" si="5"/>
        <v/>
      </c>
      <c r="K332" s="26" t="str">
        <f t="shared" si="6"/>
        <v/>
      </c>
      <c r="L332" s="26" t="str">
        <f t="shared" si="7"/>
        <v/>
      </c>
      <c r="M332" s="26" t="str">
        <f t="array" ref="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/>
      </c>
      <c r="N332" s="26" t="str">
        <f t="shared" si="8"/>
        <v/>
      </c>
      <c r="O332" s="26" t="str">
        <f t="shared" si="9"/>
        <v/>
      </c>
      <c r="P332" s="26" t="str">
        <f t="shared" si="10"/>
        <v/>
      </c>
      <c r="Q332" s="26" t="str">
        <f t="shared" si="11"/>
        <v/>
      </c>
      <c r="R332" s="26" t="str">
        <f t="shared" si="12"/>
        <v/>
      </c>
      <c r="S332" s="26" t="str">
        <f t="shared" si="13"/>
        <v/>
      </c>
      <c r="T332" s="26" t="str">
        <f t="shared" si="14"/>
        <v/>
      </c>
      <c r="U332" s="26" t="str">
        <f t="shared" si="15"/>
        <v/>
      </c>
      <c r="V332" s="26" t="str">
        <f t="shared" si="16"/>
        <v/>
      </c>
      <c r="W332" s="26" t="str">
        <f t="shared" si="17"/>
        <v/>
      </c>
      <c r="X332" s="26" t="str">
        <f t="shared" si="18"/>
        <v/>
      </c>
      <c r="Y332" s="26" t="str">
        <f t="shared" si="19"/>
        <v/>
      </c>
      <c r="Z332" s="31" t="str">
        <f t="shared" si="20"/>
        <v/>
      </c>
      <c r="AA332" s="31" t="str">
        <f>IF(D332="","",IF(H332&lt;=$B$16,1,IF(H332&gt;=$B$17,$B$21,MATCH(H332,Aux_CAV!$A$2:$A$121,1))))</f>
        <v/>
      </c>
      <c r="AB332" s="31" t="str">
        <f>IF(D332="","",IF(L332&lt;=$B$16,1,IF(L332&gt;=$B$17,$B$21,MATCH(L332,Aux_CAV!$A$2:$A$121,1))))</f>
        <v/>
      </c>
      <c r="AC332" s="3" t="str">
        <f t="shared" si="21"/>
        <v/>
      </c>
    </row>
    <row r="333" ht="12.75" customHeight="1">
      <c r="A333" s="25" t="str">
        <f t="shared" si="1"/>
        <v/>
      </c>
      <c r="B333" s="29" t="str">
        <f t="array" ref="B333">IF(D333="","",IFERROR(VALUE(INDEX(Vazoes_COLAR!$A$2:$A$200,INT((ROW()-24)/12)+1)),""))</f>
        <v/>
      </c>
      <c r="C333" s="29" t="str">
        <f t="shared" si="2"/>
        <v/>
      </c>
      <c r="D333" s="26" t="str">
        <f t="array" ref="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3" s="26" t="str">
        <f t="shared" si="3"/>
        <v/>
      </c>
      <c r="F333" s="26" t="str">
        <f t="array" ref="F333">IF(D333="","",IFERROR(INDEX(Dados_Evap!$C$2:$N$15,MATCH($B$9,Dados_Evap!$A$2:$A$15,0),C333),0))</f>
        <v/>
      </c>
      <c r="G333" s="26" t="str">
        <f t="shared" si="4"/>
        <v/>
      </c>
      <c r="H333" s="26" t="str">
        <f t="shared" si="22"/>
        <v/>
      </c>
      <c r="I333" s="26" t="str">
        <f t="array" ref="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/>
      </c>
      <c r="J333" s="26" t="str">
        <f t="shared" si="5"/>
        <v/>
      </c>
      <c r="K333" s="26" t="str">
        <f t="shared" si="6"/>
        <v/>
      </c>
      <c r="L333" s="26" t="str">
        <f t="shared" si="7"/>
        <v/>
      </c>
      <c r="M333" s="26" t="str">
        <f t="array" ref="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/>
      </c>
      <c r="N333" s="26" t="str">
        <f t="shared" si="8"/>
        <v/>
      </c>
      <c r="O333" s="26" t="str">
        <f t="shared" si="9"/>
        <v/>
      </c>
      <c r="P333" s="26" t="str">
        <f t="shared" si="10"/>
        <v/>
      </c>
      <c r="Q333" s="26" t="str">
        <f t="shared" si="11"/>
        <v/>
      </c>
      <c r="R333" s="26" t="str">
        <f t="shared" si="12"/>
        <v/>
      </c>
      <c r="S333" s="26" t="str">
        <f t="shared" si="13"/>
        <v/>
      </c>
      <c r="T333" s="26" t="str">
        <f t="shared" si="14"/>
        <v/>
      </c>
      <c r="U333" s="26" t="str">
        <f t="shared" si="15"/>
        <v/>
      </c>
      <c r="V333" s="26" t="str">
        <f t="shared" si="16"/>
        <v/>
      </c>
      <c r="W333" s="26" t="str">
        <f t="shared" si="17"/>
        <v/>
      </c>
      <c r="X333" s="26" t="str">
        <f t="shared" si="18"/>
        <v/>
      </c>
      <c r="Y333" s="26" t="str">
        <f t="shared" si="19"/>
        <v/>
      </c>
      <c r="Z333" s="31" t="str">
        <f t="shared" si="20"/>
        <v/>
      </c>
      <c r="AA333" s="31" t="str">
        <f>IF(D333="","",IF(H333&lt;=$B$16,1,IF(H333&gt;=$B$17,$B$21,MATCH(H333,Aux_CAV!$A$2:$A$121,1))))</f>
        <v/>
      </c>
      <c r="AB333" s="31" t="str">
        <f>IF(D333="","",IF(L333&lt;=$B$16,1,IF(L333&gt;=$B$17,$B$21,MATCH(L333,Aux_CAV!$A$2:$A$121,1))))</f>
        <v/>
      </c>
      <c r="AC333" s="3" t="str">
        <f t="shared" si="21"/>
        <v/>
      </c>
    </row>
    <row r="334" ht="12.75" customHeight="1">
      <c r="A334" s="25" t="str">
        <f t="shared" si="1"/>
        <v/>
      </c>
      <c r="B334" s="29" t="str">
        <f t="array" ref="B334">IF(D334="","",IFERROR(VALUE(INDEX(Vazoes_COLAR!$A$2:$A$200,INT((ROW()-24)/12)+1)),""))</f>
        <v/>
      </c>
      <c r="C334" s="29" t="str">
        <f t="shared" si="2"/>
        <v/>
      </c>
      <c r="D334" s="26" t="str">
        <f t="array" ref="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4" s="26" t="str">
        <f t="shared" si="3"/>
        <v/>
      </c>
      <c r="F334" s="26" t="str">
        <f t="array" ref="F334">IF(D334="","",IFERROR(INDEX(Dados_Evap!$C$2:$N$15,MATCH($B$9,Dados_Evap!$A$2:$A$15,0),C334),0))</f>
        <v/>
      </c>
      <c r="G334" s="26" t="str">
        <f t="shared" si="4"/>
        <v/>
      </c>
      <c r="H334" s="26" t="str">
        <f t="shared" si="22"/>
        <v/>
      </c>
      <c r="I334" s="26" t="str">
        <f t="array" ref="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/>
      </c>
      <c r="J334" s="26" t="str">
        <f t="shared" si="5"/>
        <v/>
      </c>
      <c r="K334" s="26" t="str">
        <f t="shared" si="6"/>
        <v/>
      </c>
      <c r="L334" s="26" t="str">
        <f t="shared" si="7"/>
        <v/>
      </c>
      <c r="M334" s="26" t="str">
        <f t="array" ref="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/>
      </c>
      <c r="N334" s="26" t="str">
        <f t="shared" si="8"/>
        <v/>
      </c>
      <c r="O334" s="26" t="str">
        <f t="shared" si="9"/>
        <v/>
      </c>
      <c r="P334" s="26" t="str">
        <f t="shared" si="10"/>
        <v/>
      </c>
      <c r="Q334" s="26" t="str">
        <f t="shared" si="11"/>
        <v/>
      </c>
      <c r="R334" s="26" t="str">
        <f t="shared" si="12"/>
        <v/>
      </c>
      <c r="S334" s="26" t="str">
        <f t="shared" si="13"/>
        <v/>
      </c>
      <c r="T334" s="26" t="str">
        <f t="shared" si="14"/>
        <v/>
      </c>
      <c r="U334" s="26" t="str">
        <f t="shared" si="15"/>
        <v/>
      </c>
      <c r="V334" s="26" t="str">
        <f t="shared" si="16"/>
        <v/>
      </c>
      <c r="W334" s="26" t="str">
        <f t="shared" si="17"/>
        <v/>
      </c>
      <c r="X334" s="26" t="str">
        <f t="shared" si="18"/>
        <v/>
      </c>
      <c r="Y334" s="26" t="str">
        <f t="shared" si="19"/>
        <v/>
      </c>
      <c r="Z334" s="31" t="str">
        <f t="shared" si="20"/>
        <v/>
      </c>
      <c r="AA334" s="31" t="str">
        <f>IF(D334="","",IF(H334&lt;=$B$16,1,IF(H334&gt;=$B$17,$B$21,MATCH(H334,Aux_CAV!$A$2:$A$121,1))))</f>
        <v/>
      </c>
      <c r="AB334" s="31" t="str">
        <f>IF(D334="","",IF(L334&lt;=$B$16,1,IF(L334&gt;=$B$17,$B$21,MATCH(L334,Aux_CAV!$A$2:$A$121,1))))</f>
        <v/>
      </c>
      <c r="AC334" s="3" t="str">
        <f t="shared" si="21"/>
        <v/>
      </c>
    </row>
    <row r="335" ht="12.75" customHeight="1">
      <c r="A335" s="25" t="str">
        <f t="shared" si="1"/>
        <v/>
      </c>
      <c r="B335" s="29" t="str">
        <f t="array" ref="B335">IF(D335="","",IFERROR(VALUE(INDEX(Vazoes_COLAR!$A$2:$A$200,INT((ROW()-24)/12)+1)),""))</f>
        <v/>
      </c>
      <c r="C335" s="29" t="str">
        <f t="shared" si="2"/>
        <v/>
      </c>
      <c r="D335" s="26" t="str">
        <f t="array" ref="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5" s="26" t="str">
        <f t="shared" si="3"/>
        <v/>
      </c>
      <c r="F335" s="26" t="str">
        <f t="array" ref="F335">IF(D335="","",IFERROR(INDEX(Dados_Evap!$C$2:$N$15,MATCH($B$9,Dados_Evap!$A$2:$A$15,0),C335),0))</f>
        <v/>
      </c>
      <c r="G335" s="26" t="str">
        <f t="shared" si="4"/>
        <v/>
      </c>
      <c r="H335" s="26" t="str">
        <f t="shared" si="22"/>
        <v/>
      </c>
      <c r="I335" s="26" t="str">
        <f t="array" ref="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/>
      </c>
      <c r="J335" s="26" t="str">
        <f t="shared" si="5"/>
        <v/>
      </c>
      <c r="K335" s="26" t="str">
        <f t="shared" si="6"/>
        <v/>
      </c>
      <c r="L335" s="26" t="str">
        <f t="shared" si="7"/>
        <v/>
      </c>
      <c r="M335" s="26" t="str">
        <f t="array" ref="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/>
      </c>
      <c r="N335" s="26" t="str">
        <f t="shared" si="8"/>
        <v/>
      </c>
      <c r="O335" s="26" t="str">
        <f t="shared" si="9"/>
        <v/>
      </c>
      <c r="P335" s="26" t="str">
        <f t="shared" si="10"/>
        <v/>
      </c>
      <c r="Q335" s="26" t="str">
        <f t="shared" si="11"/>
        <v/>
      </c>
      <c r="R335" s="26" t="str">
        <f t="shared" si="12"/>
        <v/>
      </c>
      <c r="S335" s="26" t="str">
        <f t="shared" si="13"/>
        <v/>
      </c>
      <c r="T335" s="26" t="str">
        <f t="shared" si="14"/>
        <v/>
      </c>
      <c r="U335" s="26" t="str">
        <f t="shared" si="15"/>
        <v/>
      </c>
      <c r="V335" s="26" t="str">
        <f t="shared" si="16"/>
        <v/>
      </c>
      <c r="W335" s="26" t="str">
        <f t="shared" si="17"/>
        <v/>
      </c>
      <c r="X335" s="26" t="str">
        <f t="shared" si="18"/>
        <v/>
      </c>
      <c r="Y335" s="26" t="str">
        <f t="shared" si="19"/>
        <v/>
      </c>
      <c r="Z335" s="31" t="str">
        <f t="shared" si="20"/>
        <v/>
      </c>
      <c r="AA335" s="31" t="str">
        <f>IF(D335="","",IF(H335&lt;=$B$16,1,IF(H335&gt;=$B$17,$B$21,MATCH(H335,Aux_CAV!$A$2:$A$121,1))))</f>
        <v/>
      </c>
      <c r="AB335" s="31" t="str">
        <f>IF(D335="","",IF(L335&lt;=$B$16,1,IF(L335&gt;=$B$17,$B$21,MATCH(L335,Aux_CAV!$A$2:$A$121,1))))</f>
        <v/>
      </c>
      <c r="AC335" s="3" t="str">
        <f t="shared" si="21"/>
        <v/>
      </c>
    </row>
    <row r="336" ht="12.75" customHeight="1">
      <c r="A336" s="25" t="str">
        <f t="shared" si="1"/>
        <v/>
      </c>
      <c r="B336" s="29" t="str">
        <f t="array" ref="B336">IF(D336="","",IFERROR(VALUE(INDEX(Vazoes_COLAR!$A$2:$A$200,INT((ROW()-24)/12)+1)),""))</f>
        <v/>
      </c>
      <c r="C336" s="29" t="str">
        <f t="shared" si="2"/>
        <v/>
      </c>
      <c r="D336" s="26" t="str">
        <f t="array" ref="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6" s="26" t="str">
        <f t="shared" si="3"/>
        <v/>
      </c>
      <c r="F336" s="26" t="str">
        <f t="array" ref="F336">IF(D336="","",IFERROR(INDEX(Dados_Evap!$C$2:$N$15,MATCH($B$9,Dados_Evap!$A$2:$A$15,0),C336),0))</f>
        <v/>
      </c>
      <c r="G336" s="26" t="str">
        <f t="shared" si="4"/>
        <v/>
      </c>
      <c r="H336" s="26" t="str">
        <f t="shared" si="22"/>
        <v/>
      </c>
      <c r="I336" s="26" t="str">
        <f t="array" ref="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/>
      </c>
      <c r="J336" s="26" t="str">
        <f t="shared" si="5"/>
        <v/>
      </c>
      <c r="K336" s="26" t="str">
        <f t="shared" si="6"/>
        <v/>
      </c>
      <c r="L336" s="26" t="str">
        <f t="shared" si="7"/>
        <v/>
      </c>
      <c r="M336" s="26" t="str">
        <f t="array" ref="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/>
      </c>
      <c r="N336" s="26" t="str">
        <f t="shared" si="8"/>
        <v/>
      </c>
      <c r="O336" s="26" t="str">
        <f t="shared" si="9"/>
        <v/>
      </c>
      <c r="P336" s="26" t="str">
        <f t="shared" si="10"/>
        <v/>
      </c>
      <c r="Q336" s="26" t="str">
        <f t="shared" si="11"/>
        <v/>
      </c>
      <c r="R336" s="26" t="str">
        <f t="shared" si="12"/>
        <v/>
      </c>
      <c r="S336" s="26" t="str">
        <f t="shared" si="13"/>
        <v/>
      </c>
      <c r="T336" s="26" t="str">
        <f t="shared" si="14"/>
        <v/>
      </c>
      <c r="U336" s="26" t="str">
        <f t="shared" si="15"/>
        <v/>
      </c>
      <c r="V336" s="26" t="str">
        <f t="shared" si="16"/>
        <v/>
      </c>
      <c r="W336" s="26" t="str">
        <f t="shared" si="17"/>
        <v/>
      </c>
      <c r="X336" s="26" t="str">
        <f t="shared" si="18"/>
        <v/>
      </c>
      <c r="Y336" s="26" t="str">
        <f t="shared" si="19"/>
        <v/>
      </c>
      <c r="Z336" s="31" t="str">
        <f t="shared" si="20"/>
        <v/>
      </c>
      <c r="AA336" s="31" t="str">
        <f>IF(D336="","",IF(H336&lt;=$B$16,1,IF(H336&gt;=$B$17,$B$21,MATCH(H336,Aux_CAV!$A$2:$A$121,1))))</f>
        <v/>
      </c>
      <c r="AB336" s="31" t="str">
        <f>IF(D336="","",IF(L336&lt;=$B$16,1,IF(L336&gt;=$B$17,$B$21,MATCH(L336,Aux_CAV!$A$2:$A$121,1))))</f>
        <v/>
      </c>
      <c r="AC336" s="3" t="str">
        <f t="shared" si="21"/>
        <v/>
      </c>
    </row>
    <row r="337" ht="12.75" customHeight="1">
      <c r="A337" s="25" t="str">
        <f t="shared" si="1"/>
        <v/>
      </c>
      <c r="B337" s="29" t="str">
        <f t="array" ref="B337">IF(D337="","",IFERROR(VALUE(INDEX(Vazoes_COLAR!$A$2:$A$200,INT((ROW()-24)/12)+1)),""))</f>
        <v/>
      </c>
      <c r="C337" s="29" t="str">
        <f t="shared" si="2"/>
        <v/>
      </c>
      <c r="D337" s="26" t="str">
        <f t="array" ref="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7" s="26" t="str">
        <f t="shared" si="3"/>
        <v/>
      </c>
      <c r="F337" s="26" t="str">
        <f t="array" ref="F337">IF(D337="","",IFERROR(INDEX(Dados_Evap!$C$2:$N$15,MATCH($B$9,Dados_Evap!$A$2:$A$15,0),C337),0))</f>
        <v/>
      </c>
      <c r="G337" s="26" t="str">
        <f t="shared" si="4"/>
        <v/>
      </c>
      <c r="H337" s="26" t="str">
        <f t="shared" si="22"/>
        <v/>
      </c>
      <c r="I337" s="26" t="str">
        <f t="array" ref="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/>
      </c>
      <c r="J337" s="26" t="str">
        <f t="shared" si="5"/>
        <v/>
      </c>
      <c r="K337" s="26" t="str">
        <f t="shared" si="6"/>
        <v/>
      </c>
      <c r="L337" s="26" t="str">
        <f t="shared" si="7"/>
        <v/>
      </c>
      <c r="M337" s="26" t="str">
        <f t="array" ref="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/>
      </c>
      <c r="N337" s="26" t="str">
        <f t="shared" si="8"/>
        <v/>
      </c>
      <c r="O337" s="26" t="str">
        <f t="shared" si="9"/>
        <v/>
      </c>
      <c r="P337" s="26" t="str">
        <f t="shared" si="10"/>
        <v/>
      </c>
      <c r="Q337" s="26" t="str">
        <f t="shared" si="11"/>
        <v/>
      </c>
      <c r="R337" s="26" t="str">
        <f t="shared" si="12"/>
        <v/>
      </c>
      <c r="S337" s="26" t="str">
        <f t="shared" si="13"/>
        <v/>
      </c>
      <c r="T337" s="26" t="str">
        <f t="shared" si="14"/>
        <v/>
      </c>
      <c r="U337" s="26" t="str">
        <f t="shared" si="15"/>
        <v/>
      </c>
      <c r="V337" s="26" t="str">
        <f t="shared" si="16"/>
        <v/>
      </c>
      <c r="W337" s="26" t="str">
        <f t="shared" si="17"/>
        <v/>
      </c>
      <c r="X337" s="26" t="str">
        <f t="shared" si="18"/>
        <v/>
      </c>
      <c r="Y337" s="26" t="str">
        <f t="shared" si="19"/>
        <v/>
      </c>
      <c r="Z337" s="31" t="str">
        <f t="shared" si="20"/>
        <v/>
      </c>
      <c r="AA337" s="31" t="str">
        <f>IF(D337="","",IF(H337&lt;=$B$16,1,IF(H337&gt;=$B$17,$B$21,MATCH(H337,Aux_CAV!$A$2:$A$121,1))))</f>
        <v/>
      </c>
      <c r="AB337" s="31" t="str">
        <f>IF(D337="","",IF(L337&lt;=$B$16,1,IF(L337&gt;=$B$17,$B$21,MATCH(L337,Aux_CAV!$A$2:$A$121,1))))</f>
        <v/>
      </c>
      <c r="AC337" s="3" t="str">
        <f t="shared" si="21"/>
        <v/>
      </c>
    </row>
    <row r="338" ht="12.75" customHeight="1">
      <c r="A338" s="25" t="str">
        <f t="shared" si="1"/>
        <v/>
      </c>
      <c r="B338" s="29" t="str">
        <f t="array" ref="B338">IF(D338="","",IFERROR(VALUE(INDEX(Vazoes_COLAR!$A$2:$A$200,INT((ROW()-24)/12)+1)),""))</f>
        <v/>
      </c>
      <c r="C338" s="29" t="str">
        <f t="shared" si="2"/>
        <v/>
      </c>
      <c r="D338" s="26" t="str">
        <f t="array" ref="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8" s="26" t="str">
        <f t="shared" si="3"/>
        <v/>
      </c>
      <c r="F338" s="26" t="str">
        <f t="array" ref="F338">IF(D338="","",IFERROR(INDEX(Dados_Evap!$C$2:$N$15,MATCH($B$9,Dados_Evap!$A$2:$A$15,0),C338),0))</f>
        <v/>
      </c>
      <c r="G338" s="26" t="str">
        <f t="shared" si="4"/>
        <v/>
      </c>
      <c r="H338" s="26" t="str">
        <f t="shared" si="22"/>
        <v/>
      </c>
      <c r="I338" s="26" t="str">
        <f t="array" ref="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/>
      </c>
      <c r="J338" s="26" t="str">
        <f t="shared" si="5"/>
        <v/>
      </c>
      <c r="K338" s="26" t="str">
        <f t="shared" si="6"/>
        <v/>
      </c>
      <c r="L338" s="26" t="str">
        <f t="shared" si="7"/>
        <v/>
      </c>
      <c r="M338" s="26" t="str">
        <f t="array" ref="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/>
      </c>
      <c r="N338" s="26" t="str">
        <f t="shared" si="8"/>
        <v/>
      </c>
      <c r="O338" s="26" t="str">
        <f t="shared" si="9"/>
        <v/>
      </c>
      <c r="P338" s="26" t="str">
        <f t="shared" si="10"/>
        <v/>
      </c>
      <c r="Q338" s="26" t="str">
        <f t="shared" si="11"/>
        <v/>
      </c>
      <c r="R338" s="26" t="str">
        <f t="shared" si="12"/>
        <v/>
      </c>
      <c r="S338" s="26" t="str">
        <f t="shared" si="13"/>
        <v/>
      </c>
      <c r="T338" s="26" t="str">
        <f t="shared" si="14"/>
        <v/>
      </c>
      <c r="U338" s="26" t="str">
        <f t="shared" si="15"/>
        <v/>
      </c>
      <c r="V338" s="26" t="str">
        <f t="shared" si="16"/>
        <v/>
      </c>
      <c r="W338" s="26" t="str">
        <f t="shared" si="17"/>
        <v/>
      </c>
      <c r="X338" s="26" t="str">
        <f t="shared" si="18"/>
        <v/>
      </c>
      <c r="Y338" s="26" t="str">
        <f t="shared" si="19"/>
        <v/>
      </c>
      <c r="Z338" s="31" t="str">
        <f t="shared" si="20"/>
        <v/>
      </c>
      <c r="AA338" s="31" t="str">
        <f>IF(D338="","",IF(H338&lt;=$B$16,1,IF(H338&gt;=$B$17,$B$21,MATCH(H338,Aux_CAV!$A$2:$A$121,1))))</f>
        <v/>
      </c>
      <c r="AB338" s="31" t="str">
        <f>IF(D338="","",IF(L338&lt;=$B$16,1,IF(L338&gt;=$B$17,$B$21,MATCH(L338,Aux_CAV!$A$2:$A$121,1))))</f>
        <v/>
      </c>
      <c r="AC338" s="3" t="str">
        <f t="shared" si="21"/>
        <v/>
      </c>
    </row>
    <row r="339" ht="12.75" customHeight="1">
      <c r="A339" s="25" t="str">
        <f t="shared" si="1"/>
        <v/>
      </c>
      <c r="B339" s="29" t="str">
        <f t="array" ref="B339">IF(D339="","",IFERROR(VALUE(INDEX(Vazoes_COLAR!$A$2:$A$200,INT((ROW()-24)/12)+1)),""))</f>
        <v/>
      </c>
      <c r="C339" s="29" t="str">
        <f t="shared" si="2"/>
        <v/>
      </c>
      <c r="D339" s="26" t="str">
        <f t="array" ref="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9" s="26" t="str">
        <f t="shared" si="3"/>
        <v/>
      </c>
      <c r="F339" s="26" t="str">
        <f t="array" ref="F339">IF(D339="","",IFERROR(INDEX(Dados_Evap!$C$2:$N$15,MATCH($B$9,Dados_Evap!$A$2:$A$15,0),C339),0))</f>
        <v/>
      </c>
      <c r="G339" s="26" t="str">
        <f t="shared" si="4"/>
        <v/>
      </c>
      <c r="H339" s="26" t="str">
        <f t="shared" si="22"/>
        <v/>
      </c>
      <c r="I339" s="26" t="str">
        <f t="array" ref="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/>
      </c>
      <c r="J339" s="26" t="str">
        <f t="shared" si="5"/>
        <v/>
      </c>
      <c r="K339" s="26" t="str">
        <f t="shared" si="6"/>
        <v/>
      </c>
      <c r="L339" s="26" t="str">
        <f t="shared" si="7"/>
        <v/>
      </c>
      <c r="M339" s="26" t="str">
        <f t="array" ref="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/>
      </c>
      <c r="N339" s="26" t="str">
        <f t="shared" si="8"/>
        <v/>
      </c>
      <c r="O339" s="26" t="str">
        <f t="shared" si="9"/>
        <v/>
      </c>
      <c r="P339" s="26" t="str">
        <f t="shared" si="10"/>
        <v/>
      </c>
      <c r="Q339" s="26" t="str">
        <f t="shared" si="11"/>
        <v/>
      </c>
      <c r="R339" s="26" t="str">
        <f t="shared" si="12"/>
        <v/>
      </c>
      <c r="S339" s="26" t="str">
        <f t="shared" si="13"/>
        <v/>
      </c>
      <c r="T339" s="26" t="str">
        <f t="shared" si="14"/>
        <v/>
      </c>
      <c r="U339" s="26" t="str">
        <f t="shared" si="15"/>
        <v/>
      </c>
      <c r="V339" s="26" t="str">
        <f t="shared" si="16"/>
        <v/>
      </c>
      <c r="W339" s="26" t="str">
        <f t="shared" si="17"/>
        <v/>
      </c>
      <c r="X339" s="26" t="str">
        <f t="shared" si="18"/>
        <v/>
      </c>
      <c r="Y339" s="26" t="str">
        <f t="shared" si="19"/>
        <v/>
      </c>
      <c r="Z339" s="31" t="str">
        <f t="shared" si="20"/>
        <v/>
      </c>
      <c r="AA339" s="31" t="str">
        <f>IF(D339="","",IF(H339&lt;=$B$16,1,IF(H339&gt;=$B$17,$B$21,MATCH(H339,Aux_CAV!$A$2:$A$121,1))))</f>
        <v/>
      </c>
      <c r="AB339" s="31" t="str">
        <f>IF(D339="","",IF(L339&lt;=$B$16,1,IF(L339&gt;=$B$17,$B$21,MATCH(L339,Aux_CAV!$A$2:$A$121,1))))</f>
        <v/>
      </c>
      <c r="AC339" s="3" t="str">
        <f t="shared" si="21"/>
        <v/>
      </c>
    </row>
    <row r="340" ht="12.75" customHeight="1">
      <c r="A340" s="25" t="str">
        <f t="shared" si="1"/>
        <v/>
      </c>
      <c r="B340" s="29" t="str">
        <f t="array" ref="B340">IF(D340="","",IFERROR(VALUE(INDEX(Vazoes_COLAR!$A$2:$A$200,INT((ROW()-24)/12)+1)),""))</f>
        <v/>
      </c>
      <c r="C340" s="29" t="str">
        <f t="shared" si="2"/>
        <v/>
      </c>
      <c r="D340" s="26" t="str">
        <f t="array" ref="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0" s="26" t="str">
        <f t="shared" si="3"/>
        <v/>
      </c>
      <c r="F340" s="26" t="str">
        <f t="array" ref="F340">IF(D340="","",IFERROR(INDEX(Dados_Evap!$C$2:$N$15,MATCH($B$9,Dados_Evap!$A$2:$A$15,0),C340),0))</f>
        <v/>
      </c>
      <c r="G340" s="26" t="str">
        <f t="shared" si="4"/>
        <v/>
      </c>
      <c r="H340" s="26" t="str">
        <f t="shared" si="22"/>
        <v/>
      </c>
      <c r="I340" s="26" t="str">
        <f t="array" ref="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/>
      </c>
      <c r="J340" s="26" t="str">
        <f t="shared" si="5"/>
        <v/>
      </c>
      <c r="K340" s="26" t="str">
        <f t="shared" si="6"/>
        <v/>
      </c>
      <c r="L340" s="26" t="str">
        <f t="shared" si="7"/>
        <v/>
      </c>
      <c r="M340" s="26" t="str">
        <f t="array" ref="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/>
      </c>
      <c r="N340" s="26" t="str">
        <f t="shared" si="8"/>
        <v/>
      </c>
      <c r="O340" s="26" t="str">
        <f t="shared" si="9"/>
        <v/>
      </c>
      <c r="P340" s="26" t="str">
        <f t="shared" si="10"/>
        <v/>
      </c>
      <c r="Q340" s="26" t="str">
        <f t="shared" si="11"/>
        <v/>
      </c>
      <c r="R340" s="26" t="str">
        <f t="shared" si="12"/>
        <v/>
      </c>
      <c r="S340" s="26" t="str">
        <f t="shared" si="13"/>
        <v/>
      </c>
      <c r="T340" s="26" t="str">
        <f t="shared" si="14"/>
        <v/>
      </c>
      <c r="U340" s="26" t="str">
        <f t="shared" si="15"/>
        <v/>
      </c>
      <c r="V340" s="26" t="str">
        <f t="shared" si="16"/>
        <v/>
      </c>
      <c r="W340" s="26" t="str">
        <f t="shared" si="17"/>
        <v/>
      </c>
      <c r="X340" s="26" t="str">
        <f t="shared" si="18"/>
        <v/>
      </c>
      <c r="Y340" s="26" t="str">
        <f t="shared" si="19"/>
        <v/>
      </c>
      <c r="Z340" s="31" t="str">
        <f t="shared" si="20"/>
        <v/>
      </c>
      <c r="AA340" s="31" t="str">
        <f>IF(D340="","",IF(H340&lt;=$B$16,1,IF(H340&gt;=$B$17,$B$21,MATCH(H340,Aux_CAV!$A$2:$A$121,1))))</f>
        <v/>
      </c>
      <c r="AB340" s="31" t="str">
        <f>IF(D340="","",IF(L340&lt;=$B$16,1,IF(L340&gt;=$B$17,$B$21,MATCH(L340,Aux_CAV!$A$2:$A$121,1))))</f>
        <v/>
      </c>
      <c r="AC340" s="3" t="str">
        <f t="shared" si="21"/>
        <v/>
      </c>
    </row>
    <row r="341" ht="12.75" customHeight="1">
      <c r="A341" s="25" t="str">
        <f t="shared" si="1"/>
        <v/>
      </c>
      <c r="B341" s="29" t="str">
        <f t="array" ref="B341">IF(D341="","",IFERROR(VALUE(INDEX(Vazoes_COLAR!$A$2:$A$200,INT((ROW()-24)/12)+1)),""))</f>
        <v/>
      </c>
      <c r="C341" s="29" t="str">
        <f t="shared" si="2"/>
        <v/>
      </c>
      <c r="D341" s="26" t="str">
        <f t="array" ref="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1" s="26" t="str">
        <f t="shared" si="3"/>
        <v/>
      </c>
      <c r="F341" s="26" t="str">
        <f t="array" ref="F341">IF(D341="","",IFERROR(INDEX(Dados_Evap!$C$2:$N$15,MATCH($B$9,Dados_Evap!$A$2:$A$15,0),C341),0))</f>
        <v/>
      </c>
      <c r="G341" s="26" t="str">
        <f t="shared" si="4"/>
        <v/>
      </c>
      <c r="H341" s="26" t="str">
        <f t="shared" si="22"/>
        <v/>
      </c>
      <c r="I341" s="26" t="str">
        <f t="array" ref="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/>
      </c>
      <c r="J341" s="26" t="str">
        <f t="shared" si="5"/>
        <v/>
      </c>
      <c r="K341" s="26" t="str">
        <f t="shared" si="6"/>
        <v/>
      </c>
      <c r="L341" s="26" t="str">
        <f t="shared" si="7"/>
        <v/>
      </c>
      <c r="M341" s="26" t="str">
        <f t="array" ref="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/>
      </c>
      <c r="N341" s="26" t="str">
        <f t="shared" si="8"/>
        <v/>
      </c>
      <c r="O341" s="26" t="str">
        <f t="shared" si="9"/>
        <v/>
      </c>
      <c r="P341" s="26" t="str">
        <f t="shared" si="10"/>
        <v/>
      </c>
      <c r="Q341" s="26" t="str">
        <f t="shared" si="11"/>
        <v/>
      </c>
      <c r="R341" s="26" t="str">
        <f t="shared" si="12"/>
        <v/>
      </c>
      <c r="S341" s="26" t="str">
        <f t="shared" si="13"/>
        <v/>
      </c>
      <c r="T341" s="26" t="str">
        <f t="shared" si="14"/>
        <v/>
      </c>
      <c r="U341" s="26" t="str">
        <f t="shared" si="15"/>
        <v/>
      </c>
      <c r="V341" s="26" t="str">
        <f t="shared" si="16"/>
        <v/>
      </c>
      <c r="W341" s="26" t="str">
        <f t="shared" si="17"/>
        <v/>
      </c>
      <c r="X341" s="26" t="str">
        <f t="shared" si="18"/>
        <v/>
      </c>
      <c r="Y341" s="26" t="str">
        <f t="shared" si="19"/>
        <v/>
      </c>
      <c r="Z341" s="31" t="str">
        <f t="shared" si="20"/>
        <v/>
      </c>
      <c r="AA341" s="31" t="str">
        <f>IF(D341="","",IF(H341&lt;=$B$16,1,IF(H341&gt;=$B$17,$B$21,MATCH(H341,Aux_CAV!$A$2:$A$121,1))))</f>
        <v/>
      </c>
      <c r="AB341" s="31" t="str">
        <f>IF(D341="","",IF(L341&lt;=$B$16,1,IF(L341&gt;=$B$17,$B$21,MATCH(L341,Aux_CAV!$A$2:$A$121,1))))</f>
        <v/>
      </c>
      <c r="AC341" s="3" t="str">
        <f t="shared" si="21"/>
        <v/>
      </c>
    </row>
    <row r="342" ht="12.75" customHeight="1">
      <c r="A342" s="25" t="str">
        <f t="shared" si="1"/>
        <v/>
      </c>
      <c r="B342" s="29" t="str">
        <f t="array" ref="B342">IF(D342="","",IFERROR(VALUE(INDEX(Vazoes_COLAR!$A$2:$A$200,INT((ROW()-24)/12)+1)),""))</f>
        <v/>
      </c>
      <c r="C342" s="29" t="str">
        <f t="shared" si="2"/>
        <v/>
      </c>
      <c r="D342" s="26" t="str">
        <f t="array" ref="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2" s="26" t="str">
        <f t="shared" si="3"/>
        <v/>
      </c>
      <c r="F342" s="26" t="str">
        <f t="array" ref="F342">IF(D342="","",IFERROR(INDEX(Dados_Evap!$C$2:$N$15,MATCH($B$9,Dados_Evap!$A$2:$A$15,0),C342),0))</f>
        <v/>
      </c>
      <c r="G342" s="26" t="str">
        <f t="shared" si="4"/>
        <v/>
      </c>
      <c r="H342" s="26" t="str">
        <f t="shared" si="22"/>
        <v/>
      </c>
      <c r="I342" s="26" t="str">
        <f t="array" ref="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/>
      </c>
      <c r="J342" s="26" t="str">
        <f t="shared" si="5"/>
        <v/>
      </c>
      <c r="K342" s="26" t="str">
        <f t="shared" si="6"/>
        <v/>
      </c>
      <c r="L342" s="26" t="str">
        <f t="shared" si="7"/>
        <v/>
      </c>
      <c r="M342" s="26" t="str">
        <f t="array" ref="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/>
      </c>
      <c r="N342" s="26" t="str">
        <f t="shared" si="8"/>
        <v/>
      </c>
      <c r="O342" s="26" t="str">
        <f t="shared" si="9"/>
        <v/>
      </c>
      <c r="P342" s="26" t="str">
        <f t="shared" si="10"/>
        <v/>
      </c>
      <c r="Q342" s="26" t="str">
        <f t="shared" si="11"/>
        <v/>
      </c>
      <c r="R342" s="26" t="str">
        <f t="shared" si="12"/>
        <v/>
      </c>
      <c r="S342" s="26" t="str">
        <f t="shared" si="13"/>
        <v/>
      </c>
      <c r="T342" s="26" t="str">
        <f t="shared" si="14"/>
        <v/>
      </c>
      <c r="U342" s="26" t="str">
        <f t="shared" si="15"/>
        <v/>
      </c>
      <c r="V342" s="26" t="str">
        <f t="shared" si="16"/>
        <v/>
      </c>
      <c r="W342" s="26" t="str">
        <f t="shared" si="17"/>
        <v/>
      </c>
      <c r="X342" s="26" t="str">
        <f t="shared" si="18"/>
        <v/>
      </c>
      <c r="Y342" s="26" t="str">
        <f t="shared" si="19"/>
        <v/>
      </c>
      <c r="Z342" s="31" t="str">
        <f t="shared" si="20"/>
        <v/>
      </c>
      <c r="AA342" s="31" t="str">
        <f>IF(D342="","",IF(H342&lt;=$B$16,1,IF(H342&gt;=$B$17,$B$21,MATCH(H342,Aux_CAV!$A$2:$A$121,1))))</f>
        <v/>
      </c>
      <c r="AB342" s="31" t="str">
        <f>IF(D342="","",IF(L342&lt;=$B$16,1,IF(L342&gt;=$B$17,$B$21,MATCH(L342,Aux_CAV!$A$2:$A$121,1))))</f>
        <v/>
      </c>
      <c r="AC342" s="3" t="str">
        <f t="shared" si="21"/>
        <v/>
      </c>
    </row>
    <row r="343" ht="12.75" customHeight="1">
      <c r="A343" s="25" t="str">
        <f t="shared" si="1"/>
        <v/>
      </c>
      <c r="B343" s="29" t="str">
        <f t="array" ref="B343">IF(D343="","",IFERROR(VALUE(INDEX(Vazoes_COLAR!$A$2:$A$200,INT((ROW()-24)/12)+1)),""))</f>
        <v/>
      </c>
      <c r="C343" s="29" t="str">
        <f t="shared" si="2"/>
        <v/>
      </c>
      <c r="D343" s="26" t="str">
        <f t="array" ref="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3" s="26" t="str">
        <f t="shared" si="3"/>
        <v/>
      </c>
      <c r="F343" s="26" t="str">
        <f t="array" ref="F343">IF(D343="","",IFERROR(INDEX(Dados_Evap!$C$2:$N$15,MATCH($B$9,Dados_Evap!$A$2:$A$15,0),C343),0))</f>
        <v/>
      </c>
      <c r="G343" s="26" t="str">
        <f t="shared" si="4"/>
        <v/>
      </c>
      <c r="H343" s="26" t="str">
        <f t="shared" si="22"/>
        <v/>
      </c>
      <c r="I343" s="26" t="str">
        <f t="array" ref="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/>
      </c>
      <c r="J343" s="26" t="str">
        <f t="shared" si="5"/>
        <v/>
      </c>
      <c r="K343" s="26" t="str">
        <f t="shared" si="6"/>
        <v/>
      </c>
      <c r="L343" s="26" t="str">
        <f t="shared" si="7"/>
        <v/>
      </c>
      <c r="M343" s="26" t="str">
        <f t="array" ref="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/>
      </c>
      <c r="N343" s="26" t="str">
        <f t="shared" si="8"/>
        <v/>
      </c>
      <c r="O343" s="26" t="str">
        <f t="shared" si="9"/>
        <v/>
      </c>
      <c r="P343" s="26" t="str">
        <f t="shared" si="10"/>
        <v/>
      </c>
      <c r="Q343" s="26" t="str">
        <f t="shared" si="11"/>
        <v/>
      </c>
      <c r="R343" s="26" t="str">
        <f t="shared" si="12"/>
        <v/>
      </c>
      <c r="S343" s="26" t="str">
        <f t="shared" si="13"/>
        <v/>
      </c>
      <c r="T343" s="26" t="str">
        <f t="shared" si="14"/>
        <v/>
      </c>
      <c r="U343" s="26" t="str">
        <f t="shared" si="15"/>
        <v/>
      </c>
      <c r="V343" s="26" t="str">
        <f t="shared" si="16"/>
        <v/>
      </c>
      <c r="W343" s="26" t="str">
        <f t="shared" si="17"/>
        <v/>
      </c>
      <c r="X343" s="26" t="str">
        <f t="shared" si="18"/>
        <v/>
      </c>
      <c r="Y343" s="26" t="str">
        <f t="shared" si="19"/>
        <v/>
      </c>
      <c r="Z343" s="31" t="str">
        <f t="shared" si="20"/>
        <v/>
      </c>
      <c r="AA343" s="31" t="str">
        <f>IF(D343="","",IF(H343&lt;=$B$16,1,IF(H343&gt;=$B$17,$B$21,MATCH(H343,Aux_CAV!$A$2:$A$121,1))))</f>
        <v/>
      </c>
      <c r="AB343" s="31" t="str">
        <f>IF(D343="","",IF(L343&lt;=$B$16,1,IF(L343&gt;=$B$17,$B$21,MATCH(L343,Aux_CAV!$A$2:$A$121,1))))</f>
        <v/>
      </c>
      <c r="AC343" s="3" t="str">
        <f t="shared" si="21"/>
        <v/>
      </c>
    </row>
    <row r="344" ht="12.75" customHeight="1">
      <c r="A344" s="25" t="str">
        <f t="shared" si="1"/>
        <v/>
      </c>
      <c r="B344" s="29" t="str">
        <f t="array" ref="B344">IF(D344="","",IFERROR(VALUE(INDEX(Vazoes_COLAR!$A$2:$A$200,INT((ROW()-24)/12)+1)),""))</f>
        <v/>
      </c>
      <c r="C344" s="29" t="str">
        <f t="shared" si="2"/>
        <v/>
      </c>
      <c r="D344" s="26" t="str">
        <f t="array" ref="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4" s="26" t="str">
        <f t="shared" si="3"/>
        <v/>
      </c>
      <c r="F344" s="26" t="str">
        <f t="array" ref="F344">IF(D344="","",IFERROR(INDEX(Dados_Evap!$C$2:$N$15,MATCH($B$9,Dados_Evap!$A$2:$A$15,0),C344),0))</f>
        <v/>
      </c>
      <c r="G344" s="26" t="str">
        <f t="shared" si="4"/>
        <v/>
      </c>
      <c r="H344" s="26" t="str">
        <f t="shared" si="22"/>
        <v/>
      </c>
      <c r="I344" s="26" t="str">
        <f t="array" ref="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/>
      </c>
      <c r="J344" s="26" t="str">
        <f t="shared" si="5"/>
        <v/>
      </c>
      <c r="K344" s="26" t="str">
        <f t="shared" si="6"/>
        <v/>
      </c>
      <c r="L344" s="26" t="str">
        <f t="shared" si="7"/>
        <v/>
      </c>
      <c r="M344" s="26" t="str">
        <f t="array" ref="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/>
      </c>
      <c r="N344" s="26" t="str">
        <f t="shared" si="8"/>
        <v/>
      </c>
      <c r="O344" s="26" t="str">
        <f t="shared" si="9"/>
        <v/>
      </c>
      <c r="P344" s="26" t="str">
        <f t="shared" si="10"/>
        <v/>
      </c>
      <c r="Q344" s="26" t="str">
        <f t="shared" si="11"/>
        <v/>
      </c>
      <c r="R344" s="26" t="str">
        <f t="shared" si="12"/>
        <v/>
      </c>
      <c r="S344" s="26" t="str">
        <f t="shared" si="13"/>
        <v/>
      </c>
      <c r="T344" s="26" t="str">
        <f t="shared" si="14"/>
        <v/>
      </c>
      <c r="U344" s="26" t="str">
        <f t="shared" si="15"/>
        <v/>
      </c>
      <c r="V344" s="26" t="str">
        <f t="shared" si="16"/>
        <v/>
      </c>
      <c r="W344" s="26" t="str">
        <f t="shared" si="17"/>
        <v/>
      </c>
      <c r="X344" s="26" t="str">
        <f t="shared" si="18"/>
        <v/>
      </c>
      <c r="Y344" s="26" t="str">
        <f t="shared" si="19"/>
        <v/>
      </c>
      <c r="Z344" s="31" t="str">
        <f t="shared" si="20"/>
        <v/>
      </c>
      <c r="AA344" s="31" t="str">
        <f>IF(D344="","",IF(H344&lt;=$B$16,1,IF(H344&gt;=$B$17,$B$21,MATCH(H344,Aux_CAV!$A$2:$A$121,1))))</f>
        <v/>
      </c>
      <c r="AB344" s="31" t="str">
        <f>IF(D344="","",IF(L344&lt;=$B$16,1,IF(L344&gt;=$B$17,$B$21,MATCH(L344,Aux_CAV!$A$2:$A$121,1))))</f>
        <v/>
      </c>
      <c r="AC344" s="3" t="str">
        <f t="shared" si="21"/>
        <v/>
      </c>
    </row>
    <row r="345" ht="12.75" customHeight="1">
      <c r="A345" s="25" t="str">
        <f t="shared" si="1"/>
        <v/>
      </c>
      <c r="B345" s="29" t="str">
        <f t="array" ref="B345">IF(D345="","",IFERROR(VALUE(INDEX(Vazoes_COLAR!$A$2:$A$200,INT((ROW()-24)/12)+1)),""))</f>
        <v/>
      </c>
      <c r="C345" s="29" t="str">
        <f t="shared" si="2"/>
        <v/>
      </c>
      <c r="D345" s="26" t="str">
        <f t="array" ref="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5" s="26" t="str">
        <f t="shared" si="3"/>
        <v/>
      </c>
      <c r="F345" s="26" t="str">
        <f t="array" ref="F345">IF(D345="","",IFERROR(INDEX(Dados_Evap!$C$2:$N$15,MATCH($B$9,Dados_Evap!$A$2:$A$15,0),C345),0))</f>
        <v/>
      </c>
      <c r="G345" s="26" t="str">
        <f t="shared" si="4"/>
        <v/>
      </c>
      <c r="H345" s="26" t="str">
        <f t="shared" si="22"/>
        <v/>
      </c>
      <c r="I345" s="26" t="str">
        <f t="array" ref="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/>
      </c>
      <c r="J345" s="26" t="str">
        <f t="shared" si="5"/>
        <v/>
      </c>
      <c r="K345" s="26" t="str">
        <f t="shared" si="6"/>
        <v/>
      </c>
      <c r="L345" s="26" t="str">
        <f t="shared" si="7"/>
        <v/>
      </c>
      <c r="M345" s="26" t="str">
        <f t="array" ref="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/>
      </c>
      <c r="N345" s="26" t="str">
        <f t="shared" si="8"/>
        <v/>
      </c>
      <c r="O345" s="26" t="str">
        <f t="shared" si="9"/>
        <v/>
      </c>
      <c r="P345" s="26" t="str">
        <f t="shared" si="10"/>
        <v/>
      </c>
      <c r="Q345" s="26" t="str">
        <f t="shared" si="11"/>
        <v/>
      </c>
      <c r="R345" s="26" t="str">
        <f t="shared" si="12"/>
        <v/>
      </c>
      <c r="S345" s="26" t="str">
        <f t="shared" si="13"/>
        <v/>
      </c>
      <c r="T345" s="26" t="str">
        <f t="shared" si="14"/>
        <v/>
      </c>
      <c r="U345" s="26" t="str">
        <f t="shared" si="15"/>
        <v/>
      </c>
      <c r="V345" s="26" t="str">
        <f t="shared" si="16"/>
        <v/>
      </c>
      <c r="W345" s="26" t="str">
        <f t="shared" si="17"/>
        <v/>
      </c>
      <c r="X345" s="26" t="str">
        <f t="shared" si="18"/>
        <v/>
      </c>
      <c r="Y345" s="26" t="str">
        <f t="shared" si="19"/>
        <v/>
      </c>
      <c r="Z345" s="31" t="str">
        <f t="shared" si="20"/>
        <v/>
      </c>
      <c r="AA345" s="31" t="str">
        <f>IF(D345="","",IF(H345&lt;=$B$16,1,IF(H345&gt;=$B$17,$B$21,MATCH(H345,Aux_CAV!$A$2:$A$121,1))))</f>
        <v/>
      </c>
      <c r="AB345" s="31" t="str">
        <f>IF(D345="","",IF(L345&lt;=$B$16,1,IF(L345&gt;=$B$17,$B$21,MATCH(L345,Aux_CAV!$A$2:$A$121,1))))</f>
        <v/>
      </c>
      <c r="AC345" s="3" t="str">
        <f t="shared" si="21"/>
        <v/>
      </c>
    </row>
    <row r="346" ht="12.75" customHeight="1">
      <c r="A346" s="25" t="str">
        <f t="shared" si="1"/>
        <v/>
      </c>
      <c r="B346" s="29" t="str">
        <f t="array" ref="B346">IF(D346="","",IFERROR(VALUE(INDEX(Vazoes_COLAR!$A$2:$A$200,INT((ROW()-24)/12)+1)),""))</f>
        <v/>
      </c>
      <c r="C346" s="29" t="str">
        <f t="shared" si="2"/>
        <v/>
      </c>
      <c r="D346" s="26" t="str">
        <f t="array" ref="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6" s="26" t="str">
        <f t="shared" si="3"/>
        <v/>
      </c>
      <c r="F346" s="26" t="str">
        <f t="array" ref="F346">IF(D346="","",IFERROR(INDEX(Dados_Evap!$C$2:$N$15,MATCH($B$9,Dados_Evap!$A$2:$A$15,0),C346),0))</f>
        <v/>
      </c>
      <c r="G346" s="26" t="str">
        <f t="shared" si="4"/>
        <v/>
      </c>
      <c r="H346" s="26" t="str">
        <f t="shared" si="22"/>
        <v/>
      </c>
      <c r="I346" s="26" t="str">
        <f t="array" ref="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/>
      </c>
      <c r="J346" s="26" t="str">
        <f t="shared" si="5"/>
        <v/>
      </c>
      <c r="K346" s="26" t="str">
        <f t="shared" si="6"/>
        <v/>
      </c>
      <c r="L346" s="26" t="str">
        <f t="shared" si="7"/>
        <v/>
      </c>
      <c r="M346" s="26" t="str">
        <f t="array" ref="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/>
      </c>
      <c r="N346" s="26" t="str">
        <f t="shared" si="8"/>
        <v/>
      </c>
      <c r="O346" s="26" t="str">
        <f t="shared" si="9"/>
        <v/>
      </c>
      <c r="P346" s="26" t="str">
        <f t="shared" si="10"/>
        <v/>
      </c>
      <c r="Q346" s="26" t="str">
        <f t="shared" si="11"/>
        <v/>
      </c>
      <c r="R346" s="26" t="str">
        <f t="shared" si="12"/>
        <v/>
      </c>
      <c r="S346" s="26" t="str">
        <f t="shared" si="13"/>
        <v/>
      </c>
      <c r="T346" s="26" t="str">
        <f t="shared" si="14"/>
        <v/>
      </c>
      <c r="U346" s="26" t="str">
        <f t="shared" si="15"/>
        <v/>
      </c>
      <c r="V346" s="26" t="str">
        <f t="shared" si="16"/>
        <v/>
      </c>
      <c r="W346" s="26" t="str">
        <f t="shared" si="17"/>
        <v/>
      </c>
      <c r="X346" s="26" t="str">
        <f t="shared" si="18"/>
        <v/>
      </c>
      <c r="Y346" s="26" t="str">
        <f t="shared" si="19"/>
        <v/>
      </c>
      <c r="Z346" s="31" t="str">
        <f t="shared" si="20"/>
        <v/>
      </c>
      <c r="AA346" s="31" t="str">
        <f>IF(D346="","",IF(H346&lt;=$B$16,1,IF(H346&gt;=$B$17,$B$21,MATCH(H346,Aux_CAV!$A$2:$A$121,1))))</f>
        <v/>
      </c>
      <c r="AB346" s="31" t="str">
        <f>IF(D346="","",IF(L346&lt;=$B$16,1,IF(L346&gt;=$B$17,$B$21,MATCH(L346,Aux_CAV!$A$2:$A$121,1))))</f>
        <v/>
      </c>
      <c r="AC346" s="3" t="str">
        <f t="shared" si="21"/>
        <v/>
      </c>
    </row>
    <row r="347" ht="12.75" customHeight="1">
      <c r="A347" s="25" t="str">
        <f t="shared" si="1"/>
        <v/>
      </c>
      <c r="B347" s="29" t="str">
        <f t="array" ref="B347">IF(D347="","",IFERROR(VALUE(INDEX(Vazoes_COLAR!$A$2:$A$200,INT((ROW()-24)/12)+1)),""))</f>
        <v/>
      </c>
      <c r="C347" s="29" t="str">
        <f t="shared" si="2"/>
        <v/>
      </c>
      <c r="D347" s="26" t="str">
        <f t="array" ref="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7" s="26" t="str">
        <f t="shared" si="3"/>
        <v/>
      </c>
      <c r="F347" s="26" t="str">
        <f t="array" ref="F347">IF(D347="","",IFERROR(INDEX(Dados_Evap!$C$2:$N$15,MATCH($B$9,Dados_Evap!$A$2:$A$15,0),C347),0))</f>
        <v/>
      </c>
      <c r="G347" s="26" t="str">
        <f t="shared" si="4"/>
        <v/>
      </c>
      <c r="H347" s="26" t="str">
        <f t="shared" si="22"/>
        <v/>
      </c>
      <c r="I347" s="26" t="str">
        <f t="array" ref="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/>
      </c>
      <c r="J347" s="26" t="str">
        <f t="shared" si="5"/>
        <v/>
      </c>
      <c r="K347" s="26" t="str">
        <f t="shared" si="6"/>
        <v/>
      </c>
      <c r="L347" s="26" t="str">
        <f t="shared" si="7"/>
        <v/>
      </c>
      <c r="M347" s="26" t="str">
        <f t="array" ref="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/>
      </c>
      <c r="N347" s="26" t="str">
        <f t="shared" si="8"/>
        <v/>
      </c>
      <c r="O347" s="26" t="str">
        <f t="shared" si="9"/>
        <v/>
      </c>
      <c r="P347" s="26" t="str">
        <f t="shared" si="10"/>
        <v/>
      </c>
      <c r="Q347" s="26" t="str">
        <f t="shared" si="11"/>
        <v/>
      </c>
      <c r="R347" s="26" t="str">
        <f t="shared" si="12"/>
        <v/>
      </c>
      <c r="S347" s="26" t="str">
        <f t="shared" si="13"/>
        <v/>
      </c>
      <c r="T347" s="26" t="str">
        <f t="shared" si="14"/>
        <v/>
      </c>
      <c r="U347" s="26" t="str">
        <f t="shared" si="15"/>
        <v/>
      </c>
      <c r="V347" s="26" t="str">
        <f t="shared" si="16"/>
        <v/>
      </c>
      <c r="W347" s="26" t="str">
        <f t="shared" si="17"/>
        <v/>
      </c>
      <c r="X347" s="26" t="str">
        <f t="shared" si="18"/>
        <v/>
      </c>
      <c r="Y347" s="26" t="str">
        <f t="shared" si="19"/>
        <v/>
      </c>
      <c r="Z347" s="31" t="str">
        <f t="shared" si="20"/>
        <v/>
      </c>
      <c r="AA347" s="31" t="str">
        <f>IF(D347="","",IF(H347&lt;=$B$16,1,IF(H347&gt;=$B$17,$B$21,MATCH(H347,Aux_CAV!$A$2:$A$121,1))))</f>
        <v/>
      </c>
      <c r="AB347" s="31" t="str">
        <f>IF(D347="","",IF(L347&lt;=$B$16,1,IF(L347&gt;=$B$17,$B$21,MATCH(L347,Aux_CAV!$A$2:$A$121,1))))</f>
        <v/>
      </c>
      <c r="AC347" s="3" t="str">
        <f t="shared" si="21"/>
        <v/>
      </c>
    </row>
    <row r="348" ht="12.75" customHeight="1">
      <c r="A348" s="25" t="str">
        <f t="shared" si="1"/>
        <v/>
      </c>
      <c r="B348" s="29" t="str">
        <f t="array" ref="B348">IF(D348="","",IFERROR(VALUE(INDEX(Vazoes_COLAR!$A$2:$A$200,INT((ROW()-24)/12)+1)),""))</f>
        <v/>
      </c>
      <c r="C348" s="29" t="str">
        <f t="shared" si="2"/>
        <v/>
      </c>
      <c r="D348" s="26" t="str">
        <f t="array" ref="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8" s="26" t="str">
        <f t="shared" si="3"/>
        <v/>
      </c>
      <c r="F348" s="26" t="str">
        <f t="array" ref="F348">IF(D348="","",IFERROR(INDEX(Dados_Evap!$C$2:$N$15,MATCH($B$9,Dados_Evap!$A$2:$A$15,0),C348),0))</f>
        <v/>
      </c>
      <c r="G348" s="26" t="str">
        <f t="shared" si="4"/>
        <v/>
      </c>
      <c r="H348" s="26" t="str">
        <f t="shared" si="22"/>
        <v/>
      </c>
      <c r="I348" s="26" t="str">
        <f t="array" ref="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/>
      </c>
      <c r="J348" s="26" t="str">
        <f t="shared" si="5"/>
        <v/>
      </c>
      <c r="K348" s="26" t="str">
        <f t="shared" si="6"/>
        <v/>
      </c>
      <c r="L348" s="26" t="str">
        <f t="shared" si="7"/>
        <v/>
      </c>
      <c r="M348" s="26" t="str">
        <f t="array" ref="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/>
      </c>
      <c r="N348" s="26" t="str">
        <f t="shared" si="8"/>
        <v/>
      </c>
      <c r="O348" s="26" t="str">
        <f t="shared" si="9"/>
        <v/>
      </c>
      <c r="P348" s="26" t="str">
        <f t="shared" si="10"/>
        <v/>
      </c>
      <c r="Q348" s="26" t="str">
        <f t="shared" si="11"/>
        <v/>
      </c>
      <c r="R348" s="26" t="str">
        <f t="shared" si="12"/>
        <v/>
      </c>
      <c r="S348" s="26" t="str">
        <f t="shared" si="13"/>
        <v/>
      </c>
      <c r="T348" s="26" t="str">
        <f t="shared" si="14"/>
        <v/>
      </c>
      <c r="U348" s="26" t="str">
        <f t="shared" si="15"/>
        <v/>
      </c>
      <c r="V348" s="26" t="str">
        <f t="shared" si="16"/>
        <v/>
      </c>
      <c r="W348" s="26" t="str">
        <f t="shared" si="17"/>
        <v/>
      </c>
      <c r="X348" s="26" t="str">
        <f t="shared" si="18"/>
        <v/>
      </c>
      <c r="Y348" s="26" t="str">
        <f t="shared" si="19"/>
        <v/>
      </c>
      <c r="Z348" s="31" t="str">
        <f t="shared" si="20"/>
        <v/>
      </c>
      <c r="AA348" s="31" t="str">
        <f>IF(D348="","",IF(H348&lt;=$B$16,1,IF(H348&gt;=$B$17,$B$21,MATCH(H348,Aux_CAV!$A$2:$A$121,1))))</f>
        <v/>
      </c>
      <c r="AB348" s="31" t="str">
        <f>IF(D348="","",IF(L348&lt;=$B$16,1,IF(L348&gt;=$B$17,$B$21,MATCH(L348,Aux_CAV!$A$2:$A$121,1))))</f>
        <v/>
      </c>
      <c r="AC348" s="3" t="str">
        <f t="shared" si="21"/>
        <v/>
      </c>
    </row>
    <row r="349" ht="12.75" customHeight="1">
      <c r="A349" s="25" t="str">
        <f t="shared" si="1"/>
        <v/>
      </c>
      <c r="B349" s="29" t="str">
        <f t="array" ref="B349">IF(D349="","",IFERROR(VALUE(INDEX(Vazoes_COLAR!$A$2:$A$200,INT((ROW()-24)/12)+1)),""))</f>
        <v/>
      </c>
      <c r="C349" s="29" t="str">
        <f t="shared" si="2"/>
        <v/>
      </c>
      <c r="D349" s="26" t="str">
        <f t="array" ref="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9" s="26" t="str">
        <f t="shared" si="3"/>
        <v/>
      </c>
      <c r="F349" s="26" t="str">
        <f t="array" ref="F349">IF(D349="","",IFERROR(INDEX(Dados_Evap!$C$2:$N$15,MATCH($B$9,Dados_Evap!$A$2:$A$15,0),C349),0))</f>
        <v/>
      </c>
      <c r="G349" s="26" t="str">
        <f t="shared" si="4"/>
        <v/>
      </c>
      <c r="H349" s="26" t="str">
        <f t="shared" si="22"/>
        <v/>
      </c>
      <c r="I349" s="26" t="str">
        <f t="array" ref="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/>
      </c>
      <c r="J349" s="26" t="str">
        <f t="shared" si="5"/>
        <v/>
      </c>
      <c r="K349" s="26" t="str">
        <f t="shared" si="6"/>
        <v/>
      </c>
      <c r="L349" s="26" t="str">
        <f t="shared" si="7"/>
        <v/>
      </c>
      <c r="M349" s="26" t="str">
        <f t="array" ref="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/>
      </c>
      <c r="N349" s="26" t="str">
        <f t="shared" si="8"/>
        <v/>
      </c>
      <c r="O349" s="26" t="str">
        <f t="shared" si="9"/>
        <v/>
      </c>
      <c r="P349" s="26" t="str">
        <f t="shared" si="10"/>
        <v/>
      </c>
      <c r="Q349" s="26" t="str">
        <f t="shared" si="11"/>
        <v/>
      </c>
      <c r="R349" s="26" t="str">
        <f t="shared" si="12"/>
        <v/>
      </c>
      <c r="S349" s="26" t="str">
        <f t="shared" si="13"/>
        <v/>
      </c>
      <c r="T349" s="26" t="str">
        <f t="shared" si="14"/>
        <v/>
      </c>
      <c r="U349" s="26" t="str">
        <f t="shared" si="15"/>
        <v/>
      </c>
      <c r="V349" s="26" t="str">
        <f t="shared" si="16"/>
        <v/>
      </c>
      <c r="W349" s="26" t="str">
        <f t="shared" si="17"/>
        <v/>
      </c>
      <c r="X349" s="26" t="str">
        <f t="shared" si="18"/>
        <v/>
      </c>
      <c r="Y349" s="26" t="str">
        <f t="shared" si="19"/>
        <v/>
      </c>
      <c r="Z349" s="31" t="str">
        <f t="shared" si="20"/>
        <v/>
      </c>
      <c r="AA349" s="31" t="str">
        <f>IF(D349="","",IF(H349&lt;=$B$16,1,IF(H349&gt;=$B$17,$B$21,MATCH(H349,Aux_CAV!$A$2:$A$121,1))))</f>
        <v/>
      </c>
      <c r="AB349" s="31" t="str">
        <f>IF(D349="","",IF(L349&lt;=$B$16,1,IF(L349&gt;=$B$17,$B$21,MATCH(L349,Aux_CAV!$A$2:$A$121,1))))</f>
        <v/>
      </c>
      <c r="AC349" s="3" t="str">
        <f t="shared" si="21"/>
        <v/>
      </c>
    </row>
    <row r="350" ht="12.75" customHeight="1">
      <c r="A350" s="25" t="str">
        <f t="shared" si="1"/>
        <v/>
      </c>
      <c r="B350" s="29" t="str">
        <f t="array" ref="B350">IF(D350="","",IFERROR(VALUE(INDEX(Vazoes_COLAR!$A$2:$A$200,INT((ROW()-24)/12)+1)),""))</f>
        <v/>
      </c>
      <c r="C350" s="29" t="str">
        <f t="shared" si="2"/>
        <v/>
      </c>
      <c r="D350" s="26" t="str">
        <f t="array" ref="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0" s="26" t="str">
        <f t="shared" si="3"/>
        <v/>
      </c>
      <c r="F350" s="26" t="str">
        <f t="array" ref="F350">IF(D350="","",IFERROR(INDEX(Dados_Evap!$C$2:$N$15,MATCH($B$9,Dados_Evap!$A$2:$A$15,0),C350),0))</f>
        <v/>
      </c>
      <c r="G350" s="26" t="str">
        <f t="shared" si="4"/>
        <v/>
      </c>
      <c r="H350" s="26" t="str">
        <f t="shared" si="22"/>
        <v/>
      </c>
      <c r="I350" s="26" t="str">
        <f t="array" ref="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/>
      </c>
      <c r="J350" s="26" t="str">
        <f t="shared" si="5"/>
        <v/>
      </c>
      <c r="K350" s="26" t="str">
        <f t="shared" si="6"/>
        <v/>
      </c>
      <c r="L350" s="26" t="str">
        <f t="shared" si="7"/>
        <v/>
      </c>
      <c r="M350" s="26" t="str">
        <f t="array" ref="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/>
      </c>
      <c r="N350" s="26" t="str">
        <f t="shared" si="8"/>
        <v/>
      </c>
      <c r="O350" s="26" t="str">
        <f t="shared" si="9"/>
        <v/>
      </c>
      <c r="P350" s="26" t="str">
        <f t="shared" si="10"/>
        <v/>
      </c>
      <c r="Q350" s="26" t="str">
        <f t="shared" si="11"/>
        <v/>
      </c>
      <c r="R350" s="26" t="str">
        <f t="shared" si="12"/>
        <v/>
      </c>
      <c r="S350" s="26" t="str">
        <f t="shared" si="13"/>
        <v/>
      </c>
      <c r="T350" s="26" t="str">
        <f t="shared" si="14"/>
        <v/>
      </c>
      <c r="U350" s="26" t="str">
        <f t="shared" si="15"/>
        <v/>
      </c>
      <c r="V350" s="26" t="str">
        <f t="shared" si="16"/>
        <v/>
      </c>
      <c r="W350" s="26" t="str">
        <f t="shared" si="17"/>
        <v/>
      </c>
      <c r="X350" s="26" t="str">
        <f t="shared" si="18"/>
        <v/>
      </c>
      <c r="Y350" s="26" t="str">
        <f t="shared" si="19"/>
        <v/>
      </c>
      <c r="Z350" s="31" t="str">
        <f t="shared" si="20"/>
        <v/>
      </c>
      <c r="AA350" s="31" t="str">
        <f>IF(D350="","",IF(H350&lt;=$B$16,1,IF(H350&gt;=$B$17,$B$21,MATCH(H350,Aux_CAV!$A$2:$A$121,1))))</f>
        <v/>
      </c>
      <c r="AB350" s="31" t="str">
        <f>IF(D350="","",IF(L350&lt;=$B$16,1,IF(L350&gt;=$B$17,$B$21,MATCH(L350,Aux_CAV!$A$2:$A$121,1))))</f>
        <v/>
      </c>
      <c r="AC350" s="3" t="str">
        <f t="shared" si="21"/>
        <v/>
      </c>
    </row>
    <row r="351" ht="12.75" customHeight="1">
      <c r="A351" s="25" t="str">
        <f t="shared" si="1"/>
        <v/>
      </c>
      <c r="B351" s="29" t="str">
        <f t="array" ref="B351">IF(D351="","",IFERROR(VALUE(INDEX(Vazoes_COLAR!$A$2:$A$200,INT((ROW()-24)/12)+1)),""))</f>
        <v/>
      </c>
      <c r="C351" s="29" t="str">
        <f t="shared" si="2"/>
        <v/>
      </c>
      <c r="D351" s="26" t="str">
        <f t="array" ref="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1" s="26" t="str">
        <f t="shared" si="3"/>
        <v/>
      </c>
      <c r="F351" s="26" t="str">
        <f t="array" ref="F351">IF(D351="","",IFERROR(INDEX(Dados_Evap!$C$2:$N$15,MATCH($B$9,Dados_Evap!$A$2:$A$15,0),C351),0))</f>
        <v/>
      </c>
      <c r="G351" s="26" t="str">
        <f t="shared" si="4"/>
        <v/>
      </c>
      <c r="H351" s="26" t="str">
        <f t="shared" si="22"/>
        <v/>
      </c>
      <c r="I351" s="26" t="str">
        <f t="array" ref="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/>
      </c>
      <c r="J351" s="26" t="str">
        <f t="shared" si="5"/>
        <v/>
      </c>
      <c r="K351" s="26" t="str">
        <f t="shared" si="6"/>
        <v/>
      </c>
      <c r="L351" s="26" t="str">
        <f t="shared" si="7"/>
        <v/>
      </c>
      <c r="M351" s="26" t="str">
        <f t="array" ref="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/>
      </c>
      <c r="N351" s="26" t="str">
        <f t="shared" si="8"/>
        <v/>
      </c>
      <c r="O351" s="26" t="str">
        <f t="shared" si="9"/>
        <v/>
      </c>
      <c r="P351" s="26" t="str">
        <f t="shared" si="10"/>
        <v/>
      </c>
      <c r="Q351" s="26" t="str">
        <f t="shared" si="11"/>
        <v/>
      </c>
      <c r="R351" s="26" t="str">
        <f t="shared" si="12"/>
        <v/>
      </c>
      <c r="S351" s="26" t="str">
        <f t="shared" si="13"/>
        <v/>
      </c>
      <c r="T351" s="26" t="str">
        <f t="shared" si="14"/>
        <v/>
      </c>
      <c r="U351" s="26" t="str">
        <f t="shared" si="15"/>
        <v/>
      </c>
      <c r="V351" s="26" t="str">
        <f t="shared" si="16"/>
        <v/>
      </c>
      <c r="W351" s="26" t="str">
        <f t="shared" si="17"/>
        <v/>
      </c>
      <c r="X351" s="26" t="str">
        <f t="shared" si="18"/>
        <v/>
      </c>
      <c r="Y351" s="26" t="str">
        <f t="shared" si="19"/>
        <v/>
      </c>
      <c r="Z351" s="31" t="str">
        <f t="shared" si="20"/>
        <v/>
      </c>
      <c r="AA351" s="31" t="str">
        <f>IF(D351="","",IF(H351&lt;=$B$16,1,IF(H351&gt;=$B$17,$B$21,MATCH(H351,Aux_CAV!$A$2:$A$121,1))))</f>
        <v/>
      </c>
      <c r="AB351" s="31" t="str">
        <f>IF(D351="","",IF(L351&lt;=$B$16,1,IF(L351&gt;=$B$17,$B$21,MATCH(L351,Aux_CAV!$A$2:$A$121,1))))</f>
        <v/>
      </c>
      <c r="AC351" s="3" t="str">
        <f t="shared" si="21"/>
        <v/>
      </c>
    </row>
    <row r="352" ht="12.75" customHeight="1">
      <c r="A352" s="25" t="str">
        <f t="shared" si="1"/>
        <v/>
      </c>
      <c r="B352" s="29" t="str">
        <f t="array" ref="B352">IF(D352="","",IFERROR(VALUE(INDEX(Vazoes_COLAR!$A$2:$A$200,INT((ROW()-24)/12)+1)),""))</f>
        <v/>
      </c>
      <c r="C352" s="29" t="str">
        <f t="shared" si="2"/>
        <v/>
      </c>
      <c r="D352" s="26" t="str">
        <f t="array" ref="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2" s="26" t="str">
        <f t="shared" si="3"/>
        <v/>
      </c>
      <c r="F352" s="26" t="str">
        <f t="array" ref="F352">IF(D352="","",IFERROR(INDEX(Dados_Evap!$C$2:$N$15,MATCH($B$9,Dados_Evap!$A$2:$A$15,0),C352),0))</f>
        <v/>
      </c>
      <c r="G352" s="26" t="str">
        <f t="shared" si="4"/>
        <v/>
      </c>
      <c r="H352" s="26" t="str">
        <f t="shared" si="22"/>
        <v/>
      </c>
      <c r="I352" s="26" t="str">
        <f t="array" ref="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/>
      </c>
      <c r="J352" s="26" t="str">
        <f t="shared" si="5"/>
        <v/>
      </c>
      <c r="K352" s="26" t="str">
        <f t="shared" si="6"/>
        <v/>
      </c>
      <c r="L352" s="26" t="str">
        <f t="shared" si="7"/>
        <v/>
      </c>
      <c r="M352" s="26" t="str">
        <f t="array" ref="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/>
      </c>
      <c r="N352" s="26" t="str">
        <f t="shared" si="8"/>
        <v/>
      </c>
      <c r="O352" s="26" t="str">
        <f t="shared" si="9"/>
        <v/>
      </c>
      <c r="P352" s="26" t="str">
        <f t="shared" si="10"/>
        <v/>
      </c>
      <c r="Q352" s="26" t="str">
        <f t="shared" si="11"/>
        <v/>
      </c>
      <c r="R352" s="26" t="str">
        <f t="shared" si="12"/>
        <v/>
      </c>
      <c r="S352" s="26" t="str">
        <f t="shared" si="13"/>
        <v/>
      </c>
      <c r="T352" s="26" t="str">
        <f t="shared" si="14"/>
        <v/>
      </c>
      <c r="U352" s="26" t="str">
        <f t="shared" si="15"/>
        <v/>
      </c>
      <c r="V352" s="26" t="str">
        <f t="shared" si="16"/>
        <v/>
      </c>
      <c r="W352" s="26" t="str">
        <f t="shared" si="17"/>
        <v/>
      </c>
      <c r="X352" s="26" t="str">
        <f t="shared" si="18"/>
        <v/>
      </c>
      <c r="Y352" s="26" t="str">
        <f t="shared" si="19"/>
        <v/>
      </c>
      <c r="Z352" s="31" t="str">
        <f t="shared" si="20"/>
        <v/>
      </c>
      <c r="AA352" s="31" t="str">
        <f>IF(D352="","",IF(H352&lt;=$B$16,1,IF(H352&gt;=$B$17,$B$21,MATCH(H352,Aux_CAV!$A$2:$A$121,1))))</f>
        <v/>
      </c>
      <c r="AB352" s="31" t="str">
        <f>IF(D352="","",IF(L352&lt;=$B$16,1,IF(L352&gt;=$B$17,$B$21,MATCH(L352,Aux_CAV!$A$2:$A$121,1))))</f>
        <v/>
      </c>
      <c r="AC352" s="3" t="str">
        <f t="shared" si="21"/>
        <v/>
      </c>
    </row>
    <row r="353" ht="12.75" customHeight="1">
      <c r="A353" s="25" t="str">
        <f t="shared" si="1"/>
        <v/>
      </c>
      <c r="B353" s="29" t="str">
        <f t="array" ref="B353">IF(D353="","",IFERROR(VALUE(INDEX(Vazoes_COLAR!$A$2:$A$200,INT((ROW()-24)/12)+1)),""))</f>
        <v/>
      </c>
      <c r="C353" s="29" t="str">
        <f t="shared" si="2"/>
        <v/>
      </c>
      <c r="D353" s="26" t="str">
        <f t="array" ref="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3" s="26" t="str">
        <f t="shared" si="3"/>
        <v/>
      </c>
      <c r="F353" s="26" t="str">
        <f t="array" ref="F353">IF(D353="","",IFERROR(INDEX(Dados_Evap!$C$2:$N$15,MATCH($B$9,Dados_Evap!$A$2:$A$15,0),C353),0))</f>
        <v/>
      </c>
      <c r="G353" s="26" t="str">
        <f t="shared" si="4"/>
        <v/>
      </c>
      <c r="H353" s="26" t="str">
        <f t="shared" si="22"/>
        <v/>
      </c>
      <c r="I353" s="26" t="str">
        <f t="array" ref="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/>
      </c>
      <c r="J353" s="26" t="str">
        <f t="shared" si="5"/>
        <v/>
      </c>
      <c r="K353" s="26" t="str">
        <f t="shared" si="6"/>
        <v/>
      </c>
      <c r="L353" s="26" t="str">
        <f t="shared" si="7"/>
        <v/>
      </c>
      <c r="M353" s="26" t="str">
        <f t="array" ref="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/>
      </c>
      <c r="N353" s="26" t="str">
        <f t="shared" si="8"/>
        <v/>
      </c>
      <c r="O353" s="26" t="str">
        <f t="shared" si="9"/>
        <v/>
      </c>
      <c r="P353" s="26" t="str">
        <f t="shared" si="10"/>
        <v/>
      </c>
      <c r="Q353" s="26" t="str">
        <f t="shared" si="11"/>
        <v/>
      </c>
      <c r="R353" s="26" t="str">
        <f t="shared" si="12"/>
        <v/>
      </c>
      <c r="S353" s="26" t="str">
        <f t="shared" si="13"/>
        <v/>
      </c>
      <c r="T353" s="26" t="str">
        <f t="shared" si="14"/>
        <v/>
      </c>
      <c r="U353" s="26" t="str">
        <f t="shared" si="15"/>
        <v/>
      </c>
      <c r="V353" s="26" t="str">
        <f t="shared" si="16"/>
        <v/>
      </c>
      <c r="W353" s="26" t="str">
        <f t="shared" si="17"/>
        <v/>
      </c>
      <c r="X353" s="26" t="str">
        <f t="shared" si="18"/>
        <v/>
      </c>
      <c r="Y353" s="26" t="str">
        <f t="shared" si="19"/>
        <v/>
      </c>
      <c r="Z353" s="31" t="str">
        <f t="shared" si="20"/>
        <v/>
      </c>
      <c r="AA353" s="31" t="str">
        <f>IF(D353="","",IF(H353&lt;=$B$16,1,IF(H353&gt;=$B$17,$B$21,MATCH(H353,Aux_CAV!$A$2:$A$121,1))))</f>
        <v/>
      </c>
      <c r="AB353" s="31" t="str">
        <f>IF(D353="","",IF(L353&lt;=$B$16,1,IF(L353&gt;=$B$17,$B$21,MATCH(L353,Aux_CAV!$A$2:$A$121,1))))</f>
        <v/>
      </c>
      <c r="AC353" s="3" t="str">
        <f t="shared" si="21"/>
        <v/>
      </c>
    </row>
    <row r="354" ht="12.75" customHeight="1">
      <c r="A354" s="25" t="str">
        <f t="shared" si="1"/>
        <v/>
      </c>
      <c r="B354" s="29" t="str">
        <f t="array" ref="B354">IF(D354="","",IFERROR(VALUE(INDEX(Vazoes_COLAR!$A$2:$A$200,INT((ROW()-24)/12)+1)),""))</f>
        <v/>
      </c>
      <c r="C354" s="29" t="str">
        <f t="shared" si="2"/>
        <v/>
      </c>
      <c r="D354" s="26" t="str">
        <f t="array" ref="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4" s="26" t="str">
        <f t="shared" si="3"/>
        <v/>
      </c>
      <c r="F354" s="26" t="str">
        <f t="array" ref="F354">IF(D354="","",IFERROR(INDEX(Dados_Evap!$C$2:$N$15,MATCH($B$9,Dados_Evap!$A$2:$A$15,0),C354),0))</f>
        <v/>
      </c>
      <c r="G354" s="26" t="str">
        <f t="shared" si="4"/>
        <v/>
      </c>
      <c r="H354" s="26" t="str">
        <f t="shared" si="22"/>
        <v/>
      </c>
      <c r="I354" s="26" t="str">
        <f t="array" ref="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/>
      </c>
      <c r="J354" s="26" t="str">
        <f t="shared" si="5"/>
        <v/>
      </c>
      <c r="K354" s="26" t="str">
        <f t="shared" si="6"/>
        <v/>
      </c>
      <c r="L354" s="26" t="str">
        <f t="shared" si="7"/>
        <v/>
      </c>
      <c r="M354" s="26" t="str">
        <f t="array" ref="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/>
      </c>
      <c r="N354" s="26" t="str">
        <f t="shared" si="8"/>
        <v/>
      </c>
      <c r="O354" s="26" t="str">
        <f t="shared" si="9"/>
        <v/>
      </c>
      <c r="P354" s="26" t="str">
        <f t="shared" si="10"/>
        <v/>
      </c>
      <c r="Q354" s="26" t="str">
        <f t="shared" si="11"/>
        <v/>
      </c>
      <c r="R354" s="26" t="str">
        <f t="shared" si="12"/>
        <v/>
      </c>
      <c r="S354" s="26" t="str">
        <f t="shared" si="13"/>
        <v/>
      </c>
      <c r="T354" s="26" t="str">
        <f t="shared" si="14"/>
        <v/>
      </c>
      <c r="U354" s="26" t="str">
        <f t="shared" si="15"/>
        <v/>
      </c>
      <c r="V354" s="26" t="str">
        <f t="shared" si="16"/>
        <v/>
      </c>
      <c r="W354" s="26" t="str">
        <f t="shared" si="17"/>
        <v/>
      </c>
      <c r="X354" s="26" t="str">
        <f t="shared" si="18"/>
        <v/>
      </c>
      <c r="Y354" s="26" t="str">
        <f t="shared" si="19"/>
        <v/>
      </c>
      <c r="Z354" s="31" t="str">
        <f t="shared" si="20"/>
        <v/>
      </c>
      <c r="AA354" s="31" t="str">
        <f>IF(D354="","",IF(H354&lt;=$B$16,1,IF(H354&gt;=$B$17,$B$21,MATCH(H354,Aux_CAV!$A$2:$A$121,1))))</f>
        <v/>
      </c>
      <c r="AB354" s="31" t="str">
        <f>IF(D354="","",IF(L354&lt;=$B$16,1,IF(L354&gt;=$B$17,$B$21,MATCH(L354,Aux_CAV!$A$2:$A$121,1))))</f>
        <v/>
      </c>
      <c r="AC354" s="3" t="str">
        <f t="shared" si="21"/>
        <v/>
      </c>
    </row>
    <row r="355" ht="12.75" customHeight="1">
      <c r="A355" s="25" t="str">
        <f t="shared" si="1"/>
        <v/>
      </c>
      <c r="B355" s="29" t="str">
        <f t="array" ref="B355">IF(D355="","",IFERROR(VALUE(INDEX(Vazoes_COLAR!$A$2:$A$200,INT((ROW()-24)/12)+1)),""))</f>
        <v/>
      </c>
      <c r="C355" s="29" t="str">
        <f t="shared" si="2"/>
        <v/>
      </c>
      <c r="D355" s="26" t="str">
        <f t="array" ref="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5" s="26" t="str">
        <f t="shared" si="3"/>
        <v/>
      </c>
      <c r="F355" s="26" t="str">
        <f t="array" ref="F355">IF(D355="","",IFERROR(INDEX(Dados_Evap!$C$2:$N$15,MATCH($B$9,Dados_Evap!$A$2:$A$15,0),C355),0))</f>
        <v/>
      </c>
      <c r="G355" s="26" t="str">
        <f t="shared" si="4"/>
        <v/>
      </c>
      <c r="H355" s="26" t="str">
        <f t="shared" si="22"/>
        <v/>
      </c>
      <c r="I355" s="26" t="str">
        <f t="array" ref="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/>
      </c>
      <c r="J355" s="26" t="str">
        <f t="shared" si="5"/>
        <v/>
      </c>
      <c r="K355" s="26" t="str">
        <f t="shared" si="6"/>
        <v/>
      </c>
      <c r="L355" s="26" t="str">
        <f t="shared" si="7"/>
        <v/>
      </c>
      <c r="M355" s="26" t="str">
        <f t="array" ref="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/>
      </c>
      <c r="N355" s="26" t="str">
        <f t="shared" si="8"/>
        <v/>
      </c>
      <c r="O355" s="26" t="str">
        <f t="shared" si="9"/>
        <v/>
      </c>
      <c r="P355" s="26" t="str">
        <f t="shared" si="10"/>
        <v/>
      </c>
      <c r="Q355" s="26" t="str">
        <f t="shared" si="11"/>
        <v/>
      </c>
      <c r="R355" s="26" t="str">
        <f t="shared" si="12"/>
        <v/>
      </c>
      <c r="S355" s="26" t="str">
        <f t="shared" si="13"/>
        <v/>
      </c>
      <c r="T355" s="26" t="str">
        <f t="shared" si="14"/>
        <v/>
      </c>
      <c r="U355" s="26" t="str">
        <f t="shared" si="15"/>
        <v/>
      </c>
      <c r="V355" s="26" t="str">
        <f t="shared" si="16"/>
        <v/>
      </c>
      <c r="W355" s="26" t="str">
        <f t="shared" si="17"/>
        <v/>
      </c>
      <c r="X355" s="26" t="str">
        <f t="shared" si="18"/>
        <v/>
      </c>
      <c r="Y355" s="26" t="str">
        <f t="shared" si="19"/>
        <v/>
      </c>
      <c r="Z355" s="31" t="str">
        <f t="shared" si="20"/>
        <v/>
      </c>
      <c r="AA355" s="31" t="str">
        <f>IF(D355="","",IF(H355&lt;=$B$16,1,IF(H355&gt;=$B$17,$B$21,MATCH(H355,Aux_CAV!$A$2:$A$121,1))))</f>
        <v/>
      </c>
      <c r="AB355" s="31" t="str">
        <f>IF(D355="","",IF(L355&lt;=$B$16,1,IF(L355&gt;=$B$17,$B$21,MATCH(L355,Aux_CAV!$A$2:$A$121,1))))</f>
        <v/>
      </c>
      <c r="AC355" s="3" t="str">
        <f t="shared" si="21"/>
        <v/>
      </c>
    </row>
    <row r="356" ht="12.75" customHeight="1">
      <c r="A356" s="25" t="str">
        <f t="shared" si="1"/>
        <v/>
      </c>
      <c r="B356" s="29" t="str">
        <f t="array" ref="B356">IF(D356="","",IFERROR(VALUE(INDEX(Vazoes_COLAR!$A$2:$A$200,INT((ROW()-24)/12)+1)),""))</f>
        <v/>
      </c>
      <c r="C356" s="29" t="str">
        <f t="shared" si="2"/>
        <v/>
      </c>
      <c r="D356" s="26" t="str">
        <f t="array" ref="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6" s="26" t="str">
        <f t="shared" si="3"/>
        <v/>
      </c>
      <c r="F356" s="26" t="str">
        <f t="array" ref="F356">IF(D356="","",IFERROR(INDEX(Dados_Evap!$C$2:$N$15,MATCH($B$9,Dados_Evap!$A$2:$A$15,0),C356),0))</f>
        <v/>
      </c>
      <c r="G356" s="26" t="str">
        <f t="shared" si="4"/>
        <v/>
      </c>
      <c r="H356" s="26" t="str">
        <f t="shared" si="22"/>
        <v/>
      </c>
      <c r="I356" s="26" t="str">
        <f t="array" ref="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/>
      </c>
      <c r="J356" s="26" t="str">
        <f t="shared" si="5"/>
        <v/>
      </c>
      <c r="K356" s="26" t="str">
        <f t="shared" si="6"/>
        <v/>
      </c>
      <c r="L356" s="26" t="str">
        <f t="shared" si="7"/>
        <v/>
      </c>
      <c r="M356" s="26" t="str">
        <f t="array" ref="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/>
      </c>
      <c r="N356" s="26" t="str">
        <f t="shared" si="8"/>
        <v/>
      </c>
      <c r="O356" s="26" t="str">
        <f t="shared" si="9"/>
        <v/>
      </c>
      <c r="P356" s="26" t="str">
        <f t="shared" si="10"/>
        <v/>
      </c>
      <c r="Q356" s="26" t="str">
        <f t="shared" si="11"/>
        <v/>
      </c>
      <c r="R356" s="26" t="str">
        <f t="shared" si="12"/>
        <v/>
      </c>
      <c r="S356" s="26" t="str">
        <f t="shared" si="13"/>
        <v/>
      </c>
      <c r="T356" s="26" t="str">
        <f t="shared" si="14"/>
        <v/>
      </c>
      <c r="U356" s="26" t="str">
        <f t="shared" si="15"/>
        <v/>
      </c>
      <c r="V356" s="26" t="str">
        <f t="shared" si="16"/>
        <v/>
      </c>
      <c r="W356" s="26" t="str">
        <f t="shared" si="17"/>
        <v/>
      </c>
      <c r="X356" s="26" t="str">
        <f t="shared" si="18"/>
        <v/>
      </c>
      <c r="Y356" s="26" t="str">
        <f t="shared" si="19"/>
        <v/>
      </c>
      <c r="Z356" s="31" t="str">
        <f t="shared" si="20"/>
        <v/>
      </c>
      <c r="AA356" s="31" t="str">
        <f>IF(D356="","",IF(H356&lt;=$B$16,1,IF(H356&gt;=$B$17,$B$21,MATCH(H356,Aux_CAV!$A$2:$A$121,1))))</f>
        <v/>
      </c>
      <c r="AB356" s="31" t="str">
        <f>IF(D356="","",IF(L356&lt;=$B$16,1,IF(L356&gt;=$B$17,$B$21,MATCH(L356,Aux_CAV!$A$2:$A$121,1))))</f>
        <v/>
      </c>
      <c r="AC356" s="3" t="str">
        <f t="shared" si="21"/>
        <v/>
      </c>
    </row>
    <row r="357" ht="12.75" customHeight="1">
      <c r="A357" s="25" t="str">
        <f t="shared" si="1"/>
        <v/>
      </c>
      <c r="B357" s="29" t="str">
        <f t="array" ref="B357">IF(D357="","",IFERROR(VALUE(INDEX(Vazoes_COLAR!$A$2:$A$200,INT((ROW()-24)/12)+1)),""))</f>
        <v/>
      </c>
      <c r="C357" s="29" t="str">
        <f t="shared" si="2"/>
        <v/>
      </c>
      <c r="D357" s="26" t="str">
        <f t="array" ref="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7" s="26" t="str">
        <f t="shared" si="3"/>
        <v/>
      </c>
      <c r="F357" s="26" t="str">
        <f t="array" ref="F357">IF(D357="","",IFERROR(INDEX(Dados_Evap!$C$2:$N$15,MATCH($B$9,Dados_Evap!$A$2:$A$15,0),C357),0))</f>
        <v/>
      </c>
      <c r="G357" s="26" t="str">
        <f t="shared" si="4"/>
        <v/>
      </c>
      <c r="H357" s="26" t="str">
        <f t="shared" si="22"/>
        <v/>
      </c>
      <c r="I357" s="26" t="str">
        <f t="array" ref="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/>
      </c>
      <c r="J357" s="26" t="str">
        <f t="shared" si="5"/>
        <v/>
      </c>
      <c r="K357" s="26" t="str">
        <f t="shared" si="6"/>
        <v/>
      </c>
      <c r="L357" s="26" t="str">
        <f t="shared" si="7"/>
        <v/>
      </c>
      <c r="M357" s="26" t="str">
        <f t="array" ref="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/>
      </c>
      <c r="N357" s="26" t="str">
        <f t="shared" si="8"/>
        <v/>
      </c>
      <c r="O357" s="26" t="str">
        <f t="shared" si="9"/>
        <v/>
      </c>
      <c r="P357" s="26" t="str">
        <f t="shared" si="10"/>
        <v/>
      </c>
      <c r="Q357" s="26" t="str">
        <f t="shared" si="11"/>
        <v/>
      </c>
      <c r="R357" s="26" t="str">
        <f t="shared" si="12"/>
        <v/>
      </c>
      <c r="S357" s="26" t="str">
        <f t="shared" si="13"/>
        <v/>
      </c>
      <c r="T357" s="26" t="str">
        <f t="shared" si="14"/>
        <v/>
      </c>
      <c r="U357" s="26" t="str">
        <f t="shared" si="15"/>
        <v/>
      </c>
      <c r="V357" s="26" t="str">
        <f t="shared" si="16"/>
        <v/>
      </c>
      <c r="W357" s="26" t="str">
        <f t="shared" si="17"/>
        <v/>
      </c>
      <c r="X357" s="26" t="str">
        <f t="shared" si="18"/>
        <v/>
      </c>
      <c r="Y357" s="26" t="str">
        <f t="shared" si="19"/>
        <v/>
      </c>
      <c r="Z357" s="31" t="str">
        <f t="shared" si="20"/>
        <v/>
      </c>
      <c r="AA357" s="31" t="str">
        <f>IF(D357="","",IF(H357&lt;=$B$16,1,IF(H357&gt;=$B$17,$B$21,MATCH(H357,Aux_CAV!$A$2:$A$121,1))))</f>
        <v/>
      </c>
      <c r="AB357" s="31" t="str">
        <f>IF(D357="","",IF(L357&lt;=$B$16,1,IF(L357&gt;=$B$17,$B$21,MATCH(L357,Aux_CAV!$A$2:$A$121,1))))</f>
        <v/>
      </c>
      <c r="AC357" s="3" t="str">
        <f t="shared" si="21"/>
        <v/>
      </c>
    </row>
    <row r="358" ht="12.75" customHeight="1">
      <c r="A358" s="25" t="str">
        <f t="shared" si="1"/>
        <v/>
      </c>
      <c r="B358" s="29" t="str">
        <f t="array" ref="B358">IF(D358="","",IFERROR(VALUE(INDEX(Vazoes_COLAR!$A$2:$A$200,INT((ROW()-24)/12)+1)),""))</f>
        <v/>
      </c>
      <c r="C358" s="29" t="str">
        <f t="shared" si="2"/>
        <v/>
      </c>
      <c r="D358" s="26" t="str">
        <f t="array" ref="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8" s="26" t="str">
        <f t="shared" si="3"/>
        <v/>
      </c>
      <c r="F358" s="26" t="str">
        <f t="array" ref="F358">IF(D358="","",IFERROR(INDEX(Dados_Evap!$C$2:$N$15,MATCH($B$9,Dados_Evap!$A$2:$A$15,0),C358),0))</f>
        <v/>
      </c>
      <c r="G358" s="26" t="str">
        <f t="shared" si="4"/>
        <v/>
      </c>
      <c r="H358" s="26" t="str">
        <f t="shared" si="22"/>
        <v/>
      </c>
      <c r="I358" s="26" t="str">
        <f t="array" ref="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/>
      </c>
      <c r="J358" s="26" t="str">
        <f t="shared" si="5"/>
        <v/>
      </c>
      <c r="K358" s="26" t="str">
        <f t="shared" si="6"/>
        <v/>
      </c>
      <c r="L358" s="26" t="str">
        <f t="shared" si="7"/>
        <v/>
      </c>
      <c r="M358" s="26" t="str">
        <f t="array" ref="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/>
      </c>
      <c r="N358" s="26" t="str">
        <f t="shared" si="8"/>
        <v/>
      </c>
      <c r="O358" s="26" t="str">
        <f t="shared" si="9"/>
        <v/>
      </c>
      <c r="P358" s="26" t="str">
        <f t="shared" si="10"/>
        <v/>
      </c>
      <c r="Q358" s="26" t="str">
        <f t="shared" si="11"/>
        <v/>
      </c>
      <c r="R358" s="26" t="str">
        <f t="shared" si="12"/>
        <v/>
      </c>
      <c r="S358" s="26" t="str">
        <f t="shared" si="13"/>
        <v/>
      </c>
      <c r="T358" s="26" t="str">
        <f t="shared" si="14"/>
        <v/>
      </c>
      <c r="U358" s="26" t="str">
        <f t="shared" si="15"/>
        <v/>
      </c>
      <c r="V358" s="26" t="str">
        <f t="shared" si="16"/>
        <v/>
      </c>
      <c r="W358" s="26" t="str">
        <f t="shared" si="17"/>
        <v/>
      </c>
      <c r="X358" s="26" t="str">
        <f t="shared" si="18"/>
        <v/>
      </c>
      <c r="Y358" s="26" t="str">
        <f t="shared" si="19"/>
        <v/>
      </c>
      <c r="Z358" s="31" t="str">
        <f t="shared" si="20"/>
        <v/>
      </c>
      <c r="AA358" s="31" t="str">
        <f>IF(D358="","",IF(H358&lt;=$B$16,1,IF(H358&gt;=$B$17,$B$21,MATCH(H358,Aux_CAV!$A$2:$A$121,1))))</f>
        <v/>
      </c>
      <c r="AB358" s="31" t="str">
        <f>IF(D358="","",IF(L358&lt;=$B$16,1,IF(L358&gt;=$B$17,$B$21,MATCH(L358,Aux_CAV!$A$2:$A$121,1))))</f>
        <v/>
      </c>
      <c r="AC358" s="3" t="str">
        <f t="shared" si="21"/>
        <v/>
      </c>
    </row>
    <row r="359" ht="12.75" customHeight="1">
      <c r="A359" s="25" t="str">
        <f t="shared" si="1"/>
        <v/>
      </c>
      <c r="B359" s="29" t="str">
        <f t="array" ref="B359">IF(D359="","",IFERROR(VALUE(INDEX(Vazoes_COLAR!$A$2:$A$200,INT((ROW()-24)/12)+1)),""))</f>
        <v/>
      </c>
      <c r="C359" s="29" t="str">
        <f t="shared" si="2"/>
        <v/>
      </c>
      <c r="D359" s="26" t="str">
        <f t="array" ref="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9" s="26" t="str">
        <f t="shared" si="3"/>
        <v/>
      </c>
      <c r="F359" s="26" t="str">
        <f t="array" ref="F359">IF(D359="","",IFERROR(INDEX(Dados_Evap!$C$2:$N$15,MATCH($B$9,Dados_Evap!$A$2:$A$15,0),C359),0))</f>
        <v/>
      </c>
      <c r="G359" s="26" t="str">
        <f t="shared" si="4"/>
        <v/>
      </c>
      <c r="H359" s="26" t="str">
        <f t="shared" si="22"/>
        <v/>
      </c>
      <c r="I359" s="26" t="str">
        <f t="array" ref="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/>
      </c>
      <c r="J359" s="26" t="str">
        <f t="shared" si="5"/>
        <v/>
      </c>
      <c r="K359" s="26" t="str">
        <f t="shared" si="6"/>
        <v/>
      </c>
      <c r="L359" s="26" t="str">
        <f t="shared" si="7"/>
        <v/>
      </c>
      <c r="M359" s="26" t="str">
        <f t="array" ref="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/>
      </c>
      <c r="N359" s="26" t="str">
        <f t="shared" si="8"/>
        <v/>
      </c>
      <c r="O359" s="26" t="str">
        <f t="shared" si="9"/>
        <v/>
      </c>
      <c r="P359" s="26" t="str">
        <f t="shared" si="10"/>
        <v/>
      </c>
      <c r="Q359" s="26" t="str">
        <f t="shared" si="11"/>
        <v/>
      </c>
      <c r="R359" s="26" t="str">
        <f t="shared" si="12"/>
        <v/>
      </c>
      <c r="S359" s="26" t="str">
        <f t="shared" si="13"/>
        <v/>
      </c>
      <c r="T359" s="26" t="str">
        <f t="shared" si="14"/>
        <v/>
      </c>
      <c r="U359" s="26" t="str">
        <f t="shared" si="15"/>
        <v/>
      </c>
      <c r="V359" s="26" t="str">
        <f t="shared" si="16"/>
        <v/>
      </c>
      <c r="W359" s="26" t="str">
        <f t="shared" si="17"/>
        <v/>
      </c>
      <c r="X359" s="26" t="str">
        <f t="shared" si="18"/>
        <v/>
      </c>
      <c r="Y359" s="26" t="str">
        <f t="shared" si="19"/>
        <v/>
      </c>
      <c r="Z359" s="31" t="str">
        <f t="shared" si="20"/>
        <v/>
      </c>
      <c r="AA359" s="31" t="str">
        <f>IF(D359="","",IF(H359&lt;=$B$16,1,IF(H359&gt;=$B$17,$B$21,MATCH(H359,Aux_CAV!$A$2:$A$121,1))))</f>
        <v/>
      </c>
      <c r="AB359" s="31" t="str">
        <f>IF(D359="","",IF(L359&lt;=$B$16,1,IF(L359&gt;=$B$17,$B$21,MATCH(L359,Aux_CAV!$A$2:$A$121,1))))</f>
        <v/>
      </c>
      <c r="AC359" s="3" t="str">
        <f t="shared" si="21"/>
        <v/>
      </c>
    </row>
    <row r="360" ht="12.75" customHeight="1">
      <c r="A360" s="25" t="str">
        <f t="shared" si="1"/>
        <v/>
      </c>
      <c r="B360" s="29" t="str">
        <f t="array" ref="B360">IF(D360="","",IFERROR(VALUE(INDEX(Vazoes_COLAR!$A$2:$A$200,INT((ROW()-24)/12)+1)),""))</f>
        <v/>
      </c>
      <c r="C360" s="29" t="str">
        <f t="shared" si="2"/>
        <v/>
      </c>
      <c r="D360" s="26" t="str">
        <f t="array" ref="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60" s="26" t="str">
        <f t="shared" si="3"/>
        <v/>
      </c>
      <c r="F360" s="26" t="str">
        <f t="array" ref="F360">IF(D360="","",IFERROR(INDEX(Dados_Evap!$C$2:$N$15,MATCH($B$9,Dados_Evap!$A$2:$A$15,0),C360),0))</f>
        <v/>
      </c>
      <c r="G360" s="26" t="str">
        <f t="shared" si="4"/>
        <v/>
      </c>
      <c r="H360" s="26" t="str">
        <f t="shared" si="22"/>
        <v/>
      </c>
      <c r="I360" s="26" t="str">
        <f t="array" ref="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/>
      </c>
      <c r="J360" s="26" t="str">
        <f t="shared" si="5"/>
        <v/>
      </c>
      <c r="K360" s="26" t="str">
        <f t="shared" si="6"/>
        <v/>
      </c>
      <c r="L360" s="26" t="str">
        <f t="shared" si="7"/>
        <v/>
      </c>
      <c r="M360" s="26" t="str">
        <f t="array" ref="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/>
      </c>
      <c r="N360" s="26" t="str">
        <f t="shared" si="8"/>
        <v/>
      </c>
      <c r="O360" s="26" t="str">
        <f t="shared" si="9"/>
        <v/>
      </c>
      <c r="P360" s="26" t="str">
        <f t="shared" si="10"/>
        <v/>
      </c>
      <c r="Q360" s="26" t="str">
        <f t="shared" si="11"/>
        <v/>
      </c>
      <c r="R360" s="26" t="str">
        <f t="shared" si="12"/>
        <v/>
      </c>
      <c r="S360" s="26" t="str">
        <f t="shared" si="13"/>
        <v/>
      </c>
      <c r="T360" s="26" t="str">
        <f t="shared" si="14"/>
        <v/>
      </c>
      <c r="U360" s="26" t="str">
        <f t="shared" si="15"/>
        <v/>
      </c>
      <c r="V360" s="26" t="str">
        <f t="shared" si="16"/>
        <v/>
      </c>
      <c r="W360" s="26" t="str">
        <f t="shared" si="17"/>
        <v/>
      </c>
      <c r="X360" s="26" t="str">
        <f t="shared" si="18"/>
        <v/>
      </c>
      <c r="Y360" s="26" t="str">
        <f t="shared" si="19"/>
        <v/>
      </c>
      <c r="Z360" s="31" t="str">
        <f t="shared" si="20"/>
        <v/>
      </c>
      <c r="AA360" s="31" t="str">
        <f>IF(D360="","",IF(H360&lt;=$B$16,1,IF(H360&gt;=$B$17,$B$21,MATCH(H360,Aux_CAV!$A$2:$A$121,1))))</f>
        <v/>
      </c>
      <c r="AB360" s="31" t="str">
        <f>IF(D360="","",IF(L360&lt;=$B$16,1,IF(L360&gt;=$B$17,$B$21,MATCH(L360,Aux_CAV!$A$2:$A$121,1))))</f>
        <v/>
      </c>
      <c r="AC360" s="3" t="str">
        <f t="shared" si="21"/>
        <v/>
      </c>
    </row>
    <row r="361" ht="12.75" customHeight="1">
      <c r="A361" s="25" t="str">
        <f t="shared" si="1"/>
        <v/>
      </c>
      <c r="B361" s="29" t="str">
        <f t="array" ref="B361">IF(D361="","",IFERROR(VALUE(INDEX(Vazoes_COLAR!$A$2:$A$200,INT((ROW()-24)/12)+1)),""))</f>
        <v/>
      </c>
      <c r="C361" s="29" t="str">
        <f t="shared" si="2"/>
        <v/>
      </c>
      <c r="D361" s="26" t="str">
        <f t="array" ref="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61" s="26" t="str">
        <f t="shared" si="3"/>
        <v/>
      </c>
      <c r="F361" s="26" t="str">
        <f t="array" ref="F361">IF(D361="","",IFERROR(INDEX(Dados_Evap!$C$2:$N$15,MATCH($B$9,Dados_Evap!$A$2:$A$15,0),C361),0))</f>
        <v/>
      </c>
      <c r="G361" s="26" t="str">
        <f t="shared" si="4"/>
        <v/>
      </c>
      <c r="H361" s="26" t="str">
        <f t="shared" si="22"/>
        <v/>
      </c>
      <c r="I361" s="26" t="str">
        <f t="array" ref="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/>
      </c>
      <c r="J361" s="26" t="str">
        <f t="shared" si="5"/>
        <v/>
      </c>
      <c r="K361" s="26" t="str">
        <f t="shared" si="6"/>
        <v/>
      </c>
      <c r="L361" s="26" t="str">
        <f t="shared" si="7"/>
        <v/>
      </c>
      <c r="M361" s="26" t="str">
        <f t="array" ref="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/>
      </c>
      <c r="N361" s="26" t="str">
        <f t="shared" si="8"/>
        <v/>
      </c>
      <c r="O361" s="26" t="str">
        <f t="shared" si="9"/>
        <v/>
      </c>
      <c r="P361" s="26" t="str">
        <f t="shared" si="10"/>
        <v/>
      </c>
      <c r="Q361" s="26" t="str">
        <f t="shared" si="11"/>
        <v/>
      </c>
      <c r="R361" s="26" t="str">
        <f t="shared" si="12"/>
        <v/>
      </c>
      <c r="S361" s="26" t="str">
        <f t="shared" si="13"/>
        <v/>
      </c>
      <c r="T361" s="26" t="str">
        <f t="shared" si="14"/>
        <v/>
      </c>
      <c r="U361" s="26" t="str">
        <f t="shared" si="15"/>
        <v/>
      </c>
      <c r="V361" s="26" t="str">
        <f t="shared" si="16"/>
        <v/>
      </c>
      <c r="W361" s="26" t="str">
        <f t="shared" si="17"/>
        <v/>
      </c>
      <c r="X361" s="26" t="str">
        <f t="shared" si="18"/>
        <v/>
      </c>
      <c r="Y361" s="26" t="str">
        <f t="shared" si="19"/>
        <v/>
      </c>
      <c r="Z361" s="31" t="str">
        <f t="shared" si="20"/>
        <v/>
      </c>
      <c r="AA361" s="31" t="str">
        <f>IF(D361="","",IF(H361&lt;=$B$16,1,IF(H361&gt;=$B$17,$B$21,MATCH(H361,Aux_CAV!$A$2:$A$121,1))))</f>
        <v/>
      </c>
      <c r="AB361" s="31" t="str">
        <f>IF(D361="","",IF(L361&lt;=$B$16,1,IF(L361&gt;=$B$17,$B$21,MATCH(L361,Aux_CAV!$A$2:$A$121,1))))</f>
        <v/>
      </c>
      <c r="AC361" s="3" t="str">
        <f t="shared" si="21"/>
        <v/>
      </c>
    </row>
    <row r="362" ht="12.75" customHeight="1">
      <c r="A362" s="25" t="str">
        <f t="shared" si="1"/>
        <v/>
      </c>
      <c r="B362" s="29" t="str">
        <f t="array" ref="B362">IF(D362="","",IFERROR(VALUE(INDEX(Vazoes_COLAR!$A$2:$A$200,INT((ROW()-24)/12)+1)),""))</f>
        <v/>
      </c>
      <c r="C362" s="29" t="str">
        <f t="shared" si="2"/>
        <v/>
      </c>
      <c r="D362" s="26" t="str">
        <f t="array" ref="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62" s="26" t="str">
        <f t="shared" si="3"/>
        <v/>
      </c>
      <c r="F362" s="26" t="str">
        <f t="array" ref="F362">IF(D362="","",IFERROR(INDEX(Dados_Evap!$C$2:$N$15,MATCH($B$9,Dados_Evap!$A$2:$A$15,0),C362),0))</f>
        <v/>
      </c>
      <c r="G362" s="26" t="str">
        <f t="shared" si="4"/>
        <v/>
      </c>
      <c r="H362" s="26" t="str">
        <f t="shared" si="22"/>
        <v/>
      </c>
      <c r="I362" s="26" t="str">
        <f t="array" ref="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/>
      </c>
      <c r="J362" s="26" t="str">
        <f t="shared" si="5"/>
        <v/>
      </c>
      <c r="K362" s="26" t="str">
        <f t="shared" si="6"/>
        <v/>
      </c>
      <c r="L362" s="26" t="str">
        <f t="shared" si="7"/>
        <v/>
      </c>
      <c r="M362" s="26" t="str">
        <f t="array" ref="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/>
      </c>
      <c r="N362" s="26" t="str">
        <f t="shared" si="8"/>
        <v/>
      </c>
      <c r="O362" s="26" t="str">
        <f t="shared" si="9"/>
        <v/>
      </c>
      <c r="P362" s="26" t="str">
        <f t="shared" si="10"/>
        <v/>
      </c>
      <c r="Q362" s="26" t="str">
        <f t="shared" si="11"/>
        <v/>
      </c>
      <c r="R362" s="26" t="str">
        <f t="shared" si="12"/>
        <v/>
      </c>
      <c r="S362" s="26" t="str">
        <f t="shared" si="13"/>
        <v/>
      </c>
      <c r="T362" s="26" t="str">
        <f t="shared" si="14"/>
        <v/>
      </c>
      <c r="U362" s="26" t="str">
        <f t="shared" si="15"/>
        <v/>
      </c>
      <c r="V362" s="26" t="str">
        <f t="shared" si="16"/>
        <v/>
      </c>
      <c r="W362" s="26" t="str">
        <f t="shared" si="17"/>
        <v/>
      </c>
      <c r="X362" s="26" t="str">
        <f t="shared" si="18"/>
        <v/>
      </c>
      <c r="Y362" s="26" t="str">
        <f t="shared" si="19"/>
        <v/>
      </c>
      <c r="Z362" s="31" t="str">
        <f t="shared" si="20"/>
        <v/>
      </c>
      <c r="AA362" s="31" t="str">
        <f>IF(D362="","",IF(H362&lt;=$B$16,1,IF(H362&gt;=$B$17,$B$21,MATCH(H362,Aux_CAV!$A$2:$A$121,1))))</f>
        <v/>
      </c>
      <c r="AB362" s="31" t="str">
        <f>IF(D362="","",IF(L362&lt;=$B$16,1,IF(L362&gt;=$B$17,$B$21,MATCH(L362,Aux_CAV!$A$2:$A$121,1))))</f>
        <v/>
      </c>
      <c r="AC362" s="3" t="str">
        <f t="shared" si="21"/>
        <v/>
      </c>
    </row>
    <row r="363" ht="12.75" customHeight="1">
      <c r="A363" s="25" t="str">
        <f t="shared" si="1"/>
        <v/>
      </c>
      <c r="B363" s="29" t="str">
        <f t="array" ref="B363">IF(D363="","",IFERROR(VALUE(INDEX(Vazoes_COLAR!$A$2:$A$200,INT((ROW()-24)/12)+1)),""))</f>
        <v/>
      </c>
      <c r="C363" s="29" t="str">
        <f t="shared" si="2"/>
        <v/>
      </c>
      <c r="D363" s="26" t="str">
        <f t="array" ref="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63" s="26" t="str">
        <f t="shared" si="3"/>
        <v/>
      </c>
      <c r="F363" s="26" t="str">
        <f t="array" ref="F363">IF(D363="","",IFERROR(INDEX(Dados_Evap!$C$2:$N$15,MATCH($B$9,Dados_Evap!$A$2:$A$15,0),C363),0))</f>
        <v/>
      </c>
      <c r="G363" s="26" t="str">
        <f t="shared" si="4"/>
        <v/>
      </c>
      <c r="H363" s="26" t="str">
        <f t="shared" si="22"/>
        <v/>
      </c>
      <c r="I363" s="26" t="str">
        <f t="array" ref="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/>
      </c>
      <c r="J363" s="26" t="str">
        <f t="shared" si="5"/>
        <v/>
      </c>
      <c r="K363" s="26" t="str">
        <f t="shared" si="6"/>
        <v/>
      </c>
      <c r="L363" s="26" t="str">
        <f t="shared" si="7"/>
        <v/>
      </c>
      <c r="M363" s="26" t="str">
        <f t="array" ref="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/>
      </c>
      <c r="N363" s="26" t="str">
        <f t="shared" si="8"/>
        <v/>
      </c>
      <c r="O363" s="26" t="str">
        <f t="shared" si="9"/>
        <v/>
      </c>
      <c r="P363" s="26" t="str">
        <f t="shared" si="10"/>
        <v/>
      </c>
      <c r="Q363" s="26" t="str">
        <f t="shared" si="11"/>
        <v/>
      </c>
      <c r="R363" s="26" t="str">
        <f t="shared" si="12"/>
        <v/>
      </c>
      <c r="S363" s="26" t="str">
        <f t="shared" si="13"/>
        <v/>
      </c>
      <c r="T363" s="26" t="str">
        <f t="shared" si="14"/>
        <v/>
      </c>
      <c r="U363" s="26" t="str">
        <f t="shared" si="15"/>
        <v/>
      </c>
      <c r="V363" s="26" t="str">
        <f t="shared" si="16"/>
        <v/>
      </c>
      <c r="W363" s="26" t="str">
        <f t="shared" si="17"/>
        <v/>
      </c>
      <c r="X363" s="26" t="str">
        <f t="shared" si="18"/>
        <v/>
      </c>
      <c r="Y363" s="26" t="str">
        <f t="shared" si="19"/>
        <v/>
      </c>
      <c r="Z363" s="31" t="str">
        <f t="shared" si="20"/>
        <v/>
      </c>
      <c r="AA363" s="31" t="str">
        <f>IF(D363="","",IF(H363&lt;=$B$16,1,IF(H363&gt;=$B$17,$B$21,MATCH(H363,Aux_CAV!$A$2:$A$121,1))))</f>
        <v/>
      </c>
      <c r="AB363" s="31" t="str">
        <f>IF(D363="","",IF(L363&lt;=$B$16,1,IF(L363&gt;=$B$17,$B$21,MATCH(L363,Aux_CAV!$A$2:$A$121,1))))</f>
        <v/>
      </c>
      <c r="AC363" s="3" t="str">
        <f t="shared" si="21"/>
        <v/>
      </c>
    </row>
    <row r="364" ht="12.75" customHeight="1">
      <c r="A364" s="25" t="str">
        <f t="shared" si="1"/>
        <v/>
      </c>
      <c r="B364" s="29" t="str">
        <f t="array" ref="B364">IF(D364="","",IFERROR(VALUE(INDEX(Vazoes_COLAR!$A$2:$A$200,INT((ROW()-24)/12)+1)),""))</f>
        <v/>
      </c>
      <c r="C364" s="29" t="str">
        <f t="shared" si="2"/>
        <v/>
      </c>
      <c r="D364" s="26" t="str">
        <f t="array" ref="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64" s="26" t="str">
        <f t="shared" si="3"/>
        <v/>
      </c>
      <c r="F364" s="26" t="str">
        <f t="array" ref="F364">IF(D364="","",IFERROR(INDEX(Dados_Evap!$C$2:$N$15,MATCH($B$9,Dados_Evap!$A$2:$A$15,0),C364),0))</f>
        <v/>
      </c>
      <c r="G364" s="26" t="str">
        <f t="shared" si="4"/>
        <v/>
      </c>
      <c r="H364" s="26" t="str">
        <f t="shared" si="22"/>
        <v/>
      </c>
      <c r="I364" s="26" t="str">
        <f t="array" ref="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/>
      </c>
      <c r="J364" s="26" t="str">
        <f t="shared" si="5"/>
        <v/>
      </c>
      <c r="K364" s="26" t="str">
        <f t="shared" si="6"/>
        <v/>
      </c>
      <c r="L364" s="26" t="str">
        <f t="shared" si="7"/>
        <v/>
      </c>
      <c r="M364" s="26" t="str">
        <f t="array" ref="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/>
      </c>
      <c r="N364" s="26" t="str">
        <f t="shared" si="8"/>
        <v/>
      </c>
      <c r="O364" s="26" t="str">
        <f t="shared" si="9"/>
        <v/>
      </c>
      <c r="P364" s="26" t="str">
        <f t="shared" si="10"/>
        <v/>
      </c>
      <c r="Q364" s="26" t="str">
        <f t="shared" si="11"/>
        <v/>
      </c>
      <c r="R364" s="26" t="str">
        <f t="shared" si="12"/>
        <v/>
      </c>
      <c r="S364" s="26" t="str">
        <f t="shared" si="13"/>
        <v/>
      </c>
      <c r="T364" s="26" t="str">
        <f t="shared" si="14"/>
        <v/>
      </c>
      <c r="U364" s="26" t="str">
        <f t="shared" si="15"/>
        <v/>
      </c>
      <c r="V364" s="26" t="str">
        <f t="shared" si="16"/>
        <v/>
      </c>
      <c r="W364" s="26" t="str">
        <f t="shared" si="17"/>
        <v/>
      </c>
      <c r="X364" s="26" t="str">
        <f t="shared" si="18"/>
        <v/>
      </c>
      <c r="Y364" s="26" t="str">
        <f t="shared" si="19"/>
        <v/>
      </c>
      <c r="Z364" s="31" t="str">
        <f t="shared" si="20"/>
        <v/>
      </c>
      <c r="AA364" s="31" t="str">
        <f>IF(D364="","",IF(H364&lt;=$B$16,1,IF(H364&gt;=$B$17,$B$21,MATCH(H364,Aux_CAV!$A$2:$A$121,1))))</f>
        <v/>
      </c>
      <c r="AB364" s="31" t="str">
        <f>IF(D364="","",IF(L364&lt;=$B$16,1,IF(L364&gt;=$B$17,$B$21,MATCH(L364,Aux_CAV!$A$2:$A$121,1))))</f>
        <v/>
      </c>
      <c r="AC364" s="3" t="str">
        <f t="shared" si="21"/>
        <v/>
      </c>
    </row>
    <row r="365" ht="12.75" customHeight="1">
      <c r="A365" s="25" t="str">
        <f t="shared" si="1"/>
        <v/>
      </c>
      <c r="B365" s="29" t="str">
        <f t="array" ref="B365">IF(D365="","",IFERROR(VALUE(INDEX(Vazoes_COLAR!$A$2:$A$200,INT((ROW()-24)/12)+1)),""))</f>
        <v/>
      </c>
      <c r="C365" s="29" t="str">
        <f t="shared" si="2"/>
        <v/>
      </c>
      <c r="D365" s="26" t="str">
        <f t="array" ref="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65" s="26" t="str">
        <f t="shared" si="3"/>
        <v/>
      </c>
      <c r="F365" s="26" t="str">
        <f t="array" ref="F365">IF(D365="","",IFERROR(INDEX(Dados_Evap!$C$2:$N$15,MATCH($B$9,Dados_Evap!$A$2:$A$15,0),C365),0))</f>
        <v/>
      </c>
      <c r="G365" s="26" t="str">
        <f t="shared" si="4"/>
        <v/>
      </c>
      <c r="H365" s="26" t="str">
        <f t="shared" si="22"/>
        <v/>
      </c>
      <c r="I365" s="26" t="str">
        <f t="array" ref="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/>
      </c>
      <c r="J365" s="26" t="str">
        <f t="shared" si="5"/>
        <v/>
      </c>
      <c r="K365" s="26" t="str">
        <f t="shared" si="6"/>
        <v/>
      </c>
      <c r="L365" s="26" t="str">
        <f t="shared" si="7"/>
        <v/>
      </c>
      <c r="M365" s="26" t="str">
        <f t="array" ref="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/>
      </c>
      <c r="N365" s="26" t="str">
        <f t="shared" si="8"/>
        <v/>
      </c>
      <c r="O365" s="26" t="str">
        <f t="shared" si="9"/>
        <v/>
      </c>
      <c r="P365" s="26" t="str">
        <f t="shared" si="10"/>
        <v/>
      </c>
      <c r="Q365" s="26" t="str">
        <f t="shared" si="11"/>
        <v/>
      </c>
      <c r="R365" s="26" t="str">
        <f t="shared" si="12"/>
        <v/>
      </c>
      <c r="S365" s="26" t="str">
        <f t="shared" si="13"/>
        <v/>
      </c>
      <c r="T365" s="26" t="str">
        <f t="shared" si="14"/>
        <v/>
      </c>
      <c r="U365" s="26" t="str">
        <f t="shared" si="15"/>
        <v/>
      </c>
      <c r="V365" s="26" t="str">
        <f t="shared" si="16"/>
        <v/>
      </c>
      <c r="W365" s="26" t="str">
        <f t="shared" si="17"/>
        <v/>
      </c>
      <c r="X365" s="26" t="str">
        <f t="shared" si="18"/>
        <v/>
      </c>
      <c r="Y365" s="26" t="str">
        <f t="shared" si="19"/>
        <v/>
      </c>
      <c r="Z365" s="31" t="str">
        <f t="shared" si="20"/>
        <v/>
      </c>
      <c r="AA365" s="31" t="str">
        <f>IF(D365="","",IF(H365&lt;=$B$16,1,IF(H365&gt;=$B$17,$B$21,MATCH(H365,Aux_CAV!$A$2:$A$121,1))))</f>
        <v/>
      </c>
      <c r="AB365" s="31" t="str">
        <f>IF(D365="","",IF(L365&lt;=$B$16,1,IF(L365&gt;=$B$17,$B$21,MATCH(L365,Aux_CAV!$A$2:$A$121,1))))</f>
        <v/>
      </c>
      <c r="AC365" s="3" t="str">
        <f t="shared" si="21"/>
        <v/>
      </c>
    </row>
    <row r="366" ht="12.75" customHeight="1">
      <c r="A366" s="25" t="str">
        <f t="shared" si="1"/>
        <v/>
      </c>
      <c r="B366" s="29" t="str">
        <f t="array" ref="B366">IF(D366="","",IFERROR(VALUE(INDEX(Vazoes_COLAR!$A$2:$A$200,INT((ROW()-24)/12)+1)),""))</f>
        <v/>
      </c>
      <c r="C366" s="29" t="str">
        <f t="shared" si="2"/>
        <v/>
      </c>
      <c r="D366" s="26" t="str">
        <f t="array" ref="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66" s="26" t="str">
        <f t="shared" si="3"/>
        <v/>
      </c>
      <c r="F366" s="26" t="str">
        <f t="array" ref="F366">IF(D366="","",IFERROR(INDEX(Dados_Evap!$C$2:$N$15,MATCH($B$9,Dados_Evap!$A$2:$A$15,0),C366),0))</f>
        <v/>
      </c>
      <c r="G366" s="26" t="str">
        <f t="shared" si="4"/>
        <v/>
      </c>
      <c r="H366" s="26" t="str">
        <f t="shared" si="22"/>
        <v/>
      </c>
      <c r="I366" s="26" t="str">
        <f t="array" ref="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/>
      </c>
      <c r="J366" s="26" t="str">
        <f t="shared" si="5"/>
        <v/>
      </c>
      <c r="K366" s="26" t="str">
        <f t="shared" si="6"/>
        <v/>
      </c>
      <c r="L366" s="26" t="str">
        <f t="shared" si="7"/>
        <v/>
      </c>
      <c r="M366" s="26" t="str">
        <f t="array" ref="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/>
      </c>
      <c r="N366" s="26" t="str">
        <f t="shared" si="8"/>
        <v/>
      </c>
      <c r="O366" s="26" t="str">
        <f t="shared" si="9"/>
        <v/>
      </c>
      <c r="P366" s="26" t="str">
        <f t="shared" si="10"/>
        <v/>
      </c>
      <c r="Q366" s="26" t="str">
        <f t="shared" si="11"/>
        <v/>
      </c>
      <c r="R366" s="26" t="str">
        <f t="shared" si="12"/>
        <v/>
      </c>
      <c r="S366" s="26" t="str">
        <f t="shared" si="13"/>
        <v/>
      </c>
      <c r="T366" s="26" t="str">
        <f t="shared" si="14"/>
        <v/>
      </c>
      <c r="U366" s="26" t="str">
        <f t="shared" si="15"/>
        <v/>
      </c>
      <c r="V366" s="26" t="str">
        <f t="shared" si="16"/>
        <v/>
      </c>
      <c r="W366" s="26" t="str">
        <f t="shared" si="17"/>
        <v/>
      </c>
      <c r="X366" s="26" t="str">
        <f t="shared" si="18"/>
        <v/>
      </c>
      <c r="Y366" s="26" t="str">
        <f t="shared" si="19"/>
        <v/>
      </c>
      <c r="Z366" s="31" t="str">
        <f t="shared" si="20"/>
        <v/>
      </c>
      <c r="AA366" s="31" t="str">
        <f>IF(D366="","",IF(H366&lt;=$B$16,1,IF(H366&gt;=$B$17,$B$21,MATCH(H366,Aux_CAV!$A$2:$A$121,1))))</f>
        <v/>
      </c>
      <c r="AB366" s="31" t="str">
        <f>IF(D366="","",IF(L366&lt;=$B$16,1,IF(L366&gt;=$B$17,$B$21,MATCH(L366,Aux_CAV!$A$2:$A$121,1))))</f>
        <v/>
      </c>
      <c r="AC366" s="3" t="str">
        <f t="shared" si="21"/>
        <v/>
      </c>
    </row>
    <row r="367" ht="12.75" customHeight="1">
      <c r="A367" s="25" t="str">
        <f t="shared" si="1"/>
        <v/>
      </c>
      <c r="B367" s="29" t="str">
        <f t="array" ref="B367">IF(D367="","",IFERROR(VALUE(INDEX(Vazoes_COLAR!$A$2:$A$200,INT((ROW()-24)/12)+1)),""))</f>
        <v/>
      </c>
      <c r="C367" s="29" t="str">
        <f t="shared" si="2"/>
        <v/>
      </c>
      <c r="D367" s="26" t="str">
        <f t="array" ref="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67" s="26" t="str">
        <f t="shared" si="3"/>
        <v/>
      </c>
      <c r="F367" s="26" t="str">
        <f t="array" ref="F367">IF(D367="","",IFERROR(INDEX(Dados_Evap!$C$2:$N$15,MATCH($B$9,Dados_Evap!$A$2:$A$15,0),C367),0))</f>
        <v/>
      </c>
      <c r="G367" s="26" t="str">
        <f t="shared" si="4"/>
        <v/>
      </c>
      <c r="H367" s="26" t="str">
        <f t="shared" si="22"/>
        <v/>
      </c>
      <c r="I367" s="26" t="str">
        <f t="array" ref="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/>
      </c>
      <c r="J367" s="26" t="str">
        <f t="shared" si="5"/>
        <v/>
      </c>
      <c r="K367" s="26" t="str">
        <f t="shared" si="6"/>
        <v/>
      </c>
      <c r="L367" s="26" t="str">
        <f t="shared" si="7"/>
        <v/>
      </c>
      <c r="M367" s="26" t="str">
        <f t="array" ref="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/>
      </c>
      <c r="N367" s="26" t="str">
        <f t="shared" si="8"/>
        <v/>
      </c>
      <c r="O367" s="26" t="str">
        <f t="shared" si="9"/>
        <v/>
      </c>
      <c r="P367" s="26" t="str">
        <f t="shared" si="10"/>
        <v/>
      </c>
      <c r="Q367" s="26" t="str">
        <f t="shared" si="11"/>
        <v/>
      </c>
      <c r="R367" s="26" t="str">
        <f t="shared" si="12"/>
        <v/>
      </c>
      <c r="S367" s="26" t="str">
        <f t="shared" si="13"/>
        <v/>
      </c>
      <c r="T367" s="26" t="str">
        <f t="shared" si="14"/>
        <v/>
      </c>
      <c r="U367" s="26" t="str">
        <f t="shared" si="15"/>
        <v/>
      </c>
      <c r="V367" s="26" t="str">
        <f t="shared" si="16"/>
        <v/>
      </c>
      <c r="W367" s="26" t="str">
        <f t="shared" si="17"/>
        <v/>
      </c>
      <c r="X367" s="26" t="str">
        <f t="shared" si="18"/>
        <v/>
      </c>
      <c r="Y367" s="26" t="str">
        <f t="shared" si="19"/>
        <v/>
      </c>
      <c r="Z367" s="31" t="str">
        <f t="shared" si="20"/>
        <v/>
      </c>
      <c r="AA367" s="31" t="str">
        <f>IF(D367="","",IF(H367&lt;=$B$16,1,IF(H367&gt;=$B$17,$B$21,MATCH(H367,Aux_CAV!$A$2:$A$121,1))))</f>
        <v/>
      </c>
      <c r="AB367" s="31" t="str">
        <f>IF(D367="","",IF(L367&lt;=$B$16,1,IF(L367&gt;=$B$17,$B$21,MATCH(L367,Aux_CAV!$A$2:$A$121,1))))</f>
        <v/>
      </c>
      <c r="AC367" s="3" t="str">
        <f t="shared" si="21"/>
        <v/>
      </c>
    </row>
    <row r="368" ht="12.75" customHeight="1">
      <c r="A368" s="25" t="str">
        <f t="shared" si="1"/>
        <v/>
      </c>
      <c r="B368" s="29" t="str">
        <f t="array" ref="B368">IF(D368="","",IFERROR(VALUE(INDEX(Vazoes_COLAR!$A$2:$A$200,INT((ROW()-24)/12)+1)),""))</f>
        <v/>
      </c>
      <c r="C368" s="29" t="str">
        <f t="shared" si="2"/>
        <v/>
      </c>
      <c r="D368" s="26" t="str">
        <f t="array" ref="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68" s="26" t="str">
        <f t="shared" si="3"/>
        <v/>
      </c>
      <c r="F368" s="26" t="str">
        <f t="array" ref="F368">IF(D368="","",IFERROR(INDEX(Dados_Evap!$C$2:$N$15,MATCH($B$9,Dados_Evap!$A$2:$A$15,0),C368),0))</f>
        <v/>
      </c>
      <c r="G368" s="26" t="str">
        <f t="shared" si="4"/>
        <v/>
      </c>
      <c r="H368" s="26" t="str">
        <f t="shared" si="22"/>
        <v/>
      </c>
      <c r="I368" s="26" t="str">
        <f t="array" ref="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/>
      </c>
      <c r="J368" s="26" t="str">
        <f t="shared" si="5"/>
        <v/>
      </c>
      <c r="K368" s="26" t="str">
        <f t="shared" si="6"/>
        <v/>
      </c>
      <c r="L368" s="26" t="str">
        <f t="shared" si="7"/>
        <v/>
      </c>
      <c r="M368" s="26" t="str">
        <f t="array" ref="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/>
      </c>
      <c r="N368" s="26" t="str">
        <f t="shared" si="8"/>
        <v/>
      </c>
      <c r="O368" s="26" t="str">
        <f t="shared" si="9"/>
        <v/>
      </c>
      <c r="P368" s="26" t="str">
        <f t="shared" si="10"/>
        <v/>
      </c>
      <c r="Q368" s="26" t="str">
        <f t="shared" si="11"/>
        <v/>
      </c>
      <c r="R368" s="26" t="str">
        <f t="shared" si="12"/>
        <v/>
      </c>
      <c r="S368" s="26" t="str">
        <f t="shared" si="13"/>
        <v/>
      </c>
      <c r="T368" s="26" t="str">
        <f t="shared" si="14"/>
        <v/>
      </c>
      <c r="U368" s="26" t="str">
        <f t="shared" si="15"/>
        <v/>
      </c>
      <c r="V368" s="26" t="str">
        <f t="shared" si="16"/>
        <v/>
      </c>
      <c r="W368" s="26" t="str">
        <f t="shared" si="17"/>
        <v/>
      </c>
      <c r="X368" s="26" t="str">
        <f t="shared" si="18"/>
        <v/>
      </c>
      <c r="Y368" s="26" t="str">
        <f t="shared" si="19"/>
        <v/>
      </c>
      <c r="Z368" s="31" t="str">
        <f t="shared" si="20"/>
        <v/>
      </c>
      <c r="AA368" s="31" t="str">
        <f>IF(D368="","",IF(H368&lt;=$B$16,1,IF(H368&gt;=$B$17,$B$21,MATCH(H368,Aux_CAV!$A$2:$A$121,1))))</f>
        <v/>
      </c>
      <c r="AB368" s="31" t="str">
        <f>IF(D368="","",IF(L368&lt;=$B$16,1,IF(L368&gt;=$B$17,$B$21,MATCH(L368,Aux_CAV!$A$2:$A$121,1))))</f>
        <v/>
      </c>
      <c r="AC368" s="3" t="str">
        <f t="shared" si="21"/>
        <v/>
      </c>
    </row>
    <row r="369" ht="12.75" customHeight="1">
      <c r="A369" s="25" t="str">
        <f t="shared" si="1"/>
        <v/>
      </c>
      <c r="B369" s="29" t="str">
        <f t="array" ref="B369">IF(D369="","",IFERROR(VALUE(INDEX(Vazoes_COLAR!$A$2:$A$200,INT((ROW()-24)/12)+1)),""))</f>
        <v/>
      </c>
      <c r="C369" s="29" t="str">
        <f t="shared" si="2"/>
        <v/>
      </c>
      <c r="D369" s="26" t="str">
        <f t="array" ref="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69" s="26" t="str">
        <f t="shared" si="3"/>
        <v/>
      </c>
      <c r="F369" s="26" t="str">
        <f t="array" ref="F369">IF(D369="","",IFERROR(INDEX(Dados_Evap!$C$2:$N$15,MATCH($B$9,Dados_Evap!$A$2:$A$15,0),C369),0))</f>
        <v/>
      </c>
      <c r="G369" s="26" t="str">
        <f t="shared" si="4"/>
        <v/>
      </c>
      <c r="H369" s="26" t="str">
        <f t="shared" si="22"/>
        <v/>
      </c>
      <c r="I369" s="26" t="str">
        <f t="array" ref="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/>
      </c>
      <c r="J369" s="26" t="str">
        <f t="shared" si="5"/>
        <v/>
      </c>
      <c r="K369" s="26" t="str">
        <f t="shared" si="6"/>
        <v/>
      </c>
      <c r="L369" s="26" t="str">
        <f t="shared" si="7"/>
        <v/>
      </c>
      <c r="M369" s="26" t="str">
        <f t="array" ref="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/>
      </c>
      <c r="N369" s="26" t="str">
        <f t="shared" si="8"/>
        <v/>
      </c>
      <c r="O369" s="26" t="str">
        <f t="shared" si="9"/>
        <v/>
      </c>
      <c r="P369" s="26" t="str">
        <f t="shared" si="10"/>
        <v/>
      </c>
      <c r="Q369" s="26" t="str">
        <f t="shared" si="11"/>
        <v/>
      </c>
      <c r="R369" s="26" t="str">
        <f t="shared" si="12"/>
        <v/>
      </c>
      <c r="S369" s="26" t="str">
        <f t="shared" si="13"/>
        <v/>
      </c>
      <c r="T369" s="26" t="str">
        <f t="shared" si="14"/>
        <v/>
      </c>
      <c r="U369" s="26" t="str">
        <f t="shared" si="15"/>
        <v/>
      </c>
      <c r="V369" s="26" t="str">
        <f t="shared" si="16"/>
        <v/>
      </c>
      <c r="W369" s="26" t="str">
        <f t="shared" si="17"/>
        <v/>
      </c>
      <c r="X369" s="26" t="str">
        <f t="shared" si="18"/>
        <v/>
      </c>
      <c r="Y369" s="26" t="str">
        <f t="shared" si="19"/>
        <v/>
      </c>
      <c r="Z369" s="31" t="str">
        <f t="shared" si="20"/>
        <v/>
      </c>
      <c r="AA369" s="31" t="str">
        <f>IF(D369="","",IF(H369&lt;=$B$16,1,IF(H369&gt;=$B$17,$B$21,MATCH(H369,Aux_CAV!$A$2:$A$121,1))))</f>
        <v/>
      </c>
      <c r="AB369" s="31" t="str">
        <f>IF(D369="","",IF(L369&lt;=$B$16,1,IF(L369&gt;=$B$17,$B$21,MATCH(L369,Aux_CAV!$A$2:$A$121,1))))</f>
        <v/>
      </c>
      <c r="AC369" s="3" t="str">
        <f t="shared" si="21"/>
        <v/>
      </c>
    </row>
    <row r="370" ht="12.75" customHeight="1">
      <c r="A370" s="25" t="str">
        <f t="shared" si="1"/>
        <v/>
      </c>
      <c r="B370" s="29" t="str">
        <f t="array" ref="B370">IF(D370="","",IFERROR(VALUE(INDEX(Vazoes_COLAR!$A$2:$A$200,INT((ROW()-24)/12)+1)),""))</f>
        <v/>
      </c>
      <c r="C370" s="29" t="str">
        <f t="shared" si="2"/>
        <v/>
      </c>
      <c r="D370" s="26" t="str">
        <f t="array" ref="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70" s="26" t="str">
        <f t="shared" si="3"/>
        <v/>
      </c>
      <c r="F370" s="26" t="str">
        <f t="array" ref="F370">IF(D370="","",IFERROR(INDEX(Dados_Evap!$C$2:$N$15,MATCH($B$9,Dados_Evap!$A$2:$A$15,0),C370),0))</f>
        <v/>
      </c>
      <c r="G370" s="26" t="str">
        <f t="shared" si="4"/>
        <v/>
      </c>
      <c r="H370" s="26" t="str">
        <f t="shared" si="22"/>
        <v/>
      </c>
      <c r="I370" s="26" t="str">
        <f t="array" ref="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/>
      </c>
      <c r="J370" s="26" t="str">
        <f t="shared" si="5"/>
        <v/>
      </c>
      <c r="K370" s="26" t="str">
        <f t="shared" si="6"/>
        <v/>
      </c>
      <c r="L370" s="26" t="str">
        <f t="shared" si="7"/>
        <v/>
      </c>
      <c r="M370" s="26" t="str">
        <f t="array" ref="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/>
      </c>
      <c r="N370" s="26" t="str">
        <f t="shared" si="8"/>
        <v/>
      </c>
      <c r="O370" s="26" t="str">
        <f t="shared" si="9"/>
        <v/>
      </c>
      <c r="P370" s="26" t="str">
        <f t="shared" si="10"/>
        <v/>
      </c>
      <c r="Q370" s="26" t="str">
        <f t="shared" si="11"/>
        <v/>
      </c>
      <c r="R370" s="26" t="str">
        <f t="shared" si="12"/>
        <v/>
      </c>
      <c r="S370" s="26" t="str">
        <f t="shared" si="13"/>
        <v/>
      </c>
      <c r="T370" s="26" t="str">
        <f t="shared" si="14"/>
        <v/>
      </c>
      <c r="U370" s="26" t="str">
        <f t="shared" si="15"/>
        <v/>
      </c>
      <c r="V370" s="26" t="str">
        <f t="shared" si="16"/>
        <v/>
      </c>
      <c r="W370" s="26" t="str">
        <f t="shared" si="17"/>
        <v/>
      </c>
      <c r="X370" s="26" t="str">
        <f t="shared" si="18"/>
        <v/>
      </c>
      <c r="Y370" s="26" t="str">
        <f t="shared" si="19"/>
        <v/>
      </c>
      <c r="Z370" s="31" t="str">
        <f t="shared" si="20"/>
        <v/>
      </c>
      <c r="AA370" s="31" t="str">
        <f>IF(D370="","",IF(H370&lt;=$B$16,1,IF(H370&gt;=$B$17,$B$21,MATCH(H370,Aux_CAV!$A$2:$A$121,1))))</f>
        <v/>
      </c>
      <c r="AB370" s="31" t="str">
        <f>IF(D370="","",IF(L370&lt;=$B$16,1,IF(L370&gt;=$B$17,$B$21,MATCH(L370,Aux_CAV!$A$2:$A$121,1))))</f>
        <v/>
      </c>
      <c r="AC370" s="3" t="str">
        <f t="shared" si="21"/>
        <v/>
      </c>
    </row>
    <row r="371" ht="12.75" customHeight="1">
      <c r="A371" s="25" t="str">
        <f t="shared" si="1"/>
        <v/>
      </c>
      <c r="B371" s="29" t="str">
        <f t="array" ref="B371">IF(D371="","",IFERROR(VALUE(INDEX(Vazoes_COLAR!$A$2:$A$200,INT((ROW()-24)/12)+1)),""))</f>
        <v/>
      </c>
      <c r="C371" s="29" t="str">
        <f t="shared" si="2"/>
        <v/>
      </c>
      <c r="D371" s="26" t="str">
        <f t="array" ref="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71" s="26" t="str">
        <f t="shared" si="3"/>
        <v/>
      </c>
      <c r="F371" s="26" t="str">
        <f t="array" ref="F371">IF(D371="","",IFERROR(INDEX(Dados_Evap!$C$2:$N$15,MATCH($B$9,Dados_Evap!$A$2:$A$15,0),C371),0))</f>
        <v/>
      </c>
      <c r="G371" s="26" t="str">
        <f t="shared" si="4"/>
        <v/>
      </c>
      <c r="H371" s="26" t="str">
        <f t="shared" si="22"/>
        <v/>
      </c>
      <c r="I371" s="26" t="str">
        <f t="array" ref="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/>
      </c>
      <c r="J371" s="26" t="str">
        <f t="shared" si="5"/>
        <v/>
      </c>
      <c r="K371" s="26" t="str">
        <f t="shared" si="6"/>
        <v/>
      </c>
      <c r="L371" s="26" t="str">
        <f t="shared" si="7"/>
        <v/>
      </c>
      <c r="M371" s="26" t="str">
        <f t="array" ref="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/>
      </c>
      <c r="N371" s="26" t="str">
        <f t="shared" si="8"/>
        <v/>
      </c>
      <c r="O371" s="26" t="str">
        <f t="shared" si="9"/>
        <v/>
      </c>
      <c r="P371" s="26" t="str">
        <f t="shared" si="10"/>
        <v/>
      </c>
      <c r="Q371" s="26" t="str">
        <f t="shared" si="11"/>
        <v/>
      </c>
      <c r="R371" s="26" t="str">
        <f t="shared" si="12"/>
        <v/>
      </c>
      <c r="S371" s="26" t="str">
        <f t="shared" si="13"/>
        <v/>
      </c>
      <c r="T371" s="26" t="str">
        <f t="shared" si="14"/>
        <v/>
      </c>
      <c r="U371" s="26" t="str">
        <f t="shared" si="15"/>
        <v/>
      </c>
      <c r="V371" s="26" t="str">
        <f t="shared" si="16"/>
        <v/>
      </c>
      <c r="W371" s="26" t="str">
        <f t="shared" si="17"/>
        <v/>
      </c>
      <c r="X371" s="26" t="str">
        <f t="shared" si="18"/>
        <v/>
      </c>
      <c r="Y371" s="26" t="str">
        <f t="shared" si="19"/>
        <v/>
      </c>
      <c r="Z371" s="31" t="str">
        <f t="shared" si="20"/>
        <v/>
      </c>
      <c r="AA371" s="31" t="str">
        <f>IF(D371="","",IF(H371&lt;=$B$16,1,IF(H371&gt;=$B$17,$B$21,MATCH(H371,Aux_CAV!$A$2:$A$121,1))))</f>
        <v/>
      </c>
      <c r="AB371" s="31" t="str">
        <f>IF(D371="","",IF(L371&lt;=$B$16,1,IF(L371&gt;=$B$17,$B$21,MATCH(L371,Aux_CAV!$A$2:$A$121,1))))</f>
        <v/>
      </c>
      <c r="AC371" s="3" t="str">
        <f t="shared" si="21"/>
        <v/>
      </c>
    </row>
    <row r="372" ht="12.75" customHeight="1">
      <c r="A372" s="25" t="str">
        <f t="shared" si="1"/>
        <v/>
      </c>
      <c r="B372" s="29" t="str">
        <f t="array" ref="B372">IF(D372="","",IFERROR(VALUE(INDEX(Vazoes_COLAR!$A$2:$A$200,INT((ROW()-24)/12)+1)),""))</f>
        <v/>
      </c>
      <c r="C372" s="29" t="str">
        <f t="shared" si="2"/>
        <v/>
      </c>
      <c r="D372" s="26" t="str">
        <f t="array" ref="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72" s="26" t="str">
        <f t="shared" si="3"/>
        <v/>
      </c>
      <c r="F372" s="26" t="str">
        <f t="array" ref="F372">IF(D372="","",IFERROR(INDEX(Dados_Evap!$C$2:$N$15,MATCH($B$9,Dados_Evap!$A$2:$A$15,0),C372),0))</f>
        <v/>
      </c>
      <c r="G372" s="26" t="str">
        <f t="shared" si="4"/>
        <v/>
      </c>
      <c r="H372" s="26" t="str">
        <f t="shared" si="22"/>
        <v/>
      </c>
      <c r="I372" s="26" t="str">
        <f t="array" ref="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/>
      </c>
      <c r="J372" s="26" t="str">
        <f t="shared" si="5"/>
        <v/>
      </c>
      <c r="K372" s="26" t="str">
        <f t="shared" si="6"/>
        <v/>
      </c>
      <c r="L372" s="26" t="str">
        <f t="shared" si="7"/>
        <v/>
      </c>
      <c r="M372" s="26" t="str">
        <f t="array" ref="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/>
      </c>
      <c r="N372" s="26" t="str">
        <f t="shared" si="8"/>
        <v/>
      </c>
      <c r="O372" s="26" t="str">
        <f t="shared" si="9"/>
        <v/>
      </c>
      <c r="P372" s="26" t="str">
        <f t="shared" si="10"/>
        <v/>
      </c>
      <c r="Q372" s="26" t="str">
        <f t="shared" si="11"/>
        <v/>
      </c>
      <c r="R372" s="26" t="str">
        <f t="shared" si="12"/>
        <v/>
      </c>
      <c r="S372" s="26" t="str">
        <f t="shared" si="13"/>
        <v/>
      </c>
      <c r="T372" s="26" t="str">
        <f t="shared" si="14"/>
        <v/>
      </c>
      <c r="U372" s="26" t="str">
        <f t="shared" si="15"/>
        <v/>
      </c>
      <c r="V372" s="26" t="str">
        <f t="shared" si="16"/>
        <v/>
      </c>
      <c r="W372" s="26" t="str">
        <f t="shared" si="17"/>
        <v/>
      </c>
      <c r="X372" s="26" t="str">
        <f t="shared" si="18"/>
        <v/>
      </c>
      <c r="Y372" s="26" t="str">
        <f t="shared" si="19"/>
        <v/>
      </c>
      <c r="Z372" s="31" t="str">
        <f t="shared" si="20"/>
        <v/>
      </c>
      <c r="AA372" s="31" t="str">
        <f>IF(D372="","",IF(H372&lt;=$B$16,1,IF(H372&gt;=$B$17,$B$21,MATCH(H372,Aux_CAV!$A$2:$A$121,1))))</f>
        <v/>
      </c>
      <c r="AB372" s="31" t="str">
        <f>IF(D372="","",IF(L372&lt;=$B$16,1,IF(L372&gt;=$B$17,$B$21,MATCH(L372,Aux_CAV!$A$2:$A$121,1))))</f>
        <v/>
      </c>
      <c r="AC372" s="3" t="str">
        <f t="shared" si="21"/>
        <v/>
      </c>
    </row>
    <row r="373" ht="12.75" customHeight="1">
      <c r="A373" s="25" t="str">
        <f t="shared" si="1"/>
        <v/>
      </c>
      <c r="B373" s="29" t="str">
        <f t="array" ref="B373">IF(D373="","",IFERROR(VALUE(INDEX(Vazoes_COLAR!$A$2:$A$200,INT((ROW()-24)/12)+1)),""))</f>
        <v/>
      </c>
      <c r="C373" s="29" t="str">
        <f t="shared" si="2"/>
        <v/>
      </c>
      <c r="D373" s="26" t="str">
        <f t="array" ref="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73" s="26" t="str">
        <f t="shared" si="3"/>
        <v/>
      </c>
      <c r="F373" s="26" t="str">
        <f t="array" ref="F373">IF(D373="","",IFERROR(INDEX(Dados_Evap!$C$2:$N$15,MATCH($B$9,Dados_Evap!$A$2:$A$15,0),C373),0))</f>
        <v/>
      </c>
      <c r="G373" s="26" t="str">
        <f t="shared" si="4"/>
        <v/>
      </c>
      <c r="H373" s="26" t="str">
        <f t="shared" si="22"/>
        <v/>
      </c>
      <c r="I373" s="26" t="str">
        <f t="array" ref="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/>
      </c>
      <c r="J373" s="26" t="str">
        <f t="shared" si="5"/>
        <v/>
      </c>
      <c r="K373" s="26" t="str">
        <f t="shared" si="6"/>
        <v/>
      </c>
      <c r="L373" s="26" t="str">
        <f t="shared" si="7"/>
        <v/>
      </c>
      <c r="M373" s="26" t="str">
        <f t="array" ref="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/>
      </c>
      <c r="N373" s="26" t="str">
        <f t="shared" si="8"/>
        <v/>
      </c>
      <c r="O373" s="26" t="str">
        <f t="shared" si="9"/>
        <v/>
      </c>
      <c r="P373" s="26" t="str">
        <f t="shared" si="10"/>
        <v/>
      </c>
      <c r="Q373" s="26" t="str">
        <f t="shared" si="11"/>
        <v/>
      </c>
      <c r="R373" s="26" t="str">
        <f t="shared" si="12"/>
        <v/>
      </c>
      <c r="S373" s="26" t="str">
        <f t="shared" si="13"/>
        <v/>
      </c>
      <c r="T373" s="26" t="str">
        <f t="shared" si="14"/>
        <v/>
      </c>
      <c r="U373" s="26" t="str">
        <f t="shared" si="15"/>
        <v/>
      </c>
      <c r="V373" s="26" t="str">
        <f t="shared" si="16"/>
        <v/>
      </c>
      <c r="W373" s="26" t="str">
        <f t="shared" si="17"/>
        <v/>
      </c>
      <c r="X373" s="26" t="str">
        <f t="shared" si="18"/>
        <v/>
      </c>
      <c r="Y373" s="26" t="str">
        <f t="shared" si="19"/>
        <v/>
      </c>
      <c r="Z373" s="31" t="str">
        <f t="shared" si="20"/>
        <v/>
      </c>
      <c r="AA373" s="31" t="str">
        <f>IF(D373="","",IF(H373&lt;=$B$16,1,IF(H373&gt;=$B$17,$B$21,MATCH(H373,Aux_CAV!$A$2:$A$121,1))))</f>
        <v/>
      </c>
      <c r="AB373" s="31" t="str">
        <f>IF(D373="","",IF(L373&lt;=$B$16,1,IF(L373&gt;=$B$17,$B$21,MATCH(L373,Aux_CAV!$A$2:$A$121,1))))</f>
        <v/>
      </c>
      <c r="AC373" s="3" t="str">
        <f t="shared" si="21"/>
        <v/>
      </c>
    </row>
    <row r="374" ht="12.75" customHeight="1">
      <c r="A374" s="25" t="str">
        <f t="shared" si="1"/>
        <v/>
      </c>
      <c r="B374" s="29" t="str">
        <f t="array" ref="B374">IF(D374="","",IFERROR(VALUE(INDEX(Vazoes_COLAR!$A$2:$A$200,INT((ROW()-24)/12)+1)),""))</f>
        <v/>
      </c>
      <c r="C374" s="29" t="str">
        <f t="shared" si="2"/>
        <v/>
      </c>
      <c r="D374" s="26" t="str">
        <f t="array" ref="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74" s="26" t="str">
        <f t="shared" si="3"/>
        <v/>
      </c>
      <c r="F374" s="26" t="str">
        <f t="array" ref="F374">IF(D374="","",IFERROR(INDEX(Dados_Evap!$C$2:$N$15,MATCH($B$9,Dados_Evap!$A$2:$A$15,0),C374),0))</f>
        <v/>
      </c>
      <c r="G374" s="26" t="str">
        <f t="shared" si="4"/>
        <v/>
      </c>
      <c r="H374" s="26" t="str">
        <f t="shared" si="22"/>
        <v/>
      </c>
      <c r="I374" s="26" t="str">
        <f t="array" ref="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/>
      </c>
      <c r="J374" s="26" t="str">
        <f t="shared" si="5"/>
        <v/>
      </c>
      <c r="K374" s="26" t="str">
        <f t="shared" si="6"/>
        <v/>
      </c>
      <c r="L374" s="26" t="str">
        <f t="shared" si="7"/>
        <v/>
      </c>
      <c r="M374" s="26" t="str">
        <f t="array" ref="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/>
      </c>
      <c r="N374" s="26" t="str">
        <f t="shared" si="8"/>
        <v/>
      </c>
      <c r="O374" s="26" t="str">
        <f t="shared" si="9"/>
        <v/>
      </c>
      <c r="P374" s="26" t="str">
        <f t="shared" si="10"/>
        <v/>
      </c>
      <c r="Q374" s="26" t="str">
        <f t="shared" si="11"/>
        <v/>
      </c>
      <c r="R374" s="26" t="str">
        <f t="shared" si="12"/>
        <v/>
      </c>
      <c r="S374" s="26" t="str">
        <f t="shared" si="13"/>
        <v/>
      </c>
      <c r="T374" s="26" t="str">
        <f t="shared" si="14"/>
        <v/>
      </c>
      <c r="U374" s="26" t="str">
        <f t="shared" si="15"/>
        <v/>
      </c>
      <c r="V374" s="26" t="str">
        <f t="shared" si="16"/>
        <v/>
      </c>
      <c r="W374" s="26" t="str">
        <f t="shared" si="17"/>
        <v/>
      </c>
      <c r="X374" s="26" t="str">
        <f t="shared" si="18"/>
        <v/>
      </c>
      <c r="Y374" s="26" t="str">
        <f t="shared" si="19"/>
        <v/>
      </c>
      <c r="Z374" s="31" t="str">
        <f t="shared" si="20"/>
        <v/>
      </c>
      <c r="AA374" s="31" t="str">
        <f>IF(D374="","",IF(H374&lt;=$B$16,1,IF(H374&gt;=$B$17,$B$21,MATCH(H374,Aux_CAV!$A$2:$A$121,1))))</f>
        <v/>
      </c>
      <c r="AB374" s="31" t="str">
        <f>IF(D374="","",IF(L374&lt;=$B$16,1,IF(L374&gt;=$B$17,$B$21,MATCH(L374,Aux_CAV!$A$2:$A$121,1))))</f>
        <v/>
      </c>
      <c r="AC374" s="3" t="str">
        <f t="shared" si="21"/>
        <v/>
      </c>
    </row>
    <row r="375" ht="12.75" customHeight="1">
      <c r="A375" s="25" t="str">
        <f t="shared" si="1"/>
        <v/>
      </c>
      <c r="B375" s="29" t="str">
        <f t="array" ref="B375">IF(D375="","",IFERROR(VALUE(INDEX(Vazoes_COLAR!$A$2:$A$200,INT((ROW()-24)/12)+1)),""))</f>
        <v/>
      </c>
      <c r="C375" s="29" t="str">
        <f t="shared" si="2"/>
        <v/>
      </c>
      <c r="D375" s="26" t="str">
        <f t="array" ref="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75" s="26" t="str">
        <f t="shared" si="3"/>
        <v/>
      </c>
      <c r="F375" s="26" t="str">
        <f t="array" ref="F375">IF(D375="","",IFERROR(INDEX(Dados_Evap!$C$2:$N$15,MATCH($B$9,Dados_Evap!$A$2:$A$15,0),C375),0))</f>
        <v/>
      </c>
      <c r="G375" s="26" t="str">
        <f t="shared" si="4"/>
        <v/>
      </c>
      <c r="H375" s="26" t="str">
        <f t="shared" si="22"/>
        <v/>
      </c>
      <c r="I375" s="26" t="str">
        <f t="array" ref="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/>
      </c>
      <c r="J375" s="26" t="str">
        <f t="shared" si="5"/>
        <v/>
      </c>
      <c r="K375" s="26" t="str">
        <f t="shared" si="6"/>
        <v/>
      </c>
      <c r="L375" s="26" t="str">
        <f t="shared" si="7"/>
        <v/>
      </c>
      <c r="M375" s="26" t="str">
        <f t="array" ref="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/>
      </c>
      <c r="N375" s="26" t="str">
        <f t="shared" si="8"/>
        <v/>
      </c>
      <c r="O375" s="26" t="str">
        <f t="shared" si="9"/>
        <v/>
      </c>
      <c r="P375" s="26" t="str">
        <f t="shared" si="10"/>
        <v/>
      </c>
      <c r="Q375" s="26" t="str">
        <f t="shared" si="11"/>
        <v/>
      </c>
      <c r="R375" s="26" t="str">
        <f t="shared" si="12"/>
        <v/>
      </c>
      <c r="S375" s="26" t="str">
        <f t="shared" si="13"/>
        <v/>
      </c>
      <c r="T375" s="26" t="str">
        <f t="shared" si="14"/>
        <v/>
      </c>
      <c r="U375" s="26" t="str">
        <f t="shared" si="15"/>
        <v/>
      </c>
      <c r="V375" s="26" t="str">
        <f t="shared" si="16"/>
        <v/>
      </c>
      <c r="W375" s="26" t="str">
        <f t="shared" si="17"/>
        <v/>
      </c>
      <c r="X375" s="26" t="str">
        <f t="shared" si="18"/>
        <v/>
      </c>
      <c r="Y375" s="26" t="str">
        <f t="shared" si="19"/>
        <v/>
      </c>
      <c r="Z375" s="31" t="str">
        <f t="shared" si="20"/>
        <v/>
      </c>
      <c r="AA375" s="31" t="str">
        <f>IF(D375="","",IF(H375&lt;=$B$16,1,IF(H375&gt;=$B$17,$B$21,MATCH(H375,Aux_CAV!$A$2:$A$121,1))))</f>
        <v/>
      </c>
      <c r="AB375" s="31" t="str">
        <f>IF(D375="","",IF(L375&lt;=$B$16,1,IF(L375&gt;=$B$17,$B$21,MATCH(L375,Aux_CAV!$A$2:$A$121,1))))</f>
        <v/>
      </c>
      <c r="AC375" s="3" t="str">
        <f t="shared" si="21"/>
        <v/>
      </c>
    </row>
    <row r="376" ht="12.75" customHeight="1">
      <c r="A376" s="25" t="str">
        <f t="shared" si="1"/>
        <v/>
      </c>
      <c r="B376" s="29" t="str">
        <f t="array" ref="B376">IF(D376="","",IFERROR(VALUE(INDEX(Vazoes_COLAR!$A$2:$A$200,INT((ROW()-24)/12)+1)),""))</f>
        <v/>
      </c>
      <c r="C376" s="29" t="str">
        <f t="shared" si="2"/>
        <v/>
      </c>
      <c r="D376" s="26" t="str">
        <f t="array" ref="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76" s="26" t="str">
        <f t="shared" si="3"/>
        <v/>
      </c>
      <c r="F376" s="26" t="str">
        <f t="array" ref="F376">IF(D376="","",IFERROR(INDEX(Dados_Evap!$C$2:$N$15,MATCH($B$9,Dados_Evap!$A$2:$A$15,0),C376),0))</f>
        <v/>
      </c>
      <c r="G376" s="26" t="str">
        <f t="shared" si="4"/>
        <v/>
      </c>
      <c r="H376" s="26" t="str">
        <f t="shared" si="22"/>
        <v/>
      </c>
      <c r="I376" s="26" t="str">
        <f t="array" ref="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/>
      </c>
      <c r="J376" s="26" t="str">
        <f t="shared" si="5"/>
        <v/>
      </c>
      <c r="K376" s="26" t="str">
        <f t="shared" si="6"/>
        <v/>
      </c>
      <c r="L376" s="26" t="str">
        <f t="shared" si="7"/>
        <v/>
      </c>
      <c r="M376" s="26" t="str">
        <f t="array" ref="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/>
      </c>
      <c r="N376" s="26" t="str">
        <f t="shared" si="8"/>
        <v/>
      </c>
      <c r="O376" s="26" t="str">
        <f t="shared" si="9"/>
        <v/>
      </c>
      <c r="P376" s="26" t="str">
        <f t="shared" si="10"/>
        <v/>
      </c>
      <c r="Q376" s="26" t="str">
        <f t="shared" si="11"/>
        <v/>
      </c>
      <c r="R376" s="26" t="str">
        <f t="shared" si="12"/>
        <v/>
      </c>
      <c r="S376" s="26" t="str">
        <f t="shared" si="13"/>
        <v/>
      </c>
      <c r="T376" s="26" t="str">
        <f t="shared" si="14"/>
        <v/>
      </c>
      <c r="U376" s="26" t="str">
        <f t="shared" si="15"/>
        <v/>
      </c>
      <c r="V376" s="26" t="str">
        <f t="shared" si="16"/>
        <v/>
      </c>
      <c r="W376" s="26" t="str">
        <f t="shared" si="17"/>
        <v/>
      </c>
      <c r="X376" s="26" t="str">
        <f t="shared" si="18"/>
        <v/>
      </c>
      <c r="Y376" s="26" t="str">
        <f t="shared" si="19"/>
        <v/>
      </c>
      <c r="Z376" s="31" t="str">
        <f t="shared" si="20"/>
        <v/>
      </c>
      <c r="AA376" s="31" t="str">
        <f>IF(D376="","",IF(H376&lt;=$B$16,1,IF(H376&gt;=$B$17,$B$21,MATCH(H376,Aux_CAV!$A$2:$A$121,1))))</f>
        <v/>
      </c>
      <c r="AB376" s="31" t="str">
        <f>IF(D376="","",IF(L376&lt;=$B$16,1,IF(L376&gt;=$B$17,$B$21,MATCH(L376,Aux_CAV!$A$2:$A$121,1))))</f>
        <v/>
      </c>
      <c r="AC376" s="3" t="str">
        <f t="shared" si="21"/>
        <v/>
      </c>
    </row>
    <row r="377" ht="12.75" customHeight="1">
      <c r="A377" s="25" t="str">
        <f t="shared" si="1"/>
        <v/>
      </c>
      <c r="B377" s="29" t="str">
        <f t="array" ref="B377">IF(D377="","",IFERROR(VALUE(INDEX(Vazoes_COLAR!$A$2:$A$200,INT((ROW()-24)/12)+1)),""))</f>
        <v/>
      </c>
      <c r="C377" s="29" t="str">
        <f t="shared" si="2"/>
        <v/>
      </c>
      <c r="D377" s="26" t="str">
        <f t="array" ref="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77" s="26" t="str">
        <f t="shared" si="3"/>
        <v/>
      </c>
      <c r="F377" s="26" t="str">
        <f t="array" ref="F377">IF(D377="","",IFERROR(INDEX(Dados_Evap!$C$2:$N$15,MATCH($B$9,Dados_Evap!$A$2:$A$15,0),C377),0))</f>
        <v/>
      </c>
      <c r="G377" s="26" t="str">
        <f t="shared" si="4"/>
        <v/>
      </c>
      <c r="H377" s="26" t="str">
        <f t="shared" si="22"/>
        <v/>
      </c>
      <c r="I377" s="26" t="str">
        <f t="array" ref="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/>
      </c>
      <c r="J377" s="26" t="str">
        <f t="shared" si="5"/>
        <v/>
      </c>
      <c r="K377" s="26" t="str">
        <f t="shared" si="6"/>
        <v/>
      </c>
      <c r="L377" s="26" t="str">
        <f t="shared" si="7"/>
        <v/>
      </c>
      <c r="M377" s="26" t="str">
        <f t="array" ref="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/>
      </c>
      <c r="N377" s="26" t="str">
        <f t="shared" si="8"/>
        <v/>
      </c>
      <c r="O377" s="26" t="str">
        <f t="shared" si="9"/>
        <v/>
      </c>
      <c r="P377" s="26" t="str">
        <f t="shared" si="10"/>
        <v/>
      </c>
      <c r="Q377" s="26" t="str">
        <f t="shared" si="11"/>
        <v/>
      </c>
      <c r="R377" s="26" t="str">
        <f t="shared" si="12"/>
        <v/>
      </c>
      <c r="S377" s="26" t="str">
        <f t="shared" si="13"/>
        <v/>
      </c>
      <c r="T377" s="26" t="str">
        <f t="shared" si="14"/>
        <v/>
      </c>
      <c r="U377" s="26" t="str">
        <f t="shared" si="15"/>
        <v/>
      </c>
      <c r="V377" s="26" t="str">
        <f t="shared" si="16"/>
        <v/>
      </c>
      <c r="W377" s="26" t="str">
        <f t="shared" si="17"/>
        <v/>
      </c>
      <c r="X377" s="26" t="str">
        <f t="shared" si="18"/>
        <v/>
      </c>
      <c r="Y377" s="26" t="str">
        <f t="shared" si="19"/>
        <v/>
      </c>
      <c r="Z377" s="31" t="str">
        <f t="shared" si="20"/>
        <v/>
      </c>
      <c r="AA377" s="31" t="str">
        <f>IF(D377="","",IF(H377&lt;=$B$16,1,IF(H377&gt;=$B$17,$B$21,MATCH(H377,Aux_CAV!$A$2:$A$121,1))))</f>
        <v/>
      </c>
      <c r="AB377" s="31" t="str">
        <f>IF(D377="","",IF(L377&lt;=$B$16,1,IF(L377&gt;=$B$17,$B$21,MATCH(L377,Aux_CAV!$A$2:$A$121,1))))</f>
        <v/>
      </c>
      <c r="AC377" s="3" t="str">
        <f t="shared" si="21"/>
        <v/>
      </c>
    </row>
    <row r="378" ht="12.75" customHeight="1">
      <c r="A378" s="25" t="str">
        <f t="shared" si="1"/>
        <v/>
      </c>
      <c r="B378" s="29" t="str">
        <f t="array" ref="B378">IF(D378="","",IFERROR(VALUE(INDEX(Vazoes_COLAR!$A$2:$A$200,INT((ROW()-24)/12)+1)),""))</f>
        <v/>
      </c>
      <c r="C378" s="29" t="str">
        <f t="shared" si="2"/>
        <v/>
      </c>
      <c r="D378" s="26" t="str">
        <f t="array" ref="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78" s="26" t="str">
        <f t="shared" si="3"/>
        <v/>
      </c>
      <c r="F378" s="26" t="str">
        <f t="array" ref="F378">IF(D378="","",IFERROR(INDEX(Dados_Evap!$C$2:$N$15,MATCH($B$9,Dados_Evap!$A$2:$A$15,0),C378),0))</f>
        <v/>
      </c>
      <c r="G378" s="26" t="str">
        <f t="shared" si="4"/>
        <v/>
      </c>
      <c r="H378" s="26" t="str">
        <f t="shared" si="22"/>
        <v/>
      </c>
      <c r="I378" s="26" t="str">
        <f t="array" ref="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/>
      </c>
      <c r="J378" s="26" t="str">
        <f t="shared" si="5"/>
        <v/>
      </c>
      <c r="K378" s="26" t="str">
        <f t="shared" si="6"/>
        <v/>
      </c>
      <c r="L378" s="26" t="str">
        <f t="shared" si="7"/>
        <v/>
      </c>
      <c r="M378" s="26" t="str">
        <f t="array" ref="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/>
      </c>
      <c r="N378" s="26" t="str">
        <f t="shared" si="8"/>
        <v/>
      </c>
      <c r="O378" s="26" t="str">
        <f t="shared" si="9"/>
        <v/>
      </c>
      <c r="P378" s="26" t="str">
        <f t="shared" si="10"/>
        <v/>
      </c>
      <c r="Q378" s="26" t="str">
        <f t="shared" si="11"/>
        <v/>
      </c>
      <c r="R378" s="26" t="str">
        <f t="shared" si="12"/>
        <v/>
      </c>
      <c r="S378" s="26" t="str">
        <f t="shared" si="13"/>
        <v/>
      </c>
      <c r="T378" s="26" t="str">
        <f t="shared" si="14"/>
        <v/>
      </c>
      <c r="U378" s="26" t="str">
        <f t="shared" si="15"/>
        <v/>
      </c>
      <c r="V378" s="26" t="str">
        <f t="shared" si="16"/>
        <v/>
      </c>
      <c r="W378" s="26" t="str">
        <f t="shared" si="17"/>
        <v/>
      </c>
      <c r="X378" s="26" t="str">
        <f t="shared" si="18"/>
        <v/>
      </c>
      <c r="Y378" s="26" t="str">
        <f t="shared" si="19"/>
        <v/>
      </c>
      <c r="Z378" s="31" t="str">
        <f t="shared" si="20"/>
        <v/>
      </c>
      <c r="AA378" s="31" t="str">
        <f>IF(D378="","",IF(H378&lt;=$B$16,1,IF(H378&gt;=$B$17,$B$21,MATCH(H378,Aux_CAV!$A$2:$A$121,1))))</f>
        <v/>
      </c>
      <c r="AB378" s="31" t="str">
        <f>IF(D378="","",IF(L378&lt;=$B$16,1,IF(L378&gt;=$B$17,$B$21,MATCH(L378,Aux_CAV!$A$2:$A$121,1))))</f>
        <v/>
      </c>
      <c r="AC378" s="3" t="str">
        <f t="shared" si="21"/>
        <v/>
      </c>
    </row>
    <row r="379" ht="12.75" customHeight="1">
      <c r="A379" s="25" t="str">
        <f t="shared" si="1"/>
        <v/>
      </c>
      <c r="B379" s="29" t="str">
        <f t="array" ref="B379">IF(D379="","",IFERROR(VALUE(INDEX(Vazoes_COLAR!$A$2:$A$200,INT((ROW()-24)/12)+1)),""))</f>
        <v/>
      </c>
      <c r="C379" s="29" t="str">
        <f t="shared" si="2"/>
        <v/>
      </c>
      <c r="D379" s="26" t="str">
        <f t="array" ref="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79" s="26" t="str">
        <f t="shared" si="3"/>
        <v/>
      </c>
      <c r="F379" s="26" t="str">
        <f t="array" ref="F379">IF(D379="","",IFERROR(INDEX(Dados_Evap!$C$2:$N$15,MATCH($B$9,Dados_Evap!$A$2:$A$15,0),C379),0))</f>
        <v/>
      </c>
      <c r="G379" s="26" t="str">
        <f t="shared" si="4"/>
        <v/>
      </c>
      <c r="H379" s="26" t="str">
        <f t="shared" si="22"/>
        <v/>
      </c>
      <c r="I379" s="26" t="str">
        <f t="array" ref="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/>
      </c>
      <c r="J379" s="26" t="str">
        <f t="shared" si="5"/>
        <v/>
      </c>
      <c r="K379" s="26" t="str">
        <f t="shared" si="6"/>
        <v/>
      </c>
      <c r="L379" s="26" t="str">
        <f t="shared" si="7"/>
        <v/>
      </c>
      <c r="M379" s="26" t="str">
        <f t="array" ref="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/>
      </c>
      <c r="N379" s="26" t="str">
        <f t="shared" si="8"/>
        <v/>
      </c>
      <c r="O379" s="26" t="str">
        <f t="shared" si="9"/>
        <v/>
      </c>
      <c r="P379" s="26" t="str">
        <f t="shared" si="10"/>
        <v/>
      </c>
      <c r="Q379" s="26" t="str">
        <f t="shared" si="11"/>
        <v/>
      </c>
      <c r="R379" s="26" t="str">
        <f t="shared" si="12"/>
        <v/>
      </c>
      <c r="S379" s="26" t="str">
        <f t="shared" si="13"/>
        <v/>
      </c>
      <c r="T379" s="26" t="str">
        <f t="shared" si="14"/>
        <v/>
      </c>
      <c r="U379" s="26" t="str">
        <f t="shared" si="15"/>
        <v/>
      </c>
      <c r="V379" s="26" t="str">
        <f t="shared" si="16"/>
        <v/>
      </c>
      <c r="W379" s="26" t="str">
        <f t="shared" si="17"/>
        <v/>
      </c>
      <c r="X379" s="26" t="str">
        <f t="shared" si="18"/>
        <v/>
      </c>
      <c r="Y379" s="26" t="str">
        <f t="shared" si="19"/>
        <v/>
      </c>
      <c r="Z379" s="31" t="str">
        <f t="shared" si="20"/>
        <v/>
      </c>
      <c r="AA379" s="31" t="str">
        <f>IF(D379="","",IF(H379&lt;=$B$16,1,IF(H379&gt;=$B$17,$B$21,MATCH(H379,Aux_CAV!$A$2:$A$121,1))))</f>
        <v/>
      </c>
      <c r="AB379" s="31" t="str">
        <f>IF(D379="","",IF(L379&lt;=$B$16,1,IF(L379&gt;=$B$17,$B$21,MATCH(L379,Aux_CAV!$A$2:$A$121,1))))</f>
        <v/>
      </c>
      <c r="AC379" s="3" t="str">
        <f t="shared" si="21"/>
        <v/>
      </c>
    </row>
    <row r="380" ht="12.75" customHeight="1">
      <c r="A380" s="25" t="str">
        <f t="shared" si="1"/>
        <v/>
      </c>
      <c r="B380" s="29" t="str">
        <f t="array" ref="B380">IF(D380="","",IFERROR(VALUE(INDEX(Vazoes_COLAR!$A$2:$A$200,INT((ROW()-24)/12)+1)),""))</f>
        <v/>
      </c>
      <c r="C380" s="29" t="str">
        <f t="shared" si="2"/>
        <v/>
      </c>
      <c r="D380" s="26" t="str">
        <f t="array" ref="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80" s="26" t="str">
        <f t="shared" si="3"/>
        <v/>
      </c>
      <c r="F380" s="26" t="str">
        <f t="array" ref="F380">IF(D380="","",IFERROR(INDEX(Dados_Evap!$C$2:$N$15,MATCH($B$9,Dados_Evap!$A$2:$A$15,0),C380),0))</f>
        <v/>
      </c>
      <c r="G380" s="26" t="str">
        <f t="shared" si="4"/>
        <v/>
      </c>
      <c r="H380" s="26" t="str">
        <f t="shared" si="22"/>
        <v/>
      </c>
      <c r="I380" s="26" t="str">
        <f t="array" ref="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/>
      </c>
      <c r="J380" s="26" t="str">
        <f t="shared" si="5"/>
        <v/>
      </c>
      <c r="K380" s="26" t="str">
        <f t="shared" si="6"/>
        <v/>
      </c>
      <c r="L380" s="26" t="str">
        <f t="shared" si="7"/>
        <v/>
      </c>
      <c r="M380" s="26" t="str">
        <f t="array" ref="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/>
      </c>
      <c r="N380" s="26" t="str">
        <f t="shared" si="8"/>
        <v/>
      </c>
      <c r="O380" s="26" t="str">
        <f t="shared" si="9"/>
        <v/>
      </c>
      <c r="P380" s="26" t="str">
        <f t="shared" si="10"/>
        <v/>
      </c>
      <c r="Q380" s="26" t="str">
        <f t="shared" si="11"/>
        <v/>
      </c>
      <c r="R380" s="26" t="str">
        <f t="shared" si="12"/>
        <v/>
      </c>
      <c r="S380" s="26" t="str">
        <f t="shared" si="13"/>
        <v/>
      </c>
      <c r="T380" s="26" t="str">
        <f t="shared" si="14"/>
        <v/>
      </c>
      <c r="U380" s="26" t="str">
        <f t="shared" si="15"/>
        <v/>
      </c>
      <c r="V380" s="26" t="str">
        <f t="shared" si="16"/>
        <v/>
      </c>
      <c r="W380" s="26" t="str">
        <f t="shared" si="17"/>
        <v/>
      </c>
      <c r="X380" s="26" t="str">
        <f t="shared" si="18"/>
        <v/>
      </c>
      <c r="Y380" s="26" t="str">
        <f t="shared" si="19"/>
        <v/>
      </c>
      <c r="Z380" s="31" t="str">
        <f t="shared" si="20"/>
        <v/>
      </c>
      <c r="AA380" s="31" t="str">
        <f>IF(D380="","",IF(H380&lt;=$B$16,1,IF(H380&gt;=$B$17,$B$21,MATCH(H380,Aux_CAV!$A$2:$A$121,1))))</f>
        <v/>
      </c>
      <c r="AB380" s="31" t="str">
        <f>IF(D380="","",IF(L380&lt;=$B$16,1,IF(L380&gt;=$B$17,$B$21,MATCH(L380,Aux_CAV!$A$2:$A$121,1))))</f>
        <v/>
      </c>
      <c r="AC380" s="3" t="str">
        <f t="shared" si="21"/>
        <v/>
      </c>
    </row>
    <row r="381" ht="12.75" customHeight="1">
      <c r="A381" s="25" t="str">
        <f t="shared" si="1"/>
        <v/>
      </c>
      <c r="B381" s="29" t="str">
        <f t="array" ref="B381">IF(D381="","",IFERROR(VALUE(INDEX(Vazoes_COLAR!$A$2:$A$200,INT((ROW()-24)/12)+1)),""))</f>
        <v/>
      </c>
      <c r="C381" s="29" t="str">
        <f t="shared" si="2"/>
        <v/>
      </c>
      <c r="D381" s="26" t="str">
        <f t="array" ref="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81" s="26" t="str">
        <f t="shared" si="3"/>
        <v/>
      </c>
      <c r="F381" s="26" t="str">
        <f t="array" ref="F381">IF(D381="","",IFERROR(INDEX(Dados_Evap!$C$2:$N$15,MATCH($B$9,Dados_Evap!$A$2:$A$15,0),C381),0))</f>
        <v/>
      </c>
      <c r="G381" s="26" t="str">
        <f t="shared" si="4"/>
        <v/>
      </c>
      <c r="H381" s="26" t="str">
        <f t="shared" si="22"/>
        <v/>
      </c>
      <c r="I381" s="26" t="str">
        <f t="array" ref="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/>
      </c>
      <c r="J381" s="26" t="str">
        <f t="shared" si="5"/>
        <v/>
      </c>
      <c r="K381" s="26" t="str">
        <f t="shared" si="6"/>
        <v/>
      </c>
      <c r="L381" s="26" t="str">
        <f t="shared" si="7"/>
        <v/>
      </c>
      <c r="M381" s="26" t="str">
        <f t="array" ref="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/>
      </c>
      <c r="N381" s="26" t="str">
        <f t="shared" si="8"/>
        <v/>
      </c>
      <c r="O381" s="26" t="str">
        <f t="shared" si="9"/>
        <v/>
      </c>
      <c r="P381" s="26" t="str">
        <f t="shared" si="10"/>
        <v/>
      </c>
      <c r="Q381" s="26" t="str">
        <f t="shared" si="11"/>
        <v/>
      </c>
      <c r="R381" s="26" t="str">
        <f t="shared" si="12"/>
        <v/>
      </c>
      <c r="S381" s="26" t="str">
        <f t="shared" si="13"/>
        <v/>
      </c>
      <c r="T381" s="26" t="str">
        <f t="shared" si="14"/>
        <v/>
      </c>
      <c r="U381" s="26" t="str">
        <f t="shared" si="15"/>
        <v/>
      </c>
      <c r="V381" s="26" t="str">
        <f t="shared" si="16"/>
        <v/>
      </c>
      <c r="W381" s="26" t="str">
        <f t="shared" si="17"/>
        <v/>
      </c>
      <c r="X381" s="26" t="str">
        <f t="shared" si="18"/>
        <v/>
      </c>
      <c r="Y381" s="26" t="str">
        <f t="shared" si="19"/>
        <v/>
      </c>
      <c r="Z381" s="31" t="str">
        <f t="shared" si="20"/>
        <v/>
      </c>
      <c r="AA381" s="31" t="str">
        <f>IF(D381="","",IF(H381&lt;=$B$16,1,IF(H381&gt;=$B$17,$B$21,MATCH(H381,Aux_CAV!$A$2:$A$121,1))))</f>
        <v/>
      </c>
      <c r="AB381" s="31" t="str">
        <f>IF(D381="","",IF(L381&lt;=$B$16,1,IF(L381&gt;=$B$17,$B$21,MATCH(L381,Aux_CAV!$A$2:$A$121,1))))</f>
        <v/>
      </c>
      <c r="AC381" s="3" t="str">
        <f t="shared" si="21"/>
        <v/>
      </c>
    </row>
    <row r="382" ht="12.75" customHeight="1">
      <c r="A382" s="25" t="str">
        <f t="shared" si="1"/>
        <v/>
      </c>
      <c r="B382" s="29" t="str">
        <f t="array" ref="B382">IF(D382="","",IFERROR(VALUE(INDEX(Vazoes_COLAR!$A$2:$A$200,INT((ROW()-24)/12)+1)),""))</f>
        <v/>
      </c>
      <c r="C382" s="29" t="str">
        <f t="shared" si="2"/>
        <v/>
      </c>
      <c r="D382" s="26" t="str">
        <f t="array" ref="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82" s="26" t="str">
        <f t="shared" si="3"/>
        <v/>
      </c>
      <c r="F382" s="26" t="str">
        <f t="array" ref="F382">IF(D382="","",IFERROR(INDEX(Dados_Evap!$C$2:$N$15,MATCH($B$9,Dados_Evap!$A$2:$A$15,0),C382),0))</f>
        <v/>
      </c>
      <c r="G382" s="26" t="str">
        <f t="shared" si="4"/>
        <v/>
      </c>
      <c r="H382" s="26" t="str">
        <f t="shared" si="22"/>
        <v/>
      </c>
      <c r="I382" s="26" t="str">
        <f t="array" ref="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/>
      </c>
      <c r="J382" s="26" t="str">
        <f t="shared" si="5"/>
        <v/>
      </c>
      <c r="K382" s="26" t="str">
        <f t="shared" si="6"/>
        <v/>
      </c>
      <c r="L382" s="26" t="str">
        <f t="shared" si="7"/>
        <v/>
      </c>
      <c r="M382" s="26" t="str">
        <f t="array" ref="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/>
      </c>
      <c r="N382" s="26" t="str">
        <f t="shared" si="8"/>
        <v/>
      </c>
      <c r="O382" s="26" t="str">
        <f t="shared" si="9"/>
        <v/>
      </c>
      <c r="P382" s="26" t="str">
        <f t="shared" si="10"/>
        <v/>
      </c>
      <c r="Q382" s="26" t="str">
        <f t="shared" si="11"/>
        <v/>
      </c>
      <c r="R382" s="26" t="str">
        <f t="shared" si="12"/>
        <v/>
      </c>
      <c r="S382" s="26" t="str">
        <f t="shared" si="13"/>
        <v/>
      </c>
      <c r="T382" s="26" t="str">
        <f t="shared" si="14"/>
        <v/>
      </c>
      <c r="U382" s="26" t="str">
        <f t="shared" si="15"/>
        <v/>
      </c>
      <c r="V382" s="26" t="str">
        <f t="shared" si="16"/>
        <v/>
      </c>
      <c r="W382" s="26" t="str">
        <f t="shared" si="17"/>
        <v/>
      </c>
      <c r="X382" s="26" t="str">
        <f t="shared" si="18"/>
        <v/>
      </c>
      <c r="Y382" s="26" t="str">
        <f t="shared" si="19"/>
        <v/>
      </c>
      <c r="Z382" s="31" t="str">
        <f t="shared" si="20"/>
        <v/>
      </c>
      <c r="AA382" s="31" t="str">
        <f>IF(D382="","",IF(H382&lt;=$B$16,1,IF(H382&gt;=$B$17,$B$21,MATCH(H382,Aux_CAV!$A$2:$A$121,1))))</f>
        <v/>
      </c>
      <c r="AB382" s="31" t="str">
        <f>IF(D382="","",IF(L382&lt;=$B$16,1,IF(L382&gt;=$B$17,$B$21,MATCH(L382,Aux_CAV!$A$2:$A$121,1))))</f>
        <v/>
      </c>
      <c r="AC382" s="3" t="str">
        <f t="shared" si="21"/>
        <v/>
      </c>
    </row>
    <row r="383" ht="12.75" customHeight="1">
      <c r="A383" s="25" t="str">
        <f t="shared" si="1"/>
        <v/>
      </c>
      <c r="B383" s="29" t="str">
        <f t="array" ref="B383">IF(D383="","",IFERROR(VALUE(INDEX(Vazoes_COLAR!$A$2:$A$200,INT((ROW()-24)/12)+1)),""))</f>
        <v/>
      </c>
      <c r="C383" s="29" t="str">
        <f t="shared" si="2"/>
        <v/>
      </c>
      <c r="D383" s="26" t="str">
        <f t="array" ref="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83" s="26" t="str">
        <f t="shared" si="3"/>
        <v/>
      </c>
      <c r="F383" s="26" t="str">
        <f t="array" ref="F383">IF(D383="","",IFERROR(INDEX(Dados_Evap!$C$2:$N$15,MATCH($B$9,Dados_Evap!$A$2:$A$15,0),C383),0))</f>
        <v/>
      </c>
      <c r="G383" s="26" t="str">
        <f t="shared" si="4"/>
        <v/>
      </c>
      <c r="H383" s="26" t="str">
        <f t="shared" si="22"/>
        <v/>
      </c>
      <c r="I383" s="26" t="str">
        <f t="array" ref="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/>
      </c>
      <c r="J383" s="26" t="str">
        <f t="shared" si="5"/>
        <v/>
      </c>
      <c r="K383" s="26" t="str">
        <f t="shared" si="6"/>
        <v/>
      </c>
      <c r="L383" s="26" t="str">
        <f t="shared" si="7"/>
        <v/>
      </c>
      <c r="M383" s="26" t="str">
        <f t="array" ref="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/>
      </c>
      <c r="N383" s="26" t="str">
        <f t="shared" si="8"/>
        <v/>
      </c>
      <c r="O383" s="26" t="str">
        <f t="shared" si="9"/>
        <v/>
      </c>
      <c r="P383" s="26" t="str">
        <f t="shared" si="10"/>
        <v/>
      </c>
      <c r="Q383" s="26" t="str">
        <f t="shared" si="11"/>
        <v/>
      </c>
      <c r="R383" s="26" t="str">
        <f t="shared" si="12"/>
        <v/>
      </c>
      <c r="S383" s="26" t="str">
        <f t="shared" si="13"/>
        <v/>
      </c>
      <c r="T383" s="26" t="str">
        <f t="shared" si="14"/>
        <v/>
      </c>
      <c r="U383" s="26" t="str">
        <f t="shared" si="15"/>
        <v/>
      </c>
      <c r="V383" s="26" t="str">
        <f t="shared" si="16"/>
        <v/>
      </c>
      <c r="W383" s="26" t="str">
        <f t="shared" si="17"/>
        <v/>
      </c>
      <c r="X383" s="26" t="str">
        <f t="shared" si="18"/>
        <v/>
      </c>
      <c r="Y383" s="26" t="str">
        <f t="shared" si="19"/>
        <v/>
      </c>
      <c r="Z383" s="31" t="str">
        <f t="shared" si="20"/>
        <v/>
      </c>
      <c r="AA383" s="31" t="str">
        <f>IF(D383="","",IF(H383&lt;=$B$16,1,IF(H383&gt;=$B$17,$B$21,MATCH(H383,Aux_CAV!$A$2:$A$121,1))))</f>
        <v/>
      </c>
      <c r="AB383" s="31" t="str">
        <f>IF(D383="","",IF(L383&lt;=$B$16,1,IF(L383&gt;=$B$17,$B$21,MATCH(L383,Aux_CAV!$A$2:$A$121,1))))</f>
        <v/>
      </c>
      <c r="AC383" s="3" t="str">
        <f t="shared" si="21"/>
        <v/>
      </c>
    </row>
    <row r="384" ht="12.75" customHeight="1">
      <c r="A384" s="25" t="str">
        <f t="shared" si="1"/>
        <v/>
      </c>
      <c r="B384" s="29" t="str">
        <f t="array" ref="B384">IF(D384="","",IFERROR(VALUE(INDEX(Vazoes_COLAR!$A$2:$A$200,INT((ROW()-24)/12)+1)),""))</f>
        <v/>
      </c>
      <c r="C384" s="29" t="str">
        <f t="shared" si="2"/>
        <v/>
      </c>
      <c r="D384" s="26" t="str">
        <f t="array" ref="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84" s="26" t="str">
        <f t="shared" si="3"/>
        <v/>
      </c>
      <c r="F384" s="26" t="str">
        <f t="array" ref="F384">IF(D384="","",IFERROR(INDEX(Dados_Evap!$C$2:$N$15,MATCH($B$9,Dados_Evap!$A$2:$A$15,0),C384),0))</f>
        <v/>
      </c>
      <c r="G384" s="26" t="str">
        <f t="shared" si="4"/>
        <v/>
      </c>
      <c r="H384" s="26" t="str">
        <f t="shared" si="22"/>
        <v/>
      </c>
      <c r="I384" s="26" t="str">
        <f t="array" ref="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/>
      </c>
      <c r="J384" s="26" t="str">
        <f t="shared" si="5"/>
        <v/>
      </c>
      <c r="K384" s="26" t="str">
        <f t="shared" si="6"/>
        <v/>
      </c>
      <c r="L384" s="26" t="str">
        <f t="shared" si="7"/>
        <v/>
      </c>
      <c r="M384" s="26" t="str">
        <f t="array" ref="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/>
      </c>
      <c r="N384" s="26" t="str">
        <f t="shared" si="8"/>
        <v/>
      </c>
      <c r="O384" s="26" t="str">
        <f t="shared" si="9"/>
        <v/>
      </c>
      <c r="P384" s="26" t="str">
        <f t="shared" si="10"/>
        <v/>
      </c>
      <c r="Q384" s="26" t="str">
        <f t="shared" si="11"/>
        <v/>
      </c>
      <c r="R384" s="26" t="str">
        <f t="shared" si="12"/>
        <v/>
      </c>
      <c r="S384" s="26" t="str">
        <f t="shared" si="13"/>
        <v/>
      </c>
      <c r="T384" s="26" t="str">
        <f t="shared" si="14"/>
        <v/>
      </c>
      <c r="U384" s="26" t="str">
        <f t="shared" si="15"/>
        <v/>
      </c>
      <c r="V384" s="26" t="str">
        <f t="shared" si="16"/>
        <v/>
      </c>
      <c r="W384" s="26" t="str">
        <f t="shared" si="17"/>
        <v/>
      </c>
      <c r="X384" s="26" t="str">
        <f t="shared" si="18"/>
        <v/>
      </c>
      <c r="Y384" s="26" t="str">
        <f t="shared" si="19"/>
        <v/>
      </c>
      <c r="Z384" s="31" t="str">
        <f t="shared" si="20"/>
        <v/>
      </c>
      <c r="AA384" s="31" t="str">
        <f>IF(D384="","",IF(H384&lt;=$B$16,1,IF(H384&gt;=$B$17,$B$21,MATCH(H384,Aux_CAV!$A$2:$A$121,1))))</f>
        <v/>
      </c>
      <c r="AB384" s="31" t="str">
        <f>IF(D384="","",IF(L384&lt;=$B$16,1,IF(L384&gt;=$B$17,$B$21,MATCH(L384,Aux_CAV!$A$2:$A$121,1))))</f>
        <v/>
      </c>
      <c r="AC384" s="3" t="str">
        <f t="shared" si="21"/>
        <v/>
      </c>
    </row>
    <row r="385" ht="12.75" customHeight="1">
      <c r="A385" s="25" t="str">
        <f t="shared" si="1"/>
        <v/>
      </c>
      <c r="B385" s="29" t="str">
        <f t="array" ref="B385">IF(D385="","",IFERROR(VALUE(INDEX(Vazoes_COLAR!$A$2:$A$200,INT((ROW()-24)/12)+1)),""))</f>
        <v/>
      </c>
      <c r="C385" s="29" t="str">
        <f t="shared" si="2"/>
        <v/>
      </c>
      <c r="D385" s="26" t="str">
        <f t="array" ref="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85" s="26" t="str">
        <f t="shared" si="3"/>
        <v/>
      </c>
      <c r="F385" s="26" t="str">
        <f t="array" ref="F385">IF(D385="","",IFERROR(INDEX(Dados_Evap!$C$2:$N$15,MATCH($B$9,Dados_Evap!$A$2:$A$15,0),C385),0))</f>
        <v/>
      </c>
      <c r="G385" s="26" t="str">
        <f t="shared" si="4"/>
        <v/>
      </c>
      <c r="H385" s="26" t="str">
        <f t="shared" si="22"/>
        <v/>
      </c>
      <c r="I385" s="26" t="str">
        <f t="array" ref="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/>
      </c>
      <c r="J385" s="26" t="str">
        <f t="shared" si="5"/>
        <v/>
      </c>
      <c r="K385" s="26" t="str">
        <f t="shared" si="6"/>
        <v/>
      </c>
      <c r="L385" s="26" t="str">
        <f t="shared" si="7"/>
        <v/>
      </c>
      <c r="M385" s="26" t="str">
        <f t="array" ref="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/>
      </c>
      <c r="N385" s="26" t="str">
        <f t="shared" si="8"/>
        <v/>
      </c>
      <c r="O385" s="26" t="str">
        <f t="shared" si="9"/>
        <v/>
      </c>
      <c r="P385" s="26" t="str">
        <f t="shared" si="10"/>
        <v/>
      </c>
      <c r="Q385" s="26" t="str">
        <f t="shared" si="11"/>
        <v/>
      </c>
      <c r="R385" s="26" t="str">
        <f t="shared" si="12"/>
        <v/>
      </c>
      <c r="S385" s="26" t="str">
        <f t="shared" si="13"/>
        <v/>
      </c>
      <c r="T385" s="26" t="str">
        <f t="shared" si="14"/>
        <v/>
      </c>
      <c r="U385" s="26" t="str">
        <f t="shared" si="15"/>
        <v/>
      </c>
      <c r="V385" s="26" t="str">
        <f t="shared" si="16"/>
        <v/>
      </c>
      <c r="W385" s="26" t="str">
        <f t="shared" si="17"/>
        <v/>
      </c>
      <c r="X385" s="26" t="str">
        <f t="shared" si="18"/>
        <v/>
      </c>
      <c r="Y385" s="26" t="str">
        <f t="shared" si="19"/>
        <v/>
      </c>
      <c r="Z385" s="31" t="str">
        <f t="shared" si="20"/>
        <v/>
      </c>
      <c r="AA385" s="31" t="str">
        <f>IF(D385="","",IF(H385&lt;=$B$16,1,IF(H385&gt;=$B$17,$B$21,MATCH(H385,Aux_CAV!$A$2:$A$121,1))))</f>
        <v/>
      </c>
      <c r="AB385" s="31" t="str">
        <f>IF(D385="","",IF(L385&lt;=$B$16,1,IF(L385&gt;=$B$17,$B$21,MATCH(L385,Aux_CAV!$A$2:$A$121,1))))</f>
        <v/>
      </c>
      <c r="AC385" s="3" t="str">
        <f t="shared" si="21"/>
        <v/>
      </c>
    </row>
    <row r="386" ht="12.75" customHeight="1">
      <c r="A386" s="25" t="str">
        <f t="shared" si="1"/>
        <v/>
      </c>
      <c r="B386" s="29" t="str">
        <f t="array" ref="B386">IF(D386="","",IFERROR(VALUE(INDEX(Vazoes_COLAR!$A$2:$A$200,INT((ROW()-24)/12)+1)),""))</f>
        <v/>
      </c>
      <c r="C386" s="29" t="str">
        <f t="shared" si="2"/>
        <v/>
      </c>
      <c r="D386" s="26" t="str">
        <f t="array" ref="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86" s="26" t="str">
        <f t="shared" si="3"/>
        <v/>
      </c>
      <c r="F386" s="26" t="str">
        <f t="array" ref="F386">IF(D386="","",IFERROR(INDEX(Dados_Evap!$C$2:$N$15,MATCH($B$9,Dados_Evap!$A$2:$A$15,0),C386),0))</f>
        <v/>
      </c>
      <c r="G386" s="26" t="str">
        <f t="shared" si="4"/>
        <v/>
      </c>
      <c r="H386" s="26" t="str">
        <f t="shared" si="22"/>
        <v/>
      </c>
      <c r="I386" s="26" t="str">
        <f t="array" ref="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/>
      </c>
      <c r="J386" s="26" t="str">
        <f t="shared" si="5"/>
        <v/>
      </c>
      <c r="K386" s="26" t="str">
        <f t="shared" si="6"/>
        <v/>
      </c>
      <c r="L386" s="26" t="str">
        <f t="shared" si="7"/>
        <v/>
      </c>
      <c r="M386" s="26" t="str">
        <f t="array" ref="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/>
      </c>
      <c r="N386" s="26" t="str">
        <f t="shared" si="8"/>
        <v/>
      </c>
      <c r="O386" s="26" t="str">
        <f t="shared" si="9"/>
        <v/>
      </c>
      <c r="P386" s="26" t="str">
        <f t="shared" si="10"/>
        <v/>
      </c>
      <c r="Q386" s="26" t="str">
        <f t="shared" si="11"/>
        <v/>
      </c>
      <c r="R386" s="26" t="str">
        <f t="shared" si="12"/>
        <v/>
      </c>
      <c r="S386" s="26" t="str">
        <f t="shared" si="13"/>
        <v/>
      </c>
      <c r="T386" s="26" t="str">
        <f t="shared" si="14"/>
        <v/>
      </c>
      <c r="U386" s="26" t="str">
        <f t="shared" si="15"/>
        <v/>
      </c>
      <c r="V386" s="26" t="str">
        <f t="shared" si="16"/>
        <v/>
      </c>
      <c r="W386" s="26" t="str">
        <f t="shared" si="17"/>
        <v/>
      </c>
      <c r="X386" s="26" t="str">
        <f t="shared" si="18"/>
        <v/>
      </c>
      <c r="Y386" s="26" t="str">
        <f t="shared" si="19"/>
        <v/>
      </c>
      <c r="Z386" s="31" t="str">
        <f t="shared" si="20"/>
        <v/>
      </c>
      <c r="AA386" s="31" t="str">
        <f>IF(D386="","",IF(H386&lt;=$B$16,1,IF(H386&gt;=$B$17,$B$21,MATCH(H386,Aux_CAV!$A$2:$A$121,1))))</f>
        <v/>
      </c>
      <c r="AB386" s="31" t="str">
        <f>IF(D386="","",IF(L386&lt;=$B$16,1,IF(L386&gt;=$B$17,$B$21,MATCH(L386,Aux_CAV!$A$2:$A$121,1))))</f>
        <v/>
      </c>
      <c r="AC386" s="3" t="str">
        <f t="shared" si="21"/>
        <v/>
      </c>
    </row>
    <row r="387" ht="12.75" customHeight="1">
      <c r="A387" s="25" t="str">
        <f t="shared" si="1"/>
        <v/>
      </c>
      <c r="B387" s="29" t="str">
        <f t="array" ref="B387">IF(D387="","",IFERROR(VALUE(INDEX(Vazoes_COLAR!$A$2:$A$200,INT((ROW()-24)/12)+1)),""))</f>
        <v/>
      </c>
      <c r="C387" s="29" t="str">
        <f t="shared" si="2"/>
        <v/>
      </c>
      <c r="D387" s="26" t="str">
        <f t="array" ref="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87" s="26" t="str">
        <f t="shared" si="3"/>
        <v/>
      </c>
      <c r="F387" s="26" t="str">
        <f t="array" ref="F387">IF(D387="","",IFERROR(INDEX(Dados_Evap!$C$2:$N$15,MATCH($B$9,Dados_Evap!$A$2:$A$15,0),C387),0))</f>
        <v/>
      </c>
      <c r="G387" s="26" t="str">
        <f t="shared" si="4"/>
        <v/>
      </c>
      <c r="H387" s="26" t="str">
        <f t="shared" si="22"/>
        <v/>
      </c>
      <c r="I387" s="26" t="str">
        <f t="array" ref="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/>
      </c>
      <c r="J387" s="26" t="str">
        <f t="shared" si="5"/>
        <v/>
      </c>
      <c r="K387" s="26" t="str">
        <f t="shared" si="6"/>
        <v/>
      </c>
      <c r="L387" s="26" t="str">
        <f t="shared" si="7"/>
        <v/>
      </c>
      <c r="M387" s="26" t="str">
        <f t="array" ref="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/>
      </c>
      <c r="N387" s="26" t="str">
        <f t="shared" si="8"/>
        <v/>
      </c>
      <c r="O387" s="26" t="str">
        <f t="shared" si="9"/>
        <v/>
      </c>
      <c r="P387" s="26" t="str">
        <f t="shared" si="10"/>
        <v/>
      </c>
      <c r="Q387" s="26" t="str">
        <f t="shared" si="11"/>
        <v/>
      </c>
      <c r="R387" s="26" t="str">
        <f t="shared" si="12"/>
        <v/>
      </c>
      <c r="S387" s="26" t="str">
        <f t="shared" si="13"/>
        <v/>
      </c>
      <c r="T387" s="26" t="str">
        <f t="shared" si="14"/>
        <v/>
      </c>
      <c r="U387" s="26" t="str">
        <f t="shared" si="15"/>
        <v/>
      </c>
      <c r="V387" s="26" t="str">
        <f t="shared" si="16"/>
        <v/>
      </c>
      <c r="W387" s="26" t="str">
        <f t="shared" si="17"/>
        <v/>
      </c>
      <c r="X387" s="26" t="str">
        <f t="shared" si="18"/>
        <v/>
      </c>
      <c r="Y387" s="26" t="str">
        <f t="shared" si="19"/>
        <v/>
      </c>
      <c r="Z387" s="31" t="str">
        <f t="shared" si="20"/>
        <v/>
      </c>
      <c r="AA387" s="31" t="str">
        <f>IF(D387="","",IF(H387&lt;=$B$16,1,IF(H387&gt;=$B$17,$B$21,MATCH(H387,Aux_CAV!$A$2:$A$121,1))))</f>
        <v/>
      </c>
      <c r="AB387" s="31" t="str">
        <f>IF(D387="","",IF(L387&lt;=$B$16,1,IF(L387&gt;=$B$17,$B$21,MATCH(L387,Aux_CAV!$A$2:$A$121,1))))</f>
        <v/>
      </c>
      <c r="AC387" s="3" t="str">
        <f t="shared" si="21"/>
        <v/>
      </c>
    </row>
    <row r="388" ht="12.75" customHeight="1">
      <c r="A388" s="25" t="str">
        <f t="shared" si="1"/>
        <v/>
      </c>
      <c r="B388" s="29" t="str">
        <f t="array" ref="B388">IF(D388="","",IFERROR(VALUE(INDEX(Vazoes_COLAR!$A$2:$A$200,INT((ROW()-24)/12)+1)),""))</f>
        <v/>
      </c>
      <c r="C388" s="29" t="str">
        <f t="shared" si="2"/>
        <v/>
      </c>
      <c r="D388" s="26" t="str">
        <f t="array" ref="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88" s="26" t="str">
        <f t="shared" si="3"/>
        <v/>
      </c>
      <c r="F388" s="26" t="str">
        <f t="array" ref="F388">IF(D388="","",IFERROR(INDEX(Dados_Evap!$C$2:$N$15,MATCH($B$9,Dados_Evap!$A$2:$A$15,0),C388),0))</f>
        <v/>
      </c>
      <c r="G388" s="26" t="str">
        <f t="shared" si="4"/>
        <v/>
      </c>
      <c r="H388" s="26" t="str">
        <f t="shared" si="22"/>
        <v/>
      </c>
      <c r="I388" s="26" t="str">
        <f t="array" ref="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/>
      </c>
      <c r="J388" s="26" t="str">
        <f t="shared" si="5"/>
        <v/>
      </c>
      <c r="K388" s="26" t="str">
        <f t="shared" si="6"/>
        <v/>
      </c>
      <c r="L388" s="26" t="str">
        <f t="shared" si="7"/>
        <v/>
      </c>
      <c r="M388" s="26" t="str">
        <f t="array" ref="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/>
      </c>
      <c r="N388" s="26" t="str">
        <f t="shared" si="8"/>
        <v/>
      </c>
      <c r="O388" s="26" t="str">
        <f t="shared" si="9"/>
        <v/>
      </c>
      <c r="P388" s="26" t="str">
        <f t="shared" si="10"/>
        <v/>
      </c>
      <c r="Q388" s="26" t="str">
        <f t="shared" si="11"/>
        <v/>
      </c>
      <c r="R388" s="26" t="str">
        <f t="shared" si="12"/>
        <v/>
      </c>
      <c r="S388" s="26" t="str">
        <f t="shared" si="13"/>
        <v/>
      </c>
      <c r="T388" s="26" t="str">
        <f t="shared" si="14"/>
        <v/>
      </c>
      <c r="U388" s="26" t="str">
        <f t="shared" si="15"/>
        <v/>
      </c>
      <c r="V388" s="26" t="str">
        <f t="shared" si="16"/>
        <v/>
      </c>
      <c r="W388" s="26" t="str">
        <f t="shared" si="17"/>
        <v/>
      </c>
      <c r="X388" s="26" t="str">
        <f t="shared" si="18"/>
        <v/>
      </c>
      <c r="Y388" s="26" t="str">
        <f t="shared" si="19"/>
        <v/>
      </c>
      <c r="Z388" s="31" t="str">
        <f t="shared" si="20"/>
        <v/>
      </c>
      <c r="AA388" s="31" t="str">
        <f>IF(D388="","",IF(H388&lt;=$B$16,1,IF(H388&gt;=$B$17,$B$21,MATCH(H388,Aux_CAV!$A$2:$A$121,1))))</f>
        <v/>
      </c>
      <c r="AB388" s="31" t="str">
        <f>IF(D388="","",IF(L388&lt;=$B$16,1,IF(L388&gt;=$B$17,$B$21,MATCH(L388,Aux_CAV!$A$2:$A$121,1))))</f>
        <v/>
      </c>
      <c r="AC388" s="3" t="str">
        <f t="shared" si="21"/>
        <v/>
      </c>
    </row>
    <row r="389" ht="12.75" customHeight="1">
      <c r="A389" s="25" t="str">
        <f t="shared" si="1"/>
        <v/>
      </c>
      <c r="B389" s="29" t="str">
        <f t="array" ref="B389">IF(D389="","",IFERROR(VALUE(INDEX(Vazoes_COLAR!$A$2:$A$200,INT((ROW()-24)/12)+1)),""))</f>
        <v/>
      </c>
      <c r="C389" s="29" t="str">
        <f t="shared" si="2"/>
        <v/>
      </c>
      <c r="D389" s="26" t="str">
        <f t="array" ref="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89" s="26" t="str">
        <f t="shared" si="3"/>
        <v/>
      </c>
      <c r="F389" s="26" t="str">
        <f t="array" ref="F389">IF(D389="","",IFERROR(INDEX(Dados_Evap!$C$2:$N$15,MATCH($B$9,Dados_Evap!$A$2:$A$15,0),C389),0))</f>
        <v/>
      </c>
      <c r="G389" s="26" t="str">
        <f t="shared" si="4"/>
        <v/>
      </c>
      <c r="H389" s="26" t="str">
        <f t="shared" si="22"/>
        <v/>
      </c>
      <c r="I389" s="26" t="str">
        <f t="array" ref="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/>
      </c>
      <c r="J389" s="26" t="str">
        <f t="shared" si="5"/>
        <v/>
      </c>
      <c r="K389" s="26" t="str">
        <f t="shared" si="6"/>
        <v/>
      </c>
      <c r="L389" s="26" t="str">
        <f t="shared" si="7"/>
        <v/>
      </c>
      <c r="M389" s="26" t="str">
        <f t="array" ref="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/>
      </c>
      <c r="N389" s="26" t="str">
        <f t="shared" si="8"/>
        <v/>
      </c>
      <c r="O389" s="26" t="str">
        <f t="shared" si="9"/>
        <v/>
      </c>
      <c r="P389" s="26" t="str">
        <f t="shared" si="10"/>
        <v/>
      </c>
      <c r="Q389" s="26" t="str">
        <f t="shared" si="11"/>
        <v/>
      </c>
      <c r="R389" s="26" t="str">
        <f t="shared" si="12"/>
        <v/>
      </c>
      <c r="S389" s="26" t="str">
        <f t="shared" si="13"/>
        <v/>
      </c>
      <c r="T389" s="26" t="str">
        <f t="shared" si="14"/>
        <v/>
      </c>
      <c r="U389" s="26" t="str">
        <f t="shared" si="15"/>
        <v/>
      </c>
      <c r="V389" s="26" t="str">
        <f t="shared" si="16"/>
        <v/>
      </c>
      <c r="W389" s="26" t="str">
        <f t="shared" si="17"/>
        <v/>
      </c>
      <c r="X389" s="26" t="str">
        <f t="shared" si="18"/>
        <v/>
      </c>
      <c r="Y389" s="26" t="str">
        <f t="shared" si="19"/>
        <v/>
      </c>
      <c r="Z389" s="31" t="str">
        <f t="shared" si="20"/>
        <v/>
      </c>
      <c r="AA389" s="31" t="str">
        <f>IF(D389="","",IF(H389&lt;=$B$16,1,IF(H389&gt;=$B$17,$B$21,MATCH(H389,Aux_CAV!$A$2:$A$121,1))))</f>
        <v/>
      </c>
      <c r="AB389" s="31" t="str">
        <f>IF(D389="","",IF(L389&lt;=$B$16,1,IF(L389&gt;=$B$17,$B$21,MATCH(L389,Aux_CAV!$A$2:$A$121,1))))</f>
        <v/>
      </c>
      <c r="AC389" s="3" t="str">
        <f t="shared" si="21"/>
        <v/>
      </c>
    </row>
    <row r="390" ht="12.75" customHeight="1">
      <c r="A390" s="25" t="str">
        <f t="shared" si="1"/>
        <v/>
      </c>
      <c r="B390" s="29" t="str">
        <f t="array" ref="B390">IF(D390="","",IFERROR(VALUE(INDEX(Vazoes_COLAR!$A$2:$A$200,INT((ROW()-24)/12)+1)),""))</f>
        <v/>
      </c>
      <c r="C390" s="29" t="str">
        <f t="shared" si="2"/>
        <v/>
      </c>
      <c r="D390" s="26" t="str">
        <f t="array" ref="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90" s="26" t="str">
        <f t="shared" si="3"/>
        <v/>
      </c>
      <c r="F390" s="26" t="str">
        <f t="array" ref="F390">IF(D390="","",IFERROR(INDEX(Dados_Evap!$C$2:$N$15,MATCH($B$9,Dados_Evap!$A$2:$A$15,0),C390),0))</f>
        <v/>
      </c>
      <c r="G390" s="26" t="str">
        <f t="shared" si="4"/>
        <v/>
      </c>
      <c r="H390" s="26" t="str">
        <f t="shared" si="22"/>
        <v/>
      </c>
      <c r="I390" s="26" t="str">
        <f t="array" ref="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/>
      </c>
      <c r="J390" s="26" t="str">
        <f t="shared" si="5"/>
        <v/>
      </c>
      <c r="K390" s="26" t="str">
        <f t="shared" si="6"/>
        <v/>
      </c>
      <c r="L390" s="26" t="str">
        <f t="shared" si="7"/>
        <v/>
      </c>
      <c r="M390" s="26" t="str">
        <f t="array" ref="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/>
      </c>
      <c r="N390" s="26" t="str">
        <f t="shared" si="8"/>
        <v/>
      </c>
      <c r="O390" s="26" t="str">
        <f t="shared" si="9"/>
        <v/>
      </c>
      <c r="P390" s="26" t="str">
        <f t="shared" si="10"/>
        <v/>
      </c>
      <c r="Q390" s="26" t="str">
        <f t="shared" si="11"/>
        <v/>
      </c>
      <c r="R390" s="26" t="str">
        <f t="shared" si="12"/>
        <v/>
      </c>
      <c r="S390" s="26" t="str">
        <f t="shared" si="13"/>
        <v/>
      </c>
      <c r="T390" s="26" t="str">
        <f t="shared" si="14"/>
        <v/>
      </c>
      <c r="U390" s="26" t="str">
        <f t="shared" si="15"/>
        <v/>
      </c>
      <c r="V390" s="26" t="str">
        <f t="shared" si="16"/>
        <v/>
      </c>
      <c r="W390" s="26" t="str">
        <f t="shared" si="17"/>
        <v/>
      </c>
      <c r="X390" s="26" t="str">
        <f t="shared" si="18"/>
        <v/>
      </c>
      <c r="Y390" s="26" t="str">
        <f t="shared" si="19"/>
        <v/>
      </c>
      <c r="Z390" s="31" t="str">
        <f t="shared" si="20"/>
        <v/>
      </c>
      <c r="AA390" s="31" t="str">
        <f>IF(D390="","",IF(H390&lt;=$B$16,1,IF(H390&gt;=$B$17,$B$21,MATCH(H390,Aux_CAV!$A$2:$A$121,1))))</f>
        <v/>
      </c>
      <c r="AB390" s="31" t="str">
        <f>IF(D390="","",IF(L390&lt;=$B$16,1,IF(L390&gt;=$B$17,$B$21,MATCH(L390,Aux_CAV!$A$2:$A$121,1))))</f>
        <v/>
      </c>
      <c r="AC390" s="3" t="str">
        <f t="shared" si="21"/>
        <v/>
      </c>
    </row>
    <row r="391" ht="12.75" customHeight="1">
      <c r="A391" s="25" t="str">
        <f t="shared" si="1"/>
        <v/>
      </c>
      <c r="B391" s="29" t="str">
        <f t="array" ref="B391">IF(D391="","",IFERROR(VALUE(INDEX(Vazoes_COLAR!$A$2:$A$200,INT((ROW()-24)/12)+1)),""))</f>
        <v/>
      </c>
      <c r="C391" s="29" t="str">
        <f t="shared" si="2"/>
        <v/>
      </c>
      <c r="D391" s="26" t="str">
        <f t="array" ref="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91" s="26" t="str">
        <f t="shared" si="3"/>
        <v/>
      </c>
      <c r="F391" s="26" t="str">
        <f t="array" ref="F391">IF(D391="","",IFERROR(INDEX(Dados_Evap!$C$2:$N$15,MATCH($B$9,Dados_Evap!$A$2:$A$15,0),C391),0))</f>
        <v/>
      </c>
      <c r="G391" s="26" t="str">
        <f t="shared" si="4"/>
        <v/>
      </c>
      <c r="H391" s="26" t="str">
        <f t="shared" si="22"/>
        <v/>
      </c>
      <c r="I391" s="26" t="str">
        <f t="array" ref="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/>
      </c>
      <c r="J391" s="26" t="str">
        <f t="shared" si="5"/>
        <v/>
      </c>
      <c r="K391" s="26" t="str">
        <f t="shared" si="6"/>
        <v/>
      </c>
      <c r="L391" s="26" t="str">
        <f t="shared" si="7"/>
        <v/>
      </c>
      <c r="M391" s="26" t="str">
        <f t="array" ref="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/>
      </c>
      <c r="N391" s="26" t="str">
        <f t="shared" si="8"/>
        <v/>
      </c>
      <c r="O391" s="26" t="str">
        <f t="shared" si="9"/>
        <v/>
      </c>
      <c r="P391" s="26" t="str">
        <f t="shared" si="10"/>
        <v/>
      </c>
      <c r="Q391" s="26" t="str">
        <f t="shared" si="11"/>
        <v/>
      </c>
      <c r="R391" s="26" t="str">
        <f t="shared" si="12"/>
        <v/>
      </c>
      <c r="S391" s="26" t="str">
        <f t="shared" si="13"/>
        <v/>
      </c>
      <c r="T391" s="26" t="str">
        <f t="shared" si="14"/>
        <v/>
      </c>
      <c r="U391" s="26" t="str">
        <f t="shared" si="15"/>
        <v/>
      </c>
      <c r="V391" s="26" t="str">
        <f t="shared" si="16"/>
        <v/>
      </c>
      <c r="W391" s="26" t="str">
        <f t="shared" si="17"/>
        <v/>
      </c>
      <c r="X391" s="26" t="str">
        <f t="shared" si="18"/>
        <v/>
      </c>
      <c r="Y391" s="26" t="str">
        <f t="shared" si="19"/>
        <v/>
      </c>
      <c r="Z391" s="31" t="str">
        <f t="shared" si="20"/>
        <v/>
      </c>
      <c r="AA391" s="31" t="str">
        <f>IF(D391="","",IF(H391&lt;=$B$16,1,IF(H391&gt;=$B$17,$B$21,MATCH(H391,Aux_CAV!$A$2:$A$121,1))))</f>
        <v/>
      </c>
      <c r="AB391" s="31" t="str">
        <f>IF(D391="","",IF(L391&lt;=$B$16,1,IF(L391&gt;=$B$17,$B$21,MATCH(L391,Aux_CAV!$A$2:$A$121,1))))</f>
        <v/>
      </c>
      <c r="AC391" s="3" t="str">
        <f t="shared" si="21"/>
        <v/>
      </c>
    </row>
    <row r="392" ht="12.75" customHeight="1">
      <c r="A392" s="25" t="str">
        <f t="shared" si="1"/>
        <v/>
      </c>
      <c r="B392" s="29" t="str">
        <f t="array" ref="B392">IF(D392="","",IFERROR(VALUE(INDEX(Vazoes_COLAR!$A$2:$A$200,INT((ROW()-24)/12)+1)),""))</f>
        <v/>
      </c>
      <c r="C392" s="29" t="str">
        <f t="shared" si="2"/>
        <v/>
      </c>
      <c r="D392" s="26" t="str">
        <f t="array" ref="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92" s="26" t="str">
        <f t="shared" si="3"/>
        <v/>
      </c>
      <c r="F392" s="26" t="str">
        <f t="array" ref="F392">IF(D392="","",IFERROR(INDEX(Dados_Evap!$C$2:$N$15,MATCH($B$9,Dados_Evap!$A$2:$A$15,0),C392),0))</f>
        <v/>
      </c>
      <c r="G392" s="26" t="str">
        <f t="shared" si="4"/>
        <v/>
      </c>
      <c r="H392" s="26" t="str">
        <f t="shared" si="22"/>
        <v/>
      </c>
      <c r="I392" s="26" t="str">
        <f t="array" ref="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/>
      </c>
      <c r="J392" s="26" t="str">
        <f t="shared" si="5"/>
        <v/>
      </c>
      <c r="K392" s="26" t="str">
        <f t="shared" si="6"/>
        <v/>
      </c>
      <c r="L392" s="26" t="str">
        <f t="shared" si="7"/>
        <v/>
      </c>
      <c r="M392" s="26" t="str">
        <f t="array" ref="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/>
      </c>
      <c r="N392" s="26" t="str">
        <f t="shared" si="8"/>
        <v/>
      </c>
      <c r="O392" s="26" t="str">
        <f t="shared" si="9"/>
        <v/>
      </c>
      <c r="P392" s="26" t="str">
        <f t="shared" si="10"/>
        <v/>
      </c>
      <c r="Q392" s="26" t="str">
        <f t="shared" si="11"/>
        <v/>
      </c>
      <c r="R392" s="26" t="str">
        <f t="shared" si="12"/>
        <v/>
      </c>
      <c r="S392" s="26" t="str">
        <f t="shared" si="13"/>
        <v/>
      </c>
      <c r="T392" s="26" t="str">
        <f t="shared" si="14"/>
        <v/>
      </c>
      <c r="U392" s="26" t="str">
        <f t="shared" si="15"/>
        <v/>
      </c>
      <c r="V392" s="26" t="str">
        <f t="shared" si="16"/>
        <v/>
      </c>
      <c r="W392" s="26" t="str">
        <f t="shared" si="17"/>
        <v/>
      </c>
      <c r="X392" s="26" t="str">
        <f t="shared" si="18"/>
        <v/>
      </c>
      <c r="Y392" s="26" t="str">
        <f t="shared" si="19"/>
        <v/>
      </c>
      <c r="Z392" s="31" t="str">
        <f t="shared" si="20"/>
        <v/>
      </c>
      <c r="AA392" s="31" t="str">
        <f>IF(D392="","",IF(H392&lt;=$B$16,1,IF(H392&gt;=$B$17,$B$21,MATCH(H392,Aux_CAV!$A$2:$A$121,1))))</f>
        <v/>
      </c>
      <c r="AB392" s="31" t="str">
        <f>IF(D392="","",IF(L392&lt;=$B$16,1,IF(L392&gt;=$B$17,$B$21,MATCH(L392,Aux_CAV!$A$2:$A$121,1))))</f>
        <v/>
      </c>
      <c r="AC392" s="3" t="str">
        <f t="shared" si="21"/>
        <v/>
      </c>
    </row>
    <row r="393" ht="12.75" customHeight="1">
      <c r="A393" s="25" t="str">
        <f t="shared" si="1"/>
        <v/>
      </c>
      <c r="B393" s="29" t="str">
        <f t="array" ref="B393">IF(D393="","",IFERROR(VALUE(INDEX(Vazoes_COLAR!$A$2:$A$200,INT((ROW()-24)/12)+1)),""))</f>
        <v/>
      </c>
      <c r="C393" s="29" t="str">
        <f t="shared" si="2"/>
        <v/>
      </c>
      <c r="D393" s="26" t="str">
        <f t="array" ref="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93" s="26" t="str">
        <f t="shared" si="3"/>
        <v/>
      </c>
      <c r="F393" s="26" t="str">
        <f t="array" ref="F393">IF(D393="","",IFERROR(INDEX(Dados_Evap!$C$2:$N$15,MATCH($B$9,Dados_Evap!$A$2:$A$15,0),C393),0))</f>
        <v/>
      </c>
      <c r="G393" s="26" t="str">
        <f t="shared" si="4"/>
        <v/>
      </c>
      <c r="H393" s="26" t="str">
        <f t="shared" si="22"/>
        <v/>
      </c>
      <c r="I393" s="26" t="str">
        <f t="array" ref="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/>
      </c>
      <c r="J393" s="26" t="str">
        <f t="shared" si="5"/>
        <v/>
      </c>
      <c r="K393" s="26" t="str">
        <f t="shared" si="6"/>
        <v/>
      </c>
      <c r="L393" s="26" t="str">
        <f t="shared" si="7"/>
        <v/>
      </c>
      <c r="M393" s="26" t="str">
        <f t="array" ref="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/>
      </c>
      <c r="N393" s="26" t="str">
        <f t="shared" si="8"/>
        <v/>
      </c>
      <c r="O393" s="26" t="str">
        <f t="shared" si="9"/>
        <v/>
      </c>
      <c r="P393" s="26" t="str">
        <f t="shared" si="10"/>
        <v/>
      </c>
      <c r="Q393" s="26" t="str">
        <f t="shared" si="11"/>
        <v/>
      </c>
      <c r="R393" s="26" t="str">
        <f t="shared" si="12"/>
        <v/>
      </c>
      <c r="S393" s="26" t="str">
        <f t="shared" si="13"/>
        <v/>
      </c>
      <c r="T393" s="26" t="str">
        <f t="shared" si="14"/>
        <v/>
      </c>
      <c r="U393" s="26" t="str">
        <f t="shared" si="15"/>
        <v/>
      </c>
      <c r="V393" s="26" t="str">
        <f t="shared" si="16"/>
        <v/>
      </c>
      <c r="W393" s="26" t="str">
        <f t="shared" si="17"/>
        <v/>
      </c>
      <c r="X393" s="26" t="str">
        <f t="shared" si="18"/>
        <v/>
      </c>
      <c r="Y393" s="26" t="str">
        <f t="shared" si="19"/>
        <v/>
      </c>
      <c r="Z393" s="31" t="str">
        <f t="shared" si="20"/>
        <v/>
      </c>
      <c r="AA393" s="31" t="str">
        <f>IF(D393="","",IF(H393&lt;=$B$16,1,IF(H393&gt;=$B$17,$B$21,MATCH(H393,Aux_CAV!$A$2:$A$121,1))))</f>
        <v/>
      </c>
      <c r="AB393" s="31" t="str">
        <f>IF(D393="","",IF(L393&lt;=$B$16,1,IF(L393&gt;=$B$17,$B$21,MATCH(L393,Aux_CAV!$A$2:$A$121,1))))</f>
        <v/>
      </c>
      <c r="AC393" s="3" t="str">
        <f t="shared" si="21"/>
        <v/>
      </c>
    </row>
    <row r="394" ht="12.75" customHeight="1">
      <c r="A394" s="25" t="str">
        <f t="shared" si="1"/>
        <v/>
      </c>
      <c r="B394" s="29" t="str">
        <f t="array" ref="B394">IF(D394="","",IFERROR(VALUE(INDEX(Vazoes_COLAR!$A$2:$A$200,INT((ROW()-24)/12)+1)),""))</f>
        <v/>
      </c>
      <c r="C394" s="29" t="str">
        <f t="shared" si="2"/>
        <v/>
      </c>
      <c r="D394" s="26" t="str">
        <f t="array" ref="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94" s="26" t="str">
        <f t="shared" si="3"/>
        <v/>
      </c>
      <c r="F394" s="26" t="str">
        <f t="array" ref="F394">IF(D394="","",IFERROR(INDEX(Dados_Evap!$C$2:$N$15,MATCH($B$9,Dados_Evap!$A$2:$A$15,0),C394),0))</f>
        <v/>
      </c>
      <c r="G394" s="26" t="str">
        <f t="shared" si="4"/>
        <v/>
      </c>
      <c r="H394" s="26" t="str">
        <f t="shared" si="22"/>
        <v/>
      </c>
      <c r="I394" s="26" t="str">
        <f t="array" ref="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/>
      </c>
      <c r="J394" s="26" t="str">
        <f t="shared" si="5"/>
        <v/>
      </c>
      <c r="K394" s="26" t="str">
        <f t="shared" si="6"/>
        <v/>
      </c>
      <c r="L394" s="26" t="str">
        <f t="shared" si="7"/>
        <v/>
      </c>
      <c r="M394" s="26" t="str">
        <f t="array" ref="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/>
      </c>
      <c r="N394" s="26" t="str">
        <f t="shared" si="8"/>
        <v/>
      </c>
      <c r="O394" s="26" t="str">
        <f t="shared" si="9"/>
        <v/>
      </c>
      <c r="P394" s="26" t="str">
        <f t="shared" si="10"/>
        <v/>
      </c>
      <c r="Q394" s="26" t="str">
        <f t="shared" si="11"/>
        <v/>
      </c>
      <c r="R394" s="26" t="str">
        <f t="shared" si="12"/>
        <v/>
      </c>
      <c r="S394" s="26" t="str">
        <f t="shared" si="13"/>
        <v/>
      </c>
      <c r="T394" s="26" t="str">
        <f t="shared" si="14"/>
        <v/>
      </c>
      <c r="U394" s="26" t="str">
        <f t="shared" si="15"/>
        <v/>
      </c>
      <c r="V394" s="26" t="str">
        <f t="shared" si="16"/>
        <v/>
      </c>
      <c r="W394" s="26" t="str">
        <f t="shared" si="17"/>
        <v/>
      </c>
      <c r="X394" s="26" t="str">
        <f t="shared" si="18"/>
        <v/>
      </c>
      <c r="Y394" s="26" t="str">
        <f t="shared" si="19"/>
        <v/>
      </c>
      <c r="Z394" s="31" t="str">
        <f t="shared" si="20"/>
        <v/>
      </c>
      <c r="AA394" s="31" t="str">
        <f>IF(D394="","",IF(H394&lt;=$B$16,1,IF(H394&gt;=$B$17,$B$21,MATCH(H394,Aux_CAV!$A$2:$A$121,1))))</f>
        <v/>
      </c>
      <c r="AB394" s="31" t="str">
        <f>IF(D394="","",IF(L394&lt;=$B$16,1,IF(L394&gt;=$B$17,$B$21,MATCH(L394,Aux_CAV!$A$2:$A$121,1))))</f>
        <v/>
      </c>
      <c r="AC394" s="3" t="str">
        <f t="shared" si="21"/>
        <v/>
      </c>
    </row>
    <row r="395" ht="12.75" customHeight="1">
      <c r="A395" s="25" t="str">
        <f t="shared" si="1"/>
        <v/>
      </c>
      <c r="B395" s="29" t="str">
        <f t="array" ref="B395">IF(D395="","",IFERROR(VALUE(INDEX(Vazoes_COLAR!$A$2:$A$200,INT((ROW()-24)/12)+1)),""))</f>
        <v/>
      </c>
      <c r="C395" s="29" t="str">
        <f t="shared" si="2"/>
        <v/>
      </c>
      <c r="D395" s="26" t="str">
        <f t="array" ref="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95" s="26" t="str">
        <f t="shared" si="3"/>
        <v/>
      </c>
      <c r="F395" s="26" t="str">
        <f t="array" ref="F395">IF(D395="","",IFERROR(INDEX(Dados_Evap!$C$2:$N$15,MATCH($B$9,Dados_Evap!$A$2:$A$15,0),C395),0))</f>
        <v/>
      </c>
      <c r="G395" s="26" t="str">
        <f t="shared" si="4"/>
        <v/>
      </c>
      <c r="H395" s="26" t="str">
        <f t="shared" si="22"/>
        <v/>
      </c>
      <c r="I395" s="26" t="str">
        <f t="array" ref="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/>
      </c>
      <c r="J395" s="26" t="str">
        <f t="shared" si="5"/>
        <v/>
      </c>
      <c r="K395" s="26" t="str">
        <f t="shared" si="6"/>
        <v/>
      </c>
      <c r="L395" s="26" t="str">
        <f t="shared" si="7"/>
        <v/>
      </c>
      <c r="M395" s="26" t="str">
        <f t="array" ref="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/>
      </c>
      <c r="N395" s="26" t="str">
        <f t="shared" si="8"/>
        <v/>
      </c>
      <c r="O395" s="26" t="str">
        <f t="shared" si="9"/>
        <v/>
      </c>
      <c r="P395" s="26" t="str">
        <f t="shared" si="10"/>
        <v/>
      </c>
      <c r="Q395" s="26" t="str">
        <f t="shared" si="11"/>
        <v/>
      </c>
      <c r="R395" s="26" t="str">
        <f t="shared" si="12"/>
        <v/>
      </c>
      <c r="S395" s="26" t="str">
        <f t="shared" si="13"/>
        <v/>
      </c>
      <c r="T395" s="26" t="str">
        <f t="shared" si="14"/>
        <v/>
      </c>
      <c r="U395" s="26" t="str">
        <f t="shared" si="15"/>
        <v/>
      </c>
      <c r="V395" s="26" t="str">
        <f t="shared" si="16"/>
        <v/>
      </c>
      <c r="W395" s="26" t="str">
        <f t="shared" si="17"/>
        <v/>
      </c>
      <c r="X395" s="26" t="str">
        <f t="shared" si="18"/>
        <v/>
      </c>
      <c r="Y395" s="26" t="str">
        <f t="shared" si="19"/>
        <v/>
      </c>
      <c r="Z395" s="31" t="str">
        <f t="shared" si="20"/>
        <v/>
      </c>
      <c r="AA395" s="31" t="str">
        <f>IF(D395="","",IF(H395&lt;=$B$16,1,IF(H395&gt;=$B$17,$B$21,MATCH(H395,Aux_CAV!$A$2:$A$121,1))))</f>
        <v/>
      </c>
      <c r="AB395" s="31" t="str">
        <f>IF(D395="","",IF(L395&lt;=$B$16,1,IF(L395&gt;=$B$17,$B$21,MATCH(L395,Aux_CAV!$A$2:$A$121,1))))</f>
        <v/>
      </c>
      <c r="AC395" s="3" t="str">
        <f t="shared" si="21"/>
        <v/>
      </c>
    </row>
    <row r="396" ht="12.75" customHeight="1">
      <c r="A396" s="25" t="str">
        <f t="shared" si="1"/>
        <v/>
      </c>
      <c r="B396" s="29" t="str">
        <f t="array" ref="B396">IF(D396="","",IFERROR(VALUE(INDEX(Vazoes_COLAR!$A$2:$A$200,INT((ROW()-24)/12)+1)),""))</f>
        <v/>
      </c>
      <c r="C396" s="29" t="str">
        <f t="shared" si="2"/>
        <v/>
      </c>
      <c r="D396" s="26" t="str">
        <f t="array" ref="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96" s="26" t="str">
        <f t="shared" si="3"/>
        <v/>
      </c>
      <c r="F396" s="26" t="str">
        <f t="array" ref="F396">IF(D396="","",IFERROR(INDEX(Dados_Evap!$C$2:$N$15,MATCH($B$9,Dados_Evap!$A$2:$A$15,0),C396),0))</f>
        <v/>
      </c>
      <c r="G396" s="26" t="str">
        <f t="shared" si="4"/>
        <v/>
      </c>
      <c r="H396" s="26" t="str">
        <f t="shared" si="22"/>
        <v/>
      </c>
      <c r="I396" s="26" t="str">
        <f t="array" ref="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/>
      </c>
      <c r="J396" s="26" t="str">
        <f t="shared" si="5"/>
        <v/>
      </c>
      <c r="K396" s="26" t="str">
        <f t="shared" si="6"/>
        <v/>
      </c>
      <c r="L396" s="26" t="str">
        <f t="shared" si="7"/>
        <v/>
      </c>
      <c r="M396" s="26" t="str">
        <f t="array" ref="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/>
      </c>
      <c r="N396" s="26" t="str">
        <f t="shared" si="8"/>
        <v/>
      </c>
      <c r="O396" s="26" t="str">
        <f t="shared" si="9"/>
        <v/>
      </c>
      <c r="P396" s="26" t="str">
        <f t="shared" si="10"/>
        <v/>
      </c>
      <c r="Q396" s="26" t="str">
        <f t="shared" si="11"/>
        <v/>
      </c>
      <c r="R396" s="26" t="str">
        <f t="shared" si="12"/>
        <v/>
      </c>
      <c r="S396" s="26" t="str">
        <f t="shared" si="13"/>
        <v/>
      </c>
      <c r="T396" s="26" t="str">
        <f t="shared" si="14"/>
        <v/>
      </c>
      <c r="U396" s="26" t="str">
        <f t="shared" si="15"/>
        <v/>
      </c>
      <c r="V396" s="26" t="str">
        <f t="shared" si="16"/>
        <v/>
      </c>
      <c r="W396" s="26" t="str">
        <f t="shared" si="17"/>
        <v/>
      </c>
      <c r="X396" s="26" t="str">
        <f t="shared" si="18"/>
        <v/>
      </c>
      <c r="Y396" s="26" t="str">
        <f t="shared" si="19"/>
        <v/>
      </c>
      <c r="Z396" s="31" t="str">
        <f t="shared" si="20"/>
        <v/>
      </c>
      <c r="AA396" s="31" t="str">
        <f>IF(D396="","",IF(H396&lt;=$B$16,1,IF(H396&gt;=$B$17,$B$21,MATCH(H396,Aux_CAV!$A$2:$A$121,1))))</f>
        <v/>
      </c>
      <c r="AB396" s="31" t="str">
        <f>IF(D396="","",IF(L396&lt;=$B$16,1,IF(L396&gt;=$B$17,$B$21,MATCH(L396,Aux_CAV!$A$2:$A$121,1))))</f>
        <v/>
      </c>
      <c r="AC396" s="3" t="str">
        <f t="shared" si="21"/>
        <v/>
      </c>
    </row>
    <row r="397" ht="12.75" customHeight="1">
      <c r="A397" s="25" t="str">
        <f t="shared" si="1"/>
        <v/>
      </c>
      <c r="B397" s="29" t="str">
        <f t="array" ref="B397">IF(D397="","",IFERROR(VALUE(INDEX(Vazoes_COLAR!$A$2:$A$200,INT((ROW()-24)/12)+1)),""))</f>
        <v/>
      </c>
      <c r="C397" s="29" t="str">
        <f t="shared" si="2"/>
        <v/>
      </c>
      <c r="D397" s="26" t="str">
        <f t="array" ref="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97" s="26" t="str">
        <f t="shared" si="3"/>
        <v/>
      </c>
      <c r="F397" s="26" t="str">
        <f t="array" ref="F397">IF(D397="","",IFERROR(INDEX(Dados_Evap!$C$2:$N$15,MATCH($B$9,Dados_Evap!$A$2:$A$15,0),C397),0))</f>
        <v/>
      </c>
      <c r="G397" s="26" t="str">
        <f t="shared" si="4"/>
        <v/>
      </c>
      <c r="H397" s="26" t="str">
        <f t="shared" si="22"/>
        <v/>
      </c>
      <c r="I397" s="26" t="str">
        <f t="array" ref="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/>
      </c>
      <c r="J397" s="26" t="str">
        <f t="shared" si="5"/>
        <v/>
      </c>
      <c r="K397" s="26" t="str">
        <f t="shared" si="6"/>
        <v/>
      </c>
      <c r="L397" s="26" t="str">
        <f t="shared" si="7"/>
        <v/>
      </c>
      <c r="M397" s="26" t="str">
        <f t="array" ref="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/>
      </c>
      <c r="N397" s="26" t="str">
        <f t="shared" si="8"/>
        <v/>
      </c>
      <c r="O397" s="26" t="str">
        <f t="shared" si="9"/>
        <v/>
      </c>
      <c r="P397" s="26" t="str">
        <f t="shared" si="10"/>
        <v/>
      </c>
      <c r="Q397" s="26" t="str">
        <f t="shared" si="11"/>
        <v/>
      </c>
      <c r="R397" s="26" t="str">
        <f t="shared" si="12"/>
        <v/>
      </c>
      <c r="S397" s="26" t="str">
        <f t="shared" si="13"/>
        <v/>
      </c>
      <c r="T397" s="26" t="str">
        <f t="shared" si="14"/>
        <v/>
      </c>
      <c r="U397" s="26" t="str">
        <f t="shared" si="15"/>
        <v/>
      </c>
      <c r="V397" s="26" t="str">
        <f t="shared" si="16"/>
        <v/>
      </c>
      <c r="W397" s="26" t="str">
        <f t="shared" si="17"/>
        <v/>
      </c>
      <c r="X397" s="26" t="str">
        <f t="shared" si="18"/>
        <v/>
      </c>
      <c r="Y397" s="26" t="str">
        <f t="shared" si="19"/>
        <v/>
      </c>
      <c r="Z397" s="31" t="str">
        <f t="shared" si="20"/>
        <v/>
      </c>
      <c r="AA397" s="31" t="str">
        <f>IF(D397="","",IF(H397&lt;=$B$16,1,IF(H397&gt;=$B$17,$B$21,MATCH(H397,Aux_CAV!$A$2:$A$121,1))))</f>
        <v/>
      </c>
      <c r="AB397" s="31" t="str">
        <f>IF(D397="","",IF(L397&lt;=$B$16,1,IF(L397&gt;=$B$17,$B$21,MATCH(L397,Aux_CAV!$A$2:$A$121,1))))</f>
        <v/>
      </c>
      <c r="AC397" s="3" t="str">
        <f t="shared" si="21"/>
        <v/>
      </c>
    </row>
    <row r="398" ht="12.75" customHeight="1">
      <c r="A398" s="25" t="str">
        <f t="shared" si="1"/>
        <v/>
      </c>
      <c r="B398" s="29" t="str">
        <f t="array" ref="B398">IF(D398="","",IFERROR(VALUE(INDEX(Vazoes_COLAR!$A$2:$A$200,INT((ROW()-24)/12)+1)),""))</f>
        <v/>
      </c>
      <c r="C398" s="29" t="str">
        <f t="shared" si="2"/>
        <v/>
      </c>
      <c r="D398" s="26" t="str">
        <f t="array" ref="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98" s="26" t="str">
        <f t="shared" si="3"/>
        <v/>
      </c>
      <c r="F398" s="26" t="str">
        <f t="array" ref="F398">IF(D398="","",IFERROR(INDEX(Dados_Evap!$C$2:$N$15,MATCH($B$9,Dados_Evap!$A$2:$A$15,0),C398),0))</f>
        <v/>
      </c>
      <c r="G398" s="26" t="str">
        <f t="shared" si="4"/>
        <v/>
      </c>
      <c r="H398" s="26" t="str">
        <f t="shared" si="22"/>
        <v/>
      </c>
      <c r="I398" s="26" t="str">
        <f t="array" ref="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/>
      </c>
      <c r="J398" s="26" t="str">
        <f t="shared" si="5"/>
        <v/>
      </c>
      <c r="K398" s="26" t="str">
        <f t="shared" si="6"/>
        <v/>
      </c>
      <c r="L398" s="26" t="str">
        <f t="shared" si="7"/>
        <v/>
      </c>
      <c r="M398" s="26" t="str">
        <f t="array" ref="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/>
      </c>
      <c r="N398" s="26" t="str">
        <f t="shared" si="8"/>
        <v/>
      </c>
      <c r="O398" s="26" t="str">
        <f t="shared" si="9"/>
        <v/>
      </c>
      <c r="P398" s="26" t="str">
        <f t="shared" si="10"/>
        <v/>
      </c>
      <c r="Q398" s="26" t="str">
        <f t="shared" si="11"/>
        <v/>
      </c>
      <c r="R398" s="26" t="str">
        <f t="shared" si="12"/>
        <v/>
      </c>
      <c r="S398" s="26" t="str">
        <f t="shared" si="13"/>
        <v/>
      </c>
      <c r="T398" s="26" t="str">
        <f t="shared" si="14"/>
        <v/>
      </c>
      <c r="U398" s="26" t="str">
        <f t="shared" si="15"/>
        <v/>
      </c>
      <c r="V398" s="26" t="str">
        <f t="shared" si="16"/>
        <v/>
      </c>
      <c r="W398" s="26" t="str">
        <f t="shared" si="17"/>
        <v/>
      </c>
      <c r="X398" s="26" t="str">
        <f t="shared" si="18"/>
        <v/>
      </c>
      <c r="Y398" s="26" t="str">
        <f t="shared" si="19"/>
        <v/>
      </c>
      <c r="Z398" s="31" t="str">
        <f t="shared" si="20"/>
        <v/>
      </c>
      <c r="AA398" s="31" t="str">
        <f>IF(D398="","",IF(H398&lt;=$B$16,1,IF(H398&gt;=$B$17,$B$21,MATCH(H398,Aux_CAV!$A$2:$A$121,1))))</f>
        <v/>
      </c>
      <c r="AB398" s="31" t="str">
        <f>IF(D398="","",IF(L398&lt;=$B$16,1,IF(L398&gt;=$B$17,$B$21,MATCH(L398,Aux_CAV!$A$2:$A$121,1))))</f>
        <v/>
      </c>
      <c r="AC398" s="3" t="str">
        <f t="shared" si="21"/>
        <v/>
      </c>
    </row>
    <row r="399" ht="12.75" customHeight="1">
      <c r="A399" s="25" t="str">
        <f t="shared" si="1"/>
        <v/>
      </c>
      <c r="B399" s="29" t="str">
        <f t="array" ref="B399">IF(D399="","",IFERROR(VALUE(INDEX(Vazoes_COLAR!$A$2:$A$200,INT((ROW()-24)/12)+1)),""))</f>
        <v/>
      </c>
      <c r="C399" s="29" t="str">
        <f t="shared" si="2"/>
        <v/>
      </c>
      <c r="D399" s="26" t="str">
        <f t="array" ref="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99" s="26" t="str">
        <f t="shared" si="3"/>
        <v/>
      </c>
      <c r="F399" s="26" t="str">
        <f t="array" ref="F399">IF(D399="","",IFERROR(INDEX(Dados_Evap!$C$2:$N$15,MATCH($B$9,Dados_Evap!$A$2:$A$15,0),C399),0))</f>
        <v/>
      </c>
      <c r="G399" s="26" t="str">
        <f t="shared" si="4"/>
        <v/>
      </c>
      <c r="H399" s="26" t="str">
        <f t="shared" si="22"/>
        <v/>
      </c>
      <c r="I399" s="26" t="str">
        <f t="array" ref="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/>
      </c>
      <c r="J399" s="26" t="str">
        <f t="shared" si="5"/>
        <v/>
      </c>
      <c r="K399" s="26" t="str">
        <f t="shared" si="6"/>
        <v/>
      </c>
      <c r="L399" s="26" t="str">
        <f t="shared" si="7"/>
        <v/>
      </c>
      <c r="M399" s="26" t="str">
        <f t="array" ref="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/>
      </c>
      <c r="N399" s="26" t="str">
        <f t="shared" si="8"/>
        <v/>
      </c>
      <c r="O399" s="26" t="str">
        <f t="shared" si="9"/>
        <v/>
      </c>
      <c r="P399" s="26" t="str">
        <f t="shared" si="10"/>
        <v/>
      </c>
      <c r="Q399" s="26" t="str">
        <f t="shared" si="11"/>
        <v/>
      </c>
      <c r="R399" s="26" t="str">
        <f t="shared" si="12"/>
        <v/>
      </c>
      <c r="S399" s="26" t="str">
        <f t="shared" si="13"/>
        <v/>
      </c>
      <c r="T399" s="26" t="str">
        <f t="shared" si="14"/>
        <v/>
      </c>
      <c r="U399" s="26" t="str">
        <f t="shared" si="15"/>
        <v/>
      </c>
      <c r="V399" s="26" t="str">
        <f t="shared" si="16"/>
        <v/>
      </c>
      <c r="W399" s="26" t="str">
        <f t="shared" si="17"/>
        <v/>
      </c>
      <c r="X399" s="26" t="str">
        <f t="shared" si="18"/>
        <v/>
      </c>
      <c r="Y399" s="26" t="str">
        <f t="shared" si="19"/>
        <v/>
      </c>
      <c r="Z399" s="31" t="str">
        <f t="shared" si="20"/>
        <v/>
      </c>
      <c r="AA399" s="31" t="str">
        <f>IF(D399="","",IF(H399&lt;=$B$16,1,IF(H399&gt;=$B$17,$B$21,MATCH(H399,Aux_CAV!$A$2:$A$121,1))))</f>
        <v/>
      </c>
      <c r="AB399" s="31" t="str">
        <f>IF(D399="","",IF(L399&lt;=$B$16,1,IF(L399&gt;=$B$17,$B$21,MATCH(L399,Aux_CAV!$A$2:$A$121,1))))</f>
        <v/>
      </c>
      <c r="AC399" s="3" t="str">
        <f t="shared" si="21"/>
        <v/>
      </c>
    </row>
    <row r="400" ht="12.75" customHeight="1">
      <c r="A400" s="25" t="str">
        <f t="shared" si="1"/>
        <v/>
      </c>
      <c r="B400" s="29" t="str">
        <f t="array" ref="B400">IF(D400="","",IFERROR(VALUE(INDEX(Vazoes_COLAR!$A$2:$A$200,INT((ROW()-24)/12)+1)),""))</f>
        <v/>
      </c>
      <c r="C400" s="29" t="str">
        <f t="shared" si="2"/>
        <v/>
      </c>
      <c r="D400" s="26" t="str">
        <f t="array" ref="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00" s="26" t="str">
        <f t="shared" si="3"/>
        <v/>
      </c>
      <c r="F400" s="26" t="str">
        <f t="array" ref="F400">IF(D400="","",IFERROR(INDEX(Dados_Evap!$C$2:$N$15,MATCH($B$9,Dados_Evap!$A$2:$A$15,0),C400),0))</f>
        <v/>
      </c>
      <c r="G400" s="26" t="str">
        <f t="shared" si="4"/>
        <v/>
      </c>
      <c r="H400" s="26" t="str">
        <f t="shared" si="22"/>
        <v/>
      </c>
      <c r="I400" s="26" t="str">
        <f t="array" ref="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/>
      </c>
      <c r="J400" s="26" t="str">
        <f t="shared" si="5"/>
        <v/>
      </c>
      <c r="K400" s="26" t="str">
        <f t="shared" si="6"/>
        <v/>
      </c>
      <c r="L400" s="26" t="str">
        <f t="shared" si="7"/>
        <v/>
      </c>
      <c r="M400" s="26" t="str">
        <f t="array" ref="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/>
      </c>
      <c r="N400" s="26" t="str">
        <f t="shared" si="8"/>
        <v/>
      </c>
      <c r="O400" s="26" t="str">
        <f t="shared" si="9"/>
        <v/>
      </c>
      <c r="P400" s="26" t="str">
        <f t="shared" si="10"/>
        <v/>
      </c>
      <c r="Q400" s="26" t="str">
        <f t="shared" si="11"/>
        <v/>
      </c>
      <c r="R400" s="26" t="str">
        <f t="shared" si="12"/>
        <v/>
      </c>
      <c r="S400" s="26" t="str">
        <f t="shared" si="13"/>
        <v/>
      </c>
      <c r="T400" s="26" t="str">
        <f t="shared" si="14"/>
        <v/>
      </c>
      <c r="U400" s="26" t="str">
        <f t="shared" si="15"/>
        <v/>
      </c>
      <c r="V400" s="26" t="str">
        <f t="shared" si="16"/>
        <v/>
      </c>
      <c r="W400" s="26" t="str">
        <f t="shared" si="17"/>
        <v/>
      </c>
      <c r="X400" s="26" t="str">
        <f t="shared" si="18"/>
        <v/>
      </c>
      <c r="Y400" s="26" t="str">
        <f t="shared" si="19"/>
        <v/>
      </c>
      <c r="Z400" s="31" t="str">
        <f t="shared" si="20"/>
        <v/>
      </c>
      <c r="AA400" s="31" t="str">
        <f>IF(D400="","",IF(H400&lt;=$B$16,1,IF(H400&gt;=$B$17,$B$21,MATCH(H400,Aux_CAV!$A$2:$A$121,1))))</f>
        <v/>
      </c>
      <c r="AB400" s="31" t="str">
        <f>IF(D400="","",IF(L400&lt;=$B$16,1,IF(L400&gt;=$B$17,$B$21,MATCH(L400,Aux_CAV!$A$2:$A$121,1))))</f>
        <v/>
      </c>
      <c r="AC400" s="3" t="str">
        <f t="shared" si="21"/>
        <v/>
      </c>
    </row>
    <row r="401" ht="12.75" customHeight="1">
      <c r="A401" s="25" t="str">
        <f t="shared" si="1"/>
        <v/>
      </c>
      <c r="B401" s="29" t="str">
        <f t="array" ref="B401">IF(D401="","",IFERROR(VALUE(INDEX(Vazoes_COLAR!$A$2:$A$200,INT((ROW()-24)/12)+1)),""))</f>
        <v/>
      </c>
      <c r="C401" s="29" t="str">
        <f t="shared" si="2"/>
        <v/>
      </c>
      <c r="D401" s="26" t="str">
        <f t="array" ref="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01" s="26" t="str">
        <f t="shared" si="3"/>
        <v/>
      </c>
      <c r="F401" s="26" t="str">
        <f t="array" ref="F401">IF(D401="","",IFERROR(INDEX(Dados_Evap!$C$2:$N$15,MATCH($B$9,Dados_Evap!$A$2:$A$15,0),C401),0))</f>
        <v/>
      </c>
      <c r="G401" s="26" t="str">
        <f t="shared" si="4"/>
        <v/>
      </c>
      <c r="H401" s="26" t="str">
        <f t="shared" si="22"/>
        <v/>
      </c>
      <c r="I401" s="26" t="str">
        <f t="array" ref="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/>
      </c>
      <c r="J401" s="26" t="str">
        <f t="shared" si="5"/>
        <v/>
      </c>
      <c r="K401" s="26" t="str">
        <f t="shared" si="6"/>
        <v/>
      </c>
      <c r="L401" s="26" t="str">
        <f t="shared" si="7"/>
        <v/>
      </c>
      <c r="M401" s="26" t="str">
        <f t="array" ref="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/>
      </c>
      <c r="N401" s="26" t="str">
        <f t="shared" si="8"/>
        <v/>
      </c>
      <c r="O401" s="26" t="str">
        <f t="shared" si="9"/>
        <v/>
      </c>
      <c r="P401" s="26" t="str">
        <f t="shared" si="10"/>
        <v/>
      </c>
      <c r="Q401" s="26" t="str">
        <f t="shared" si="11"/>
        <v/>
      </c>
      <c r="R401" s="26" t="str">
        <f t="shared" si="12"/>
        <v/>
      </c>
      <c r="S401" s="26" t="str">
        <f t="shared" si="13"/>
        <v/>
      </c>
      <c r="T401" s="26" t="str">
        <f t="shared" si="14"/>
        <v/>
      </c>
      <c r="U401" s="26" t="str">
        <f t="shared" si="15"/>
        <v/>
      </c>
      <c r="V401" s="26" t="str">
        <f t="shared" si="16"/>
        <v/>
      </c>
      <c r="W401" s="26" t="str">
        <f t="shared" si="17"/>
        <v/>
      </c>
      <c r="X401" s="26" t="str">
        <f t="shared" si="18"/>
        <v/>
      </c>
      <c r="Y401" s="26" t="str">
        <f t="shared" si="19"/>
        <v/>
      </c>
      <c r="Z401" s="31" t="str">
        <f t="shared" si="20"/>
        <v/>
      </c>
      <c r="AA401" s="31" t="str">
        <f>IF(D401="","",IF(H401&lt;=$B$16,1,IF(H401&gt;=$B$17,$B$21,MATCH(H401,Aux_CAV!$A$2:$A$121,1))))</f>
        <v/>
      </c>
      <c r="AB401" s="31" t="str">
        <f>IF(D401="","",IF(L401&lt;=$B$16,1,IF(L401&gt;=$B$17,$B$21,MATCH(L401,Aux_CAV!$A$2:$A$121,1))))</f>
        <v/>
      </c>
      <c r="AC401" s="3" t="str">
        <f t="shared" si="21"/>
        <v/>
      </c>
    </row>
    <row r="402" ht="12.75" customHeight="1">
      <c r="A402" s="25" t="str">
        <f t="shared" si="1"/>
        <v/>
      </c>
      <c r="B402" s="29" t="str">
        <f t="array" ref="B402">IF(D402="","",IFERROR(VALUE(INDEX(Vazoes_COLAR!$A$2:$A$200,INT((ROW()-24)/12)+1)),""))</f>
        <v/>
      </c>
      <c r="C402" s="29" t="str">
        <f t="shared" si="2"/>
        <v/>
      </c>
      <c r="D402" s="26" t="str">
        <f t="array" ref="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02" s="26" t="str">
        <f t="shared" si="3"/>
        <v/>
      </c>
      <c r="F402" s="26" t="str">
        <f t="array" ref="F402">IF(D402="","",IFERROR(INDEX(Dados_Evap!$C$2:$N$15,MATCH($B$9,Dados_Evap!$A$2:$A$15,0),C402),0))</f>
        <v/>
      </c>
      <c r="G402" s="26" t="str">
        <f t="shared" si="4"/>
        <v/>
      </c>
      <c r="H402" s="26" t="str">
        <f t="shared" si="22"/>
        <v/>
      </c>
      <c r="I402" s="26" t="str">
        <f t="array" ref="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/>
      </c>
      <c r="J402" s="26" t="str">
        <f t="shared" si="5"/>
        <v/>
      </c>
      <c r="K402" s="26" t="str">
        <f t="shared" si="6"/>
        <v/>
      </c>
      <c r="L402" s="26" t="str">
        <f t="shared" si="7"/>
        <v/>
      </c>
      <c r="M402" s="26" t="str">
        <f t="array" ref="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/>
      </c>
      <c r="N402" s="26" t="str">
        <f t="shared" si="8"/>
        <v/>
      </c>
      <c r="O402" s="26" t="str">
        <f t="shared" si="9"/>
        <v/>
      </c>
      <c r="P402" s="26" t="str">
        <f t="shared" si="10"/>
        <v/>
      </c>
      <c r="Q402" s="26" t="str">
        <f t="shared" si="11"/>
        <v/>
      </c>
      <c r="R402" s="26" t="str">
        <f t="shared" si="12"/>
        <v/>
      </c>
      <c r="S402" s="26" t="str">
        <f t="shared" si="13"/>
        <v/>
      </c>
      <c r="T402" s="26" t="str">
        <f t="shared" si="14"/>
        <v/>
      </c>
      <c r="U402" s="26" t="str">
        <f t="shared" si="15"/>
        <v/>
      </c>
      <c r="V402" s="26" t="str">
        <f t="shared" si="16"/>
        <v/>
      </c>
      <c r="W402" s="26" t="str">
        <f t="shared" si="17"/>
        <v/>
      </c>
      <c r="X402" s="26" t="str">
        <f t="shared" si="18"/>
        <v/>
      </c>
      <c r="Y402" s="26" t="str">
        <f t="shared" si="19"/>
        <v/>
      </c>
      <c r="Z402" s="31" t="str">
        <f t="shared" si="20"/>
        <v/>
      </c>
      <c r="AA402" s="31" t="str">
        <f>IF(D402="","",IF(H402&lt;=$B$16,1,IF(H402&gt;=$B$17,$B$21,MATCH(H402,Aux_CAV!$A$2:$A$121,1))))</f>
        <v/>
      </c>
      <c r="AB402" s="31" t="str">
        <f>IF(D402="","",IF(L402&lt;=$B$16,1,IF(L402&gt;=$B$17,$B$21,MATCH(L402,Aux_CAV!$A$2:$A$121,1))))</f>
        <v/>
      </c>
      <c r="AC402" s="3" t="str">
        <f t="shared" si="21"/>
        <v/>
      </c>
    </row>
    <row r="403" ht="12.75" customHeight="1">
      <c r="A403" s="25" t="str">
        <f t="shared" si="1"/>
        <v/>
      </c>
      <c r="B403" s="29" t="str">
        <f t="array" ref="B403">IF(D403="","",IFERROR(VALUE(INDEX(Vazoes_COLAR!$A$2:$A$200,INT((ROW()-24)/12)+1)),""))</f>
        <v/>
      </c>
      <c r="C403" s="29" t="str">
        <f t="shared" si="2"/>
        <v/>
      </c>
      <c r="D403" s="26" t="str">
        <f t="array" ref="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03" s="26" t="str">
        <f t="shared" si="3"/>
        <v/>
      </c>
      <c r="F403" s="26" t="str">
        <f t="array" ref="F403">IF(D403="","",IFERROR(INDEX(Dados_Evap!$C$2:$N$15,MATCH($B$9,Dados_Evap!$A$2:$A$15,0),C403),0))</f>
        <v/>
      </c>
      <c r="G403" s="26" t="str">
        <f t="shared" si="4"/>
        <v/>
      </c>
      <c r="H403" s="26" t="str">
        <f t="shared" si="22"/>
        <v/>
      </c>
      <c r="I403" s="26" t="str">
        <f t="array" ref="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/>
      </c>
      <c r="J403" s="26" t="str">
        <f t="shared" si="5"/>
        <v/>
      </c>
      <c r="K403" s="26" t="str">
        <f t="shared" si="6"/>
        <v/>
      </c>
      <c r="L403" s="26" t="str">
        <f t="shared" si="7"/>
        <v/>
      </c>
      <c r="M403" s="26" t="str">
        <f t="array" ref="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/>
      </c>
      <c r="N403" s="26" t="str">
        <f t="shared" si="8"/>
        <v/>
      </c>
      <c r="O403" s="26" t="str">
        <f t="shared" si="9"/>
        <v/>
      </c>
      <c r="P403" s="26" t="str">
        <f t="shared" si="10"/>
        <v/>
      </c>
      <c r="Q403" s="26" t="str">
        <f t="shared" si="11"/>
        <v/>
      </c>
      <c r="R403" s="26" t="str">
        <f t="shared" si="12"/>
        <v/>
      </c>
      <c r="S403" s="26" t="str">
        <f t="shared" si="13"/>
        <v/>
      </c>
      <c r="T403" s="26" t="str">
        <f t="shared" si="14"/>
        <v/>
      </c>
      <c r="U403" s="26" t="str">
        <f t="shared" si="15"/>
        <v/>
      </c>
      <c r="V403" s="26" t="str">
        <f t="shared" si="16"/>
        <v/>
      </c>
      <c r="W403" s="26" t="str">
        <f t="shared" si="17"/>
        <v/>
      </c>
      <c r="X403" s="26" t="str">
        <f t="shared" si="18"/>
        <v/>
      </c>
      <c r="Y403" s="26" t="str">
        <f t="shared" si="19"/>
        <v/>
      </c>
      <c r="Z403" s="31" t="str">
        <f t="shared" si="20"/>
        <v/>
      </c>
      <c r="AA403" s="31" t="str">
        <f>IF(D403="","",IF(H403&lt;=$B$16,1,IF(H403&gt;=$B$17,$B$21,MATCH(H403,Aux_CAV!$A$2:$A$121,1))))</f>
        <v/>
      </c>
      <c r="AB403" s="31" t="str">
        <f>IF(D403="","",IF(L403&lt;=$B$16,1,IF(L403&gt;=$B$17,$B$21,MATCH(L403,Aux_CAV!$A$2:$A$121,1))))</f>
        <v/>
      </c>
      <c r="AC403" s="3" t="str">
        <f t="shared" si="21"/>
        <v/>
      </c>
    </row>
    <row r="404" ht="12.75" customHeight="1">
      <c r="A404" s="25" t="str">
        <f t="shared" si="1"/>
        <v/>
      </c>
      <c r="B404" s="29" t="str">
        <f t="array" ref="B404">IF(D404="","",IFERROR(VALUE(INDEX(Vazoes_COLAR!$A$2:$A$200,INT((ROW()-24)/12)+1)),""))</f>
        <v/>
      </c>
      <c r="C404" s="29" t="str">
        <f t="shared" si="2"/>
        <v/>
      </c>
      <c r="D404" s="26" t="str">
        <f t="array" ref="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04" s="26" t="str">
        <f t="shared" si="3"/>
        <v/>
      </c>
      <c r="F404" s="26" t="str">
        <f t="array" ref="F404">IF(D404="","",IFERROR(INDEX(Dados_Evap!$C$2:$N$15,MATCH($B$9,Dados_Evap!$A$2:$A$15,0),C404),0))</f>
        <v/>
      </c>
      <c r="G404" s="26" t="str">
        <f t="shared" si="4"/>
        <v/>
      </c>
      <c r="H404" s="26" t="str">
        <f t="shared" si="22"/>
        <v/>
      </c>
      <c r="I404" s="26" t="str">
        <f t="array" ref="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/>
      </c>
      <c r="J404" s="26" t="str">
        <f t="shared" si="5"/>
        <v/>
      </c>
      <c r="K404" s="26" t="str">
        <f t="shared" si="6"/>
        <v/>
      </c>
      <c r="L404" s="26" t="str">
        <f t="shared" si="7"/>
        <v/>
      </c>
      <c r="M404" s="26" t="str">
        <f t="array" ref="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/>
      </c>
      <c r="N404" s="26" t="str">
        <f t="shared" si="8"/>
        <v/>
      </c>
      <c r="O404" s="26" t="str">
        <f t="shared" si="9"/>
        <v/>
      </c>
      <c r="P404" s="26" t="str">
        <f t="shared" si="10"/>
        <v/>
      </c>
      <c r="Q404" s="26" t="str">
        <f t="shared" si="11"/>
        <v/>
      </c>
      <c r="R404" s="26" t="str">
        <f t="shared" si="12"/>
        <v/>
      </c>
      <c r="S404" s="26" t="str">
        <f t="shared" si="13"/>
        <v/>
      </c>
      <c r="T404" s="26" t="str">
        <f t="shared" si="14"/>
        <v/>
      </c>
      <c r="U404" s="26" t="str">
        <f t="shared" si="15"/>
        <v/>
      </c>
      <c r="V404" s="26" t="str">
        <f t="shared" si="16"/>
        <v/>
      </c>
      <c r="W404" s="26" t="str">
        <f t="shared" si="17"/>
        <v/>
      </c>
      <c r="X404" s="26" t="str">
        <f t="shared" si="18"/>
        <v/>
      </c>
      <c r="Y404" s="26" t="str">
        <f t="shared" si="19"/>
        <v/>
      </c>
      <c r="Z404" s="31" t="str">
        <f t="shared" si="20"/>
        <v/>
      </c>
      <c r="AA404" s="31" t="str">
        <f>IF(D404="","",IF(H404&lt;=$B$16,1,IF(H404&gt;=$B$17,$B$21,MATCH(H404,Aux_CAV!$A$2:$A$121,1))))</f>
        <v/>
      </c>
      <c r="AB404" s="31" t="str">
        <f>IF(D404="","",IF(L404&lt;=$B$16,1,IF(L404&gt;=$B$17,$B$21,MATCH(L404,Aux_CAV!$A$2:$A$121,1))))</f>
        <v/>
      </c>
      <c r="AC404" s="3" t="str">
        <f t="shared" si="21"/>
        <v/>
      </c>
    </row>
    <row r="405" ht="12.75" customHeight="1">
      <c r="A405" s="25" t="str">
        <f t="shared" si="1"/>
        <v/>
      </c>
      <c r="B405" s="29" t="str">
        <f t="array" ref="B405">IF(D405="","",IFERROR(VALUE(INDEX(Vazoes_COLAR!$A$2:$A$200,INT((ROW()-24)/12)+1)),""))</f>
        <v/>
      </c>
      <c r="C405" s="29" t="str">
        <f t="shared" si="2"/>
        <v/>
      </c>
      <c r="D405" s="26" t="str">
        <f t="array" ref="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05" s="26" t="str">
        <f t="shared" si="3"/>
        <v/>
      </c>
      <c r="F405" s="26" t="str">
        <f t="array" ref="F405">IF(D405="","",IFERROR(INDEX(Dados_Evap!$C$2:$N$15,MATCH($B$9,Dados_Evap!$A$2:$A$15,0),C405),0))</f>
        <v/>
      </c>
      <c r="G405" s="26" t="str">
        <f t="shared" si="4"/>
        <v/>
      </c>
      <c r="H405" s="26" t="str">
        <f t="shared" si="22"/>
        <v/>
      </c>
      <c r="I405" s="26" t="str">
        <f t="array" ref="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/>
      </c>
      <c r="J405" s="26" t="str">
        <f t="shared" si="5"/>
        <v/>
      </c>
      <c r="K405" s="26" t="str">
        <f t="shared" si="6"/>
        <v/>
      </c>
      <c r="L405" s="26" t="str">
        <f t="shared" si="7"/>
        <v/>
      </c>
      <c r="M405" s="26" t="str">
        <f t="array" ref="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/>
      </c>
      <c r="N405" s="26" t="str">
        <f t="shared" si="8"/>
        <v/>
      </c>
      <c r="O405" s="26" t="str">
        <f t="shared" si="9"/>
        <v/>
      </c>
      <c r="P405" s="26" t="str">
        <f t="shared" si="10"/>
        <v/>
      </c>
      <c r="Q405" s="26" t="str">
        <f t="shared" si="11"/>
        <v/>
      </c>
      <c r="R405" s="26" t="str">
        <f t="shared" si="12"/>
        <v/>
      </c>
      <c r="S405" s="26" t="str">
        <f t="shared" si="13"/>
        <v/>
      </c>
      <c r="T405" s="26" t="str">
        <f t="shared" si="14"/>
        <v/>
      </c>
      <c r="U405" s="26" t="str">
        <f t="shared" si="15"/>
        <v/>
      </c>
      <c r="V405" s="26" t="str">
        <f t="shared" si="16"/>
        <v/>
      </c>
      <c r="W405" s="26" t="str">
        <f t="shared" si="17"/>
        <v/>
      </c>
      <c r="X405" s="26" t="str">
        <f t="shared" si="18"/>
        <v/>
      </c>
      <c r="Y405" s="26" t="str">
        <f t="shared" si="19"/>
        <v/>
      </c>
      <c r="Z405" s="31" t="str">
        <f t="shared" si="20"/>
        <v/>
      </c>
      <c r="AA405" s="31" t="str">
        <f>IF(D405="","",IF(H405&lt;=$B$16,1,IF(H405&gt;=$B$17,$B$21,MATCH(H405,Aux_CAV!$A$2:$A$121,1))))</f>
        <v/>
      </c>
      <c r="AB405" s="31" t="str">
        <f>IF(D405="","",IF(L405&lt;=$B$16,1,IF(L405&gt;=$B$17,$B$21,MATCH(L405,Aux_CAV!$A$2:$A$121,1))))</f>
        <v/>
      </c>
      <c r="AC405" s="3" t="str">
        <f t="shared" si="21"/>
        <v/>
      </c>
    </row>
    <row r="406" ht="12.75" customHeight="1">
      <c r="A406" s="25" t="str">
        <f t="shared" si="1"/>
        <v/>
      </c>
      <c r="B406" s="29" t="str">
        <f t="array" ref="B406">IF(D406="","",IFERROR(VALUE(INDEX(Vazoes_COLAR!$A$2:$A$200,INT((ROW()-24)/12)+1)),""))</f>
        <v/>
      </c>
      <c r="C406" s="29" t="str">
        <f t="shared" si="2"/>
        <v/>
      </c>
      <c r="D406" s="26" t="str">
        <f t="array" ref="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06" s="26" t="str">
        <f t="shared" si="3"/>
        <v/>
      </c>
      <c r="F406" s="26" t="str">
        <f t="array" ref="F406">IF(D406="","",IFERROR(INDEX(Dados_Evap!$C$2:$N$15,MATCH($B$9,Dados_Evap!$A$2:$A$15,0),C406),0))</f>
        <v/>
      </c>
      <c r="G406" s="26" t="str">
        <f t="shared" si="4"/>
        <v/>
      </c>
      <c r="H406" s="26" t="str">
        <f t="shared" si="22"/>
        <v/>
      </c>
      <c r="I406" s="26" t="str">
        <f t="array" ref="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/>
      </c>
      <c r="J406" s="26" t="str">
        <f t="shared" si="5"/>
        <v/>
      </c>
      <c r="K406" s="26" t="str">
        <f t="shared" si="6"/>
        <v/>
      </c>
      <c r="L406" s="26" t="str">
        <f t="shared" si="7"/>
        <v/>
      </c>
      <c r="M406" s="26" t="str">
        <f t="array" ref="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/>
      </c>
      <c r="N406" s="26" t="str">
        <f t="shared" si="8"/>
        <v/>
      </c>
      <c r="O406" s="26" t="str">
        <f t="shared" si="9"/>
        <v/>
      </c>
      <c r="P406" s="26" t="str">
        <f t="shared" si="10"/>
        <v/>
      </c>
      <c r="Q406" s="26" t="str">
        <f t="shared" si="11"/>
        <v/>
      </c>
      <c r="R406" s="26" t="str">
        <f t="shared" si="12"/>
        <v/>
      </c>
      <c r="S406" s="26" t="str">
        <f t="shared" si="13"/>
        <v/>
      </c>
      <c r="T406" s="26" t="str">
        <f t="shared" si="14"/>
        <v/>
      </c>
      <c r="U406" s="26" t="str">
        <f t="shared" si="15"/>
        <v/>
      </c>
      <c r="V406" s="26" t="str">
        <f t="shared" si="16"/>
        <v/>
      </c>
      <c r="W406" s="26" t="str">
        <f t="shared" si="17"/>
        <v/>
      </c>
      <c r="X406" s="26" t="str">
        <f t="shared" si="18"/>
        <v/>
      </c>
      <c r="Y406" s="26" t="str">
        <f t="shared" si="19"/>
        <v/>
      </c>
      <c r="Z406" s="31" t="str">
        <f t="shared" si="20"/>
        <v/>
      </c>
      <c r="AA406" s="31" t="str">
        <f>IF(D406="","",IF(H406&lt;=$B$16,1,IF(H406&gt;=$B$17,$B$21,MATCH(H406,Aux_CAV!$A$2:$A$121,1))))</f>
        <v/>
      </c>
      <c r="AB406" s="31" t="str">
        <f>IF(D406="","",IF(L406&lt;=$B$16,1,IF(L406&gt;=$B$17,$B$21,MATCH(L406,Aux_CAV!$A$2:$A$121,1))))</f>
        <v/>
      </c>
      <c r="AC406" s="3" t="str">
        <f t="shared" si="21"/>
        <v/>
      </c>
    </row>
    <row r="407" ht="12.75" customHeight="1">
      <c r="A407" s="25" t="str">
        <f t="shared" si="1"/>
        <v/>
      </c>
      <c r="B407" s="29" t="str">
        <f t="array" ref="B407">IF(D407="","",IFERROR(VALUE(INDEX(Vazoes_COLAR!$A$2:$A$200,INT((ROW()-24)/12)+1)),""))</f>
        <v/>
      </c>
      <c r="C407" s="29" t="str">
        <f t="shared" si="2"/>
        <v/>
      </c>
      <c r="D407" s="26" t="str">
        <f t="array" ref="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07" s="26" t="str">
        <f t="shared" si="3"/>
        <v/>
      </c>
      <c r="F407" s="26" t="str">
        <f t="array" ref="F407">IF(D407="","",IFERROR(INDEX(Dados_Evap!$C$2:$N$15,MATCH($B$9,Dados_Evap!$A$2:$A$15,0),C407),0))</f>
        <v/>
      </c>
      <c r="G407" s="26" t="str">
        <f t="shared" si="4"/>
        <v/>
      </c>
      <c r="H407" s="26" t="str">
        <f t="shared" si="22"/>
        <v/>
      </c>
      <c r="I407" s="26" t="str">
        <f t="array" ref="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/>
      </c>
      <c r="J407" s="26" t="str">
        <f t="shared" si="5"/>
        <v/>
      </c>
      <c r="K407" s="26" t="str">
        <f t="shared" si="6"/>
        <v/>
      </c>
      <c r="L407" s="26" t="str">
        <f t="shared" si="7"/>
        <v/>
      </c>
      <c r="M407" s="26" t="str">
        <f t="array" ref="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/>
      </c>
      <c r="N407" s="26" t="str">
        <f t="shared" si="8"/>
        <v/>
      </c>
      <c r="O407" s="26" t="str">
        <f t="shared" si="9"/>
        <v/>
      </c>
      <c r="P407" s="26" t="str">
        <f t="shared" si="10"/>
        <v/>
      </c>
      <c r="Q407" s="26" t="str">
        <f t="shared" si="11"/>
        <v/>
      </c>
      <c r="R407" s="26" t="str">
        <f t="shared" si="12"/>
        <v/>
      </c>
      <c r="S407" s="26" t="str">
        <f t="shared" si="13"/>
        <v/>
      </c>
      <c r="T407" s="26" t="str">
        <f t="shared" si="14"/>
        <v/>
      </c>
      <c r="U407" s="26" t="str">
        <f t="shared" si="15"/>
        <v/>
      </c>
      <c r="V407" s="26" t="str">
        <f t="shared" si="16"/>
        <v/>
      </c>
      <c r="W407" s="26" t="str">
        <f t="shared" si="17"/>
        <v/>
      </c>
      <c r="X407" s="26" t="str">
        <f t="shared" si="18"/>
        <v/>
      </c>
      <c r="Y407" s="26" t="str">
        <f t="shared" si="19"/>
        <v/>
      </c>
      <c r="Z407" s="31" t="str">
        <f t="shared" si="20"/>
        <v/>
      </c>
      <c r="AA407" s="31" t="str">
        <f>IF(D407="","",IF(H407&lt;=$B$16,1,IF(H407&gt;=$B$17,$B$21,MATCH(H407,Aux_CAV!$A$2:$A$121,1))))</f>
        <v/>
      </c>
      <c r="AB407" s="31" t="str">
        <f>IF(D407="","",IF(L407&lt;=$B$16,1,IF(L407&gt;=$B$17,$B$21,MATCH(L407,Aux_CAV!$A$2:$A$121,1))))</f>
        <v/>
      </c>
      <c r="AC407" s="3" t="str">
        <f t="shared" si="21"/>
        <v/>
      </c>
    </row>
    <row r="408" ht="12.75" customHeight="1">
      <c r="A408" s="25" t="str">
        <f t="shared" si="1"/>
        <v/>
      </c>
      <c r="B408" s="29" t="str">
        <f t="array" ref="B408">IF(D408="","",IFERROR(VALUE(INDEX(Vazoes_COLAR!$A$2:$A$200,INT((ROW()-24)/12)+1)),""))</f>
        <v/>
      </c>
      <c r="C408" s="29" t="str">
        <f t="shared" si="2"/>
        <v/>
      </c>
      <c r="D408" s="26" t="str">
        <f t="array" ref="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08" s="26" t="str">
        <f t="shared" si="3"/>
        <v/>
      </c>
      <c r="F408" s="26" t="str">
        <f t="array" ref="F408">IF(D408="","",IFERROR(INDEX(Dados_Evap!$C$2:$N$15,MATCH($B$9,Dados_Evap!$A$2:$A$15,0),C408),0))</f>
        <v/>
      </c>
      <c r="G408" s="26" t="str">
        <f t="shared" si="4"/>
        <v/>
      </c>
      <c r="H408" s="26" t="str">
        <f t="shared" si="22"/>
        <v/>
      </c>
      <c r="I408" s="26" t="str">
        <f t="array" ref="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/>
      </c>
      <c r="J408" s="26" t="str">
        <f t="shared" si="5"/>
        <v/>
      </c>
      <c r="K408" s="26" t="str">
        <f t="shared" si="6"/>
        <v/>
      </c>
      <c r="L408" s="26" t="str">
        <f t="shared" si="7"/>
        <v/>
      </c>
      <c r="M408" s="26" t="str">
        <f t="array" ref="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/>
      </c>
      <c r="N408" s="26" t="str">
        <f t="shared" si="8"/>
        <v/>
      </c>
      <c r="O408" s="26" t="str">
        <f t="shared" si="9"/>
        <v/>
      </c>
      <c r="P408" s="26" t="str">
        <f t="shared" si="10"/>
        <v/>
      </c>
      <c r="Q408" s="26" t="str">
        <f t="shared" si="11"/>
        <v/>
      </c>
      <c r="R408" s="26" t="str">
        <f t="shared" si="12"/>
        <v/>
      </c>
      <c r="S408" s="26" t="str">
        <f t="shared" si="13"/>
        <v/>
      </c>
      <c r="T408" s="26" t="str">
        <f t="shared" si="14"/>
        <v/>
      </c>
      <c r="U408" s="26" t="str">
        <f t="shared" si="15"/>
        <v/>
      </c>
      <c r="V408" s="26" t="str">
        <f t="shared" si="16"/>
        <v/>
      </c>
      <c r="W408" s="26" t="str">
        <f t="shared" si="17"/>
        <v/>
      </c>
      <c r="X408" s="26" t="str">
        <f t="shared" si="18"/>
        <v/>
      </c>
      <c r="Y408" s="26" t="str">
        <f t="shared" si="19"/>
        <v/>
      </c>
      <c r="Z408" s="31" t="str">
        <f t="shared" si="20"/>
        <v/>
      </c>
      <c r="AA408" s="31" t="str">
        <f>IF(D408="","",IF(H408&lt;=$B$16,1,IF(H408&gt;=$B$17,$B$21,MATCH(H408,Aux_CAV!$A$2:$A$121,1))))</f>
        <v/>
      </c>
      <c r="AB408" s="31" t="str">
        <f>IF(D408="","",IF(L408&lt;=$B$16,1,IF(L408&gt;=$B$17,$B$21,MATCH(L408,Aux_CAV!$A$2:$A$121,1))))</f>
        <v/>
      </c>
      <c r="AC408" s="3" t="str">
        <f t="shared" si="21"/>
        <v/>
      </c>
    </row>
    <row r="409" ht="12.75" customHeight="1">
      <c r="A409" s="25" t="str">
        <f t="shared" si="1"/>
        <v/>
      </c>
      <c r="B409" s="29" t="str">
        <f t="array" ref="B409">IF(D409="","",IFERROR(VALUE(INDEX(Vazoes_COLAR!$A$2:$A$200,INT((ROW()-24)/12)+1)),""))</f>
        <v/>
      </c>
      <c r="C409" s="29" t="str">
        <f t="shared" si="2"/>
        <v/>
      </c>
      <c r="D409" s="26" t="str">
        <f t="array" ref="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09" s="26" t="str">
        <f t="shared" si="3"/>
        <v/>
      </c>
      <c r="F409" s="26" t="str">
        <f t="array" ref="F409">IF(D409="","",IFERROR(INDEX(Dados_Evap!$C$2:$N$15,MATCH($B$9,Dados_Evap!$A$2:$A$15,0),C409),0))</f>
        <v/>
      </c>
      <c r="G409" s="26" t="str">
        <f t="shared" si="4"/>
        <v/>
      </c>
      <c r="H409" s="26" t="str">
        <f t="shared" si="22"/>
        <v/>
      </c>
      <c r="I409" s="26" t="str">
        <f t="array" ref="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/>
      </c>
      <c r="J409" s="26" t="str">
        <f t="shared" si="5"/>
        <v/>
      </c>
      <c r="K409" s="26" t="str">
        <f t="shared" si="6"/>
        <v/>
      </c>
      <c r="L409" s="26" t="str">
        <f t="shared" si="7"/>
        <v/>
      </c>
      <c r="M409" s="26" t="str">
        <f t="array" ref="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/>
      </c>
      <c r="N409" s="26" t="str">
        <f t="shared" si="8"/>
        <v/>
      </c>
      <c r="O409" s="26" t="str">
        <f t="shared" si="9"/>
        <v/>
      </c>
      <c r="P409" s="26" t="str">
        <f t="shared" si="10"/>
        <v/>
      </c>
      <c r="Q409" s="26" t="str">
        <f t="shared" si="11"/>
        <v/>
      </c>
      <c r="R409" s="26" t="str">
        <f t="shared" si="12"/>
        <v/>
      </c>
      <c r="S409" s="26" t="str">
        <f t="shared" si="13"/>
        <v/>
      </c>
      <c r="T409" s="26" t="str">
        <f t="shared" si="14"/>
        <v/>
      </c>
      <c r="U409" s="26" t="str">
        <f t="shared" si="15"/>
        <v/>
      </c>
      <c r="V409" s="26" t="str">
        <f t="shared" si="16"/>
        <v/>
      </c>
      <c r="W409" s="26" t="str">
        <f t="shared" si="17"/>
        <v/>
      </c>
      <c r="X409" s="26" t="str">
        <f t="shared" si="18"/>
        <v/>
      </c>
      <c r="Y409" s="26" t="str">
        <f t="shared" si="19"/>
        <v/>
      </c>
      <c r="Z409" s="31" t="str">
        <f t="shared" si="20"/>
        <v/>
      </c>
      <c r="AA409" s="31" t="str">
        <f>IF(D409="","",IF(H409&lt;=$B$16,1,IF(H409&gt;=$B$17,$B$21,MATCH(H409,Aux_CAV!$A$2:$A$121,1))))</f>
        <v/>
      </c>
      <c r="AB409" s="31" t="str">
        <f>IF(D409="","",IF(L409&lt;=$B$16,1,IF(L409&gt;=$B$17,$B$21,MATCH(L409,Aux_CAV!$A$2:$A$121,1))))</f>
        <v/>
      </c>
      <c r="AC409" s="3" t="str">
        <f t="shared" si="21"/>
        <v/>
      </c>
    </row>
    <row r="410" ht="12.75" customHeight="1">
      <c r="A410" s="25" t="str">
        <f t="shared" si="1"/>
        <v/>
      </c>
      <c r="B410" s="29" t="str">
        <f t="array" ref="B410">IF(D410="","",IFERROR(VALUE(INDEX(Vazoes_COLAR!$A$2:$A$200,INT((ROW()-24)/12)+1)),""))</f>
        <v/>
      </c>
      <c r="C410" s="29" t="str">
        <f t="shared" si="2"/>
        <v/>
      </c>
      <c r="D410" s="26" t="str">
        <f t="array" ref="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10" s="26" t="str">
        <f t="shared" si="3"/>
        <v/>
      </c>
      <c r="F410" s="26" t="str">
        <f t="array" ref="F410">IF(D410="","",IFERROR(INDEX(Dados_Evap!$C$2:$N$15,MATCH($B$9,Dados_Evap!$A$2:$A$15,0),C410),0))</f>
        <v/>
      </c>
      <c r="G410" s="26" t="str">
        <f t="shared" si="4"/>
        <v/>
      </c>
      <c r="H410" s="26" t="str">
        <f t="shared" si="22"/>
        <v/>
      </c>
      <c r="I410" s="26" t="str">
        <f t="array" ref="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/>
      </c>
      <c r="J410" s="26" t="str">
        <f t="shared" si="5"/>
        <v/>
      </c>
      <c r="K410" s="26" t="str">
        <f t="shared" si="6"/>
        <v/>
      </c>
      <c r="L410" s="26" t="str">
        <f t="shared" si="7"/>
        <v/>
      </c>
      <c r="M410" s="26" t="str">
        <f t="array" ref="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/>
      </c>
      <c r="N410" s="26" t="str">
        <f t="shared" si="8"/>
        <v/>
      </c>
      <c r="O410" s="26" t="str">
        <f t="shared" si="9"/>
        <v/>
      </c>
      <c r="P410" s="26" t="str">
        <f t="shared" si="10"/>
        <v/>
      </c>
      <c r="Q410" s="26" t="str">
        <f t="shared" si="11"/>
        <v/>
      </c>
      <c r="R410" s="26" t="str">
        <f t="shared" si="12"/>
        <v/>
      </c>
      <c r="S410" s="26" t="str">
        <f t="shared" si="13"/>
        <v/>
      </c>
      <c r="T410" s="26" t="str">
        <f t="shared" si="14"/>
        <v/>
      </c>
      <c r="U410" s="26" t="str">
        <f t="shared" si="15"/>
        <v/>
      </c>
      <c r="V410" s="26" t="str">
        <f t="shared" si="16"/>
        <v/>
      </c>
      <c r="W410" s="26" t="str">
        <f t="shared" si="17"/>
        <v/>
      </c>
      <c r="X410" s="26" t="str">
        <f t="shared" si="18"/>
        <v/>
      </c>
      <c r="Y410" s="26" t="str">
        <f t="shared" si="19"/>
        <v/>
      </c>
      <c r="Z410" s="31" t="str">
        <f t="shared" si="20"/>
        <v/>
      </c>
      <c r="AA410" s="31" t="str">
        <f>IF(D410="","",IF(H410&lt;=$B$16,1,IF(H410&gt;=$B$17,$B$21,MATCH(H410,Aux_CAV!$A$2:$A$121,1))))</f>
        <v/>
      </c>
      <c r="AB410" s="31" t="str">
        <f>IF(D410="","",IF(L410&lt;=$B$16,1,IF(L410&gt;=$B$17,$B$21,MATCH(L410,Aux_CAV!$A$2:$A$121,1))))</f>
        <v/>
      </c>
      <c r="AC410" s="3" t="str">
        <f t="shared" si="21"/>
        <v/>
      </c>
    </row>
    <row r="411" ht="12.75" customHeight="1">
      <c r="A411" s="25" t="str">
        <f t="shared" si="1"/>
        <v/>
      </c>
      <c r="B411" s="29" t="str">
        <f t="array" ref="B411">IF(D411="","",IFERROR(VALUE(INDEX(Vazoes_COLAR!$A$2:$A$200,INT((ROW()-24)/12)+1)),""))</f>
        <v/>
      </c>
      <c r="C411" s="29" t="str">
        <f t="shared" si="2"/>
        <v/>
      </c>
      <c r="D411" s="26" t="str">
        <f t="array" ref="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11" s="26" t="str">
        <f t="shared" si="3"/>
        <v/>
      </c>
      <c r="F411" s="26" t="str">
        <f t="array" ref="F411">IF(D411="","",IFERROR(INDEX(Dados_Evap!$C$2:$N$15,MATCH($B$9,Dados_Evap!$A$2:$A$15,0),C411),0))</f>
        <v/>
      </c>
      <c r="G411" s="26" t="str">
        <f t="shared" si="4"/>
        <v/>
      </c>
      <c r="H411" s="26" t="str">
        <f t="shared" si="22"/>
        <v/>
      </c>
      <c r="I411" s="26" t="str">
        <f t="array" ref="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/>
      </c>
      <c r="J411" s="26" t="str">
        <f t="shared" si="5"/>
        <v/>
      </c>
      <c r="K411" s="26" t="str">
        <f t="shared" si="6"/>
        <v/>
      </c>
      <c r="L411" s="26" t="str">
        <f t="shared" si="7"/>
        <v/>
      </c>
      <c r="M411" s="26" t="str">
        <f t="array" ref="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/>
      </c>
      <c r="N411" s="26" t="str">
        <f t="shared" si="8"/>
        <v/>
      </c>
      <c r="O411" s="26" t="str">
        <f t="shared" si="9"/>
        <v/>
      </c>
      <c r="P411" s="26" t="str">
        <f t="shared" si="10"/>
        <v/>
      </c>
      <c r="Q411" s="26" t="str">
        <f t="shared" si="11"/>
        <v/>
      </c>
      <c r="R411" s="26" t="str">
        <f t="shared" si="12"/>
        <v/>
      </c>
      <c r="S411" s="26" t="str">
        <f t="shared" si="13"/>
        <v/>
      </c>
      <c r="T411" s="26" t="str">
        <f t="shared" si="14"/>
        <v/>
      </c>
      <c r="U411" s="26" t="str">
        <f t="shared" si="15"/>
        <v/>
      </c>
      <c r="V411" s="26" t="str">
        <f t="shared" si="16"/>
        <v/>
      </c>
      <c r="W411" s="26" t="str">
        <f t="shared" si="17"/>
        <v/>
      </c>
      <c r="X411" s="26" t="str">
        <f t="shared" si="18"/>
        <v/>
      </c>
      <c r="Y411" s="26" t="str">
        <f t="shared" si="19"/>
        <v/>
      </c>
      <c r="Z411" s="31" t="str">
        <f t="shared" si="20"/>
        <v/>
      </c>
      <c r="AA411" s="31" t="str">
        <f>IF(D411="","",IF(H411&lt;=$B$16,1,IF(H411&gt;=$B$17,$B$21,MATCH(H411,Aux_CAV!$A$2:$A$121,1))))</f>
        <v/>
      </c>
      <c r="AB411" s="31" t="str">
        <f>IF(D411="","",IF(L411&lt;=$B$16,1,IF(L411&gt;=$B$17,$B$21,MATCH(L411,Aux_CAV!$A$2:$A$121,1))))</f>
        <v/>
      </c>
      <c r="AC411" s="3" t="str">
        <f t="shared" si="21"/>
        <v/>
      </c>
    </row>
    <row r="412" ht="12.75" customHeight="1">
      <c r="A412" s="25" t="str">
        <f t="shared" si="1"/>
        <v/>
      </c>
      <c r="B412" s="29" t="str">
        <f t="array" ref="B412">IF(D412="","",IFERROR(VALUE(INDEX(Vazoes_COLAR!$A$2:$A$200,INT((ROW()-24)/12)+1)),""))</f>
        <v/>
      </c>
      <c r="C412" s="29" t="str">
        <f t="shared" si="2"/>
        <v/>
      </c>
      <c r="D412" s="26" t="str">
        <f t="array" ref="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12" s="26" t="str">
        <f t="shared" si="3"/>
        <v/>
      </c>
      <c r="F412" s="26" t="str">
        <f t="array" ref="F412">IF(D412="","",IFERROR(INDEX(Dados_Evap!$C$2:$N$15,MATCH($B$9,Dados_Evap!$A$2:$A$15,0),C412),0))</f>
        <v/>
      </c>
      <c r="G412" s="26" t="str">
        <f t="shared" si="4"/>
        <v/>
      </c>
      <c r="H412" s="26" t="str">
        <f t="shared" si="22"/>
        <v/>
      </c>
      <c r="I412" s="26" t="str">
        <f t="array" ref="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/>
      </c>
      <c r="J412" s="26" t="str">
        <f t="shared" si="5"/>
        <v/>
      </c>
      <c r="K412" s="26" t="str">
        <f t="shared" si="6"/>
        <v/>
      </c>
      <c r="L412" s="26" t="str">
        <f t="shared" si="7"/>
        <v/>
      </c>
      <c r="M412" s="26" t="str">
        <f t="array" ref="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/>
      </c>
      <c r="N412" s="26" t="str">
        <f t="shared" si="8"/>
        <v/>
      </c>
      <c r="O412" s="26" t="str">
        <f t="shared" si="9"/>
        <v/>
      </c>
      <c r="P412" s="26" t="str">
        <f t="shared" si="10"/>
        <v/>
      </c>
      <c r="Q412" s="26" t="str">
        <f t="shared" si="11"/>
        <v/>
      </c>
      <c r="R412" s="26" t="str">
        <f t="shared" si="12"/>
        <v/>
      </c>
      <c r="S412" s="26" t="str">
        <f t="shared" si="13"/>
        <v/>
      </c>
      <c r="T412" s="26" t="str">
        <f t="shared" si="14"/>
        <v/>
      </c>
      <c r="U412" s="26" t="str">
        <f t="shared" si="15"/>
        <v/>
      </c>
      <c r="V412" s="26" t="str">
        <f t="shared" si="16"/>
        <v/>
      </c>
      <c r="W412" s="26" t="str">
        <f t="shared" si="17"/>
        <v/>
      </c>
      <c r="X412" s="26" t="str">
        <f t="shared" si="18"/>
        <v/>
      </c>
      <c r="Y412" s="26" t="str">
        <f t="shared" si="19"/>
        <v/>
      </c>
      <c r="Z412" s="31" t="str">
        <f t="shared" si="20"/>
        <v/>
      </c>
      <c r="AA412" s="31" t="str">
        <f>IF(D412="","",IF(H412&lt;=$B$16,1,IF(H412&gt;=$B$17,$B$21,MATCH(H412,Aux_CAV!$A$2:$A$121,1))))</f>
        <v/>
      </c>
      <c r="AB412" s="31" t="str">
        <f>IF(D412="","",IF(L412&lt;=$B$16,1,IF(L412&gt;=$B$17,$B$21,MATCH(L412,Aux_CAV!$A$2:$A$121,1))))</f>
        <v/>
      </c>
      <c r="AC412" s="3" t="str">
        <f t="shared" si="21"/>
        <v/>
      </c>
    </row>
    <row r="413" ht="12.75" customHeight="1">
      <c r="A413" s="25" t="str">
        <f t="shared" si="1"/>
        <v/>
      </c>
      <c r="B413" s="29" t="str">
        <f t="array" ref="B413">IF(D413="","",IFERROR(VALUE(INDEX(Vazoes_COLAR!$A$2:$A$200,INT((ROW()-24)/12)+1)),""))</f>
        <v/>
      </c>
      <c r="C413" s="29" t="str">
        <f t="shared" si="2"/>
        <v/>
      </c>
      <c r="D413" s="26" t="str">
        <f t="array" ref="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13" s="26" t="str">
        <f t="shared" si="3"/>
        <v/>
      </c>
      <c r="F413" s="26" t="str">
        <f t="array" ref="F413">IF(D413="","",IFERROR(INDEX(Dados_Evap!$C$2:$N$15,MATCH($B$9,Dados_Evap!$A$2:$A$15,0),C413),0))</f>
        <v/>
      </c>
      <c r="G413" s="26" t="str">
        <f t="shared" si="4"/>
        <v/>
      </c>
      <c r="H413" s="26" t="str">
        <f t="shared" si="22"/>
        <v/>
      </c>
      <c r="I413" s="26" t="str">
        <f t="array" ref="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/>
      </c>
      <c r="J413" s="26" t="str">
        <f t="shared" si="5"/>
        <v/>
      </c>
      <c r="K413" s="26" t="str">
        <f t="shared" si="6"/>
        <v/>
      </c>
      <c r="L413" s="26" t="str">
        <f t="shared" si="7"/>
        <v/>
      </c>
      <c r="M413" s="26" t="str">
        <f t="array" ref="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/>
      </c>
      <c r="N413" s="26" t="str">
        <f t="shared" si="8"/>
        <v/>
      </c>
      <c r="O413" s="26" t="str">
        <f t="shared" si="9"/>
        <v/>
      </c>
      <c r="P413" s="26" t="str">
        <f t="shared" si="10"/>
        <v/>
      </c>
      <c r="Q413" s="26" t="str">
        <f t="shared" si="11"/>
        <v/>
      </c>
      <c r="R413" s="26" t="str">
        <f t="shared" si="12"/>
        <v/>
      </c>
      <c r="S413" s="26" t="str">
        <f t="shared" si="13"/>
        <v/>
      </c>
      <c r="T413" s="26" t="str">
        <f t="shared" si="14"/>
        <v/>
      </c>
      <c r="U413" s="26" t="str">
        <f t="shared" si="15"/>
        <v/>
      </c>
      <c r="V413" s="26" t="str">
        <f t="shared" si="16"/>
        <v/>
      </c>
      <c r="W413" s="26" t="str">
        <f t="shared" si="17"/>
        <v/>
      </c>
      <c r="X413" s="26" t="str">
        <f t="shared" si="18"/>
        <v/>
      </c>
      <c r="Y413" s="26" t="str">
        <f t="shared" si="19"/>
        <v/>
      </c>
      <c r="Z413" s="31" t="str">
        <f t="shared" si="20"/>
        <v/>
      </c>
      <c r="AA413" s="31" t="str">
        <f>IF(D413="","",IF(H413&lt;=$B$16,1,IF(H413&gt;=$B$17,$B$21,MATCH(H413,Aux_CAV!$A$2:$A$121,1))))</f>
        <v/>
      </c>
      <c r="AB413" s="31" t="str">
        <f>IF(D413="","",IF(L413&lt;=$B$16,1,IF(L413&gt;=$B$17,$B$21,MATCH(L413,Aux_CAV!$A$2:$A$121,1))))</f>
        <v/>
      </c>
      <c r="AC413" s="3" t="str">
        <f t="shared" si="21"/>
        <v/>
      </c>
    </row>
    <row r="414" ht="12.75" customHeight="1">
      <c r="A414" s="25" t="str">
        <f t="shared" si="1"/>
        <v/>
      </c>
      <c r="B414" s="29" t="str">
        <f t="array" ref="B414">IF(D414="","",IFERROR(VALUE(INDEX(Vazoes_COLAR!$A$2:$A$200,INT((ROW()-24)/12)+1)),""))</f>
        <v/>
      </c>
      <c r="C414" s="29" t="str">
        <f t="shared" si="2"/>
        <v/>
      </c>
      <c r="D414" s="26" t="str">
        <f t="array" ref="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14" s="26" t="str">
        <f t="shared" si="3"/>
        <v/>
      </c>
      <c r="F414" s="26" t="str">
        <f t="array" ref="F414">IF(D414="","",IFERROR(INDEX(Dados_Evap!$C$2:$N$15,MATCH($B$9,Dados_Evap!$A$2:$A$15,0),C414),0))</f>
        <v/>
      </c>
      <c r="G414" s="26" t="str">
        <f t="shared" si="4"/>
        <v/>
      </c>
      <c r="H414" s="26" t="str">
        <f t="shared" si="22"/>
        <v/>
      </c>
      <c r="I414" s="26" t="str">
        <f t="array" ref="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/>
      </c>
      <c r="J414" s="26" t="str">
        <f t="shared" si="5"/>
        <v/>
      </c>
      <c r="K414" s="26" t="str">
        <f t="shared" si="6"/>
        <v/>
      </c>
      <c r="L414" s="26" t="str">
        <f t="shared" si="7"/>
        <v/>
      </c>
      <c r="M414" s="26" t="str">
        <f t="array" ref="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/>
      </c>
      <c r="N414" s="26" t="str">
        <f t="shared" si="8"/>
        <v/>
      </c>
      <c r="O414" s="26" t="str">
        <f t="shared" si="9"/>
        <v/>
      </c>
      <c r="P414" s="26" t="str">
        <f t="shared" si="10"/>
        <v/>
      </c>
      <c r="Q414" s="26" t="str">
        <f t="shared" si="11"/>
        <v/>
      </c>
      <c r="R414" s="26" t="str">
        <f t="shared" si="12"/>
        <v/>
      </c>
      <c r="S414" s="26" t="str">
        <f t="shared" si="13"/>
        <v/>
      </c>
      <c r="T414" s="26" t="str">
        <f t="shared" si="14"/>
        <v/>
      </c>
      <c r="U414" s="26" t="str">
        <f t="shared" si="15"/>
        <v/>
      </c>
      <c r="V414" s="26" t="str">
        <f t="shared" si="16"/>
        <v/>
      </c>
      <c r="W414" s="26" t="str">
        <f t="shared" si="17"/>
        <v/>
      </c>
      <c r="X414" s="26" t="str">
        <f t="shared" si="18"/>
        <v/>
      </c>
      <c r="Y414" s="26" t="str">
        <f t="shared" si="19"/>
        <v/>
      </c>
      <c r="Z414" s="31" t="str">
        <f t="shared" si="20"/>
        <v/>
      </c>
      <c r="AA414" s="31" t="str">
        <f>IF(D414="","",IF(H414&lt;=$B$16,1,IF(H414&gt;=$B$17,$B$21,MATCH(H414,Aux_CAV!$A$2:$A$121,1))))</f>
        <v/>
      </c>
      <c r="AB414" s="31" t="str">
        <f>IF(D414="","",IF(L414&lt;=$B$16,1,IF(L414&gt;=$B$17,$B$21,MATCH(L414,Aux_CAV!$A$2:$A$121,1))))</f>
        <v/>
      </c>
      <c r="AC414" s="3" t="str">
        <f t="shared" si="21"/>
        <v/>
      </c>
    </row>
    <row r="415" ht="12.75" customHeight="1">
      <c r="A415" s="25" t="str">
        <f t="shared" si="1"/>
        <v/>
      </c>
      <c r="B415" s="29" t="str">
        <f t="array" ref="B415">IF(D415="","",IFERROR(VALUE(INDEX(Vazoes_COLAR!$A$2:$A$200,INT((ROW()-24)/12)+1)),""))</f>
        <v/>
      </c>
      <c r="C415" s="29" t="str">
        <f t="shared" si="2"/>
        <v/>
      </c>
      <c r="D415" s="26" t="str">
        <f t="array" ref="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15" s="26" t="str">
        <f t="shared" si="3"/>
        <v/>
      </c>
      <c r="F415" s="26" t="str">
        <f t="array" ref="F415">IF(D415="","",IFERROR(INDEX(Dados_Evap!$C$2:$N$15,MATCH($B$9,Dados_Evap!$A$2:$A$15,0),C415),0))</f>
        <v/>
      </c>
      <c r="G415" s="26" t="str">
        <f t="shared" si="4"/>
        <v/>
      </c>
      <c r="H415" s="26" t="str">
        <f t="shared" si="22"/>
        <v/>
      </c>
      <c r="I415" s="26" t="str">
        <f t="array" ref="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/>
      </c>
      <c r="J415" s="26" t="str">
        <f t="shared" si="5"/>
        <v/>
      </c>
      <c r="K415" s="26" t="str">
        <f t="shared" si="6"/>
        <v/>
      </c>
      <c r="L415" s="26" t="str">
        <f t="shared" si="7"/>
        <v/>
      </c>
      <c r="M415" s="26" t="str">
        <f t="array" ref="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/>
      </c>
      <c r="N415" s="26" t="str">
        <f t="shared" si="8"/>
        <v/>
      </c>
      <c r="O415" s="26" t="str">
        <f t="shared" si="9"/>
        <v/>
      </c>
      <c r="P415" s="26" t="str">
        <f t="shared" si="10"/>
        <v/>
      </c>
      <c r="Q415" s="26" t="str">
        <f t="shared" si="11"/>
        <v/>
      </c>
      <c r="R415" s="26" t="str">
        <f t="shared" si="12"/>
        <v/>
      </c>
      <c r="S415" s="26" t="str">
        <f t="shared" si="13"/>
        <v/>
      </c>
      <c r="T415" s="26" t="str">
        <f t="shared" si="14"/>
        <v/>
      </c>
      <c r="U415" s="26" t="str">
        <f t="shared" si="15"/>
        <v/>
      </c>
      <c r="V415" s="26" t="str">
        <f t="shared" si="16"/>
        <v/>
      </c>
      <c r="W415" s="26" t="str">
        <f t="shared" si="17"/>
        <v/>
      </c>
      <c r="X415" s="26" t="str">
        <f t="shared" si="18"/>
        <v/>
      </c>
      <c r="Y415" s="26" t="str">
        <f t="shared" si="19"/>
        <v/>
      </c>
      <c r="Z415" s="31" t="str">
        <f t="shared" si="20"/>
        <v/>
      </c>
      <c r="AA415" s="31" t="str">
        <f>IF(D415="","",IF(H415&lt;=$B$16,1,IF(H415&gt;=$B$17,$B$21,MATCH(H415,Aux_CAV!$A$2:$A$121,1))))</f>
        <v/>
      </c>
      <c r="AB415" s="31" t="str">
        <f>IF(D415="","",IF(L415&lt;=$B$16,1,IF(L415&gt;=$B$17,$B$21,MATCH(L415,Aux_CAV!$A$2:$A$121,1))))</f>
        <v/>
      </c>
      <c r="AC415" s="3" t="str">
        <f t="shared" si="21"/>
        <v/>
      </c>
    </row>
    <row r="416" ht="12.75" customHeight="1">
      <c r="A416" s="25" t="str">
        <f t="shared" si="1"/>
        <v/>
      </c>
      <c r="B416" s="29" t="str">
        <f t="array" ref="B416">IF(D416="","",IFERROR(VALUE(INDEX(Vazoes_COLAR!$A$2:$A$200,INT((ROW()-24)/12)+1)),""))</f>
        <v/>
      </c>
      <c r="C416" s="29" t="str">
        <f t="shared" si="2"/>
        <v/>
      </c>
      <c r="D416" s="26" t="str">
        <f t="array" ref="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16" s="26" t="str">
        <f t="shared" si="3"/>
        <v/>
      </c>
      <c r="F416" s="26" t="str">
        <f t="array" ref="F416">IF(D416="","",IFERROR(INDEX(Dados_Evap!$C$2:$N$15,MATCH($B$9,Dados_Evap!$A$2:$A$15,0),C416),0))</f>
        <v/>
      </c>
      <c r="G416" s="26" t="str">
        <f t="shared" si="4"/>
        <v/>
      </c>
      <c r="H416" s="26" t="str">
        <f t="shared" si="22"/>
        <v/>
      </c>
      <c r="I416" s="26" t="str">
        <f t="array" ref="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/>
      </c>
      <c r="J416" s="26" t="str">
        <f t="shared" si="5"/>
        <v/>
      </c>
      <c r="K416" s="26" t="str">
        <f t="shared" si="6"/>
        <v/>
      </c>
      <c r="L416" s="26" t="str">
        <f t="shared" si="7"/>
        <v/>
      </c>
      <c r="M416" s="26" t="str">
        <f t="array" ref="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/>
      </c>
      <c r="N416" s="26" t="str">
        <f t="shared" si="8"/>
        <v/>
      </c>
      <c r="O416" s="26" t="str">
        <f t="shared" si="9"/>
        <v/>
      </c>
      <c r="P416" s="26" t="str">
        <f t="shared" si="10"/>
        <v/>
      </c>
      <c r="Q416" s="26" t="str">
        <f t="shared" si="11"/>
        <v/>
      </c>
      <c r="R416" s="26" t="str">
        <f t="shared" si="12"/>
        <v/>
      </c>
      <c r="S416" s="26" t="str">
        <f t="shared" si="13"/>
        <v/>
      </c>
      <c r="T416" s="26" t="str">
        <f t="shared" si="14"/>
        <v/>
      </c>
      <c r="U416" s="26" t="str">
        <f t="shared" si="15"/>
        <v/>
      </c>
      <c r="V416" s="26" t="str">
        <f t="shared" si="16"/>
        <v/>
      </c>
      <c r="W416" s="26" t="str">
        <f t="shared" si="17"/>
        <v/>
      </c>
      <c r="X416" s="26" t="str">
        <f t="shared" si="18"/>
        <v/>
      </c>
      <c r="Y416" s="26" t="str">
        <f t="shared" si="19"/>
        <v/>
      </c>
      <c r="Z416" s="31" t="str">
        <f t="shared" si="20"/>
        <v/>
      </c>
      <c r="AA416" s="31" t="str">
        <f>IF(D416="","",IF(H416&lt;=$B$16,1,IF(H416&gt;=$B$17,$B$21,MATCH(H416,Aux_CAV!$A$2:$A$121,1))))</f>
        <v/>
      </c>
      <c r="AB416" s="31" t="str">
        <f>IF(D416="","",IF(L416&lt;=$B$16,1,IF(L416&gt;=$B$17,$B$21,MATCH(L416,Aux_CAV!$A$2:$A$121,1))))</f>
        <v/>
      </c>
      <c r="AC416" s="3" t="str">
        <f t="shared" si="21"/>
        <v/>
      </c>
    </row>
    <row r="417" ht="12.75" customHeight="1">
      <c r="A417" s="25" t="str">
        <f t="shared" si="1"/>
        <v/>
      </c>
      <c r="B417" s="29" t="str">
        <f t="array" ref="B417">IF(D417="","",IFERROR(VALUE(INDEX(Vazoes_COLAR!$A$2:$A$200,INT((ROW()-24)/12)+1)),""))</f>
        <v/>
      </c>
      <c r="C417" s="29" t="str">
        <f t="shared" si="2"/>
        <v/>
      </c>
      <c r="D417" s="26" t="str">
        <f t="array" ref="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17" s="26" t="str">
        <f t="shared" si="3"/>
        <v/>
      </c>
      <c r="F417" s="26" t="str">
        <f t="array" ref="F417">IF(D417="","",IFERROR(INDEX(Dados_Evap!$C$2:$N$15,MATCH($B$9,Dados_Evap!$A$2:$A$15,0),C417),0))</f>
        <v/>
      </c>
      <c r="G417" s="26" t="str">
        <f t="shared" si="4"/>
        <v/>
      </c>
      <c r="H417" s="26" t="str">
        <f t="shared" si="22"/>
        <v/>
      </c>
      <c r="I417" s="26" t="str">
        <f t="array" ref="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/>
      </c>
      <c r="J417" s="26" t="str">
        <f t="shared" si="5"/>
        <v/>
      </c>
      <c r="K417" s="26" t="str">
        <f t="shared" si="6"/>
        <v/>
      </c>
      <c r="L417" s="26" t="str">
        <f t="shared" si="7"/>
        <v/>
      </c>
      <c r="M417" s="26" t="str">
        <f t="array" ref="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/>
      </c>
      <c r="N417" s="26" t="str">
        <f t="shared" si="8"/>
        <v/>
      </c>
      <c r="O417" s="26" t="str">
        <f t="shared" si="9"/>
        <v/>
      </c>
      <c r="P417" s="26" t="str">
        <f t="shared" si="10"/>
        <v/>
      </c>
      <c r="Q417" s="26" t="str">
        <f t="shared" si="11"/>
        <v/>
      </c>
      <c r="R417" s="26" t="str">
        <f t="shared" si="12"/>
        <v/>
      </c>
      <c r="S417" s="26" t="str">
        <f t="shared" si="13"/>
        <v/>
      </c>
      <c r="T417" s="26" t="str">
        <f t="shared" si="14"/>
        <v/>
      </c>
      <c r="U417" s="26" t="str">
        <f t="shared" si="15"/>
        <v/>
      </c>
      <c r="V417" s="26" t="str">
        <f t="shared" si="16"/>
        <v/>
      </c>
      <c r="W417" s="26" t="str">
        <f t="shared" si="17"/>
        <v/>
      </c>
      <c r="X417" s="26" t="str">
        <f t="shared" si="18"/>
        <v/>
      </c>
      <c r="Y417" s="26" t="str">
        <f t="shared" si="19"/>
        <v/>
      </c>
      <c r="Z417" s="31" t="str">
        <f t="shared" si="20"/>
        <v/>
      </c>
      <c r="AA417" s="31" t="str">
        <f>IF(D417="","",IF(H417&lt;=$B$16,1,IF(H417&gt;=$B$17,$B$21,MATCH(H417,Aux_CAV!$A$2:$A$121,1))))</f>
        <v/>
      </c>
      <c r="AB417" s="31" t="str">
        <f>IF(D417="","",IF(L417&lt;=$B$16,1,IF(L417&gt;=$B$17,$B$21,MATCH(L417,Aux_CAV!$A$2:$A$121,1))))</f>
        <v/>
      </c>
      <c r="AC417" s="3" t="str">
        <f t="shared" si="21"/>
        <v/>
      </c>
    </row>
    <row r="418" ht="12.75" customHeight="1">
      <c r="A418" s="25" t="str">
        <f t="shared" si="1"/>
        <v/>
      </c>
      <c r="B418" s="29" t="str">
        <f t="array" ref="B418">IF(D418="","",IFERROR(VALUE(INDEX(Vazoes_COLAR!$A$2:$A$200,INT((ROW()-24)/12)+1)),""))</f>
        <v/>
      </c>
      <c r="C418" s="29" t="str">
        <f t="shared" si="2"/>
        <v/>
      </c>
      <c r="D418" s="26" t="str">
        <f t="array" ref="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18" s="26" t="str">
        <f t="shared" si="3"/>
        <v/>
      </c>
      <c r="F418" s="26" t="str">
        <f t="array" ref="F418">IF(D418="","",IFERROR(INDEX(Dados_Evap!$C$2:$N$15,MATCH($B$9,Dados_Evap!$A$2:$A$15,0),C418),0))</f>
        <v/>
      </c>
      <c r="G418" s="26" t="str">
        <f t="shared" si="4"/>
        <v/>
      </c>
      <c r="H418" s="26" t="str">
        <f t="shared" si="22"/>
        <v/>
      </c>
      <c r="I418" s="26" t="str">
        <f t="array" ref="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/>
      </c>
      <c r="J418" s="26" t="str">
        <f t="shared" si="5"/>
        <v/>
      </c>
      <c r="K418" s="26" t="str">
        <f t="shared" si="6"/>
        <v/>
      </c>
      <c r="L418" s="26" t="str">
        <f t="shared" si="7"/>
        <v/>
      </c>
      <c r="M418" s="26" t="str">
        <f t="array" ref="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/>
      </c>
      <c r="N418" s="26" t="str">
        <f t="shared" si="8"/>
        <v/>
      </c>
      <c r="O418" s="26" t="str">
        <f t="shared" si="9"/>
        <v/>
      </c>
      <c r="P418" s="26" t="str">
        <f t="shared" si="10"/>
        <v/>
      </c>
      <c r="Q418" s="26" t="str">
        <f t="shared" si="11"/>
        <v/>
      </c>
      <c r="R418" s="26" t="str">
        <f t="shared" si="12"/>
        <v/>
      </c>
      <c r="S418" s="26" t="str">
        <f t="shared" si="13"/>
        <v/>
      </c>
      <c r="T418" s="26" t="str">
        <f t="shared" si="14"/>
        <v/>
      </c>
      <c r="U418" s="26" t="str">
        <f t="shared" si="15"/>
        <v/>
      </c>
      <c r="V418" s="26" t="str">
        <f t="shared" si="16"/>
        <v/>
      </c>
      <c r="W418" s="26" t="str">
        <f t="shared" si="17"/>
        <v/>
      </c>
      <c r="X418" s="26" t="str">
        <f t="shared" si="18"/>
        <v/>
      </c>
      <c r="Y418" s="26" t="str">
        <f t="shared" si="19"/>
        <v/>
      </c>
      <c r="Z418" s="31" t="str">
        <f t="shared" si="20"/>
        <v/>
      </c>
      <c r="AA418" s="31" t="str">
        <f>IF(D418="","",IF(H418&lt;=$B$16,1,IF(H418&gt;=$B$17,$B$21,MATCH(H418,Aux_CAV!$A$2:$A$121,1))))</f>
        <v/>
      </c>
      <c r="AB418" s="31" t="str">
        <f>IF(D418="","",IF(L418&lt;=$B$16,1,IF(L418&gt;=$B$17,$B$21,MATCH(L418,Aux_CAV!$A$2:$A$121,1))))</f>
        <v/>
      </c>
      <c r="AC418" s="3" t="str">
        <f t="shared" si="21"/>
        <v/>
      </c>
    </row>
    <row r="419" ht="12.75" customHeight="1">
      <c r="A419" s="25" t="str">
        <f t="shared" si="1"/>
        <v/>
      </c>
      <c r="B419" s="29" t="str">
        <f t="array" ref="B419">IF(D419="","",IFERROR(VALUE(INDEX(Vazoes_COLAR!$A$2:$A$200,INT((ROW()-24)/12)+1)),""))</f>
        <v/>
      </c>
      <c r="C419" s="29" t="str">
        <f t="shared" si="2"/>
        <v/>
      </c>
      <c r="D419" s="26" t="str">
        <f t="array" ref="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19" s="26" t="str">
        <f t="shared" si="3"/>
        <v/>
      </c>
      <c r="F419" s="26" t="str">
        <f t="array" ref="F419">IF(D419="","",IFERROR(INDEX(Dados_Evap!$C$2:$N$15,MATCH($B$9,Dados_Evap!$A$2:$A$15,0),C419),0))</f>
        <v/>
      </c>
      <c r="G419" s="26" t="str">
        <f t="shared" si="4"/>
        <v/>
      </c>
      <c r="H419" s="26" t="str">
        <f t="shared" si="22"/>
        <v/>
      </c>
      <c r="I419" s="26" t="str">
        <f t="array" ref="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/>
      </c>
      <c r="J419" s="26" t="str">
        <f t="shared" si="5"/>
        <v/>
      </c>
      <c r="K419" s="26" t="str">
        <f t="shared" si="6"/>
        <v/>
      </c>
      <c r="L419" s="26" t="str">
        <f t="shared" si="7"/>
        <v/>
      </c>
      <c r="M419" s="26" t="str">
        <f t="array" ref="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/>
      </c>
      <c r="N419" s="26" t="str">
        <f t="shared" si="8"/>
        <v/>
      </c>
      <c r="O419" s="26" t="str">
        <f t="shared" si="9"/>
        <v/>
      </c>
      <c r="P419" s="26" t="str">
        <f t="shared" si="10"/>
        <v/>
      </c>
      <c r="Q419" s="26" t="str">
        <f t="shared" si="11"/>
        <v/>
      </c>
      <c r="R419" s="26" t="str">
        <f t="shared" si="12"/>
        <v/>
      </c>
      <c r="S419" s="26" t="str">
        <f t="shared" si="13"/>
        <v/>
      </c>
      <c r="T419" s="26" t="str">
        <f t="shared" si="14"/>
        <v/>
      </c>
      <c r="U419" s="26" t="str">
        <f t="shared" si="15"/>
        <v/>
      </c>
      <c r="V419" s="26" t="str">
        <f t="shared" si="16"/>
        <v/>
      </c>
      <c r="W419" s="26" t="str">
        <f t="shared" si="17"/>
        <v/>
      </c>
      <c r="X419" s="26" t="str">
        <f t="shared" si="18"/>
        <v/>
      </c>
      <c r="Y419" s="26" t="str">
        <f t="shared" si="19"/>
        <v/>
      </c>
      <c r="Z419" s="31" t="str">
        <f t="shared" si="20"/>
        <v/>
      </c>
      <c r="AA419" s="31" t="str">
        <f>IF(D419="","",IF(H419&lt;=$B$16,1,IF(H419&gt;=$B$17,$B$21,MATCH(H419,Aux_CAV!$A$2:$A$121,1))))</f>
        <v/>
      </c>
      <c r="AB419" s="31" t="str">
        <f>IF(D419="","",IF(L419&lt;=$B$16,1,IF(L419&gt;=$B$17,$B$21,MATCH(L419,Aux_CAV!$A$2:$A$121,1))))</f>
        <v/>
      </c>
      <c r="AC419" s="3" t="str">
        <f t="shared" si="21"/>
        <v/>
      </c>
    </row>
    <row r="420" ht="12.75" customHeight="1">
      <c r="A420" s="25" t="str">
        <f t="shared" si="1"/>
        <v/>
      </c>
      <c r="B420" s="29" t="str">
        <f t="array" ref="B420">IF(D420="","",IFERROR(VALUE(INDEX(Vazoes_COLAR!$A$2:$A$200,INT((ROW()-24)/12)+1)),""))</f>
        <v/>
      </c>
      <c r="C420" s="29" t="str">
        <f t="shared" si="2"/>
        <v/>
      </c>
      <c r="D420" s="26" t="str">
        <f t="array" ref="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20" s="26" t="str">
        <f t="shared" si="3"/>
        <v/>
      </c>
      <c r="F420" s="26" t="str">
        <f t="array" ref="F420">IF(D420="","",IFERROR(INDEX(Dados_Evap!$C$2:$N$15,MATCH($B$9,Dados_Evap!$A$2:$A$15,0),C420),0))</f>
        <v/>
      </c>
      <c r="G420" s="26" t="str">
        <f t="shared" si="4"/>
        <v/>
      </c>
      <c r="H420" s="26" t="str">
        <f t="shared" si="22"/>
        <v/>
      </c>
      <c r="I420" s="26" t="str">
        <f t="array" ref="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/>
      </c>
      <c r="J420" s="26" t="str">
        <f t="shared" si="5"/>
        <v/>
      </c>
      <c r="K420" s="26" t="str">
        <f t="shared" si="6"/>
        <v/>
      </c>
      <c r="L420" s="26" t="str">
        <f t="shared" si="7"/>
        <v/>
      </c>
      <c r="M420" s="26" t="str">
        <f t="array" ref="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/>
      </c>
      <c r="N420" s="26" t="str">
        <f t="shared" si="8"/>
        <v/>
      </c>
      <c r="O420" s="26" t="str">
        <f t="shared" si="9"/>
        <v/>
      </c>
      <c r="P420" s="26" t="str">
        <f t="shared" si="10"/>
        <v/>
      </c>
      <c r="Q420" s="26" t="str">
        <f t="shared" si="11"/>
        <v/>
      </c>
      <c r="R420" s="26" t="str">
        <f t="shared" si="12"/>
        <v/>
      </c>
      <c r="S420" s="26" t="str">
        <f t="shared" si="13"/>
        <v/>
      </c>
      <c r="T420" s="26" t="str">
        <f t="shared" si="14"/>
        <v/>
      </c>
      <c r="U420" s="26" t="str">
        <f t="shared" si="15"/>
        <v/>
      </c>
      <c r="V420" s="26" t="str">
        <f t="shared" si="16"/>
        <v/>
      </c>
      <c r="W420" s="26" t="str">
        <f t="shared" si="17"/>
        <v/>
      </c>
      <c r="X420" s="26" t="str">
        <f t="shared" si="18"/>
        <v/>
      </c>
      <c r="Y420" s="26" t="str">
        <f t="shared" si="19"/>
        <v/>
      </c>
      <c r="Z420" s="31" t="str">
        <f t="shared" si="20"/>
        <v/>
      </c>
      <c r="AA420" s="31" t="str">
        <f>IF(D420="","",IF(H420&lt;=$B$16,1,IF(H420&gt;=$B$17,$B$21,MATCH(H420,Aux_CAV!$A$2:$A$121,1))))</f>
        <v/>
      </c>
      <c r="AB420" s="31" t="str">
        <f>IF(D420="","",IF(L420&lt;=$B$16,1,IF(L420&gt;=$B$17,$B$21,MATCH(L420,Aux_CAV!$A$2:$A$121,1))))</f>
        <v/>
      </c>
      <c r="AC420" s="3" t="str">
        <f t="shared" si="21"/>
        <v/>
      </c>
    </row>
    <row r="421" ht="12.75" customHeight="1">
      <c r="A421" s="25" t="str">
        <f t="shared" si="1"/>
        <v/>
      </c>
      <c r="B421" s="29" t="str">
        <f t="array" ref="B421">IF(D421="","",IFERROR(VALUE(INDEX(Vazoes_COLAR!$A$2:$A$200,INT((ROW()-24)/12)+1)),""))</f>
        <v/>
      </c>
      <c r="C421" s="29" t="str">
        <f t="shared" si="2"/>
        <v/>
      </c>
      <c r="D421" s="26" t="str">
        <f t="array" ref="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21" s="26" t="str">
        <f t="shared" si="3"/>
        <v/>
      </c>
      <c r="F421" s="26" t="str">
        <f t="array" ref="F421">IF(D421="","",IFERROR(INDEX(Dados_Evap!$C$2:$N$15,MATCH($B$9,Dados_Evap!$A$2:$A$15,0),C421),0))</f>
        <v/>
      </c>
      <c r="G421" s="26" t="str">
        <f t="shared" si="4"/>
        <v/>
      </c>
      <c r="H421" s="26" t="str">
        <f t="shared" si="22"/>
        <v/>
      </c>
      <c r="I421" s="26" t="str">
        <f t="array" ref="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/>
      </c>
      <c r="J421" s="26" t="str">
        <f t="shared" si="5"/>
        <v/>
      </c>
      <c r="K421" s="26" t="str">
        <f t="shared" si="6"/>
        <v/>
      </c>
      <c r="L421" s="26" t="str">
        <f t="shared" si="7"/>
        <v/>
      </c>
      <c r="M421" s="26" t="str">
        <f t="array" ref="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/>
      </c>
      <c r="N421" s="26" t="str">
        <f t="shared" si="8"/>
        <v/>
      </c>
      <c r="O421" s="26" t="str">
        <f t="shared" si="9"/>
        <v/>
      </c>
      <c r="P421" s="26" t="str">
        <f t="shared" si="10"/>
        <v/>
      </c>
      <c r="Q421" s="26" t="str">
        <f t="shared" si="11"/>
        <v/>
      </c>
      <c r="R421" s="26" t="str">
        <f t="shared" si="12"/>
        <v/>
      </c>
      <c r="S421" s="26" t="str">
        <f t="shared" si="13"/>
        <v/>
      </c>
      <c r="T421" s="26" t="str">
        <f t="shared" si="14"/>
        <v/>
      </c>
      <c r="U421" s="26" t="str">
        <f t="shared" si="15"/>
        <v/>
      </c>
      <c r="V421" s="26" t="str">
        <f t="shared" si="16"/>
        <v/>
      </c>
      <c r="W421" s="26" t="str">
        <f t="shared" si="17"/>
        <v/>
      </c>
      <c r="X421" s="26" t="str">
        <f t="shared" si="18"/>
        <v/>
      </c>
      <c r="Y421" s="26" t="str">
        <f t="shared" si="19"/>
        <v/>
      </c>
      <c r="Z421" s="31" t="str">
        <f t="shared" si="20"/>
        <v/>
      </c>
      <c r="AA421" s="31" t="str">
        <f>IF(D421="","",IF(H421&lt;=$B$16,1,IF(H421&gt;=$B$17,$B$21,MATCH(H421,Aux_CAV!$A$2:$A$121,1))))</f>
        <v/>
      </c>
      <c r="AB421" s="31" t="str">
        <f>IF(D421="","",IF(L421&lt;=$B$16,1,IF(L421&gt;=$B$17,$B$21,MATCH(L421,Aux_CAV!$A$2:$A$121,1))))</f>
        <v/>
      </c>
      <c r="AC421" s="3" t="str">
        <f t="shared" si="21"/>
        <v/>
      </c>
    </row>
    <row r="422" ht="12.75" customHeight="1">
      <c r="A422" s="25" t="str">
        <f t="shared" si="1"/>
        <v/>
      </c>
      <c r="B422" s="29" t="str">
        <f t="array" ref="B422">IF(D422="","",IFERROR(VALUE(INDEX(Vazoes_COLAR!$A$2:$A$200,INT((ROW()-24)/12)+1)),""))</f>
        <v/>
      </c>
      <c r="C422" s="29" t="str">
        <f t="shared" si="2"/>
        <v/>
      </c>
      <c r="D422" s="26" t="str">
        <f t="array" ref="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22" s="26" t="str">
        <f t="shared" si="3"/>
        <v/>
      </c>
      <c r="F422" s="26" t="str">
        <f t="array" ref="F422">IF(D422="","",IFERROR(INDEX(Dados_Evap!$C$2:$N$15,MATCH($B$9,Dados_Evap!$A$2:$A$15,0),C422),0))</f>
        <v/>
      </c>
      <c r="G422" s="26" t="str">
        <f t="shared" si="4"/>
        <v/>
      </c>
      <c r="H422" s="26" t="str">
        <f t="shared" si="22"/>
        <v/>
      </c>
      <c r="I422" s="26" t="str">
        <f t="array" ref="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/>
      </c>
      <c r="J422" s="26" t="str">
        <f t="shared" si="5"/>
        <v/>
      </c>
      <c r="K422" s="26" t="str">
        <f t="shared" si="6"/>
        <v/>
      </c>
      <c r="L422" s="26" t="str">
        <f t="shared" si="7"/>
        <v/>
      </c>
      <c r="M422" s="26" t="str">
        <f t="array" ref="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/>
      </c>
      <c r="N422" s="26" t="str">
        <f t="shared" si="8"/>
        <v/>
      </c>
      <c r="O422" s="26" t="str">
        <f t="shared" si="9"/>
        <v/>
      </c>
      <c r="P422" s="26" t="str">
        <f t="shared" si="10"/>
        <v/>
      </c>
      <c r="Q422" s="26" t="str">
        <f t="shared" si="11"/>
        <v/>
      </c>
      <c r="R422" s="26" t="str">
        <f t="shared" si="12"/>
        <v/>
      </c>
      <c r="S422" s="26" t="str">
        <f t="shared" si="13"/>
        <v/>
      </c>
      <c r="T422" s="26" t="str">
        <f t="shared" si="14"/>
        <v/>
      </c>
      <c r="U422" s="26" t="str">
        <f t="shared" si="15"/>
        <v/>
      </c>
      <c r="V422" s="26" t="str">
        <f t="shared" si="16"/>
        <v/>
      </c>
      <c r="W422" s="26" t="str">
        <f t="shared" si="17"/>
        <v/>
      </c>
      <c r="X422" s="26" t="str">
        <f t="shared" si="18"/>
        <v/>
      </c>
      <c r="Y422" s="26" t="str">
        <f t="shared" si="19"/>
        <v/>
      </c>
      <c r="Z422" s="31" t="str">
        <f t="shared" si="20"/>
        <v/>
      </c>
      <c r="AA422" s="31" t="str">
        <f>IF(D422="","",IF(H422&lt;=$B$16,1,IF(H422&gt;=$B$17,$B$21,MATCH(H422,Aux_CAV!$A$2:$A$121,1))))</f>
        <v/>
      </c>
      <c r="AB422" s="31" t="str">
        <f>IF(D422="","",IF(L422&lt;=$B$16,1,IF(L422&gt;=$B$17,$B$21,MATCH(L422,Aux_CAV!$A$2:$A$121,1))))</f>
        <v/>
      </c>
      <c r="AC422" s="3" t="str">
        <f t="shared" si="21"/>
        <v/>
      </c>
    </row>
    <row r="423" ht="12.75" customHeight="1">
      <c r="A423" s="25" t="str">
        <f t="shared" si="1"/>
        <v/>
      </c>
      <c r="B423" s="29" t="str">
        <f t="array" ref="B423">IF(D423="","",IFERROR(VALUE(INDEX(Vazoes_COLAR!$A$2:$A$200,INT((ROW()-24)/12)+1)),""))</f>
        <v/>
      </c>
      <c r="C423" s="29" t="str">
        <f t="shared" si="2"/>
        <v/>
      </c>
      <c r="D423" s="26" t="str">
        <f t="array" ref="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23" s="26" t="str">
        <f t="shared" si="3"/>
        <v/>
      </c>
      <c r="F423" s="26" t="str">
        <f t="array" ref="F423">IF(D423="","",IFERROR(INDEX(Dados_Evap!$C$2:$N$15,MATCH($B$9,Dados_Evap!$A$2:$A$15,0),C423),0))</f>
        <v/>
      </c>
      <c r="G423" s="26" t="str">
        <f t="shared" si="4"/>
        <v/>
      </c>
      <c r="H423" s="26" t="str">
        <f t="shared" si="22"/>
        <v/>
      </c>
      <c r="I423" s="26" t="str">
        <f t="array" ref="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/>
      </c>
      <c r="J423" s="26" t="str">
        <f t="shared" si="5"/>
        <v/>
      </c>
      <c r="K423" s="26" t="str">
        <f t="shared" si="6"/>
        <v/>
      </c>
      <c r="L423" s="26" t="str">
        <f t="shared" si="7"/>
        <v/>
      </c>
      <c r="M423" s="26" t="str">
        <f t="array" ref="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/>
      </c>
      <c r="N423" s="26" t="str">
        <f t="shared" si="8"/>
        <v/>
      </c>
      <c r="O423" s="26" t="str">
        <f t="shared" si="9"/>
        <v/>
      </c>
      <c r="P423" s="26" t="str">
        <f t="shared" si="10"/>
        <v/>
      </c>
      <c r="Q423" s="26" t="str">
        <f t="shared" si="11"/>
        <v/>
      </c>
      <c r="R423" s="26" t="str">
        <f t="shared" si="12"/>
        <v/>
      </c>
      <c r="S423" s="26" t="str">
        <f t="shared" si="13"/>
        <v/>
      </c>
      <c r="T423" s="26" t="str">
        <f t="shared" si="14"/>
        <v/>
      </c>
      <c r="U423" s="26" t="str">
        <f t="shared" si="15"/>
        <v/>
      </c>
      <c r="V423" s="26" t="str">
        <f t="shared" si="16"/>
        <v/>
      </c>
      <c r="W423" s="26" t="str">
        <f t="shared" si="17"/>
        <v/>
      </c>
      <c r="X423" s="26" t="str">
        <f t="shared" si="18"/>
        <v/>
      </c>
      <c r="Y423" s="26" t="str">
        <f t="shared" si="19"/>
        <v/>
      </c>
      <c r="Z423" s="31" t="str">
        <f t="shared" si="20"/>
        <v/>
      </c>
      <c r="AA423" s="31" t="str">
        <f>IF(D423="","",IF(H423&lt;=$B$16,1,IF(H423&gt;=$B$17,$B$21,MATCH(H423,Aux_CAV!$A$2:$A$121,1))))</f>
        <v/>
      </c>
      <c r="AB423" s="31" t="str">
        <f>IF(D423="","",IF(L423&lt;=$B$16,1,IF(L423&gt;=$B$17,$B$21,MATCH(L423,Aux_CAV!$A$2:$A$121,1))))</f>
        <v/>
      </c>
      <c r="AC423" s="3" t="str">
        <f t="shared" si="21"/>
        <v/>
      </c>
    </row>
    <row r="424" ht="12.75" customHeight="1">
      <c r="A424" s="25" t="str">
        <f t="shared" si="1"/>
        <v/>
      </c>
      <c r="B424" s="29" t="str">
        <f t="array" ref="B424">IF(D424="","",IFERROR(VALUE(INDEX(Vazoes_COLAR!$A$2:$A$200,INT((ROW()-24)/12)+1)),""))</f>
        <v/>
      </c>
      <c r="C424" s="29" t="str">
        <f t="shared" si="2"/>
        <v/>
      </c>
      <c r="D424" s="26" t="str">
        <f t="array" ref="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24" s="26" t="str">
        <f t="shared" si="3"/>
        <v/>
      </c>
      <c r="F424" s="26" t="str">
        <f t="array" ref="F424">IF(D424="","",IFERROR(INDEX(Dados_Evap!$C$2:$N$15,MATCH($B$9,Dados_Evap!$A$2:$A$15,0),C424),0))</f>
        <v/>
      </c>
      <c r="G424" s="26" t="str">
        <f t="shared" si="4"/>
        <v/>
      </c>
      <c r="H424" s="26" t="str">
        <f t="shared" si="22"/>
        <v/>
      </c>
      <c r="I424" s="26" t="str">
        <f t="array" ref="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/>
      </c>
      <c r="J424" s="26" t="str">
        <f t="shared" si="5"/>
        <v/>
      </c>
      <c r="K424" s="26" t="str">
        <f t="shared" si="6"/>
        <v/>
      </c>
      <c r="L424" s="26" t="str">
        <f t="shared" si="7"/>
        <v/>
      </c>
      <c r="M424" s="26" t="str">
        <f t="array" ref="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/>
      </c>
      <c r="N424" s="26" t="str">
        <f t="shared" si="8"/>
        <v/>
      </c>
      <c r="O424" s="26" t="str">
        <f t="shared" si="9"/>
        <v/>
      </c>
      <c r="P424" s="26" t="str">
        <f t="shared" si="10"/>
        <v/>
      </c>
      <c r="Q424" s="26" t="str">
        <f t="shared" si="11"/>
        <v/>
      </c>
      <c r="R424" s="26" t="str">
        <f t="shared" si="12"/>
        <v/>
      </c>
      <c r="S424" s="26" t="str">
        <f t="shared" si="13"/>
        <v/>
      </c>
      <c r="T424" s="26" t="str">
        <f t="shared" si="14"/>
        <v/>
      </c>
      <c r="U424" s="26" t="str">
        <f t="shared" si="15"/>
        <v/>
      </c>
      <c r="V424" s="26" t="str">
        <f t="shared" si="16"/>
        <v/>
      </c>
      <c r="W424" s="26" t="str">
        <f t="shared" si="17"/>
        <v/>
      </c>
      <c r="X424" s="26" t="str">
        <f t="shared" si="18"/>
        <v/>
      </c>
      <c r="Y424" s="26" t="str">
        <f t="shared" si="19"/>
        <v/>
      </c>
      <c r="Z424" s="31" t="str">
        <f t="shared" si="20"/>
        <v/>
      </c>
      <c r="AA424" s="31" t="str">
        <f>IF(D424="","",IF(H424&lt;=$B$16,1,IF(H424&gt;=$B$17,$B$21,MATCH(H424,Aux_CAV!$A$2:$A$121,1))))</f>
        <v/>
      </c>
      <c r="AB424" s="31" t="str">
        <f>IF(D424="","",IF(L424&lt;=$B$16,1,IF(L424&gt;=$B$17,$B$21,MATCH(L424,Aux_CAV!$A$2:$A$121,1))))</f>
        <v/>
      </c>
      <c r="AC424" s="3" t="str">
        <f t="shared" si="21"/>
        <v/>
      </c>
    </row>
    <row r="425" ht="12.75" customHeight="1">
      <c r="A425" s="25" t="str">
        <f t="shared" si="1"/>
        <v/>
      </c>
      <c r="B425" s="29" t="str">
        <f t="array" ref="B425">IF(D425="","",IFERROR(VALUE(INDEX(Vazoes_COLAR!$A$2:$A$200,INT((ROW()-24)/12)+1)),""))</f>
        <v/>
      </c>
      <c r="C425" s="29" t="str">
        <f t="shared" si="2"/>
        <v/>
      </c>
      <c r="D425" s="26" t="str">
        <f t="array" ref="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25" s="26" t="str">
        <f t="shared" si="3"/>
        <v/>
      </c>
      <c r="F425" s="26" t="str">
        <f t="array" ref="F425">IF(D425="","",IFERROR(INDEX(Dados_Evap!$C$2:$N$15,MATCH($B$9,Dados_Evap!$A$2:$A$15,0),C425),0))</f>
        <v/>
      </c>
      <c r="G425" s="26" t="str">
        <f t="shared" si="4"/>
        <v/>
      </c>
      <c r="H425" s="26" t="str">
        <f t="shared" si="22"/>
        <v/>
      </c>
      <c r="I425" s="26" t="str">
        <f t="array" ref="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/>
      </c>
      <c r="J425" s="26" t="str">
        <f t="shared" si="5"/>
        <v/>
      </c>
      <c r="K425" s="26" t="str">
        <f t="shared" si="6"/>
        <v/>
      </c>
      <c r="L425" s="26" t="str">
        <f t="shared" si="7"/>
        <v/>
      </c>
      <c r="M425" s="26" t="str">
        <f t="array" ref="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/>
      </c>
      <c r="N425" s="26" t="str">
        <f t="shared" si="8"/>
        <v/>
      </c>
      <c r="O425" s="26" t="str">
        <f t="shared" si="9"/>
        <v/>
      </c>
      <c r="P425" s="26" t="str">
        <f t="shared" si="10"/>
        <v/>
      </c>
      <c r="Q425" s="26" t="str">
        <f t="shared" si="11"/>
        <v/>
      </c>
      <c r="R425" s="26" t="str">
        <f t="shared" si="12"/>
        <v/>
      </c>
      <c r="S425" s="26" t="str">
        <f t="shared" si="13"/>
        <v/>
      </c>
      <c r="T425" s="26" t="str">
        <f t="shared" si="14"/>
        <v/>
      </c>
      <c r="U425" s="26" t="str">
        <f t="shared" si="15"/>
        <v/>
      </c>
      <c r="V425" s="26" t="str">
        <f t="shared" si="16"/>
        <v/>
      </c>
      <c r="W425" s="26" t="str">
        <f t="shared" si="17"/>
        <v/>
      </c>
      <c r="X425" s="26" t="str">
        <f t="shared" si="18"/>
        <v/>
      </c>
      <c r="Y425" s="26" t="str">
        <f t="shared" si="19"/>
        <v/>
      </c>
      <c r="Z425" s="31" t="str">
        <f t="shared" si="20"/>
        <v/>
      </c>
      <c r="AA425" s="31" t="str">
        <f>IF(D425="","",IF(H425&lt;=$B$16,1,IF(H425&gt;=$B$17,$B$21,MATCH(H425,Aux_CAV!$A$2:$A$121,1))))</f>
        <v/>
      </c>
      <c r="AB425" s="31" t="str">
        <f>IF(D425="","",IF(L425&lt;=$B$16,1,IF(L425&gt;=$B$17,$B$21,MATCH(L425,Aux_CAV!$A$2:$A$121,1))))</f>
        <v/>
      </c>
      <c r="AC425" s="3" t="str">
        <f t="shared" si="21"/>
        <v/>
      </c>
    </row>
    <row r="426" ht="12.75" customHeight="1">
      <c r="A426" s="25" t="str">
        <f t="shared" si="1"/>
        <v/>
      </c>
      <c r="B426" s="29" t="str">
        <f t="array" ref="B426">IF(D426="","",IFERROR(VALUE(INDEX(Vazoes_COLAR!$A$2:$A$200,INT((ROW()-24)/12)+1)),""))</f>
        <v/>
      </c>
      <c r="C426" s="29" t="str">
        <f t="shared" si="2"/>
        <v/>
      </c>
      <c r="D426" s="26" t="str">
        <f t="array" ref="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26" s="26" t="str">
        <f t="shared" si="3"/>
        <v/>
      </c>
      <c r="F426" s="26" t="str">
        <f t="array" ref="F426">IF(D426="","",IFERROR(INDEX(Dados_Evap!$C$2:$N$15,MATCH($B$9,Dados_Evap!$A$2:$A$15,0),C426),0))</f>
        <v/>
      </c>
      <c r="G426" s="26" t="str">
        <f t="shared" si="4"/>
        <v/>
      </c>
      <c r="H426" s="26" t="str">
        <f t="shared" si="22"/>
        <v/>
      </c>
      <c r="I426" s="26" t="str">
        <f t="array" ref="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/>
      </c>
      <c r="J426" s="26" t="str">
        <f t="shared" si="5"/>
        <v/>
      </c>
      <c r="K426" s="26" t="str">
        <f t="shared" si="6"/>
        <v/>
      </c>
      <c r="L426" s="26" t="str">
        <f t="shared" si="7"/>
        <v/>
      </c>
      <c r="M426" s="26" t="str">
        <f t="array" ref="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/>
      </c>
      <c r="N426" s="26" t="str">
        <f t="shared" si="8"/>
        <v/>
      </c>
      <c r="O426" s="26" t="str">
        <f t="shared" si="9"/>
        <v/>
      </c>
      <c r="P426" s="26" t="str">
        <f t="shared" si="10"/>
        <v/>
      </c>
      <c r="Q426" s="26" t="str">
        <f t="shared" si="11"/>
        <v/>
      </c>
      <c r="R426" s="26" t="str">
        <f t="shared" si="12"/>
        <v/>
      </c>
      <c r="S426" s="26" t="str">
        <f t="shared" si="13"/>
        <v/>
      </c>
      <c r="T426" s="26" t="str">
        <f t="shared" si="14"/>
        <v/>
      </c>
      <c r="U426" s="26" t="str">
        <f t="shared" si="15"/>
        <v/>
      </c>
      <c r="V426" s="26" t="str">
        <f t="shared" si="16"/>
        <v/>
      </c>
      <c r="W426" s="26" t="str">
        <f t="shared" si="17"/>
        <v/>
      </c>
      <c r="X426" s="26" t="str">
        <f t="shared" si="18"/>
        <v/>
      </c>
      <c r="Y426" s="26" t="str">
        <f t="shared" si="19"/>
        <v/>
      </c>
      <c r="Z426" s="31" t="str">
        <f t="shared" si="20"/>
        <v/>
      </c>
      <c r="AA426" s="31" t="str">
        <f>IF(D426="","",IF(H426&lt;=$B$16,1,IF(H426&gt;=$B$17,$B$21,MATCH(H426,Aux_CAV!$A$2:$A$121,1))))</f>
        <v/>
      </c>
      <c r="AB426" s="31" t="str">
        <f>IF(D426="","",IF(L426&lt;=$B$16,1,IF(L426&gt;=$B$17,$B$21,MATCH(L426,Aux_CAV!$A$2:$A$121,1))))</f>
        <v/>
      </c>
      <c r="AC426" s="3" t="str">
        <f t="shared" si="21"/>
        <v/>
      </c>
    </row>
    <row r="427" ht="12.75" customHeight="1">
      <c r="A427" s="25" t="str">
        <f t="shared" si="1"/>
        <v/>
      </c>
      <c r="B427" s="29" t="str">
        <f t="array" ref="B427">IF(D427="","",IFERROR(VALUE(INDEX(Vazoes_COLAR!$A$2:$A$200,INT((ROW()-24)/12)+1)),""))</f>
        <v/>
      </c>
      <c r="C427" s="29" t="str">
        <f t="shared" si="2"/>
        <v/>
      </c>
      <c r="D427" s="26" t="str">
        <f t="array" ref="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27" s="26" t="str">
        <f t="shared" si="3"/>
        <v/>
      </c>
      <c r="F427" s="26" t="str">
        <f t="array" ref="F427">IF(D427="","",IFERROR(INDEX(Dados_Evap!$C$2:$N$15,MATCH($B$9,Dados_Evap!$A$2:$A$15,0),C427),0))</f>
        <v/>
      </c>
      <c r="G427" s="26" t="str">
        <f t="shared" si="4"/>
        <v/>
      </c>
      <c r="H427" s="26" t="str">
        <f t="shared" si="22"/>
        <v/>
      </c>
      <c r="I427" s="26" t="str">
        <f t="array" ref="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/>
      </c>
      <c r="J427" s="26" t="str">
        <f t="shared" si="5"/>
        <v/>
      </c>
      <c r="K427" s="26" t="str">
        <f t="shared" si="6"/>
        <v/>
      </c>
      <c r="L427" s="26" t="str">
        <f t="shared" si="7"/>
        <v/>
      </c>
      <c r="M427" s="26" t="str">
        <f t="array" ref="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/>
      </c>
      <c r="N427" s="26" t="str">
        <f t="shared" si="8"/>
        <v/>
      </c>
      <c r="O427" s="26" t="str">
        <f t="shared" si="9"/>
        <v/>
      </c>
      <c r="P427" s="26" t="str">
        <f t="shared" si="10"/>
        <v/>
      </c>
      <c r="Q427" s="26" t="str">
        <f t="shared" si="11"/>
        <v/>
      </c>
      <c r="R427" s="26" t="str">
        <f t="shared" si="12"/>
        <v/>
      </c>
      <c r="S427" s="26" t="str">
        <f t="shared" si="13"/>
        <v/>
      </c>
      <c r="T427" s="26" t="str">
        <f t="shared" si="14"/>
        <v/>
      </c>
      <c r="U427" s="26" t="str">
        <f t="shared" si="15"/>
        <v/>
      </c>
      <c r="V427" s="26" t="str">
        <f t="shared" si="16"/>
        <v/>
      </c>
      <c r="W427" s="26" t="str">
        <f t="shared" si="17"/>
        <v/>
      </c>
      <c r="X427" s="26" t="str">
        <f t="shared" si="18"/>
        <v/>
      </c>
      <c r="Y427" s="26" t="str">
        <f t="shared" si="19"/>
        <v/>
      </c>
      <c r="Z427" s="31" t="str">
        <f t="shared" si="20"/>
        <v/>
      </c>
      <c r="AA427" s="31" t="str">
        <f>IF(D427="","",IF(H427&lt;=$B$16,1,IF(H427&gt;=$B$17,$B$21,MATCH(H427,Aux_CAV!$A$2:$A$121,1))))</f>
        <v/>
      </c>
      <c r="AB427" s="31" t="str">
        <f>IF(D427="","",IF(L427&lt;=$B$16,1,IF(L427&gt;=$B$17,$B$21,MATCH(L427,Aux_CAV!$A$2:$A$121,1))))</f>
        <v/>
      </c>
      <c r="AC427" s="3" t="str">
        <f t="shared" si="21"/>
        <v/>
      </c>
    </row>
    <row r="428" ht="12.75" customHeight="1">
      <c r="A428" s="25" t="str">
        <f t="shared" si="1"/>
        <v/>
      </c>
      <c r="B428" s="29" t="str">
        <f t="array" ref="B428">IF(D428="","",IFERROR(VALUE(INDEX(Vazoes_COLAR!$A$2:$A$200,INT((ROW()-24)/12)+1)),""))</f>
        <v/>
      </c>
      <c r="C428" s="29" t="str">
        <f t="shared" si="2"/>
        <v/>
      </c>
      <c r="D428" s="26" t="str">
        <f t="array" ref="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28" s="26" t="str">
        <f t="shared" si="3"/>
        <v/>
      </c>
      <c r="F428" s="26" t="str">
        <f t="array" ref="F428">IF(D428="","",IFERROR(INDEX(Dados_Evap!$C$2:$N$15,MATCH($B$9,Dados_Evap!$A$2:$A$15,0),C428),0))</f>
        <v/>
      </c>
      <c r="G428" s="26" t="str">
        <f t="shared" si="4"/>
        <v/>
      </c>
      <c r="H428" s="26" t="str">
        <f t="shared" si="22"/>
        <v/>
      </c>
      <c r="I428" s="26" t="str">
        <f t="array" ref="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/>
      </c>
      <c r="J428" s="26" t="str">
        <f t="shared" si="5"/>
        <v/>
      </c>
      <c r="K428" s="26" t="str">
        <f t="shared" si="6"/>
        <v/>
      </c>
      <c r="L428" s="26" t="str">
        <f t="shared" si="7"/>
        <v/>
      </c>
      <c r="M428" s="26" t="str">
        <f t="array" ref="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/>
      </c>
      <c r="N428" s="26" t="str">
        <f t="shared" si="8"/>
        <v/>
      </c>
      <c r="O428" s="26" t="str">
        <f t="shared" si="9"/>
        <v/>
      </c>
      <c r="P428" s="26" t="str">
        <f t="shared" si="10"/>
        <v/>
      </c>
      <c r="Q428" s="26" t="str">
        <f t="shared" si="11"/>
        <v/>
      </c>
      <c r="R428" s="26" t="str">
        <f t="shared" si="12"/>
        <v/>
      </c>
      <c r="S428" s="26" t="str">
        <f t="shared" si="13"/>
        <v/>
      </c>
      <c r="T428" s="26" t="str">
        <f t="shared" si="14"/>
        <v/>
      </c>
      <c r="U428" s="26" t="str">
        <f t="shared" si="15"/>
        <v/>
      </c>
      <c r="V428" s="26" t="str">
        <f t="shared" si="16"/>
        <v/>
      </c>
      <c r="W428" s="26" t="str">
        <f t="shared" si="17"/>
        <v/>
      </c>
      <c r="X428" s="26" t="str">
        <f t="shared" si="18"/>
        <v/>
      </c>
      <c r="Y428" s="26" t="str">
        <f t="shared" si="19"/>
        <v/>
      </c>
      <c r="Z428" s="31" t="str">
        <f t="shared" si="20"/>
        <v/>
      </c>
      <c r="AA428" s="31" t="str">
        <f>IF(D428="","",IF(H428&lt;=$B$16,1,IF(H428&gt;=$B$17,$B$21,MATCH(H428,Aux_CAV!$A$2:$A$121,1))))</f>
        <v/>
      </c>
      <c r="AB428" s="31" t="str">
        <f>IF(D428="","",IF(L428&lt;=$B$16,1,IF(L428&gt;=$B$17,$B$21,MATCH(L428,Aux_CAV!$A$2:$A$121,1))))</f>
        <v/>
      </c>
      <c r="AC428" s="3" t="str">
        <f t="shared" si="21"/>
        <v/>
      </c>
    </row>
    <row r="429" ht="12.75" customHeight="1">
      <c r="A429" s="25" t="str">
        <f t="shared" si="1"/>
        <v/>
      </c>
      <c r="B429" s="29" t="str">
        <f t="array" ref="B429">IF(D429="","",IFERROR(VALUE(INDEX(Vazoes_COLAR!$A$2:$A$200,INT((ROW()-24)/12)+1)),""))</f>
        <v/>
      </c>
      <c r="C429" s="29" t="str">
        <f t="shared" si="2"/>
        <v/>
      </c>
      <c r="D429" s="26" t="str">
        <f t="array" ref="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29" s="26" t="str">
        <f t="shared" si="3"/>
        <v/>
      </c>
      <c r="F429" s="26" t="str">
        <f t="array" ref="F429">IF(D429="","",IFERROR(INDEX(Dados_Evap!$C$2:$N$15,MATCH($B$9,Dados_Evap!$A$2:$A$15,0),C429),0))</f>
        <v/>
      </c>
      <c r="G429" s="26" t="str">
        <f t="shared" si="4"/>
        <v/>
      </c>
      <c r="H429" s="26" t="str">
        <f t="shared" si="22"/>
        <v/>
      </c>
      <c r="I429" s="26" t="str">
        <f t="array" ref="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/>
      </c>
      <c r="J429" s="26" t="str">
        <f t="shared" si="5"/>
        <v/>
      </c>
      <c r="K429" s="26" t="str">
        <f t="shared" si="6"/>
        <v/>
      </c>
      <c r="L429" s="26" t="str">
        <f t="shared" si="7"/>
        <v/>
      </c>
      <c r="M429" s="26" t="str">
        <f t="array" ref="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/>
      </c>
      <c r="N429" s="26" t="str">
        <f t="shared" si="8"/>
        <v/>
      </c>
      <c r="O429" s="26" t="str">
        <f t="shared" si="9"/>
        <v/>
      </c>
      <c r="P429" s="26" t="str">
        <f t="shared" si="10"/>
        <v/>
      </c>
      <c r="Q429" s="26" t="str">
        <f t="shared" si="11"/>
        <v/>
      </c>
      <c r="R429" s="26" t="str">
        <f t="shared" si="12"/>
        <v/>
      </c>
      <c r="S429" s="26" t="str">
        <f t="shared" si="13"/>
        <v/>
      </c>
      <c r="T429" s="26" t="str">
        <f t="shared" si="14"/>
        <v/>
      </c>
      <c r="U429" s="26" t="str">
        <f t="shared" si="15"/>
        <v/>
      </c>
      <c r="V429" s="26" t="str">
        <f t="shared" si="16"/>
        <v/>
      </c>
      <c r="W429" s="26" t="str">
        <f t="shared" si="17"/>
        <v/>
      </c>
      <c r="X429" s="26" t="str">
        <f t="shared" si="18"/>
        <v/>
      </c>
      <c r="Y429" s="26" t="str">
        <f t="shared" si="19"/>
        <v/>
      </c>
      <c r="Z429" s="31" t="str">
        <f t="shared" si="20"/>
        <v/>
      </c>
      <c r="AA429" s="31" t="str">
        <f>IF(D429="","",IF(H429&lt;=$B$16,1,IF(H429&gt;=$B$17,$B$21,MATCH(H429,Aux_CAV!$A$2:$A$121,1))))</f>
        <v/>
      </c>
      <c r="AB429" s="31" t="str">
        <f>IF(D429="","",IF(L429&lt;=$B$16,1,IF(L429&gt;=$B$17,$B$21,MATCH(L429,Aux_CAV!$A$2:$A$121,1))))</f>
        <v/>
      </c>
      <c r="AC429" s="3" t="str">
        <f t="shared" si="21"/>
        <v/>
      </c>
    </row>
    <row r="430" ht="12.75" customHeight="1">
      <c r="A430" s="25" t="str">
        <f t="shared" si="1"/>
        <v/>
      </c>
      <c r="B430" s="29" t="str">
        <f t="array" ref="B430">IF(D430="","",IFERROR(VALUE(INDEX(Vazoes_COLAR!$A$2:$A$200,INT((ROW()-24)/12)+1)),""))</f>
        <v/>
      </c>
      <c r="C430" s="29" t="str">
        <f t="shared" si="2"/>
        <v/>
      </c>
      <c r="D430" s="26" t="str">
        <f t="array" ref="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30" s="26" t="str">
        <f t="shared" si="3"/>
        <v/>
      </c>
      <c r="F430" s="26" t="str">
        <f t="array" ref="F430">IF(D430="","",IFERROR(INDEX(Dados_Evap!$C$2:$N$15,MATCH($B$9,Dados_Evap!$A$2:$A$15,0),C430),0))</f>
        <v/>
      </c>
      <c r="G430" s="26" t="str">
        <f t="shared" si="4"/>
        <v/>
      </c>
      <c r="H430" s="26" t="str">
        <f t="shared" si="22"/>
        <v/>
      </c>
      <c r="I430" s="26" t="str">
        <f t="array" ref="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/>
      </c>
      <c r="J430" s="26" t="str">
        <f t="shared" si="5"/>
        <v/>
      </c>
      <c r="K430" s="26" t="str">
        <f t="shared" si="6"/>
        <v/>
      </c>
      <c r="L430" s="26" t="str">
        <f t="shared" si="7"/>
        <v/>
      </c>
      <c r="M430" s="26" t="str">
        <f t="array" ref="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/>
      </c>
      <c r="N430" s="26" t="str">
        <f t="shared" si="8"/>
        <v/>
      </c>
      <c r="O430" s="26" t="str">
        <f t="shared" si="9"/>
        <v/>
      </c>
      <c r="P430" s="26" t="str">
        <f t="shared" si="10"/>
        <v/>
      </c>
      <c r="Q430" s="26" t="str">
        <f t="shared" si="11"/>
        <v/>
      </c>
      <c r="R430" s="26" t="str">
        <f t="shared" si="12"/>
        <v/>
      </c>
      <c r="S430" s="26" t="str">
        <f t="shared" si="13"/>
        <v/>
      </c>
      <c r="T430" s="26" t="str">
        <f t="shared" si="14"/>
        <v/>
      </c>
      <c r="U430" s="26" t="str">
        <f t="shared" si="15"/>
        <v/>
      </c>
      <c r="V430" s="26" t="str">
        <f t="shared" si="16"/>
        <v/>
      </c>
      <c r="W430" s="26" t="str">
        <f t="shared" si="17"/>
        <v/>
      </c>
      <c r="X430" s="26" t="str">
        <f t="shared" si="18"/>
        <v/>
      </c>
      <c r="Y430" s="26" t="str">
        <f t="shared" si="19"/>
        <v/>
      </c>
      <c r="Z430" s="31" t="str">
        <f t="shared" si="20"/>
        <v/>
      </c>
      <c r="AA430" s="31" t="str">
        <f>IF(D430="","",IF(H430&lt;=$B$16,1,IF(H430&gt;=$B$17,$B$21,MATCH(H430,Aux_CAV!$A$2:$A$121,1))))</f>
        <v/>
      </c>
      <c r="AB430" s="31" t="str">
        <f>IF(D430="","",IF(L430&lt;=$B$16,1,IF(L430&gt;=$B$17,$B$21,MATCH(L430,Aux_CAV!$A$2:$A$121,1))))</f>
        <v/>
      </c>
      <c r="AC430" s="3" t="str">
        <f t="shared" si="21"/>
        <v/>
      </c>
    </row>
    <row r="431" ht="12.75" customHeight="1">
      <c r="A431" s="25" t="str">
        <f t="shared" si="1"/>
        <v/>
      </c>
      <c r="B431" s="29" t="str">
        <f t="array" ref="B431">IF(D431="","",IFERROR(VALUE(INDEX(Vazoes_COLAR!$A$2:$A$200,INT((ROW()-24)/12)+1)),""))</f>
        <v/>
      </c>
      <c r="C431" s="29" t="str">
        <f t="shared" si="2"/>
        <v/>
      </c>
      <c r="D431" s="26" t="str">
        <f t="array" ref="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31" s="26" t="str">
        <f t="shared" si="3"/>
        <v/>
      </c>
      <c r="F431" s="26" t="str">
        <f t="array" ref="F431">IF(D431="","",IFERROR(INDEX(Dados_Evap!$C$2:$N$15,MATCH($B$9,Dados_Evap!$A$2:$A$15,0),C431),0))</f>
        <v/>
      </c>
      <c r="G431" s="26" t="str">
        <f t="shared" si="4"/>
        <v/>
      </c>
      <c r="H431" s="26" t="str">
        <f t="shared" si="22"/>
        <v/>
      </c>
      <c r="I431" s="26" t="str">
        <f t="array" ref="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/>
      </c>
      <c r="J431" s="26" t="str">
        <f t="shared" si="5"/>
        <v/>
      </c>
      <c r="K431" s="26" t="str">
        <f t="shared" si="6"/>
        <v/>
      </c>
      <c r="L431" s="26" t="str">
        <f t="shared" si="7"/>
        <v/>
      </c>
      <c r="M431" s="26" t="str">
        <f t="array" ref="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/>
      </c>
      <c r="N431" s="26" t="str">
        <f t="shared" si="8"/>
        <v/>
      </c>
      <c r="O431" s="26" t="str">
        <f t="shared" si="9"/>
        <v/>
      </c>
      <c r="P431" s="26" t="str">
        <f t="shared" si="10"/>
        <v/>
      </c>
      <c r="Q431" s="26" t="str">
        <f t="shared" si="11"/>
        <v/>
      </c>
      <c r="R431" s="26" t="str">
        <f t="shared" si="12"/>
        <v/>
      </c>
      <c r="S431" s="26" t="str">
        <f t="shared" si="13"/>
        <v/>
      </c>
      <c r="T431" s="26" t="str">
        <f t="shared" si="14"/>
        <v/>
      </c>
      <c r="U431" s="26" t="str">
        <f t="shared" si="15"/>
        <v/>
      </c>
      <c r="V431" s="26" t="str">
        <f t="shared" si="16"/>
        <v/>
      </c>
      <c r="W431" s="26" t="str">
        <f t="shared" si="17"/>
        <v/>
      </c>
      <c r="X431" s="26" t="str">
        <f t="shared" si="18"/>
        <v/>
      </c>
      <c r="Y431" s="26" t="str">
        <f t="shared" si="19"/>
        <v/>
      </c>
      <c r="Z431" s="31" t="str">
        <f t="shared" si="20"/>
        <v/>
      </c>
      <c r="AA431" s="31" t="str">
        <f>IF(D431="","",IF(H431&lt;=$B$16,1,IF(H431&gt;=$B$17,$B$21,MATCH(H431,Aux_CAV!$A$2:$A$121,1))))</f>
        <v/>
      </c>
      <c r="AB431" s="31" t="str">
        <f>IF(D431="","",IF(L431&lt;=$B$16,1,IF(L431&gt;=$B$17,$B$21,MATCH(L431,Aux_CAV!$A$2:$A$121,1))))</f>
        <v/>
      </c>
      <c r="AC431" s="3" t="str">
        <f t="shared" si="21"/>
        <v/>
      </c>
    </row>
    <row r="432" ht="12.75" customHeight="1">
      <c r="A432" s="25" t="str">
        <f t="shared" si="1"/>
        <v/>
      </c>
      <c r="B432" s="29" t="str">
        <f t="array" ref="B432">IF(D432="","",IFERROR(VALUE(INDEX(Vazoes_COLAR!$A$2:$A$200,INT((ROW()-24)/12)+1)),""))</f>
        <v/>
      </c>
      <c r="C432" s="29" t="str">
        <f t="shared" si="2"/>
        <v/>
      </c>
      <c r="D432" s="26" t="str">
        <f t="array" ref="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32" s="26" t="str">
        <f t="shared" si="3"/>
        <v/>
      </c>
      <c r="F432" s="26" t="str">
        <f t="array" ref="F432">IF(D432="","",IFERROR(INDEX(Dados_Evap!$C$2:$N$15,MATCH($B$9,Dados_Evap!$A$2:$A$15,0),C432),0))</f>
        <v/>
      </c>
      <c r="G432" s="26" t="str">
        <f t="shared" si="4"/>
        <v/>
      </c>
      <c r="H432" s="26" t="str">
        <f t="shared" si="22"/>
        <v/>
      </c>
      <c r="I432" s="26" t="str">
        <f t="array" ref="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/>
      </c>
      <c r="J432" s="26" t="str">
        <f t="shared" si="5"/>
        <v/>
      </c>
      <c r="K432" s="26" t="str">
        <f t="shared" si="6"/>
        <v/>
      </c>
      <c r="L432" s="26" t="str">
        <f t="shared" si="7"/>
        <v/>
      </c>
      <c r="M432" s="26" t="str">
        <f t="array" ref="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/>
      </c>
      <c r="N432" s="26" t="str">
        <f t="shared" si="8"/>
        <v/>
      </c>
      <c r="O432" s="26" t="str">
        <f t="shared" si="9"/>
        <v/>
      </c>
      <c r="P432" s="26" t="str">
        <f t="shared" si="10"/>
        <v/>
      </c>
      <c r="Q432" s="26" t="str">
        <f t="shared" si="11"/>
        <v/>
      </c>
      <c r="R432" s="26" t="str">
        <f t="shared" si="12"/>
        <v/>
      </c>
      <c r="S432" s="26" t="str">
        <f t="shared" si="13"/>
        <v/>
      </c>
      <c r="T432" s="26" t="str">
        <f t="shared" si="14"/>
        <v/>
      </c>
      <c r="U432" s="26" t="str">
        <f t="shared" si="15"/>
        <v/>
      </c>
      <c r="V432" s="26" t="str">
        <f t="shared" si="16"/>
        <v/>
      </c>
      <c r="W432" s="26" t="str">
        <f t="shared" si="17"/>
        <v/>
      </c>
      <c r="X432" s="26" t="str">
        <f t="shared" si="18"/>
        <v/>
      </c>
      <c r="Y432" s="26" t="str">
        <f t="shared" si="19"/>
        <v/>
      </c>
      <c r="Z432" s="31" t="str">
        <f t="shared" si="20"/>
        <v/>
      </c>
      <c r="AA432" s="31" t="str">
        <f>IF(D432="","",IF(H432&lt;=$B$16,1,IF(H432&gt;=$B$17,$B$21,MATCH(H432,Aux_CAV!$A$2:$A$121,1))))</f>
        <v/>
      </c>
      <c r="AB432" s="31" t="str">
        <f>IF(D432="","",IF(L432&lt;=$B$16,1,IF(L432&gt;=$B$17,$B$21,MATCH(L432,Aux_CAV!$A$2:$A$121,1))))</f>
        <v/>
      </c>
      <c r="AC432" s="3" t="str">
        <f t="shared" si="21"/>
        <v/>
      </c>
    </row>
    <row r="433" ht="12.75" customHeight="1">
      <c r="A433" s="25" t="str">
        <f t="shared" si="1"/>
        <v/>
      </c>
      <c r="B433" s="29" t="str">
        <f t="array" ref="B433">IF(D433="","",IFERROR(VALUE(INDEX(Vazoes_COLAR!$A$2:$A$200,INT((ROW()-24)/12)+1)),""))</f>
        <v/>
      </c>
      <c r="C433" s="29" t="str">
        <f t="shared" si="2"/>
        <v/>
      </c>
      <c r="D433" s="26" t="str">
        <f t="array" ref="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33" s="26" t="str">
        <f t="shared" si="3"/>
        <v/>
      </c>
      <c r="F433" s="26" t="str">
        <f t="array" ref="F433">IF(D433="","",IFERROR(INDEX(Dados_Evap!$C$2:$N$15,MATCH($B$9,Dados_Evap!$A$2:$A$15,0),C433),0))</f>
        <v/>
      </c>
      <c r="G433" s="26" t="str">
        <f t="shared" si="4"/>
        <v/>
      </c>
      <c r="H433" s="26" t="str">
        <f t="shared" si="22"/>
        <v/>
      </c>
      <c r="I433" s="26" t="str">
        <f t="array" ref="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/>
      </c>
      <c r="J433" s="26" t="str">
        <f t="shared" si="5"/>
        <v/>
      </c>
      <c r="K433" s="26" t="str">
        <f t="shared" si="6"/>
        <v/>
      </c>
      <c r="L433" s="26" t="str">
        <f t="shared" si="7"/>
        <v/>
      </c>
      <c r="M433" s="26" t="str">
        <f t="array" ref="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/>
      </c>
      <c r="N433" s="26" t="str">
        <f t="shared" si="8"/>
        <v/>
      </c>
      <c r="O433" s="26" t="str">
        <f t="shared" si="9"/>
        <v/>
      </c>
      <c r="P433" s="26" t="str">
        <f t="shared" si="10"/>
        <v/>
      </c>
      <c r="Q433" s="26" t="str">
        <f t="shared" si="11"/>
        <v/>
      </c>
      <c r="R433" s="26" t="str">
        <f t="shared" si="12"/>
        <v/>
      </c>
      <c r="S433" s="26" t="str">
        <f t="shared" si="13"/>
        <v/>
      </c>
      <c r="T433" s="26" t="str">
        <f t="shared" si="14"/>
        <v/>
      </c>
      <c r="U433" s="26" t="str">
        <f t="shared" si="15"/>
        <v/>
      </c>
      <c r="V433" s="26" t="str">
        <f t="shared" si="16"/>
        <v/>
      </c>
      <c r="W433" s="26" t="str">
        <f t="shared" si="17"/>
        <v/>
      </c>
      <c r="X433" s="26" t="str">
        <f t="shared" si="18"/>
        <v/>
      </c>
      <c r="Y433" s="26" t="str">
        <f t="shared" si="19"/>
        <v/>
      </c>
      <c r="Z433" s="31" t="str">
        <f t="shared" si="20"/>
        <v/>
      </c>
      <c r="AA433" s="31" t="str">
        <f>IF(D433="","",IF(H433&lt;=$B$16,1,IF(H433&gt;=$B$17,$B$21,MATCH(H433,Aux_CAV!$A$2:$A$121,1))))</f>
        <v/>
      </c>
      <c r="AB433" s="31" t="str">
        <f>IF(D433="","",IF(L433&lt;=$B$16,1,IF(L433&gt;=$B$17,$B$21,MATCH(L433,Aux_CAV!$A$2:$A$121,1))))</f>
        <v/>
      </c>
      <c r="AC433" s="3" t="str">
        <f t="shared" si="21"/>
        <v/>
      </c>
    </row>
    <row r="434" ht="12.75" customHeight="1">
      <c r="A434" s="25" t="str">
        <f t="shared" si="1"/>
        <v/>
      </c>
      <c r="B434" s="29" t="str">
        <f t="array" ref="B434">IF(D434="","",IFERROR(VALUE(INDEX(Vazoes_COLAR!$A$2:$A$200,INT((ROW()-24)/12)+1)),""))</f>
        <v/>
      </c>
      <c r="C434" s="29" t="str">
        <f t="shared" si="2"/>
        <v/>
      </c>
      <c r="D434" s="26" t="str">
        <f t="array" ref="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34" s="26" t="str">
        <f t="shared" si="3"/>
        <v/>
      </c>
      <c r="F434" s="26" t="str">
        <f t="array" ref="F434">IF(D434="","",IFERROR(INDEX(Dados_Evap!$C$2:$N$15,MATCH($B$9,Dados_Evap!$A$2:$A$15,0),C434),0))</f>
        <v/>
      </c>
      <c r="G434" s="26" t="str">
        <f t="shared" si="4"/>
        <v/>
      </c>
      <c r="H434" s="26" t="str">
        <f t="shared" si="22"/>
        <v/>
      </c>
      <c r="I434" s="26" t="str">
        <f t="array" ref="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/>
      </c>
      <c r="J434" s="26" t="str">
        <f t="shared" si="5"/>
        <v/>
      </c>
      <c r="K434" s="26" t="str">
        <f t="shared" si="6"/>
        <v/>
      </c>
      <c r="L434" s="26" t="str">
        <f t="shared" si="7"/>
        <v/>
      </c>
      <c r="M434" s="26" t="str">
        <f t="array" ref="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/>
      </c>
      <c r="N434" s="26" t="str">
        <f t="shared" si="8"/>
        <v/>
      </c>
      <c r="O434" s="26" t="str">
        <f t="shared" si="9"/>
        <v/>
      </c>
      <c r="P434" s="26" t="str">
        <f t="shared" si="10"/>
        <v/>
      </c>
      <c r="Q434" s="26" t="str">
        <f t="shared" si="11"/>
        <v/>
      </c>
      <c r="R434" s="26" t="str">
        <f t="shared" si="12"/>
        <v/>
      </c>
      <c r="S434" s="26" t="str">
        <f t="shared" si="13"/>
        <v/>
      </c>
      <c r="T434" s="26" t="str">
        <f t="shared" si="14"/>
        <v/>
      </c>
      <c r="U434" s="26" t="str">
        <f t="shared" si="15"/>
        <v/>
      </c>
      <c r="V434" s="26" t="str">
        <f t="shared" si="16"/>
        <v/>
      </c>
      <c r="W434" s="26" t="str">
        <f t="shared" si="17"/>
        <v/>
      </c>
      <c r="X434" s="26" t="str">
        <f t="shared" si="18"/>
        <v/>
      </c>
      <c r="Y434" s="26" t="str">
        <f t="shared" si="19"/>
        <v/>
      </c>
      <c r="Z434" s="31" t="str">
        <f t="shared" si="20"/>
        <v/>
      </c>
      <c r="AA434" s="31" t="str">
        <f>IF(D434="","",IF(H434&lt;=$B$16,1,IF(H434&gt;=$B$17,$B$21,MATCH(H434,Aux_CAV!$A$2:$A$121,1))))</f>
        <v/>
      </c>
      <c r="AB434" s="31" t="str">
        <f>IF(D434="","",IF(L434&lt;=$B$16,1,IF(L434&gt;=$B$17,$B$21,MATCH(L434,Aux_CAV!$A$2:$A$121,1))))</f>
        <v/>
      </c>
      <c r="AC434" s="3" t="str">
        <f t="shared" si="21"/>
        <v/>
      </c>
    </row>
    <row r="435" ht="12.75" customHeight="1">
      <c r="A435" s="25" t="str">
        <f t="shared" si="1"/>
        <v/>
      </c>
      <c r="B435" s="29" t="str">
        <f t="array" ref="B435">IF(D435="","",IFERROR(VALUE(INDEX(Vazoes_COLAR!$A$2:$A$200,INT((ROW()-24)/12)+1)),""))</f>
        <v/>
      </c>
      <c r="C435" s="29" t="str">
        <f t="shared" si="2"/>
        <v/>
      </c>
      <c r="D435" s="26" t="str">
        <f t="array" ref="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35" s="26" t="str">
        <f t="shared" si="3"/>
        <v/>
      </c>
      <c r="F435" s="26" t="str">
        <f t="array" ref="F435">IF(D435="","",IFERROR(INDEX(Dados_Evap!$C$2:$N$15,MATCH($B$9,Dados_Evap!$A$2:$A$15,0),C435),0))</f>
        <v/>
      </c>
      <c r="G435" s="26" t="str">
        <f t="shared" si="4"/>
        <v/>
      </c>
      <c r="H435" s="26" t="str">
        <f t="shared" si="22"/>
        <v/>
      </c>
      <c r="I435" s="26" t="str">
        <f t="array" ref="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/>
      </c>
      <c r="J435" s="26" t="str">
        <f t="shared" si="5"/>
        <v/>
      </c>
      <c r="K435" s="26" t="str">
        <f t="shared" si="6"/>
        <v/>
      </c>
      <c r="L435" s="26" t="str">
        <f t="shared" si="7"/>
        <v/>
      </c>
      <c r="M435" s="26" t="str">
        <f t="array" ref="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/>
      </c>
      <c r="N435" s="26" t="str">
        <f t="shared" si="8"/>
        <v/>
      </c>
      <c r="O435" s="26" t="str">
        <f t="shared" si="9"/>
        <v/>
      </c>
      <c r="P435" s="26" t="str">
        <f t="shared" si="10"/>
        <v/>
      </c>
      <c r="Q435" s="26" t="str">
        <f t="shared" si="11"/>
        <v/>
      </c>
      <c r="R435" s="26" t="str">
        <f t="shared" si="12"/>
        <v/>
      </c>
      <c r="S435" s="26" t="str">
        <f t="shared" si="13"/>
        <v/>
      </c>
      <c r="T435" s="26" t="str">
        <f t="shared" si="14"/>
        <v/>
      </c>
      <c r="U435" s="26" t="str">
        <f t="shared" si="15"/>
        <v/>
      </c>
      <c r="V435" s="26" t="str">
        <f t="shared" si="16"/>
        <v/>
      </c>
      <c r="W435" s="26" t="str">
        <f t="shared" si="17"/>
        <v/>
      </c>
      <c r="X435" s="26" t="str">
        <f t="shared" si="18"/>
        <v/>
      </c>
      <c r="Y435" s="26" t="str">
        <f t="shared" si="19"/>
        <v/>
      </c>
      <c r="Z435" s="31" t="str">
        <f t="shared" si="20"/>
        <v/>
      </c>
      <c r="AA435" s="31" t="str">
        <f>IF(D435="","",IF(H435&lt;=$B$16,1,IF(H435&gt;=$B$17,$B$21,MATCH(H435,Aux_CAV!$A$2:$A$121,1))))</f>
        <v/>
      </c>
      <c r="AB435" s="31" t="str">
        <f>IF(D435="","",IF(L435&lt;=$B$16,1,IF(L435&gt;=$B$17,$B$21,MATCH(L435,Aux_CAV!$A$2:$A$121,1))))</f>
        <v/>
      </c>
      <c r="AC435" s="3" t="str">
        <f t="shared" si="21"/>
        <v/>
      </c>
    </row>
    <row r="436" ht="12.75" customHeight="1">
      <c r="A436" s="25" t="str">
        <f t="shared" si="1"/>
        <v/>
      </c>
      <c r="B436" s="29" t="str">
        <f t="array" ref="B436">IF(D436="","",IFERROR(VALUE(INDEX(Vazoes_COLAR!$A$2:$A$200,INT((ROW()-24)/12)+1)),""))</f>
        <v/>
      </c>
      <c r="C436" s="29" t="str">
        <f t="shared" si="2"/>
        <v/>
      </c>
      <c r="D436" s="26" t="str">
        <f t="array" ref="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36" s="26" t="str">
        <f t="shared" si="3"/>
        <v/>
      </c>
      <c r="F436" s="26" t="str">
        <f t="array" ref="F436">IF(D436="","",IFERROR(INDEX(Dados_Evap!$C$2:$N$15,MATCH($B$9,Dados_Evap!$A$2:$A$15,0),C436),0))</f>
        <v/>
      </c>
      <c r="G436" s="26" t="str">
        <f t="shared" si="4"/>
        <v/>
      </c>
      <c r="H436" s="26" t="str">
        <f t="shared" si="22"/>
        <v/>
      </c>
      <c r="I436" s="26" t="str">
        <f t="array" ref="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/>
      </c>
      <c r="J436" s="26" t="str">
        <f t="shared" si="5"/>
        <v/>
      </c>
      <c r="K436" s="26" t="str">
        <f t="shared" si="6"/>
        <v/>
      </c>
      <c r="L436" s="26" t="str">
        <f t="shared" si="7"/>
        <v/>
      </c>
      <c r="M436" s="26" t="str">
        <f t="array" ref="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/>
      </c>
      <c r="N436" s="26" t="str">
        <f t="shared" si="8"/>
        <v/>
      </c>
      <c r="O436" s="26" t="str">
        <f t="shared" si="9"/>
        <v/>
      </c>
      <c r="P436" s="26" t="str">
        <f t="shared" si="10"/>
        <v/>
      </c>
      <c r="Q436" s="26" t="str">
        <f t="shared" si="11"/>
        <v/>
      </c>
      <c r="R436" s="26" t="str">
        <f t="shared" si="12"/>
        <v/>
      </c>
      <c r="S436" s="26" t="str">
        <f t="shared" si="13"/>
        <v/>
      </c>
      <c r="T436" s="26" t="str">
        <f t="shared" si="14"/>
        <v/>
      </c>
      <c r="U436" s="26" t="str">
        <f t="shared" si="15"/>
        <v/>
      </c>
      <c r="V436" s="26" t="str">
        <f t="shared" si="16"/>
        <v/>
      </c>
      <c r="W436" s="26" t="str">
        <f t="shared" si="17"/>
        <v/>
      </c>
      <c r="X436" s="26" t="str">
        <f t="shared" si="18"/>
        <v/>
      </c>
      <c r="Y436" s="26" t="str">
        <f t="shared" si="19"/>
        <v/>
      </c>
      <c r="Z436" s="31" t="str">
        <f t="shared" si="20"/>
        <v/>
      </c>
      <c r="AA436" s="31" t="str">
        <f>IF(D436="","",IF(H436&lt;=$B$16,1,IF(H436&gt;=$B$17,$B$21,MATCH(H436,Aux_CAV!$A$2:$A$121,1))))</f>
        <v/>
      </c>
      <c r="AB436" s="31" t="str">
        <f>IF(D436="","",IF(L436&lt;=$B$16,1,IF(L436&gt;=$B$17,$B$21,MATCH(L436,Aux_CAV!$A$2:$A$121,1))))</f>
        <v/>
      </c>
      <c r="AC436" s="3" t="str">
        <f t="shared" si="21"/>
        <v/>
      </c>
    </row>
    <row r="437" ht="12.75" customHeight="1">
      <c r="A437" s="25" t="str">
        <f t="shared" si="1"/>
        <v/>
      </c>
      <c r="B437" s="29" t="str">
        <f t="array" ref="B437">IF(D437="","",IFERROR(VALUE(INDEX(Vazoes_COLAR!$A$2:$A$200,INT((ROW()-24)/12)+1)),""))</f>
        <v/>
      </c>
      <c r="C437" s="29" t="str">
        <f t="shared" si="2"/>
        <v/>
      </c>
      <c r="D437" s="26" t="str">
        <f t="array" ref="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37" s="26" t="str">
        <f t="shared" si="3"/>
        <v/>
      </c>
      <c r="F437" s="26" t="str">
        <f t="array" ref="F437">IF(D437="","",IFERROR(INDEX(Dados_Evap!$C$2:$N$15,MATCH($B$9,Dados_Evap!$A$2:$A$15,0),C437),0))</f>
        <v/>
      </c>
      <c r="G437" s="26" t="str">
        <f t="shared" si="4"/>
        <v/>
      </c>
      <c r="H437" s="26" t="str">
        <f t="shared" si="22"/>
        <v/>
      </c>
      <c r="I437" s="26" t="str">
        <f t="array" ref="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/>
      </c>
      <c r="J437" s="26" t="str">
        <f t="shared" si="5"/>
        <v/>
      </c>
      <c r="K437" s="26" t="str">
        <f t="shared" si="6"/>
        <v/>
      </c>
      <c r="L437" s="26" t="str">
        <f t="shared" si="7"/>
        <v/>
      </c>
      <c r="M437" s="26" t="str">
        <f t="array" ref="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/>
      </c>
      <c r="N437" s="26" t="str">
        <f t="shared" si="8"/>
        <v/>
      </c>
      <c r="O437" s="26" t="str">
        <f t="shared" si="9"/>
        <v/>
      </c>
      <c r="P437" s="26" t="str">
        <f t="shared" si="10"/>
        <v/>
      </c>
      <c r="Q437" s="26" t="str">
        <f t="shared" si="11"/>
        <v/>
      </c>
      <c r="R437" s="26" t="str">
        <f t="shared" si="12"/>
        <v/>
      </c>
      <c r="S437" s="26" t="str">
        <f t="shared" si="13"/>
        <v/>
      </c>
      <c r="T437" s="26" t="str">
        <f t="shared" si="14"/>
        <v/>
      </c>
      <c r="U437" s="26" t="str">
        <f t="shared" si="15"/>
        <v/>
      </c>
      <c r="V437" s="26" t="str">
        <f t="shared" si="16"/>
        <v/>
      </c>
      <c r="W437" s="26" t="str">
        <f t="shared" si="17"/>
        <v/>
      </c>
      <c r="X437" s="26" t="str">
        <f t="shared" si="18"/>
        <v/>
      </c>
      <c r="Y437" s="26" t="str">
        <f t="shared" si="19"/>
        <v/>
      </c>
      <c r="Z437" s="31" t="str">
        <f t="shared" si="20"/>
        <v/>
      </c>
      <c r="AA437" s="31" t="str">
        <f>IF(D437="","",IF(H437&lt;=$B$16,1,IF(H437&gt;=$B$17,$B$21,MATCH(H437,Aux_CAV!$A$2:$A$121,1))))</f>
        <v/>
      </c>
      <c r="AB437" s="31" t="str">
        <f>IF(D437="","",IF(L437&lt;=$B$16,1,IF(L437&gt;=$B$17,$B$21,MATCH(L437,Aux_CAV!$A$2:$A$121,1))))</f>
        <v/>
      </c>
      <c r="AC437" s="3" t="str">
        <f t="shared" si="21"/>
        <v/>
      </c>
    </row>
    <row r="438" ht="12.75" customHeight="1">
      <c r="A438" s="25" t="str">
        <f t="shared" si="1"/>
        <v/>
      </c>
      <c r="B438" s="29" t="str">
        <f t="array" ref="B438">IF(D438="","",IFERROR(VALUE(INDEX(Vazoes_COLAR!$A$2:$A$200,INT((ROW()-24)/12)+1)),""))</f>
        <v/>
      </c>
      <c r="C438" s="29" t="str">
        <f t="shared" si="2"/>
        <v/>
      </c>
      <c r="D438" s="26" t="str">
        <f t="array" ref="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38" s="26" t="str">
        <f t="shared" si="3"/>
        <v/>
      </c>
      <c r="F438" s="26" t="str">
        <f t="array" ref="F438">IF(D438="","",IFERROR(INDEX(Dados_Evap!$C$2:$N$15,MATCH($B$9,Dados_Evap!$A$2:$A$15,0),C438),0))</f>
        <v/>
      </c>
      <c r="G438" s="26" t="str">
        <f t="shared" si="4"/>
        <v/>
      </c>
      <c r="H438" s="26" t="str">
        <f t="shared" si="22"/>
        <v/>
      </c>
      <c r="I438" s="26" t="str">
        <f t="array" ref="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/>
      </c>
      <c r="J438" s="26" t="str">
        <f t="shared" si="5"/>
        <v/>
      </c>
      <c r="K438" s="26" t="str">
        <f t="shared" si="6"/>
        <v/>
      </c>
      <c r="L438" s="26" t="str">
        <f t="shared" si="7"/>
        <v/>
      </c>
      <c r="M438" s="26" t="str">
        <f t="array" ref="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/>
      </c>
      <c r="N438" s="26" t="str">
        <f t="shared" si="8"/>
        <v/>
      </c>
      <c r="O438" s="26" t="str">
        <f t="shared" si="9"/>
        <v/>
      </c>
      <c r="P438" s="26" t="str">
        <f t="shared" si="10"/>
        <v/>
      </c>
      <c r="Q438" s="26" t="str">
        <f t="shared" si="11"/>
        <v/>
      </c>
      <c r="R438" s="26" t="str">
        <f t="shared" si="12"/>
        <v/>
      </c>
      <c r="S438" s="26" t="str">
        <f t="shared" si="13"/>
        <v/>
      </c>
      <c r="T438" s="26" t="str">
        <f t="shared" si="14"/>
        <v/>
      </c>
      <c r="U438" s="26" t="str">
        <f t="shared" si="15"/>
        <v/>
      </c>
      <c r="V438" s="26" t="str">
        <f t="shared" si="16"/>
        <v/>
      </c>
      <c r="W438" s="26" t="str">
        <f t="shared" si="17"/>
        <v/>
      </c>
      <c r="X438" s="26" t="str">
        <f t="shared" si="18"/>
        <v/>
      </c>
      <c r="Y438" s="26" t="str">
        <f t="shared" si="19"/>
        <v/>
      </c>
      <c r="Z438" s="31" t="str">
        <f t="shared" si="20"/>
        <v/>
      </c>
      <c r="AA438" s="31" t="str">
        <f>IF(D438="","",IF(H438&lt;=$B$16,1,IF(H438&gt;=$B$17,$B$21,MATCH(H438,Aux_CAV!$A$2:$A$121,1))))</f>
        <v/>
      </c>
      <c r="AB438" s="31" t="str">
        <f>IF(D438="","",IF(L438&lt;=$B$16,1,IF(L438&gt;=$B$17,$B$21,MATCH(L438,Aux_CAV!$A$2:$A$121,1))))</f>
        <v/>
      </c>
      <c r="AC438" s="3" t="str">
        <f t="shared" si="21"/>
        <v/>
      </c>
    </row>
    <row r="439" ht="12.75" customHeight="1">
      <c r="A439" s="25" t="str">
        <f t="shared" si="1"/>
        <v/>
      </c>
      <c r="B439" s="29" t="str">
        <f t="array" ref="B439">IF(D439="","",IFERROR(VALUE(INDEX(Vazoes_COLAR!$A$2:$A$200,INT((ROW()-24)/12)+1)),""))</f>
        <v/>
      </c>
      <c r="C439" s="29" t="str">
        <f t="shared" si="2"/>
        <v/>
      </c>
      <c r="D439" s="26" t="str">
        <f t="array" ref="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39" s="26" t="str">
        <f t="shared" si="3"/>
        <v/>
      </c>
      <c r="F439" s="26" t="str">
        <f t="array" ref="F439">IF(D439="","",IFERROR(INDEX(Dados_Evap!$C$2:$N$15,MATCH($B$9,Dados_Evap!$A$2:$A$15,0),C439),0))</f>
        <v/>
      </c>
      <c r="G439" s="26" t="str">
        <f t="shared" si="4"/>
        <v/>
      </c>
      <c r="H439" s="26" t="str">
        <f t="shared" si="22"/>
        <v/>
      </c>
      <c r="I439" s="26" t="str">
        <f t="array" ref="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/>
      </c>
      <c r="J439" s="26" t="str">
        <f t="shared" si="5"/>
        <v/>
      </c>
      <c r="K439" s="26" t="str">
        <f t="shared" si="6"/>
        <v/>
      </c>
      <c r="L439" s="26" t="str">
        <f t="shared" si="7"/>
        <v/>
      </c>
      <c r="M439" s="26" t="str">
        <f t="array" ref="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/>
      </c>
      <c r="N439" s="26" t="str">
        <f t="shared" si="8"/>
        <v/>
      </c>
      <c r="O439" s="26" t="str">
        <f t="shared" si="9"/>
        <v/>
      </c>
      <c r="P439" s="26" t="str">
        <f t="shared" si="10"/>
        <v/>
      </c>
      <c r="Q439" s="26" t="str">
        <f t="shared" si="11"/>
        <v/>
      </c>
      <c r="R439" s="26" t="str">
        <f t="shared" si="12"/>
        <v/>
      </c>
      <c r="S439" s="26" t="str">
        <f t="shared" si="13"/>
        <v/>
      </c>
      <c r="T439" s="26" t="str">
        <f t="shared" si="14"/>
        <v/>
      </c>
      <c r="U439" s="26" t="str">
        <f t="shared" si="15"/>
        <v/>
      </c>
      <c r="V439" s="26" t="str">
        <f t="shared" si="16"/>
        <v/>
      </c>
      <c r="W439" s="26" t="str">
        <f t="shared" si="17"/>
        <v/>
      </c>
      <c r="X439" s="26" t="str">
        <f t="shared" si="18"/>
        <v/>
      </c>
      <c r="Y439" s="26" t="str">
        <f t="shared" si="19"/>
        <v/>
      </c>
      <c r="Z439" s="31" t="str">
        <f t="shared" si="20"/>
        <v/>
      </c>
      <c r="AA439" s="31" t="str">
        <f>IF(D439="","",IF(H439&lt;=$B$16,1,IF(H439&gt;=$B$17,$B$21,MATCH(H439,Aux_CAV!$A$2:$A$121,1))))</f>
        <v/>
      </c>
      <c r="AB439" s="31" t="str">
        <f>IF(D439="","",IF(L439&lt;=$B$16,1,IF(L439&gt;=$B$17,$B$21,MATCH(L439,Aux_CAV!$A$2:$A$121,1))))</f>
        <v/>
      </c>
      <c r="AC439" s="3" t="str">
        <f t="shared" si="21"/>
        <v/>
      </c>
    </row>
    <row r="440" ht="12.75" customHeight="1">
      <c r="A440" s="25" t="str">
        <f t="shared" si="1"/>
        <v/>
      </c>
      <c r="B440" s="29" t="str">
        <f t="array" ref="B440">IF(D440="","",IFERROR(VALUE(INDEX(Vazoes_COLAR!$A$2:$A$200,INT((ROW()-24)/12)+1)),""))</f>
        <v/>
      </c>
      <c r="C440" s="29" t="str">
        <f t="shared" si="2"/>
        <v/>
      </c>
      <c r="D440" s="26" t="str">
        <f t="array" ref="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40" s="26" t="str">
        <f t="shared" si="3"/>
        <v/>
      </c>
      <c r="F440" s="26" t="str">
        <f t="array" ref="F440">IF(D440="","",IFERROR(INDEX(Dados_Evap!$C$2:$N$15,MATCH($B$9,Dados_Evap!$A$2:$A$15,0),C440),0))</f>
        <v/>
      </c>
      <c r="G440" s="26" t="str">
        <f t="shared" si="4"/>
        <v/>
      </c>
      <c r="H440" s="26" t="str">
        <f t="shared" si="22"/>
        <v/>
      </c>
      <c r="I440" s="26" t="str">
        <f t="array" ref="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/>
      </c>
      <c r="J440" s="26" t="str">
        <f t="shared" si="5"/>
        <v/>
      </c>
      <c r="K440" s="26" t="str">
        <f t="shared" si="6"/>
        <v/>
      </c>
      <c r="L440" s="26" t="str">
        <f t="shared" si="7"/>
        <v/>
      </c>
      <c r="M440" s="26" t="str">
        <f t="array" ref="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/>
      </c>
      <c r="N440" s="26" t="str">
        <f t="shared" si="8"/>
        <v/>
      </c>
      <c r="O440" s="26" t="str">
        <f t="shared" si="9"/>
        <v/>
      </c>
      <c r="P440" s="26" t="str">
        <f t="shared" si="10"/>
        <v/>
      </c>
      <c r="Q440" s="26" t="str">
        <f t="shared" si="11"/>
        <v/>
      </c>
      <c r="R440" s="26" t="str">
        <f t="shared" si="12"/>
        <v/>
      </c>
      <c r="S440" s="26" t="str">
        <f t="shared" si="13"/>
        <v/>
      </c>
      <c r="T440" s="26" t="str">
        <f t="shared" si="14"/>
        <v/>
      </c>
      <c r="U440" s="26" t="str">
        <f t="shared" si="15"/>
        <v/>
      </c>
      <c r="V440" s="26" t="str">
        <f t="shared" si="16"/>
        <v/>
      </c>
      <c r="W440" s="26" t="str">
        <f t="shared" si="17"/>
        <v/>
      </c>
      <c r="X440" s="26" t="str">
        <f t="shared" si="18"/>
        <v/>
      </c>
      <c r="Y440" s="26" t="str">
        <f t="shared" si="19"/>
        <v/>
      </c>
      <c r="Z440" s="31" t="str">
        <f t="shared" si="20"/>
        <v/>
      </c>
      <c r="AA440" s="31" t="str">
        <f>IF(D440="","",IF(H440&lt;=$B$16,1,IF(H440&gt;=$B$17,$B$21,MATCH(H440,Aux_CAV!$A$2:$A$121,1))))</f>
        <v/>
      </c>
      <c r="AB440" s="31" t="str">
        <f>IF(D440="","",IF(L440&lt;=$B$16,1,IF(L440&gt;=$B$17,$B$21,MATCH(L440,Aux_CAV!$A$2:$A$121,1))))</f>
        <v/>
      </c>
      <c r="AC440" s="3" t="str">
        <f t="shared" si="21"/>
        <v/>
      </c>
    </row>
    <row r="441" ht="12.75" customHeight="1">
      <c r="A441" s="25" t="str">
        <f t="shared" si="1"/>
        <v/>
      </c>
      <c r="B441" s="29" t="str">
        <f t="array" ref="B441">IF(D441="","",IFERROR(VALUE(INDEX(Vazoes_COLAR!$A$2:$A$200,INT((ROW()-24)/12)+1)),""))</f>
        <v/>
      </c>
      <c r="C441" s="29" t="str">
        <f t="shared" si="2"/>
        <v/>
      </c>
      <c r="D441" s="26" t="str">
        <f t="array" ref="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41" s="26" t="str">
        <f t="shared" si="3"/>
        <v/>
      </c>
      <c r="F441" s="26" t="str">
        <f t="array" ref="F441">IF(D441="","",IFERROR(INDEX(Dados_Evap!$C$2:$N$15,MATCH($B$9,Dados_Evap!$A$2:$A$15,0),C441),0))</f>
        <v/>
      </c>
      <c r="G441" s="26" t="str">
        <f t="shared" si="4"/>
        <v/>
      </c>
      <c r="H441" s="26" t="str">
        <f t="shared" si="22"/>
        <v/>
      </c>
      <c r="I441" s="26" t="str">
        <f t="array" ref="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/>
      </c>
      <c r="J441" s="26" t="str">
        <f t="shared" si="5"/>
        <v/>
      </c>
      <c r="K441" s="26" t="str">
        <f t="shared" si="6"/>
        <v/>
      </c>
      <c r="L441" s="26" t="str">
        <f t="shared" si="7"/>
        <v/>
      </c>
      <c r="M441" s="26" t="str">
        <f t="array" ref="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/>
      </c>
      <c r="N441" s="26" t="str">
        <f t="shared" si="8"/>
        <v/>
      </c>
      <c r="O441" s="26" t="str">
        <f t="shared" si="9"/>
        <v/>
      </c>
      <c r="P441" s="26" t="str">
        <f t="shared" si="10"/>
        <v/>
      </c>
      <c r="Q441" s="26" t="str">
        <f t="shared" si="11"/>
        <v/>
      </c>
      <c r="R441" s="26" t="str">
        <f t="shared" si="12"/>
        <v/>
      </c>
      <c r="S441" s="26" t="str">
        <f t="shared" si="13"/>
        <v/>
      </c>
      <c r="T441" s="26" t="str">
        <f t="shared" si="14"/>
        <v/>
      </c>
      <c r="U441" s="26" t="str">
        <f t="shared" si="15"/>
        <v/>
      </c>
      <c r="V441" s="26" t="str">
        <f t="shared" si="16"/>
        <v/>
      </c>
      <c r="W441" s="26" t="str">
        <f t="shared" si="17"/>
        <v/>
      </c>
      <c r="X441" s="26" t="str">
        <f t="shared" si="18"/>
        <v/>
      </c>
      <c r="Y441" s="26" t="str">
        <f t="shared" si="19"/>
        <v/>
      </c>
      <c r="Z441" s="31" t="str">
        <f t="shared" si="20"/>
        <v/>
      </c>
      <c r="AA441" s="31" t="str">
        <f>IF(D441="","",IF(H441&lt;=$B$16,1,IF(H441&gt;=$B$17,$B$21,MATCH(H441,Aux_CAV!$A$2:$A$121,1))))</f>
        <v/>
      </c>
      <c r="AB441" s="31" t="str">
        <f>IF(D441="","",IF(L441&lt;=$B$16,1,IF(L441&gt;=$B$17,$B$21,MATCH(L441,Aux_CAV!$A$2:$A$121,1))))</f>
        <v/>
      </c>
      <c r="AC441" s="3" t="str">
        <f t="shared" si="21"/>
        <v/>
      </c>
    </row>
    <row r="442" ht="12.75" customHeight="1">
      <c r="A442" s="25" t="str">
        <f t="shared" si="1"/>
        <v/>
      </c>
      <c r="B442" s="29" t="str">
        <f t="array" ref="B442">IF(D442="","",IFERROR(VALUE(INDEX(Vazoes_COLAR!$A$2:$A$200,INT((ROW()-24)/12)+1)),""))</f>
        <v/>
      </c>
      <c r="C442" s="29" t="str">
        <f t="shared" si="2"/>
        <v/>
      </c>
      <c r="D442" s="26" t="str">
        <f t="array" ref="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42" s="26" t="str">
        <f t="shared" si="3"/>
        <v/>
      </c>
      <c r="F442" s="26" t="str">
        <f t="array" ref="F442">IF(D442="","",IFERROR(INDEX(Dados_Evap!$C$2:$N$15,MATCH($B$9,Dados_Evap!$A$2:$A$15,0),C442),0))</f>
        <v/>
      </c>
      <c r="G442" s="26" t="str">
        <f t="shared" si="4"/>
        <v/>
      </c>
      <c r="H442" s="26" t="str">
        <f t="shared" si="22"/>
        <v/>
      </c>
      <c r="I442" s="26" t="str">
        <f t="array" ref="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/>
      </c>
      <c r="J442" s="26" t="str">
        <f t="shared" si="5"/>
        <v/>
      </c>
      <c r="K442" s="26" t="str">
        <f t="shared" si="6"/>
        <v/>
      </c>
      <c r="L442" s="26" t="str">
        <f t="shared" si="7"/>
        <v/>
      </c>
      <c r="M442" s="26" t="str">
        <f t="array" ref="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/>
      </c>
      <c r="N442" s="26" t="str">
        <f t="shared" si="8"/>
        <v/>
      </c>
      <c r="O442" s="26" t="str">
        <f t="shared" si="9"/>
        <v/>
      </c>
      <c r="P442" s="26" t="str">
        <f t="shared" si="10"/>
        <v/>
      </c>
      <c r="Q442" s="26" t="str">
        <f t="shared" si="11"/>
        <v/>
      </c>
      <c r="R442" s="26" t="str">
        <f t="shared" si="12"/>
        <v/>
      </c>
      <c r="S442" s="26" t="str">
        <f t="shared" si="13"/>
        <v/>
      </c>
      <c r="T442" s="26" t="str">
        <f t="shared" si="14"/>
        <v/>
      </c>
      <c r="U442" s="26" t="str">
        <f t="shared" si="15"/>
        <v/>
      </c>
      <c r="V442" s="26" t="str">
        <f t="shared" si="16"/>
        <v/>
      </c>
      <c r="W442" s="26" t="str">
        <f t="shared" si="17"/>
        <v/>
      </c>
      <c r="X442" s="26" t="str">
        <f t="shared" si="18"/>
        <v/>
      </c>
      <c r="Y442" s="26" t="str">
        <f t="shared" si="19"/>
        <v/>
      </c>
      <c r="Z442" s="31" t="str">
        <f t="shared" si="20"/>
        <v/>
      </c>
      <c r="AA442" s="31" t="str">
        <f>IF(D442="","",IF(H442&lt;=$B$16,1,IF(H442&gt;=$B$17,$B$21,MATCH(H442,Aux_CAV!$A$2:$A$121,1))))</f>
        <v/>
      </c>
      <c r="AB442" s="31" t="str">
        <f>IF(D442="","",IF(L442&lt;=$B$16,1,IF(L442&gt;=$B$17,$B$21,MATCH(L442,Aux_CAV!$A$2:$A$121,1))))</f>
        <v/>
      </c>
      <c r="AC442" s="3" t="str">
        <f t="shared" si="21"/>
        <v/>
      </c>
    </row>
    <row r="443" ht="12.75" customHeight="1">
      <c r="A443" s="25" t="str">
        <f t="shared" si="1"/>
        <v/>
      </c>
      <c r="B443" s="29" t="str">
        <f t="array" ref="B443">IF(D443="","",IFERROR(VALUE(INDEX(Vazoes_COLAR!$A$2:$A$200,INT((ROW()-24)/12)+1)),""))</f>
        <v/>
      </c>
      <c r="C443" s="29" t="str">
        <f t="shared" si="2"/>
        <v/>
      </c>
      <c r="D443" s="26" t="str">
        <f t="array" ref="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43" s="26" t="str">
        <f t="shared" si="3"/>
        <v/>
      </c>
      <c r="F443" s="26" t="str">
        <f t="array" ref="F443">IF(D443="","",IFERROR(INDEX(Dados_Evap!$C$2:$N$15,MATCH($B$9,Dados_Evap!$A$2:$A$15,0),C443),0))</f>
        <v/>
      </c>
      <c r="G443" s="26" t="str">
        <f t="shared" si="4"/>
        <v/>
      </c>
      <c r="H443" s="26" t="str">
        <f t="shared" si="22"/>
        <v/>
      </c>
      <c r="I443" s="26" t="str">
        <f t="array" ref="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/>
      </c>
      <c r="J443" s="26" t="str">
        <f t="shared" si="5"/>
        <v/>
      </c>
      <c r="K443" s="26" t="str">
        <f t="shared" si="6"/>
        <v/>
      </c>
      <c r="L443" s="26" t="str">
        <f t="shared" si="7"/>
        <v/>
      </c>
      <c r="M443" s="26" t="str">
        <f t="array" ref="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/>
      </c>
      <c r="N443" s="26" t="str">
        <f t="shared" si="8"/>
        <v/>
      </c>
      <c r="O443" s="26" t="str">
        <f t="shared" si="9"/>
        <v/>
      </c>
      <c r="P443" s="26" t="str">
        <f t="shared" si="10"/>
        <v/>
      </c>
      <c r="Q443" s="26" t="str">
        <f t="shared" si="11"/>
        <v/>
      </c>
      <c r="R443" s="26" t="str">
        <f t="shared" si="12"/>
        <v/>
      </c>
      <c r="S443" s="26" t="str">
        <f t="shared" si="13"/>
        <v/>
      </c>
      <c r="T443" s="26" t="str">
        <f t="shared" si="14"/>
        <v/>
      </c>
      <c r="U443" s="26" t="str">
        <f t="shared" si="15"/>
        <v/>
      </c>
      <c r="V443" s="26" t="str">
        <f t="shared" si="16"/>
        <v/>
      </c>
      <c r="W443" s="26" t="str">
        <f t="shared" si="17"/>
        <v/>
      </c>
      <c r="X443" s="26" t="str">
        <f t="shared" si="18"/>
        <v/>
      </c>
      <c r="Y443" s="26" t="str">
        <f t="shared" si="19"/>
        <v/>
      </c>
      <c r="Z443" s="31" t="str">
        <f t="shared" si="20"/>
        <v/>
      </c>
      <c r="AA443" s="31" t="str">
        <f>IF(D443="","",IF(H443&lt;=$B$16,1,IF(H443&gt;=$B$17,$B$21,MATCH(H443,Aux_CAV!$A$2:$A$121,1))))</f>
        <v/>
      </c>
      <c r="AB443" s="31" t="str">
        <f>IF(D443="","",IF(L443&lt;=$B$16,1,IF(L443&gt;=$B$17,$B$21,MATCH(L443,Aux_CAV!$A$2:$A$121,1))))</f>
        <v/>
      </c>
      <c r="AC443" s="3" t="str">
        <f t="shared" si="21"/>
        <v/>
      </c>
    </row>
    <row r="444" ht="12.75" customHeight="1">
      <c r="A444" s="25" t="str">
        <f t="shared" si="1"/>
        <v/>
      </c>
      <c r="B444" s="29" t="str">
        <f t="array" ref="B444">IF(D444="","",IFERROR(VALUE(INDEX(Vazoes_COLAR!$A$2:$A$200,INT((ROW()-24)/12)+1)),""))</f>
        <v/>
      </c>
      <c r="C444" s="29" t="str">
        <f t="shared" si="2"/>
        <v/>
      </c>
      <c r="D444" s="26" t="str">
        <f t="array" ref="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44" s="26" t="str">
        <f t="shared" si="3"/>
        <v/>
      </c>
      <c r="F444" s="26" t="str">
        <f t="array" ref="F444">IF(D444="","",IFERROR(INDEX(Dados_Evap!$C$2:$N$15,MATCH($B$9,Dados_Evap!$A$2:$A$15,0),C444),0))</f>
        <v/>
      </c>
      <c r="G444" s="26" t="str">
        <f t="shared" si="4"/>
        <v/>
      </c>
      <c r="H444" s="26" t="str">
        <f t="shared" si="22"/>
        <v/>
      </c>
      <c r="I444" s="26" t="str">
        <f t="array" ref="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/>
      </c>
      <c r="J444" s="26" t="str">
        <f t="shared" si="5"/>
        <v/>
      </c>
      <c r="K444" s="26" t="str">
        <f t="shared" si="6"/>
        <v/>
      </c>
      <c r="L444" s="26" t="str">
        <f t="shared" si="7"/>
        <v/>
      </c>
      <c r="M444" s="26" t="str">
        <f t="array" ref="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/>
      </c>
      <c r="N444" s="26" t="str">
        <f t="shared" si="8"/>
        <v/>
      </c>
      <c r="O444" s="26" t="str">
        <f t="shared" si="9"/>
        <v/>
      </c>
      <c r="P444" s="26" t="str">
        <f t="shared" si="10"/>
        <v/>
      </c>
      <c r="Q444" s="26" t="str">
        <f t="shared" si="11"/>
        <v/>
      </c>
      <c r="R444" s="26" t="str">
        <f t="shared" si="12"/>
        <v/>
      </c>
      <c r="S444" s="26" t="str">
        <f t="shared" si="13"/>
        <v/>
      </c>
      <c r="T444" s="26" t="str">
        <f t="shared" si="14"/>
        <v/>
      </c>
      <c r="U444" s="26" t="str">
        <f t="shared" si="15"/>
        <v/>
      </c>
      <c r="V444" s="26" t="str">
        <f t="shared" si="16"/>
        <v/>
      </c>
      <c r="W444" s="26" t="str">
        <f t="shared" si="17"/>
        <v/>
      </c>
      <c r="X444" s="26" t="str">
        <f t="shared" si="18"/>
        <v/>
      </c>
      <c r="Y444" s="26" t="str">
        <f t="shared" si="19"/>
        <v/>
      </c>
      <c r="Z444" s="31" t="str">
        <f t="shared" si="20"/>
        <v/>
      </c>
      <c r="AA444" s="31" t="str">
        <f>IF(D444="","",IF(H444&lt;=$B$16,1,IF(H444&gt;=$B$17,$B$21,MATCH(H444,Aux_CAV!$A$2:$A$121,1))))</f>
        <v/>
      </c>
      <c r="AB444" s="31" t="str">
        <f>IF(D444="","",IF(L444&lt;=$B$16,1,IF(L444&gt;=$B$17,$B$21,MATCH(L444,Aux_CAV!$A$2:$A$121,1))))</f>
        <v/>
      </c>
      <c r="AC444" s="3" t="str">
        <f t="shared" si="21"/>
        <v/>
      </c>
    </row>
    <row r="445" ht="12.75" customHeight="1">
      <c r="A445" s="25" t="str">
        <f t="shared" si="1"/>
        <v/>
      </c>
      <c r="B445" s="29" t="str">
        <f t="array" ref="B445">IF(D445="","",IFERROR(VALUE(INDEX(Vazoes_COLAR!$A$2:$A$200,INT((ROW()-24)/12)+1)),""))</f>
        <v/>
      </c>
      <c r="C445" s="29" t="str">
        <f t="shared" si="2"/>
        <v/>
      </c>
      <c r="D445" s="26" t="str">
        <f t="array" ref="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45" s="26" t="str">
        <f t="shared" si="3"/>
        <v/>
      </c>
      <c r="F445" s="26" t="str">
        <f t="array" ref="F445">IF(D445="","",IFERROR(INDEX(Dados_Evap!$C$2:$N$15,MATCH($B$9,Dados_Evap!$A$2:$A$15,0),C445),0))</f>
        <v/>
      </c>
      <c r="G445" s="26" t="str">
        <f t="shared" si="4"/>
        <v/>
      </c>
      <c r="H445" s="26" t="str">
        <f t="shared" si="22"/>
        <v/>
      </c>
      <c r="I445" s="26" t="str">
        <f t="array" ref="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/>
      </c>
      <c r="J445" s="26" t="str">
        <f t="shared" si="5"/>
        <v/>
      </c>
      <c r="K445" s="26" t="str">
        <f t="shared" si="6"/>
        <v/>
      </c>
      <c r="L445" s="26" t="str">
        <f t="shared" si="7"/>
        <v/>
      </c>
      <c r="M445" s="26" t="str">
        <f t="array" ref="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/>
      </c>
      <c r="N445" s="26" t="str">
        <f t="shared" si="8"/>
        <v/>
      </c>
      <c r="O445" s="26" t="str">
        <f t="shared" si="9"/>
        <v/>
      </c>
      <c r="P445" s="26" t="str">
        <f t="shared" si="10"/>
        <v/>
      </c>
      <c r="Q445" s="26" t="str">
        <f t="shared" si="11"/>
        <v/>
      </c>
      <c r="R445" s="26" t="str">
        <f t="shared" si="12"/>
        <v/>
      </c>
      <c r="S445" s="26" t="str">
        <f t="shared" si="13"/>
        <v/>
      </c>
      <c r="T445" s="26" t="str">
        <f t="shared" si="14"/>
        <v/>
      </c>
      <c r="U445" s="26" t="str">
        <f t="shared" si="15"/>
        <v/>
      </c>
      <c r="V445" s="26" t="str">
        <f t="shared" si="16"/>
        <v/>
      </c>
      <c r="W445" s="26" t="str">
        <f t="shared" si="17"/>
        <v/>
      </c>
      <c r="X445" s="26" t="str">
        <f t="shared" si="18"/>
        <v/>
      </c>
      <c r="Y445" s="26" t="str">
        <f t="shared" si="19"/>
        <v/>
      </c>
      <c r="Z445" s="31" t="str">
        <f t="shared" si="20"/>
        <v/>
      </c>
      <c r="AA445" s="31" t="str">
        <f>IF(D445="","",IF(H445&lt;=$B$16,1,IF(H445&gt;=$B$17,$B$21,MATCH(H445,Aux_CAV!$A$2:$A$121,1))))</f>
        <v/>
      </c>
      <c r="AB445" s="31" t="str">
        <f>IF(D445="","",IF(L445&lt;=$B$16,1,IF(L445&gt;=$B$17,$B$21,MATCH(L445,Aux_CAV!$A$2:$A$121,1))))</f>
        <v/>
      </c>
      <c r="AC445" s="3" t="str">
        <f t="shared" si="21"/>
        <v/>
      </c>
    </row>
    <row r="446" ht="12.75" customHeight="1">
      <c r="A446" s="25" t="str">
        <f t="shared" si="1"/>
        <v/>
      </c>
      <c r="B446" s="29" t="str">
        <f t="array" ref="B446">IF(D446="","",IFERROR(VALUE(INDEX(Vazoes_COLAR!$A$2:$A$200,INT((ROW()-24)/12)+1)),""))</f>
        <v/>
      </c>
      <c r="C446" s="29" t="str">
        <f t="shared" si="2"/>
        <v/>
      </c>
      <c r="D446" s="26" t="str">
        <f t="array" ref="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46" s="26" t="str">
        <f t="shared" si="3"/>
        <v/>
      </c>
      <c r="F446" s="26" t="str">
        <f t="array" ref="F446">IF(D446="","",IFERROR(INDEX(Dados_Evap!$C$2:$N$15,MATCH($B$9,Dados_Evap!$A$2:$A$15,0),C446),0))</f>
        <v/>
      </c>
      <c r="G446" s="26" t="str">
        <f t="shared" si="4"/>
        <v/>
      </c>
      <c r="H446" s="26" t="str">
        <f t="shared" si="22"/>
        <v/>
      </c>
      <c r="I446" s="26" t="str">
        <f t="array" ref="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/>
      </c>
      <c r="J446" s="26" t="str">
        <f t="shared" si="5"/>
        <v/>
      </c>
      <c r="K446" s="26" t="str">
        <f t="shared" si="6"/>
        <v/>
      </c>
      <c r="L446" s="26" t="str">
        <f t="shared" si="7"/>
        <v/>
      </c>
      <c r="M446" s="26" t="str">
        <f t="array" ref="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/>
      </c>
      <c r="N446" s="26" t="str">
        <f t="shared" si="8"/>
        <v/>
      </c>
      <c r="O446" s="26" t="str">
        <f t="shared" si="9"/>
        <v/>
      </c>
      <c r="P446" s="26" t="str">
        <f t="shared" si="10"/>
        <v/>
      </c>
      <c r="Q446" s="26" t="str">
        <f t="shared" si="11"/>
        <v/>
      </c>
      <c r="R446" s="26" t="str">
        <f t="shared" si="12"/>
        <v/>
      </c>
      <c r="S446" s="26" t="str">
        <f t="shared" si="13"/>
        <v/>
      </c>
      <c r="T446" s="26" t="str">
        <f t="shared" si="14"/>
        <v/>
      </c>
      <c r="U446" s="26" t="str">
        <f t="shared" si="15"/>
        <v/>
      </c>
      <c r="V446" s="26" t="str">
        <f t="shared" si="16"/>
        <v/>
      </c>
      <c r="W446" s="26" t="str">
        <f t="shared" si="17"/>
        <v/>
      </c>
      <c r="X446" s="26" t="str">
        <f t="shared" si="18"/>
        <v/>
      </c>
      <c r="Y446" s="26" t="str">
        <f t="shared" si="19"/>
        <v/>
      </c>
      <c r="Z446" s="31" t="str">
        <f t="shared" si="20"/>
        <v/>
      </c>
      <c r="AA446" s="31" t="str">
        <f>IF(D446="","",IF(H446&lt;=$B$16,1,IF(H446&gt;=$B$17,$B$21,MATCH(H446,Aux_CAV!$A$2:$A$121,1))))</f>
        <v/>
      </c>
      <c r="AB446" s="31" t="str">
        <f>IF(D446="","",IF(L446&lt;=$B$16,1,IF(L446&gt;=$B$17,$B$21,MATCH(L446,Aux_CAV!$A$2:$A$121,1))))</f>
        <v/>
      </c>
      <c r="AC446" s="3" t="str">
        <f t="shared" si="21"/>
        <v/>
      </c>
    </row>
    <row r="447" ht="12.75" customHeight="1">
      <c r="A447" s="25" t="str">
        <f t="shared" si="1"/>
        <v/>
      </c>
      <c r="B447" s="29" t="str">
        <f t="array" ref="B447">IF(D447="","",IFERROR(VALUE(INDEX(Vazoes_COLAR!$A$2:$A$200,INT((ROW()-24)/12)+1)),""))</f>
        <v/>
      </c>
      <c r="C447" s="29" t="str">
        <f t="shared" si="2"/>
        <v/>
      </c>
      <c r="D447" s="26" t="str">
        <f t="array" ref="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47" s="26" t="str">
        <f t="shared" si="3"/>
        <v/>
      </c>
      <c r="F447" s="26" t="str">
        <f t="array" ref="F447">IF(D447="","",IFERROR(INDEX(Dados_Evap!$C$2:$N$15,MATCH($B$9,Dados_Evap!$A$2:$A$15,0),C447),0))</f>
        <v/>
      </c>
      <c r="G447" s="26" t="str">
        <f t="shared" si="4"/>
        <v/>
      </c>
      <c r="H447" s="26" t="str">
        <f t="shared" si="22"/>
        <v/>
      </c>
      <c r="I447" s="26" t="str">
        <f t="array" ref="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/>
      </c>
      <c r="J447" s="26" t="str">
        <f t="shared" si="5"/>
        <v/>
      </c>
      <c r="K447" s="26" t="str">
        <f t="shared" si="6"/>
        <v/>
      </c>
      <c r="L447" s="26" t="str">
        <f t="shared" si="7"/>
        <v/>
      </c>
      <c r="M447" s="26" t="str">
        <f t="array" ref="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/>
      </c>
      <c r="N447" s="26" t="str">
        <f t="shared" si="8"/>
        <v/>
      </c>
      <c r="O447" s="26" t="str">
        <f t="shared" si="9"/>
        <v/>
      </c>
      <c r="P447" s="26" t="str">
        <f t="shared" si="10"/>
        <v/>
      </c>
      <c r="Q447" s="26" t="str">
        <f t="shared" si="11"/>
        <v/>
      </c>
      <c r="R447" s="26" t="str">
        <f t="shared" si="12"/>
        <v/>
      </c>
      <c r="S447" s="26" t="str">
        <f t="shared" si="13"/>
        <v/>
      </c>
      <c r="T447" s="26" t="str">
        <f t="shared" si="14"/>
        <v/>
      </c>
      <c r="U447" s="26" t="str">
        <f t="shared" si="15"/>
        <v/>
      </c>
      <c r="V447" s="26" t="str">
        <f t="shared" si="16"/>
        <v/>
      </c>
      <c r="W447" s="26" t="str">
        <f t="shared" si="17"/>
        <v/>
      </c>
      <c r="X447" s="26" t="str">
        <f t="shared" si="18"/>
        <v/>
      </c>
      <c r="Y447" s="26" t="str">
        <f t="shared" si="19"/>
        <v/>
      </c>
      <c r="Z447" s="31" t="str">
        <f t="shared" si="20"/>
        <v/>
      </c>
      <c r="AA447" s="31" t="str">
        <f>IF(D447="","",IF(H447&lt;=$B$16,1,IF(H447&gt;=$B$17,$B$21,MATCH(H447,Aux_CAV!$A$2:$A$121,1))))</f>
        <v/>
      </c>
      <c r="AB447" s="31" t="str">
        <f>IF(D447="","",IF(L447&lt;=$B$16,1,IF(L447&gt;=$B$17,$B$21,MATCH(L447,Aux_CAV!$A$2:$A$121,1))))</f>
        <v/>
      </c>
      <c r="AC447" s="3" t="str">
        <f t="shared" si="21"/>
        <v/>
      </c>
    </row>
    <row r="448" ht="12.75" customHeight="1">
      <c r="A448" s="25" t="str">
        <f t="shared" si="1"/>
        <v/>
      </c>
      <c r="B448" s="29" t="str">
        <f t="array" ref="B448">IF(D448="","",IFERROR(VALUE(INDEX(Vazoes_COLAR!$A$2:$A$200,INT((ROW()-24)/12)+1)),""))</f>
        <v/>
      </c>
      <c r="C448" s="29" t="str">
        <f t="shared" si="2"/>
        <v/>
      </c>
      <c r="D448" s="26" t="str">
        <f t="array" ref="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48" s="26" t="str">
        <f t="shared" si="3"/>
        <v/>
      </c>
      <c r="F448" s="26" t="str">
        <f t="array" ref="F448">IF(D448="","",IFERROR(INDEX(Dados_Evap!$C$2:$N$15,MATCH($B$9,Dados_Evap!$A$2:$A$15,0),C448),0))</f>
        <v/>
      </c>
      <c r="G448" s="26" t="str">
        <f t="shared" si="4"/>
        <v/>
      </c>
      <c r="H448" s="26" t="str">
        <f t="shared" si="22"/>
        <v/>
      </c>
      <c r="I448" s="26" t="str">
        <f t="array" ref="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/>
      </c>
      <c r="J448" s="26" t="str">
        <f t="shared" si="5"/>
        <v/>
      </c>
      <c r="K448" s="26" t="str">
        <f t="shared" si="6"/>
        <v/>
      </c>
      <c r="L448" s="26" t="str">
        <f t="shared" si="7"/>
        <v/>
      </c>
      <c r="M448" s="26" t="str">
        <f t="array" ref="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/>
      </c>
      <c r="N448" s="26" t="str">
        <f t="shared" si="8"/>
        <v/>
      </c>
      <c r="O448" s="26" t="str">
        <f t="shared" si="9"/>
        <v/>
      </c>
      <c r="P448" s="26" t="str">
        <f t="shared" si="10"/>
        <v/>
      </c>
      <c r="Q448" s="26" t="str">
        <f t="shared" si="11"/>
        <v/>
      </c>
      <c r="R448" s="26" t="str">
        <f t="shared" si="12"/>
        <v/>
      </c>
      <c r="S448" s="26" t="str">
        <f t="shared" si="13"/>
        <v/>
      </c>
      <c r="T448" s="26" t="str">
        <f t="shared" si="14"/>
        <v/>
      </c>
      <c r="U448" s="26" t="str">
        <f t="shared" si="15"/>
        <v/>
      </c>
      <c r="V448" s="26" t="str">
        <f t="shared" si="16"/>
        <v/>
      </c>
      <c r="W448" s="26" t="str">
        <f t="shared" si="17"/>
        <v/>
      </c>
      <c r="X448" s="26" t="str">
        <f t="shared" si="18"/>
        <v/>
      </c>
      <c r="Y448" s="26" t="str">
        <f t="shared" si="19"/>
        <v/>
      </c>
      <c r="Z448" s="31" t="str">
        <f t="shared" si="20"/>
        <v/>
      </c>
      <c r="AA448" s="31" t="str">
        <f>IF(D448="","",IF(H448&lt;=$B$16,1,IF(H448&gt;=$B$17,$B$21,MATCH(H448,Aux_CAV!$A$2:$A$121,1))))</f>
        <v/>
      </c>
      <c r="AB448" s="31" t="str">
        <f>IF(D448="","",IF(L448&lt;=$B$16,1,IF(L448&gt;=$B$17,$B$21,MATCH(L448,Aux_CAV!$A$2:$A$121,1))))</f>
        <v/>
      </c>
      <c r="AC448" s="3" t="str">
        <f t="shared" si="21"/>
        <v/>
      </c>
    </row>
    <row r="449" ht="12.75" customHeight="1">
      <c r="A449" s="25" t="str">
        <f t="shared" si="1"/>
        <v/>
      </c>
      <c r="B449" s="29" t="str">
        <f t="array" ref="B449">IF(D449="","",IFERROR(VALUE(INDEX(Vazoes_COLAR!$A$2:$A$200,INT((ROW()-24)/12)+1)),""))</f>
        <v/>
      </c>
      <c r="C449" s="29" t="str">
        <f t="shared" si="2"/>
        <v/>
      </c>
      <c r="D449" s="26" t="str">
        <f t="array" ref="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49" s="26" t="str">
        <f t="shared" si="3"/>
        <v/>
      </c>
      <c r="F449" s="26" t="str">
        <f t="array" ref="F449">IF(D449="","",IFERROR(INDEX(Dados_Evap!$C$2:$N$15,MATCH($B$9,Dados_Evap!$A$2:$A$15,0),C449),0))</f>
        <v/>
      </c>
      <c r="G449" s="26" t="str">
        <f t="shared" si="4"/>
        <v/>
      </c>
      <c r="H449" s="26" t="str">
        <f t="shared" si="22"/>
        <v/>
      </c>
      <c r="I449" s="26" t="str">
        <f t="array" ref="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/>
      </c>
      <c r="J449" s="26" t="str">
        <f t="shared" si="5"/>
        <v/>
      </c>
      <c r="K449" s="26" t="str">
        <f t="shared" si="6"/>
        <v/>
      </c>
      <c r="L449" s="26" t="str">
        <f t="shared" si="7"/>
        <v/>
      </c>
      <c r="M449" s="26" t="str">
        <f t="array" ref="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/>
      </c>
      <c r="N449" s="26" t="str">
        <f t="shared" si="8"/>
        <v/>
      </c>
      <c r="O449" s="26" t="str">
        <f t="shared" si="9"/>
        <v/>
      </c>
      <c r="P449" s="26" t="str">
        <f t="shared" si="10"/>
        <v/>
      </c>
      <c r="Q449" s="26" t="str">
        <f t="shared" si="11"/>
        <v/>
      </c>
      <c r="R449" s="26" t="str">
        <f t="shared" si="12"/>
        <v/>
      </c>
      <c r="S449" s="26" t="str">
        <f t="shared" si="13"/>
        <v/>
      </c>
      <c r="T449" s="26" t="str">
        <f t="shared" si="14"/>
        <v/>
      </c>
      <c r="U449" s="26" t="str">
        <f t="shared" si="15"/>
        <v/>
      </c>
      <c r="V449" s="26" t="str">
        <f t="shared" si="16"/>
        <v/>
      </c>
      <c r="W449" s="26" t="str">
        <f t="shared" si="17"/>
        <v/>
      </c>
      <c r="X449" s="26" t="str">
        <f t="shared" si="18"/>
        <v/>
      </c>
      <c r="Y449" s="26" t="str">
        <f t="shared" si="19"/>
        <v/>
      </c>
      <c r="Z449" s="31" t="str">
        <f t="shared" si="20"/>
        <v/>
      </c>
      <c r="AA449" s="31" t="str">
        <f>IF(D449="","",IF(H449&lt;=$B$16,1,IF(H449&gt;=$B$17,$B$21,MATCH(H449,Aux_CAV!$A$2:$A$121,1))))</f>
        <v/>
      </c>
      <c r="AB449" s="31" t="str">
        <f>IF(D449="","",IF(L449&lt;=$B$16,1,IF(L449&gt;=$B$17,$B$21,MATCH(L449,Aux_CAV!$A$2:$A$121,1))))</f>
        <v/>
      </c>
      <c r="AC449" s="3" t="str">
        <f t="shared" si="21"/>
        <v/>
      </c>
    </row>
    <row r="450" ht="12.75" customHeight="1">
      <c r="A450" s="25" t="str">
        <f t="shared" si="1"/>
        <v/>
      </c>
      <c r="B450" s="29" t="str">
        <f t="array" ref="B450">IF(D450="","",IFERROR(VALUE(INDEX(Vazoes_COLAR!$A$2:$A$200,INT((ROW()-24)/12)+1)),""))</f>
        <v/>
      </c>
      <c r="C450" s="29" t="str">
        <f t="shared" si="2"/>
        <v/>
      </c>
      <c r="D450" s="26" t="str">
        <f t="array" ref="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50" s="26" t="str">
        <f t="shared" si="3"/>
        <v/>
      </c>
      <c r="F450" s="26" t="str">
        <f t="array" ref="F450">IF(D450="","",IFERROR(INDEX(Dados_Evap!$C$2:$N$15,MATCH($B$9,Dados_Evap!$A$2:$A$15,0),C450),0))</f>
        <v/>
      </c>
      <c r="G450" s="26" t="str">
        <f t="shared" si="4"/>
        <v/>
      </c>
      <c r="H450" s="26" t="str">
        <f t="shared" si="22"/>
        <v/>
      </c>
      <c r="I450" s="26" t="str">
        <f t="array" ref="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/>
      </c>
      <c r="J450" s="26" t="str">
        <f t="shared" si="5"/>
        <v/>
      </c>
      <c r="K450" s="26" t="str">
        <f t="shared" si="6"/>
        <v/>
      </c>
      <c r="L450" s="26" t="str">
        <f t="shared" si="7"/>
        <v/>
      </c>
      <c r="M450" s="26" t="str">
        <f t="array" ref="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/>
      </c>
      <c r="N450" s="26" t="str">
        <f t="shared" si="8"/>
        <v/>
      </c>
      <c r="O450" s="26" t="str">
        <f t="shared" si="9"/>
        <v/>
      </c>
      <c r="P450" s="26" t="str">
        <f t="shared" si="10"/>
        <v/>
      </c>
      <c r="Q450" s="26" t="str">
        <f t="shared" si="11"/>
        <v/>
      </c>
      <c r="R450" s="26" t="str">
        <f t="shared" si="12"/>
        <v/>
      </c>
      <c r="S450" s="26" t="str">
        <f t="shared" si="13"/>
        <v/>
      </c>
      <c r="T450" s="26" t="str">
        <f t="shared" si="14"/>
        <v/>
      </c>
      <c r="U450" s="26" t="str">
        <f t="shared" si="15"/>
        <v/>
      </c>
      <c r="V450" s="26" t="str">
        <f t="shared" si="16"/>
        <v/>
      </c>
      <c r="W450" s="26" t="str">
        <f t="shared" si="17"/>
        <v/>
      </c>
      <c r="X450" s="26" t="str">
        <f t="shared" si="18"/>
        <v/>
      </c>
      <c r="Y450" s="26" t="str">
        <f t="shared" si="19"/>
        <v/>
      </c>
      <c r="Z450" s="31" t="str">
        <f t="shared" si="20"/>
        <v/>
      </c>
      <c r="AA450" s="31" t="str">
        <f>IF(D450="","",IF(H450&lt;=$B$16,1,IF(H450&gt;=$B$17,$B$21,MATCH(H450,Aux_CAV!$A$2:$A$121,1))))</f>
        <v/>
      </c>
      <c r="AB450" s="31" t="str">
        <f>IF(D450="","",IF(L450&lt;=$B$16,1,IF(L450&gt;=$B$17,$B$21,MATCH(L450,Aux_CAV!$A$2:$A$121,1))))</f>
        <v/>
      </c>
      <c r="AC450" s="3" t="str">
        <f t="shared" si="21"/>
        <v/>
      </c>
    </row>
    <row r="451" ht="12.75" customHeight="1">
      <c r="A451" s="25" t="str">
        <f t="shared" si="1"/>
        <v/>
      </c>
      <c r="B451" s="29" t="str">
        <f t="array" ref="B451">IF(D451="","",IFERROR(VALUE(INDEX(Vazoes_COLAR!$A$2:$A$200,INT((ROW()-24)/12)+1)),""))</f>
        <v/>
      </c>
      <c r="C451" s="29" t="str">
        <f t="shared" si="2"/>
        <v/>
      </c>
      <c r="D451" s="26" t="str">
        <f t="array" ref="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51" s="26" t="str">
        <f t="shared" si="3"/>
        <v/>
      </c>
      <c r="F451" s="26" t="str">
        <f t="array" ref="F451">IF(D451="","",IFERROR(INDEX(Dados_Evap!$C$2:$N$15,MATCH($B$9,Dados_Evap!$A$2:$A$15,0),C451),0))</f>
        <v/>
      </c>
      <c r="G451" s="26" t="str">
        <f t="shared" si="4"/>
        <v/>
      </c>
      <c r="H451" s="26" t="str">
        <f t="shared" si="22"/>
        <v/>
      </c>
      <c r="I451" s="26" t="str">
        <f t="array" ref="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/>
      </c>
      <c r="J451" s="26" t="str">
        <f t="shared" si="5"/>
        <v/>
      </c>
      <c r="K451" s="26" t="str">
        <f t="shared" si="6"/>
        <v/>
      </c>
      <c r="L451" s="26" t="str">
        <f t="shared" si="7"/>
        <v/>
      </c>
      <c r="M451" s="26" t="str">
        <f t="array" ref="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/>
      </c>
      <c r="N451" s="26" t="str">
        <f t="shared" si="8"/>
        <v/>
      </c>
      <c r="O451" s="26" t="str">
        <f t="shared" si="9"/>
        <v/>
      </c>
      <c r="P451" s="26" t="str">
        <f t="shared" si="10"/>
        <v/>
      </c>
      <c r="Q451" s="26" t="str">
        <f t="shared" si="11"/>
        <v/>
      </c>
      <c r="R451" s="26" t="str">
        <f t="shared" si="12"/>
        <v/>
      </c>
      <c r="S451" s="26" t="str">
        <f t="shared" si="13"/>
        <v/>
      </c>
      <c r="T451" s="26" t="str">
        <f t="shared" si="14"/>
        <v/>
      </c>
      <c r="U451" s="26" t="str">
        <f t="shared" si="15"/>
        <v/>
      </c>
      <c r="V451" s="26" t="str">
        <f t="shared" si="16"/>
        <v/>
      </c>
      <c r="W451" s="26" t="str">
        <f t="shared" si="17"/>
        <v/>
      </c>
      <c r="X451" s="26" t="str">
        <f t="shared" si="18"/>
        <v/>
      </c>
      <c r="Y451" s="26" t="str">
        <f t="shared" si="19"/>
        <v/>
      </c>
      <c r="Z451" s="31" t="str">
        <f t="shared" si="20"/>
        <v/>
      </c>
      <c r="AA451" s="31" t="str">
        <f>IF(D451="","",IF(H451&lt;=$B$16,1,IF(H451&gt;=$B$17,$B$21,MATCH(H451,Aux_CAV!$A$2:$A$121,1))))</f>
        <v/>
      </c>
      <c r="AB451" s="31" t="str">
        <f>IF(D451="","",IF(L451&lt;=$B$16,1,IF(L451&gt;=$B$17,$B$21,MATCH(L451,Aux_CAV!$A$2:$A$121,1))))</f>
        <v/>
      </c>
      <c r="AC451" s="3" t="str">
        <f t="shared" si="21"/>
        <v/>
      </c>
    </row>
    <row r="452" ht="12.75" customHeight="1">
      <c r="A452" s="25" t="str">
        <f t="shared" si="1"/>
        <v/>
      </c>
      <c r="B452" s="29" t="str">
        <f t="array" ref="B452">IF(D452="","",IFERROR(VALUE(INDEX(Vazoes_COLAR!$A$2:$A$200,INT((ROW()-24)/12)+1)),""))</f>
        <v/>
      </c>
      <c r="C452" s="29" t="str">
        <f t="shared" si="2"/>
        <v/>
      </c>
      <c r="D452" s="26" t="str">
        <f t="array" ref="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52" s="26" t="str">
        <f t="shared" si="3"/>
        <v/>
      </c>
      <c r="F452" s="26" t="str">
        <f t="array" ref="F452">IF(D452="","",IFERROR(INDEX(Dados_Evap!$C$2:$N$15,MATCH($B$9,Dados_Evap!$A$2:$A$15,0),C452),0))</f>
        <v/>
      </c>
      <c r="G452" s="26" t="str">
        <f t="shared" si="4"/>
        <v/>
      </c>
      <c r="H452" s="26" t="str">
        <f t="shared" si="22"/>
        <v/>
      </c>
      <c r="I452" s="26" t="str">
        <f t="array" ref="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/>
      </c>
      <c r="J452" s="26" t="str">
        <f t="shared" si="5"/>
        <v/>
      </c>
      <c r="K452" s="26" t="str">
        <f t="shared" si="6"/>
        <v/>
      </c>
      <c r="L452" s="26" t="str">
        <f t="shared" si="7"/>
        <v/>
      </c>
      <c r="M452" s="26" t="str">
        <f t="array" ref="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/>
      </c>
      <c r="N452" s="26" t="str">
        <f t="shared" si="8"/>
        <v/>
      </c>
      <c r="O452" s="26" t="str">
        <f t="shared" si="9"/>
        <v/>
      </c>
      <c r="P452" s="26" t="str">
        <f t="shared" si="10"/>
        <v/>
      </c>
      <c r="Q452" s="26" t="str">
        <f t="shared" si="11"/>
        <v/>
      </c>
      <c r="R452" s="26" t="str">
        <f t="shared" si="12"/>
        <v/>
      </c>
      <c r="S452" s="26" t="str">
        <f t="shared" si="13"/>
        <v/>
      </c>
      <c r="T452" s="26" t="str">
        <f t="shared" si="14"/>
        <v/>
      </c>
      <c r="U452" s="26" t="str">
        <f t="shared" si="15"/>
        <v/>
      </c>
      <c r="V452" s="26" t="str">
        <f t="shared" si="16"/>
        <v/>
      </c>
      <c r="W452" s="26" t="str">
        <f t="shared" si="17"/>
        <v/>
      </c>
      <c r="X452" s="26" t="str">
        <f t="shared" si="18"/>
        <v/>
      </c>
      <c r="Y452" s="26" t="str">
        <f t="shared" si="19"/>
        <v/>
      </c>
      <c r="Z452" s="31" t="str">
        <f t="shared" si="20"/>
        <v/>
      </c>
      <c r="AA452" s="31" t="str">
        <f>IF(D452="","",IF(H452&lt;=$B$16,1,IF(H452&gt;=$B$17,$B$21,MATCH(H452,Aux_CAV!$A$2:$A$121,1))))</f>
        <v/>
      </c>
      <c r="AB452" s="31" t="str">
        <f>IF(D452="","",IF(L452&lt;=$B$16,1,IF(L452&gt;=$B$17,$B$21,MATCH(L452,Aux_CAV!$A$2:$A$121,1))))</f>
        <v/>
      </c>
      <c r="AC452" s="3" t="str">
        <f t="shared" si="21"/>
        <v/>
      </c>
    </row>
    <row r="453" ht="12.75" customHeight="1">
      <c r="A453" s="25" t="str">
        <f t="shared" si="1"/>
        <v/>
      </c>
      <c r="B453" s="29" t="str">
        <f t="array" ref="B453">IF(D453="","",IFERROR(VALUE(INDEX(Vazoes_COLAR!$A$2:$A$200,INT((ROW()-24)/12)+1)),""))</f>
        <v/>
      </c>
      <c r="C453" s="29" t="str">
        <f t="shared" si="2"/>
        <v/>
      </c>
      <c r="D453" s="26" t="str">
        <f t="array" ref="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53" s="26" t="str">
        <f t="shared" si="3"/>
        <v/>
      </c>
      <c r="F453" s="26" t="str">
        <f t="array" ref="F453">IF(D453="","",IFERROR(INDEX(Dados_Evap!$C$2:$N$15,MATCH($B$9,Dados_Evap!$A$2:$A$15,0),C453),0))</f>
        <v/>
      </c>
      <c r="G453" s="26" t="str">
        <f t="shared" si="4"/>
        <v/>
      </c>
      <c r="H453" s="26" t="str">
        <f t="shared" si="22"/>
        <v/>
      </c>
      <c r="I453" s="26" t="str">
        <f t="array" ref="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/>
      </c>
      <c r="J453" s="26" t="str">
        <f t="shared" si="5"/>
        <v/>
      </c>
      <c r="K453" s="26" t="str">
        <f t="shared" si="6"/>
        <v/>
      </c>
      <c r="L453" s="26" t="str">
        <f t="shared" si="7"/>
        <v/>
      </c>
      <c r="M453" s="26" t="str">
        <f t="array" ref="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/>
      </c>
      <c r="N453" s="26" t="str">
        <f t="shared" si="8"/>
        <v/>
      </c>
      <c r="O453" s="26" t="str">
        <f t="shared" si="9"/>
        <v/>
      </c>
      <c r="P453" s="26" t="str">
        <f t="shared" si="10"/>
        <v/>
      </c>
      <c r="Q453" s="26" t="str">
        <f t="shared" si="11"/>
        <v/>
      </c>
      <c r="R453" s="26" t="str">
        <f t="shared" si="12"/>
        <v/>
      </c>
      <c r="S453" s="26" t="str">
        <f t="shared" si="13"/>
        <v/>
      </c>
      <c r="T453" s="26" t="str">
        <f t="shared" si="14"/>
        <v/>
      </c>
      <c r="U453" s="26" t="str">
        <f t="shared" si="15"/>
        <v/>
      </c>
      <c r="V453" s="26" t="str">
        <f t="shared" si="16"/>
        <v/>
      </c>
      <c r="W453" s="26" t="str">
        <f t="shared" si="17"/>
        <v/>
      </c>
      <c r="X453" s="26" t="str">
        <f t="shared" si="18"/>
        <v/>
      </c>
      <c r="Y453" s="26" t="str">
        <f t="shared" si="19"/>
        <v/>
      </c>
      <c r="Z453" s="31" t="str">
        <f t="shared" si="20"/>
        <v/>
      </c>
      <c r="AA453" s="31" t="str">
        <f>IF(D453="","",IF(H453&lt;=$B$16,1,IF(H453&gt;=$B$17,$B$21,MATCH(H453,Aux_CAV!$A$2:$A$121,1))))</f>
        <v/>
      </c>
      <c r="AB453" s="31" t="str">
        <f>IF(D453="","",IF(L453&lt;=$B$16,1,IF(L453&gt;=$B$17,$B$21,MATCH(L453,Aux_CAV!$A$2:$A$121,1))))</f>
        <v/>
      </c>
      <c r="AC453" s="3" t="str">
        <f t="shared" si="21"/>
        <v/>
      </c>
    </row>
    <row r="454" ht="12.75" customHeight="1">
      <c r="A454" s="25" t="str">
        <f t="shared" si="1"/>
        <v/>
      </c>
      <c r="B454" s="29" t="str">
        <f t="array" ref="B454">IF(D454="","",IFERROR(VALUE(INDEX(Vazoes_COLAR!$A$2:$A$200,INT((ROW()-24)/12)+1)),""))</f>
        <v/>
      </c>
      <c r="C454" s="29" t="str">
        <f t="shared" si="2"/>
        <v/>
      </c>
      <c r="D454" s="26" t="str">
        <f t="array" ref="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54" s="26" t="str">
        <f t="shared" si="3"/>
        <v/>
      </c>
      <c r="F454" s="26" t="str">
        <f t="array" ref="F454">IF(D454="","",IFERROR(INDEX(Dados_Evap!$C$2:$N$15,MATCH($B$9,Dados_Evap!$A$2:$A$15,0),C454),0))</f>
        <v/>
      </c>
      <c r="G454" s="26" t="str">
        <f t="shared" si="4"/>
        <v/>
      </c>
      <c r="H454" s="26" t="str">
        <f t="shared" si="22"/>
        <v/>
      </c>
      <c r="I454" s="26" t="str">
        <f t="array" ref="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/>
      </c>
      <c r="J454" s="26" t="str">
        <f t="shared" si="5"/>
        <v/>
      </c>
      <c r="K454" s="26" t="str">
        <f t="shared" si="6"/>
        <v/>
      </c>
      <c r="L454" s="26" t="str">
        <f t="shared" si="7"/>
        <v/>
      </c>
      <c r="M454" s="26" t="str">
        <f t="array" ref="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/>
      </c>
      <c r="N454" s="26" t="str">
        <f t="shared" si="8"/>
        <v/>
      </c>
      <c r="O454" s="26" t="str">
        <f t="shared" si="9"/>
        <v/>
      </c>
      <c r="P454" s="26" t="str">
        <f t="shared" si="10"/>
        <v/>
      </c>
      <c r="Q454" s="26" t="str">
        <f t="shared" si="11"/>
        <v/>
      </c>
      <c r="R454" s="26" t="str">
        <f t="shared" si="12"/>
        <v/>
      </c>
      <c r="S454" s="26" t="str">
        <f t="shared" si="13"/>
        <v/>
      </c>
      <c r="T454" s="26" t="str">
        <f t="shared" si="14"/>
        <v/>
      </c>
      <c r="U454" s="26" t="str">
        <f t="shared" si="15"/>
        <v/>
      </c>
      <c r="V454" s="26" t="str">
        <f t="shared" si="16"/>
        <v/>
      </c>
      <c r="W454" s="26" t="str">
        <f t="shared" si="17"/>
        <v/>
      </c>
      <c r="X454" s="26" t="str">
        <f t="shared" si="18"/>
        <v/>
      </c>
      <c r="Y454" s="26" t="str">
        <f t="shared" si="19"/>
        <v/>
      </c>
      <c r="Z454" s="31" t="str">
        <f t="shared" si="20"/>
        <v/>
      </c>
      <c r="AA454" s="31" t="str">
        <f>IF(D454="","",IF(H454&lt;=$B$16,1,IF(H454&gt;=$B$17,$B$21,MATCH(H454,Aux_CAV!$A$2:$A$121,1))))</f>
        <v/>
      </c>
      <c r="AB454" s="31" t="str">
        <f>IF(D454="","",IF(L454&lt;=$B$16,1,IF(L454&gt;=$B$17,$B$21,MATCH(L454,Aux_CAV!$A$2:$A$121,1))))</f>
        <v/>
      </c>
      <c r="AC454" s="3" t="str">
        <f t="shared" si="21"/>
        <v/>
      </c>
    </row>
    <row r="455" ht="12.75" customHeight="1">
      <c r="A455" s="25" t="str">
        <f t="shared" si="1"/>
        <v/>
      </c>
      <c r="B455" s="29" t="str">
        <f t="array" ref="B455">IF(D455="","",IFERROR(VALUE(INDEX(Vazoes_COLAR!$A$2:$A$200,INT((ROW()-24)/12)+1)),""))</f>
        <v/>
      </c>
      <c r="C455" s="29" t="str">
        <f t="shared" si="2"/>
        <v/>
      </c>
      <c r="D455" s="26" t="str">
        <f t="array" ref="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55" s="26" t="str">
        <f t="shared" si="3"/>
        <v/>
      </c>
      <c r="F455" s="26" t="str">
        <f t="array" ref="F455">IF(D455="","",IFERROR(INDEX(Dados_Evap!$C$2:$N$15,MATCH($B$9,Dados_Evap!$A$2:$A$15,0),C455),0))</f>
        <v/>
      </c>
      <c r="G455" s="26" t="str">
        <f t="shared" si="4"/>
        <v/>
      </c>
      <c r="H455" s="26" t="str">
        <f t="shared" si="22"/>
        <v/>
      </c>
      <c r="I455" s="26" t="str">
        <f t="array" ref="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/>
      </c>
      <c r="J455" s="26" t="str">
        <f t="shared" si="5"/>
        <v/>
      </c>
      <c r="K455" s="26" t="str">
        <f t="shared" si="6"/>
        <v/>
      </c>
      <c r="L455" s="26" t="str">
        <f t="shared" si="7"/>
        <v/>
      </c>
      <c r="M455" s="26" t="str">
        <f t="array" ref="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/>
      </c>
      <c r="N455" s="26" t="str">
        <f t="shared" si="8"/>
        <v/>
      </c>
      <c r="O455" s="26" t="str">
        <f t="shared" si="9"/>
        <v/>
      </c>
      <c r="P455" s="26" t="str">
        <f t="shared" si="10"/>
        <v/>
      </c>
      <c r="Q455" s="26" t="str">
        <f t="shared" si="11"/>
        <v/>
      </c>
      <c r="R455" s="26" t="str">
        <f t="shared" si="12"/>
        <v/>
      </c>
      <c r="S455" s="26" t="str">
        <f t="shared" si="13"/>
        <v/>
      </c>
      <c r="T455" s="26" t="str">
        <f t="shared" si="14"/>
        <v/>
      </c>
      <c r="U455" s="26" t="str">
        <f t="shared" si="15"/>
        <v/>
      </c>
      <c r="V455" s="26" t="str">
        <f t="shared" si="16"/>
        <v/>
      </c>
      <c r="W455" s="26" t="str">
        <f t="shared" si="17"/>
        <v/>
      </c>
      <c r="X455" s="26" t="str">
        <f t="shared" si="18"/>
        <v/>
      </c>
      <c r="Y455" s="26" t="str">
        <f t="shared" si="19"/>
        <v/>
      </c>
      <c r="Z455" s="31" t="str">
        <f t="shared" si="20"/>
        <v/>
      </c>
      <c r="AA455" s="31" t="str">
        <f>IF(D455="","",IF(H455&lt;=$B$16,1,IF(H455&gt;=$B$17,$B$21,MATCH(H455,Aux_CAV!$A$2:$A$121,1))))</f>
        <v/>
      </c>
      <c r="AB455" s="31" t="str">
        <f>IF(D455="","",IF(L455&lt;=$B$16,1,IF(L455&gt;=$B$17,$B$21,MATCH(L455,Aux_CAV!$A$2:$A$121,1))))</f>
        <v/>
      </c>
      <c r="AC455" s="3" t="str">
        <f t="shared" si="21"/>
        <v/>
      </c>
    </row>
    <row r="456" ht="12.75" customHeight="1">
      <c r="A456" s="25" t="str">
        <f t="shared" si="1"/>
        <v/>
      </c>
      <c r="B456" s="29" t="str">
        <f t="array" ref="B456">IF(D456="","",IFERROR(VALUE(INDEX(Vazoes_COLAR!$A$2:$A$200,INT((ROW()-24)/12)+1)),""))</f>
        <v/>
      </c>
      <c r="C456" s="29" t="str">
        <f t="shared" si="2"/>
        <v/>
      </c>
      <c r="D456" s="26" t="str">
        <f t="array" ref="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56" s="26" t="str">
        <f t="shared" si="3"/>
        <v/>
      </c>
      <c r="F456" s="26" t="str">
        <f t="array" ref="F456">IF(D456="","",IFERROR(INDEX(Dados_Evap!$C$2:$N$15,MATCH($B$9,Dados_Evap!$A$2:$A$15,0),C456),0))</f>
        <v/>
      </c>
      <c r="G456" s="26" t="str">
        <f t="shared" si="4"/>
        <v/>
      </c>
      <c r="H456" s="26" t="str">
        <f t="shared" si="22"/>
        <v/>
      </c>
      <c r="I456" s="26" t="str">
        <f t="array" ref="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/>
      </c>
      <c r="J456" s="26" t="str">
        <f t="shared" si="5"/>
        <v/>
      </c>
      <c r="K456" s="26" t="str">
        <f t="shared" si="6"/>
        <v/>
      </c>
      <c r="L456" s="26" t="str">
        <f t="shared" si="7"/>
        <v/>
      </c>
      <c r="M456" s="26" t="str">
        <f t="array" ref="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/>
      </c>
      <c r="N456" s="26" t="str">
        <f t="shared" si="8"/>
        <v/>
      </c>
      <c r="O456" s="26" t="str">
        <f t="shared" si="9"/>
        <v/>
      </c>
      <c r="P456" s="26" t="str">
        <f t="shared" si="10"/>
        <v/>
      </c>
      <c r="Q456" s="26" t="str">
        <f t="shared" si="11"/>
        <v/>
      </c>
      <c r="R456" s="26" t="str">
        <f t="shared" si="12"/>
        <v/>
      </c>
      <c r="S456" s="26" t="str">
        <f t="shared" si="13"/>
        <v/>
      </c>
      <c r="T456" s="26" t="str">
        <f t="shared" si="14"/>
        <v/>
      </c>
      <c r="U456" s="26" t="str">
        <f t="shared" si="15"/>
        <v/>
      </c>
      <c r="V456" s="26" t="str">
        <f t="shared" si="16"/>
        <v/>
      </c>
      <c r="W456" s="26" t="str">
        <f t="shared" si="17"/>
        <v/>
      </c>
      <c r="X456" s="26" t="str">
        <f t="shared" si="18"/>
        <v/>
      </c>
      <c r="Y456" s="26" t="str">
        <f t="shared" si="19"/>
        <v/>
      </c>
      <c r="Z456" s="31" t="str">
        <f t="shared" si="20"/>
        <v/>
      </c>
      <c r="AA456" s="31" t="str">
        <f>IF(D456="","",IF(H456&lt;=$B$16,1,IF(H456&gt;=$B$17,$B$21,MATCH(H456,Aux_CAV!$A$2:$A$121,1))))</f>
        <v/>
      </c>
      <c r="AB456" s="31" t="str">
        <f>IF(D456="","",IF(L456&lt;=$B$16,1,IF(L456&gt;=$B$17,$B$21,MATCH(L456,Aux_CAV!$A$2:$A$121,1))))</f>
        <v/>
      </c>
      <c r="AC456" s="3" t="str">
        <f t="shared" si="21"/>
        <v/>
      </c>
    </row>
    <row r="457" ht="12.75" customHeight="1">
      <c r="A457" s="25" t="str">
        <f t="shared" si="1"/>
        <v/>
      </c>
      <c r="B457" s="29" t="str">
        <f t="array" ref="B457">IF(D457="","",IFERROR(VALUE(INDEX(Vazoes_COLAR!$A$2:$A$200,INT((ROW()-24)/12)+1)),""))</f>
        <v/>
      </c>
      <c r="C457" s="29" t="str">
        <f t="shared" si="2"/>
        <v/>
      </c>
      <c r="D457" s="26" t="str">
        <f t="array" ref="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57" s="26" t="str">
        <f t="shared" si="3"/>
        <v/>
      </c>
      <c r="F457" s="26" t="str">
        <f t="array" ref="F457">IF(D457="","",IFERROR(INDEX(Dados_Evap!$C$2:$N$15,MATCH($B$9,Dados_Evap!$A$2:$A$15,0),C457),0))</f>
        <v/>
      </c>
      <c r="G457" s="26" t="str">
        <f t="shared" si="4"/>
        <v/>
      </c>
      <c r="H457" s="26" t="str">
        <f t="shared" si="22"/>
        <v/>
      </c>
      <c r="I457" s="26" t="str">
        <f t="array" ref="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/>
      </c>
      <c r="J457" s="26" t="str">
        <f t="shared" si="5"/>
        <v/>
      </c>
      <c r="K457" s="26" t="str">
        <f t="shared" si="6"/>
        <v/>
      </c>
      <c r="L457" s="26" t="str">
        <f t="shared" si="7"/>
        <v/>
      </c>
      <c r="M457" s="26" t="str">
        <f t="array" ref="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/>
      </c>
      <c r="N457" s="26" t="str">
        <f t="shared" si="8"/>
        <v/>
      </c>
      <c r="O457" s="26" t="str">
        <f t="shared" si="9"/>
        <v/>
      </c>
      <c r="P457" s="26" t="str">
        <f t="shared" si="10"/>
        <v/>
      </c>
      <c r="Q457" s="26" t="str">
        <f t="shared" si="11"/>
        <v/>
      </c>
      <c r="R457" s="26" t="str">
        <f t="shared" si="12"/>
        <v/>
      </c>
      <c r="S457" s="26" t="str">
        <f t="shared" si="13"/>
        <v/>
      </c>
      <c r="T457" s="26" t="str">
        <f t="shared" si="14"/>
        <v/>
      </c>
      <c r="U457" s="26" t="str">
        <f t="shared" si="15"/>
        <v/>
      </c>
      <c r="V457" s="26" t="str">
        <f t="shared" si="16"/>
        <v/>
      </c>
      <c r="W457" s="26" t="str">
        <f t="shared" si="17"/>
        <v/>
      </c>
      <c r="X457" s="26" t="str">
        <f t="shared" si="18"/>
        <v/>
      </c>
      <c r="Y457" s="26" t="str">
        <f t="shared" si="19"/>
        <v/>
      </c>
      <c r="Z457" s="31" t="str">
        <f t="shared" si="20"/>
        <v/>
      </c>
      <c r="AA457" s="31" t="str">
        <f>IF(D457="","",IF(H457&lt;=$B$16,1,IF(H457&gt;=$B$17,$B$21,MATCH(H457,Aux_CAV!$A$2:$A$121,1))))</f>
        <v/>
      </c>
      <c r="AB457" s="31" t="str">
        <f>IF(D457="","",IF(L457&lt;=$B$16,1,IF(L457&gt;=$B$17,$B$21,MATCH(L457,Aux_CAV!$A$2:$A$121,1))))</f>
        <v/>
      </c>
      <c r="AC457" s="3" t="str">
        <f t="shared" si="21"/>
        <v/>
      </c>
    </row>
    <row r="458" ht="12.75" customHeight="1">
      <c r="A458" s="25" t="str">
        <f t="shared" si="1"/>
        <v/>
      </c>
      <c r="B458" s="29" t="str">
        <f t="array" ref="B458">IF(D458="","",IFERROR(VALUE(INDEX(Vazoes_COLAR!$A$2:$A$200,INT((ROW()-24)/12)+1)),""))</f>
        <v/>
      </c>
      <c r="C458" s="29" t="str">
        <f t="shared" si="2"/>
        <v/>
      </c>
      <c r="D458" s="26" t="str">
        <f t="array" ref="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58" s="26" t="str">
        <f t="shared" si="3"/>
        <v/>
      </c>
      <c r="F458" s="26" t="str">
        <f t="array" ref="F458">IF(D458="","",IFERROR(INDEX(Dados_Evap!$C$2:$N$15,MATCH($B$9,Dados_Evap!$A$2:$A$15,0),C458),0))</f>
        <v/>
      </c>
      <c r="G458" s="26" t="str">
        <f t="shared" si="4"/>
        <v/>
      </c>
      <c r="H458" s="26" t="str">
        <f t="shared" si="22"/>
        <v/>
      </c>
      <c r="I458" s="26" t="str">
        <f t="array" ref="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/>
      </c>
      <c r="J458" s="26" t="str">
        <f t="shared" si="5"/>
        <v/>
      </c>
      <c r="K458" s="26" t="str">
        <f t="shared" si="6"/>
        <v/>
      </c>
      <c r="L458" s="26" t="str">
        <f t="shared" si="7"/>
        <v/>
      </c>
      <c r="M458" s="26" t="str">
        <f t="array" ref="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/>
      </c>
      <c r="N458" s="26" t="str">
        <f t="shared" si="8"/>
        <v/>
      </c>
      <c r="O458" s="26" t="str">
        <f t="shared" si="9"/>
        <v/>
      </c>
      <c r="P458" s="26" t="str">
        <f t="shared" si="10"/>
        <v/>
      </c>
      <c r="Q458" s="26" t="str">
        <f t="shared" si="11"/>
        <v/>
      </c>
      <c r="R458" s="26" t="str">
        <f t="shared" si="12"/>
        <v/>
      </c>
      <c r="S458" s="26" t="str">
        <f t="shared" si="13"/>
        <v/>
      </c>
      <c r="T458" s="26" t="str">
        <f t="shared" si="14"/>
        <v/>
      </c>
      <c r="U458" s="26" t="str">
        <f t="shared" si="15"/>
        <v/>
      </c>
      <c r="V458" s="26" t="str">
        <f t="shared" si="16"/>
        <v/>
      </c>
      <c r="W458" s="26" t="str">
        <f t="shared" si="17"/>
        <v/>
      </c>
      <c r="X458" s="26" t="str">
        <f t="shared" si="18"/>
        <v/>
      </c>
      <c r="Y458" s="26" t="str">
        <f t="shared" si="19"/>
        <v/>
      </c>
      <c r="Z458" s="31" t="str">
        <f t="shared" si="20"/>
        <v/>
      </c>
      <c r="AA458" s="31" t="str">
        <f>IF(D458="","",IF(H458&lt;=$B$16,1,IF(H458&gt;=$B$17,$B$21,MATCH(H458,Aux_CAV!$A$2:$A$121,1))))</f>
        <v/>
      </c>
      <c r="AB458" s="31" t="str">
        <f>IF(D458="","",IF(L458&lt;=$B$16,1,IF(L458&gt;=$B$17,$B$21,MATCH(L458,Aux_CAV!$A$2:$A$121,1))))</f>
        <v/>
      </c>
      <c r="AC458" s="3" t="str">
        <f t="shared" si="21"/>
        <v/>
      </c>
    </row>
    <row r="459" ht="12.75" customHeight="1">
      <c r="A459" s="25" t="str">
        <f t="shared" si="1"/>
        <v/>
      </c>
      <c r="B459" s="29" t="str">
        <f t="array" ref="B459">IF(D459="","",IFERROR(VALUE(INDEX(Vazoes_COLAR!$A$2:$A$200,INT((ROW()-24)/12)+1)),""))</f>
        <v/>
      </c>
      <c r="C459" s="29" t="str">
        <f t="shared" si="2"/>
        <v/>
      </c>
      <c r="D459" s="26" t="str">
        <f t="array" ref="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59" s="26" t="str">
        <f t="shared" si="3"/>
        <v/>
      </c>
      <c r="F459" s="26" t="str">
        <f t="array" ref="F459">IF(D459="","",IFERROR(INDEX(Dados_Evap!$C$2:$N$15,MATCH($B$9,Dados_Evap!$A$2:$A$15,0),C459),0))</f>
        <v/>
      </c>
      <c r="G459" s="26" t="str">
        <f t="shared" si="4"/>
        <v/>
      </c>
      <c r="H459" s="26" t="str">
        <f t="shared" si="22"/>
        <v/>
      </c>
      <c r="I459" s="26" t="str">
        <f t="array" ref="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/>
      </c>
      <c r="J459" s="26" t="str">
        <f t="shared" si="5"/>
        <v/>
      </c>
      <c r="K459" s="26" t="str">
        <f t="shared" si="6"/>
        <v/>
      </c>
      <c r="L459" s="26" t="str">
        <f t="shared" si="7"/>
        <v/>
      </c>
      <c r="M459" s="26" t="str">
        <f t="array" ref="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/>
      </c>
      <c r="N459" s="26" t="str">
        <f t="shared" si="8"/>
        <v/>
      </c>
      <c r="O459" s="26" t="str">
        <f t="shared" si="9"/>
        <v/>
      </c>
      <c r="P459" s="26" t="str">
        <f t="shared" si="10"/>
        <v/>
      </c>
      <c r="Q459" s="26" t="str">
        <f t="shared" si="11"/>
        <v/>
      </c>
      <c r="R459" s="26" t="str">
        <f t="shared" si="12"/>
        <v/>
      </c>
      <c r="S459" s="26" t="str">
        <f t="shared" si="13"/>
        <v/>
      </c>
      <c r="T459" s="26" t="str">
        <f t="shared" si="14"/>
        <v/>
      </c>
      <c r="U459" s="26" t="str">
        <f t="shared" si="15"/>
        <v/>
      </c>
      <c r="V459" s="26" t="str">
        <f t="shared" si="16"/>
        <v/>
      </c>
      <c r="W459" s="26" t="str">
        <f t="shared" si="17"/>
        <v/>
      </c>
      <c r="X459" s="26" t="str">
        <f t="shared" si="18"/>
        <v/>
      </c>
      <c r="Y459" s="26" t="str">
        <f t="shared" si="19"/>
        <v/>
      </c>
      <c r="Z459" s="31" t="str">
        <f t="shared" si="20"/>
        <v/>
      </c>
      <c r="AA459" s="31" t="str">
        <f>IF(D459="","",IF(H459&lt;=$B$16,1,IF(H459&gt;=$B$17,$B$21,MATCH(H459,Aux_CAV!$A$2:$A$121,1))))</f>
        <v/>
      </c>
      <c r="AB459" s="31" t="str">
        <f>IF(D459="","",IF(L459&lt;=$B$16,1,IF(L459&gt;=$B$17,$B$21,MATCH(L459,Aux_CAV!$A$2:$A$121,1))))</f>
        <v/>
      </c>
      <c r="AC459" s="3" t="str">
        <f t="shared" si="21"/>
        <v/>
      </c>
    </row>
    <row r="460" ht="12.75" customHeight="1">
      <c r="A460" s="25" t="str">
        <f t="shared" si="1"/>
        <v/>
      </c>
      <c r="B460" s="29" t="str">
        <f t="array" ref="B460">IF(D460="","",IFERROR(VALUE(INDEX(Vazoes_COLAR!$A$2:$A$200,INT((ROW()-24)/12)+1)),""))</f>
        <v/>
      </c>
      <c r="C460" s="29" t="str">
        <f t="shared" si="2"/>
        <v/>
      </c>
      <c r="D460" s="26" t="str">
        <f t="array" ref="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60" s="26" t="str">
        <f t="shared" si="3"/>
        <v/>
      </c>
      <c r="F460" s="26" t="str">
        <f t="array" ref="F460">IF(D460="","",IFERROR(INDEX(Dados_Evap!$C$2:$N$15,MATCH($B$9,Dados_Evap!$A$2:$A$15,0),C460),0))</f>
        <v/>
      </c>
      <c r="G460" s="26" t="str">
        <f t="shared" si="4"/>
        <v/>
      </c>
      <c r="H460" s="26" t="str">
        <f t="shared" si="22"/>
        <v/>
      </c>
      <c r="I460" s="26" t="str">
        <f t="array" ref="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/>
      </c>
      <c r="J460" s="26" t="str">
        <f t="shared" si="5"/>
        <v/>
      </c>
      <c r="K460" s="26" t="str">
        <f t="shared" si="6"/>
        <v/>
      </c>
      <c r="L460" s="26" t="str">
        <f t="shared" si="7"/>
        <v/>
      </c>
      <c r="M460" s="26" t="str">
        <f t="array" ref="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/>
      </c>
      <c r="N460" s="26" t="str">
        <f t="shared" si="8"/>
        <v/>
      </c>
      <c r="O460" s="26" t="str">
        <f t="shared" si="9"/>
        <v/>
      </c>
      <c r="P460" s="26" t="str">
        <f t="shared" si="10"/>
        <v/>
      </c>
      <c r="Q460" s="26" t="str">
        <f t="shared" si="11"/>
        <v/>
      </c>
      <c r="R460" s="26" t="str">
        <f t="shared" si="12"/>
        <v/>
      </c>
      <c r="S460" s="26" t="str">
        <f t="shared" si="13"/>
        <v/>
      </c>
      <c r="T460" s="26" t="str">
        <f t="shared" si="14"/>
        <v/>
      </c>
      <c r="U460" s="26" t="str">
        <f t="shared" si="15"/>
        <v/>
      </c>
      <c r="V460" s="26" t="str">
        <f t="shared" si="16"/>
        <v/>
      </c>
      <c r="W460" s="26" t="str">
        <f t="shared" si="17"/>
        <v/>
      </c>
      <c r="X460" s="26" t="str">
        <f t="shared" si="18"/>
        <v/>
      </c>
      <c r="Y460" s="26" t="str">
        <f t="shared" si="19"/>
        <v/>
      </c>
      <c r="Z460" s="31" t="str">
        <f t="shared" si="20"/>
        <v/>
      </c>
      <c r="AA460" s="31" t="str">
        <f>IF(D460="","",IF(H460&lt;=$B$16,1,IF(H460&gt;=$B$17,$B$21,MATCH(H460,Aux_CAV!$A$2:$A$121,1))))</f>
        <v/>
      </c>
      <c r="AB460" s="31" t="str">
        <f>IF(D460="","",IF(L460&lt;=$B$16,1,IF(L460&gt;=$B$17,$B$21,MATCH(L460,Aux_CAV!$A$2:$A$121,1))))</f>
        <v/>
      </c>
      <c r="AC460" s="3" t="str">
        <f t="shared" si="21"/>
        <v/>
      </c>
    </row>
    <row r="461" ht="12.75" customHeight="1">
      <c r="A461" s="25" t="str">
        <f t="shared" si="1"/>
        <v/>
      </c>
      <c r="B461" s="29" t="str">
        <f t="array" ref="B461">IF(D461="","",IFERROR(VALUE(INDEX(Vazoes_COLAR!$A$2:$A$200,INT((ROW()-24)/12)+1)),""))</f>
        <v/>
      </c>
      <c r="C461" s="29" t="str">
        <f t="shared" si="2"/>
        <v/>
      </c>
      <c r="D461" s="26" t="str">
        <f t="array" ref="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61" s="26" t="str">
        <f t="shared" si="3"/>
        <v/>
      </c>
      <c r="F461" s="26" t="str">
        <f t="array" ref="F461">IF(D461="","",IFERROR(INDEX(Dados_Evap!$C$2:$N$15,MATCH($B$9,Dados_Evap!$A$2:$A$15,0),C461),0))</f>
        <v/>
      </c>
      <c r="G461" s="26" t="str">
        <f t="shared" si="4"/>
        <v/>
      </c>
      <c r="H461" s="26" t="str">
        <f t="shared" si="22"/>
        <v/>
      </c>
      <c r="I461" s="26" t="str">
        <f t="array" ref="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/>
      </c>
      <c r="J461" s="26" t="str">
        <f t="shared" si="5"/>
        <v/>
      </c>
      <c r="K461" s="26" t="str">
        <f t="shared" si="6"/>
        <v/>
      </c>
      <c r="L461" s="26" t="str">
        <f t="shared" si="7"/>
        <v/>
      </c>
      <c r="M461" s="26" t="str">
        <f t="array" ref="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/>
      </c>
      <c r="N461" s="26" t="str">
        <f t="shared" si="8"/>
        <v/>
      </c>
      <c r="O461" s="26" t="str">
        <f t="shared" si="9"/>
        <v/>
      </c>
      <c r="P461" s="26" t="str">
        <f t="shared" si="10"/>
        <v/>
      </c>
      <c r="Q461" s="26" t="str">
        <f t="shared" si="11"/>
        <v/>
      </c>
      <c r="R461" s="26" t="str">
        <f t="shared" si="12"/>
        <v/>
      </c>
      <c r="S461" s="26" t="str">
        <f t="shared" si="13"/>
        <v/>
      </c>
      <c r="T461" s="26" t="str">
        <f t="shared" si="14"/>
        <v/>
      </c>
      <c r="U461" s="26" t="str">
        <f t="shared" si="15"/>
        <v/>
      </c>
      <c r="V461" s="26" t="str">
        <f t="shared" si="16"/>
        <v/>
      </c>
      <c r="W461" s="26" t="str">
        <f t="shared" si="17"/>
        <v/>
      </c>
      <c r="X461" s="26" t="str">
        <f t="shared" si="18"/>
        <v/>
      </c>
      <c r="Y461" s="26" t="str">
        <f t="shared" si="19"/>
        <v/>
      </c>
      <c r="Z461" s="31" t="str">
        <f t="shared" si="20"/>
        <v/>
      </c>
      <c r="AA461" s="31" t="str">
        <f>IF(D461="","",IF(H461&lt;=$B$16,1,IF(H461&gt;=$B$17,$B$21,MATCH(H461,Aux_CAV!$A$2:$A$121,1))))</f>
        <v/>
      </c>
      <c r="AB461" s="31" t="str">
        <f>IF(D461="","",IF(L461&lt;=$B$16,1,IF(L461&gt;=$B$17,$B$21,MATCH(L461,Aux_CAV!$A$2:$A$121,1))))</f>
        <v/>
      </c>
      <c r="AC461" s="3" t="str">
        <f t="shared" si="21"/>
        <v/>
      </c>
    </row>
    <row r="462" ht="12.75" customHeight="1">
      <c r="A462" s="25" t="str">
        <f t="shared" si="1"/>
        <v/>
      </c>
      <c r="B462" s="29" t="str">
        <f t="array" ref="B462">IF(D462="","",IFERROR(VALUE(INDEX(Vazoes_COLAR!$A$2:$A$200,INT((ROW()-24)/12)+1)),""))</f>
        <v/>
      </c>
      <c r="C462" s="29" t="str">
        <f t="shared" si="2"/>
        <v/>
      </c>
      <c r="D462" s="26" t="str">
        <f t="array" ref="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62" s="26" t="str">
        <f t="shared" si="3"/>
        <v/>
      </c>
      <c r="F462" s="26" t="str">
        <f t="array" ref="F462">IF(D462="","",IFERROR(INDEX(Dados_Evap!$C$2:$N$15,MATCH($B$9,Dados_Evap!$A$2:$A$15,0),C462),0))</f>
        <v/>
      </c>
      <c r="G462" s="26" t="str">
        <f t="shared" si="4"/>
        <v/>
      </c>
      <c r="H462" s="26" t="str">
        <f t="shared" si="22"/>
        <v/>
      </c>
      <c r="I462" s="26" t="str">
        <f t="array" ref="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/>
      </c>
      <c r="J462" s="26" t="str">
        <f t="shared" si="5"/>
        <v/>
      </c>
      <c r="K462" s="26" t="str">
        <f t="shared" si="6"/>
        <v/>
      </c>
      <c r="L462" s="26" t="str">
        <f t="shared" si="7"/>
        <v/>
      </c>
      <c r="M462" s="26" t="str">
        <f t="array" ref="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/>
      </c>
      <c r="N462" s="26" t="str">
        <f t="shared" si="8"/>
        <v/>
      </c>
      <c r="O462" s="26" t="str">
        <f t="shared" si="9"/>
        <v/>
      </c>
      <c r="P462" s="26" t="str">
        <f t="shared" si="10"/>
        <v/>
      </c>
      <c r="Q462" s="26" t="str">
        <f t="shared" si="11"/>
        <v/>
      </c>
      <c r="R462" s="26" t="str">
        <f t="shared" si="12"/>
        <v/>
      </c>
      <c r="S462" s="26" t="str">
        <f t="shared" si="13"/>
        <v/>
      </c>
      <c r="T462" s="26" t="str">
        <f t="shared" si="14"/>
        <v/>
      </c>
      <c r="U462" s="26" t="str">
        <f t="shared" si="15"/>
        <v/>
      </c>
      <c r="V462" s="26" t="str">
        <f t="shared" si="16"/>
        <v/>
      </c>
      <c r="W462" s="26" t="str">
        <f t="shared" si="17"/>
        <v/>
      </c>
      <c r="X462" s="26" t="str">
        <f t="shared" si="18"/>
        <v/>
      </c>
      <c r="Y462" s="26" t="str">
        <f t="shared" si="19"/>
        <v/>
      </c>
      <c r="Z462" s="31" t="str">
        <f t="shared" si="20"/>
        <v/>
      </c>
      <c r="AA462" s="31" t="str">
        <f>IF(D462="","",IF(H462&lt;=$B$16,1,IF(H462&gt;=$B$17,$B$21,MATCH(H462,Aux_CAV!$A$2:$A$121,1))))</f>
        <v/>
      </c>
      <c r="AB462" s="31" t="str">
        <f>IF(D462="","",IF(L462&lt;=$B$16,1,IF(L462&gt;=$B$17,$B$21,MATCH(L462,Aux_CAV!$A$2:$A$121,1))))</f>
        <v/>
      </c>
      <c r="AC462" s="3" t="str">
        <f t="shared" si="21"/>
        <v/>
      </c>
    </row>
    <row r="463" ht="12.75" customHeight="1">
      <c r="A463" s="25" t="str">
        <f t="shared" si="1"/>
        <v/>
      </c>
      <c r="B463" s="29" t="str">
        <f t="array" ref="B463">IF(D463="","",IFERROR(VALUE(INDEX(Vazoes_COLAR!$A$2:$A$200,INT((ROW()-24)/12)+1)),""))</f>
        <v/>
      </c>
      <c r="C463" s="29" t="str">
        <f t="shared" si="2"/>
        <v/>
      </c>
      <c r="D463" s="26" t="str">
        <f t="array" ref="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63" s="26" t="str">
        <f t="shared" si="3"/>
        <v/>
      </c>
      <c r="F463" s="26" t="str">
        <f t="array" ref="F463">IF(D463="","",IFERROR(INDEX(Dados_Evap!$C$2:$N$15,MATCH($B$9,Dados_Evap!$A$2:$A$15,0),C463),0))</f>
        <v/>
      </c>
      <c r="G463" s="26" t="str">
        <f t="shared" si="4"/>
        <v/>
      </c>
      <c r="H463" s="26" t="str">
        <f t="shared" si="22"/>
        <v/>
      </c>
      <c r="I463" s="26" t="str">
        <f t="array" ref="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/>
      </c>
      <c r="J463" s="26" t="str">
        <f t="shared" si="5"/>
        <v/>
      </c>
      <c r="K463" s="26" t="str">
        <f t="shared" si="6"/>
        <v/>
      </c>
      <c r="L463" s="26" t="str">
        <f t="shared" si="7"/>
        <v/>
      </c>
      <c r="M463" s="26" t="str">
        <f t="array" ref="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/>
      </c>
      <c r="N463" s="26" t="str">
        <f t="shared" si="8"/>
        <v/>
      </c>
      <c r="O463" s="26" t="str">
        <f t="shared" si="9"/>
        <v/>
      </c>
      <c r="P463" s="26" t="str">
        <f t="shared" si="10"/>
        <v/>
      </c>
      <c r="Q463" s="26" t="str">
        <f t="shared" si="11"/>
        <v/>
      </c>
      <c r="R463" s="26" t="str">
        <f t="shared" si="12"/>
        <v/>
      </c>
      <c r="S463" s="26" t="str">
        <f t="shared" si="13"/>
        <v/>
      </c>
      <c r="T463" s="26" t="str">
        <f t="shared" si="14"/>
        <v/>
      </c>
      <c r="U463" s="26" t="str">
        <f t="shared" si="15"/>
        <v/>
      </c>
      <c r="V463" s="26" t="str">
        <f t="shared" si="16"/>
        <v/>
      </c>
      <c r="W463" s="26" t="str">
        <f t="shared" si="17"/>
        <v/>
      </c>
      <c r="X463" s="26" t="str">
        <f t="shared" si="18"/>
        <v/>
      </c>
      <c r="Y463" s="26" t="str">
        <f t="shared" si="19"/>
        <v/>
      </c>
      <c r="Z463" s="31" t="str">
        <f t="shared" si="20"/>
        <v/>
      </c>
      <c r="AA463" s="31" t="str">
        <f>IF(D463="","",IF(H463&lt;=$B$16,1,IF(H463&gt;=$B$17,$B$21,MATCH(H463,Aux_CAV!$A$2:$A$121,1))))</f>
        <v/>
      </c>
      <c r="AB463" s="31" t="str">
        <f>IF(D463="","",IF(L463&lt;=$B$16,1,IF(L463&gt;=$B$17,$B$21,MATCH(L463,Aux_CAV!$A$2:$A$121,1))))</f>
        <v/>
      </c>
      <c r="AC463" s="3" t="str">
        <f t="shared" si="21"/>
        <v/>
      </c>
    </row>
    <row r="464" ht="12.75" customHeight="1">
      <c r="A464" s="25" t="str">
        <f t="shared" si="1"/>
        <v/>
      </c>
      <c r="B464" s="29" t="str">
        <f t="array" ref="B464">IF(D464="","",IFERROR(VALUE(INDEX(Vazoes_COLAR!$A$2:$A$200,INT((ROW()-24)/12)+1)),""))</f>
        <v/>
      </c>
      <c r="C464" s="29" t="str">
        <f t="shared" si="2"/>
        <v/>
      </c>
      <c r="D464" s="26" t="str">
        <f t="array" ref="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64" s="26" t="str">
        <f t="shared" si="3"/>
        <v/>
      </c>
      <c r="F464" s="26" t="str">
        <f t="array" ref="F464">IF(D464="","",IFERROR(INDEX(Dados_Evap!$C$2:$N$15,MATCH($B$9,Dados_Evap!$A$2:$A$15,0),C464),0))</f>
        <v/>
      </c>
      <c r="G464" s="26" t="str">
        <f t="shared" si="4"/>
        <v/>
      </c>
      <c r="H464" s="26" t="str">
        <f t="shared" si="22"/>
        <v/>
      </c>
      <c r="I464" s="26" t="str">
        <f t="array" ref="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/>
      </c>
      <c r="J464" s="26" t="str">
        <f t="shared" si="5"/>
        <v/>
      </c>
      <c r="K464" s="26" t="str">
        <f t="shared" si="6"/>
        <v/>
      </c>
      <c r="L464" s="26" t="str">
        <f t="shared" si="7"/>
        <v/>
      </c>
      <c r="M464" s="26" t="str">
        <f t="array" ref="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/>
      </c>
      <c r="N464" s="26" t="str">
        <f t="shared" si="8"/>
        <v/>
      </c>
      <c r="O464" s="26" t="str">
        <f t="shared" si="9"/>
        <v/>
      </c>
      <c r="P464" s="26" t="str">
        <f t="shared" si="10"/>
        <v/>
      </c>
      <c r="Q464" s="26" t="str">
        <f t="shared" si="11"/>
        <v/>
      </c>
      <c r="R464" s="26" t="str">
        <f t="shared" si="12"/>
        <v/>
      </c>
      <c r="S464" s="26" t="str">
        <f t="shared" si="13"/>
        <v/>
      </c>
      <c r="T464" s="26" t="str">
        <f t="shared" si="14"/>
        <v/>
      </c>
      <c r="U464" s="26" t="str">
        <f t="shared" si="15"/>
        <v/>
      </c>
      <c r="V464" s="26" t="str">
        <f t="shared" si="16"/>
        <v/>
      </c>
      <c r="W464" s="26" t="str">
        <f t="shared" si="17"/>
        <v/>
      </c>
      <c r="X464" s="26" t="str">
        <f t="shared" si="18"/>
        <v/>
      </c>
      <c r="Y464" s="26" t="str">
        <f t="shared" si="19"/>
        <v/>
      </c>
      <c r="Z464" s="31" t="str">
        <f t="shared" si="20"/>
        <v/>
      </c>
      <c r="AA464" s="31" t="str">
        <f>IF(D464="","",IF(H464&lt;=$B$16,1,IF(H464&gt;=$B$17,$B$21,MATCH(H464,Aux_CAV!$A$2:$A$121,1))))</f>
        <v/>
      </c>
      <c r="AB464" s="31" t="str">
        <f>IF(D464="","",IF(L464&lt;=$B$16,1,IF(L464&gt;=$B$17,$B$21,MATCH(L464,Aux_CAV!$A$2:$A$121,1))))</f>
        <v/>
      </c>
      <c r="AC464" s="3" t="str">
        <f t="shared" si="21"/>
        <v/>
      </c>
    </row>
    <row r="465" ht="12.75" customHeight="1">
      <c r="A465" s="25" t="str">
        <f t="shared" si="1"/>
        <v/>
      </c>
      <c r="B465" s="29" t="str">
        <f t="array" ref="B465">IF(D465="","",IFERROR(VALUE(INDEX(Vazoes_COLAR!$A$2:$A$200,INT((ROW()-24)/12)+1)),""))</f>
        <v/>
      </c>
      <c r="C465" s="29" t="str">
        <f t="shared" si="2"/>
        <v/>
      </c>
      <c r="D465" s="26" t="str">
        <f t="array" ref="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65" s="26" t="str">
        <f t="shared" si="3"/>
        <v/>
      </c>
      <c r="F465" s="26" t="str">
        <f t="array" ref="F465">IF(D465="","",IFERROR(INDEX(Dados_Evap!$C$2:$N$15,MATCH($B$9,Dados_Evap!$A$2:$A$15,0),C465),0))</f>
        <v/>
      </c>
      <c r="G465" s="26" t="str">
        <f t="shared" si="4"/>
        <v/>
      </c>
      <c r="H465" s="26" t="str">
        <f t="shared" si="22"/>
        <v/>
      </c>
      <c r="I465" s="26" t="str">
        <f t="array" ref="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/>
      </c>
      <c r="J465" s="26" t="str">
        <f t="shared" si="5"/>
        <v/>
      </c>
      <c r="K465" s="26" t="str">
        <f t="shared" si="6"/>
        <v/>
      </c>
      <c r="L465" s="26" t="str">
        <f t="shared" si="7"/>
        <v/>
      </c>
      <c r="M465" s="26" t="str">
        <f t="array" ref="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/>
      </c>
      <c r="N465" s="26" t="str">
        <f t="shared" si="8"/>
        <v/>
      </c>
      <c r="O465" s="26" t="str">
        <f t="shared" si="9"/>
        <v/>
      </c>
      <c r="P465" s="26" t="str">
        <f t="shared" si="10"/>
        <v/>
      </c>
      <c r="Q465" s="26" t="str">
        <f t="shared" si="11"/>
        <v/>
      </c>
      <c r="R465" s="26" t="str">
        <f t="shared" si="12"/>
        <v/>
      </c>
      <c r="S465" s="26" t="str">
        <f t="shared" si="13"/>
        <v/>
      </c>
      <c r="T465" s="26" t="str">
        <f t="shared" si="14"/>
        <v/>
      </c>
      <c r="U465" s="26" t="str">
        <f t="shared" si="15"/>
        <v/>
      </c>
      <c r="V465" s="26" t="str">
        <f t="shared" si="16"/>
        <v/>
      </c>
      <c r="W465" s="26" t="str">
        <f t="shared" si="17"/>
        <v/>
      </c>
      <c r="X465" s="26" t="str">
        <f t="shared" si="18"/>
        <v/>
      </c>
      <c r="Y465" s="26" t="str">
        <f t="shared" si="19"/>
        <v/>
      </c>
      <c r="Z465" s="31" t="str">
        <f t="shared" si="20"/>
        <v/>
      </c>
      <c r="AA465" s="31" t="str">
        <f>IF(D465="","",IF(H465&lt;=$B$16,1,IF(H465&gt;=$B$17,$B$21,MATCH(H465,Aux_CAV!$A$2:$A$121,1))))</f>
        <v/>
      </c>
      <c r="AB465" s="31" t="str">
        <f>IF(D465="","",IF(L465&lt;=$B$16,1,IF(L465&gt;=$B$17,$B$21,MATCH(L465,Aux_CAV!$A$2:$A$121,1))))</f>
        <v/>
      </c>
      <c r="AC465" s="3" t="str">
        <f t="shared" si="21"/>
        <v/>
      </c>
    </row>
    <row r="466" ht="12.75" customHeight="1">
      <c r="A466" s="25" t="str">
        <f t="shared" si="1"/>
        <v/>
      </c>
      <c r="B466" s="29" t="str">
        <f t="array" ref="B466">IF(D466="","",IFERROR(VALUE(INDEX(Vazoes_COLAR!$A$2:$A$200,INT((ROW()-24)/12)+1)),""))</f>
        <v/>
      </c>
      <c r="C466" s="29" t="str">
        <f t="shared" si="2"/>
        <v/>
      </c>
      <c r="D466" s="26" t="str">
        <f t="array" ref="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66" s="26" t="str">
        <f t="shared" si="3"/>
        <v/>
      </c>
      <c r="F466" s="26" t="str">
        <f t="array" ref="F466">IF(D466="","",IFERROR(INDEX(Dados_Evap!$C$2:$N$15,MATCH($B$9,Dados_Evap!$A$2:$A$15,0),C466),0))</f>
        <v/>
      </c>
      <c r="G466" s="26" t="str">
        <f t="shared" si="4"/>
        <v/>
      </c>
      <c r="H466" s="26" t="str">
        <f t="shared" si="22"/>
        <v/>
      </c>
      <c r="I466" s="26" t="str">
        <f t="array" ref="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/>
      </c>
      <c r="J466" s="26" t="str">
        <f t="shared" si="5"/>
        <v/>
      </c>
      <c r="K466" s="26" t="str">
        <f t="shared" si="6"/>
        <v/>
      </c>
      <c r="L466" s="26" t="str">
        <f t="shared" si="7"/>
        <v/>
      </c>
      <c r="M466" s="26" t="str">
        <f t="array" ref="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/>
      </c>
      <c r="N466" s="26" t="str">
        <f t="shared" si="8"/>
        <v/>
      </c>
      <c r="O466" s="26" t="str">
        <f t="shared" si="9"/>
        <v/>
      </c>
      <c r="P466" s="26" t="str">
        <f t="shared" si="10"/>
        <v/>
      </c>
      <c r="Q466" s="26" t="str">
        <f t="shared" si="11"/>
        <v/>
      </c>
      <c r="R466" s="26" t="str">
        <f t="shared" si="12"/>
        <v/>
      </c>
      <c r="S466" s="26" t="str">
        <f t="shared" si="13"/>
        <v/>
      </c>
      <c r="T466" s="26" t="str">
        <f t="shared" si="14"/>
        <v/>
      </c>
      <c r="U466" s="26" t="str">
        <f t="shared" si="15"/>
        <v/>
      </c>
      <c r="V466" s="26" t="str">
        <f t="shared" si="16"/>
        <v/>
      </c>
      <c r="W466" s="26" t="str">
        <f t="shared" si="17"/>
        <v/>
      </c>
      <c r="X466" s="26" t="str">
        <f t="shared" si="18"/>
        <v/>
      </c>
      <c r="Y466" s="26" t="str">
        <f t="shared" si="19"/>
        <v/>
      </c>
      <c r="Z466" s="31" t="str">
        <f t="shared" si="20"/>
        <v/>
      </c>
      <c r="AA466" s="31" t="str">
        <f>IF(D466="","",IF(H466&lt;=$B$16,1,IF(H466&gt;=$B$17,$B$21,MATCH(H466,Aux_CAV!$A$2:$A$121,1))))</f>
        <v/>
      </c>
      <c r="AB466" s="31" t="str">
        <f>IF(D466="","",IF(L466&lt;=$B$16,1,IF(L466&gt;=$B$17,$B$21,MATCH(L466,Aux_CAV!$A$2:$A$121,1))))</f>
        <v/>
      </c>
      <c r="AC466" s="3" t="str">
        <f t="shared" si="21"/>
        <v/>
      </c>
    </row>
    <row r="467" ht="12.75" customHeight="1">
      <c r="A467" s="25" t="str">
        <f t="shared" si="1"/>
        <v/>
      </c>
      <c r="B467" s="29" t="str">
        <f t="array" ref="B467">IF(D467="","",IFERROR(VALUE(INDEX(Vazoes_COLAR!$A$2:$A$200,INT((ROW()-24)/12)+1)),""))</f>
        <v/>
      </c>
      <c r="C467" s="29" t="str">
        <f t="shared" si="2"/>
        <v/>
      </c>
      <c r="D467" s="26" t="str">
        <f t="array" ref="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67" s="26" t="str">
        <f t="shared" si="3"/>
        <v/>
      </c>
      <c r="F467" s="26" t="str">
        <f t="array" ref="F467">IF(D467="","",IFERROR(INDEX(Dados_Evap!$C$2:$N$15,MATCH($B$9,Dados_Evap!$A$2:$A$15,0),C467),0))</f>
        <v/>
      </c>
      <c r="G467" s="26" t="str">
        <f t="shared" si="4"/>
        <v/>
      </c>
      <c r="H467" s="26" t="str">
        <f t="shared" si="22"/>
        <v/>
      </c>
      <c r="I467" s="26" t="str">
        <f t="array" ref="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/>
      </c>
      <c r="J467" s="26" t="str">
        <f t="shared" si="5"/>
        <v/>
      </c>
      <c r="K467" s="26" t="str">
        <f t="shared" si="6"/>
        <v/>
      </c>
      <c r="L467" s="26" t="str">
        <f t="shared" si="7"/>
        <v/>
      </c>
      <c r="M467" s="26" t="str">
        <f t="array" ref="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/>
      </c>
      <c r="N467" s="26" t="str">
        <f t="shared" si="8"/>
        <v/>
      </c>
      <c r="O467" s="26" t="str">
        <f t="shared" si="9"/>
        <v/>
      </c>
      <c r="P467" s="26" t="str">
        <f t="shared" si="10"/>
        <v/>
      </c>
      <c r="Q467" s="26" t="str">
        <f t="shared" si="11"/>
        <v/>
      </c>
      <c r="R467" s="26" t="str">
        <f t="shared" si="12"/>
        <v/>
      </c>
      <c r="S467" s="26" t="str">
        <f t="shared" si="13"/>
        <v/>
      </c>
      <c r="T467" s="26" t="str">
        <f t="shared" si="14"/>
        <v/>
      </c>
      <c r="U467" s="26" t="str">
        <f t="shared" si="15"/>
        <v/>
      </c>
      <c r="V467" s="26" t="str">
        <f t="shared" si="16"/>
        <v/>
      </c>
      <c r="W467" s="26" t="str">
        <f t="shared" si="17"/>
        <v/>
      </c>
      <c r="X467" s="26" t="str">
        <f t="shared" si="18"/>
        <v/>
      </c>
      <c r="Y467" s="26" t="str">
        <f t="shared" si="19"/>
        <v/>
      </c>
      <c r="Z467" s="31" t="str">
        <f t="shared" si="20"/>
        <v/>
      </c>
      <c r="AA467" s="31" t="str">
        <f>IF(D467="","",IF(H467&lt;=$B$16,1,IF(H467&gt;=$B$17,$B$21,MATCH(H467,Aux_CAV!$A$2:$A$121,1))))</f>
        <v/>
      </c>
      <c r="AB467" s="31" t="str">
        <f>IF(D467="","",IF(L467&lt;=$B$16,1,IF(L467&gt;=$B$17,$B$21,MATCH(L467,Aux_CAV!$A$2:$A$121,1))))</f>
        <v/>
      </c>
      <c r="AC467" s="3" t="str">
        <f t="shared" si="21"/>
        <v/>
      </c>
    </row>
    <row r="468" ht="12.75" customHeight="1">
      <c r="A468" s="25" t="str">
        <f t="shared" si="1"/>
        <v/>
      </c>
      <c r="B468" s="29" t="str">
        <f t="array" ref="B468">IF(D468="","",IFERROR(VALUE(INDEX(Vazoes_COLAR!$A$2:$A$200,INT((ROW()-24)/12)+1)),""))</f>
        <v/>
      </c>
      <c r="C468" s="29" t="str">
        <f t="shared" si="2"/>
        <v/>
      </c>
      <c r="D468" s="26" t="str">
        <f t="array" ref="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68" s="26" t="str">
        <f t="shared" si="3"/>
        <v/>
      </c>
      <c r="F468" s="26" t="str">
        <f t="array" ref="F468">IF(D468="","",IFERROR(INDEX(Dados_Evap!$C$2:$N$15,MATCH($B$9,Dados_Evap!$A$2:$A$15,0),C468),0))</f>
        <v/>
      </c>
      <c r="G468" s="26" t="str">
        <f t="shared" si="4"/>
        <v/>
      </c>
      <c r="H468" s="26" t="str">
        <f t="shared" si="22"/>
        <v/>
      </c>
      <c r="I468" s="26" t="str">
        <f t="array" ref="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/>
      </c>
      <c r="J468" s="26" t="str">
        <f t="shared" si="5"/>
        <v/>
      </c>
      <c r="K468" s="26" t="str">
        <f t="shared" si="6"/>
        <v/>
      </c>
      <c r="L468" s="26" t="str">
        <f t="shared" si="7"/>
        <v/>
      </c>
      <c r="M468" s="26" t="str">
        <f t="array" ref="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/>
      </c>
      <c r="N468" s="26" t="str">
        <f t="shared" si="8"/>
        <v/>
      </c>
      <c r="O468" s="26" t="str">
        <f t="shared" si="9"/>
        <v/>
      </c>
      <c r="P468" s="26" t="str">
        <f t="shared" si="10"/>
        <v/>
      </c>
      <c r="Q468" s="26" t="str">
        <f t="shared" si="11"/>
        <v/>
      </c>
      <c r="R468" s="26" t="str">
        <f t="shared" si="12"/>
        <v/>
      </c>
      <c r="S468" s="26" t="str">
        <f t="shared" si="13"/>
        <v/>
      </c>
      <c r="T468" s="26" t="str">
        <f t="shared" si="14"/>
        <v/>
      </c>
      <c r="U468" s="26" t="str">
        <f t="shared" si="15"/>
        <v/>
      </c>
      <c r="V468" s="26" t="str">
        <f t="shared" si="16"/>
        <v/>
      </c>
      <c r="W468" s="26" t="str">
        <f t="shared" si="17"/>
        <v/>
      </c>
      <c r="X468" s="26" t="str">
        <f t="shared" si="18"/>
        <v/>
      </c>
      <c r="Y468" s="26" t="str">
        <f t="shared" si="19"/>
        <v/>
      </c>
      <c r="Z468" s="31" t="str">
        <f t="shared" si="20"/>
        <v/>
      </c>
      <c r="AA468" s="31" t="str">
        <f>IF(D468="","",IF(H468&lt;=$B$16,1,IF(H468&gt;=$B$17,$B$21,MATCH(H468,Aux_CAV!$A$2:$A$121,1))))</f>
        <v/>
      </c>
      <c r="AB468" s="31" t="str">
        <f>IF(D468="","",IF(L468&lt;=$B$16,1,IF(L468&gt;=$B$17,$B$21,MATCH(L468,Aux_CAV!$A$2:$A$121,1))))</f>
        <v/>
      </c>
      <c r="AC468" s="3" t="str">
        <f t="shared" si="21"/>
        <v/>
      </c>
    </row>
    <row r="469" ht="12.75" customHeight="1">
      <c r="A469" s="25" t="str">
        <f t="shared" si="1"/>
        <v/>
      </c>
      <c r="B469" s="29" t="str">
        <f t="array" ref="B469">IF(D469="","",IFERROR(VALUE(INDEX(Vazoes_COLAR!$A$2:$A$200,INT((ROW()-24)/12)+1)),""))</f>
        <v/>
      </c>
      <c r="C469" s="29" t="str">
        <f t="shared" si="2"/>
        <v/>
      </c>
      <c r="D469" s="26" t="str">
        <f t="array" ref="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69" s="26" t="str">
        <f t="shared" si="3"/>
        <v/>
      </c>
      <c r="F469" s="26" t="str">
        <f t="array" ref="F469">IF(D469="","",IFERROR(INDEX(Dados_Evap!$C$2:$N$15,MATCH($B$9,Dados_Evap!$A$2:$A$15,0),C469),0))</f>
        <v/>
      </c>
      <c r="G469" s="26" t="str">
        <f t="shared" si="4"/>
        <v/>
      </c>
      <c r="H469" s="26" t="str">
        <f t="shared" si="22"/>
        <v/>
      </c>
      <c r="I469" s="26" t="str">
        <f t="array" ref="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/>
      </c>
      <c r="J469" s="26" t="str">
        <f t="shared" si="5"/>
        <v/>
      </c>
      <c r="K469" s="26" t="str">
        <f t="shared" si="6"/>
        <v/>
      </c>
      <c r="L469" s="26" t="str">
        <f t="shared" si="7"/>
        <v/>
      </c>
      <c r="M469" s="26" t="str">
        <f t="array" ref="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/>
      </c>
      <c r="N469" s="26" t="str">
        <f t="shared" si="8"/>
        <v/>
      </c>
      <c r="O469" s="26" t="str">
        <f t="shared" si="9"/>
        <v/>
      </c>
      <c r="P469" s="26" t="str">
        <f t="shared" si="10"/>
        <v/>
      </c>
      <c r="Q469" s="26" t="str">
        <f t="shared" si="11"/>
        <v/>
      </c>
      <c r="R469" s="26" t="str">
        <f t="shared" si="12"/>
        <v/>
      </c>
      <c r="S469" s="26" t="str">
        <f t="shared" si="13"/>
        <v/>
      </c>
      <c r="T469" s="26" t="str">
        <f t="shared" si="14"/>
        <v/>
      </c>
      <c r="U469" s="26" t="str">
        <f t="shared" si="15"/>
        <v/>
      </c>
      <c r="V469" s="26" t="str">
        <f t="shared" si="16"/>
        <v/>
      </c>
      <c r="W469" s="26" t="str">
        <f t="shared" si="17"/>
        <v/>
      </c>
      <c r="X469" s="26" t="str">
        <f t="shared" si="18"/>
        <v/>
      </c>
      <c r="Y469" s="26" t="str">
        <f t="shared" si="19"/>
        <v/>
      </c>
      <c r="Z469" s="31" t="str">
        <f t="shared" si="20"/>
        <v/>
      </c>
      <c r="AA469" s="31" t="str">
        <f>IF(D469="","",IF(H469&lt;=$B$16,1,IF(H469&gt;=$B$17,$B$21,MATCH(H469,Aux_CAV!$A$2:$A$121,1))))</f>
        <v/>
      </c>
      <c r="AB469" s="31" t="str">
        <f>IF(D469="","",IF(L469&lt;=$B$16,1,IF(L469&gt;=$B$17,$B$21,MATCH(L469,Aux_CAV!$A$2:$A$121,1))))</f>
        <v/>
      </c>
      <c r="AC469" s="3" t="str">
        <f t="shared" si="21"/>
        <v/>
      </c>
    </row>
    <row r="470" ht="12.75" customHeight="1">
      <c r="A470" s="25" t="str">
        <f t="shared" si="1"/>
        <v/>
      </c>
      <c r="B470" s="29" t="str">
        <f t="array" ref="B470">IF(D470="","",IFERROR(VALUE(INDEX(Vazoes_COLAR!$A$2:$A$200,INT((ROW()-24)/12)+1)),""))</f>
        <v/>
      </c>
      <c r="C470" s="29" t="str">
        <f t="shared" si="2"/>
        <v/>
      </c>
      <c r="D470" s="26" t="str">
        <f t="array" ref="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70" s="26" t="str">
        <f t="shared" si="3"/>
        <v/>
      </c>
      <c r="F470" s="26" t="str">
        <f t="array" ref="F470">IF(D470="","",IFERROR(INDEX(Dados_Evap!$C$2:$N$15,MATCH($B$9,Dados_Evap!$A$2:$A$15,0),C470),0))</f>
        <v/>
      </c>
      <c r="G470" s="26" t="str">
        <f t="shared" si="4"/>
        <v/>
      </c>
      <c r="H470" s="26" t="str">
        <f t="shared" si="22"/>
        <v/>
      </c>
      <c r="I470" s="26" t="str">
        <f t="array" ref="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/>
      </c>
      <c r="J470" s="26" t="str">
        <f t="shared" si="5"/>
        <v/>
      </c>
      <c r="K470" s="26" t="str">
        <f t="shared" si="6"/>
        <v/>
      </c>
      <c r="L470" s="26" t="str">
        <f t="shared" si="7"/>
        <v/>
      </c>
      <c r="M470" s="26" t="str">
        <f t="array" ref="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/>
      </c>
      <c r="N470" s="26" t="str">
        <f t="shared" si="8"/>
        <v/>
      </c>
      <c r="O470" s="26" t="str">
        <f t="shared" si="9"/>
        <v/>
      </c>
      <c r="P470" s="26" t="str">
        <f t="shared" si="10"/>
        <v/>
      </c>
      <c r="Q470" s="26" t="str">
        <f t="shared" si="11"/>
        <v/>
      </c>
      <c r="R470" s="26" t="str">
        <f t="shared" si="12"/>
        <v/>
      </c>
      <c r="S470" s="26" t="str">
        <f t="shared" si="13"/>
        <v/>
      </c>
      <c r="T470" s="26" t="str">
        <f t="shared" si="14"/>
        <v/>
      </c>
      <c r="U470" s="26" t="str">
        <f t="shared" si="15"/>
        <v/>
      </c>
      <c r="V470" s="26" t="str">
        <f t="shared" si="16"/>
        <v/>
      </c>
      <c r="W470" s="26" t="str">
        <f t="shared" si="17"/>
        <v/>
      </c>
      <c r="X470" s="26" t="str">
        <f t="shared" si="18"/>
        <v/>
      </c>
      <c r="Y470" s="26" t="str">
        <f t="shared" si="19"/>
        <v/>
      </c>
      <c r="Z470" s="31" t="str">
        <f t="shared" si="20"/>
        <v/>
      </c>
      <c r="AA470" s="31" t="str">
        <f>IF(D470="","",IF(H470&lt;=$B$16,1,IF(H470&gt;=$B$17,$B$21,MATCH(H470,Aux_CAV!$A$2:$A$121,1))))</f>
        <v/>
      </c>
      <c r="AB470" s="31" t="str">
        <f>IF(D470="","",IF(L470&lt;=$B$16,1,IF(L470&gt;=$B$17,$B$21,MATCH(L470,Aux_CAV!$A$2:$A$121,1))))</f>
        <v/>
      </c>
      <c r="AC470" s="3" t="str">
        <f t="shared" si="21"/>
        <v/>
      </c>
    </row>
    <row r="471" ht="12.75" customHeight="1">
      <c r="A471" s="25" t="str">
        <f t="shared" si="1"/>
        <v/>
      </c>
      <c r="B471" s="29" t="str">
        <f t="array" ref="B471">IF(D471="","",IFERROR(VALUE(INDEX(Vazoes_COLAR!$A$2:$A$200,INT((ROW()-24)/12)+1)),""))</f>
        <v/>
      </c>
      <c r="C471" s="29" t="str">
        <f t="shared" si="2"/>
        <v/>
      </c>
      <c r="D471" s="26" t="str">
        <f t="array" ref="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71" s="26" t="str">
        <f t="shared" si="3"/>
        <v/>
      </c>
      <c r="F471" s="26" t="str">
        <f t="array" ref="F471">IF(D471="","",IFERROR(INDEX(Dados_Evap!$C$2:$N$15,MATCH($B$9,Dados_Evap!$A$2:$A$15,0),C471),0))</f>
        <v/>
      </c>
      <c r="G471" s="26" t="str">
        <f t="shared" si="4"/>
        <v/>
      </c>
      <c r="H471" s="26" t="str">
        <f t="shared" si="22"/>
        <v/>
      </c>
      <c r="I471" s="26" t="str">
        <f t="array" ref="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/>
      </c>
      <c r="J471" s="26" t="str">
        <f t="shared" si="5"/>
        <v/>
      </c>
      <c r="K471" s="26" t="str">
        <f t="shared" si="6"/>
        <v/>
      </c>
      <c r="L471" s="26" t="str">
        <f t="shared" si="7"/>
        <v/>
      </c>
      <c r="M471" s="26" t="str">
        <f t="array" ref="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/>
      </c>
      <c r="N471" s="26" t="str">
        <f t="shared" si="8"/>
        <v/>
      </c>
      <c r="O471" s="26" t="str">
        <f t="shared" si="9"/>
        <v/>
      </c>
      <c r="P471" s="26" t="str">
        <f t="shared" si="10"/>
        <v/>
      </c>
      <c r="Q471" s="26" t="str">
        <f t="shared" si="11"/>
        <v/>
      </c>
      <c r="R471" s="26" t="str">
        <f t="shared" si="12"/>
        <v/>
      </c>
      <c r="S471" s="26" t="str">
        <f t="shared" si="13"/>
        <v/>
      </c>
      <c r="T471" s="26" t="str">
        <f t="shared" si="14"/>
        <v/>
      </c>
      <c r="U471" s="26" t="str">
        <f t="shared" si="15"/>
        <v/>
      </c>
      <c r="V471" s="26" t="str">
        <f t="shared" si="16"/>
        <v/>
      </c>
      <c r="W471" s="26" t="str">
        <f t="shared" si="17"/>
        <v/>
      </c>
      <c r="X471" s="26" t="str">
        <f t="shared" si="18"/>
        <v/>
      </c>
      <c r="Y471" s="26" t="str">
        <f t="shared" si="19"/>
        <v/>
      </c>
      <c r="Z471" s="31" t="str">
        <f t="shared" si="20"/>
        <v/>
      </c>
      <c r="AA471" s="31" t="str">
        <f>IF(D471="","",IF(H471&lt;=$B$16,1,IF(H471&gt;=$B$17,$B$21,MATCH(H471,Aux_CAV!$A$2:$A$121,1))))</f>
        <v/>
      </c>
      <c r="AB471" s="31" t="str">
        <f>IF(D471="","",IF(L471&lt;=$B$16,1,IF(L471&gt;=$B$17,$B$21,MATCH(L471,Aux_CAV!$A$2:$A$121,1))))</f>
        <v/>
      </c>
      <c r="AC471" s="3" t="str">
        <f t="shared" si="21"/>
        <v/>
      </c>
    </row>
    <row r="472" ht="12.75" customHeight="1">
      <c r="A472" s="25" t="str">
        <f t="shared" si="1"/>
        <v/>
      </c>
      <c r="B472" s="29" t="str">
        <f t="array" ref="B472">IF(D472="","",IFERROR(VALUE(INDEX(Vazoes_COLAR!$A$2:$A$200,INT((ROW()-24)/12)+1)),""))</f>
        <v/>
      </c>
      <c r="C472" s="29" t="str">
        <f t="shared" si="2"/>
        <v/>
      </c>
      <c r="D472" s="26" t="str">
        <f t="array" ref="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72" s="26" t="str">
        <f t="shared" si="3"/>
        <v/>
      </c>
      <c r="F472" s="26" t="str">
        <f t="array" ref="F472">IF(D472="","",IFERROR(INDEX(Dados_Evap!$C$2:$N$15,MATCH($B$9,Dados_Evap!$A$2:$A$15,0),C472),0))</f>
        <v/>
      </c>
      <c r="G472" s="26" t="str">
        <f t="shared" si="4"/>
        <v/>
      </c>
      <c r="H472" s="26" t="str">
        <f t="shared" si="22"/>
        <v/>
      </c>
      <c r="I472" s="26" t="str">
        <f t="array" ref="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/>
      </c>
      <c r="J472" s="26" t="str">
        <f t="shared" si="5"/>
        <v/>
      </c>
      <c r="K472" s="26" t="str">
        <f t="shared" si="6"/>
        <v/>
      </c>
      <c r="L472" s="26" t="str">
        <f t="shared" si="7"/>
        <v/>
      </c>
      <c r="M472" s="26" t="str">
        <f t="array" ref="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/>
      </c>
      <c r="N472" s="26" t="str">
        <f t="shared" si="8"/>
        <v/>
      </c>
      <c r="O472" s="26" t="str">
        <f t="shared" si="9"/>
        <v/>
      </c>
      <c r="P472" s="26" t="str">
        <f t="shared" si="10"/>
        <v/>
      </c>
      <c r="Q472" s="26" t="str">
        <f t="shared" si="11"/>
        <v/>
      </c>
      <c r="R472" s="26" t="str">
        <f t="shared" si="12"/>
        <v/>
      </c>
      <c r="S472" s="26" t="str">
        <f t="shared" si="13"/>
        <v/>
      </c>
      <c r="T472" s="26" t="str">
        <f t="shared" si="14"/>
        <v/>
      </c>
      <c r="U472" s="26" t="str">
        <f t="shared" si="15"/>
        <v/>
      </c>
      <c r="V472" s="26" t="str">
        <f t="shared" si="16"/>
        <v/>
      </c>
      <c r="W472" s="26" t="str">
        <f t="shared" si="17"/>
        <v/>
      </c>
      <c r="X472" s="26" t="str">
        <f t="shared" si="18"/>
        <v/>
      </c>
      <c r="Y472" s="26" t="str">
        <f t="shared" si="19"/>
        <v/>
      </c>
      <c r="Z472" s="31" t="str">
        <f t="shared" si="20"/>
        <v/>
      </c>
      <c r="AA472" s="31" t="str">
        <f>IF(D472="","",IF(H472&lt;=$B$16,1,IF(H472&gt;=$B$17,$B$21,MATCH(H472,Aux_CAV!$A$2:$A$121,1))))</f>
        <v/>
      </c>
      <c r="AB472" s="31" t="str">
        <f>IF(D472="","",IF(L472&lt;=$B$16,1,IF(L472&gt;=$B$17,$B$21,MATCH(L472,Aux_CAV!$A$2:$A$121,1))))</f>
        <v/>
      </c>
      <c r="AC472" s="3" t="str">
        <f t="shared" si="21"/>
        <v/>
      </c>
    </row>
    <row r="473" ht="12.75" customHeight="1">
      <c r="A473" s="25" t="str">
        <f t="shared" si="1"/>
        <v/>
      </c>
      <c r="B473" s="29" t="str">
        <f t="array" ref="B473">IF(D473="","",IFERROR(VALUE(INDEX(Vazoes_COLAR!$A$2:$A$200,INT((ROW()-24)/12)+1)),""))</f>
        <v/>
      </c>
      <c r="C473" s="29" t="str">
        <f t="shared" si="2"/>
        <v/>
      </c>
      <c r="D473" s="26" t="str">
        <f t="array" ref="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73" s="26" t="str">
        <f t="shared" si="3"/>
        <v/>
      </c>
      <c r="F473" s="26" t="str">
        <f t="array" ref="F473">IF(D473="","",IFERROR(INDEX(Dados_Evap!$C$2:$N$15,MATCH($B$9,Dados_Evap!$A$2:$A$15,0),C473),0))</f>
        <v/>
      </c>
      <c r="G473" s="26" t="str">
        <f t="shared" si="4"/>
        <v/>
      </c>
      <c r="H473" s="26" t="str">
        <f t="shared" si="22"/>
        <v/>
      </c>
      <c r="I473" s="26" t="str">
        <f t="array" ref="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/>
      </c>
      <c r="J473" s="26" t="str">
        <f t="shared" si="5"/>
        <v/>
      </c>
      <c r="K473" s="26" t="str">
        <f t="shared" si="6"/>
        <v/>
      </c>
      <c r="L473" s="26" t="str">
        <f t="shared" si="7"/>
        <v/>
      </c>
      <c r="M473" s="26" t="str">
        <f t="array" ref="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/>
      </c>
      <c r="N473" s="26" t="str">
        <f t="shared" si="8"/>
        <v/>
      </c>
      <c r="O473" s="26" t="str">
        <f t="shared" si="9"/>
        <v/>
      </c>
      <c r="P473" s="26" t="str">
        <f t="shared" si="10"/>
        <v/>
      </c>
      <c r="Q473" s="26" t="str">
        <f t="shared" si="11"/>
        <v/>
      </c>
      <c r="R473" s="26" t="str">
        <f t="shared" si="12"/>
        <v/>
      </c>
      <c r="S473" s="26" t="str">
        <f t="shared" si="13"/>
        <v/>
      </c>
      <c r="T473" s="26" t="str">
        <f t="shared" si="14"/>
        <v/>
      </c>
      <c r="U473" s="26" t="str">
        <f t="shared" si="15"/>
        <v/>
      </c>
      <c r="V473" s="26" t="str">
        <f t="shared" si="16"/>
        <v/>
      </c>
      <c r="W473" s="26" t="str">
        <f t="shared" si="17"/>
        <v/>
      </c>
      <c r="X473" s="26" t="str">
        <f t="shared" si="18"/>
        <v/>
      </c>
      <c r="Y473" s="26" t="str">
        <f t="shared" si="19"/>
        <v/>
      </c>
      <c r="Z473" s="31" t="str">
        <f t="shared" si="20"/>
        <v/>
      </c>
      <c r="AA473" s="31" t="str">
        <f>IF(D473="","",IF(H473&lt;=$B$16,1,IF(H473&gt;=$B$17,$B$21,MATCH(H473,Aux_CAV!$A$2:$A$121,1))))</f>
        <v/>
      </c>
      <c r="AB473" s="31" t="str">
        <f>IF(D473="","",IF(L473&lt;=$B$16,1,IF(L473&gt;=$B$17,$B$21,MATCH(L473,Aux_CAV!$A$2:$A$121,1))))</f>
        <v/>
      </c>
      <c r="AC473" s="3" t="str">
        <f t="shared" si="21"/>
        <v/>
      </c>
    </row>
    <row r="474" ht="12.75" customHeight="1">
      <c r="A474" s="25" t="str">
        <f t="shared" si="1"/>
        <v/>
      </c>
      <c r="B474" s="29" t="str">
        <f t="array" ref="B474">IF(D474="","",IFERROR(VALUE(INDEX(Vazoes_COLAR!$A$2:$A$200,INT((ROW()-24)/12)+1)),""))</f>
        <v/>
      </c>
      <c r="C474" s="29" t="str">
        <f t="shared" si="2"/>
        <v/>
      </c>
      <c r="D474" s="26" t="str">
        <f t="array" ref="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74" s="26" t="str">
        <f t="shared" si="3"/>
        <v/>
      </c>
      <c r="F474" s="26" t="str">
        <f t="array" ref="F474">IF(D474="","",IFERROR(INDEX(Dados_Evap!$C$2:$N$15,MATCH($B$9,Dados_Evap!$A$2:$A$15,0),C474),0))</f>
        <v/>
      </c>
      <c r="G474" s="26" t="str">
        <f t="shared" si="4"/>
        <v/>
      </c>
      <c r="H474" s="26" t="str">
        <f t="shared" si="22"/>
        <v/>
      </c>
      <c r="I474" s="26" t="str">
        <f t="array" ref="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/>
      </c>
      <c r="J474" s="26" t="str">
        <f t="shared" si="5"/>
        <v/>
      </c>
      <c r="K474" s="26" t="str">
        <f t="shared" si="6"/>
        <v/>
      </c>
      <c r="L474" s="26" t="str">
        <f t="shared" si="7"/>
        <v/>
      </c>
      <c r="M474" s="26" t="str">
        <f t="array" ref="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/>
      </c>
      <c r="N474" s="26" t="str">
        <f t="shared" si="8"/>
        <v/>
      </c>
      <c r="O474" s="26" t="str">
        <f t="shared" si="9"/>
        <v/>
      </c>
      <c r="P474" s="26" t="str">
        <f t="shared" si="10"/>
        <v/>
      </c>
      <c r="Q474" s="26" t="str">
        <f t="shared" si="11"/>
        <v/>
      </c>
      <c r="R474" s="26" t="str">
        <f t="shared" si="12"/>
        <v/>
      </c>
      <c r="S474" s="26" t="str">
        <f t="shared" si="13"/>
        <v/>
      </c>
      <c r="T474" s="26" t="str">
        <f t="shared" si="14"/>
        <v/>
      </c>
      <c r="U474" s="26" t="str">
        <f t="shared" si="15"/>
        <v/>
      </c>
      <c r="V474" s="26" t="str">
        <f t="shared" si="16"/>
        <v/>
      </c>
      <c r="W474" s="26" t="str">
        <f t="shared" si="17"/>
        <v/>
      </c>
      <c r="X474" s="26" t="str">
        <f t="shared" si="18"/>
        <v/>
      </c>
      <c r="Y474" s="26" t="str">
        <f t="shared" si="19"/>
        <v/>
      </c>
      <c r="Z474" s="31" t="str">
        <f t="shared" si="20"/>
        <v/>
      </c>
      <c r="AA474" s="31" t="str">
        <f>IF(D474="","",IF(H474&lt;=$B$16,1,IF(H474&gt;=$B$17,$B$21,MATCH(H474,Aux_CAV!$A$2:$A$121,1))))</f>
        <v/>
      </c>
      <c r="AB474" s="31" t="str">
        <f>IF(D474="","",IF(L474&lt;=$B$16,1,IF(L474&gt;=$B$17,$B$21,MATCH(L474,Aux_CAV!$A$2:$A$121,1))))</f>
        <v/>
      </c>
      <c r="AC474" s="3" t="str">
        <f t="shared" si="21"/>
        <v/>
      </c>
    </row>
    <row r="475" ht="12.75" customHeight="1">
      <c r="A475" s="25" t="str">
        <f t="shared" si="1"/>
        <v/>
      </c>
      <c r="B475" s="29" t="str">
        <f t="array" ref="B475">IF(D475="","",IFERROR(VALUE(INDEX(Vazoes_COLAR!$A$2:$A$200,INT((ROW()-24)/12)+1)),""))</f>
        <v/>
      </c>
      <c r="C475" s="29" t="str">
        <f t="shared" si="2"/>
        <v/>
      </c>
      <c r="D475" s="26" t="str">
        <f t="array" ref="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75" s="26" t="str">
        <f t="shared" si="3"/>
        <v/>
      </c>
      <c r="F475" s="26" t="str">
        <f t="array" ref="F475">IF(D475="","",IFERROR(INDEX(Dados_Evap!$C$2:$N$15,MATCH($B$9,Dados_Evap!$A$2:$A$15,0),C475),0))</f>
        <v/>
      </c>
      <c r="G475" s="26" t="str">
        <f t="shared" si="4"/>
        <v/>
      </c>
      <c r="H475" s="26" t="str">
        <f t="shared" si="22"/>
        <v/>
      </c>
      <c r="I475" s="26" t="str">
        <f t="array" ref="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/>
      </c>
      <c r="J475" s="26" t="str">
        <f t="shared" si="5"/>
        <v/>
      </c>
      <c r="K475" s="26" t="str">
        <f t="shared" si="6"/>
        <v/>
      </c>
      <c r="L475" s="26" t="str">
        <f t="shared" si="7"/>
        <v/>
      </c>
      <c r="M475" s="26" t="str">
        <f t="array" ref="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/>
      </c>
      <c r="N475" s="26" t="str">
        <f t="shared" si="8"/>
        <v/>
      </c>
      <c r="O475" s="26" t="str">
        <f t="shared" si="9"/>
        <v/>
      </c>
      <c r="P475" s="26" t="str">
        <f t="shared" si="10"/>
        <v/>
      </c>
      <c r="Q475" s="26" t="str">
        <f t="shared" si="11"/>
        <v/>
      </c>
      <c r="R475" s="26" t="str">
        <f t="shared" si="12"/>
        <v/>
      </c>
      <c r="S475" s="26" t="str">
        <f t="shared" si="13"/>
        <v/>
      </c>
      <c r="T475" s="26" t="str">
        <f t="shared" si="14"/>
        <v/>
      </c>
      <c r="U475" s="26" t="str">
        <f t="shared" si="15"/>
        <v/>
      </c>
      <c r="V475" s="26" t="str">
        <f t="shared" si="16"/>
        <v/>
      </c>
      <c r="W475" s="26" t="str">
        <f t="shared" si="17"/>
        <v/>
      </c>
      <c r="X475" s="26" t="str">
        <f t="shared" si="18"/>
        <v/>
      </c>
      <c r="Y475" s="26" t="str">
        <f t="shared" si="19"/>
        <v/>
      </c>
      <c r="Z475" s="31" t="str">
        <f t="shared" si="20"/>
        <v/>
      </c>
      <c r="AA475" s="31" t="str">
        <f>IF(D475="","",IF(H475&lt;=$B$16,1,IF(H475&gt;=$B$17,$B$21,MATCH(H475,Aux_CAV!$A$2:$A$121,1))))</f>
        <v/>
      </c>
      <c r="AB475" s="31" t="str">
        <f>IF(D475="","",IF(L475&lt;=$B$16,1,IF(L475&gt;=$B$17,$B$21,MATCH(L475,Aux_CAV!$A$2:$A$121,1))))</f>
        <v/>
      </c>
      <c r="AC475" s="3" t="str">
        <f t="shared" si="21"/>
        <v/>
      </c>
    </row>
    <row r="476" ht="12.75" customHeight="1">
      <c r="A476" s="25" t="str">
        <f t="shared" si="1"/>
        <v/>
      </c>
      <c r="B476" s="29" t="str">
        <f t="array" ref="B476">IF(D476="","",IFERROR(VALUE(INDEX(Vazoes_COLAR!$A$2:$A$200,INT((ROW()-24)/12)+1)),""))</f>
        <v/>
      </c>
      <c r="C476" s="29" t="str">
        <f t="shared" si="2"/>
        <v/>
      </c>
      <c r="D476" s="26" t="str">
        <f t="array" ref="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76" s="26" t="str">
        <f t="shared" si="3"/>
        <v/>
      </c>
      <c r="F476" s="26" t="str">
        <f t="array" ref="F476">IF(D476="","",IFERROR(INDEX(Dados_Evap!$C$2:$N$15,MATCH($B$9,Dados_Evap!$A$2:$A$15,0),C476),0))</f>
        <v/>
      </c>
      <c r="G476" s="26" t="str">
        <f t="shared" si="4"/>
        <v/>
      </c>
      <c r="H476" s="26" t="str">
        <f t="shared" si="22"/>
        <v/>
      </c>
      <c r="I476" s="26" t="str">
        <f t="array" ref="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/>
      </c>
      <c r="J476" s="26" t="str">
        <f t="shared" si="5"/>
        <v/>
      </c>
      <c r="K476" s="26" t="str">
        <f t="shared" si="6"/>
        <v/>
      </c>
      <c r="L476" s="26" t="str">
        <f t="shared" si="7"/>
        <v/>
      </c>
      <c r="M476" s="26" t="str">
        <f t="array" ref="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/>
      </c>
      <c r="N476" s="26" t="str">
        <f t="shared" si="8"/>
        <v/>
      </c>
      <c r="O476" s="26" t="str">
        <f t="shared" si="9"/>
        <v/>
      </c>
      <c r="P476" s="26" t="str">
        <f t="shared" si="10"/>
        <v/>
      </c>
      <c r="Q476" s="26" t="str">
        <f t="shared" si="11"/>
        <v/>
      </c>
      <c r="R476" s="26" t="str">
        <f t="shared" si="12"/>
        <v/>
      </c>
      <c r="S476" s="26" t="str">
        <f t="shared" si="13"/>
        <v/>
      </c>
      <c r="T476" s="26" t="str">
        <f t="shared" si="14"/>
        <v/>
      </c>
      <c r="U476" s="26" t="str">
        <f t="shared" si="15"/>
        <v/>
      </c>
      <c r="V476" s="26" t="str">
        <f t="shared" si="16"/>
        <v/>
      </c>
      <c r="W476" s="26" t="str">
        <f t="shared" si="17"/>
        <v/>
      </c>
      <c r="X476" s="26" t="str">
        <f t="shared" si="18"/>
        <v/>
      </c>
      <c r="Y476" s="26" t="str">
        <f t="shared" si="19"/>
        <v/>
      </c>
      <c r="Z476" s="31" t="str">
        <f t="shared" si="20"/>
        <v/>
      </c>
      <c r="AA476" s="31" t="str">
        <f>IF(D476="","",IF(H476&lt;=$B$16,1,IF(H476&gt;=$B$17,$B$21,MATCH(H476,Aux_CAV!$A$2:$A$121,1))))</f>
        <v/>
      </c>
      <c r="AB476" s="31" t="str">
        <f>IF(D476="","",IF(L476&lt;=$B$16,1,IF(L476&gt;=$B$17,$B$21,MATCH(L476,Aux_CAV!$A$2:$A$121,1))))</f>
        <v/>
      </c>
      <c r="AC476" s="3" t="str">
        <f t="shared" si="21"/>
        <v/>
      </c>
    </row>
    <row r="477" ht="12.75" customHeight="1">
      <c r="A477" s="25" t="str">
        <f t="shared" si="1"/>
        <v/>
      </c>
      <c r="B477" s="29" t="str">
        <f t="array" ref="B477">IF(D477="","",IFERROR(VALUE(INDEX(Vazoes_COLAR!$A$2:$A$200,INT((ROW()-24)/12)+1)),""))</f>
        <v/>
      </c>
      <c r="C477" s="29" t="str">
        <f t="shared" si="2"/>
        <v/>
      </c>
      <c r="D477" s="26" t="str">
        <f t="array" ref="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77" s="26" t="str">
        <f t="shared" si="3"/>
        <v/>
      </c>
      <c r="F477" s="26" t="str">
        <f t="array" ref="F477">IF(D477="","",IFERROR(INDEX(Dados_Evap!$C$2:$N$15,MATCH($B$9,Dados_Evap!$A$2:$A$15,0),C477),0))</f>
        <v/>
      </c>
      <c r="G477" s="26" t="str">
        <f t="shared" si="4"/>
        <v/>
      </c>
      <c r="H477" s="26" t="str">
        <f t="shared" si="22"/>
        <v/>
      </c>
      <c r="I477" s="26" t="str">
        <f t="array" ref="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/>
      </c>
      <c r="J477" s="26" t="str">
        <f t="shared" si="5"/>
        <v/>
      </c>
      <c r="K477" s="26" t="str">
        <f t="shared" si="6"/>
        <v/>
      </c>
      <c r="L477" s="26" t="str">
        <f t="shared" si="7"/>
        <v/>
      </c>
      <c r="M477" s="26" t="str">
        <f t="array" ref="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/>
      </c>
      <c r="N477" s="26" t="str">
        <f t="shared" si="8"/>
        <v/>
      </c>
      <c r="O477" s="26" t="str">
        <f t="shared" si="9"/>
        <v/>
      </c>
      <c r="P477" s="26" t="str">
        <f t="shared" si="10"/>
        <v/>
      </c>
      <c r="Q477" s="26" t="str">
        <f t="shared" si="11"/>
        <v/>
      </c>
      <c r="R477" s="26" t="str">
        <f t="shared" si="12"/>
        <v/>
      </c>
      <c r="S477" s="26" t="str">
        <f t="shared" si="13"/>
        <v/>
      </c>
      <c r="T477" s="26" t="str">
        <f t="shared" si="14"/>
        <v/>
      </c>
      <c r="U477" s="26" t="str">
        <f t="shared" si="15"/>
        <v/>
      </c>
      <c r="V477" s="26" t="str">
        <f t="shared" si="16"/>
        <v/>
      </c>
      <c r="W477" s="26" t="str">
        <f t="shared" si="17"/>
        <v/>
      </c>
      <c r="X477" s="26" t="str">
        <f t="shared" si="18"/>
        <v/>
      </c>
      <c r="Y477" s="26" t="str">
        <f t="shared" si="19"/>
        <v/>
      </c>
      <c r="Z477" s="31" t="str">
        <f t="shared" si="20"/>
        <v/>
      </c>
      <c r="AA477" s="31" t="str">
        <f>IF(D477="","",IF(H477&lt;=$B$16,1,IF(H477&gt;=$B$17,$B$21,MATCH(H477,Aux_CAV!$A$2:$A$121,1))))</f>
        <v/>
      </c>
      <c r="AB477" s="31" t="str">
        <f>IF(D477="","",IF(L477&lt;=$B$16,1,IF(L477&gt;=$B$17,$B$21,MATCH(L477,Aux_CAV!$A$2:$A$121,1))))</f>
        <v/>
      </c>
      <c r="AC477" s="3" t="str">
        <f t="shared" si="21"/>
        <v/>
      </c>
    </row>
    <row r="478" ht="12.75" customHeight="1">
      <c r="A478" s="25" t="str">
        <f t="shared" si="1"/>
        <v/>
      </c>
      <c r="B478" s="29" t="str">
        <f t="array" ref="B478">IF(D478="","",IFERROR(VALUE(INDEX(Vazoes_COLAR!$A$2:$A$200,INT((ROW()-24)/12)+1)),""))</f>
        <v/>
      </c>
      <c r="C478" s="29" t="str">
        <f t="shared" si="2"/>
        <v/>
      </c>
      <c r="D478" s="26" t="str">
        <f t="array" ref="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78" s="26" t="str">
        <f t="shared" si="3"/>
        <v/>
      </c>
      <c r="F478" s="26" t="str">
        <f t="array" ref="F478">IF(D478="","",IFERROR(INDEX(Dados_Evap!$C$2:$N$15,MATCH($B$9,Dados_Evap!$A$2:$A$15,0),C478),0))</f>
        <v/>
      </c>
      <c r="G478" s="26" t="str">
        <f t="shared" si="4"/>
        <v/>
      </c>
      <c r="H478" s="26" t="str">
        <f t="shared" si="22"/>
        <v/>
      </c>
      <c r="I478" s="26" t="str">
        <f t="array" ref="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/>
      </c>
      <c r="J478" s="26" t="str">
        <f t="shared" si="5"/>
        <v/>
      </c>
      <c r="K478" s="26" t="str">
        <f t="shared" si="6"/>
        <v/>
      </c>
      <c r="L478" s="26" t="str">
        <f t="shared" si="7"/>
        <v/>
      </c>
      <c r="M478" s="26" t="str">
        <f t="array" ref="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/>
      </c>
      <c r="N478" s="26" t="str">
        <f t="shared" si="8"/>
        <v/>
      </c>
      <c r="O478" s="26" t="str">
        <f t="shared" si="9"/>
        <v/>
      </c>
      <c r="P478" s="26" t="str">
        <f t="shared" si="10"/>
        <v/>
      </c>
      <c r="Q478" s="26" t="str">
        <f t="shared" si="11"/>
        <v/>
      </c>
      <c r="R478" s="26" t="str">
        <f t="shared" si="12"/>
        <v/>
      </c>
      <c r="S478" s="26" t="str">
        <f t="shared" si="13"/>
        <v/>
      </c>
      <c r="T478" s="26" t="str">
        <f t="shared" si="14"/>
        <v/>
      </c>
      <c r="U478" s="26" t="str">
        <f t="shared" si="15"/>
        <v/>
      </c>
      <c r="V478" s="26" t="str">
        <f t="shared" si="16"/>
        <v/>
      </c>
      <c r="W478" s="26" t="str">
        <f t="shared" si="17"/>
        <v/>
      </c>
      <c r="X478" s="26" t="str">
        <f t="shared" si="18"/>
        <v/>
      </c>
      <c r="Y478" s="26" t="str">
        <f t="shared" si="19"/>
        <v/>
      </c>
      <c r="Z478" s="31" t="str">
        <f t="shared" si="20"/>
        <v/>
      </c>
      <c r="AA478" s="31" t="str">
        <f>IF(D478="","",IF(H478&lt;=$B$16,1,IF(H478&gt;=$B$17,$B$21,MATCH(H478,Aux_CAV!$A$2:$A$121,1))))</f>
        <v/>
      </c>
      <c r="AB478" s="31" t="str">
        <f>IF(D478="","",IF(L478&lt;=$B$16,1,IF(L478&gt;=$B$17,$B$21,MATCH(L478,Aux_CAV!$A$2:$A$121,1))))</f>
        <v/>
      </c>
      <c r="AC478" s="3" t="str">
        <f t="shared" si="21"/>
        <v/>
      </c>
    </row>
    <row r="479" ht="12.75" customHeight="1">
      <c r="A479" s="25" t="str">
        <f t="shared" si="1"/>
        <v/>
      </c>
      <c r="B479" s="29" t="str">
        <f t="array" ref="B479">IF(D479="","",IFERROR(VALUE(INDEX(Vazoes_COLAR!$A$2:$A$200,INT((ROW()-24)/12)+1)),""))</f>
        <v/>
      </c>
      <c r="C479" s="29" t="str">
        <f t="shared" si="2"/>
        <v/>
      </c>
      <c r="D479" s="26" t="str">
        <f t="array" ref="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79" s="26" t="str">
        <f t="shared" si="3"/>
        <v/>
      </c>
      <c r="F479" s="26" t="str">
        <f t="array" ref="F479">IF(D479="","",IFERROR(INDEX(Dados_Evap!$C$2:$N$15,MATCH($B$9,Dados_Evap!$A$2:$A$15,0),C479),0))</f>
        <v/>
      </c>
      <c r="G479" s="26" t="str">
        <f t="shared" si="4"/>
        <v/>
      </c>
      <c r="H479" s="26" t="str">
        <f t="shared" si="22"/>
        <v/>
      </c>
      <c r="I479" s="26" t="str">
        <f t="array" ref="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/>
      </c>
      <c r="J479" s="26" t="str">
        <f t="shared" si="5"/>
        <v/>
      </c>
      <c r="K479" s="26" t="str">
        <f t="shared" si="6"/>
        <v/>
      </c>
      <c r="L479" s="26" t="str">
        <f t="shared" si="7"/>
        <v/>
      </c>
      <c r="M479" s="26" t="str">
        <f t="array" ref="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/>
      </c>
      <c r="N479" s="26" t="str">
        <f t="shared" si="8"/>
        <v/>
      </c>
      <c r="O479" s="26" t="str">
        <f t="shared" si="9"/>
        <v/>
      </c>
      <c r="P479" s="26" t="str">
        <f t="shared" si="10"/>
        <v/>
      </c>
      <c r="Q479" s="26" t="str">
        <f t="shared" si="11"/>
        <v/>
      </c>
      <c r="R479" s="26" t="str">
        <f t="shared" si="12"/>
        <v/>
      </c>
      <c r="S479" s="26" t="str">
        <f t="shared" si="13"/>
        <v/>
      </c>
      <c r="T479" s="26" t="str">
        <f t="shared" si="14"/>
        <v/>
      </c>
      <c r="U479" s="26" t="str">
        <f t="shared" si="15"/>
        <v/>
      </c>
      <c r="V479" s="26" t="str">
        <f t="shared" si="16"/>
        <v/>
      </c>
      <c r="W479" s="26" t="str">
        <f t="shared" si="17"/>
        <v/>
      </c>
      <c r="X479" s="26" t="str">
        <f t="shared" si="18"/>
        <v/>
      </c>
      <c r="Y479" s="26" t="str">
        <f t="shared" si="19"/>
        <v/>
      </c>
      <c r="Z479" s="31" t="str">
        <f t="shared" si="20"/>
        <v/>
      </c>
      <c r="AA479" s="31" t="str">
        <f>IF(D479="","",IF(H479&lt;=$B$16,1,IF(H479&gt;=$B$17,$B$21,MATCH(H479,Aux_CAV!$A$2:$A$121,1))))</f>
        <v/>
      </c>
      <c r="AB479" s="31" t="str">
        <f>IF(D479="","",IF(L479&lt;=$B$16,1,IF(L479&gt;=$B$17,$B$21,MATCH(L479,Aux_CAV!$A$2:$A$121,1))))</f>
        <v/>
      </c>
      <c r="AC479" s="3" t="str">
        <f t="shared" si="21"/>
        <v/>
      </c>
    </row>
    <row r="480" ht="12.75" customHeight="1">
      <c r="A480" s="25" t="str">
        <f t="shared" si="1"/>
        <v/>
      </c>
      <c r="B480" s="29" t="str">
        <f t="array" ref="B480">IF(D480="","",IFERROR(VALUE(INDEX(Vazoes_COLAR!$A$2:$A$200,INT((ROW()-24)/12)+1)),""))</f>
        <v/>
      </c>
      <c r="C480" s="29" t="str">
        <f t="shared" si="2"/>
        <v/>
      </c>
      <c r="D480" s="26" t="str">
        <f t="array" ref="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80" s="26" t="str">
        <f t="shared" si="3"/>
        <v/>
      </c>
      <c r="F480" s="26" t="str">
        <f t="array" ref="F480">IF(D480="","",IFERROR(INDEX(Dados_Evap!$C$2:$N$15,MATCH($B$9,Dados_Evap!$A$2:$A$15,0),C480),0))</f>
        <v/>
      </c>
      <c r="G480" s="26" t="str">
        <f t="shared" si="4"/>
        <v/>
      </c>
      <c r="H480" s="26" t="str">
        <f t="shared" si="22"/>
        <v/>
      </c>
      <c r="I480" s="26" t="str">
        <f t="array" ref="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/>
      </c>
      <c r="J480" s="26" t="str">
        <f t="shared" si="5"/>
        <v/>
      </c>
      <c r="K480" s="26" t="str">
        <f t="shared" si="6"/>
        <v/>
      </c>
      <c r="L480" s="26" t="str">
        <f t="shared" si="7"/>
        <v/>
      </c>
      <c r="M480" s="26" t="str">
        <f t="array" ref="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/>
      </c>
      <c r="N480" s="26" t="str">
        <f t="shared" si="8"/>
        <v/>
      </c>
      <c r="O480" s="26" t="str">
        <f t="shared" si="9"/>
        <v/>
      </c>
      <c r="P480" s="26" t="str">
        <f t="shared" si="10"/>
        <v/>
      </c>
      <c r="Q480" s="26" t="str">
        <f t="shared" si="11"/>
        <v/>
      </c>
      <c r="R480" s="26" t="str">
        <f t="shared" si="12"/>
        <v/>
      </c>
      <c r="S480" s="26" t="str">
        <f t="shared" si="13"/>
        <v/>
      </c>
      <c r="T480" s="26" t="str">
        <f t="shared" si="14"/>
        <v/>
      </c>
      <c r="U480" s="26" t="str">
        <f t="shared" si="15"/>
        <v/>
      </c>
      <c r="V480" s="26" t="str">
        <f t="shared" si="16"/>
        <v/>
      </c>
      <c r="W480" s="26" t="str">
        <f t="shared" si="17"/>
        <v/>
      </c>
      <c r="X480" s="26" t="str">
        <f t="shared" si="18"/>
        <v/>
      </c>
      <c r="Y480" s="26" t="str">
        <f t="shared" si="19"/>
        <v/>
      </c>
      <c r="Z480" s="31" t="str">
        <f t="shared" si="20"/>
        <v/>
      </c>
      <c r="AA480" s="31" t="str">
        <f>IF(D480="","",IF(H480&lt;=$B$16,1,IF(H480&gt;=$B$17,$B$21,MATCH(H480,Aux_CAV!$A$2:$A$121,1))))</f>
        <v/>
      </c>
      <c r="AB480" s="31" t="str">
        <f>IF(D480="","",IF(L480&lt;=$B$16,1,IF(L480&gt;=$B$17,$B$21,MATCH(L480,Aux_CAV!$A$2:$A$121,1))))</f>
        <v/>
      </c>
      <c r="AC480" s="3" t="str">
        <f t="shared" si="21"/>
        <v/>
      </c>
    </row>
    <row r="481" ht="12.75" customHeight="1">
      <c r="A481" s="25" t="str">
        <f t="shared" si="1"/>
        <v/>
      </c>
      <c r="B481" s="29" t="str">
        <f t="array" ref="B481">IF(D481="","",IFERROR(VALUE(INDEX(Vazoes_COLAR!$A$2:$A$200,INT((ROW()-24)/12)+1)),""))</f>
        <v/>
      </c>
      <c r="C481" s="29" t="str">
        <f t="shared" si="2"/>
        <v/>
      </c>
      <c r="D481" s="26" t="str">
        <f t="array" ref="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81" s="26" t="str">
        <f t="shared" si="3"/>
        <v/>
      </c>
      <c r="F481" s="26" t="str">
        <f t="array" ref="F481">IF(D481="","",IFERROR(INDEX(Dados_Evap!$C$2:$N$15,MATCH($B$9,Dados_Evap!$A$2:$A$15,0),C481),0))</f>
        <v/>
      </c>
      <c r="G481" s="26" t="str">
        <f t="shared" si="4"/>
        <v/>
      </c>
      <c r="H481" s="26" t="str">
        <f t="shared" si="22"/>
        <v/>
      </c>
      <c r="I481" s="26" t="str">
        <f t="array" ref="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/>
      </c>
      <c r="J481" s="26" t="str">
        <f t="shared" si="5"/>
        <v/>
      </c>
      <c r="K481" s="26" t="str">
        <f t="shared" si="6"/>
        <v/>
      </c>
      <c r="L481" s="26" t="str">
        <f t="shared" si="7"/>
        <v/>
      </c>
      <c r="M481" s="26" t="str">
        <f t="array" ref="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/>
      </c>
      <c r="N481" s="26" t="str">
        <f t="shared" si="8"/>
        <v/>
      </c>
      <c r="O481" s="26" t="str">
        <f t="shared" si="9"/>
        <v/>
      </c>
      <c r="P481" s="26" t="str">
        <f t="shared" si="10"/>
        <v/>
      </c>
      <c r="Q481" s="26" t="str">
        <f t="shared" si="11"/>
        <v/>
      </c>
      <c r="R481" s="26" t="str">
        <f t="shared" si="12"/>
        <v/>
      </c>
      <c r="S481" s="26" t="str">
        <f t="shared" si="13"/>
        <v/>
      </c>
      <c r="T481" s="26" t="str">
        <f t="shared" si="14"/>
        <v/>
      </c>
      <c r="U481" s="26" t="str">
        <f t="shared" si="15"/>
        <v/>
      </c>
      <c r="V481" s="26" t="str">
        <f t="shared" si="16"/>
        <v/>
      </c>
      <c r="W481" s="26" t="str">
        <f t="shared" si="17"/>
        <v/>
      </c>
      <c r="X481" s="26" t="str">
        <f t="shared" si="18"/>
        <v/>
      </c>
      <c r="Y481" s="26" t="str">
        <f t="shared" si="19"/>
        <v/>
      </c>
      <c r="Z481" s="31" t="str">
        <f t="shared" si="20"/>
        <v/>
      </c>
      <c r="AA481" s="31" t="str">
        <f>IF(D481="","",IF(H481&lt;=$B$16,1,IF(H481&gt;=$B$17,$B$21,MATCH(H481,Aux_CAV!$A$2:$A$121,1))))</f>
        <v/>
      </c>
      <c r="AB481" s="31" t="str">
        <f>IF(D481="","",IF(L481&lt;=$B$16,1,IF(L481&gt;=$B$17,$B$21,MATCH(L481,Aux_CAV!$A$2:$A$121,1))))</f>
        <v/>
      </c>
      <c r="AC481" s="3" t="str">
        <f t="shared" si="21"/>
        <v/>
      </c>
    </row>
    <row r="482" ht="12.75" customHeight="1">
      <c r="A482" s="25" t="str">
        <f t="shared" si="1"/>
        <v/>
      </c>
      <c r="B482" s="29" t="str">
        <f t="array" ref="B482">IF(D482="","",IFERROR(VALUE(INDEX(Vazoes_COLAR!$A$2:$A$200,INT((ROW()-24)/12)+1)),""))</f>
        <v/>
      </c>
      <c r="C482" s="29" t="str">
        <f t="shared" si="2"/>
        <v/>
      </c>
      <c r="D482" s="26" t="str">
        <f t="array" ref="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82" s="26" t="str">
        <f t="shared" si="3"/>
        <v/>
      </c>
      <c r="F482" s="26" t="str">
        <f t="array" ref="F482">IF(D482="","",IFERROR(INDEX(Dados_Evap!$C$2:$N$15,MATCH($B$9,Dados_Evap!$A$2:$A$15,0),C482),0))</f>
        <v/>
      </c>
      <c r="G482" s="26" t="str">
        <f t="shared" si="4"/>
        <v/>
      </c>
      <c r="H482" s="26" t="str">
        <f t="shared" si="22"/>
        <v/>
      </c>
      <c r="I482" s="26" t="str">
        <f t="array" ref="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/>
      </c>
      <c r="J482" s="26" t="str">
        <f t="shared" si="5"/>
        <v/>
      </c>
      <c r="K482" s="26" t="str">
        <f t="shared" si="6"/>
        <v/>
      </c>
      <c r="L482" s="26" t="str">
        <f t="shared" si="7"/>
        <v/>
      </c>
      <c r="M482" s="26" t="str">
        <f t="array" ref="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/>
      </c>
      <c r="N482" s="26" t="str">
        <f t="shared" si="8"/>
        <v/>
      </c>
      <c r="O482" s="26" t="str">
        <f t="shared" si="9"/>
        <v/>
      </c>
      <c r="P482" s="26" t="str">
        <f t="shared" si="10"/>
        <v/>
      </c>
      <c r="Q482" s="26" t="str">
        <f t="shared" si="11"/>
        <v/>
      </c>
      <c r="R482" s="26" t="str">
        <f t="shared" si="12"/>
        <v/>
      </c>
      <c r="S482" s="26" t="str">
        <f t="shared" si="13"/>
        <v/>
      </c>
      <c r="T482" s="26" t="str">
        <f t="shared" si="14"/>
        <v/>
      </c>
      <c r="U482" s="26" t="str">
        <f t="shared" si="15"/>
        <v/>
      </c>
      <c r="V482" s="26" t="str">
        <f t="shared" si="16"/>
        <v/>
      </c>
      <c r="W482" s="26" t="str">
        <f t="shared" si="17"/>
        <v/>
      </c>
      <c r="X482" s="26" t="str">
        <f t="shared" si="18"/>
        <v/>
      </c>
      <c r="Y482" s="26" t="str">
        <f t="shared" si="19"/>
        <v/>
      </c>
      <c r="Z482" s="31" t="str">
        <f t="shared" si="20"/>
        <v/>
      </c>
      <c r="AA482" s="31" t="str">
        <f>IF(D482="","",IF(H482&lt;=$B$16,1,IF(H482&gt;=$B$17,$B$21,MATCH(H482,Aux_CAV!$A$2:$A$121,1))))</f>
        <v/>
      </c>
      <c r="AB482" s="31" t="str">
        <f>IF(D482="","",IF(L482&lt;=$B$16,1,IF(L482&gt;=$B$17,$B$21,MATCH(L482,Aux_CAV!$A$2:$A$121,1))))</f>
        <v/>
      </c>
      <c r="AC482" s="3" t="str">
        <f t="shared" si="21"/>
        <v/>
      </c>
    </row>
    <row r="483" ht="12.75" customHeight="1">
      <c r="A483" s="25" t="str">
        <f t="shared" si="1"/>
        <v/>
      </c>
      <c r="B483" s="29" t="str">
        <f t="array" ref="B483">IF(D483="","",IFERROR(VALUE(INDEX(Vazoes_COLAR!$A$2:$A$200,INT((ROW()-24)/12)+1)),""))</f>
        <v/>
      </c>
      <c r="C483" s="29" t="str">
        <f t="shared" si="2"/>
        <v/>
      </c>
      <c r="D483" s="26" t="str">
        <f t="array" ref="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83" s="26" t="str">
        <f t="shared" si="3"/>
        <v/>
      </c>
      <c r="F483" s="26" t="str">
        <f t="array" ref="F483">IF(D483="","",IFERROR(INDEX(Dados_Evap!$C$2:$N$15,MATCH($B$9,Dados_Evap!$A$2:$A$15,0),C483),0))</f>
        <v/>
      </c>
      <c r="G483" s="26" t="str">
        <f t="shared" si="4"/>
        <v/>
      </c>
      <c r="H483" s="26" t="str">
        <f t="shared" si="22"/>
        <v/>
      </c>
      <c r="I483" s="26" t="str">
        <f t="array" ref="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/>
      </c>
      <c r="J483" s="26" t="str">
        <f t="shared" si="5"/>
        <v/>
      </c>
      <c r="K483" s="26" t="str">
        <f t="shared" si="6"/>
        <v/>
      </c>
      <c r="L483" s="26" t="str">
        <f t="shared" si="7"/>
        <v/>
      </c>
      <c r="M483" s="26" t="str">
        <f t="array" ref="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/>
      </c>
      <c r="N483" s="26" t="str">
        <f t="shared" si="8"/>
        <v/>
      </c>
      <c r="O483" s="26" t="str">
        <f t="shared" si="9"/>
        <v/>
      </c>
      <c r="P483" s="26" t="str">
        <f t="shared" si="10"/>
        <v/>
      </c>
      <c r="Q483" s="26" t="str">
        <f t="shared" si="11"/>
        <v/>
      </c>
      <c r="R483" s="26" t="str">
        <f t="shared" si="12"/>
        <v/>
      </c>
      <c r="S483" s="26" t="str">
        <f t="shared" si="13"/>
        <v/>
      </c>
      <c r="T483" s="26" t="str">
        <f t="shared" si="14"/>
        <v/>
      </c>
      <c r="U483" s="26" t="str">
        <f t="shared" si="15"/>
        <v/>
      </c>
      <c r="V483" s="26" t="str">
        <f t="shared" si="16"/>
        <v/>
      </c>
      <c r="W483" s="26" t="str">
        <f t="shared" si="17"/>
        <v/>
      </c>
      <c r="X483" s="26" t="str">
        <f t="shared" si="18"/>
        <v/>
      </c>
      <c r="Y483" s="26" t="str">
        <f t="shared" si="19"/>
        <v/>
      </c>
      <c r="Z483" s="31" t="str">
        <f t="shared" si="20"/>
        <v/>
      </c>
      <c r="AA483" s="31" t="str">
        <f>IF(D483="","",IF(H483&lt;=$B$16,1,IF(H483&gt;=$B$17,$B$21,MATCH(H483,Aux_CAV!$A$2:$A$121,1))))</f>
        <v/>
      </c>
      <c r="AB483" s="31" t="str">
        <f>IF(D483="","",IF(L483&lt;=$B$16,1,IF(L483&gt;=$B$17,$B$21,MATCH(L483,Aux_CAV!$A$2:$A$121,1))))</f>
        <v/>
      </c>
      <c r="AC483" s="3" t="str">
        <f t="shared" si="21"/>
        <v/>
      </c>
    </row>
    <row r="484" ht="12.75" customHeight="1">
      <c r="A484" s="25" t="str">
        <f t="shared" si="1"/>
        <v/>
      </c>
      <c r="B484" s="29" t="str">
        <f t="array" ref="B484">IF(D484="","",IFERROR(VALUE(INDEX(Vazoes_COLAR!$A$2:$A$200,INT((ROW()-24)/12)+1)),""))</f>
        <v/>
      </c>
      <c r="C484" s="29" t="str">
        <f t="shared" si="2"/>
        <v/>
      </c>
      <c r="D484" s="26" t="str">
        <f t="array" ref="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84" s="26" t="str">
        <f t="shared" si="3"/>
        <v/>
      </c>
      <c r="F484" s="26" t="str">
        <f t="array" ref="F484">IF(D484="","",IFERROR(INDEX(Dados_Evap!$C$2:$N$15,MATCH($B$9,Dados_Evap!$A$2:$A$15,0),C484),0))</f>
        <v/>
      </c>
      <c r="G484" s="26" t="str">
        <f t="shared" si="4"/>
        <v/>
      </c>
      <c r="H484" s="26" t="str">
        <f t="shared" si="22"/>
        <v/>
      </c>
      <c r="I484" s="26" t="str">
        <f t="array" ref="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/>
      </c>
      <c r="J484" s="26" t="str">
        <f t="shared" si="5"/>
        <v/>
      </c>
      <c r="K484" s="26" t="str">
        <f t="shared" si="6"/>
        <v/>
      </c>
      <c r="L484" s="26" t="str">
        <f t="shared" si="7"/>
        <v/>
      </c>
      <c r="M484" s="26" t="str">
        <f t="array" ref="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/>
      </c>
      <c r="N484" s="26" t="str">
        <f t="shared" si="8"/>
        <v/>
      </c>
      <c r="O484" s="26" t="str">
        <f t="shared" si="9"/>
        <v/>
      </c>
      <c r="P484" s="26" t="str">
        <f t="shared" si="10"/>
        <v/>
      </c>
      <c r="Q484" s="26" t="str">
        <f t="shared" si="11"/>
        <v/>
      </c>
      <c r="R484" s="26" t="str">
        <f t="shared" si="12"/>
        <v/>
      </c>
      <c r="S484" s="26" t="str">
        <f t="shared" si="13"/>
        <v/>
      </c>
      <c r="T484" s="26" t="str">
        <f t="shared" si="14"/>
        <v/>
      </c>
      <c r="U484" s="26" t="str">
        <f t="shared" si="15"/>
        <v/>
      </c>
      <c r="V484" s="26" t="str">
        <f t="shared" si="16"/>
        <v/>
      </c>
      <c r="W484" s="26" t="str">
        <f t="shared" si="17"/>
        <v/>
      </c>
      <c r="X484" s="26" t="str">
        <f t="shared" si="18"/>
        <v/>
      </c>
      <c r="Y484" s="26" t="str">
        <f t="shared" si="19"/>
        <v/>
      </c>
      <c r="Z484" s="31" t="str">
        <f t="shared" si="20"/>
        <v/>
      </c>
      <c r="AA484" s="31" t="str">
        <f>IF(D484="","",IF(H484&lt;=$B$16,1,IF(H484&gt;=$B$17,$B$21,MATCH(H484,Aux_CAV!$A$2:$A$121,1))))</f>
        <v/>
      </c>
      <c r="AB484" s="31" t="str">
        <f>IF(D484="","",IF(L484&lt;=$B$16,1,IF(L484&gt;=$B$17,$B$21,MATCH(L484,Aux_CAV!$A$2:$A$121,1))))</f>
        <v/>
      </c>
      <c r="AC484" s="3" t="str">
        <f t="shared" si="21"/>
        <v/>
      </c>
    </row>
    <row r="485" ht="12.75" customHeight="1">
      <c r="A485" s="25" t="str">
        <f t="shared" si="1"/>
        <v/>
      </c>
      <c r="B485" s="29" t="str">
        <f t="array" ref="B485">IF(D485="","",IFERROR(VALUE(INDEX(Vazoes_COLAR!$A$2:$A$200,INT((ROW()-24)/12)+1)),""))</f>
        <v/>
      </c>
      <c r="C485" s="29" t="str">
        <f t="shared" si="2"/>
        <v/>
      </c>
      <c r="D485" s="26" t="str">
        <f t="array" ref="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85" s="26" t="str">
        <f t="shared" si="3"/>
        <v/>
      </c>
      <c r="F485" s="26" t="str">
        <f t="array" ref="F485">IF(D485="","",IFERROR(INDEX(Dados_Evap!$C$2:$N$15,MATCH($B$9,Dados_Evap!$A$2:$A$15,0),C485),0))</f>
        <v/>
      </c>
      <c r="G485" s="26" t="str">
        <f t="shared" si="4"/>
        <v/>
      </c>
      <c r="H485" s="26" t="str">
        <f t="shared" si="22"/>
        <v/>
      </c>
      <c r="I485" s="26" t="str">
        <f t="array" ref="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/>
      </c>
      <c r="J485" s="26" t="str">
        <f t="shared" si="5"/>
        <v/>
      </c>
      <c r="K485" s="26" t="str">
        <f t="shared" si="6"/>
        <v/>
      </c>
      <c r="L485" s="26" t="str">
        <f t="shared" si="7"/>
        <v/>
      </c>
      <c r="M485" s="26" t="str">
        <f t="array" ref="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/>
      </c>
      <c r="N485" s="26" t="str">
        <f t="shared" si="8"/>
        <v/>
      </c>
      <c r="O485" s="26" t="str">
        <f t="shared" si="9"/>
        <v/>
      </c>
      <c r="P485" s="26" t="str">
        <f t="shared" si="10"/>
        <v/>
      </c>
      <c r="Q485" s="26" t="str">
        <f t="shared" si="11"/>
        <v/>
      </c>
      <c r="R485" s="26" t="str">
        <f t="shared" si="12"/>
        <v/>
      </c>
      <c r="S485" s="26" t="str">
        <f t="shared" si="13"/>
        <v/>
      </c>
      <c r="T485" s="26" t="str">
        <f t="shared" si="14"/>
        <v/>
      </c>
      <c r="U485" s="26" t="str">
        <f t="shared" si="15"/>
        <v/>
      </c>
      <c r="V485" s="26" t="str">
        <f t="shared" si="16"/>
        <v/>
      </c>
      <c r="W485" s="26" t="str">
        <f t="shared" si="17"/>
        <v/>
      </c>
      <c r="X485" s="26" t="str">
        <f t="shared" si="18"/>
        <v/>
      </c>
      <c r="Y485" s="26" t="str">
        <f t="shared" si="19"/>
        <v/>
      </c>
      <c r="Z485" s="31" t="str">
        <f t="shared" si="20"/>
        <v/>
      </c>
      <c r="AA485" s="31" t="str">
        <f>IF(D485="","",IF(H485&lt;=$B$16,1,IF(H485&gt;=$B$17,$B$21,MATCH(H485,Aux_CAV!$A$2:$A$121,1))))</f>
        <v/>
      </c>
      <c r="AB485" s="31" t="str">
        <f>IF(D485="","",IF(L485&lt;=$B$16,1,IF(L485&gt;=$B$17,$B$21,MATCH(L485,Aux_CAV!$A$2:$A$121,1))))</f>
        <v/>
      </c>
      <c r="AC485" s="3" t="str">
        <f t="shared" si="21"/>
        <v/>
      </c>
    </row>
    <row r="486" ht="12.75" customHeight="1">
      <c r="A486" s="25" t="str">
        <f t="shared" si="1"/>
        <v/>
      </c>
      <c r="B486" s="29" t="str">
        <f t="array" ref="B486">IF(D486="","",IFERROR(VALUE(INDEX(Vazoes_COLAR!$A$2:$A$200,INT((ROW()-24)/12)+1)),""))</f>
        <v/>
      </c>
      <c r="C486" s="29" t="str">
        <f t="shared" si="2"/>
        <v/>
      </c>
      <c r="D486" s="26" t="str">
        <f t="array" ref="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86" s="26" t="str">
        <f t="shared" si="3"/>
        <v/>
      </c>
      <c r="F486" s="26" t="str">
        <f t="array" ref="F486">IF(D486="","",IFERROR(INDEX(Dados_Evap!$C$2:$N$15,MATCH($B$9,Dados_Evap!$A$2:$A$15,0),C486),0))</f>
        <v/>
      </c>
      <c r="G486" s="26" t="str">
        <f t="shared" si="4"/>
        <v/>
      </c>
      <c r="H486" s="26" t="str">
        <f t="shared" si="22"/>
        <v/>
      </c>
      <c r="I486" s="26" t="str">
        <f t="array" ref="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/>
      </c>
      <c r="J486" s="26" t="str">
        <f t="shared" si="5"/>
        <v/>
      </c>
      <c r="K486" s="26" t="str">
        <f t="shared" si="6"/>
        <v/>
      </c>
      <c r="L486" s="26" t="str">
        <f t="shared" si="7"/>
        <v/>
      </c>
      <c r="M486" s="26" t="str">
        <f t="array" ref="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/>
      </c>
      <c r="N486" s="26" t="str">
        <f t="shared" si="8"/>
        <v/>
      </c>
      <c r="O486" s="26" t="str">
        <f t="shared" si="9"/>
        <v/>
      </c>
      <c r="P486" s="26" t="str">
        <f t="shared" si="10"/>
        <v/>
      </c>
      <c r="Q486" s="26" t="str">
        <f t="shared" si="11"/>
        <v/>
      </c>
      <c r="R486" s="26" t="str">
        <f t="shared" si="12"/>
        <v/>
      </c>
      <c r="S486" s="26" t="str">
        <f t="shared" si="13"/>
        <v/>
      </c>
      <c r="T486" s="26" t="str">
        <f t="shared" si="14"/>
        <v/>
      </c>
      <c r="U486" s="26" t="str">
        <f t="shared" si="15"/>
        <v/>
      </c>
      <c r="V486" s="26" t="str">
        <f t="shared" si="16"/>
        <v/>
      </c>
      <c r="W486" s="26" t="str">
        <f t="shared" si="17"/>
        <v/>
      </c>
      <c r="X486" s="26" t="str">
        <f t="shared" si="18"/>
        <v/>
      </c>
      <c r="Y486" s="26" t="str">
        <f t="shared" si="19"/>
        <v/>
      </c>
      <c r="Z486" s="31" t="str">
        <f t="shared" si="20"/>
        <v/>
      </c>
      <c r="AA486" s="31" t="str">
        <f>IF(D486="","",IF(H486&lt;=$B$16,1,IF(H486&gt;=$B$17,$B$21,MATCH(H486,Aux_CAV!$A$2:$A$121,1))))</f>
        <v/>
      </c>
      <c r="AB486" s="31" t="str">
        <f>IF(D486="","",IF(L486&lt;=$B$16,1,IF(L486&gt;=$B$17,$B$21,MATCH(L486,Aux_CAV!$A$2:$A$121,1))))</f>
        <v/>
      </c>
      <c r="AC486" s="3" t="str">
        <f t="shared" si="21"/>
        <v/>
      </c>
    </row>
    <row r="487" ht="12.75" customHeight="1">
      <c r="A487" s="25" t="str">
        <f t="shared" si="1"/>
        <v/>
      </c>
      <c r="B487" s="29" t="str">
        <f t="array" ref="B487">IF(D487="","",IFERROR(VALUE(INDEX(Vazoes_COLAR!$A$2:$A$200,INT((ROW()-24)/12)+1)),""))</f>
        <v/>
      </c>
      <c r="C487" s="29" t="str">
        <f t="shared" si="2"/>
        <v/>
      </c>
      <c r="D487" s="26" t="str">
        <f t="array" ref="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87" s="26" t="str">
        <f t="shared" si="3"/>
        <v/>
      </c>
      <c r="F487" s="26" t="str">
        <f t="array" ref="F487">IF(D487="","",IFERROR(INDEX(Dados_Evap!$C$2:$N$15,MATCH($B$9,Dados_Evap!$A$2:$A$15,0),C487),0))</f>
        <v/>
      </c>
      <c r="G487" s="26" t="str">
        <f t="shared" si="4"/>
        <v/>
      </c>
      <c r="H487" s="26" t="str">
        <f t="shared" si="22"/>
        <v/>
      </c>
      <c r="I487" s="26" t="str">
        <f t="array" ref="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/>
      </c>
      <c r="J487" s="26" t="str">
        <f t="shared" si="5"/>
        <v/>
      </c>
      <c r="K487" s="26" t="str">
        <f t="shared" si="6"/>
        <v/>
      </c>
      <c r="L487" s="26" t="str">
        <f t="shared" si="7"/>
        <v/>
      </c>
      <c r="M487" s="26" t="str">
        <f t="array" ref="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/>
      </c>
      <c r="N487" s="26" t="str">
        <f t="shared" si="8"/>
        <v/>
      </c>
      <c r="O487" s="26" t="str">
        <f t="shared" si="9"/>
        <v/>
      </c>
      <c r="P487" s="26" t="str">
        <f t="shared" si="10"/>
        <v/>
      </c>
      <c r="Q487" s="26" t="str">
        <f t="shared" si="11"/>
        <v/>
      </c>
      <c r="R487" s="26" t="str">
        <f t="shared" si="12"/>
        <v/>
      </c>
      <c r="S487" s="26" t="str">
        <f t="shared" si="13"/>
        <v/>
      </c>
      <c r="T487" s="26" t="str">
        <f t="shared" si="14"/>
        <v/>
      </c>
      <c r="U487" s="26" t="str">
        <f t="shared" si="15"/>
        <v/>
      </c>
      <c r="V487" s="26" t="str">
        <f t="shared" si="16"/>
        <v/>
      </c>
      <c r="W487" s="26" t="str">
        <f t="shared" si="17"/>
        <v/>
      </c>
      <c r="X487" s="26" t="str">
        <f t="shared" si="18"/>
        <v/>
      </c>
      <c r="Y487" s="26" t="str">
        <f t="shared" si="19"/>
        <v/>
      </c>
      <c r="Z487" s="31" t="str">
        <f t="shared" si="20"/>
        <v/>
      </c>
      <c r="AA487" s="31" t="str">
        <f>IF(D487="","",IF(H487&lt;=$B$16,1,IF(H487&gt;=$B$17,$B$21,MATCH(H487,Aux_CAV!$A$2:$A$121,1))))</f>
        <v/>
      </c>
      <c r="AB487" s="31" t="str">
        <f>IF(D487="","",IF(L487&lt;=$B$16,1,IF(L487&gt;=$B$17,$B$21,MATCH(L487,Aux_CAV!$A$2:$A$121,1))))</f>
        <v/>
      </c>
      <c r="AC487" s="3" t="str">
        <f t="shared" si="21"/>
        <v/>
      </c>
    </row>
    <row r="488" ht="12.75" customHeight="1">
      <c r="A488" s="25" t="str">
        <f t="shared" si="1"/>
        <v/>
      </c>
      <c r="B488" s="29" t="str">
        <f t="array" ref="B488">IF(D488="","",IFERROR(VALUE(INDEX(Vazoes_COLAR!$A$2:$A$200,INT((ROW()-24)/12)+1)),""))</f>
        <v/>
      </c>
      <c r="C488" s="29" t="str">
        <f t="shared" si="2"/>
        <v/>
      </c>
      <c r="D488" s="26" t="str">
        <f t="array" ref="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88" s="26" t="str">
        <f t="shared" si="3"/>
        <v/>
      </c>
      <c r="F488" s="26" t="str">
        <f t="array" ref="F488">IF(D488="","",IFERROR(INDEX(Dados_Evap!$C$2:$N$15,MATCH($B$9,Dados_Evap!$A$2:$A$15,0),C488),0))</f>
        <v/>
      </c>
      <c r="G488" s="26" t="str">
        <f t="shared" si="4"/>
        <v/>
      </c>
      <c r="H488" s="26" t="str">
        <f t="shared" si="22"/>
        <v/>
      </c>
      <c r="I488" s="26" t="str">
        <f t="array" ref="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/>
      </c>
      <c r="J488" s="26" t="str">
        <f t="shared" si="5"/>
        <v/>
      </c>
      <c r="K488" s="26" t="str">
        <f t="shared" si="6"/>
        <v/>
      </c>
      <c r="L488" s="26" t="str">
        <f t="shared" si="7"/>
        <v/>
      </c>
      <c r="M488" s="26" t="str">
        <f t="array" ref="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/>
      </c>
      <c r="N488" s="26" t="str">
        <f t="shared" si="8"/>
        <v/>
      </c>
      <c r="O488" s="26" t="str">
        <f t="shared" si="9"/>
        <v/>
      </c>
      <c r="P488" s="26" t="str">
        <f t="shared" si="10"/>
        <v/>
      </c>
      <c r="Q488" s="26" t="str">
        <f t="shared" si="11"/>
        <v/>
      </c>
      <c r="R488" s="26" t="str">
        <f t="shared" si="12"/>
        <v/>
      </c>
      <c r="S488" s="26" t="str">
        <f t="shared" si="13"/>
        <v/>
      </c>
      <c r="T488" s="26" t="str">
        <f t="shared" si="14"/>
        <v/>
      </c>
      <c r="U488" s="26" t="str">
        <f t="shared" si="15"/>
        <v/>
      </c>
      <c r="V488" s="26" t="str">
        <f t="shared" si="16"/>
        <v/>
      </c>
      <c r="W488" s="26" t="str">
        <f t="shared" si="17"/>
        <v/>
      </c>
      <c r="X488" s="26" t="str">
        <f t="shared" si="18"/>
        <v/>
      </c>
      <c r="Y488" s="26" t="str">
        <f t="shared" si="19"/>
        <v/>
      </c>
      <c r="Z488" s="31" t="str">
        <f t="shared" si="20"/>
        <v/>
      </c>
      <c r="AA488" s="31" t="str">
        <f>IF(D488="","",IF(H488&lt;=$B$16,1,IF(H488&gt;=$B$17,$B$21,MATCH(H488,Aux_CAV!$A$2:$A$121,1))))</f>
        <v/>
      </c>
      <c r="AB488" s="31" t="str">
        <f>IF(D488="","",IF(L488&lt;=$B$16,1,IF(L488&gt;=$B$17,$B$21,MATCH(L488,Aux_CAV!$A$2:$A$121,1))))</f>
        <v/>
      </c>
      <c r="AC488" s="3" t="str">
        <f t="shared" si="21"/>
        <v/>
      </c>
    </row>
    <row r="489" ht="12.75" customHeight="1">
      <c r="A489" s="25" t="str">
        <f t="shared" si="1"/>
        <v/>
      </c>
      <c r="B489" s="29" t="str">
        <f t="array" ref="B489">IF(D489="","",IFERROR(VALUE(INDEX(Vazoes_COLAR!$A$2:$A$200,INT((ROW()-24)/12)+1)),""))</f>
        <v/>
      </c>
      <c r="C489" s="29" t="str">
        <f t="shared" si="2"/>
        <v/>
      </c>
      <c r="D489" s="26" t="str">
        <f t="array" ref="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89" s="26" t="str">
        <f t="shared" si="3"/>
        <v/>
      </c>
      <c r="F489" s="26" t="str">
        <f t="array" ref="F489">IF(D489="","",IFERROR(INDEX(Dados_Evap!$C$2:$N$15,MATCH($B$9,Dados_Evap!$A$2:$A$15,0),C489),0))</f>
        <v/>
      </c>
      <c r="G489" s="26" t="str">
        <f t="shared" si="4"/>
        <v/>
      </c>
      <c r="H489" s="26" t="str">
        <f t="shared" si="22"/>
        <v/>
      </c>
      <c r="I489" s="26" t="str">
        <f t="array" ref="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/>
      </c>
      <c r="J489" s="26" t="str">
        <f t="shared" si="5"/>
        <v/>
      </c>
      <c r="K489" s="26" t="str">
        <f t="shared" si="6"/>
        <v/>
      </c>
      <c r="L489" s="26" t="str">
        <f t="shared" si="7"/>
        <v/>
      </c>
      <c r="M489" s="26" t="str">
        <f t="array" ref="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/>
      </c>
      <c r="N489" s="26" t="str">
        <f t="shared" si="8"/>
        <v/>
      </c>
      <c r="O489" s="26" t="str">
        <f t="shared" si="9"/>
        <v/>
      </c>
      <c r="P489" s="26" t="str">
        <f t="shared" si="10"/>
        <v/>
      </c>
      <c r="Q489" s="26" t="str">
        <f t="shared" si="11"/>
        <v/>
      </c>
      <c r="R489" s="26" t="str">
        <f t="shared" si="12"/>
        <v/>
      </c>
      <c r="S489" s="26" t="str">
        <f t="shared" si="13"/>
        <v/>
      </c>
      <c r="T489" s="26" t="str">
        <f t="shared" si="14"/>
        <v/>
      </c>
      <c r="U489" s="26" t="str">
        <f t="shared" si="15"/>
        <v/>
      </c>
      <c r="V489" s="26" t="str">
        <f t="shared" si="16"/>
        <v/>
      </c>
      <c r="W489" s="26" t="str">
        <f t="shared" si="17"/>
        <v/>
      </c>
      <c r="X489" s="26" t="str">
        <f t="shared" si="18"/>
        <v/>
      </c>
      <c r="Y489" s="26" t="str">
        <f t="shared" si="19"/>
        <v/>
      </c>
      <c r="Z489" s="31" t="str">
        <f t="shared" si="20"/>
        <v/>
      </c>
      <c r="AA489" s="31" t="str">
        <f>IF(D489="","",IF(H489&lt;=$B$16,1,IF(H489&gt;=$B$17,$B$21,MATCH(H489,Aux_CAV!$A$2:$A$121,1))))</f>
        <v/>
      </c>
      <c r="AB489" s="31" t="str">
        <f>IF(D489="","",IF(L489&lt;=$B$16,1,IF(L489&gt;=$B$17,$B$21,MATCH(L489,Aux_CAV!$A$2:$A$121,1))))</f>
        <v/>
      </c>
      <c r="AC489" s="3" t="str">
        <f t="shared" si="21"/>
        <v/>
      </c>
    </row>
    <row r="490" ht="12.75" customHeight="1">
      <c r="A490" s="25" t="str">
        <f t="shared" si="1"/>
        <v/>
      </c>
      <c r="B490" s="29" t="str">
        <f t="array" ref="B490">IF(D490="","",IFERROR(VALUE(INDEX(Vazoes_COLAR!$A$2:$A$200,INT((ROW()-24)/12)+1)),""))</f>
        <v/>
      </c>
      <c r="C490" s="29" t="str">
        <f t="shared" si="2"/>
        <v/>
      </c>
      <c r="D490" s="26" t="str">
        <f t="array" ref="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90" s="26" t="str">
        <f t="shared" si="3"/>
        <v/>
      </c>
      <c r="F490" s="26" t="str">
        <f t="array" ref="F490">IF(D490="","",IFERROR(INDEX(Dados_Evap!$C$2:$N$15,MATCH($B$9,Dados_Evap!$A$2:$A$15,0),C490),0))</f>
        <v/>
      </c>
      <c r="G490" s="26" t="str">
        <f t="shared" si="4"/>
        <v/>
      </c>
      <c r="H490" s="26" t="str">
        <f t="shared" si="22"/>
        <v/>
      </c>
      <c r="I490" s="26" t="str">
        <f t="array" ref="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/>
      </c>
      <c r="J490" s="26" t="str">
        <f t="shared" si="5"/>
        <v/>
      </c>
      <c r="K490" s="26" t="str">
        <f t="shared" si="6"/>
        <v/>
      </c>
      <c r="L490" s="26" t="str">
        <f t="shared" si="7"/>
        <v/>
      </c>
      <c r="M490" s="26" t="str">
        <f t="array" ref="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/>
      </c>
      <c r="N490" s="26" t="str">
        <f t="shared" si="8"/>
        <v/>
      </c>
      <c r="O490" s="26" t="str">
        <f t="shared" si="9"/>
        <v/>
      </c>
      <c r="P490" s="26" t="str">
        <f t="shared" si="10"/>
        <v/>
      </c>
      <c r="Q490" s="26" t="str">
        <f t="shared" si="11"/>
        <v/>
      </c>
      <c r="R490" s="26" t="str">
        <f t="shared" si="12"/>
        <v/>
      </c>
      <c r="S490" s="26" t="str">
        <f t="shared" si="13"/>
        <v/>
      </c>
      <c r="T490" s="26" t="str">
        <f t="shared" si="14"/>
        <v/>
      </c>
      <c r="U490" s="26" t="str">
        <f t="shared" si="15"/>
        <v/>
      </c>
      <c r="V490" s="26" t="str">
        <f t="shared" si="16"/>
        <v/>
      </c>
      <c r="W490" s="26" t="str">
        <f t="shared" si="17"/>
        <v/>
      </c>
      <c r="X490" s="26" t="str">
        <f t="shared" si="18"/>
        <v/>
      </c>
      <c r="Y490" s="26" t="str">
        <f t="shared" si="19"/>
        <v/>
      </c>
      <c r="Z490" s="31" t="str">
        <f t="shared" si="20"/>
        <v/>
      </c>
      <c r="AA490" s="31" t="str">
        <f>IF(D490="","",IF(H490&lt;=$B$16,1,IF(H490&gt;=$B$17,$B$21,MATCH(H490,Aux_CAV!$A$2:$A$121,1))))</f>
        <v/>
      </c>
      <c r="AB490" s="31" t="str">
        <f>IF(D490="","",IF(L490&lt;=$B$16,1,IF(L490&gt;=$B$17,$B$21,MATCH(L490,Aux_CAV!$A$2:$A$121,1))))</f>
        <v/>
      </c>
      <c r="AC490" s="3" t="str">
        <f t="shared" si="21"/>
        <v/>
      </c>
    </row>
    <row r="491" ht="12.75" customHeight="1">
      <c r="A491" s="25" t="str">
        <f t="shared" si="1"/>
        <v/>
      </c>
      <c r="B491" s="29" t="str">
        <f t="array" ref="B491">IF(D491="","",IFERROR(VALUE(INDEX(Vazoes_COLAR!$A$2:$A$200,INT((ROW()-24)/12)+1)),""))</f>
        <v/>
      </c>
      <c r="C491" s="29" t="str">
        <f t="shared" si="2"/>
        <v/>
      </c>
      <c r="D491" s="26" t="str">
        <f t="array" ref="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91" s="26" t="str">
        <f t="shared" si="3"/>
        <v/>
      </c>
      <c r="F491" s="26" t="str">
        <f t="array" ref="F491">IF(D491="","",IFERROR(INDEX(Dados_Evap!$C$2:$N$15,MATCH($B$9,Dados_Evap!$A$2:$A$15,0),C491),0))</f>
        <v/>
      </c>
      <c r="G491" s="26" t="str">
        <f t="shared" si="4"/>
        <v/>
      </c>
      <c r="H491" s="26" t="str">
        <f t="shared" si="22"/>
        <v/>
      </c>
      <c r="I491" s="26" t="str">
        <f t="array" ref="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/>
      </c>
      <c r="J491" s="26" t="str">
        <f t="shared" si="5"/>
        <v/>
      </c>
      <c r="K491" s="26" t="str">
        <f t="shared" si="6"/>
        <v/>
      </c>
      <c r="L491" s="26" t="str">
        <f t="shared" si="7"/>
        <v/>
      </c>
      <c r="M491" s="26" t="str">
        <f t="array" ref="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/>
      </c>
      <c r="N491" s="26" t="str">
        <f t="shared" si="8"/>
        <v/>
      </c>
      <c r="O491" s="26" t="str">
        <f t="shared" si="9"/>
        <v/>
      </c>
      <c r="P491" s="26" t="str">
        <f t="shared" si="10"/>
        <v/>
      </c>
      <c r="Q491" s="26" t="str">
        <f t="shared" si="11"/>
        <v/>
      </c>
      <c r="R491" s="26" t="str">
        <f t="shared" si="12"/>
        <v/>
      </c>
      <c r="S491" s="26" t="str">
        <f t="shared" si="13"/>
        <v/>
      </c>
      <c r="T491" s="26" t="str">
        <f t="shared" si="14"/>
        <v/>
      </c>
      <c r="U491" s="26" t="str">
        <f t="shared" si="15"/>
        <v/>
      </c>
      <c r="V491" s="26" t="str">
        <f t="shared" si="16"/>
        <v/>
      </c>
      <c r="W491" s="26" t="str">
        <f t="shared" si="17"/>
        <v/>
      </c>
      <c r="X491" s="26" t="str">
        <f t="shared" si="18"/>
        <v/>
      </c>
      <c r="Y491" s="26" t="str">
        <f t="shared" si="19"/>
        <v/>
      </c>
      <c r="Z491" s="31" t="str">
        <f t="shared" si="20"/>
        <v/>
      </c>
      <c r="AA491" s="31" t="str">
        <f>IF(D491="","",IF(H491&lt;=$B$16,1,IF(H491&gt;=$B$17,$B$21,MATCH(H491,Aux_CAV!$A$2:$A$121,1))))</f>
        <v/>
      </c>
      <c r="AB491" s="31" t="str">
        <f>IF(D491="","",IF(L491&lt;=$B$16,1,IF(L491&gt;=$B$17,$B$21,MATCH(L491,Aux_CAV!$A$2:$A$121,1))))</f>
        <v/>
      </c>
      <c r="AC491" s="3" t="str">
        <f t="shared" si="21"/>
        <v/>
      </c>
    </row>
    <row r="492" ht="12.75" customHeight="1">
      <c r="A492" s="25" t="str">
        <f t="shared" si="1"/>
        <v/>
      </c>
      <c r="B492" s="29" t="str">
        <f t="array" ref="B492">IF(D492="","",IFERROR(VALUE(INDEX(Vazoes_COLAR!$A$2:$A$200,INT((ROW()-24)/12)+1)),""))</f>
        <v/>
      </c>
      <c r="C492" s="29" t="str">
        <f t="shared" si="2"/>
        <v/>
      </c>
      <c r="D492" s="26" t="str">
        <f t="array" ref="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92" s="26" t="str">
        <f t="shared" si="3"/>
        <v/>
      </c>
      <c r="F492" s="26" t="str">
        <f t="array" ref="F492">IF(D492="","",IFERROR(INDEX(Dados_Evap!$C$2:$N$15,MATCH($B$9,Dados_Evap!$A$2:$A$15,0),C492),0))</f>
        <v/>
      </c>
      <c r="G492" s="26" t="str">
        <f t="shared" si="4"/>
        <v/>
      </c>
      <c r="H492" s="26" t="str">
        <f t="shared" si="22"/>
        <v/>
      </c>
      <c r="I492" s="26" t="str">
        <f t="array" ref="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/>
      </c>
      <c r="J492" s="26" t="str">
        <f t="shared" si="5"/>
        <v/>
      </c>
      <c r="K492" s="26" t="str">
        <f t="shared" si="6"/>
        <v/>
      </c>
      <c r="L492" s="26" t="str">
        <f t="shared" si="7"/>
        <v/>
      </c>
      <c r="M492" s="26" t="str">
        <f t="array" ref="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/>
      </c>
      <c r="N492" s="26" t="str">
        <f t="shared" si="8"/>
        <v/>
      </c>
      <c r="O492" s="26" t="str">
        <f t="shared" si="9"/>
        <v/>
      </c>
      <c r="P492" s="26" t="str">
        <f t="shared" si="10"/>
        <v/>
      </c>
      <c r="Q492" s="26" t="str">
        <f t="shared" si="11"/>
        <v/>
      </c>
      <c r="R492" s="26" t="str">
        <f t="shared" si="12"/>
        <v/>
      </c>
      <c r="S492" s="26" t="str">
        <f t="shared" si="13"/>
        <v/>
      </c>
      <c r="T492" s="26" t="str">
        <f t="shared" si="14"/>
        <v/>
      </c>
      <c r="U492" s="26" t="str">
        <f t="shared" si="15"/>
        <v/>
      </c>
      <c r="V492" s="26" t="str">
        <f t="shared" si="16"/>
        <v/>
      </c>
      <c r="W492" s="26" t="str">
        <f t="shared" si="17"/>
        <v/>
      </c>
      <c r="X492" s="26" t="str">
        <f t="shared" si="18"/>
        <v/>
      </c>
      <c r="Y492" s="26" t="str">
        <f t="shared" si="19"/>
        <v/>
      </c>
      <c r="Z492" s="31" t="str">
        <f t="shared" si="20"/>
        <v/>
      </c>
      <c r="AA492" s="31" t="str">
        <f>IF(D492="","",IF(H492&lt;=$B$16,1,IF(H492&gt;=$B$17,$B$21,MATCH(H492,Aux_CAV!$A$2:$A$121,1))))</f>
        <v/>
      </c>
      <c r="AB492" s="31" t="str">
        <f>IF(D492="","",IF(L492&lt;=$B$16,1,IF(L492&gt;=$B$17,$B$21,MATCH(L492,Aux_CAV!$A$2:$A$121,1))))</f>
        <v/>
      </c>
      <c r="AC492" s="3" t="str">
        <f t="shared" si="21"/>
        <v/>
      </c>
    </row>
    <row r="493" ht="12.75" customHeight="1">
      <c r="A493" s="25" t="str">
        <f t="shared" si="1"/>
        <v/>
      </c>
      <c r="B493" s="29" t="str">
        <f t="array" ref="B493">IF(D493="","",IFERROR(VALUE(INDEX(Vazoes_COLAR!$A$2:$A$200,INT((ROW()-24)/12)+1)),""))</f>
        <v/>
      </c>
      <c r="C493" s="29" t="str">
        <f t="shared" si="2"/>
        <v/>
      </c>
      <c r="D493" s="26" t="str">
        <f t="array" ref="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93" s="26" t="str">
        <f t="shared" si="3"/>
        <v/>
      </c>
      <c r="F493" s="26" t="str">
        <f t="array" ref="F493">IF(D493="","",IFERROR(INDEX(Dados_Evap!$C$2:$N$15,MATCH($B$9,Dados_Evap!$A$2:$A$15,0),C493),0))</f>
        <v/>
      </c>
      <c r="G493" s="26" t="str">
        <f t="shared" si="4"/>
        <v/>
      </c>
      <c r="H493" s="26" t="str">
        <f t="shared" si="22"/>
        <v/>
      </c>
      <c r="I493" s="26" t="str">
        <f t="array" ref="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/>
      </c>
      <c r="J493" s="26" t="str">
        <f t="shared" si="5"/>
        <v/>
      </c>
      <c r="K493" s="26" t="str">
        <f t="shared" si="6"/>
        <v/>
      </c>
      <c r="L493" s="26" t="str">
        <f t="shared" si="7"/>
        <v/>
      </c>
      <c r="M493" s="26" t="str">
        <f t="array" ref="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/>
      </c>
      <c r="N493" s="26" t="str">
        <f t="shared" si="8"/>
        <v/>
      </c>
      <c r="O493" s="26" t="str">
        <f t="shared" si="9"/>
        <v/>
      </c>
      <c r="P493" s="26" t="str">
        <f t="shared" si="10"/>
        <v/>
      </c>
      <c r="Q493" s="26" t="str">
        <f t="shared" si="11"/>
        <v/>
      </c>
      <c r="R493" s="26" t="str">
        <f t="shared" si="12"/>
        <v/>
      </c>
      <c r="S493" s="26" t="str">
        <f t="shared" si="13"/>
        <v/>
      </c>
      <c r="T493" s="26" t="str">
        <f t="shared" si="14"/>
        <v/>
      </c>
      <c r="U493" s="26" t="str">
        <f t="shared" si="15"/>
        <v/>
      </c>
      <c r="V493" s="26" t="str">
        <f t="shared" si="16"/>
        <v/>
      </c>
      <c r="W493" s="26" t="str">
        <f t="shared" si="17"/>
        <v/>
      </c>
      <c r="X493" s="26" t="str">
        <f t="shared" si="18"/>
        <v/>
      </c>
      <c r="Y493" s="26" t="str">
        <f t="shared" si="19"/>
        <v/>
      </c>
      <c r="Z493" s="31" t="str">
        <f t="shared" si="20"/>
        <v/>
      </c>
      <c r="AA493" s="31" t="str">
        <f>IF(D493="","",IF(H493&lt;=$B$16,1,IF(H493&gt;=$B$17,$B$21,MATCH(H493,Aux_CAV!$A$2:$A$121,1))))</f>
        <v/>
      </c>
      <c r="AB493" s="31" t="str">
        <f>IF(D493="","",IF(L493&lt;=$B$16,1,IF(L493&gt;=$B$17,$B$21,MATCH(L493,Aux_CAV!$A$2:$A$121,1))))</f>
        <v/>
      </c>
      <c r="AC493" s="3" t="str">
        <f t="shared" si="21"/>
        <v/>
      </c>
    </row>
    <row r="494" ht="12.75" customHeight="1">
      <c r="A494" s="25" t="str">
        <f t="shared" si="1"/>
        <v/>
      </c>
      <c r="B494" s="29" t="str">
        <f t="array" ref="B494">IF(D494="","",IFERROR(VALUE(INDEX(Vazoes_COLAR!$A$2:$A$200,INT((ROW()-24)/12)+1)),""))</f>
        <v/>
      </c>
      <c r="C494" s="29" t="str">
        <f t="shared" si="2"/>
        <v/>
      </c>
      <c r="D494" s="26" t="str">
        <f t="array" ref="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94" s="26" t="str">
        <f t="shared" si="3"/>
        <v/>
      </c>
      <c r="F494" s="26" t="str">
        <f t="array" ref="F494">IF(D494="","",IFERROR(INDEX(Dados_Evap!$C$2:$N$15,MATCH($B$9,Dados_Evap!$A$2:$A$15,0),C494),0))</f>
        <v/>
      </c>
      <c r="G494" s="26" t="str">
        <f t="shared" si="4"/>
        <v/>
      </c>
      <c r="H494" s="26" t="str">
        <f t="shared" si="22"/>
        <v/>
      </c>
      <c r="I494" s="26" t="str">
        <f t="array" ref="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/>
      </c>
      <c r="J494" s="26" t="str">
        <f t="shared" si="5"/>
        <v/>
      </c>
      <c r="K494" s="26" t="str">
        <f t="shared" si="6"/>
        <v/>
      </c>
      <c r="L494" s="26" t="str">
        <f t="shared" si="7"/>
        <v/>
      </c>
      <c r="M494" s="26" t="str">
        <f t="array" ref="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/>
      </c>
      <c r="N494" s="26" t="str">
        <f t="shared" si="8"/>
        <v/>
      </c>
      <c r="O494" s="26" t="str">
        <f t="shared" si="9"/>
        <v/>
      </c>
      <c r="P494" s="26" t="str">
        <f t="shared" si="10"/>
        <v/>
      </c>
      <c r="Q494" s="26" t="str">
        <f t="shared" si="11"/>
        <v/>
      </c>
      <c r="R494" s="26" t="str">
        <f t="shared" si="12"/>
        <v/>
      </c>
      <c r="S494" s="26" t="str">
        <f t="shared" si="13"/>
        <v/>
      </c>
      <c r="T494" s="26" t="str">
        <f t="shared" si="14"/>
        <v/>
      </c>
      <c r="U494" s="26" t="str">
        <f t="shared" si="15"/>
        <v/>
      </c>
      <c r="V494" s="26" t="str">
        <f t="shared" si="16"/>
        <v/>
      </c>
      <c r="W494" s="26" t="str">
        <f t="shared" si="17"/>
        <v/>
      </c>
      <c r="X494" s="26" t="str">
        <f t="shared" si="18"/>
        <v/>
      </c>
      <c r="Y494" s="26" t="str">
        <f t="shared" si="19"/>
        <v/>
      </c>
      <c r="Z494" s="31" t="str">
        <f t="shared" si="20"/>
        <v/>
      </c>
      <c r="AA494" s="31" t="str">
        <f>IF(D494="","",IF(H494&lt;=$B$16,1,IF(H494&gt;=$B$17,$B$21,MATCH(H494,Aux_CAV!$A$2:$A$121,1))))</f>
        <v/>
      </c>
      <c r="AB494" s="31" t="str">
        <f>IF(D494="","",IF(L494&lt;=$B$16,1,IF(L494&gt;=$B$17,$B$21,MATCH(L494,Aux_CAV!$A$2:$A$121,1))))</f>
        <v/>
      </c>
      <c r="AC494" s="3" t="str">
        <f t="shared" si="21"/>
        <v/>
      </c>
    </row>
    <row r="495" ht="12.75" customHeight="1">
      <c r="A495" s="25" t="str">
        <f t="shared" si="1"/>
        <v/>
      </c>
      <c r="B495" s="29" t="str">
        <f t="array" ref="B495">IF(D495="","",IFERROR(VALUE(INDEX(Vazoes_COLAR!$A$2:$A$200,INT((ROW()-24)/12)+1)),""))</f>
        <v/>
      </c>
      <c r="C495" s="29" t="str">
        <f t="shared" si="2"/>
        <v/>
      </c>
      <c r="D495" s="26" t="str">
        <f t="array" ref="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95" s="26" t="str">
        <f t="shared" si="3"/>
        <v/>
      </c>
      <c r="F495" s="26" t="str">
        <f t="array" ref="F495">IF(D495="","",IFERROR(INDEX(Dados_Evap!$C$2:$N$15,MATCH($B$9,Dados_Evap!$A$2:$A$15,0),C495),0))</f>
        <v/>
      </c>
      <c r="G495" s="26" t="str">
        <f t="shared" si="4"/>
        <v/>
      </c>
      <c r="H495" s="26" t="str">
        <f t="shared" si="22"/>
        <v/>
      </c>
      <c r="I495" s="26" t="str">
        <f t="array" ref="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/>
      </c>
      <c r="J495" s="26" t="str">
        <f t="shared" si="5"/>
        <v/>
      </c>
      <c r="K495" s="26" t="str">
        <f t="shared" si="6"/>
        <v/>
      </c>
      <c r="L495" s="26" t="str">
        <f t="shared" si="7"/>
        <v/>
      </c>
      <c r="M495" s="26" t="str">
        <f t="array" ref="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/>
      </c>
      <c r="N495" s="26" t="str">
        <f t="shared" si="8"/>
        <v/>
      </c>
      <c r="O495" s="26" t="str">
        <f t="shared" si="9"/>
        <v/>
      </c>
      <c r="P495" s="26" t="str">
        <f t="shared" si="10"/>
        <v/>
      </c>
      <c r="Q495" s="26" t="str">
        <f t="shared" si="11"/>
        <v/>
      </c>
      <c r="R495" s="26" t="str">
        <f t="shared" si="12"/>
        <v/>
      </c>
      <c r="S495" s="26" t="str">
        <f t="shared" si="13"/>
        <v/>
      </c>
      <c r="T495" s="26" t="str">
        <f t="shared" si="14"/>
        <v/>
      </c>
      <c r="U495" s="26" t="str">
        <f t="shared" si="15"/>
        <v/>
      </c>
      <c r="V495" s="26" t="str">
        <f t="shared" si="16"/>
        <v/>
      </c>
      <c r="W495" s="26" t="str">
        <f t="shared" si="17"/>
        <v/>
      </c>
      <c r="X495" s="26" t="str">
        <f t="shared" si="18"/>
        <v/>
      </c>
      <c r="Y495" s="26" t="str">
        <f t="shared" si="19"/>
        <v/>
      </c>
      <c r="Z495" s="31" t="str">
        <f t="shared" si="20"/>
        <v/>
      </c>
      <c r="AA495" s="31" t="str">
        <f>IF(D495="","",IF(H495&lt;=$B$16,1,IF(H495&gt;=$B$17,$B$21,MATCH(H495,Aux_CAV!$A$2:$A$121,1))))</f>
        <v/>
      </c>
      <c r="AB495" s="31" t="str">
        <f>IF(D495="","",IF(L495&lt;=$B$16,1,IF(L495&gt;=$B$17,$B$21,MATCH(L495,Aux_CAV!$A$2:$A$121,1))))</f>
        <v/>
      </c>
      <c r="AC495" s="3" t="str">
        <f t="shared" si="21"/>
        <v/>
      </c>
    </row>
    <row r="496" ht="12.75" customHeight="1">
      <c r="A496" s="25" t="str">
        <f t="shared" si="1"/>
        <v/>
      </c>
      <c r="B496" s="29" t="str">
        <f t="array" ref="B496">IF(D496="","",IFERROR(VALUE(INDEX(Vazoes_COLAR!$A$2:$A$200,INT((ROW()-24)/12)+1)),""))</f>
        <v/>
      </c>
      <c r="C496" s="29" t="str">
        <f t="shared" si="2"/>
        <v/>
      </c>
      <c r="D496" s="26" t="str">
        <f t="array" ref="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96" s="26" t="str">
        <f t="shared" si="3"/>
        <v/>
      </c>
      <c r="F496" s="26" t="str">
        <f t="array" ref="F496">IF(D496="","",IFERROR(INDEX(Dados_Evap!$C$2:$N$15,MATCH($B$9,Dados_Evap!$A$2:$A$15,0),C496),0))</f>
        <v/>
      </c>
      <c r="G496" s="26" t="str">
        <f t="shared" si="4"/>
        <v/>
      </c>
      <c r="H496" s="26" t="str">
        <f t="shared" si="22"/>
        <v/>
      </c>
      <c r="I496" s="26" t="str">
        <f t="array" ref="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/>
      </c>
      <c r="J496" s="26" t="str">
        <f t="shared" si="5"/>
        <v/>
      </c>
      <c r="K496" s="26" t="str">
        <f t="shared" si="6"/>
        <v/>
      </c>
      <c r="L496" s="26" t="str">
        <f t="shared" si="7"/>
        <v/>
      </c>
      <c r="M496" s="26" t="str">
        <f t="array" ref="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/>
      </c>
      <c r="N496" s="26" t="str">
        <f t="shared" si="8"/>
        <v/>
      </c>
      <c r="O496" s="26" t="str">
        <f t="shared" si="9"/>
        <v/>
      </c>
      <c r="P496" s="26" t="str">
        <f t="shared" si="10"/>
        <v/>
      </c>
      <c r="Q496" s="26" t="str">
        <f t="shared" si="11"/>
        <v/>
      </c>
      <c r="R496" s="26" t="str">
        <f t="shared" si="12"/>
        <v/>
      </c>
      <c r="S496" s="26" t="str">
        <f t="shared" si="13"/>
        <v/>
      </c>
      <c r="T496" s="26" t="str">
        <f t="shared" si="14"/>
        <v/>
      </c>
      <c r="U496" s="26" t="str">
        <f t="shared" si="15"/>
        <v/>
      </c>
      <c r="V496" s="26" t="str">
        <f t="shared" si="16"/>
        <v/>
      </c>
      <c r="W496" s="26" t="str">
        <f t="shared" si="17"/>
        <v/>
      </c>
      <c r="X496" s="26" t="str">
        <f t="shared" si="18"/>
        <v/>
      </c>
      <c r="Y496" s="26" t="str">
        <f t="shared" si="19"/>
        <v/>
      </c>
      <c r="Z496" s="31" t="str">
        <f t="shared" si="20"/>
        <v/>
      </c>
      <c r="AA496" s="31" t="str">
        <f>IF(D496="","",IF(H496&lt;=$B$16,1,IF(H496&gt;=$B$17,$B$21,MATCH(H496,Aux_CAV!$A$2:$A$121,1))))</f>
        <v/>
      </c>
      <c r="AB496" s="31" t="str">
        <f>IF(D496="","",IF(L496&lt;=$B$16,1,IF(L496&gt;=$B$17,$B$21,MATCH(L496,Aux_CAV!$A$2:$A$121,1))))</f>
        <v/>
      </c>
      <c r="AC496" s="3" t="str">
        <f t="shared" si="21"/>
        <v/>
      </c>
    </row>
    <row r="497" ht="12.75" customHeight="1">
      <c r="A497" s="25" t="str">
        <f t="shared" si="1"/>
        <v/>
      </c>
      <c r="B497" s="29" t="str">
        <f t="array" ref="B497">IF(D497="","",IFERROR(VALUE(INDEX(Vazoes_COLAR!$A$2:$A$200,INT((ROW()-24)/12)+1)),""))</f>
        <v/>
      </c>
      <c r="C497" s="29" t="str">
        <f t="shared" si="2"/>
        <v/>
      </c>
      <c r="D497" s="26" t="str">
        <f t="array" ref="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97" s="26" t="str">
        <f t="shared" si="3"/>
        <v/>
      </c>
      <c r="F497" s="26" t="str">
        <f t="array" ref="F497">IF(D497="","",IFERROR(INDEX(Dados_Evap!$C$2:$N$15,MATCH($B$9,Dados_Evap!$A$2:$A$15,0),C497),0))</f>
        <v/>
      </c>
      <c r="G497" s="26" t="str">
        <f t="shared" si="4"/>
        <v/>
      </c>
      <c r="H497" s="26" t="str">
        <f t="shared" si="22"/>
        <v/>
      </c>
      <c r="I497" s="26" t="str">
        <f t="array" ref="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/>
      </c>
      <c r="J497" s="26" t="str">
        <f t="shared" si="5"/>
        <v/>
      </c>
      <c r="K497" s="26" t="str">
        <f t="shared" si="6"/>
        <v/>
      </c>
      <c r="L497" s="26" t="str">
        <f t="shared" si="7"/>
        <v/>
      </c>
      <c r="M497" s="26" t="str">
        <f t="array" ref="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/>
      </c>
      <c r="N497" s="26" t="str">
        <f t="shared" si="8"/>
        <v/>
      </c>
      <c r="O497" s="26" t="str">
        <f t="shared" si="9"/>
        <v/>
      </c>
      <c r="P497" s="26" t="str">
        <f t="shared" si="10"/>
        <v/>
      </c>
      <c r="Q497" s="26" t="str">
        <f t="shared" si="11"/>
        <v/>
      </c>
      <c r="R497" s="26" t="str">
        <f t="shared" si="12"/>
        <v/>
      </c>
      <c r="S497" s="26" t="str">
        <f t="shared" si="13"/>
        <v/>
      </c>
      <c r="T497" s="26" t="str">
        <f t="shared" si="14"/>
        <v/>
      </c>
      <c r="U497" s="26" t="str">
        <f t="shared" si="15"/>
        <v/>
      </c>
      <c r="V497" s="26" t="str">
        <f t="shared" si="16"/>
        <v/>
      </c>
      <c r="W497" s="26" t="str">
        <f t="shared" si="17"/>
        <v/>
      </c>
      <c r="X497" s="26" t="str">
        <f t="shared" si="18"/>
        <v/>
      </c>
      <c r="Y497" s="26" t="str">
        <f t="shared" si="19"/>
        <v/>
      </c>
      <c r="Z497" s="31" t="str">
        <f t="shared" si="20"/>
        <v/>
      </c>
      <c r="AA497" s="31" t="str">
        <f>IF(D497="","",IF(H497&lt;=$B$16,1,IF(H497&gt;=$B$17,$B$21,MATCH(H497,Aux_CAV!$A$2:$A$121,1))))</f>
        <v/>
      </c>
      <c r="AB497" s="31" t="str">
        <f>IF(D497="","",IF(L497&lt;=$B$16,1,IF(L497&gt;=$B$17,$B$21,MATCH(L497,Aux_CAV!$A$2:$A$121,1))))</f>
        <v/>
      </c>
      <c r="AC497" s="3" t="str">
        <f t="shared" si="21"/>
        <v/>
      </c>
    </row>
    <row r="498" ht="12.75" customHeight="1">
      <c r="A498" s="25" t="str">
        <f t="shared" si="1"/>
        <v/>
      </c>
      <c r="B498" s="29" t="str">
        <f t="array" ref="B498">IF(D498="","",IFERROR(VALUE(INDEX(Vazoes_COLAR!$A$2:$A$200,INT((ROW()-24)/12)+1)),""))</f>
        <v/>
      </c>
      <c r="C498" s="29" t="str">
        <f t="shared" si="2"/>
        <v/>
      </c>
      <c r="D498" s="26" t="str">
        <f t="array" ref="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98" s="26" t="str">
        <f t="shared" si="3"/>
        <v/>
      </c>
      <c r="F498" s="26" t="str">
        <f t="array" ref="F498">IF(D498="","",IFERROR(INDEX(Dados_Evap!$C$2:$N$15,MATCH($B$9,Dados_Evap!$A$2:$A$15,0),C498),0))</f>
        <v/>
      </c>
      <c r="G498" s="26" t="str">
        <f t="shared" si="4"/>
        <v/>
      </c>
      <c r="H498" s="26" t="str">
        <f t="shared" si="22"/>
        <v/>
      </c>
      <c r="I498" s="26" t="str">
        <f t="array" ref="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/>
      </c>
      <c r="J498" s="26" t="str">
        <f t="shared" si="5"/>
        <v/>
      </c>
      <c r="K498" s="26" t="str">
        <f t="shared" si="6"/>
        <v/>
      </c>
      <c r="L498" s="26" t="str">
        <f t="shared" si="7"/>
        <v/>
      </c>
      <c r="M498" s="26" t="str">
        <f t="array" ref="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/>
      </c>
      <c r="N498" s="26" t="str">
        <f t="shared" si="8"/>
        <v/>
      </c>
      <c r="O498" s="26" t="str">
        <f t="shared" si="9"/>
        <v/>
      </c>
      <c r="P498" s="26" t="str">
        <f t="shared" si="10"/>
        <v/>
      </c>
      <c r="Q498" s="26" t="str">
        <f t="shared" si="11"/>
        <v/>
      </c>
      <c r="R498" s="26" t="str">
        <f t="shared" si="12"/>
        <v/>
      </c>
      <c r="S498" s="26" t="str">
        <f t="shared" si="13"/>
        <v/>
      </c>
      <c r="T498" s="26" t="str">
        <f t="shared" si="14"/>
        <v/>
      </c>
      <c r="U498" s="26" t="str">
        <f t="shared" si="15"/>
        <v/>
      </c>
      <c r="V498" s="26" t="str">
        <f t="shared" si="16"/>
        <v/>
      </c>
      <c r="W498" s="26" t="str">
        <f t="shared" si="17"/>
        <v/>
      </c>
      <c r="X498" s="26" t="str">
        <f t="shared" si="18"/>
        <v/>
      </c>
      <c r="Y498" s="26" t="str">
        <f t="shared" si="19"/>
        <v/>
      </c>
      <c r="Z498" s="31" t="str">
        <f t="shared" si="20"/>
        <v/>
      </c>
      <c r="AA498" s="31" t="str">
        <f>IF(D498="","",IF(H498&lt;=$B$16,1,IF(H498&gt;=$B$17,$B$21,MATCH(H498,Aux_CAV!$A$2:$A$121,1))))</f>
        <v/>
      </c>
      <c r="AB498" s="31" t="str">
        <f>IF(D498="","",IF(L498&lt;=$B$16,1,IF(L498&gt;=$B$17,$B$21,MATCH(L498,Aux_CAV!$A$2:$A$121,1))))</f>
        <v/>
      </c>
      <c r="AC498" s="3" t="str">
        <f t="shared" si="21"/>
        <v/>
      </c>
    </row>
    <row r="499" ht="12.75" customHeight="1">
      <c r="A499" s="25" t="str">
        <f t="shared" si="1"/>
        <v/>
      </c>
      <c r="B499" s="29" t="str">
        <f t="array" ref="B499">IF(D499="","",IFERROR(VALUE(INDEX(Vazoes_COLAR!$A$2:$A$200,INT((ROW()-24)/12)+1)),""))</f>
        <v/>
      </c>
      <c r="C499" s="29" t="str">
        <f t="shared" si="2"/>
        <v/>
      </c>
      <c r="D499" s="26" t="str">
        <f t="array" ref="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499" s="26" t="str">
        <f t="shared" si="3"/>
        <v/>
      </c>
      <c r="F499" s="26" t="str">
        <f t="array" ref="F499">IF(D499="","",IFERROR(INDEX(Dados_Evap!$C$2:$N$15,MATCH($B$9,Dados_Evap!$A$2:$A$15,0),C499),0))</f>
        <v/>
      </c>
      <c r="G499" s="26" t="str">
        <f t="shared" si="4"/>
        <v/>
      </c>
      <c r="H499" s="26" t="str">
        <f t="shared" si="22"/>
        <v/>
      </c>
      <c r="I499" s="26" t="str">
        <f t="array" ref="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/>
      </c>
      <c r="J499" s="26" t="str">
        <f t="shared" si="5"/>
        <v/>
      </c>
      <c r="K499" s="26" t="str">
        <f t="shared" si="6"/>
        <v/>
      </c>
      <c r="L499" s="26" t="str">
        <f t="shared" si="7"/>
        <v/>
      </c>
      <c r="M499" s="26" t="str">
        <f t="array" ref="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/>
      </c>
      <c r="N499" s="26" t="str">
        <f t="shared" si="8"/>
        <v/>
      </c>
      <c r="O499" s="26" t="str">
        <f t="shared" si="9"/>
        <v/>
      </c>
      <c r="P499" s="26" t="str">
        <f t="shared" si="10"/>
        <v/>
      </c>
      <c r="Q499" s="26" t="str">
        <f t="shared" si="11"/>
        <v/>
      </c>
      <c r="R499" s="26" t="str">
        <f t="shared" si="12"/>
        <v/>
      </c>
      <c r="S499" s="26" t="str">
        <f t="shared" si="13"/>
        <v/>
      </c>
      <c r="T499" s="26" t="str">
        <f t="shared" si="14"/>
        <v/>
      </c>
      <c r="U499" s="26" t="str">
        <f t="shared" si="15"/>
        <v/>
      </c>
      <c r="V499" s="26" t="str">
        <f t="shared" si="16"/>
        <v/>
      </c>
      <c r="W499" s="26" t="str">
        <f t="shared" si="17"/>
        <v/>
      </c>
      <c r="X499" s="26" t="str">
        <f t="shared" si="18"/>
        <v/>
      </c>
      <c r="Y499" s="26" t="str">
        <f t="shared" si="19"/>
        <v/>
      </c>
      <c r="Z499" s="31" t="str">
        <f t="shared" si="20"/>
        <v/>
      </c>
      <c r="AA499" s="31" t="str">
        <f>IF(D499="","",IF(H499&lt;=$B$16,1,IF(H499&gt;=$B$17,$B$21,MATCH(H499,Aux_CAV!$A$2:$A$121,1))))</f>
        <v/>
      </c>
      <c r="AB499" s="31" t="str">
        <f>IF(D499="","",IF(L499&lt;=$B$16,1,IF(L499&gt;=$B$17,$B$21,MATCH(L499,Aux_CAV!$A$2:$A$121,1))))</f>
        <v/>
      </c>
      <c r="AC499" s="3" t="str">
        <f t="shared" si="21"/>
        <v/>
      </c>
    </row>
    <row r="500" ht="12.75" customHeight="1">
      <c r="A500" s="25" t="str">
        <f t="shared" si="1"/>
        <v/>
      </c>
      <c r="B500" s="29" t="str">
        <f t="array" ref="B500">IF(D500="","",IFERROR(VALUE(INDEX(Vazoes_COLAR!$A$2:$A$200,INT((ROW()-24)/12)+1)),""))</f>
        <v/>
      </c>
      <c r="C500" s="29" t="str">
        <f t="shared" si="2"/>
        <v/>
      </c>
      <c r="D500" s="26" t="str">
        <f t="array" ref="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00" s="26" t="str">
        <f t="shared" si="3"/>
        <v/>
      </c>
      <c r="F500" s="26" t="str">
        <f t="array" ref="F500">IF(D500="","",IFERROR(INDEX(Dados_Evap!$C$2:$N$15,MATCH($B$9,Dados_Evap!$A$2:$A$15,0),C500),0))</f>
        <v/>
      </c>
      <c r="G500" s="26" t="str">
        <f t="shared" si="4"/>
        <v/>
      </c>
      <c r="H500" s="26" t="str">
        <f t="shared" si="22"/>
        <v/>
      </c>
      <c r="I500" s="26" t="str">
        <f t="array" ref="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/>
      </c>
      <c r="J500" s="26" t="str">
        <f t="shared" si="5"/>
        <v/>
      </c>
      <c r="K500" s="26" t="str">
        <f t="shared" si="6"/>
        <v/>
      </c>
      <c r="L500" s="26" t="str">
        <f t="shared" si="7"/>
        <v/>
      </c>
      <c r="M500" s="26" t="str">
        <f t="array" ref="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/>
      </c>
      <c r="N500" s="26" t="str">
        <f t="shared" si="8"/>
        <v/>
      </c>
      <c r="O500" s="26" t="str">
        <f t="shared" si="9"/>
        <v/>
      </c>
      <c r="P500" s="26" t="str">
        <f t="shared" si="10"/>
        <v/>
      </c>
      <c r="Q500" s="26" t="str">
        <f t="shared" si="11"/>
        <v/>
      </c>
      <c r="R500" s="26" t="str">
        <f t="shared" si="12"/>
        <v/>
      </c>
      <c r="S500" s="26" t="str">
        <f t="shared" si="13"/>
        <v/>
      </c>
      <c r="T500" s="26" t="str">
        <f t="shared" si="14"/>
        <v/>
      </c>
      <c r="U500" s="26" t="str">
        <f t="shared" si="15"/>
        <v/>
      </c>
      <c r="V500" s="26" t="str">
        <f t="shared" si="16"/>
        <v/>
      </c>
      <c r="W500" s="26" t="str">
        <f t="shared" si="17"/>
        <v/>
      </c>
      <c r="X500" s="26" t="str">
        <f t="shared" si="18"/>
        <v/>
      </c>
      <c r="Y500" s="26" t="str">
        <f t="shared" si="19"/>
        <v/>
      </c>
      <c r="Z500" s="31" t="str">
        <f t="shared" si="20"/>
        <v/>
      </c>
      <c r="AA500" s="31" t="str">
        <f>IF(D500="","",IF(H500&lt;=$B$16,1,IF(H500&gt;=$B$17,$B$21,MATCH(H500,Aux_CAV!$A$2:$A$121,1))))</f>
        <v/>
      </c>
      <c r="AB500" s="31" t="str">
        <f>IF(D500="","",IF(L500&lt;=$B$16,1,IF(L500&gt;=$B$17,$B$21,MATCH(L500,Aux_CAV!$A$2:$A$121,1))))</f>
        <v/>
      </c>
      <c r="AC500" s="3" t="str">
        <f t="shared" si="21"/>
        <v/>
      </c>
    </row>
    <row r="501" ht="12.75" customHeight="1">
      <c r="A501" s="25" t="str">
        <f t="shared" si="1"/>
        <v/>
      </c>
      <c r="B501" s="29" t="str">
        <f t="array" ref="B501">IF(D501="","",IFERROR(VALUE(INDEX(Vazoes_COLAR!$A$2:$A$200,INT((ROW()-24)/12)+1)),""))</f>
        <v/>
      </c>
      <c r="C501" s="29" t="str">
        <f t="shared" si="2"/>
        <v/>
      </c>
      <c r="D501" s="26" t="str">
        <f t="array" ref="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01" s="26" t="str">
        <f t="shared" si="3"/>
        <v/>
      </c>
      <c r="F501" s="26" t="str">
        <f t="array" ref="F501">IF(D501="","",IFERROR(INDEX(Dados_Evap!$C$2:$N$15,MATCH($B$9,Dados_Evap!$A$2:$A$15,0),C501),0))</f>
        <v/>
      </c>
      <c r="G501" s="26" t="str">
        <f t="shared" si="4"/>
        <v/>
      </c>
      <c r="H501" s="26" t="str">
        <f t="shared" si="22"/>
        <v/>
      </c>
      <c r="I501" s="26" t="str">
        <f t="array" ref="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/>
      </c>
      <c r="J501" s="26" t="str">
        <f t="shared" si="5"/>
        <v/>
      </c>
      <c r="K501" s="26" t="str">
        <f t="shared" si="6"/>
        <v/>
      </c>
      <c r="L501" s="26" t="str">
        <f t="shared" si="7"/>
        <v/>
      </c>
      <c r="M501" s="26" t="str">
        <f t="array" ref="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/>
      </c>
      <c r="N501" s="26" t="str">
        <f t="shared" si="8"/>
        <v/>
      </c>
      <c r="O501" s="26" t="str">
        <f t="shared" si="9"/>
        <v/>
      </c>
      <c r="P501" s="26" t="str">
        <f t="shared" si="10"/>
        <v/>
      </c>
      <c r="Q501" s="26" t="str">
        <f t="shared" si="11"/>
        <v/>
      </c>
      <c r="R501" s="26" t="str">
        <f t="shared" si="12"/>
        <v/>
      </c>
      <c r="S501" s="26" t="str">
        <f t="shared" si="13"/>
        <v/>
      </c>
      <c r="T501" s="26" t="str">
        <f t="shared" si="14"/>
        <v/>
      </c>
      <c r="U501" s="26" t="str">
        <f t="shared" si="15"/>
        <v/>
      </c>
      <c r="V501" s="26" t="str">
        <f t="shared" si="16"/>
        <v/>
      </c>
      <c r="W501" s="26" t="str">
        <f t="shared" si="17"/>
        <v/>
      </c>
      <c r="X501" s="26" t="str">
        <f t="shared" si="18"/>
        <v/>
      </c>
      <c r="Y501" s="26" t="str">
        <f t="shared" si="19"/>
        <v/>
      </c>
      <c r="Z501" s="31" t="str">
        <f t="shared" si="20"/>
        <v/>
      </c>
      <c r="AA501" s="31" t="str">
        <f>IF(D501="","",IF(H501&lt;=$B$16,1,IF(H501&gt;=$B$17,$B$21,MATCH(H501,Aux_CAV!$A$2:$A$121,1))))</f>
        <v/>
      </c>
      <c r="AB501" s="31" t="str">
        <f>IF(D501="","",IF(L501&lt;=$B$16,1,IF(L501&gt;=$B$17,$B$21,MATCH(L501,Aux_CAV!$A$2:$A$121,1))))</f>
        <v/>
      </c>
      <c r="AC501" s="3" t="str">
        <f t="shared" si="21"/>
        <v/>
      </c>
    </row>
    <row r="502" ht="12.75" customHeight="1">
      <c r="A502" s="25" t="str">
        <f t="shared" si="1"/>
        <v/>
      </c>
      <c r="B502" s="29" t="str">
        <f t="array" ref="B502">IF(D502="","",IFERROR(VALUE(INDEX(Vazoes_COLAR!$A$2:$A$200,INT((ROW()-24)/12)+1)),""))</f>
        <v/>
      </c>
      <c r="C502" s="29" t="str">
        <f t="shared" si="2"/>
        <v/>
      </c>
      <c r="D502" s="26" t="str">
        <f t="array" ref="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02" s="26" t="str">
        <f t="shared" si="3"/>
        <v/>
      </c>
      <c r="F502" s="26" t="str">
        <f t="array" ref="F502">IF(D502="","",IFERROR(INDEX(Dados_Evap!$C$2:$N$15,MATCH($B$9,Dados_Evap!$A$2:$A$15,0),C502),0))</f>
        <v/>
      </c>
      <c r="G502" s="26" t="str">
        <f t="shared" si="4"/>
        <v/>
      </c>
      <c r="H502" s="26" t="str">
        <f t="shared" si="22"/>
        <v/>
      </c>
      <c r="I502" s="26" t="str">
        <f t="array" ref="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/>
      </c>
      <c r="J502" s="26" t="str">
        <f t="shared" si="5"/>
        <v/>
      </c>
      <c r="K502" s="26" t="str">
        <f t="shared" si="6"/>
        <v/>
      </c>
      <c r="L502" s="26" t="str">
        <f t="shared" si="7"/>
        <v/>
      </c>
      <c r="M502" s="26" t="str">
        <f t="array" ref="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/>
      </c>
      <c r="N502" s="26" t="str">
        <f t="shared" si="8"/>
        <v/>
      </c>
      <c r="O502" s="26" t="str">
        <f t="shared" si="9"/>
        <v/>
      </c>
      <c r="P502" s="26" t="str">
        <f t="shared" si="10"/>
        <v/>
      </c>
      <c r="Q502" s="26" t="str">
        <f t="shared" si="11"/>
        <v/>
      </c>
      <c r="R502" s="26" t="str">
        <f t="shared" si="12"/>
        <v/>
      </c>
      <c r="S502" s="26" t="str">
        <f t="shared" si="13"/>
        <v/>
      </c>
      <c r="T502" s="26" t="str">
        <f t="shared" si="14"/>
        <v/>
      </c>
      <c r="U502" s="26" t="str">
        <f t="shared" si="15"/>
        <v/>
      </c>
      <c r="V502" s="26" t="str">
        <f t="shared" si="16"/>
        <v/>
      </c>
      <c r="W502" s="26" t="str">
        <f t="shared" si="17"/>
        <v/>
      </c>
      <c r="X502" s="26" t="str">
        <f t="shared" si="18"/>
        <v/>
      </c>
      <c r="Y502" s="26" t="str">
        <f t="shared" si="19"/>
        <v/>
      </c>
      <c r="Z502" s="31" t="str">
        <f t="shared" si="20"/>
        <v/>
      </c>
      <c r="AA502" s="31" t="str">
        <f>IF(D502="","",IF(H502&lt;=$B$16,1,IF(H502&gt;=$B$17,$B$21,MATCH(H502,Aux_CAV!$A$2:$A$121,1))))</f>
        <v/>
      </c>
      <c r="AB502" s="31" t="str">
        <f>IF(D502="","",IF(L502&lt;=$B$16,1,IF(L502&gt;=$B$17,$B$21,MATCH(L502,Aux_CAV!$A$2:$A$121,1))))</f>
        <v/>
      </c>
      <c r="AC502" s="3" t="str">
        <f t="shared" si="21"/>
        <v/>
      </c>
    </row>
    <row r="503" ht="12.75" customHeight="1">
      <c r="A503" s="25" t="str">
        <f t="shared" si="1"/>
        <v/>
      </c>
      <c r="B503" s="29" t="str">
        <f t="array" ref="B503">IF(D503="","",IFERROR(VALUE(INDEX(Vazoes_COLAR!$A$2:$A$200,INT((ROW()-24)/12)+1)),""))</f>
        <v/>
      </c>
      <c r="C503" s="29" t="str">
        <f t="shared" si="2"/>
        <v/>
      </c>
      <c r="D503" s="26" t="str">
        <f t="array" ref="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03" s="26" t="str">
        <f t="shared" si="3"/>
        <v/>
      </c>
      <c r="F503" s="26" t="str">
        <f t="array" ref="F503">IF(D503="","",IFERROR(INDEX(Dados_Evap!$C$2:$N$15,MATCH($B$9,Dados_Evap!$A$2:$A$15,0),C503),0))</f>
        <v/>
      </c>
      <c r="G503" s="26" t="str">
        <f t="shared" si="4"/>
        <v/>
      </c>
      <c r="H503" s="26" t="str">
        <f t="shared" si="22"/>
        <v/>
      </c>
      <c r="I503" s="26" t="str">
        <f t="array" ref="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/>
      </c>
      <c r="J503" s="26" t="str">
        <f t="shared" si="5"/>
        <v/>
      </c>
      <c r="K503" s="26" t="str">
        <f t="shared" si="6"/>
        <v/>
      </c>
      <c r="L503" s="26" t="str">
        <f t="shared" si="7"/>
        <v/>
      </c>
      <c r="M503" s="26" t="str">
        <f t="array" ref="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/>
      </c>
      <c r="N503" s="26" t="str">
        <f t="shared" si="8"/>
        <v/>
      </c>
      <c r="O503" s="26" t="str">
        <f t="shared" si="9"/>
        <v/>
      </c>
      <c r="P503" s="26" t="str">
        <f t="shared" si="10"/>
        <v/>
      </c>
      <c r="Q503" s="26" t="str">
        <f t="shared" si="11"/>
        <v/>
      </c>
      <c r="R503" s="26" t="str">
        <f t="shared" si="12"/>
        <v/>
      </c>
      <c r="S503" s="26" t="str">
        <f t="shared" si="13"/>
        <v/>
      </c>
      <c r="T503" s="26" t="str">
        <f t="shared" si="14"/>
        <v/>
      </c>
      <c r="U503" s="26" t="str">
        <f t="shared" si="15"/>
        <v/>
      </c>
      <c r="V503" s="26" t="str">
        <f t="shared" si="16"/>
        <v/>
      </c>
      <c r="W503" s="26" t="str">
        <f t="shared" si="17"/>
        <v/>
      </c>
      <c r="X503" s="26" t="str">
        <f t="shared" si="18"/>
        <v/>
      </c>
      <c r="Y503" s="26" t="str">
        <f t="shared" si="19"/>
        <v/>
      </c>
      <c r="Z503" s="31" t="str">
        <f t="shared" si="20"/>
        <v/>
      </c>
      <c r="AA503" s="31" t="str">
        <f>IF(D503="","",IF(H503&lt;=$B$16,1,IF(H503&gt;=$B$17,$B$21,MATCH(H503,Aux_CAV!$A$2:$A$121,1))))</f>
        <v/>
      </c>
      <c r="AB503" s="31" t="str">
        <f>IF(D503="","",IF(L503&lt;=$B$16,1,IF(L503&gt;=$B$17,$B$21,MATCH(L503,Aux_CAV!$A$2:$A$121,1))))</f>
        <v/>
      </c>
      <c r="AC503" s="3" t="str">
        <f t="shared" si="21"/>
        <v/>
      </c>
    </row>
    <row r="504" ht="12.75" customHeight="1">
      <c r="A504" s="25" t="str">
        <f t="shared" si="1"/>
        <v/>
      </c>
      <c r="B504" s="29" t="str">
        <f t="array" ref="B504">IF(D504="","",IFERROR(VALUE(INDEX(Vazoes_COLAR!$A$2:$A$200,INT((ROW()-24)/12)+1)),""))</f>
        <v/>
      </c>
      <c r="C504" s="29" t="str">
        <f t="shared" si="2"/>
        <v/>
      </c>
      <c r="D504" s="26" t="str">
        <f t="array" ref="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04" s="26" t="str">
        <f t="shared" si="3"/>
        <v/>
      </c>
      <c r="F504" s="26" t="str">
        <f t="array" ref="F504">IF(D504="","",IFERROR(INDEX(Dados_Evap!$C$2:$N$15,MATCH($B$9,Dados_Evap!$A$2:$A$15,0),C504),0))</f>
        <v/>
      </c>
      <c r="G504" s="26" t="str">
        <f t="shared" si="4"/>
        <v/>
      </c>
      <c r="H504" s="26" t="str">
        <f t="shared" si="22"/>
        <v/>
      </c>
      <c r="I504" s="26" t="str">
        <f t="array" ref="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/>
      </c>
      <c r="J504" s="26" t="str">
        <f t="shared" si="5"/>
        <v/>
      </c>
      <c r="K504" s="26" t="str">
        <f t="shared" si="6"/>
        <v/>
      </c>
      <c r="L504" s="26" t="str">
        <f t="shared" si="7"/>
        <v/>
      </c>
      <c r="M504" s="26" t="str">
        <f t="array" ref="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/>
      </c>
      <c r="N504" s="26" t="str">
        <f t="shared" si="8"/>
        <v/>
      </c>
      <c r="O504" s="26" t="str">
        <f t="shared" si="9"/>
        <v/>
      </c>
      <c r="P504" s="26" t="str">
        <f t="shared" si="10"/>
        <v/>
      </c>
      <c r="Q504" s="26" t="str">
        <f t="shared" si="11"/>
        <v/>
      </c>
      <c r="R504" s="26" t="str">
        <f t="shared" si="12"/>
        <v/>
      </c>
      <c r="S504" s="26" t="str">
        <f t="shared" si="13"/>
        <v/>
      </c>
      <c r="T504" s="26" t="str">
        <f t="shared" si="14"/>
        <v/>
      </c>
      <c r="U504" s="26" t="str">
        <f t="shared" si="15"/>
        <v/>
      </c>
      <c r="V504" s="26" t="str">
        <f t="shared" si="16"/>
        <v/>
      </c>
      <c r="W504" s="26" t="str">
        <f t="shared" si="17"/>
        <v/>
      </c>
      <c r="X504" s="26" t="str">
        <f t="shared" si="18"/>
        <v/>
      </c>
      <c r="Y504" s="26" t="str">
        <f t="shared" si="19"/>
        <v/>
      </c>
      <c r="Z504" s="31" t="str">
        <f t="shared" si="20"/>
        <v/>
      </c>
      <c r="AA504" s="31" t="str">
        <f>IF(D504="","",IF(H504&lt;=$B$16,1,IF(H504&gt;=$B$17,$B$21,MATCH(H504,Aux_CAV!$A$2:$A$121,1))))</f>
        <v/>
      </c>
      <c r="AB504" s="31" t="str">
        <f>IF(D504="","",IF(L504&lt;=$B$16,1,IF(L504&gt;=$B$17,$B$21,MATCH(L504,Aux_CAV!$A$2:$A$121,1))))</f>
        <v/>
      </c>
      <c r="AC504" s="3" t="str">
        <f t="shared" si="21"/>
        <v/>
      </c>
    </row>
    <row r="505" ht="12.75" customHeight="1">
      <c r="A505" s="25" t="str">
        <f t="shared" si="1"/>
        <v/>
      </c>
      <c r="B505" s="29" t="str">
        <f t="array" ref="B505">IF(D505="","",IFERROR(VALUE(INDEX(Vazoes_COLAR!$A$2:$A$200,INT((ROW()-24)/12)+1)),""))</f>
        <v/>
      </c>
      <c r="C505" s="29" t="str">
        <f t="shared" si="2"/>
        <v/>
      </c>
      <c r="D505" s="26" t="str">
        <f t="array" ref="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05" s="26" t="str">
        <f t="shared" si="3"/>
        <v/>
      </c>
      <c r="F505" s="26" t="str">
        <f t="array" ref="F505">IF(D505="","",IFERROR(INDEX(Dados_Evap!$C$2:$N$15,MATCH($B$9,Dados_Evap!$A$2:$A$15,0),C505),0))</f>
        <v/>
      </c>
      <c r="G505" s="26" t="str">
        <f t="shared" si="4"/>
        <v/>
      </c>
      <c r="H505" s="26" t="str">
        <f t="shared" si="22"/>
        <v/>
      </c>
      <c r="I505" s="26" t="str">
        <f t="array" ref="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/>
      </c>
      <c r="J505" s="26" t="str">
        <f t="shared" si="5"/>
        <v/>
      </c>
      <c r="K505" s="26" t="str">
        <f t="shared" si="6"/>
        <v/>
      </c>
      <c r="L505" s="26" t="str">
        <f t="shared" si="7"/>
        <v/>
      </c>
      <c r="M505" s="26" t="str">
        <f t="array" ref="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/>
      </c>
      <c r="N505" s="26" t="str">
        <f t="shared" si="8"/>
        <v/>
      </c>
      <c r="O505" s="26" t="str">
        <f t="shared" si="9"/>
        <v/>
      </c>
      <c r="P505" s="26" t="str">
        <f t="shared" si="10"/>
        <v/>
      </c>
      <c r="Q505" s="26" t="str">
        <f t="shared" si="11"/>
        <v/>
      </c>
      <c r="R505" s="26" t="str">
        <f t="shared" si="12"/>
        <v/>
      </c>
      <c r="S505" s="26" t="str">
        <f t="shared" si="13"/>
        <v/>
      </c>
      <c r="T505" s="26" t="str">
        <f t="shared" si="14"/>
        <v/>
      </c>
      <c r="U505" s="26" t="str">
        <f t="shared" si="15"/>
        <v/>
      </c>
      <c r="V505" s="26" t="str">
        <f t="shared" si="16"/>
        <v/>
      </c>
      <c r="W505" s="26" t="str">
        <f t="shared" si="17"/>
        <v/>
      </c>
      <c r="X505" s="26" t="str">
        <f t="shared" si="18"/>
        <v/>
      </c>
      <c r="Y505" s="26" t="str">
        <f t="shared" si="19"/>
        <v/>
      </c>
      <c r="Z505" s="31" t="str">
        <f t="shared" si="20"/>
        <v/>
      </c>
      <c r="AA505" s="31" t="str">
        <f>IF(D505="","",IF(H505&lt;=$B$16,1,IF(H505&gt;=$B$17,$B$21,MATCH(H505,Aux_CAV!$A$2:$A$121,1))))</f>
        <v/>
      </c>
      <c r="AB505" s="31" t="str">
        <f>IF(D505="","",IF(L505&lt;=$B$16,1,IF(L505&gt;=$B$17,$B$21,MATCH(L505,Aux_CAV!$A$2:$A$121,1))))</f>
        <v/>
      </c>
      <c r="AC505" s="3" t="str">
        <f t="shared" si="21"/>
        <v/>
      </c>
    </row>
    <row r="506" ht="12.75" customHeight="1">
      <c r="A506" s="25" t="str">
        <f t="shared" si="1"/>
        <v/>
      </c>
      <c r="B506" s="29" t="str">
        <f t="array" ref="B506">IF(D506="","",IFERROR(VALUE(INDEX(Vazoes_COLAR!$A$2:$A$200,INT((ROW()-24)/12)+1)),""))</f>
        <v/>
      </c>
      <c r="C506" s="29" t="str">
        <f t="shared" si="2"/>
        <v/>
      </c>
      <c r="D506" s="26" t="str">
        <f t="array" ref="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06" s="26" t="str">
        <f t="shared" si="3"/>
        <v/>
      </c>
      <c r="F506" s="26" t="str">
        <f t="array" ref="F506">IF(D506="","",IFERROR(INDEX(Dados_Evap!$C$2:$N$15,MATCH($B$9,Dados_Evap!$A$2:$A$15,0),C506),0))</f>
        <v/>
      </c>
      <c r="G506" s="26" t="str">
        <f t="shared" si="4"/>
        <v/>
      </c>
      <c r="H506" s="26" t="str">
        <f t="shared" si="22"/>
        <v/>
      </c>
      <c r="I506" s="26" t="str">
        <f t="array" ref="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/>
      </c>
      <c r="J506" s="26" t="str">
        <f t="shared" si="5"/>
        <v/>
      </c>
      <c r="K506" s="26" t="str">
        <f t="shared" si="6"/>
        <v/>
      </c>
      <c r="L506" s="26" t="str">
        <f t="shared" si="7"/>
        <v/>
      </c>
      <c r="M506" s="26" t="str">
        <f t="array" ref="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/>
      </c>
      <c r="N506" s="26" t="str">
        <f t="shared" si="8"/>
        <v/>
      </c>
      <c r="O506" s="26" t="str">
        <f t="shared" si="9"/>
        <v/>
      </c>
      <c r="P506" s="26" t="str">
        <f t="shared" si="10"/>
        <v/>
      </c>
      <c r="Q506" s="26" t="str">
        <f t="shared" si="11"/>
        <v/>
      </c>
      <c r="R506" s="26" t="str">
        <f t="shared" si="12"/>
        <v/>
      </c>
      <c r="S506" s="26" t="str">
        <f t="shared" si="13"/>
        <v/>
      </c>
      <c r="T506" s="26" t="str">
        <f t="shared" si="14"/>
        <v/>
      </c>
      <c r="U506" s="26" t="str">
        <f t="shared" si="15"/>
        <v/>
      </c>
      <c r="V506" s="26" t="str">
        <f t="shared" si="16"/>
        <v/>
      </c>
      <c r="W506" s="26" t="str">
        <f t="shared" si="17"/>
        <v/>
      </c>
      <c r="X506" s="26" t="str">
        <f t="shared" si="18"/>
        <v/>
      </c>
      <c r="Y506" s="26" t="str">
        <f t="shared" si="19"/>
        <v/>
      </c>
      <c r="Z506" s="31" t="str">
        <f t="shared" si="20"/>
        <v/>
      </c>
      <c r="AA506" s="31" t="str">
        <f>IF(D506="","",IF(H506&lt;=$B$16,1,IF(H506&gt;=$B$17,$B$21,MATCH(H506,Aux_CAV!$A$2:$A$121,1))))</f>
        <v/>
      </c>
      <c r="AB506" s="31" t="str">
        <f>IF(D506="","",IF(L506&lt;=$B$16,1,IF(L506&gt;=$B$17,$B$21,MATCH(L506,Aux_CAV!$A$2:$A$121,1))))</f>
        <v/>
      </c>
      <c r="AC506" s="3" t="str">
        <f t="shared" si="21"/>
        <v/>
      </c>
    </row>
    <row r="507" ht="12.75" customHeight="1">
      <c r="A507" s="25" t="str">
        <f t="shared" si="1"/>
        <v/>
      </c>
      <c r="B507" s="29" t="str">
        <f t="array" ref="B507">IF(D507="","",IFERROR(VALUE(INDEX(Vazoes_COLAR!$A$2:$A$200,INT((ROW()-24)/12)+1)),""))</f>
        <v/>
      </c>
      <c r="C507" s="29" t="str">
        <f t="shared" si="2"/>
        <v/>
      </c>
      <c r="D507" s="26" t="str">
        <f t="array" ref="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07" s="26" t="str">
        <f t="shared" si="3"/>
        <v/>
      </c>
      <c r="F507" s="26" t="str">
        <f t="array" ref="F507">IF(D507="","",IFERROR(INDEX(Dados_Evap!$C$2:$N$15,MATCH($B$9,Dados_Evap!$A$2:$A$15,0),C507),0))</f>
        <v/>
      </c>
      <c r="G507" s="26" t="str">
        <f t="shared" si="4"/>
        <v/>
      </c>
      <c r="H507" s="26" t="str">
        <f t="shared" si="22"/>
        <v/>
      </c>
      <c r="I507" s="26" t="str">
        <f t="array" ref="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/>
      </c>
      <c r="J507" s="26" t="str">
        <f t="shared" si="5"/>
        <v/>
      </c>
      <c r="K507" s="26" t="str">
        <f t="shared" si="6"/>
        <v/>
      </c>
      <c r="L507" s="26" t="str">
        <f t="shared" si="7"/>
        <v/>
      </c>
      <c r="M507" s="26" t="str">
        <f t="array" ref="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/>
      </c>
      <c r="N507" s="26" t="str">
        <f t="shared" si="8"/>
        <v/>
      </c>
      <c r="O507" s="26" t="str">
        <f t="shared" si="9"/>
        <v/>
      </c>
      <c r="P507" s="26" t="str">
        <f t="shared" si="10"/>
        <v/>
      </c>
      <c r="Q507" s="26" t="str">
        <f t="shared" si="11"/>
        <v/>
      </c>
      <c r="R507" s="26" t="str">
        <f t="shared" si="12"/>
        <v/>
      </c>
      <c r="S507" s="26" t="str">
        <f t="shared" si="13"/>
        <v/>
      </c>
      <c r="T507" s="26" t="str">
        <f t="shared" si="14"/>
        <v/>
      </c>
      <c r="U507" s="26" t="str">
        <f t="shared" si="15"/>
        <v/>
      </c>
      <c r="V507" s="26" t="str">
        <f t="shared" si="16"/>
        <v/>
      </c>
      <c r="W507" s="26" t="str">
        <f t="shared" si="17"/>
        <v/>
      </c>
      <c r="X507" s="26" t="str">
        <f t="shared" si="18"/>
        <v/>
      </c>
      <c r="Y507" s="26" t="str">
        <f t="shared" si="19"/>
        <v/>
      </c>
      <c r="Z507" s="31" t="str">
        <f t="shared" si="20"/>
        <v/>
      </c>
      <c r="AA507" s="31" t="str">
        <f>IF(D507="","",IF(H507&lt;=$B$16,1,IF(H507&gt;=$B$17,$B$21,MATCH(H507,Aux_CAV!$A$2:$A$121,1))))</f>
        <v/>
      </c>
      <c r="AB507" s="31" t="str">
        <f>IF(D507="","",IF(L507&lt;=$B$16,1,IF(L507&gt;=$B$17,$B$21,MATCH(L507,Aux_CAV!$A$2:$A$121,1))))</f>
        <v/>
      </c>
      <c r="AC507" s="3" t="str">
        <f t="shared" si="21"/>
        <v/>
      </c>
    </row>
    <row r="508" ht="12.75" customHeight="1">
      <c r="A508" s="25" t="str">
        <f t="shared" si="1"/>
        <v/>
      </c>
      <c r="B508" s="29" t="str">
        <f t="array" ref="B508">IF(D508="","",IFERROR(VALUE(INDEX(Vazoes_COLAR!$A$2:$A$200,INT((ROW()-24)/12)+1)),""))</f>
        <v/>
      </c>
      <c r="C508" s="29" t="str">
        <f t="shared" si="2"/>
        <v/>
      </c>
      <c r="D508" s="26" t="str">
        <f t="array" ref="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08" s="26" t="str">
        <f t="shared" si="3"/>
        <v/>
      </c>
      <c r="F508" s="26" t="str">
        <f t="array" ref="F508">IF(D508="","",IFERROR(INDEX(Dados_Evap!$C$2:$N$15,MATCH($B$9,Dados_Evap!$A$2:$A$15,0),C508),0))</f>
        <v/>
      </c>
      <c r="G508" s="26" t="str">
        <f t="shared" si="4"/>
        <v/>
      </c>
      <c r="H508" s="26" t="str">
        <f t="shared" si="22"/>
        <v/>
      </c>
      <c r="I508" s="26" t="str">
        <f t="array" ref="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/>
      </c>
      <c r="J508" s="26" t="str">
        <f t="shared" si="5"/>
        <v/>
      </c>
      <c r="K508" s="26" t="str">
        <f t="shared" si="6"/>
        <v/>
      </c>
      <c r="L508" s="26" t="str">
        <f t="shared" si="7"/>
        <v/>
      </c>
      <c r="M508" s="26" t="str">
        <f t="array" ref="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/>
      </c>
      <c r="N508" s="26" t="str">
        <f t="shared" si="8"/>
        <v/>
      </c>
      <c r="O508" s="26" t="str">
        <f t="shared" si="9"/>
        <v/>
      </c>
      <c r="P508" s="26" t="str">
        <f t="shared" si="10"/>
        <v/>
      </c>
      <c r="Q508" s="26" t="str">
        <f t="shared" si="11"/>
        <v/>
      </c>
      <c r="R508" s="26" t="str">
        <f t="shared" si="12"/>
        <v/>
      </c>
      <c r="S508" s="26" t="str">
        <f t="shared" si="13"/>
        <v/>
      </c>
      <c r="T508" s="26" t="str">
        <f t="shared" si="14"/>
        <v/>
      </c>
      <c r="U508" s="26" t="str">
        <f t="shared" si="15"/>
        <v/>
      </c>
      <c r="V508" s="26" t="str">
        <f t="shared" si="16"/>
        <v/>
      </c>
      <c r="W508" s="26" t="str">
        <f t="shared" si="17"/>
        <v/>
      </c>
      <c r="X508" s="26" t="str">
        <f t="shared" si="18"/>
        <v/>
      </c>
      <c r="Y508" s="26" t="str">
        <f t="shared" si="19"/>
        <v/>
      </c>
      <c r="Z508" s="31" t="str">
        <f t="shared" si="20"/>
        <v/>
      </c>
      <c r="AA508" s="31" t="str">
        <f>IF(D508="","",IF(H508&lt;=$B$16,1,IF(H508&gt;=$B$17,$B$21,MATCH(H508,Aux_CAV!$A$2:$A$121,1))))</f>
        <v/>
      </c>
      <c r="AB508" s="31" t="str">
        <f>IF(D508="","",IF(L508&lt;=$B$16,1,IF(L508&gt;=$B$17,$B$21,MATCH(L508,Aux_CAV!$A$2:$A$121,1))))</f>
        <v/>
      </c>
      <c r="AC508" s="3" t="str">
        <f t="shared" si="21"/>
        <v/>
      </c>
    </row>
    <row r="509" ht="12.75" customHeight="1">
      <c r="A509" s="25" t="str">
        <f t="shared" si="1"/>
        <v/>
      </c>
      <c r="B509" s="29" t="str">
        <f t="array" ref="B509">IF(D509="","",IFERROR(VALUE(INDEX(Vazoes_COLAR!$A$2:$A$200,INT((ROW()-24)/12)+1)),""))</f>
        <v/>
      </c>
      <c r="C509" s="29" t="str">
        <f t="shared" si="2"/>
        <v/>
      </c>
      <c r="D509" s="26" t="str">
        <f t="array" ref="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09" s="26" t="str">
        <f t="shared" si="3"/>
        <v/>
      </c>
      <c r="F509" s="26" t="str">
        <f t="array" ref="F509">IF(D509="","",IFERROR(INDEX(Dados_Evap!$C$2:$N$15,MATCH($B$9,Dados_Evap!$A$2:$A$15,0),C509),0))</f>
        <v/>
      </c>
      <c r="G509" s="26" t="str">
        <f t="shared" si="4"/>
        <v/>
      </c>
      <c r="H509" s="26" t="str">
        <f t="shared" si="22"/>
        <v/>
      </c>
      <c r="I509" s="26" t="str">
        <f t="array" ref="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/>
      </c>
      <c r="J509" s="26" t="str">
        <f t="shared" si="5"/>
        <v/>
      </c>
      <c r="K509" s="26" t="str">
        <f t="shared" si="6"/>
        <v/>
      </c>
      <c r="L509" s="26" t="str">
        <f t="shared" si="7"/>
        <v/>
      </c>
      <c r="M509" s="26" t="str">
        <f t="array" ref="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/>
      </c>
      <c r="N509" s="26" t="str">
        <f t="shared" si="8"/>
        <v/>
      </c>
      <c r="O509" s="26" t="str">
        <f t="shared" si="9"/>
        <v/>
      </c>
      <c r="P509" s="26" t="str">
        <f t="shared" si="10"/>
        <v/>
      </c>
      <c r="Q509" s="26" t="str">
        <f t="shared" si="11"/>
        <v/>
      </c>
      <c r="R509" s="26" t="str">
        <f t="shared" si="12"/>
        <v/>
      </c>
      <c r="S509" s="26" t="str">
        <f t="shared" si="13"/>
        <v/>
      </c>
      <c r="T509" s="26" t="str">
        <f t="shared" si="14"/>
        <v/>
      </c>
      <c r="U509" s="26" t="str">
        <f t="shared" si="15"/>
        <v/>
      </c>
      <c r="V509" s="26" t="str">
        <f t="shared" si="16"/>
        <v/>
      </c>
      <c r="W509" s="26" t="str">
        <f t="shared" si="17"/>
        <v/>
      </c>
      <c r="X509" s="26" t="str">
        <f t="shared" si="18"/>
        <v/>
      </c>
      <c r="Y509" s="26" t="str">
        <f t="shared" si="19"/>
        <v/>
      </c>
      <c r="Z509" s="31" t="str">
        <f t="shared" si="20"/>
        <v/>
      </c>
      <c r="AA509" s="31" t="str">
        <f>IF(D509="","",IF(H509&lt;=$B$16,1,IF(H509&gt;=$B$17,$B$21,MATCH(H509,Aux_CAV!$A$2:$A$121,1))))</f>
        <v/>
      </c>
      <c r="AB509" s="31" t="str">
        <f>IF(D509="","",IF(L509&lt;=$B$16,1,IF(L509&gt;=$B$17,$B$21,MATCH(L509,Aux_CAV!$A$2:$A$121,1))))</f>
        <v/>
      </c>
      <c r="AC509" s="3" t="str">
        <f t="shared" si="21"/>
        <v/>
      </c>
    </row>
    <row r="510" ht="12.75" customHeight="1">
      <c r="A510" s="25" t="str">
        <f t="shared" si="1"/>
        <v/>
      </c>
      <c r="B510" s="29" t="str">
        <f t="array" ref="B510">IF(D510="","",IFERROR(VALUE(INDEX(Vazoes_COLAR!$A$2:$A$200,INT((ROW()-24)/12)+1)),""))</f>
        <v/>
      </c>
      <c r="C510" s="29" t="str">
        <f t="shared" si="2"/>
        <v/>
      </c>
      <c r="D510" s="26" t="str">
        <f t="array" ref="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10" s="26" t="str">
        <f t="shared" si="3"/>
        <v/>
      </c>
      <c r="F510" s="26" t="str">
        <f t="array" ref="F510">IF(D510="","",IFERROR(INDEX(Dados_Evap!$C$2:$N$15,MATCH($B$9,Dados_Evap!$A$2:$A$15,0),C510),0))</f>
        <v/>
      </c>
      <c r="G510" s="26" t="str">
        <f t="shared" si="4"/>
        <v/>
      </c>
      <c r="H510" s="26" t="str">
        <f t="shared" si="22"/>
        <v/>
      </c>
      <c r="I510" s="26" t="str">
        <f t="array" ref="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/>
      </c>
      <c r="J510" s="26" t="str">
        <f t="shared" si="5"/>
        <v/>
      </c>
      <c r="K510" s="26" t="str">
        <f t="shared" si="6"/>
        <v/>
      </c>
      <c r="L510" s="26" t="str">
        <f t="shared" si="7"/>
        <v/>
      </c>
      <c r="M510" s="26" t="str">
        <f t="array" ref="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/>
      </c>
      <c r="N510" s="26" t="str">
        <f t="shared" si="8"/>
        <v/>
      </c>
      <c r="O510" s="26" t="str">
        <f t="shared" si="9"/>
        <v/>
      </c>
      <c r="P510" s="26" t="str">
        <f t="shared" si="10"/>
        <v/>
      </c>
      <c r="Q510" s="26" t="str">
        <f t="shared" si="11"/>
        <v/>
      </c>
      <c r="R510" s="26" t="str">
        <f t="shared" si="12"/>
        <v/>
      </c>
      <c r="S510" s="26" t="str">
        <f t="shared" si="13"/>
        <v/>
      </c>
      <c r="T510" s="26" t="str">
        <f t="shared" si="14"/>
        <v/>
      </c>
      <c r="U510" s="26" t="str">
        <f t="shared" si="15"/>
        <v/>
      </c>
      <c r="V510" s="26" t="str">
        <f t="shared" si="16"/>
        <v/>
      </c>
      <c r="W510" s="26" t="str">
        <f t="shared" si="17"/>
        <v/>
      </c>
      <c r="X510" s="26" t="str">
        <f t="shared" si="18"/>
        <v/>
      </c>
      <c r="Y510" s="26" t="str">
        <f t="shared" si="19"/>
        <v/>
      </c>
      <c r="Z510" s="31" t="str">
        <f t="shared" si="20"/>
        <v/>
      </c>
      <c r="AA510" s="31" t="str">
        <f>IF(D510="","",IF(H510&lt;=$B$16,1,IF(H510&gt;=$B$17,$B$21,MATCH(H510,Aux_CAV!$A$2:$A$121,1))))</f>
        <v/>
      </c>
      <c r="AB510" s="31" t="str">
        <f>IF(D510="","",IF(L510&lt;=$B$16,1,IF(L510&gt;=$B$17,$B$21,MATCH(L510,Aux_CAV!$A$2:$A$121,1))))</f>
        <v/>
      </c>
      <c r="AC510" s="3" t="str">
        <f t="shared" si="21"/>
        <v/>
      </c>
    </row>
    <row r="511" ht="12.75" customHeight="1">
      <c r="A511" s="25" t="str">
        <f t="shared" si="1"/>
        <v/>
      </c>
      <c r="B511" s="29" t="str">
        <f t="array" ref="B511">IF(D511="","",IFERROR(VALUE(INDEX(Vazoes_COLAR!$A$2:$A$200,INT((ROW()-24)/12)+1)),""))</f>
        <v/>
      </c>
      <c r="C511" s="29" t="str">
        <f t="shared" si="2"/>
        <v/>
      </c>
      <c r="D511" s="26" t="str">
        <f t="array" ref="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11" s="26" t="str">
        <f t="shared" si="3"/>
        <v/>
      </c>
      <c r="F511" s="26" t="str">
        <f t="array" ref="F511">IF(D511="","",IFERROR(INDEX(Dados_Evap!$C$2:$N$15,MATCH($B$9,Dados_Evap!$A$2:$A$15,0),C511),0))</f>
        <v/>
      </c>
      <c r="G511" s="26" t="str">
        <f t="shared" si="4"/>
        <v/>
      </c>
      <c r="H511" s="26" t="str">
        <f t="shared" si="22"/>
        <v/>
      </c>
      <c r="I511" s="26" t="str">
        <f t="array" ref="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/>
      </c>
      <c r="J511" s="26" t="str">
        <f t="shared" si="5"/>
        <v/>
      </c>
      <c r="K511" s="26" t="str">
        <f t="shared" si="6"/>
        <v/>
      </c>
      <c r="L511" s="26" t="str">
        <f t="shared" si="7"/>
        <v/>
      </c>
      <c r="M511" s="26" t="str">
        <f t="array" ref="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/>
      </c>
      <c r="N511" s="26" t="str">
        <f t="shared" si="8"/>
        <v/>
      </c>
      <c r="O511" s="26" t="str">
        <f t="shared" si="9"/>
        <v/>
      </c>
      <c r="P511" s="26" t="str">
        <f t="shared" si="10"/>
        <v/>
      </c>
      <c r="Q511" s="26" t="str">
        <f t="shared" si="11"/>
        <v/>
      </c>
      <c r="R511" s="26" t="str">
        <f t="shared" si="12"/>
        <v/>
      </c>
      <c r="S511" s="26" t="str">
        <f t="shared" si="13"/>
        <v/>
      </c>
      <c r="T511" s="26" t="str">
        <f t="shared" si="14"/>
        <v/>
      </c>
      <c r="U511" s="26" t="str">
        <f t="shared" si="15"/>
        <v/>
      </c>
      <c r="V511" s="26" t="str">
        <f t="shared" si="16"/>
        <v/>
      </c>
      <c r="W511" s="26" t="str">
        <f t="shared" si="17"/>
        <v/>
      </c>
      <c r="X511" s="26" t="str">
        <f t="shared" si="18"/>
        <v/>
      </c>
      <c r="Y511" s="26" t="str">
        <f t="shared" si="19"/>
        <v/>
      </c>
      <c r="Z511" s="31" t="str">
        <f t="shared" si="20"/>
        <v/>
      </c>
      <c r="AA511" s="31" t="str">
        <f>IF(D511="","",IF(H511&lt;=$B$16,1,IF(H511&gt;=$B$17,$B$21,MATCH(H511,Aux_CAV!$A$2:$A$121,1))))</f>
        <v/>
      </c>
      <c r="AB511" s="31" t="str">
        <f>IF(D511="","",IF(L511&lt;=$B$16,1,IF(L511&gt;=$B$17,$B$21,MATCH(L511,Aux_CAV!$A$2:$A$121,1))))</f>
        <v/>
      </c>
      <c r="AC511" s="3" t="str">
        <f t="shared" si="21"/>
        <v/>
      </c>
    </row>
    <row r="512" ht="12.75" customHeight="1">
      <c r="A512" s="25" t="str">
        <f t="shared" si="1"/>
        <v/>
      </c>
      <c r="B512" s="29" t="str">
        <f t="array" ref="B512">IF(D512="","",IFERROR(VALUE(INDEX(Vazoes_COLAR!$A$2:$A$200,INT((ROW()-24)/12)+1)),""))</f>
        <v/>
      </c>
      <c r="C512" s="29" t="str">
        <f t="shared" si="2"/>
        <v/>
      </c>
      <c r="D512" s="26" t="str">
        <f t="array" ref="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12" s="26" t="str">
        <f t="shared" si="3"/>
        <v/>
      </c>
      <c r="F512" s="26" t="str">
        <f t="array" ref="F512">IF(D512="","",IFERROR(INDEX(Dados_Evap!$C$2:$N$15,MATCH($B$9,Dados_Evap!$A$2:$A$15,0),C512),0))</f>
        <v/>
      </c>
      <c r="G512" s="26" t="str">
        <f t="shared" si="4"/>
        <v/>
      </c>
      <c r="H512" s="26" t="str">
        <f t="shared" si="22"/>
        <v/>
      </c>
      <c r="I512" s="26" t="str">
        <f t="array" ref="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/>
      </c>
      <c r="J512" s="26" t="str">
        <f t="shared" si="5"/>
        <v/>
      </c>
      <c r="K512" s="26" t="str">
        <f t="shared" si="6"/>
        <v/>
      </c>
      <c r="L512" s="26" t="str">
        <f t="shared" si="7"/>
        <v/>
      </c>
      <c r="M512" s="26" t="str">
        <f t="array" ref="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/>
      </c>
      <c r="N512" s="26" t="str">
        <f t="shared" si="8"/>
        <v/>
      </c>
      <c r="O512" s="26" t="str">
        <f t="shared" si="9"/>
        <v/>
      </c>
      <c r="P512" s="26" t="str">
        <f t="shared" si="10"/>
        <v/>
      </c>
      <c r="Q512" s="26" t="str">
        <f t="shared" si="11"/>
        <v/>
      </c>
      <c r="R512" s="26" t="str">
        <f t="shared" si="12"/>
        <v/>
      </c>
      <c r="S512" s="26" t="str">
        <f t="shared" si="13"/>
        <v/>
      </c>
      <c r="T512" s="26" t="str">
        <f t="shared" si="14"/>
        <v/>
      </c>
      <c r="U512" s="26" t="str">
        <f t="shared" si="15"/>
        <v/>
      </c>
      <c r="V512" s="26" t="str">
        <f t="shared" si="16"/>
        <v/>
      </c>
      <c r="W512" s="26" t="str">
        <f t="shared" si="17"/>
        <v/>
      </c>
      <c r="X512" s="26" t="str">
        <f t="shared" si="18"/>
        <v/>
      </c>
      <c r="Y512" s="26" t="str">
        <f t="shared" si="19"/>
        <v/>
      </c>
      <c r="Z512" s="31" t="str">
        <f t="shared" si="20"/>
        <v/>
      </c>
      <c r="AA512" s="31" t="str">
        <f>IF(D512="","",IF(H512&lt;=$B$16,1,IF(H512&gt;=$B$17,$B$21,MATCH(H512,Aux_CAV!$A$2:$A$121,1))))</f>
        <v/>
      </c>
      <c r="AB512" s="31" t="str">
        <f>IF(D512="","",IF(L512&lt;=$B$16,1,IF(L512&gt;=$B$17,$B$21,MATCH(L512,Aux_CAV!$A$2:$A$121,1))))</f>
        <v/>
      </c>
      <c r="AC512" s="3" t="str">
        <f t="shared" si="21"/>
        <v/>
      </c>
    </row>
    <row r="513" ht="12.75" customHeight="1">
      <c r="A513" s="25" t="str">
        <f t="shared" si="1"/>
        <v/>
      </c>
      <c r="B513" s="29" t="str">
        <f t="array" ref="B513">IF(D513="","",IFERROR(VALUE(INDEX(Vazoes_COLAR!$A$2:$A$200,INT((ROW()-24)/12)+1)),""))</f>
        <v/>
      </c>
      <c r="C513" s="29" t="str">
        <f t="shared" si="2"/>
        <v/>
      </c>
      <c r="D513" s="26" t="str">
        <f t="array" ref="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13" s="26" t="str">
        <f t="shared" si="3"/>
        <v/>
      </c>
      <c r="F513" s="26" t="str">
        <f t="array" ref="F513">IF(D513="","",IFERROR(INDEX(Dados_Evap!$C$2:$N$15,MATCH($B$9,Dados_Evap!$A$2:$A$15,0),C513),0))</f>
        <v/>
      </c>
      <c r="G513" s="26" t="str">
        <f t="shared" si="4"/>
        <v/>
      </c>
      <c r="H513" s="26" t="str">
        <f t="shared" si="22"/>
        <v/>
      </c>
      <c r="I513" s="26" t="str">
        <f t="array" ref="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/>
      </c>
      <c r="J513" s="26" t="str">
        <f t="shared" si="5"/>
        <v/>
      </c>
      <c r="K513" s="26" t="str">
        <f t="shared" si="6"/>
        <v/>
      </c>
      <c r="L513" s="26" t="str">
        <f t="shared" si="7"/>
        <v/>
      </c>
      <c r="M513" s="26" t="str">
        <f t="array" ref="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/>
      </c>
      <c r="N513" s="26" t="str">
        <f t="shared" si="8"/>
        <v/>
      </c>
      <c r="O513" s="26" t="str">
        <f t="shared" si="9"/>
        <v/>
      </c>
      <c r="P513" s="26" t="str">
        <f t="shared" si="10"/>
        <v/>
      </c>
      <c r="Q513" s="26" t="str">
        <f t="shared" si="11"/>
        <v/>
      </c>
      <c r="R513" s="26" t="str">
        <f t="shared" si="12"/>
        <v/>
      </c>
      <c r="S513" s="26" t="str">
        <f t="shared" si="13"/>
        <v/>
      </c>
      <c r="T513" s="26" t="str">
        <f t="shared" si="14"/>
        <v/>
      </c>
      <c r="U513" s="26" t="str">
        <f t="shared" si="15"/>
        <v/>
      </c>
      <c r="V513" s="26" t="str">
        <f t="shared" si="16"/>
        <v/>
      </c>
      <c r="W513" s="26" t="str">
        <f t="shared" si="17"/>
        <v/>
      </c>
      <c r="X513" s="26" t="str">
        <f t="shared" si="18"/>
        <v/>
      </c>
      <c r="Y513" s="26" t="str">
        <f t="shared" si="19"/>
        <v/>
      </c>
      <c r="Z513" s="31" t="str">
        <f t="shared" si="20"/>
        <v/>
      </c>
      <c r="AA513" s="31" t="str">
        <f>IF(D513="","",IF(H513&lt;=$B$16,1,IF(H513&gt;=$B$17,$B$21,MATCH(H513,Aux_CAV!$A$2:$A$121,1))))</f>
        <v/>
      </c>
      <c r="AB513" s="31" t="str">
        <f>IF(D513="","",IF(L513&lt;=$B$16,1,IF(L513&gt;=$B$17,$B$21,MATCH(L513,Aux_CAV!$A$2:$A$121,1))))</f>
        <v/>
      </c>
      <c r="AC513" s="3" t="str">
        <f t="shared" si="21"/>
        <v/>
      </c>
    </row>
    <row r="514" ht="12.75" customHeight="1">
      <c r="A514" s="25" t="str">
        <f t="shared" si="1"/>
        <v/>
      </c>
      <c r="B514" s="29" t="str">
        <f t="array" ref="B514">IF(D514="","",IFERROR(VALUE(INDEX(Vazoes_COLAR!$A$2:$A$200,INT((ROW()-24)/12)+1)),""))</f>
        <v/>
      </c>
      <c r="C514" s="29" t="str">
        <f t="shared" si="2"/>
        <v/>
      </c>
      <c r="D514" s="26" t="str">
        <f t="array" ref="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14" s="26" t="str">
        <f t="shared" si="3"/>
        <v/>
      </c>
      <c r="F514" s="26" t="str">
        <f t="array" ref="F514">IF(D514="","",IFERROR(INDEX(Dados_Evap!$C$2:$N$15,MATCH($B$9,Dados_Evap!$A$2:$A$15,0),C514),0))</f>
        <v/>
      </c>
      <c r="G514" s="26" t="str">
        <f t="shared" si="4"/>
        <v/>
      </c>
      <c r="H514" s="26" t="str">
        <f t="shared" si="22"/>
        <v/>
      </c>
      <c r="I514" s="26" t="str">
        <f t="array" ref="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/>
      </c>
      <c r="J514" s="26" t="str">
        <f t="shared" si="5"/>
        <v/>
      </c>
      <c r="K514" s="26" t="str">
        <f t="shared" si="6"/>
        <v/>
      </c>
      <c r="L514" s="26" t="str">
        <f t="shared" si="7"/>
        <v/>
      </c>
      <c r="M514" s="26" t="str">
        <f t="array" ref="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/>
      </c>
      <c r="N514" s="26" t="str">
        <f t="shared" si="8"/>
        <v/>
      </c>
      <c r="O514" s="26" t="str">
        <f t="shared" si="9"/>
        <v/>
      </c>
      <c r="P514" s="26" t="str">
        <f t="shared" si="10"/>
        <v/>
      </c>
      <c r="Q514" s="26" t="str">
        <f t="shared" si="11"/>
        <v/>
      </c>
      <c r="R514" s="26" t="str">
        <f t="shared" si="12"/>
        <v/>
      </c>
      <c r="S514" s="26" t="str">
        <f t="shared" si="13"/>
        <v/>
      </c>
      <c r="T514" s="26" t="str">
        <f t="shared" si="14"/>
        <v/>
      </c>
      <c r="U514" s="26" t="str">
        <f t="shared" si="15"/>
        <v/>
      </c>
      <c r="V514" s="26" t="str">
        <f t="shared" si="16"/>
        <v/>
      </c>
      <c r="W514" s="26" t="str">
        <f t="shared" si="17"/>
        <v/>
      </c>
      <c r="X514" s="26" t="str">
        <f t="shared" si="18"/>
        <v/>
      </c>
      <c r="Y514" s="26" t="str">
        <f t="shared" si="19"/>
        <v/>
      </c>
      <c r="Z514" s="31" t="str">
        <f t="shared" si="20"/>
        <v/>
      </c>
      <c r="AA514" s="31" t="str">
        <f>IF(D514="","",IF(H514&lt;=$B$16,1,IF(H514&gt;=$B$17,$B$21,MATCH(H514,Aux_CAV!$A$2:$A$121,1))))</f>
        <v/>
      </c>
      <c r="AB514" s="31" t="str">
        <f>IF(D514="","",IF(L514&lt;=$B$16,1,IF(L514&gt;=$B$17,$B$21,MATCH(L514,Aux_CAV!$A$2:$A$121,1))))</f>
        <v/>
      </c>
      <c r="AC514" s="3" t="str">
        <f t="shared" si="21"/>
        <v/>
      </c>
    </row>
    <row r="515" ht="12.75" customHeight="1">
      <c r="A515" s="25" t="str">
        <f t="shared" si="1"/>
        <v/>
      </c>
      <c r="B515" s="29" t="str">
        <f t="array" ref="B515">IF(D515="","",IFERROR(VALUE(INDEX(Vazoes_COLAR!$A$2:$A$200,INT((ROW()-24)/12)+1)),""))</f>
        <v/>
      </c>
      <c r="C515" s="29" t="str">
        <f t="shared" si="2"/>
        <v/>
      </c>
      <c r="D515" s="26" t="str">
        <f t="array" ref="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15" s="26" t="str">
        <f t="shared" si="3"/>
        <v/>
      </c>
      <c r="F515" s="26" t="str">
        <f t="array" ref="F515">IF(D515="","",IFERROR(INDEX(Dados_Evap!$C$2:$N$15,MATCH($B$9,Dados_Evap!$A$2:$A$15,0),C515),0))</f>
        <v/>
      </c>
      <c r="G515" s="26" t="str">
        <f t="shared" si="4"/>
        <v/>
      </c>
      <c r="H515" s="26" t="str">
        <f t="shared" si="22"/>
        <v/>
      </c>
      <c r="I515" s="26" t="str">
        <f t="array" ref="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/>
      </c>
      <c r="J515" s="26" t="str">
        <f t="shared" si="5"/>
        <v/>
      </c>
      <c r="K515" s="26" t="str">
        <f t="shared" si="6"/>
        <v/>
      </c>
      <c r="L515" s="26" t="str">
        <f t="shared" si="7"/>
        <v/>
      </c>
      <c r="M515" s="26" t="str">
        <f t="array" ref="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/>
      </c>
      <c r="N515" s="26" t="str">
        <f t="shared" si="8"/>
        <v/>
      </c>
      <c r="O515" s="26" t="str">
        <f t="shared" si="9"/>
        <v/>
      </c>
      <c r="P515" s="26" t="str">
        <f t="shared" si="10"/>
        <v/>
      </c>
      <c r="Q515" s="26" t="str">
        <f t="shared" si="11"/>
        <v/>
      </c>
      <c r="R515" s="26" t="str">
        <f t="shared" si="12"/>
        <v/>
      </c>
      <c r="S515" s="26" t="str">
        <f t="shared" si="13"/>
        <v/>
      </c>
      <c r="T515" s="26" t="str">
        <f t="shared" si="14"/>
        <v/>
      </c>
      <c r="U515" s="26" t="str">
        <f t="shared" si="15"/>
        <v/>
      </c>
      <c r="V515" s="26" t="str">
        <f t="shared" si="16"/>
        <v/>
      </c>
      <c r="W515" s="26" t="str">
        <f t="shared" si="17"/>
        <v/>
      </c>
      <c r="X515" s="26" t="str">
        <f t="shared" si="18"/>
        <v/>
      </c>
      <c r="Y515" s="26" t="str">
        <f t="shared" si="19"/>
        <v/>
      </c>
      <c r="Z515" s="31" t="str">
        <f t="shared" si="20"/>
        <v/>
      </c>
      <c r="AA515" s="31" t="str">
        <f>IF(D515="","",IF(H515&lt;=$B$16,1,IF(H515&gt;=$B$17,$B$21,MATCH(H515,Aux_CAV!$A$2:$A$121,1))))</f>
        <v/>
      </c>
      <c r="AB515" s="31" t="str">
        <f>IF(D515="","",IF(L515&lt;=$B$16,1,IF(L515&gt;=$B$17,$B$21,MATCH(L515,Aux_CAV!$A$2:$A$121,1))))</f>
        <v/>
      </c>
      <c r="AC515" s="3" t="str">
        <f t="shared" si="21"/>
        <v/>
      </c>
    </row>
    <row r="516" ht="12.75" customHeight="1">
      <c r="A516" s="25" t="str">
        <f t="shared" si="1"/>
        <v/>
      </c>
      <c r="B516" s="29" t="str">
        <f t="array" ref="B516">IF(D516="","",IFERROR(VALUE(INDEX(Vazoes_COLAR!$A$2:$A$200,INT((ROW()-24)/12)+1)),""))</f>
        <v/>
      </c>
      <c r="C516" s="29" t="str">
        <f t="shared" si="2"/>
        <v/>
      </c>
      <c r="D516" s="26" t="str">
        <f t="array" ref="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16" s="26" t="str">
        <f t="shared" si="3"/>
        <v/>
      </c>
      <c r="F516" s="26" t="str">
        <f t="array" ref="F516">IF(D516="","",IFERROR(INDEX(Dados_Evap!$C$2:$N$15,MATCH($B$9,Dados_Evap!$A$2:$A$15,0),C516),0))</f>
        <v/>
      </c>
      <c r="G516" s="26" t="str">
        <f t="shared" si="4"/>
        <v/>
      </c>
      <c r="H516" s="26" t="str">
        <f t="shared" si="22"/>
        <v/>
      </c>
      <c r="I516" s="26" t="str">
        <f t="array" ref="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/>
      </c>
      <c r="J516" s="26" t="str">
        <f t="shared" si="5"/>
        <v/>
      </c>
      <c r="K516" s="26" t="str">
        <f t="shared" si="6"/>
        <v/>
      </c>
      <c r="L516" s="26" t="str">
        <f t="shared" si="7"/>
        <v/>
      </c>
      <c r="M516" s="26" t="str">
        <f t="array" ref="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/>
      </c>
      <c r="N516" s="26" t="str">
        <f t="shared" si="8"/>
        <v/>
      </c>
      <c r="O516" s="26" t="str">
        <f t="shared" si="9"/>
        <v/>
      </c>
      <c r="P516" s="26" t="str">
        <f t="shared" si="10"/>
        <v/>
      </c>
      <c r="Q516" s="26" t="str">
        <f t="shared" si="11"/>
        <v/>
      </c>
      <c r="R516" s="26" t="str">
        <f t="shared" si="12"/>
        <v/>
      </c>
      <c r="S516" s="26" t="str">
        <f t="shared" si="13"/>
        <v/>
      </c>
      <c r="T516" s="26" t="str">
        <f t="shared" si="14"/>
        <v/>
      </c>
      <c r="U516" s="26" t="str">
        <f t="shared" si="15"/>
        <v/>
      </c>
      <c r="V516" s="26" t="str">
        <f t="shared" si="16"/>
        <v/>
      </c>
      <c r="W516" s="26" t="str">
        <f t="shared" si="17"/>
        <v/>
      </c>
      <c r="X516" s="26" t="str">
        <f t="shared" si="18"/>
        <v/>
      </c>
      <c r="Y516" s="26" t="str">
        <f t="shared" si="19"/>
        <v/>
      </c>
      <c r="Z516" s="31" t="str">
        <f t="shared" si="20"/>
        <v/>
      </c>
      <c r="AA516" s="31" t="str">
        <f>IF(D516="","",IF(H516&lt;=$B$16,1,IF(H516&gt;=$B$17,$B$21,MATCH(H516,Aux_CAV!$A$2:$A$121,1))))</f>
        <v/>
      </c>
      <c r="AB516" s="31" t="str">
        <f>IF(D516="","",IF(L516&lt;=$B$16,1,IF(L516&gt;=$B$17,$B$21,MATCH(L516,Aux_CAV!$A$2:$A$121,1))))</f>
        <v/>
      </c>
      <c r="AC516" s="3" t="str">
        <f t="shared" si="21"/>
        <v/>
      </c>
    </row>
    <row r="517" ht="12.75" customHeight="1">
      <c r="A517" s="25" t="str">
        <f t="shared" si="1"/>
        <v/>
      </c>
      <c r="B517" s="29" t="str">
        <f t="array" ref="B517">IF(D517="","",IFERROR(VALUE(INDEX(Vazoes_COLAR!$A$2:$A$200,INT((ROW()-24)/12)+1)),""))</f>
        <v/>
      </c>
      <c r="C517" s="29" t="str">
        <f t="shared" si="2"/>
        <v/>
      </c>
      <c r="D517" s="26" t="str">
        <f t="array" ref="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17" s="26" t="str">
        <f t="shared" si="3"/>
        <v/>
      </c>
      <c r="F517" s="26" t="str">
        <f t="array" ref="F517">IF(D517="","",IFERROR(INDEX(Dados_Evap!$C$2:$N$15,MATCH($B$9,Dados_Evap!$A$2:$A$15,0),C517),0))</f>
        <v/>
      </c>
      <c r="G517" s="26" t="str">
        <f t="shared" si="4"/>
        <v/>
      </c>
      <c r="H517" s="26" t="str">
        <f t="shared" si="22"/>
        <v/>
      </c>
      <c r="I517" s="26" t="str">
        <f t="array" ref="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/>
      </c>
      <c r="J517" s="26" t="str">
        <f t="shared" si="5"/>
        <v/>
      </c>
      <c r="K517" s="26" t="str">
        <f t="shared" si="6"/>
        <v/>
      </c>
      <c r="L517" s="26" t="str">
        <f t="shared" si="7"/>
        <v/>
      </c>
      <c r="M517" s="26" t="str">
        <f t="array" ref="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/>
      </c>
      <c r="N517" s="26" t="str">
        <f t="shared" si="8"/>
        <v/>
      </c>
      <c r="O517" s="26" t="str">
        <f t="shared" si="9"/>
        <v/>
      </c>
      <c r="P517" s="26" t="str">
        <f t="shared" si="10"/>
        <v/>
      </c>
      <c r="Q517" s="26" t="str">
        <f t="shared" si="11"/>
        <v/>
      </c>
      <c r="R517" s="26" t="str">
        <f t="shared" si="12"/>
        <v/>
      </c>
      <c r="S517" s="26" t="str">
        <f t="shared" si="13"/>
        <v/>
      </c>
      <c r="T517" s="26" t="str">
        <f t="shared" si="14"/>
        <v/>
      </c>
      <c r="U517" s="26" t="str">
        <f t="shared" si="15"/>
        <v/>
      </c>
      <c r="V517" s="26" t="str">
        <f t="shared" si="16"/>
        <v/>
      </c>
      <c r="W517" s="26" t="str">
        <f t="shared" si="17"/>
        <v/>
      </c>
      <c r="X517" s="26" t="str">
        <f t="shared" si="18"/>
        <v/>
      </c>
      <c r="Y517" s="26" t="str">
        <f t="shared" si="19"/>
        <v/>
      </c>
      <c r="Z517" s="31" t="str">
        <f t="shared" si="20"/>
        <v/>
      </c>
      <c r="AA517" s="31" t="str">
        <f>IF(D517="","",IF(H517&lt;=$B$16,1,IF(H517&gt;=$B$17,$B$21,MATCH(H517,Aux_CAV!$A$2:$A$121,1))))</f>
        <v/>
      </c>
      <c r="AB517" s="31" t="str">
        <f>IF(D517="","",IF(L517&lt;=$B$16,1,IF(L517&gt;=$B$17,$B$21,MATCH(L517,Aux_CAV!$A$2:$A$121,1))))</f>
        <v/>
      </c>
      <c r="AC517" s="3" t="str">
        <f t="shared" si="21"/>
        <v/>
      </c>
    </row>
    <row r="518" ht="12.75" customHeight="1">
      <c r="A518" s="25" t="str">
        <f t="shared" si="1"/>
        <v/>
      </c>
      <c r="B518" s="29" t="str">
        <f t="array" ref="B518">IF(D518="","",IFERROR(VALUE(INDEX(Vazoes_COLAR!$A$2:$A$200,INT((ROW()-24)/12)+1)),""))</f>
        <v/>
      </c>
      <c r="C518" s="29" t="str">
        <f t="shared" si="2"/>
        <v/>
      </c>
      <c r="D518" s="26" t="str">
        <f t="array" ref="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18" s="26" t="str">
        <f t="shared" si="3"/>
        <v/>
      </c>
      <c r="F518" s="26" t="str">
        <f t="array" ref="F518">IF(D518="","",IFERROR(INDEX(Dados_Evap!$C$2:$N$15,MATCH($B$9,Dados_Evap!$A$2:$A$15,0),C518),0))</f>
        <v/>
      </c>
      <c r="G518" s="26" t="str">
        <f t="shared" si="4"/>
        <v/>
      </c>
      <c r="H518" s="26" t="str">
        <f t="shared" si="22"/>
        <v/>
      </c>
      <c r="I518" s="26" t="str">
        <f t="array" ref="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/>
      </c>
      <c r="J518" s="26" t="str">
        <f t="shared" si="5"/>
        <v/>
      </c>
      <c r="K518" s="26" t="str">
        <f t="shared" si="6"/>
        <v/>
      </c>
      <c r="L518" s="26" t="str">
        <f t="shared" si="7"/>
        <v/>
      </c>
      <c r="M518" s="26" t="str">
        <f t="array" ref="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/>
      </c>
      <c r="N518" s="26" t="str">
        <f t="shared" si="8"/>
        <v/>
      </c>
      <c r="O518" s="26" t="str">
        <f t="shared" si="9"/>
        <v/>
      </c>
      <c r="P518" s="26" t="str">
        <f t="shared" si="10"/>
        <v/>
      </c>
      <c r="Q518" s="26" t="str">
        <f t="shared" si="11"/>
        <v/>
      </c>
      <c r="R518" s="26" t="str">
        <f t="shared" si="12"/>
        <v/>
      </c>
      <c r="S518" s="26" t="str">
        <f t="shared" si="13"/>
        <v/>
      </c>
      <c r="T518" s="26" t="str">
        <f t="shared" si="14"/>
        <v/>
      </c>
      <c r="U518" s="26" t="str">
        <f t="shared" si="15"/>
        <v/>
      </c>
      <c r="V518" s="26" t="str">
        <f t="shared" si="16"/>
        <v/>
      </c>
      <c r="W518" s="26" t="str">
        <f t="shared" si="17"/>
        <v/>
      </c>
      <c r="X518" s="26" t="str">
        <f t="shared" si="18"/>
        <v/>
      </c>
      <c r="Y518" s="26" t="str">
        <f t="shared" si="19"/>
        <v/>
      </c>
      <c r="Z518" s="31" t="str">
        <f t="shared" si="20"/>
        <v/>
      </c>
      <c r="AA518" s="31" t="str">
        <f>IF(D518="","",IF(H518&lt;=$B$16,1,IF(H518&gt;=$B$17,$B$21,MATCH(H518,Aux_CAV!$A$2:$A$121,1))))</f>
        <v/>
      </c>
      <c r="AB518" s="31" t="str">
        <f>IF(D518="","",IF(L518&lt;=$B$16,1,IF(L518&gt;=$B$17,$B$21,MATCH(L518,Aux_CAV!$A$2:$A$121,1))))</f>
        <v/>
      </c>
      <c r="AC518" s="3" t="str">
        <f t="shared" si="21"/>
        <v/>
      </c>
    </row>
    <row r="519" ht="12.75" customHeight="1">
      <c r="A519" s="25" t="str">
        <f t="shared" si="1"/>
        <v/>
      </c>
      <c r="B519" s="29" t="str">
        <f t="array" ref="B519">IF(D519="","",IFERROR(VALUE(INDEX(Vazoes_COLAR!$A$2:$A$200,INT((ROW()-24)/12)+1)),""))</f>
        <v/>
      </c>
      <c r="C519" s="29" t="str">
        <f t="shared" si="2"/>
        <v/>
      </c>
      <c r="D519" s="26" t="str">
        <f t="array" ref="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19" s="26" t="str">
        <f t="shared" si="3"/>
        <v/>
      </c>
      <c r="F519" s="26" t="str">
        <f t="array" ref="F519">IF(D519="","",IFERROR(INDEX(Dados_Evap!$C$2:$N$15,MATCH($B$9,Dados_Evap!$A$2:$A$15,0),C519),0))</f>
        <v/>
      </c>
      <c r="G519" s="26" t="str">
        <f t="shared" si="4"/>
        <v/>
      </c>
      <c r="H519" s="26" t="str">
        <f t="shared" si="22"/>
        <v/>
      </c>
      <c r="I519" s="26" t="str">
        <f t="array" ref="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/>
      </c>
      <c r="J519" s="26" t="str">
        <f t="shared" si="5"/>
        <v/>
      </c>
      <c r="K519" s="26" t="str">
        <f t="shared" si="6"/>
        <v/>
      </c>
      <c r="L519" s="26" t="str">
        <f t="shared" si="7"/>
        <v/>
      </c>
      <c r="M519" s="26" t="str">
        <f t="array" ref="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/>
      </c>
      <c r="N519" s="26" t="str">
        <f t="shared" si="8"/>
        <v/>
      </c>
      <c r="O519" s="26" t="str">
        <f t="shared" si="9"/>
        <v/>
      </c>
      <c r="P519" s="26" t="str">
        <f t="shared" si="10"/>
        <v/>
      </c>
      <c r="Q519" s="26" t="str">
        <f t="shared" si="11"/>
        <v/>
      </c>
      <c r="R519" s="26" t="str">
        <f t="shared" si="12"/>
        <v/>
      </c>
      <c r="S519" s="26" t="str">
        <f t="shared" si="13"/>
        <v/>
      </c>
      <c r="T519" s="26" t="str">
        <f t="shared" si="14"/>
        <v/>
      </c>
      <c r="U519" s="26" t="str">
        <f t="shared" si="15"/>
        <v/>
      </c>
      <c r="V519" s="26" t="str">
        <f t="shared" si="16"/>
        <v/>
      </c>
      <c r="W519" s="26" t="str">
        <f t="shared" si="17"/>
        <v/>
      </c>
      <c r="X519" s="26" t="str">
        <f t="shared" si="18"/>
        <v/>
      </c>
      <c r="Y519" s="26" t="str">
        <f t="shared" si="19"/>
        <v/>
      </c>
      <c r="Z519" s="31" t="str">
        <f t="shared" si="20"/>
        <v/>
      </c>
      <c r="AA519" s="31" t="str">
        <f>IF(D519="","",IF(H519&lt;=$B$16,1,IF(H519&gt;=$B$17,$B$21,MATCH(H519,Aux_CAV!$A$2:$A$121,1))))</f>
        <v/>
      </c>
      <c r="AB519" s="31" t="str">
        <f>IF(D519="","",IF(L519&lt;=$B$16,1,IF(L519&gt;=$B$17,$B$21,MATCH(L519,Aux_CAV!$A$2:$A$121,1))))</f>
        <v/>
      </c>
      <c r="AC519" s="3" t="str">
        <f t="shared" si="21"/>
        <v/>
      </c>
    </row>
    <row r="520" ht="12.75" customHeight="1">
      <c r="A520" s="25" t="str">
        <f t="shared" si="1"/>
        <v/>
      </c>
      <c r="B520" s="29" t="str">
        <f t="array" ref="B520">IF(D520="","",IFERROR(VALUE(INDEX(Vazoes_COLAR!$A$2:$A$200,INT((ROW()-24)/12)+1)),""))</f>
        <v/>
      </c>
      <c r="C520" s="29" t="str">
        <f t="shared" si="2"/>
        <v/>
      </c>
      <c r="D520" s="26" t="str">
        <f t="array" ref="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20" s="26" t="str">
        <f t="shared" si="3"/>
        <v/>
      </c>
      <c r="F520" s="26" t="str">
        <f t="array" ref="F520">IF(D520="","",IFERROR(INDEX(Dados_Evap!$C$2:$N$15,MATCH($B$9,Dados_Evap!$A$2:$A$15,0),C520),0))</f>
        <v/>
      </c>
      <c r="G520" s="26" t="str">
        <f t="shared" si="4"/>
        <v/>
      </c>
      <c r="H520" s="26" t="str">
        <f t="shared" si="22"/>
        <v/>
      </c>
      <c r="I520" s="26" t="str">
        <f t="array" ref="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/>
      </c>
      <c r="J520" s="26" t="str">
        <f t="shared" si="5"/>
        <v/>
      </c>
      <c r="K520" s="26" t="str">
        <f t="shared" si="6"/>
        <v/>
      </c>
      <c r="L520" s="26" t="str">
        <f t="shared" si="7"/>
        <v/>
      </c>
      <c r="M520" s="26" t="str">
        <f t="array" ref="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/>
      </c>
      <c r="N520" s="26" t="str">
        <f t="shared" si="8"/>
        <v/>
      </c>
      <c r="O520" s="26" t="str">
        <f t="shared" si="9"/>
        <v/>
      </c>
      <c r="P520" s="26" t="str">
        <f t="shared" si="10"/>
        <v/>
      </c>
      <c r="Q520" s="26" t="str">
        <f t="shared" si="11"/>
        <v/>
      </c>
      <c r="R520" s="26" t="str">
        <f t="shared" si="12"/>
        <v/>
      </c>
      <c r="S520" s="26" t="str">
        <f t="shared" si="13"/>
        <v/>
      </c>
      <c r="T520" s="26" t="str">
        <f t="shared" si="14"/>
        <v/>
      </c>
      <c r="U520" s="26" t="str">
        <f t="shared" si="15"/>
        <v/>
      </c>
      <c r="V520" s="26" t="str">
        <f t="shared" si="16"/>
        <v/>
      </c>
      <c r="W520" s="26" t="str">
        <f t="shared" si="17"/>
        <v/>
      </c>
      <c r="X520" s="26" t="str">
        <f t="shared" si="18"/>
        <v/>
      </c>
      <c r="Y520" s="26" t="str">
        <f t="shared" si="19"/>
        <v/>
      </c>
      <c r="Z520" s="31" t="str">
        <f t="shared" si="20"/>
        <v/>
      </c>
      <c r="AA520" s="31" t="str">
        <f>IF(D520="","",IF(H520&lt;=$B$16,1,IF(H520&gt;=$B$17,$B$21,MATCH(H520,Aux_CAV!$A$2:$A$121,1))))</f>
        <v/>
      </c>
      <c r="AB520" s="31" t="str">
        <f>IF(D520="","",IF(L520&lt;=$B$16,1,IF(L520&gt;=$B$17,$B$21,MATCH(L520,Aux_CAV!$A$2:$A$121,1))))</f>
        <v/>
      </c>
      <c r="AC520" s="3" t="str">
        <f t="shared" si="21"/>
        <v/>
      </c>
    </row>
    <row r="521" ht="12.75" customHeight="1">
      <c r="A521" s="25" t="str">
        <f t="shared" si="1"/>
        <v/>
      </c>
      <c r="B521" s="29" t="str">
        <f t="array" ref="B521">IF(D521="","",IFERROR(VALUE(INDEX(Vazoes_COLAR!$A$2:$A$200,INT((ROW()-24)/12)+1)),""))</f>
        <v/>
      </c>
      <c r="C521" s="29" t="str">
        <f t="shared" si="2"/>
        <v/>
      </c>
      <c r="D521" s="26" t="str">
        <f t="array" ref="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21" s="26" t="str">
        <f t="shared" si="3"/>
        <v/>
      </c>
      <c r="F521" s="26" t="str">
        <f t="array" ref="F521">IF(D521="","",IFERROR(INDEX(Dados_Evap!$C$2:$N$15,MATCH($B$9,Dados_Evap!$A$2:$A$15,0),C521),0))</f>
        <v/>
      </c>
      <c r="G521" s="26" t="str">
        <f t="shared" si="4"/>
        <v/>
      </c>
      <c r="H521" s="26" t="str">
        <f t="shared" si="22"/>
        <v/>
      </c>
      <c r="I521" s="26" t="str">
        <f t="array" ref="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/>
      </c>
      <c r="J521" s="26" t="str">
        <f t="shared" si="5"/>
        <v/>
      </c>
      <c r="K521" s="26" t="str">
        <f t="shared" si="6"/>
        <v/>
      </c>
      <c r="L521" s="26" t="str">
        <f t="shared" si="7"/>
        <v/>
      </c>
      <c r="M521" s="26" t="str">
        <f t="array" ref="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/>
      </c>
      <c r="N521" s="26" t="str">
        <f t="shared" si="8"/>
        <v/>
      </c>
      <c r="O521" s="26" t="str">
        <f t="shared" si="9"/>
        <v/>
      </c>
      <c r="P521" s="26" t="str">
        <f t="shared" si="10"/>
        <v/>
      </c>
      <c r="Q521" s="26" t="str">
        <f t="shared" si="11"/>
        <v/>
      </c>
      <c r="R521" s="26" t="str">
        <f t="shared" si="12"/>
        <v/>
      </c>
      <c r="S521" s="26" t="str">
        <f t="shared" si="13"/>
        <v/>
      </c>
      <c r="T521" s="26" t="str">
        <f t="shared" si="14"/>
        <v/>
      </c>
      <c r="U521" s="26" t="str">
        <f t="shared" si="15"/>
        <v/>
      </c>
      <c r="V521" s="26" t="str">
        <f t="shared" si="16"/>
        <v/>
      </c>
      <c r="W521" s="26" t="str">
        <f t="shared" si="17"/>
        <v/>
      </c>
      <c r="X521" s="26" t="str">
        <f t="shared" si="18"/>
        <v/>
      </c>
      <c r="Y521" s="26" t="str">
        <f t="shared" si="19"/>
        <v/>
      </c>
      <c r="Z521" s="31" t="str">
        <f t="shared" si="20"/>
        <v/>
      </c>
      <c r="AA521" s="31" t="str">
        <f>IF(D521="","",IF(H521&lt;=$B$16,1,IF(H521&gt;=$B$17,$B$21,MATCH(H521,Aux_CAV!$A$2:$A$121,1))))</f>
        <v/>
      </c>
      <c r="AB521" s="31" t="str">
        <f>IF(D521="","",IF(L521&lt;=$B$16,1,IF(L521&gt;=$B$17,$B$21,MATCH(L521,Aux_CAV!$A$2:$A$121,1))))</f>
        <v/>
      </c>
      <c r="AC521" s="3" t="str">
        <f t="shared" si="21"/>
        <v/>
      </c>
    </row>
    <row r="522" ht="12.75" customHeight="1">
      <c r="A522" s="25" t="str">
        <f t="shared" si="1"/>
        <v/>
      </c>
      <c r="B522" s="29" t="str">
        <f t="array" ref="B522">IF(D522="","",IFERROR(VALUE(INDEX(Vazoes_COLAR!$A$2:$A$200,INT((ROW()-24)/12)+1)),""))</f>
        <v/>
      </c>
      <c r="C522" s="29" t="str">
        <f t="shared" si="2"/>
        <v/>
      </c>
      <c r="D522" s="26" t="str">
        <f t="array" ref="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22" s="26" t="str">
        <f t="shared" si="3"/>
        <v/>
      </c>
      <c r="F522" s="26" t="str">
        <f t="array" ref="F522">IF(D522="","",IFERROR(INDEX(Dados_Evap!$C$2:$N$15,MATCH($B$9,Dados_Evap!$A$2:$A$15,0),C522),0))</f>
        <v/>
      </c>
      <c r="G522" s="26" t="str">
        <f t="shared" si="4"/>
        <v/>
      </c>
      <c r="H522" s="26" t="str">
        <f t="shared" si="22"/>
        <v/>
      </c>
      <c r="I522" s="26" t="str">
        <f t="array" ref="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/>
      </c>
      <c r="J522" s="26" t="str">
        <f t="shared" si="5"/>
        <v/>
      </c>
      <c r="K522" s="26" t="str">
        <f t="shared" si="6"/>
        <v/>
      </c>
      <c r="L522" s="26" t="str">
        <f t="shared" si="7"/>
        <v/>
      </c>
      <c r="M522" s="26" t="str">
        <f t="array" ref="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/>
      </c>
      <c r="N522" s="26" t="str">
        <f t="shared" si="8"/>
        <v/>
      </c>
      <c r="O522" s="26" t="str">
        <f t="shared" si="9"/>
        <v/>
      </c>
      <c r="P522" s="26" t="str">
        <f t="shared" si="10"/>
        <v/>
      </c>
      <c r="Q522" s="26" t="str">
        <f t="shared" si="11"/>
        <v/>
      </c>
      <c r="R522" s="26" t="str">
        <f t="shared" si="12"/>
        <v/>
      </c>
      <c r="S522" s="26" t="str">
        <f t="shared" si="13"/>
        <v/>
      </c>
      <c r="T522" s="26" t="str">
        <f t="shared" si="14"/>
        <v/>
      </c>
      <c r="U522" s="26" t="str">
        <f t="shared" si="15"/>
        <v/>
      </c>
      <c r="V522" s="26" t="str">
        <f t="shared" si="16"/>
        <v/>
      </c>
      <c r="W522" s="26" t="str">
        <f t="shared" si="17"/>
        <v/>
      </c>
      <c r="X522" s="26" t="str">
        <f t="shared" si="18"/>
        <v/>
      </c>
      <c r="Y522" s="26" t="str">
        <f t="shared" si="19"/>
        <v/>
      </c>
      <c r="Z522" s="31" t="str">
        <f t="shared" si="20"/>
        <v/>
      </c>
      <c r="AA522" s="31" t="str">
        <f>IF(D522="","",IF(H522&lt;=$B$16,1,IF(H522&gt;=$B$17,$B$21,MATCH(H522,Aux_CAV!$A$2:$A$121,1))))</f>
        <v/>
      </c>
      <c r="AB522" s="31" t="str">
        <f>IF(D522="","",IF(L522&lt;=$B$16,1,IF(L522&gt;=$B$17,$B$21,MATCH(L522,Aux_CAV!$A$2:$A$121,1))))</f>
        <v/>
      </c>
      <c r="AC522" s="3" t="str">
        <f t="shared" si="21"/>
        <v/>
      </c>
    </row>
    <row r="523" ht="12.75" customHeight="1">
      <c r="A523" s="25" t="str">
        <f t="shared" si="1"/>
        <v/>
      </c>
      <c r="B523" s="29" t="str">
        <f t="array" ref="B523">IF(D523="","",IFERROR(VALUE(INDEX(Vazoes_COLAR!$A$2:$A$200,INT((ROW()-24)/12)+1)),""))</f>
        <v/>
      </c>
      <c r="C523" s="29" t="str">
        <f t="shared" si="2"/>
        <v/>
      </c>
      <c r="D523" s="26" t="str">
        <f t="array" ref="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23" s="26" t="str">
        <f t="shared" si="3"/>
        <v/>
      </c>
      <c r="F523" s="26" t="str">
        <f t="array" ref="F523">IF(D523="","",IFERROR(INDEX(Dados_Evap!$C$2:$N$15,MATCH($B$9,Dados_Evap!$A$2:$A$15,0),C523),0))</f>
        <v/>
      </c>
      <c r="G523" s="26" t="str">
        <f t="shared" si="4"/>
        <v/>
      </c>
      <c r="H523" s="26" t="str">
        <f t="shared" si="22"/>
        <v/>
      </c>
      <c r="I523" s="26" t="str">
        <f t="array" ref="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/>
      </c>
      <c r="J523" s="26" t="str">
        <f t="shared" si="5"/>
        <v/>
      </c>
      <c r="K523" s="26" t="str">
        <f t="shared" si="6"/>
        <v/>
      </c>
      <c r="L523" s="26" t="str">
        <f t="shared" si="7"/>
        <v/>
      </c>
      <c r="M523" s="26" t="str">
        <f t="array" ref="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/>
      </c>
      <c r="N523" s="26" t="str">
        <f t="shared" si="8"/>
        <v/>
      </c>
      <c r="O523" s="26" t="str">
        <f t="shared" si="9"/>
        <v/>
      </c>
      <c r="P523" s="26" t="str">
        <f t="shared" si="10"/>
        <v/>
      </c>
      <c r="Q523" s="26" t="str">
        <f t="shared" si="11"/>
        <v/>
      </c>
      <c r="R523" s="26" t="str">
        <f t="shared" si="12"/>
        <v/>
      </c>
      <c r="S523" s="26" t="str">
        <f t="shared" si="13"/>
        <v/>
      </c>
      <c r="T523" s="26" t="str">
        <f t="shared" si="14"/>
        <v/>
      </c>
      <c r="U523" s="26" t="str">
        <f t="shared" si="15"/>
        <v/>
      </c>
      <c r="V523" s="26" t="str">
        <f t="shared" si="16"/>
        <v/>
      </c>
      <c r="W523" s="26" t="str">
        <f t="shared" si="17"/>
        <v/>
      </c>
      <c r="X523" s="26" t="str">
        <f t="shared" si="18"/>
        <v/>
      </c>
      <c r="Y523" s="26" t="str">
        <f t="shared" si="19"/>
        <v/>
      </c>
      <c r="Z523" s="31" t="str">
        <f t="shared" si="20"/>
        <v/>
      </c>
      <c r="AA523" s="31" t="str">
        <f>IF(D523="","",IF(H523&lt;=$B$16,1,IF(H523&gt;=$B$17,$B$21,MATCH(H523,Aux_CAV!$A$2:$A$121,1))))</f>
        <v/>
      </c>
      <c r="AB523" s="31" t="str">
        <f>IF(D523="","",IF(L523&lt;=$B$16,1,IF(L523&gt;=$B$17,$B$21,MATCH(L523,Aux_CAV!$A$2:$A$121,1))))</f>
        <v/>
      </c>
      <c r="AC523" s="3" t="str">
        <f t="shared" si="21"/>
        <v/>
      </c>
    </row>
    <row r="524" ht="12.75" customHeight="1">
      <c r="A524" s="25" t="str">
        <f t="shared" si="1"/>
        <v/>
      </c>
      <c r="B524" s="29" t="str">
        <f t="array" ref="B524">IF(D524="","",IFERROR(VALUE(INDEX(Vazoes_COLAR!$A$2:$A$200,INT((ROW()-24)/12)+1)),""))</f>
        <v/>
      </c>
      <c r="C524" s="29" t="str">
        <f t="shared" si="2"/>
        <v/>
      </c>
      <c r="D524" s="26" t="str">
        <f t="array" ref="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24" s="26" t="str">
        <f t="shared" si="3"/>
        <v/>
      </c>
      <c r="F524" s="26" t="str">
        <f t="array" ref="F524">IF(D524="","",IFERROR(INDEX(Dados_Evap!$C$2:$N$15,MATCH($B$9,Dados_Evap!$A$2:$A$15,0),C524),0))</f>
        <v/>
      </c>
      <c r="G524" s="26" t="str">
        <f t="shared" si="4"/>
        <v/>
      </c>
      <c r="H524" s="26" t="str">
        <f t="shared" si="22"/>
        <v/>
      </c>
      <c r="I524" s="26" t="str">
        <f t="array" ref="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/>
      </c>
      <c r="J524" s="26" t="str">
        <f t="shared" si="5"/>
        <v/>
      </c>
      <c r="K524" s="26" t="str">
        <f t="shared" si="6"/>
        <v/>
      </c>
      <c r="L524" s="26" t="str">
        <f t="shared" si="7"/>
        <v/>
      </c>
      <c r="M524" s="26" t="str">
        <f t="array" ref="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/>
      </c>
      <c r="N524" s="26" t="str">
        <f t="shared" si="8"/>
        <v/>
      </c>
      <c r="O524" s="26" t="str">
        <f t="shared" si="9"/>
        <v/>
      </c>
      <c r="P524" s="26" t="str">
        <f t="shared" si="10"/>
        <v/>
      </c>
      <c r="Q524" s="26" t="str">
        <f t="shared" si="11"/>
        <v/>
      </c>
      <c r="R524" s="26" t="str">
        <f t="shared" si="12"/>
        <v/>
      </c>
      <c r="S524" s="26" t="str">
        <f t="shared" si="13"/>
        <v/>
      </c>
      <c r="T524" s="26" t="str">
        <f t="shared" si="14"/>
        <v/>
      </c>
      <c r="U524" s="26" t="str">
        <f t="shared" si="15"/>
        <v/>
      </c>
      <c r="V524" s="26" t="str">
        <f t="shared" si="16"/>
        <v/>
      </c>
      <c r="W524" s="26" t="str">
        <f t="shared" si="17"/>
        <v/>
      </c>
      <c r="X524" s="26" t="str">
        <f t="shared" si="18"/>
        <v/>
      </c>
      <c r="Y524" s="26" t="str">
        <f t="shared" si="19"/>
        <v/>
      </c>
      <c r="Z524" s="31" t="str">
        <f t="shared" si="20"/>
        <v/>
      </c>
      <c r="AA524" s="31" t="str">
        <f>IF(D524="","",IF(H524&lt;=$B$16,1,IF(H524&gt;=$B$17,$B$21,MATCH(H524,Aux_CAV!$A$2:$A$121,1))))</f>
        <v/>
      </c>
      <c r="AB524" s="31" t="str">
        <f>IF(D524="","",IF(L524&lt;=$B$16,1,IF(L524&gt;=$B$17,$B$21,MATCH(L524,Aux_CAV!$A$2:$A$121,1))))</f>
        <v/>
      </c>
      <c r="AC524" s="3" t="str">
        <f t="shared" si="21"/>
        <v/>
      </c>
    </row>
    <row r="525" ht="12.75" customHeight="1">
      <c r="A525" s="25" t="str">
        <f t="shared" si="1"/>
        <v/>
      </c>
      <c r="B525" s="29" t="str">
        <f t="array" ref="B525">IF(D525="","",IFERROR(VALUE(INDEX(Vazoes_COLAR!$A$2:$A$200,INT((ROW()-24)/12)+1)),""))</f>
        <v/>
      </c>
      <c r="C525" s="29" t="str">
        <f t="shared" si="2"/>
        <v/>
      </c>
      <c r="D525" s="26" t="str">
        <f t="array" ref="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25" s="26" t="str">
        <f t="shared" si="3"/>
        <v/>
      </c>
      <c r="F525" s="26" t="str">
        <f t="array" ref="F525">IF(D525="","",IFERROR(INDEX(Dados_Evap!$C$2:$N$15,MATCH($B$9,Dados_Evap!$A$2:$A$15,0),C525),0))</f>
        <v/>
      </c>
      <c r="G525" s="26" t="str">
        <f t="shared" si="4"/>
        <v/>
      </c>
      <c r="H525" s="26" t="str">
        <f t="shared" si="22"/>
        <v/>
      </c>
      <c r="I525" s="26" t="str">
        <f t="array" ref="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/>
      </c>
      <c r="J525" s="26" t="str">
        <f t="shared" si="5"/>
        <v/>
      </c>
      <c r="K525" s="26" t="str">
        <f t="shared" si="6"/>
        <v/>
      </c>
      <c r="L525" s="26" t="str">
        <f t="shared" si="7"/>
        <v/>
      </c>
      <c r="M525" s="26" t="str">
        <f t="array" ref="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/>
      </c>
      <c r="N525" s="26" t="str">
        <f t="shared" si="8"/>
        <v/>
      </c>
      <c r="O525" s="26" t="str">
        <f t="shared" si="9"/>
        <v/>
      </c>
      <c r="P525" s="26" t="str">
        <f t="shared" si="10"/>
        <v/>
      </c>
      <c r="Q525" s="26" t="str">
        <f t="shared" si="11"/>
        <v/>
      </c>
      <c r="R525" s="26" t="str">
        <f t="shared" si="12"/>
        <v/>
      </c>
      <c r="S525" s="26" t="str">
        <f t="shared" si="13"/>
        <v/>
      </c>
      <c r="T525" s="26" t="str">
        <f t="shared" si="14"/>
        <v/>
      </c>
      <c r="U525" s="26" t="str">
        <f t="shared" si="15"/>
        <v/>
      </c>
      <c r="V525" s="26" t="str">
        <f t="shared" si="16"/>
        <v/>
      </c>
      <c r="W525" s="26" t="str">
        <f t="shared" si="17"/>
        <v/>
      </c>
      <c r="X525" s="26" t="str">
        <f t="shared" si="18"/>
        <v/>
      </c>
      <c r="Y525" s="26" t="str">
        <f t="shared" si="19"/>
        <v/>
      </c>
      <c r="Z525" s="31" t="str">
        <f t="shared" si="20"/>
        <v/>
      </c>
      <c r="AA525" s="31" t="str">
        <f>IF(D525="","",IF(H525&lt;=$B$16,1,IF(H525&gt;=$B$17,$B$21,MATCH(H525,Aux_CAV!$A$2:$A$121,1))))</f>
        <v/>
      </c>
      <c r="AB525" s="31" t="str">
        <f>IF(D525="","",IF(L525&lt;=$B$16,1,IF(L525&gt;=$B$17,$B$21,MATCH(L525,Aux_CAV!$A$2:$A$121,1))))</f>
        <v/>
      </c>
      <c r="AC525" s="3" t="str">
        <f t="shared" si="21"/>
        <v/>
      </c>
    </row>
    <row r="526" ht="12.75" customHeight="1">
      <c r="A526" s="25" t="str">
        <f t="shared" si="1"/>
        <v/>
      </c>
      <c r="B526" s="29" t="str">
        <f t="array" ref="B526">IF(D526="","",IFERROR(VALUE(INDEX(Vazoes_COLAR!$A$2:$A$200,INT((ROW()-24)/12)+1)),""))</f>
        <v/>
      </c>
      <c r="C526" s="29" t="str">
        <f t="shared" si="2"/>
        <v/>
      </c>
      <c r="D526" s="26" t="str">
        <f t="array" ref="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26" s="26" t="str">
        <f t="shared" si="3"/>
        <v/>
      </c>
      <c r="F526" s="26" t="str">
        <f t="array" ref="F526">IF(D526="","",IFERROR(INDEX(Dados_Evap!$C$2:$N$15,MATCH($B$9,Dados_Evap!$A$2:$A$15,0),C526),0))</f>
        <v/>
      </c>
      <c r="G526" s="26" t="str">
        <f t="shared" si="4"/>
        <v/>
      </c>
      <c r="H526" s="26" t="str">
        <f t="shared" si="22"/>
        <v/>
      </c>
      <c r="I526" s="26" t="str">
        <f t="array" ref="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/>
      </c>
      <c r="J526" s="26" t="str">
        <f t="shared" si="5"/>
        <v/>
      </c>
      <c r="K526" s="26" t="str">
        <f t="shared" si="6"/>
        <v/>
      </c>
      <c r="L526" s="26" t="str">
        <f t="shared" si="7"/>
        <v/>
      </c>
      <c r="M526" s="26" t="str">
        <f t="array" ref="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/>
      </c>
      <c r="N526" s="26" t="str">
        <f t="shared" si="8"/>
        <v/>
      </c>
      <c r="O526" s="26" t="str">
        <f t="shared" si="9"/>
        <v/>
      </c>
      <c r="P526" s="26" t="str">
        <f t="shared" si="10"/>
        <v/>
      </c>
      <c r="Q526" s="26" t="str">
        <f t="shared" si="11"/>
        <v/>
      </c>
      <c r="R526" s="26" t="str">
        <f t="shared" si="12"/>
        <v/>
      </c>
      <c r="S526" s="26" t="str">
        <f t="shared" si="13"/>
        <v/>
      </c>
      <c r="T526" s="26" t="str">
        <f t="shared" si="14"/>
        <v/>
      </c>
      <c r="U526" s="26" t="str">
        <f t="shared" si="15"/>
        <v/>
      </c>
      <c r="V526" s="26" t="str">
        <f t="shared" si="16"/>
        <v/>
      </c>
      <c r="W526" s="26" t="str">
        <f t="shared" si="17"/>
        <v/>
      </c>
      <c r="X526" s="26" t="str">
        <f t="shared" si="18"/>
        <v/>
      </c>
      <c r="Y526" s="26" t="str">
        <f t="shared" si="19"/>
        <v/>
      </c>
      <c r="Z526" s="31" t="str">
        <f t="shared" si="20"/>
        <v/>
      </c>
      <c r="AA526" s="31" t="str">
        <f>IF(D526="","",IF(H526&lt;=$B$16,1,IF(H526&gt;=$B$17,$B$21,MATCH(H526,Aux_CAV!$A$2:$A$121,1))))</f>
        <v/>
      </c>
      <c r="AB526" s="31" t="str">
        <f>IF(D526="","",IF(L526&lt;=$B$16,1,IF(L526&gt;=$B$17,$B$21,MATCH(L526,Aux_CAV!$A$2:$A$121,1))))</f>
        <v/>
      </c>
      <c r="AC526" s="3" t="str">
        <f t="shared" si="21"/>
        <v/>
      </c>
    </row>
    <row r="527" ht="12.75" customHeight="1">
      <c r="A527" s="25" t="str">
        <f t="shared" si="1"/>
        <v/>
      </c>
      <c r="B527" s="29" t="str">
        <f t="array" ref="B527">IF(D527="","",IFERROR(VALUE(INDEX(Vazoes_COLAR!$A$2:$A$200,INT((ROW()-24)/12)+1)),""))</f>
        <v/>
      </c>
      <c r="C527" s="29" t="str">
        <f t="shared" si="2"/>
        <v/>
      </c>
      <c r="D527" s="26" t="str">
        <f t="array" ref="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27" s="26" t="str">
        <f t="shared" si="3"/>
        <v/>
      </c>
      <c r="F527" s="26" t="str">
        <f t="array" ref="F527">IF(D527="","",IFERROR(INDEX(Dados_Evap!$C$2:$N$15,MATCH($B$9,Dados_Evap!$A$2:$A$15,0),C527),0))</f>
        <v/>
      </c>
      <c r="G527" s="26" t="str">
        <f t="shared" si="4"/>
        <v/>
      </c>
      <c r="H527" s="26" t="str">
        <f t="shared" si="22"/>
        <v/>
      </c>
      <c r="I527" s="26" t="str">
        <f t="array" ref="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/>
      </c>
      <c r="J527" s="26" t="str">
        <f t="shared" si="5"/>
        <v/>
      </c>
      <c r="K527" s="26" t="str">
        <f t="shared" si="6"/>
        <v/>
      </c>
      <c r="L527" s="26" t="str">
        <f t="shared" si="7"/>
        <v/>
      </c>
      <c r="M527" s="26" t="str">
        <f t="array" ref="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/>
      </c>
      <c r="N527" s="26" t="str">
        <f t="shared" si="8"/>
        <v/>
      </c>
      <c r="O527" s="26" t="str">
        <f t="shared" si="9"/>
        <v/>
      </c>
      <c r="P527" s="26" t="str">
        <f t="shared" si="10"/>
        <v/>
      </c>
      <c r="Q527" s="26" t="str">
        <f t="shared" si="11"/>
        <v/>
      </c>
      <c r="R527" s="26" t="str">
        <f t="shared" si="12"/>
        <v/>
      </c>
      <c r="S527" s="26" t="str">
        <f t="shared" si="13"/>
        <v/>
      </c>
      <c r="T527" s="26" t="str">
        <f t="shared" si="14"/>
        <v/>
      </c>
      <c r="U527" s="26" t="str">
        <f t="shared" si="15"/>
        <v/>
      </c>
      <c r="V527" s="26" t="str">
        <f t="shared" si="16"/>
        <v/>
      </c>
      <c r="W527" s="26" t="str">
        <f t="shared" si="17"/>
        <v/>
      </c>
      <c r="X527" s="26" t="str">
        <f t="shared" si="18"/>
        <v/>
      </c>
      <c r="Y527" s="26" t="str">
        <f t="shared" si="19"/>
        <v/>
      </c>
      <c r="Z527" s="31" t="str">
        <f t="shared" si="20"/>
        <v/>
      </c>
      <c r="AA527" s="31" t="str">
        <f>IF(D527="","",IF(H527&lt;=$B$16,1,IF(H527&gt;=$B$17,$B$21,MATCH(H527,Aux_CAV!$A$2:$A$121,1))))</f>
        <v/>
      </c>
      <c r="AB527" s="31" t="str">
        <f>IF(D527="","",IF(L527&lt;=$B$16,1,IF(L527&gt;=$B$17,$B$21,MATCH(L527,Aux_CAV!$A$2:$A$121,1))))</f>
        <v/>
      </c>
      <c r="AC527" s="3" t="str">
        <f t="shared" si="21"/>
        <v/>
      </c>
    </row>
    <row r="528" ht="12.75" customHeight="1">
      <c r="A528" s="25" t="str">
        <f t="shared" si="1"/>
        <v/>
      </c>
      <c r="B528" s="29" t="str">
        <f t="array" ref="B528">IF(D528="","",IFERROR(VALUE(INDEX(Vazoes_COLAR!$A$2:$A$200,INT((ROW()-24)/12)+1)),""))</f>
        <v/>
      </c>
      <c r="C528" s="29" t="str">
        <f t="shared" si="2"/>
        <v/>
      </c>
      <c r="D528" s="26" t="str">
        <f t="array" ref="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28" s="26" t="str">
        <f t="shared" si="3"/>
        <v/>
      </c>
      <c r="F528" s="26" t="str">
        <f t="array" ref="F528">IF(D528="","",IFERROR(INDEX(Dados_Evap!$C$2:$N$15,MATCH($B$9,Dados_Evap!$A$2:$A$15,0),C528),0))</f>
        <v/>
      </c>
      <c r="G528" s="26" t="str">
        <f t="shared" si="4"/>
        <v/>
      </c>
      <c r="H528" s="26" t="str">
        <f t="shared" si="22"/>
        <v/>
      </c>
      <c r="I528" s="26" t="str">
        <f t="array" ref="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/>
      </c>
      <c r="J528" s="26" t="str">
        <f t="shared" si="5"/>
        <v/>
      </c>
      <c r="K528" s="26" t="str">
        <f t="shared" si="6"/>
        <v/>
      </c>
      <c r="L528" s="26" t="str">
        <f t="shared" si="7"/>
        <v/>
      </c>
      <c r="M528" s="26" t="str">
        <f t="array" ref="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/>
      </c>
      <c r="N528" s="26" t="str">
        <f t="shared" si="8"/>
        <v/>
      </c>
      <c r="O528" s="26" t="str">
        <f t="shared" si="9"/>
        <v/>
      </c>
      <c r="P528" s="26" t="str">
        <f t="shared" si="10"/>
        <v/>
      </c>
      <c r="Q528" s="26" t="str">
        <f t="shared" si="11"/>
        <v/>
      </c>
      <c r="R528" s="26" t="str">
        <f t="shared" si="12"/>
        <v/>
      </c>
      <c r="S528" s="26" t="str">
        <f t="shared" si="13"/>
        <v/>
      </c>
      <c r="T528" s="26" t="str">
        <f t="shared" si="14"/>
        <v/>
      </c>
      <c r="U528" s="26" t="str">
        <f t="shared" si="15"/>
        <v/>
      </c>
      <c r="V528" s="26" t="str">
        <f t="shared" si="16"/>
        <v/>
      </c>
      <c r="W528" s="26" t="str">
        <f t="shared" si="17"/>
        <v/>
      </c>
      <c r="X528" s="26" t="str">
        <f t="shared" si="18"/>
        <v/>
      </c>
      <c r="Y528" s="26" t="str">
        <f t="shared" si="19"/>
        <v/>
      </c>
      <c r="Z528" s="31" t="str">
        <f t="shared" si="20"/>
        <v/>
      </c>
      <c r="AA528" s="31" t="str">
        <f>IF(D528="","",IF(H528&lt;=$B$16,1,IF(H528&gt;=$B$17,$B$21,MATCH(H528,Aux_CAV!$A$2:$A$121,1))))</f>
        <v/>
      </c>
      <c r="AB528" s="31" t="str">
        <f>IF(D528="","",IF(L528&lt;=$B$16,1,IF(L528&gt;=$B$17,$B$21,MATCH(L528,Aux_CAV!$A$2:$A$121,1))))</f>
        <v/>
      </c>
      <c r="AC528" s="3" t="str">
        <f t="shared" si="21"/>
        <v/>
      </c>
    </row>
    <row r="529" ht="12.75" customHeight="1">
      <c r="A529" s="25" t="str">
        <f t="shared" si="1"/>
        <v/>
      </c>
      <c r="B529" s="29" t="str">
        <f t="array" ref="B529">IF(D529="","",IFERROR(VALUE(INDEX(Vazoes_COLAR!$A$2:$A$200,INT((ROW()-24)/12)+1)),""))</f>
        <v/>
      </c>
      <c r="C529" s="29" t="str">
        <f t="shared" si="2"/>
        <v/>
      </c>
      <c r="D529" s="26" t="str">
        <f t="array" ref="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29" s="26" t="str">
        <f t="shared" si="3"/>
        <v/>
      </c>
      <c r="F529" s="26" t="str">
        <f t="array" ref="F529">IF(D529="","",IFERROR(INDEX(Dados_Evap!$C$2:$N$15,MATCH($B$9,Dados_Evap!$A$2:$A$15,0),C529),0))</f>
        <v/>
      </c>
      <c r="G529" s="26" t="str">
        <f t="shared" si="4"/>
        <v/>
      </c>
      <c r="H529" s="26" t="str">
        <f t="shared" si="22"/>
        <v/>
      </c>
      <c r="I529" s="26" t="str">
        <f t="array" ref="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/>
      </c>
      <c r="J529" s="26" t="str">
        <f t="shared" si="5"/>
        <v/>
      </c>
      <c r="K529" s="26" t="str">
        <f t="shared" si="6"/>
        <v/>
      </c>
      <c r="L529" s="26" t="str">
        <f t="shared" si="7"/>
        <v/>
      </c>
      <c r="M529" s="26" t="str">
        <f t="array" ref="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/>
      </c>
      <c r="N529" s="26" t="str">
        <f t="shared" si="8"/>
        <v/>
      </c>
      <c r="O529" s="26" t="str">
        <f t="shared" si="9"/>
        <v/>
      </c>
      <c r="P529" s="26" t="str">
        <f t="shared" si="10"/>
        <v/>
      </c>
      <c r="Q529" s="26" t="str">
        <f t="shared" si="11"/>
        <v/>
      </c>
      <c r="R529" s="26" t="str">
        <f t="shared" si="12"/>
        <v/>
      </c>
      <c r="S529" s="26" t="str">
        <f t="shared" si="13"/>
        <v/>
      </c>
      <c r="T529" s="26" t="str">
        <f t="shared" si="14"/>
        <v/>
      </c>
      <c r="U529" s="26" t="str">
        <f t="shared" si="15"/>
        <v/>
      </c>
      <c r="V529" s="26" t="str">
        <f t="shared" si="16"/>
        <v/>
      </c>
      <c r="W529" s="26" t="str">
        <f t="shared" si="17"/>
        <v/>
      </c>
      <c r="X529" s="26" t="str">
        <f t="shared" si="18"/>
        <v/>
      </c>
      <c r="Y529" s="26" t="str">
        <f t="shared" si="19"/>
        <v/>
      </c>
      <c r="Z529" s="31" t="str">
        <f t="shared" si="20"/>
        <v/>
      </c>
      <c r="AA529" s="31" t="str">
        <f>IF(D529="","",IF(H529&lt;=$B$16,1,IF(H529&gt;=$B$17,$B$21,MATCH(H529,Aux_CAV!$A$2:$A$121,1))))</f>
        <v/>
      </c>
      <c r="AB529" s="31" t="str">
        <f>IF(D529="","",IF(L529&lt;=$B$16,1,IF(L529&gt;=$B$17,$B$21,MATCH(L529,Aux_CAV!$A$2:$A$121,1))))</f>
        <v/>
      </c>
      <c r="AC529" s="3" t="str">
        <f t="shared" si="21"/>
        <v/>
      </c>
    </row>
    <row r="530" ht="12.75" customHeight="1">
      <c r="A530" s="25" t="str">
        <f t="shared" si="1"/>
        <v/>
      </c>
      <c r="B530" s="29" t="str">
        <f t="array" ref="B530">IF(D530="","",IFERROR(VALUE(INDEX(Vazoes_COLAR!$A$2:$A$200,INT((ROW()-24)/12)+1)),""))</f>
        <v/>
      </c>
      <c r="C530" s="29" t="str">
        <f t="shared" si="2"/>
        <v/>
      </c>
      <c r="D530" s="26" t="str">
        <f t="array" ref="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30" s="26" t="str">
        <f t="shared" si="3"/>
        <v/>
      </c>
      <c r="F530" s="26" t="str">
        <f t="array" ref="F530">IF(D530="","",IFERROR(INDEX(Dados_Evap!$C$2:$N$15,MATCH($B$9,Dados_Evap!$A$2:$A$15,0),C530),0))</f>
        <v/>
      </c>
      <c r="G530" s="26" t="str">
        <f t="shared" si="4"/>
        <v/>
      </c>
      <c r="H530" s="26" t="str">
        <f t="shared" si="22"/>
        <v/>
      </c>
      <c r="I530" s="26" t="str">
        <f t="array" ref="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/>
      </c>
      <c r="J530" s="26" t="str">
        <f t="shared" si="5"/>
        <v/>
      </c>
      <c r="K530" s="26" t="str">
        <f t="shared" si="6"/>
        <v/>
      </c>
      <c r="L530" s="26" t="str">
        <f t="shared" si="7"/>
        <v/>
      </c>
      <c r="M530" s="26" t="str">
        <f t="array" ref="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/>
      </c>
      <c r="N530" s="26" t="str">
        <f t="shared" si="8"/>
        <v/>
      </c>
      <c r="O530" s="26" t="str">
        <f t="shared" si="9"/>
        <v/>
      </c>
      <c r="P530" s="26" t="str">
        <f t="shared" si="10"/>
        <v/>
      </c>
      <c r="Q530" s="26" t="str">
        <f t="shared" si="11"/>
        <v/>
      </c>
      <c r="R530" s="26" t="str">
        <f t="shared" si="12"/>
        <v/>
      </c>
      <c r="S530" s="26" t="str">
        <f t="shared" si="13"/>
        <v/>
      </c>
      <c r="T530" s="26" t="str">
        <f t="shared" si="14"/>
        <v/>
      </c>
      <c r="U530" s="26" t="str">
        <f t="shared" si="15"/>
        <v/>
      </c>
      <c r="V530" s="26" t="str">
        <f t="shared" si="16"/>
        <v/>
      </c>
      <c r="W530" s="26" t="str">
        <f t="shared" si="17"/>
        <v/>
      </c>
      <c r="X530" s="26" t="str">
        <f t="shared" si="18"/>
        <v/>
      </c>
      <c r="Y530" s="26" t="str">
        <f t="shared" si="19"/>
        <v/>
      </c>
      <c r="Z530" s="31" t="str">
        <f t="shared" si="20"/>
        <v/>
      </c>
      <c r="AA530" s="31" t="str">
        <f>IF(D530="","",IF(H530&lt;=$B$16,1,IF(H530&gt;=$B$17,$B$21,MATCH(H530,Aux_CAV!$A$2:$A$121,1))))</f>
        <v/>
      </c>
      <c r="AB530" s="31" t="str">
        <f>IF(D530="","",IF(L530&lt;=$B$16,1,IF(L530&gt;=$B$17,$B$21,MATCH(L530,Aux_CAV!$A$2:$A$121,1))))</f>
        <v/>
      </c>
      <c r="AC530" s="3" t="str">
        <f t="shared" si="21"/>
        <v/>
      </c>
    </row>
    <row r="531" ht="12.75" customHeight="1">
      <c r="A531" s="25" t="str">
        <f t="shared" si="1"/>
        <v/>
      </c>
      <c r="B531" s="29" t="str">
        <f t="array" ref="B531">IF(D531="","",IFERROR(VALUE(INDEX(Vazoes_COLAR!$A$2:$A$200,INT((ROW()-24)/12)+1)),""))</f>
        <v/>
      </c>
      <c r="C531" s="29" t="str">
        <f t="shared" si="2"/>
        <v/>
      </c>
      <c r="D531" s="26" t="str">
        <f t="array" ref="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31" s="26" t="str">
        <f t="shared" si="3"/>
        <v/>
      </c>
      <c r="F531" s="26" t="str">
        <f t="array" ref="F531">IF(D531="","",IFERROR(INDEX(Dados_Evap!$C$2:$N$15,MATCH($B$9,Dados_Evap!$A$2:$A$15,0),C531),0))</f>
        <v/>
      </c>
      <c r="G531" s="26" t="str">
        <f t="shared" si="4"/>
        <v/>
      </c>
      <c r="H531" s="26" t="str">
        <f t="shared" si="22"/>
        <v/>
      </c>
      <c r="I531" s="26" t="str">
        <f t="array" ref="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/>
      </c>
      <c r="J531" s="26" t="str">
        <f t="shared" si="5"/>
        <v/>
      </c>
      <c r="K531" s="26" t="str">
        <f t="shared" si="6"/>
        <v/>
      </c>
      <c r="L531" s="26" t="str">
        <f t="shared" si="7"/>
        <v/>
      </c>
      <c r="M531" s="26" t="str">
        <f t="array" ref="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/>
      </c>
      <c r="N531" s="26" t="str">
        <f t="shared" si="8"/>
        <v/>
      </c>
      <c r="O531" s="26" t="str">
        <f t="shared" si="9"/>
        <v/>
      </c>
      <c r="P531" s="26" t="str">
        <f t="shared" si="10"/>
        <v/>
      </c>
      <c r="Q531" s="26" t="str">
        <f t="shared" si="11"/>
        <v/>
      </c>
      <c r="R531" s="26" t="str">
        <f t="shared" si="12"/>
        <v/>
      </c>
      <c r="S531" s="26" t="str">
        <f t="shared" si="13"/>
        <v/>
      </c>
      <c r="T531" s="26" t="str">
        <f t="shared" si="14"/>
        <v/>
      </c>
      <c r="U531" s="26" t="str">
        <f t="shared" si="15"/>
        <v/>
      </c>
      <c r="V531" s="26" t="str">
        <f t="shared" si="16"/>
        <v/>
      </c>
      <c r="W531" s="26" t="str">
        <f t="shared" si="17"/>
        <v/>
      </c>
      <c r="X531" s="26" t="str">
        <f t="shared" si="18"/>
        <v/>
      </c>
      <c r="Y531" s="26" t="str">
        <f t="shared" si="19"/>
        <v/>
      </c>
      <c r="Z531" s="31" t="str">
        <f t="shared" si="20"/>
        <v/>
      </c>
      <c r="AA531" s="31" t="str">
        <f>IF(D531="","",IF(H531&lt;=$B$16,1,IF(H531&gt;=$B$17,$B$21,MATCH(H531,Aux_CAV!$A$2:$A$121,1))))</f>
        <v/>
      </c>
      <c r="AB531" s="31" t="str">
        <f>IF(D531="","",IF(L531&lt;=$B$16,1,IF(L531&gt;=$B$17,$B$21,MATCH(L531,Aux_CAV!$A$2:$A$121,1))))</f>
        <v/>
      </c>
      <c r="AC531" s="3" t="str">
        <f t="shared" si="21"/>
        <v/>
      </c>
    </row>
    <row r="532" ht="12.75" customHeight="1">
      <c r="A532" s="25" t="str">
        <f t="shared" si="1"/>
        <v/>
      </c>
      <c r="B532" s="29" t="str">
        <f t="array" ref="B532">IF(D532="","",IFERROR(VALUE(INDEX(Vazoes_COLAR!$A$2:$A$200,INT((ROW()-24)/12)+1)),""))</f>
        <v/>
      </c>
      <c r="C532" s="29" t="str">
        <f t="shared" si="2"/>
        <v/>
      </c>
      <c r="D532" s="26" t="str">
        <f t="array" ref="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32" s="26" t="str">
        <f t="shared" si="3"/>
        <v/>
      </c>
      <c r="F532" s="26" t="str">
        <f t="array" ref="F532">IF(D532="","",IFERROR(INDEX(Dados_Evap!$C$2:$N$15,MATCH($B$9,Dados_Evap!$A$2:$A$15,0),C532),0))</f>
        <v/>
      </c>
      <c r="G532" s="26" t="str">
        <f t="shared" si="4"/>
        <v/>
      </c>
      <c r="H532" s="26" t="str">
        <f t="shared" si="22"/>
        <v/>
      </c>
      <c r="I532" s="26" t="str">
        <f t="array" ref="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/>
      </c>
      <c r="J532" s="26" t="str">
        <f t="shared" si="5"/>
        <v/>
      </c>
      <c r="K532" s="26" t="str">
        <f t="shared" si="6"/>
        <v/>
      </c>
      <c r="L532" s="26" t="str">
        <f t="shared" si="7"/>
        <v/>
      </c>
      <c r="M532" s="26" t="str">
        <f t="array" ref="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/>
      </c>
      <c r="N532" s="26" t="str">
        <f t="shared" si="8"/>
        <v/>
      </c>
      <c r="O532" s="26" t="str">
        <f t="shared" si="9"/>
        <v/>
      </c>
      <c r="P532" s="26" t="str">
        <f t="shared" si="10"/>
        <v/>
      </c>
      <c r="Q532" s="26" t="str">
        <f t="shared" si="11"/>
        <v/>
      </c>
      <c r="R532" s="26" t="str">
        <f t="shared" si="12"/>
        <v/>
      </c>
      <c r="S532" s="26" t="str">
        <f t="shared" si="13"/>
        <v/>
      </c>
      <c r="T532" s="26" t="str">
        <f t="shared" si="14"/>
        <v/>
      </c>
      <c r="U532" s="26" t="str">
        <f t="shared" si="15"/>
        <v/>
      </c>
      <c r="V532" s="26" t="str">
        <f t="shared" si="16"/>
        <v/>
      </c>
      <c r="W532" s="26" t="str">
        <f t="shared" si="17"/>
        <v/>
      </c>
      <c r="X532" s="26" t="str">
        <f t="shared" si="18"/>
        <v/>
      </c>
      <c r="Y532" s="26" t="str">
        <f t="shared" si="19"/>
        <v/>
      </c>
      <c r="Z532" s="31" t="str">
        <f t="shared" si="20"/>
        <v/>
      </c>
      <c r="AA532" s="31" t="str">
        <f>IF(D532="","",IF(H532&lt;=$B$16,1,IF(H532&gt;=$B$17,$B$21,MATCH(H532,Aux_CAV!$A$2:$A$121,1))))</f>
        <v/>
      </c>
      <c r="AB532" s="31" t="str">
        <f>IF(D532="","",IF(L532&lt;=$B$16,1,IF(L532&gt;=$B$17,$B$21,MATCH(L532,Aux_CAV!$A$2:$A$121,1))))</f>
        <v/>
      </c>
      <c r="AC532" s="3" t="str">
        <f t="shared" si="21"/>
        <v/>
      </c>
    </row>
    <row r="533" ht="12.75" customHeight="1">
      <c r="A533" s="25" t="str">
        <f t="shared" si="1"/>
        <v/>
      </c>
      <c r="B533" s="29" t="str">
        <f t="array" ref="B533">IF(D533="","",IFERROR(VALUE(INDEX(Vazoes_COLAR!$A$2:$A$200,INT((ROW()-24)/12)+1)),""))</f>
        <v/>
      </c>
      <c r="C533" s="29" t="str">
        <f t="shared" si="2"/>
        <v/>
      </c>
      <c r="D533" s="26" t="str">
        <f t="array" ref="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33" s="26" t="str">
        <f t="shared" si="3"/>
        <v/>
      </c>
      <c r="F533" s="26" t="str">
        <f t="array" ref="F533">IF(D533="","",IFERROR(INDEX(Dados_Evap!$C$2:$N$15,MATCH($B$9,Dados_Evap!$A$2:$A$15,0),C533),0))</f>
        <v/>
      </c>
      <c r="G533" s="26" t="str">
        <f t="shared" si="4"/>
        <v/>
      </c>
      <c r="H533" s="26" t="str">
        <f t="shared" si="22"/>
        <v/>
      </c>
      <c r="I533" s="26" t="str">
        <f t="array" ref="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/>
      </c>
      <c r="J533" s="26" t="str">
        <f t="shared" si="5"/>
        <v/>
      </c>
      <c r="K533" s="26" t="str">
        <f t="shared" si="6"/>
        <v/>
      </c>
      <c r="L533" s="26" t="str">
        <f t="shared" si="7"/>
        <v/>
      </c>
      <c r="M533" s="26" t="str">
        <f t="array" ref="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/>
      </c>
      <c r="N533" s="26" t="str">
        <f t="shared" si="8"/>
        <v/>
      </c>
      <c r="O533" s="26" t="str">
        <f t="shared" si="9"/>
        <v/>
      </c>
      <c r="P533" s="26" t="str">
        <f t="shared" si="10"/>
        <v/>
      </c>
      <c r="Q533" s="26" t="str">
        <f t="shared" si="11"/>
        <v/>
      </c>
      <c r="R533" s="26" t="str">
        <f t="shared" si="12"/>
        <v/>
      </c>
      <c r="S533" s="26" t="str">
        <f t="shared" si="13"/>
        <v/>
      </c>
      <c r="T533" s="26" t="str">
        <f t="shared" si="14"/>
        <v/>
      </c>
      <c r="U533" s="26" t="str">
        <f t="shared" si="15"/>
        <v/>
      </c>
      <c r="V533" s="26" t="str">
        <f t="shared" si="16"/>
        <v/>
      </c>
      <c r="W533" s="26" t="str">
        <f t="shared" si="17"/>
        <v/>
      </c>
      <c r="X533" s="26" t="str">
        <f t="shared" si="18"/>
        <v/>
      </c>
      <c r="Y533" s="26" t="str">
        <f t="shared" si="19"/>
        <v/>
      </c>
      <c r="Z533" s="31" t="str">
        <f t="shared" si="20"/>
        <v/>
      </c>
      <c r="AA533" s="31" t="str">
        <f>IF(D533="","",IF(H533&lt;=$B$16,1,IF(H533&gt;=$B$17,$B$21,MATCH(H533,Aux_CAV!$A$2:$A$121,1))))</f>
        <v/>
      </c>
      <c r="AB533" s="31" t="str">
        <f>IF(D533="","",IF(L533&lt;=$B$16,1,IF(L533&gt;=$B$17,$B$21,MATCH(L533,Aux_CAV!$A$2:$A$121,1))))</f>
        <v/>
      </c>
      <c r="AC533" s="3" t="str">
        <f t="shared" si="21"/>
        <v/>
      </c>
    </row>
    <row r="534" ht="12.75" customHeight="1">
      <c r="A534" s="25" t="str">
        <f t="shared" si="1"/>
        <v/>
      </c>
      <c r="B534" s="29" t="str">
        <f t="array" ref="B534">IF(D534="","",IFERROR(VALUE(INDEX(Vazoes_COLAR!$A$2:$A$200,INT((ROW()-24)/12)+1)),""))</f>
        <v/>
      </c>
      <c r="C534" s="29" t="str">
        <f t="shared" si="2"/>
        <v/>
      </c>
      <c r="D534" s="26" t="str">
        <f t="array" ref="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34" s="26" t="str">
        <f t="shared" si="3"/>
        <v/>
      </c>
      <c r="F534" s="26" t="str">
        <f t="array" ref="F534">IF(D534="","",IFERROR(INDEX(Dados_Evap!$C$2:$N$15,MATCH($B$9,Dados_Evap!$A$2:$A$15,0),C534),0))</f>
        <v/>
      </c>
      <c r="G534" s="26" t="str">
        <f t="shared" si="4"/>
        <v/>
      </c>
      <c r="H534" s="26" t="str">
        <f t="shared" si="22"/>
        <v/>
      </c>
      <c r="I534" s="26" t="str">
        <f t="array" ref="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/>
      </c>
      <c r="J534" s="26" t="str">
        <f t="shared" si="5"/>
        <v/>
      </c>
      <c r="K534" s="26" t="str">
        <f t="shared" si="6"/>
        <v/>
      </c>
      <c r="L534" s="26" t="str">
        <f t="shared" si="7"/>
        <v/>
      </c>
      <c r="M534" s="26" t="str">
        <f t="array" ref="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/>
      </c>
      <c r="N534" s="26" t="str">
        <f t="shared" si="8"/>
        <v/>
      </c>
      <c r="O534" s="26" t="str">
        <f t="shared" si="9"/>
        <v/>
      </c>
      <c r="P534" s="26" t="str">
        <f t="shared" si="10"/>
        <v/>
      </c>
      <c r="Q534" s="26" t="str">
        <f t="shared" si="11"/>
        <v/>
      </c>
      <c r="R534" s="26" t="str">
        <f t="shared" si="12"/>
        <v/>
      </c>
      <c r="S534" s="26" t="str">
        <f t="shared" si="13"/>
        <v/>
      </c>
      <c r="T534" s="26" t="str">
        <f t="shared" si="14"/>
        <v/>
      </c>
      <c r="U534" s="26" t="str">
        <f t="shared" si="15"/>
        <v/>
      </c>
      <c r="V534" s="26" t="str">
        <f t="shared" si="16"/>
        <v/>
      </c>
      <c r="W534" s="26" t="str">
        <f t="shared" si="17"/>
        <v/>
      </c>
      <c r="X534" s="26" t="str">
        <f t="shared" si="18"/>
        <v/>
      </c>
      <c r="Y534" s="26" t="str">
        <f t="shared" si="19"/>
        <v/>
      </c>
      <c r="Z534" s="31" t="str">
        <f t="shared" si="20"/>
        <v/>
      </c>
      <c r="AA534" s="31" t="str">
        <f>IF(D534="","",IF(H534&lt;=$B$16,1,IF(H534&gt;=$B$17,$B$21,MATCH(H534,Aux_CAV!$A$2:$A$121,1))))</f>
        <v/>
      </c>
      <c r="AB534" s="31" t="str">
        <f>IF(D534="","",IF(L534&lt;=$B$16,1,IF(L534&gt;=$B$17,$B$21,MATCH(L534,Aux_CAV!$A$2:$A$121,1))))</f>
        <v/>
      </c>
      <c r="AC534" s="3" t="str">
        <f t="shared" si="21"/>
        <v/>
      </c>
    </row>
    <row r="535" ht="12.75" customHeight="1">
      <c r="A535" s="25" t="str">
        <f t="shared" si="1"/>
        <v/>
      </c>
      <c r="B535" s="29" t="str">
        <f t="array" ref="B535">IF(D535="","",IFERROR(VALUE(INDEX(Vazoes_COLAR!$A$2:$A$200,INT((ROW()-24)/12)+1)),""))</f>
        <v/>
      </c>
      <c r="C535" s="29" t="str">
        <f t="shared" si="2"/>
        <v/>
      </c>
      <c r="D535" s="26" t="str">
        <f t="array" ref="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35" s="26" t="str">
        <f t="shared" si="3"/>
        <v/>
      </c>
      <c r="F535" s="26" t="str">
        <f t="array" ref="F535">IF(D535="","",IFERROR(INDEX(Dados_Evap!$C$2:$N$15,MATCH($B$9,Dados_Evap!$A$2:$A$15,0),C535),0))</f>
        <v/>
      </c>
      <c r="G535" s="26" t="str">
        <f t="shared" si="4"/>
        <v/>
      </c>
      <c r="H535" s="26" t="str">
        <f t="shared" si="22"/>
        <v/>
      </c>
      <c r="I535" s="26" t="str">
        <f t="array" ref="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/>
      </c>
      <c r="J535" s="26" t="str">
        <f t="shared" si="5"/>
        <v/>
      </c>
      <c r="K535" s="26" t="str">
        <f t="shared" si="6"/>
        <v/>
      </c>
      <c r="L535" s="26" t="str">
        <f t="shared" si="7"/>
        <v/>
      </c>
      <c r="M535" s="26" t="str">
        <f t="array" ref="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/>
      </c>
      <c r="N535" s="26" t="str">
        <f t="shared" si="8"/>
        <v/>
      </c>
      <c r="O535" s="26" t="str">
        <f t="shared" si="9"/>
        <v/>
      </c>
      <c r="P535" s="26" t="str">
        <f t="shared" si="10"/>
        <v/>
      </c>
      <c r="Q535" s="26" t="str">
        <f t="shared" si="11"/>
        <v/>
      </c>
      <c r="R535" s="26" t="str">
        <f t="shared" si="12"/>
        <v/>
      </c>
      <c r="S535" s="26" t="str">
        <f t="shared" si="13"/>
        <v/>
      </c>
      <c r="T535" s="26" t="str">
        <f t="shared" si="14"/>
        <v/>
      </c>
      <c r="U535" s="26" t="str">
        <f t="shared" si="15"/>
        <v/>
      </c>
      <c r="V535" s="26" t="str">
        <f t="shared" si="16"/>
        <v/>
      </c>
      <c r="W535" s="26" t="str">
        <f t="shared" si="17"/>
        <v/>
      </c>
      <c r="X535" s="26" t="str">
        <f t="shared" si="18"/>
        <v/>
      </c>
      <c r="Y535" s="26" t="str">
        <f t="shared" si="19"/>
        <v/>
      </c>
      <c r="Z535" s="31" t="str">
        <f t="shared" si="20"/>
        <v/>
      </c>
      <c r="AA535" s="31" t="str">
        <f>IF(D535="","",IF(H535&lt;=$B$16,1,IF(H535&gt;=$B$17,$B$21,MATCH(H535,Aux_CAV!$A$2:$A$121,1))))</f>
        <v/>
      </c>
      <c r="AB535" s="31" t="str">
        <f>IF(D535="","",IF(L535&lt;=$B$16,1,IF(L535&gt;=$B$17,$B$21,MATCH(L535,Aux_CAV!$A$2:$A$121,1))))</f>
        <v/>
      </c>
      <c r="AC535" s="3" t="str">
        <f t="shared" si="21"/>
        <v/>
      </c>
    </row>
    <row r="536" ht="12.75" customHeight="1">
      <c r="A536" s="25" t="str">
        <f t="shared" si="1"/>
        <v/>
      </c>
      <c r="B536" s="29" t="str">
        <f t="array" ref="B536">IF(D536="","",IFERROR(VALUE(INDEX(Vazoes_COLAR!$A$2:$A$200,INT((ROW()-24)/12)+1)),""))</f>
        <v/>
      </c>
      <c r="C536" s="29" t="str">
        <f t="shared" si="2"/>
        <v/>
      </c>
      <c r="D536" s="26" t="str">
        <f t="array" ref="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36" s="26" t="str">
        <f t="shared" si="3"/>
        <v/>
      </c>
      <c r="F536" s="26" t="str">
        <f t="array" ref="F536">IF(D536="","",IFERROR(INDEX(Dados_Evap!$C$2:$N$15,MATCH($B$9,Dados_Evap!$A$2:$A$15,0),C536),0))</f>
        <v/>
      </c>
      <c r="G536" s="26" t="str">
        <f t="shared" si="4"/>
        <v/>
      </c>
      <c r="H536" s="26" t="str">
        <f t="shared" si="22"/>
        <v/>
      </c>
      <c r="I536" s="26" t="str">
        <f t="array" ref="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/>
      </c>
      <c r="J536" s="26" t="str">
        <f t="shared" si="5"/>
        <v/>
      </c>
      <c r="K536" s="26" t="str">
        <f t="shared" si="6"/>
        <v/>
      </c>
      <c r="L536" s="26" t="str">
        <f t="shared" si="7"/>
        <v/>
      </c>
      <c r="M536" s="26" t="str">
        <f t="array" ref="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/>
      </c>
      <c r="N536" s="26" t="str">
        <f t="shared" si="8"/>
        <v/>
      </c>
      <c r="O536" s="26" t="str">
        <f t="shared" si="9"/>
        <v/>
      </c>
      <c r="P536" s="26" t="str">
        <f t="shared" si="10"/>
        <v/>
      </c>
      <c r="Q536" s="26" t="str">
        <f t="shared" si="11"/>
        <v/>
      </c>
      <c r="R536" s="26" t="str">
        <f t="shared" si="12"/>
        <v/>
      </c>
      <c r="S536" s="26" t="str">
        <f t="shared" si="13"/>
        <v/>
      </c>
      <c r="T536" s="26" t="str">
        <f t="shared" si="14"/>
        <v/>
      </c>
      <c r="U536" s="26" t="str">
        <f t="shared" si="15"/>
        <v/>
      </c>
      <c r="V536" s="26" t="str">
        <f t="shared" si="16"/>
        <v/>
      </c>
      <c r="W536" s="26" t="str">
        <f t="shared" si="17"/>
        <v/>
      </c>
      <c r="X536" s="26" t="str">
        <f t="shared" si="18"/>
        <v/>
      </c>
      <c r="Y536" s="26" t="str">
        <f t="shared" si="19"/>
        <v/>
      </c>
      <c r="Z536" s="31" t="str">
        <f t="shared" si="20"/>
        <v/>
      </c>
      <c r="AA536" s="31" t="str">
        <f>IF(D536="","",IF(H536&lt;=$B$16,1,IF(H536&gt;=$B$17,$B$21,MATCH(H536,Aux_CAV!$A$2:$A$121,1))))</f>
        <v/>
      </c>
      <c r="AB536" s="31" t="str">
        <f>IF(D536="","",IF(L536&lt;=$B$16,1,IF(L536&gt;=$B$17,$B$21,MATCH(L536,Aux_CAV!$A$2:$A$121,1))))</f>
        <v/>
      </c>
      <c r="AC536" s="3" t="str">
        <f t="shared" si="21"/>
        <v/>
      </c>
    </row>
    <row r="537" ht="12.75" customHeight="1">
      <c r="A537" s="25" t="str">
        <f t="shared" si="1"/>
        <v/>
      </c>
      <c r="B537" s="29" t="str">
        <f t="array" ref="B537">IF(D537="","",IFERROR(VALUE(INDEX(Vazoes_COLAR!$A$2:$A$200,INT((ROW()-24)/12)+1)),""))</f>
        <v/>
      </c>
      <c r="C537" s="29" t="str">
        <f t="shared" si="2"/>
        <v/>
      </c>
      <c r="D537" s="26" t="str">
        <f t="array" ref="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37" s="26" t="str">
        <f t="shared" si="3"/>
        <v/>
      </c>
      <c r="F537" s="26" t="str">
        <f t="array" ref="F537">IF(D537="","",IFERROR(INDEX(Dados_Evap!$C$2:$N$15,MATCH($B$9,Dados_Evap!$A$2:$A$15,0),C537),0))</f>
        <v/>
      </c>
      <c r="G537" s="26" t="str">
        <f t="shared" si="4"/>
        <v/>
      </c>
      <c r="H537" s="26" t="str">
        <f t="shared" si="22"/>
        <v/>
      </c>
      <c r="I537" s="26" t="str">
        <f t="array" ref="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/>
      </c>
      <c r="J537" s="26" t="str">
        <f t="shared" si="5"/>
        <v/>
      </c>
      <c r="K537" s="26" t="str">
        <f t="shared" si="6"/>
        <v/>
      </c>
      <c r="L537" s="26" t="str">
        <f t="shared" si="7"/>
        <v/>
      </c>
      <c r="M537" s="26" t="str">
        <f t="array" ref="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/>
      </c>
      <c r="N537" s="26" t="str">
        <f t="shared" si="8"/>
        <v/>
      </c>
      <c r="O537" s="26" t="str">
        <f t="shared" si="9"/>
        <v/>
      </c>
      <c r="P537" s="26" t="str">
        <f t="shared" si="10"/>
        <v/>
      </c>
      <c r="Q537" s="26" t="str">
        <f t="shared" si="11"/>
        <v/>
      </c>
      <c r="R537" s="26" t="str">
        <f t="shared" si="12"/>
        <v/>
      </c>
      <c r="S537" s="26" t="str">
        <f t="shared" si="13"/>
        <v/>
      </c>
      <c r="T537" s="26" t="str">
        <f t="shared" si="14"/>
        <v/>
      </c>
      <c r="U537" s="26" t="str">
        <f t="shared" si="15"/>
        <v/>
      </c>
      <c r="V537" s="26" t="str">
        <f t="shared" si="16"/>
        <v/>
      </c>
      <c r="W537" s="26" t="str">
        <f t="shared" si="17"/>
        <v/>
      </c>
      <c r="X537" s="26" t="str">
        <f t="shared" si="18"/>
        <v/>
      </c>
      <c r="Y537" s="26" t="str">
        <f t="shared" si="19"/>
        <v/>
      </c>
      <c r="Z537" s="31" t="str">
        <f t="shared" si="20"/>
        <v/>
      </c>
      <c r="AA537" s="31" t="str">
        <f>IF(D537="","",IF(H537&lt;=$B$16,1,IF(H537&gt;=$B$17,$B$21,MATCH(H537,Aux_CAV!$A$2:$A$121,1))))</f>
        <v/>
      </c>
      <c r="AB537" s="31" t="str">
        <f>IF(D537="","",IF(L537&lt;=$B$16,1,IF(L537&gt;=$B$17,$B$21,MATCH(L537,Aux_CAV!$A$2:$A$121,1))))</f>
        <v/>
      </c>
      <c r="AC537" s="3" t="str">
        <f t="shared" si="21"/>
        <v/>
      </c>
    </row>
    <row r="538" ht="12.75" customHeight="1">
      <c r="A538" s="25" t="str">
        <f t="shared" si="1"/>
        <v/>
      </c>
      <c r="B538" s="29" t="str">
        <f t="array" ref="B538">IF(D538="","",IFERROR(VALUE(INDEX(Vazoes_COLAR!$A$2:$A$200,INT((ROW()-24)/12)+1)),""))</f>
        <v/>
      </c>
      <c r="C538" s="29" t="str">
        <f t="shared" si="2"/>
        <v/>
      </c>
      <c r="D538" s="26" t="str">
        <f t="array" ref="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38" s="26" t="str">
        <f t="shared" si="3"/>
        <v/>
      </c>
      <c r="F538" s="26" t="str">
        <f t="array" ref="F538">IF(D538="","",IFERROR(INDEX(Dados_Evap!$C$2:$N$15,MATCH($B$9,Dados_Evap!$A$2:$A$15,0),C538),0))</f>
        <v/>
      </c>
      <c r="G538" s="26" t="str">
        <f t="shared" si="4"/>
        <v/>
      </c>
      <c r="H538" s="26" t="str">
        <f t="shared" si="22"/>
        <v/>
      </c>
      <c r="I538" s="26" t="str">
        <f t="array" ref="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/>
      </c>
      <c r="J538" s="26" t="str">
        <f t="shared" si="5"/>
        <v/>
      </c>
      <c r="K538" s="26" t="str">
        <f t="shared" si="6"/>
        <v/>
      </c>
      <c r="L538" s="26" t="str">
        <f t="shared" si="7"/>
        <v/>
      </c>
      <c r="M538" s="26" t="str">
        <f t="array" ref="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/>
      </c>
      <c r="N538" s="26" t="str">
        <f t="shared" si="8"/>
        <v/>
      </c>
      <c r="O538" s="26" t="str">
        <f t="shared" si="9"/>
        <v/>
      </c>
      <c r="P538" s="26" t="str">
        <f t="shared" si="10"/>
        <v/>
      </c>
      <c r="Q538" s="26" t="str">
        <f t="shared" si="11"/>
        <v/>
      </c>
      <c r="R538" s="26" t="str">
        <f t="shared" si="12"/>
        <v/>
      </c>
      <c r="S538" s="26" t="str">
        <f t="shared" si="13"/>
        <v/>
      </c>
      <c r="T538" s="26" t="str">
        <f t="shared" si="14"/>
        <v/>
      </c>
      <c r="U538" s="26" t="str">
        <f t="shared" si="15"/>
        <v/>
      </c>
      <c r="V538" s="26" t="str">
        <f t="shared" si="16"/>
        <v/>
      </c>
      <c r="W538" s="26" t="str">
        <f t="shared" si="17"/>
        <v/>
      </c>
      <c r="X538" s="26" t="str">
        <f t="shared" si="18"/>
        <v/>
      </c>
      <c r="Y538" s="26" t="str">
        <f t="shared" si="19"/>
        <v/>
      </c>
      <c r="Z538" s="31" t="str">
        <f t="shared" si="20"/>
        <v/>
      </c>
      <c r="AA538" s="31" t="str">
        <f>IF(D538="","",IF(H538&lt;=$B$16,1,IF(H538&gt;=$B$17,$B$21,MATCH(H538,Aux_CAV!$A$2:$A$121,1))))</f>
        <v/>
      </c>
      <c r="AB538" s="31" t="str">
        <f>IF(D538="","",IF(L538&lt;=$B$16,1,IF(L538&gt;=$B$17,$B$21,MATCH(L538,Aux_CAV!$A$2:$A$121,1))))</f>
        <v/>
      </c>
      <c r="AC538" s="3" t="str">
        <f t="shared" si="21"/>
        <v/>
      </c>
    </row>
    <row r="539" ht="12.75" customHeight="1">
      <c r="A539" s="25" t="str">
        <f t="shared" si="1"/>
        <v/>
      </c>
      <c r="B539" s="29" t="str">
        <f t="array" ref="B539">IF(D539="","",IFERROR(VALUE(INDEX(Vazoes_COLAR!$A$2:$A$200,INT((ROW()-24)/12)+1)),""))</f>
        <v/>
      </c>
      <c r="C539" s="29" t="str">
        <f t="shared" si="2"/>
        <v/>
      </c>
      <c r="D539" s="26" t="str">
        <f t="array" ref="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39" s="26" t="str">
        <f t="shared" si="3"/>
        <v/>
      </c>
      <c r="F539" s="26" t="str">
        <f t="array" ref="F539">IF(D539="","",IFERROR(INDEX(Dados_Evap!$C$2:$N$15,MATCH($B$9,Dados_Evap!$A$2:$A$15,0),C539),0))</f>
        <v/>
      </c>
      <c r="G539" s="26" t="str">
        <f t="shared" si="4"/>
        <v/>
      </c>
      <c r="H539" s="26" t="str">
        <f t="shared" si="22"/>
        <v/>
      </c>
      <c r="I539" s="26" t="str">
        <f t="array" ref="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/>
      </c>
      <c r="J539" s="26" t="str">
        <f t="shared" si="5"/>
        <v/>
      </c>
      <c r="K539" s="26" t="str">
        <f t="shared" si="6"/>
        <v/>
      </c>
      <c r="L539" s="26" t="str">
        <f t="shared" si="7"/>
        <v/>
      </c>
      <c r="M539" s="26" t="str">
        <f t="array" ref="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/>
      </c>
      <c r="N539" s="26" t="str">
        <f t="shared" si="8"/>
        <v/>
      </c>
      <c r="O539" s="26" t="str">
        <f t="shared" si="9"/>
        <v/>
      </c>
      <c r="P539" s="26" t="str">
        <f t="shared" si="10"/>
        <v/>
      </c>
      <c r="Q539" s="26" t="str">
        <f t="shared" si="11"/>
        <v/>
      </c>
      <c r="R539" s="26" t="str">
        <f t="shared" si="12"/>
        <v/>
      </c>
      <c r="S539" s="26" t="str">
        <f t="shared" si="13"/>
        <v/>
      </c>
      <c r="T539" s="26" t="str">
        <f t="shared" si="14"/>
        <v/>
      </c>
      <c r="U539" s="26" t="str">
        <f t="shared" si="15"/>
        <v/>
      </c>
      <c r="V539" s="26" t="str">
        <f t="shared" si="16"/>
        <v/>
      </c>
      <c r="W539" s="26" t="str">
        <f t="shared" si="17"/>
        <v/>
      </c>
      <c r="X539" s="26" t="str">
        <f t="shared" si="18"/>
        <v/>
      </c>
      <c r="Y539" s="26" t="str">
        <f t="shared" si="19"/>
        <v/>
      </c>
      <c r="Z539" s="31" t="str">
        <f t="shared" si="20"/>
        <v/>
      </c>
      <c r="AA539" s="31" t="str">
        <f>IF(D539="","",IF(H539&lt;=$B$16,1,IF(H539&gt;=$B$17,$B$21,MATCH(H539,Aux_CAV!$A$2:$A$121,1))))</f>
        <v/>
      </c>
      <c r="AB539" s="31" t="str">
        <f>IF(D539="","",IF(L539&lt;=$B$16,1,IF(L539&gt;=$B$17,$B$21,MATCH(L539,Aux_CAV!$A$2:$A$121,1))))</f>
        <v/>
      </c>
      <c r="AC539" s="3" t="str">
        <f t="shared" si="21"/>
        <v/>
      </c>
    </row>
    <row r="540" ht="12.75" customHeight="1">
      <c r="A540" s="25" t="str">
        <f t="shared" si="1"/>
        <v/>
      </c>
      <c r="B540" s="29" t="str">
        <f t="array" ref="B540">IF(D540="","",IFERROR(VALUE(INDEX(Vazoes_COLAR!$A$2:$A$200,INT((ROW()-24)/12)+1)),""))</f>
        <v/>
      </c>
      <c r="C540" s="29" t="str">
        <f t="shared" si="2"/>
        <v/>
      </c>
      <c r="D540" s="26" t="str">
        <f t="array" ref="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40" s="26" t="str">
        <f t="shared" si="3"/>
        <v/>
      </c>
      <c r="F540" s="26" t="str">
        <f t="array" ref="F540">IF(D540="","",IFERROR(INDEX(Dados_Evap!$C$2:$N$15,MATCH($B$9,Dados_Evap!$A$2:$A$15,0),C540),0))</f>
        <v/>
      </c>
      <c r="G540" s="26" t="str">
        <f t="shared" si="4"/>
        <v/>
      </c>
      <c r="H540" s="26" t="str">
        <f t="shared" si="22"/>
        <v/>
      </c>
      <c r="I540" s="26" t="str">
        <f t="array" ref="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/>
      </c>
      <c r="J540" s="26" t="str">
        <f t="shared" si="5"/>
        <v/>
      </c>
      <c r="K540" s="26" t="str">
        <f t="shared" si="6"/>
        <v/>
      </c>
      <c r="L540" s="26" t="str">
        <f t="shared" si="7"/>
        <v/>
      </c>
      <c r="M540" s="26" t="str">
        <f t="array" ref="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/>
      </c>
      <c r="N540" s="26" t="str">
        <f t="shared" si="8"/>
        <v/>
      </c>
      <c r="O540" s="26" t="str">
        <f t="shared" si="9"/>
        <v/>
      </c>
      <c r="P540" s="26" t="str">
        <f t="shared" si="10"/>
        <v/>
      </c>
      <c r="Q540" s="26" t="str">
        <f t="shared" si="11"/>
        <v/>
      </c>
      <c r="R540" s="26" t="str">
        <f t="shared" si="12"/>
        <v/>
      </c>
      <c r="S540" s="26" t="str">
        <f t="shared" si="13"/>
        <v/>
      </c>
      <c r="T540" s="26" t="str">
        <f t="shared" si="14"/>
        <v/>
      </c>
      <c r="U540" s="26" t="str">
        <f t="shared" si="15"/>
        <v/>
      </c>
      <c r="V540" s="26" t="str">
        <f t="shared" si="16"/>
        <v/>
      </c>
      <c r="W540" s="26" t="str">
        <f t="shared" si="17"/>
        <v/>
      </c>
      <c r="X540" s="26" t="str">
        <f t="shared" si="18"/>
        <v/>
      </c>
      <c r="Y540" s="26" t="str">
        <f t="shared" si="19"/>
        <v/>
      </c>
      <c r="Z540" s="31" t="str">
        <f t="shared" si="20"/>
        <v/>
      </c>
      <c r="AA540" s="31" t="str">
        <f>IF(D540="","",IF(H540&lt;=$B$16,1,IF(H540&gt;=$B$17,$B$21,MATCH(H540,Aux_CAV!$A$2:$A$121,1))))</f>
        <v/>
      </c>
      <c r="AB540" s="31" t="str">
        <f>IF(D540="","",IF(L540&lt;=$B$16,1,IF(L540&gt;=$B$17,$B$21,MATCH(L540,Aux_CAV!$A$2:$A$121,1))))</f>
        <v/>
      </c>
      <c r="AC540" s="3" t="str">
        <f t="shared" si="21"/>
        <v/>
      </c>
    </row>
    <row r="541" ht="12.75" customHeight="1">
      <c r="A541" s="25" t="str">
        <f t="shared" si="1"/>
        <v/>
      </c>
      <c r="B541" s="29" t="str">
        <f t="array" ref="B541">IF(D541="","",IFERROR(VALUE(INDEX(Vazoes_COLAR!$A$2:$A$200,INT((ROW()-24)/12)+1)),""))</f>
        <v/>
      </c>
      <c r="C541" s="29" t="str">
        <f t="shared" si="2"/>
        <v/>
      </c>
      <c r="D541" s="26" t="str">
        <f t="array" ref="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41" s="26" t="str">
        <f t="shared" si="3"/>
        <v/>
      </c>
      <c r="F541" s="26" t="str">
        <f t="array" ref="F541">IF(D541="","",IFERROR(INDEX(Dados_Evap!$C$2:$N$15,MATCH($B$9,Dados_Evap!$A$2:$A$15,0),C541),0))</f>
        <v/>
      </c>
      <c r="G541" s="26" t="str">
        <f t="shared" si="4"/>
        <v/>
      </c>
      <c r="H541" s="26" t="str">
        <f t="shared" si="22"/>
        <v/>
      </c>
      <c r="I541" s="26" t="str">
        <f t="array" ref="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/>
      </c>
      <c r="J541" s="26" t="str">
        <f t="shared" si="5"/>
        <v/>
      </c>
      <c r="K541" s="26" t="str">
        <f t="shared" si="6"/>
        <v/>
      </c>
      <c r="L541" s="26" t="str">
        <f t="shared" si="7"/>
        <v/>
      </c>
      <c r="M541" s="26" t="str">
        <f t="array" ref="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/>
      </c>
      <c r="N541" s="26" t="str">
        <f t="shared" si="8"/>
        <v/>
      </c>
      <c r="O541" s="26" t="str">
        <f t="shared" si="9"/>
        <v/>
      </c>
      <c r="P541" s="26" t="str">
        <f t="shared" si="10"/>
        <v/>
      </c>
      <c r="Q541" s="26" t="str">
        <f t="shared" si="11"/>
        <v/>
      </c>
      <c r="R541" s="26" t="str">
        <f t="shared" si="12"/>
        <v/>
      </c>
      <c r="S541" s="26" t="str">
        <f t="shared" si="13"/>
        <v/>
      </c>
      <c r="T541" s="26" t="str">
        <f t="shared" si="14"/>
        <v/>
      </c>
      <c r="U541" s="26" t="str">
        <f t="shared" si="15"/>
        <v/>
      </c>
      <c r="V541" s="26" t="str">
        <f t="shared" si="16"/>
        <v/>
      </c>
      <c r="W541" s="26" t="str">
        <f t="shared" si="17"/>
        <v/>
      </c>
      <c r="X541" s="26" t="str">
        <f t="shared" si="18"/>
        <v/>
      </c>
      <c r="Y541" s="26" t="str">
        <f t="shared" si="19"/>
        <v/>
      </c>
      <c r="Z541" s="31" t="str">
        <f t="shared" si="20"/>
        <v/>
      </c>
      <c r="AA541" s="31" t="str">
        <f>IF(D541="","",IF(H541&lt;=$B$16,1,IF(H541&gt;=$B$17,$B$21,MATCH(H541,Aux_CAV!$A$2:$A$121,1))))</f>
        <v/>
      </c>
      <c r="AB541" s="31" t="str">
        <f>IF(D541="","",IF(L541&lt;=$B$16,1,IF(L541&gt;=$B$17,$B$21,MATCH(L541,Aux_CAV!$A$2:$A$121,1))))</f>
        <v/>
      </c>
      <c r="AC541" s="3" t="str">
        <f t="shared" si="21"/>
        <v/>
      </c>
    </row>
    <row r="542" ht="12.75" customHeight="1">
      <c r="A542" s="25" t="str">
        <f t="shared" si="1"/>
        <v/>
      </c>
      <c r="B542" s="29" t="str">
        <f t="array" ref="B542">IF(D542="","",IFERROR(VALUE(INDEX(Vazoes_COLAR!$A$2:$A$200,INT((ROW()-24)/12)+1)),""))</f>
        <v/>
      </c>
      <c r="C542" s="29" t="str">
        <f t="shared" si="2"/>
        <v/>
      </c>
      <c r="D542" s="26" t="str">
        <f t="array" ref="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42" s="26" t="str">
        <f t="shared" si="3"/>
        <v/>
      </c>
      <c r="F542" s="26" t="str">
        <f t="array" ref="F542">IF(D542="","",IFERROR(INDEX(Dados_Evap!$C$2:$N$15,MATCH($B$9,Dados_Evap!$A$2:$A$15,0),C542),0))</f>
        <v/>
      </c>
      <c r="G542" s="26" t="str">
        <f t="shared" si="4"/>
        <v/>
      </c>
      <c r="H542" s="26" t="str">
        <f t="shared" si="22"/>
        <v/>
      </c>
      <c r="I542" s="26" t="str">
        <f t="array" ref="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/>
      </c>
      <c r="J542" s="26" t="str">
        <f t="shared" si="5"/>
        <v/>
      </c>
      <c r="K542" s="26" t="str">
        <f t="shared" si="6"/>
        <v/>
      </c>
      <c r="L542" s="26" t="str">
        <f t="shared" si="7"/>
        <v/>
      </c>
      <c r="M542" s="26" t="str">
        <f t="array" ref="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/>
      </c>
      <c r="N542" s="26" t="str">
        <f t="shared" si="8"/>
        <v/>
      </c>
      <c r="O542" s="26" t="str">
        <f t="shared" si="9"/>
        <v/>
      </c>
      <c r="P542" s="26" t="str">
        <f t="shared" si="10"/>
        <v/>
      </c>
      <c r="Q542" s="26" t="str">
        <f t="shared" si="11"/>
        <v/>
      </c>
      <c r="R542" s="26" t="str">
        <f t="shared" si="12"/>
        <v/>
      </c>
      <c r="S542" s="26" t="str">
        <f t="shared" si="13"/>
        <v/>
      </c>
      <c r="T542" s="26" t="str">
        <f t="shared" si="14"/>
        <v/>
      </c>
      <c r="U542" s="26" t="str">
        <f t="shared" si="15"/>
        <v/>
      </c>
      <c r="V542" s="26" t="str">
        <f t="shared" si="16"/>
        <v/>
      </c>
      <c r="W542" s="26" t="str">
        <f t="shared" si="17"/>
        <v/>
      </c>
      <c r="X542" s="26" t="str">
        <f t="shared" si="18"/>
        <v/>
      </c>
      <c r="Y542" s="26" t="str">
        <f t="shared" si="19"/>
        <v/>
      </c>
      <c r="Z542" s="31" t="str">
        <f t="shared" si="20"/>
        <v/>
      </c>
      <c r="AA542" s="31" t="str">
        <f>IF(D542="","",IF(H542&lt;=$B$16,1,IF(H542&gt;=$B$17,$B$21,MATCH(H542,Aux_CAV!$A$2:$A$121,1))))</f>
        <v/>
      </c>
      <c r="AB542" s="31" t="str">
        <f>IF(D542="","",IF(L542&lt;=$B$16,1,IF(L542&gt;=$B$17,$B$21,MATCH(L542,Aux_CAV!$A$2:$A$121,1))))</f>
        <v/>
      </c>
      <c r="AC542" s="3" t="str">
        <f t="shared" si="21"/>
        <v/>
      </c>
    </row>
    <row r="543" ht="12.75" customHeight="1">
      <c r="A543" s="25" t="str">
        <f t="shared" si="1"/>
        <v/>
      </c>
      <c r="B543" s="29" t="str">
        <f t="array" ref="B543">IF(D543="","",IFERROR(VALUE(INDEX(Vazoes_COLAR!$A$2:$A$200,INT((ROW()-24)/12)+1)),""))</f>
        <v/>
      </c>
      <c r="C543" s="29" t="str">
        <f t="shared" si="2"/>
        <v/>
      </c>
      <c r="D543" s="26" t="str">
        <f t="array" ref="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43" s="26" t="str">
        <f t="shared" si="3"/>
        <v/>
      </c>
      <c r="F543" s="26" t="str">
        <f t="array" ref="F543">IF(D543="","",IFERROR(INDEX(Dados_Evap!$C$2:$N$15,MATCH($B$9,Dados_Evap!$A$2:$A$15,0),C543),0))</f>
        <v/>
      </c>
      <c r="G543" s="26" t="str">
        <f t="shared" si="4"/>
        <v/>
      </c>
      <c r="H543" s="26" t="str">
        <f t="shared" si="22"/>
        <v/>
      </c>
      <c r="I543" s="26" t="str">
        <f t="array" ref="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/>
      </c>
      <c r="J543" s="26" t="str">
        <f t="shared" si="5"/>
        <v/>
      </c>
      <c r="K543" s="26" t="str">
        <f t="shared" si="6"/>
        <v/>
      </c>
      <c r="L543" s="26" t="str">
        <f t="shared" si="7"/>
        <v/>
      </c>
      <c r="M543" s="26" t="str">
        <f t="array" ref="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/>
      </c>
      <c r="N543" s="26" t="str">
        <f t="shared" si="8"/>
        <v/>
      </c>
      <c r="O543" s="26" t="str">
        <f t="shared" si="9"/>
        <v/>
      </c>
      <c r="P543" s="26" t="str">
        <f t="shared" si="10"/>
        <v/>
      </c>
      <c r="Q543" s="26" t="str">
        <f t="shared" si="11"/>
        <v/>
      </c>
      <c r="R543" s="26" t="str">
        <f t="shared" si="12"/>
        <v/>
      </c>
      <c r="S543" s="26" t="str">
        <f t="shared" si="13"/>
        <v/>
      </c>
      <c r="T543" s="26" t="str">
        <f t="shared" si="14"/>
        <v/>
      </c>
      <c r="U543" s="26" t="str">
        <f t="shared" si="15"/>
        <v/>
      </c>
      <c r="V543" s="26" t="str">
        <f t="shared" si="16"/>
        <v/>
      </c>
      <c r="W543" s="26" t="str">
        <f t="shared" si="17"/>
        <v/>
      </c>
      <c r="X543" s="26" t="str">
        <f t="shared" si="18"/>
        <v/>
      </c>
      <c r="Y543" s="26" t="str">
        <f t="shared" si="19"/>
        <v/>
      </c>
      <c r="Z543" s="31" t="str">
        <f t="shared" si="20"/>
        <v/>
      </c>
      <c r="AA543" s="31" t="str">
        <f>IF(D543="","",IF(H543&lt;=$B$16,1,IF(H543&gt;=$B$17,$B$21,MATCH(H543,Aux_CAV!$A$2:$A$121,1))))</f>
        <v/>
      </c>
      <c r="AB543" s="31" t="str">
        <f>IF(D543="","",IF(L543&lt;=$B$16,1,IF(L543&gt;=$B$17,$B$21,MATCH(L543,Aux_CAV!$A$2:$A$121,1))))</f>
        <v/>
      </c>
      <c r="AC543" s="3" t="str">
        <f t="shared" si="21"/>
        <v/>
      </c>
    </row>
    <row r="544" ht="12.75" customHeight="1">
      <c r="A544" s="25" t="str">
        <f t="shared" si="1"/>
        <v/>
      </c>
      <c r="B544" s="29" t="str">
        <f t="array" ref="B544">IF(D544="","",IFERROR(VALUE(INDEX(Vazoes_COLAR!$A$2:$A$200,INT((ROW()-24)/12)+1)),""))</f>
        <v/>
      </c>
      <c r="C544" s="29" t="str">
        <f t="shared" si="2"/>
        <v/>
      </c>
      <c r="D544" s="26" t="str">
        <f t="array" ref="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44" s="26" t="str">
        <f t="shared" si="3"/>
        <v/>
      </c>
      <c r="F544" s="26" t="str">
        <f t="array" ref="F544">IF(D544="","",IFERROR(INDEX(Dados_Evap!$C$2:$N$15,MATCH($B$9,Dados_Evap!$A$2:$A$15,0),C544),0))</f>
        <v/>
      </c>
      <c r="G544" s="26" t="str">
        <f t="shared" si="4"/>
        <v/>
      </c>
      <c r="H544" s="26" t="str">
        <f t="shared" si="22"/>
        <v/>
      </c>
      <c r="I544" s="26" t="str">
        <f t="array" ref="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/>
      </c>
      <c r="J544" s="26" t="str">
        <f t="shared" si="5"/>
        <v/>
      </c>
      <c r="K544" s="26" t="str">
        <f t="shared" si="6"/>
        <v/>
      </c>
      <c r="L544" s="26" t="str">
        <f t="shared" si="7"/>
        <v/>
      </c>
      <c r="M544" s="26" t="str">
        <f t="array" ref="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/>
      </c>
      <c r="N544" s="26" t="str">
        <f t="shared" si="8"/>
        <v/>
      </c>
      <c r="O544" s="26" t="str">
        <f t="shared" si="9"/>
        <v/>
      </c>
      <c r="P544" s="26" t="str">
        <f t="shared" si="10"/>
        <v/>
      </c>
      <c r="Q544" s="26" t="str">
        <f t="shared" si="11"/>
        <v/>
      </c>
      <c r="R544" s="26" t="str">
        <f t="shared" si="12"/>
        <v/>
      </c>
      <c r="S544" s="26" t="str">
        <f t="shared" si="13"/>
        <v/>
      </c>
      <c r="T544" s="26" t="str">
        <f t="shared" si="14"/>
        <v/>
      </c>
      <c r="U544" s="26" t="str">
        <f t="shared" si="15"/>
        <v/>
      </c>
      <c r="V544" s="26" t="str">
        <f t="shared" si="16"/>
        <v/>
      </c>
      <c r="W544" s="26" t="str">
        <f t="shared" si="17"/>
        <v/>
      </c>
      <c r="X544" s="26" t="str">
        <f t="shared" si="18"/>
        <v/>
      </c>
      <c r="Y544" s="26" t="str">
        <f t="shared" si="19"/>
        <v/>
      </c>
      <c r="Z544" s="31" t="str">
        <f t="shared" si="20"/>
        <v/>
      </c>
      <c r="AA544" s="31" t="str">
        <f>IF(D544="","",IF(H544&lt;=$B$16,1,IF(H544&gt;=$B$17,$B$21,MATCH(H544,Aux_CAV!$A$2:$A$121,1))))</f>
        <v/>
      </c>
      <c r="AB544" s="31" t="str">
        <f>IF(D544="","",IF(L544&lt;=$B$16,1,IF(L544&gt;=$B$17,$B$21,MATCH(L544,Aux_CAV!$A$2:$A$121,1))))</f>
        <v/>
      </c>
      <c r="AC544" s="3" t="str">
        <f t="shared" si="21"/>
        <v/>
      </c>
    </row>
    <row r="545" ht="12.75" customHeight="1">
      <c r="A545" s="25" t="str">
        <f t="shared" si="1"/>
        <v/>
      </c>
      <c r="B545" s="29" t="str">
        <f t="array" ref="B545">IF(D545="","",IFERROR(VALUE(INDEX(Vazoes_COLAR!$A$2:$A$200,INT((ROW()-24)/12)+1)),""))</f>
        <v/>
      </c>
      <c r="C545" s="29" t="str">
        <f t="shared" si="2"/>
        <v/>
      </c>
      <c r="D545" s="26" t="str">
        <f t="array" ref="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45" s="26" t="str">
        <f t="shared" si="3"/>
        <v/>
      </c>
      <c r="F545" s="26" t="str">
        <f t="array" ref="F545">IF(D545="","",IFERROR(INDEX(Dados_Evap!$C$2:$N$15,MATCH($B$9,Dados_Evap!$A$2:$A$15,0),C545),0))</f>
        <v/>
      </c>
      <c r="G545" s="26" t="str">
        <f t="shared" si="4"/>
        <v/>
      </c>
      <c r="H545" s="26" t="str">
        <f t="shared" si="22"/>
        <v/>
      </c>
      <c r="I545" s="26" t="str">
        <f t="array" ref="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/>
      </c>
      <c r="J545" s="26" t="str">
        <f t="shared" si="5"/>
        <v/>
      </c>
      <c r="K545" s="26" t="str">
        <f t="shared" si="6"/>
        <v/>
      </c>
      <c r="L545" s="26" t="str">
        <f t="shared" si="7"/>
        <v/>
      </c>
      <c r="M545" s="26" t="str">
        <f t="array" ref="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/>
      </c>
      <c r="N545" s="26" t="str">
        <f t="shared" si="8"/>
        <v/>
      </c>
      <c r="O545" s="26" t="str">
        <f t="shared" si="9"/>
        <v/>
      </c>
      <c r="P545" s="26" t="str">
        <f t="shared" si="10"/>
        <v/>
      </c>
      <c r="Q545" s="26" t="str">
        <f t="shared" si="11"/>
        <v/>
      </c>
      <c r="R545" s="26" t="str">
        <f t="shared" si="12"/>
        <v/>
      </c>
      <c r="S545" s="26" t="str">
        <f t="shared" si="13"/>
        <v/>
      </c>
      <c r="T545" s="26" t="str">
        <f t="shared" si="14"/>
        <v/>
      </c>
      <c r="U545" s="26" t="str">
        <f t="shared" si="15"/>
        <v/>
      </c>
      <c r="V545" s="26" t="str">
        <f t="shared" si="16"/>
        <v/>
      </c>
      <c r="W545" s="26" t="str">
        <f t="shared" si="17"/>
        <v/>
      </c>
      <c r="X545" s="26" t="str">
        <f t="shared" si="18"/>
        <v/>
      </c>
      <c r="Y545" s="26" t="str">
        <f t="shared" si="19"/>
        <v/>
      </c>
      <c r="Z545" s="31" t="str">
        <f t="shared" si="20"/>
        <v/>
      </c>
      <c r="AA545" s="31" t="str">
        <f>IF(D545="","",IF(H545&lt;=$B$16,1,IF(H545&gt;=$B$17,$B$21,MATCH(H545,Aux_CAV!$A$2:$A$121,1))))</f>
        <v/>
      </c>
      <c r="AB545" s="31" t="str">
        <f>IF(D545="","",IF(L545&lt;=$B$16,1,IF(L545&gt;=$B$17,$B$21,MATCH(L545,Aux_CAV!$A$2:$A$121,1))))</f>
        <v/>
      </c>
      <c r="AC545" s="3" t="str">
        <f t="shared" si="21"/>
        <v/>
      </c>
    </row>
    <row r="546" ht="12.75" customHeight="1">
      <c r="A546" s="25" t="str">
        <f t="shared" si="1"/>
        <v/>
      </c>
      <c r="B546" s="29" t="str">
        <f t="array" ref="B546">IF(D546="","",IFERROR(VALUE(INDEX(Vazoes_COLAR!$A$2:$A$200,INT((ROW()-24)/12)+1)),""))</f>
        <v/>
      </c>
      <c r="C546" s="29" t="str">
        <f t="shared" si="2"/>
        <v/>
      </c>
      <c r="D546" s="26" t="str">
        <f t="array" ref="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46" s="26" t="str">
        <f t="shared" si="3"/>
        <v/>
      </c>
      <c r="F546" s="26" t="str">
        <f t="array" ref="F546">IF(D546="","",IFERROR(INDEX(Dados_Evap!$C$2:$N$15,MATCH($B$9,Dados_Evap!$A$2:$A$15,0),C546),0))</f>
        <v/>
      </c>
      <c r="G546" s="26" t="str">
        <f t="shared" si="4"/>
        <v/>
      </c>
      <c r="H546" s="26" t="str">
        <f t="shared" si="22"/>
        <v/>
      </c>
      <c r="I546" s="26" t="str">
        <f t="array" ref="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/>
      </c>
      <c r="J546" s="26" t="str">
        <f t="shared" si="5"/>
        <v/>
      </c>
      <c r="K546" s="26" t="str">
        <f t="shared" si="6"/>
        <v/>
      </c>
      <c r="L546" s="26" t="str">
        <f t="shared" si="7"/>
        <v/>
      </c>
      <c r="M546" s="26" t="str">
        <f t="array" ref="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/>
      </c>
      <c r="N546" s="26" t="str">
        <f t="shared" si="8"/>
        <v/>
      </c>
      <c r="O546" s="26" t="str">
        <f t="shared" si="9"/>
        <v/>
      </c>
      <c r="P546" s="26" t="str">
        <f t="shared" si="10"/>
        <v/>
      </c>
      <c r="Q546" s="26" t="str">
        <f t="shared" si="11"/>
        <v/>
      </c>
      <c r="R546" s="26" t="str">
        <f t="shared" si="12"/>
        <v/>
      </c>
      <c r="S546" s="26" t="str">
        <f t="shared" si="13"/>
        <v/>
      </c>
      <c r="T546" s="26" t="str">
        <f t="shared" si="14"/>
        <v/>
      </c>
      <c r="U546" s="26" t="str">
        <f t="shared" si="15"/>
        <v/>
      </c>
      <c r="V546" s="26" t="str">
        <f t="shared" si="16"/>
        <v/>
      </c>
      <c r="W546" s="26" t="str">
        <f t="shared" si="17"/>
        <v/>
      </c>
      <c r="X546" s="26" t="str">
        <f t="shared" si="18"/>
        <v/>
      </c>
      <c r="Y546" s="26" t="str">
        <f t="shared" si="19"/>
        <v/>
      </c>
      <c r="Z546" s="31" t="str">
        <f t="shared" si="20"/>
        <v/>
      </c>
      <c r="AA546" s="31" t="str">
        <f>IF(D546="","",IF(H546&lt;=$B$16,1,IF(H546&gt;=$B$17,$B$21,MATCH(H546,Aux_CAV!$A$2:$A$121,1))))</f>
        <v/>
      </c>
      <c r="AB546" s="31" t="str">
        <f>IF(D546="","",IF(L546&lt;=$B$16,1,IF(L546&gt;=$B$17,$B$21,MATCH(L546,Aux_CAV!$A$2:$A$121,1))))</f>
        <v/>
      </c>
      <c r="AC546" s="3" t="str">
        <f t="shared" si="21"/>
        <v/>
      </c>
    </row>
    <row r="547" ht="12.75" customHeight="1">
      <c r="A547" s="25" t="str">
        <f t="shared" si="1"/>
        <v/>
      </c>
      <c r="B547" s="29" t="str">
        <f t="array" ref="B547">IF(D547="","",IFERROR(VALUE(INDEX(Vazoes_COLAR!$A$2:$A$200,INT((ROW()-24)/12)+1)),""))</f>
        <v/>
      </c>
      <c r="C547" s="29" t="str">
        <f t="shared" si="2"/>
        <v/>
      </c>
      <c r="D547" s="26" t="str">
        <f t="array" ref="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47" s="26" t="str">
        <f t="shared" si="3"/>
        <v/>
      </c>
      <c r="F547" s="26" t="str">
        <f t="array" ref="F547">IF(D547="","",IFERROR(INDEX(Dados_Evap!$C$2:$N$15,MATCH($B$9,Dados_Evap!$A$2:$A$15,0),C547),0))</f>
        <v/>
      </c>
      <c r="G547" s="26" t="str">
        <f t="shared" si="4"/>
        <v/>
      </c>
      <c r="H547" s="26" t="str">
        <f t="shared" si="22"/>
        <v/>
      </c>
      <c r="I547" s="26" t="str">
        <f t="array" ref="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/>
      </c>
      <c r="J547" s="26" t="str">
        <f t="shared" si="5"/>
        <v/>
      </c>
      <c r="K547" s="26" t="str">
        <f t="shared" si="6"/>
        <v/>
      </c>
      <c r="L547" s="26" t="str">
        <f t="shared" si="7"/>
        <v/>
      </c>
      <c r="M547" s="26" t="str">
        <f t="array" ref="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/>
      </c>
      <c r="N547" s="26" t="str">
        <f t="shared" si="8"/>
        <v/>
      </c>
      <c r="O547" s="26" t="str">
        <f t="shared" si="9"/>
        <v/>
      </c>
      <c r="P547" s="26" t="str">
        <f t="shared" si="10"/>
        <v/>
      </c>
      <c r="Q547" s="26" t="str">
        <f t="shared" si="11"/>
        <v/>
      </c>
      <c r="R547" s="26" t="str">
        <f t="shared" si="12"/>
        <v/>
      </c>
      <c r="S547" s="26" t="str">
        <f t="shared" si="13"/>
        <v/>
      </c>
      <c r="T547" s="26" t="str">
        <f t="shared" si="14"/>
        <v/>
      </c>
      <c r="U547" s="26" t="str">
        <f t="shared" si="15"/>
        <v/>
      </c>
      <c r="V547" s="26" t="str">
        <f t="shared" si="16"/>
        <v/>
      </c>
      <c r="W547" s="26" t="str">
        <f t="shared" si="17"/>
        <v/>
      </c>
      <c r="X547" s="26" t="str">
        <f t="shared" si="18"/>
        <v/>
      </c>
      <c r="Y547" s="26" t="str">
        <f t="shared" si="19"/>
        <v/>
      </c>
      <c r="Z547" s="31" t="str">
        <f t="shared" si="20"/>
        <v/>
      </c>
      <c r="AA547" s="31" t="str">
        <f>IF(D547="","",IF(H547&lt;=$B$16,1,IF(H547&gt;=$B$17,$B$21,MATCH(H547,Aux_CAV!$A$2:$A$121,1))))</f>
        <v/>
      </c>
      <c r="AB547" s="31" t="str">
        <f>IF(D547="","",IF(L547&lt;=$B$16,1,IF(L547&gt;=$B$17,$B$21,MATCH(L547,Aux_CAV!$A$2:$A$121,1))))</f>
        <v/>
      </c>
      <c r="AC547" s="3" t="str">
        <f t="shared" si="21"/>
        <v/>
      </c>
    </row>
    <row r="548" ht="12.75" customHeight="1">
      <c r="A548" s="25" t="str">
        <f t="shared" si="1"/>
        <v/>
      </c>
      <c r="B548" s="29" t="str">
        <f t="array" ref="B548">IF(D548="","",IFERROR(VALUE(INDEX(Vazoes_COLAR!$A$2:$A$200,INT((ROW()-24)/12)+1)),""))</f>
        <v/>
      </c>
      <c r="C548" s="29" t="str">
        <f t="shared" si="2"/>
        <v/>
      </c>
      <c r="D548" s="26" t="str">
        <f t="array" ref="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48" s="26" t="str">
        <f t="shared" si="3"/>
        <v/>
      </c>
      <c r="F548" s="26" t="str">
        <f t="array" ref="F548">IF(D548="","",IFERROR(INDEX(Dados_Evap!$C$2:$N$15,MATCH($B$9,Dados_Evap!$A$2:$A$15,0),C548),0))</f>
        <v/>
      </c>
      <c r="G548" s="26" t="str">
        <f t="shared" si="4"/>
        <v/>
      </c>
      <c r="H548" s="26" t="str">
        <f t="shared" si="22"/>
        <v/>
      </c>
      <c r="I548" s="26" t="str">
        <f t="array" ref="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/>
      </c>
      <c r="J548" s="26" t="str">
        <f t="shared" si="5"/>
        <v/>
      </c>
      <c r="K548" s="26" t="str">
        <f t="shared" si="6"/>
        <v/>
      </c>
      <c r="L548" s="26" t="str">
        <f t="shared" si="7"/>
        <v/>
      </c>
      <c r="M548" s="26" t="str">
        <f t="array" ref="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/>
      </c>
      <c r="N548" s="26" t="str">
        <f t="shared" si="8"/>
        <v/>
      </c>
      <c r="O548" s="26" t="str">
        <f t="shared" si="9"/>
        <v/>
      </c>
      <c r="P548" s="26" t="str">
        <f t="shared" si="10"/>
        <v/>
      </c>
      <c r="Q548" s="26" t="str">
        <f t="shared" si="11"/>
        <v/>
      </c>
      <c r="R548" s="26" t="str">
        <f t="shared" si="12"/>
        <v/>
      </c>
      <c r="S548" s="26" t="str">
        <f t="shared" si="13"/>
        <v/>
      </c>
      <c r="T548" s="26" t="str">
        <f t="shared" si="14"/>
        <v/>
      </c>
      <c r="U548" s="26" t="str">
        <f t="shared" si="15"/>
        <v/>
      </c>
      <c r="V548" s="26" t="str">
        <f t="shared" si="16"/>
        <v/>
      </c>
      <c r="W548" s="26" t="str">
        <f t="shared" si="17"/>
        <v/>
      </c>
      <c r="X548" s="26" t="str">
        <f t="shared" si="18"/>
        <v/>
      </c>
      <c r="Y548" s="26" t="str">
        <f t="shared" si="19"/>
        <v/>
      </c>
      <c r="Z548" s="31" t="str">
        <f t="shared" si="20"/>
        <v/>
      </c>
      <c r="AA548" s="31" t="str">
        <f>IF(D548="","",IF(H548&lt;=$B$16,1,IF(H548&gt;=$B$17,$B$21,MATCH(H548,Aux_CAV!$A$2:$A$121,1))))</f>
        <v/>
      </c>
      <c r="AB548" s="31" t="str">
        <f>IF(D548="","",IF(L548&lt;=$B$16,1,IF(L548&gt;=$B$17,$B$21,MATCH(L548,Aux_CAV!$A$2:$A$121,1))))</f>
        <v/>
      </c>
      <c r="AC548" s="3" t="str">
        <f t="shared" si="21"/>
        <v/>
      </c>
    </row>
    <row r="549" ht="12.75" customHeight="1">
      <c r="A549" s="25" t="str">
        <f t="shared" si="1"/>
        <v/>
      </c>
      <c r="B549" s="29" t="str">
        <f t="array" ref="B549">IF(D549="","",IFERROR(VALUE(INDEX(Vazoes_COLAR!$A$2:$A$200,INT((ROW()-24)/12)+1)),""))</f>
        <v/>
      </c>
      <c r="C549" s="29" t="str">
        <f t="shared" si="2"/>
        <v/>
      </c>
      <c r="D549" s="26" t="str">
        <f t="array" ref="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49" s="26" t="str">
        <f t="shared" si="3"/>
        <v/>
      </c>
      <c r="F549" s="26" t="str">
        <f t="array" ref="F549">IF(D549="","",IFERROR(INDEX(Dados_Evap!$C$2:$N$15,MATCH($B$9,Dados_Evap!$A$2:$A$15,0),C549),0))</f>
        <v/>
      </c>
      <c r="G549" s="26" t="str">
        <f t="shared" si="4"/>
        <v/>
      </c>
      <c r="H549" s="26" t="str">
        <f t="shared" si="22"/>
        <v/>
      </c>
      <c r="I549" s="26" t="str">
        <f t="array" ref="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/>
      </c>
      <c r="J549" s="26" t="str">
        <f t="shared" si="5"/>
        <v/>
      </c>
      <c r="K549" s="26" t="str">
        <f t="shared" si="6"/>
        <v/>
      </c>
      <c r="L549" s="26" t="str">
        <f t="shared" si="7"/>
        <v/>
      </c>
      <c r="M549" s="26" t="str">
        <f t="array" ref="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/>
      </c>
      <c r="N549" s="26" t="str">
        <f t="shared" si="8"/>
        <v/>
      </c>
      <c r="O549" s="26" t="str">
        <f t="shared" si="9"/>
        <v/>
      </c>
      <c r="P549" s="26" t="str">
        <f t="shared" si="10"/>
        <v/>
      </c>
      <c r="Q549" s="26" t="str">
        <f t="shared" si="11"/>
        <v/>
      </c>
      <c r="R549" s="26" t="str">
        <f t="shared" si="12"/>
        <v/>
      </c>
      <c r="S549" s="26" t="str">
        <f t="shared" si="13"/>
        <v/>
      </c>
      <c r="T549" s="26" t="str">
        <f t="shared" si="14"/>
        <v/>
      </c>
      <c r="U549" s="26" t="str">
        <f t="shared" si="15"/>
        <v/>
      </c>
      <c r="V549" s="26" t="str">
        <f t="shared" si="16"/>
        <v/>
      </c>
      <c r="W549" s="26" t="str">
        <f t="shared" si="17"/>
        <v/>
      </c>
      <c r="X549" s="26" t="str">
        <f t="shared" si="18"/>
        <v/>
      </c>
      <c r="Y549" s="26" t="str">
        <f t="shared" si="19"/>
        <v/>
      </c>
      <c r="Z549" s="31" t="str">
        <f t="shared" si="20"/>
        <v/>
      </c>
      <c r="AA549" s="31" t="str">
        <f>IF(D549="","",IF(H549&lt;=$B$16,1,IF(H549&gt;=$B$17,$B$21,MATCH(H549,Aux_CAV!$A$2:$A$121,1))))</f>
        <v/>
      </c>
      <c r="AB549" s="31" t="str">
        <f>IF(D549="","",IF(L549&lt;=$B$16,1,IF(L549&gt;=$B$17,$B$21,MATCH(L549,Aux_CAV!$A$2:$A$121,1))))</f>
        <v/>
      </c>
      <c r="AC549" s="3" t="str">
        <f t="shared" si="21"/>
        <v/>
      </c>
    </row>
    <row r="550" ht="12.75" customHeight="1">
      <c r="A550" s="25" t="str">
        <f t="shared" si="1"/>
        <v/>
      </c>
      <c r="B550" s="29" t="str">
        <f t="array" ref="B550">IF(D550="","",IFERROR(VALUE(INDEX(Vazoes_COLAR!$A$2:$A$200,INT((ROW()-24)/12)+1)),""))</f>
        <v/>
      </c>
      <c r="C550" s="29" t="str">
        <f t="shared" si="2"/>
        <v/>
      </c>
      <c r="D550" s="26" t="str">
        <f t="array" ref="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50" s="26" t="str">
        <f t="shared" si="3"/>
        <v/>
      </c>
      <c r="F550" s="26" t="str">
        <f t="array" ref="F550">IF(D550="","",IFERROR(INDEX(Dados_Evap!$C$2:$N$15,MATCH($B$9,Dados_Evap!$A$2:$A$15,0),C550),0))</f>
        <v/>
      </c>
      <c r="G550" s="26" t="str">
        <f t="shared" si="4"/>
        <v/>
      </c>
      <c r="H550" s="26" t="str">
        <f t="shared" si="22"/>
        <v/>
      </c>
      <c r="I550" s="26" t="str">
        <f t="array" ref="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/>
      </c>
      <c r="J550" s="26" t="str">
        <f t="shared" si="5"/>
        <v/>
      </c>
      <c r="K550" s="26" t="str">
        <f t="shared" si="6"/>
        <v/>
      </c>
      <c r="L550" s="26" t="str">
        <f t="shared" si="7"/>
        <v/>
      </c>
      <c r="M550" s="26" t="str">
        <f t="array" ref="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/>
      </c>
      <c r="N550" s="26" t="str">
        <f t="shared" si="8"/>
        <v/>
      </c>
      <c r="O550" s="26" t="str">
        <f t="shared" si="9"/>
        <v/>
      </c>
      <c r="P550" s="26" t="str">
        <f t="shared" si="10"/>
        <v/>
      </c>
      <c r="Q550" s="26" t="str">
        <f t="shared" si="11"/>
        <v/>
      </c>
      <c r="R550" s="26" t="str">
        <f t="shared" si="12"/>
        <v/>
      </c>
      <c r="S550" s="26" t="str">
        <f t="shared" si="13"/>
        <v/>
      </c>
      <c r="T550" s="26" t="str">
        <f t="shared" si="14"/>
        <v/>
      </c>
      <c r="U550" s="26" t="str">
        <f t="shared" si="15"/>
        <v/>
      </c>
      <c r="V550" s="26" t="str">
        <f t="shared" si="16"/>
        <v/>
      </c>
      <c r="W550" s="26" t="str">
        <f t="shared" si="17"/>
        <v/>
      </c>
      <c r="X550" s="26" t="str">
        <f t="shared" si="18"/>
        <v/>
      </c>
      <c r="Y550" s="26" t="str">
        <f t="shared" si="19"/>
        <v/>
      </c>
      <c r="Z550" s="31" t="str">
        <f t="shared" si="20"/>
        <v/>
      </c>
      <c r="AA550" s="31" t="str">
        <f>IF(D550="","",IF(H550&lt;=$B$16,1,IF(H550&gt;=$B$17,$B$21,MATCH(H550,Aux_CAV!$A$2:$A$121,1))))</f>
        <v/>
      </c>
      <c r="AB550" s="31" t="str">
        <f>IF(D550="","",IF(L550&lt;=$B$16,1,IF(L550&gt;=$B$17,$B$21,MATCH(L550,Aux_CAV!$A$2:$A$121,1))))</f>
        <v/>
      </c>
      <c r="AC550" s="3" t="str">
        <f t="shared" si="21"/>
        <v/>
      </c>
    </row>
    <row r="551" ht="12.75" customHeight="1">
      <c r="A551" s="25" t="str">
        <f t="shared" si="1"/>
        <v/>
      </c>
      <c r="B551" s="29" t="str">
        <f t="array" ref="B551">IF(D551="","",IFERROR(VALUE(INDEX(Vazoes_COLAR!$A$2:$A$200,INT((ROW()-24)/12)+1)),""))</f>
        <v/>
      </c>
      <c r="C551" s="29" t="str">
        <f t="shared" si="2"/>
        <v/>
      </c>
      <c r="D551" s="26" t="str">
        <f t="array" ref="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51" s="26" t="str">
        <f t="shared" si="3"/>
        <v/>
      </c>
      <c r="F551" s="26" t="str">
        <f t="array" ref="F551">IF(D551="","",IFERROR(INDEX(Dados_Evap!$C$2:$N$15,MATCH($B$9,Dados_Evap!$A$2:$A$15,0),C551),0))</f>
        <v/>
      </c>
      <c r="G551" s="26" t="str">
        <f t="shared" si="4"/>
        <v/>
      </c>
      <c r="H551" s="26" t="str">
        <f t="shared" si="22"/>
        <v/>
      </c>
      <c r="I551" s="26" t="str">
        <f t="array" ref="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/>
      </c>
      <c r="J551" s="26" t="str">
        <f t="shared" si="5"/>
        <v/>
      </c>
      <c r="K551" s="26" t="str">
        <f t="shared" si="6"/>
        <v/>
      </c>
      <c r="L551" s="26" t="str">
        <f t="shared" si="7"/>
        <v/>
      </c>
      <c r="M551" s="26" t="str">
        <f t="array" ref="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/>
      </c>
      <c r="N551" s="26" t="str">
        <f t="shared" si="8"/>
        <v/>
      </c>
      <c r="O551" s="26" t="str">
        <f t="shared" si="9"/>
        <v/>
      </c>
      <c r="P551" s="26" t="str">
        <f t="shared" si="10"/>
        <v/>
      </c>
      <c r="Q551" s="26" t="str">
        <f t="shared" si="11"/>
        <v/>
      </c>
      <c r="R551" s="26" t="str">
        <f t="shared" si="12"/>
        <v/>
      </c>
      <c r="S551" s="26" t="str">
        <f t="shared" si="13"/>
        <v/>
      </c>
      <c r="T551" s="26" t="str">
        <f t="shared" si="14"/>
        <v/>
      </c>
      <c r="U551" s="26" t="str">
        <f t="shared" si="15"/>
        <v/>
      </c>
      <c r="V551" s="26" t="str">
        <f t="shared" si="16"/>
        <v/>
      </c>
      <c r="W551" s="26" t="str">
        <f t="shared" si="17"/>
        <v/>
      </c>
      <c r="X551" s="26" t="str">
        <f t="shared" si="18"/>
        <v/>
      </c>
      <c r="Y551" s="26" t="str">
        <f t="shared" si="19"/>
        <v/>
      </c>
      <c r="Z551" s="31" t="str">
        <f t="shared" si="20"/>
        <v/>
      </c>
      <c r="AA551" s="31" t="str">
        <f>IF(D551="","",IF(H551&lt;=$B$16,1,IF(H551&gt;=$B$17,$B$21,MATCH(H551,Aux_CAV!$A$2:$A$121,1))))</f>
        <v/>
      </c>
      <c r="AB551" s="31" t="str">
        <f>IF(D551="","",IF(L551&lt;=$B$16,1,IF(L551&gt;=$B$17,$B$21,MATCH(L551,Aux_CAV!$A$2:$A$121,1))))</f>
        <v/>
      </c>
      <c r="AC551" s="3" t="str">
        <f t="shared" si="21"/>
        <v/>
      </c>
    </row>
    <row r="552" ht="12.75" customHeight="1">
      <c r="A552" s="25" t="str">
        <f t="shared" si="1"/>
        <v/>
      </c>
      <c r="B552" s="29" t="str">
        <f t="array" ref="B552">IF(D552="","",IFERROR(VALUE(INDEX(Vazoes_COLAR!$A$2:$A$200,INT((ROW()-24)/12)+1)),""))</f>
        <v/>
      </c>
      <c r="C552" s="29" t="str">
        <f t="shared" si="2"/>
        <v/>
      </c>
      <c r="D552" s="26" t="str">
        <f t="array" ref="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52" s="26" t="str">
        <f t="shared" si="3"/>
        <v/>
      </c>
      <c r="F552" s="26" t="str">
        <f t="array" ref="F552">IF(D552="","",IFERROR(INDEX(Dados_Evap!$C$2:$N$15,MATCH($B$9,Dados_Evap!$A$2:$A$15,0),C552),0))</f>
        <v/>
      </c>
      <c r="G552" s="26" t="str">
        <f t="shared" si="4"/>
        <v/>
      </c>
      <c r="H552" s="26" t="str">
        <f t="shared" si="22"/>
        <v/>
      </c>
      <c r="I552" s="26" t="str">
        <f t="array" ref="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/>
      </c>
      <c r="J552" s="26" t="str">
        <f t="shared" si="5"/>
        <v/>
      </c>
      <c r="K552" s="26" t="str">
        <f t="shared" si="6"/>
        <v/>
      </c>
      <c r="L552" s="26" t="str">
        <f t="shared" si="7"/>
        <v/>
      </c>
      <c r="M552" s="26" t="str">
        <f t="array" ref="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/>
      </c>
      <c r="N552" s="26" t="str">
        <f t="shared" si="8"/>
        <v/>
      </c>
      <c r="O552" s="26" t="str">
        <f t="shared" si="9"/>
        <v/>
      </c>
      <c r="P552" s="26" t="str">
        <f t="shared" si="10"/>
        <v/>
      </c>
      <c r="Q552" s="26" t="str">
        <f t="shared" si="11"/>
        <v/>
      </c>
      <c r="R552" s="26" t="str">
        <f t="shared" si="12"/>
        <v/>
      </c>
      <c r="S552" s="26" t="str">
        <f t="shared" si="13"/>
        <v/>
      </c>
      <c r="T552" s="26" t="str">
        <f t="shared" si="14"/>
        <v/>
      </c>
      <c r="U552" s="26" t="str">
        <f t="shared" si="15"/>
        <v/>
      </c>
      <c r="V552" s="26" t="str">
        <f t="shared" si="16"/>
        <v/>
      </c>
      <c r="W552" s="26" t="str">
        <f t="shared" si="17"/>
        <v/>
      </c>
      <c r="X552" s="26" t="str">
        <f t="shared" si="18"/>
        <v/>
      </c>
      <c r="Y552" s="26" t="str">
        <f t="shared" si="19"/>
        <v/>
      </c>
      <c r="Z552" s="31" t="str">
        <f t="shared" si="20"/>
        <v/>
      </c>
      <c r="AA552" s="31" t="str">
        <f>IF(D552="","",IF(H552&lt;=$B$16,1,IF(H552&gt;=$B$17,$B$21,MATCH(H552,Aux_CAV!$A$2:$A$121,1))))</f>
        <v/>
      </c>
      <c r="AB552" s="31" t="str">
        <f>IF(D552="","",IF(L552&lt;=$B$16,1,IF(L552&gt;=$B$17,$B$21,MATCH(L552,Aux_CAV!$A$2:$A$121,1))))</f>
        <v/>
      </c>
      <c r="AC552" s="3" t="str">
        <f t="shared" si="21"/>
        <v/>
      </c>
    </row>
    <row r="553" ht="12.75" customHeight="1">
      <c r="A553" s="25" t="str">
        <f t="shared" si="1"/>
        <v/>
      </c>
      <c r="B553" s="29" t="str">
        <f t="array" ref="B553">IF(D553="","",IFERROR(VALUE(INDEX(Vazoes_COLAR!$A$2:$A$200,INT((ROW()-24)/12)+1)),""))</f>
        <v/>
      </c>
      <c r="C553" s="29" t="str">
        <f t="shared" si="2"/>
        <v/>
      </c>
      <c r="D553" s="26" t="str">
        <f t="array" ref="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53" s="26" t="str">
        <f t="shared" si="3"/>
        <v/>
      </c>
      <c r="F553" s="26" t="str">
        <f t="array" ref="F553">IF(D553="","",IFERROR(INDEX(Dados_Evap!$C$2:$N$15,MATCH($B$9,Dados_Evap!$A$2:$A$15,0),C553),0))</f>
        <v/>
      </c>
      <c r="G553" s="26" t="str">
        <f t="shared" si="4"/>
        <v/>
      </c>
      <c r="H553" s="26" t="str">
        <f t="shared" si="22"/>
        <v/>
      </c>
      <c r="I553" s="26" t="str">
        <f t="array" ref="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/>
      </c>
      <c r="J553" s="26" t="str">
        <f t="shared" si="5"/>
        <v/>
      </c>
      <c r="K553" s="26" t="str">
        <f t="shared" si="6"/>
        <v/>
      </c>
      <c r="L553" s="26" t="str">
        <f t="shared" si="7"/>
        <v/>
      </c>
      <c r="M553" s="26" t="str">
        <f t="array" ref="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/>
      </c>
      <c r="N553" s="26" t="str">
        <f t="shared" si="8"/>
        <v/>
      </c>
      <c r="O553" s="26" t="str">
        <f t="shared" si="9"/>
        <v/>
      </c>
      <c r="P553" s="26" t="str">
        <f t="shared" si="10"/>
        <v/>
      </c>
      <c r="Q553" s="26" t="str">
        <f t="shared" si="11"/>
        <v/>
      </c>
      <c r="R553" s="26" t="str">
        <f t="shared" si="12"/>
        <v/>
      </c>
      <c r="S553" s="26" t="str">
        <f t="shared" si="13"/>
        <v/>
      </c>
      <c r="T553" s="26" t="str">
        <f t="shared" si="14"/>
        <v/>
      </c>
      <c r="U553" s="26" t="str">
        <f t="shared" si="15"/>
        <v/>
      </c>
      <c r="V553" s="26" t="str">
        <f t="shared" si="16"/>
        <v/>
      </c>
      <c r="W553" s="26" t="str">
        <f t="shared" si="17"/>
        <v/>
      </c>
      <c r="X553" s="26" t="str">
        <f t="shared" si="18"/>
        <v/>
      </c>
      <c r="Y553" s="26" t="str">
        <f t="shared" si="19"/>
        <v/>
      </c>
      <c r="Z553" s="31" t="str">
        <f t="shared" si="20"/>
        <v/>
      </c>
      <c r="AA553" s="31" t="str">
        <f>IF(D553="","",IF(H553&lt;=$B$16,1,IF(H553&gt;=$B$17,$B$21,MATCH(H553,Aux_CAV!$A$2:$A$121,1))))</f>
        <v/>
      </c>
      <c r="AB553" s="31" t="str">
        <f>IF(D553="","",IF(L553&lt;=$B$16,1,IF(L553&gt;=$B$17,$B$21,MATCH(L553,Aux_CAV!$A$2:$A$121,1))))</f>
        <v/>
      </c>
      <c r="AC553" s="3" t="str">
        <f t="shared" si="21"/>
        <v/>
      </c>
    </row>
    <row r="554" ht="12.75" customHeight="1">
      <c r="A554" s="25" t="str">
        <f t="shared" si="1"/>
        <v/>
      </c>
      <c r="B554" s="29" t="str">
        <f t="array" ref="B554">IF(D554="","",IFERROR(VALUE(INDEX(Vazoes_COLAR!$A$2:$A$200,INT((ROW()-24)/12)+1)),""))</f>
        <v/>
      </c>
      <c r="C554" s="29" t="str">
        <f t="shared" si="2"/>
        <v/>
      </c>
      <c r="D554" s="26" t="str">
        <f t="array" ref="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54" s="26" t="str">
        <f t="shared" si="3"/>
        <v/>
      </c>
      <c r="F554" s="26" t="str">
        <f t="array" ref="F554">IF(D554="","",IFERROR(INDEX(Dados_Evap!$C$2:$N$15,MATCH($B$9,Dados_Evap!$A$2:$A$15,0),C554),0))</f>
        <v/>
      </c>
      <c r="G554" s="26" t="str">
        <f t="shared" si="4"/>
        <v/>
      </c>
      <c r="H554" s="26" t="str">
        <f t="shared" si="22"/>
        <v/>
      </c>
      <c r="I554" s="26" t="str">
        <f t="array" ref="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/>
      </c>
      <c r="J554" s="26" t="str">
        <f t="shared" si="5"/>
        <v/>
      </c>
      <c r="K554" s="26" t="str">
        <f t="shared" si="6"/>
        <v/>
      </c>
      <c r="L554" s="26" t="str">
        <f t="shared" si="7"/>
        <v/>
      </c>
      <c r="M554" s="26" t="str">
        <f t="array" ref="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/>
      </c>
      <c r="N554" s="26" t="str">
        <f t="shared" si="8"/>
        <v/>
      </c>
      <c r="O554" s="26" t="str">
        <f t="shared" si="9"/>
        <v/>
      </c>
      <c r="P554" s="26" t="str">
        <f t="shared" si="10"/>
        <v/>
      </c>
      <c r="Q554" s="26" t="str">
        <f t="shared" si="11"/>
        <v/>
      </c>
      <c r="R554" s="26" t="str">
        <f t="shared" si="12"/>
        <v/>
      </c>
      <c r="S554" s="26" t="str">
        <f t="shared" si="13"/>
        <v/>
      </c>
      <c r="T554" s="26" t="str">
        <f t="shared" si="14"/>
        <v/>
      </c>
      <c r="U554" s="26" t="str">
        <f t="shared" si="15"/>
        <v/>
      </c>
      <c r="V554" s="26" t="str">
        <f t="shared" si="16"/>
        <v/>
      </c>
      <c r="W554" s="26" t="str">
        <f t="shared" si="17"/>
        <v/>
      </c>
      <c r="X554" s="26" t="str">
        <f t="shared" si="18"/>
        <v/>
      </c>
      <c r="Y554" s="26" t="str">
        <f t="shared" si="19"/>
        <v/>
      </c>
      <c r="Z554" s="31" t="str">
        <f t="shared" si="20"/>
        <v/>
      </c>
      <c r="AA554" s="31" t="str">
        <f>IF(D554="","",IF(H554&lt;=$B$16,1,IF(H554&gt;=$B$17,$B$21,MATCH(H554,Aux_CAV!$A$2:$A$121,1))))</f>
        <v/>
      </c>
      <c r="AB554" s="31" t="str">
        <f>IF(D554="","",IF(L554&lt;=$B$16,1,IF(L554&gt;=$B$17,$B$21,MATCH(L554,Aux_CAV!$A$2:$A$121,1))))</f>
        <v/>
      </c>
      <c r="AC554" s="3" t="str">
        <f t="shared" si="21"/>
        <v/>
      </c>
    </row>
    <row r="555" ht="12.75" customHeight="1">
      <c r="A555" s="25" t="str">
        <f t="shared" si="1"/>
        <v/>
      </c>
      <c r="B555" s="29" t="str">
        <f t="array" ref="B555">IF(D555="","",IFERROR(VALUE(INDEX(Vazoes_COLAR!$A$2:$A$200,INT((ROW()-24)/12)+1)),""))</f>
        <v/>
      </c>
      <c r="C555" s="29" t="str">
        <f t="shared" si="2"/>
        <v/>
      </c>
      <c r="D555" s="26" t="str">
        <f t="array" ref="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55" s="26" t="str">
        <f t="shared" si="3"/>
        <v/>
      </c>
      <c r="F555" s="26" t="str">
        <f t="array" ref="F555">IF(D555="","",IFERROR(INDEX(Dados_Evap!$C$2:$N$15,MATCH($B$9,Dados_Evap!$A$2:$A$15,0),C555),0))</f>
        <v/>
      </c>
      <c r="G555" s="26" t="str">
        <f t="shared" si="4"/>
        <v/>
      </c>
      <c r="H555" s="26" t="str">
        <f t="shared" si="22"/>
        <v/>
      </c>
      <c r="I555" s="26" t="str">
        <f t="array" ref="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/>
      </c>
      <c r="J555" s="26" t="str">
        <f t="shared" si="5"/>
        <v/>
      </c>
      <c r="K555" s="26" t="str">
        <f t="shared" si="6"/>
        <v/>
      </c>
      <c r="L555" s="26" t="str">
        <f t="shared" si="7"/>
        <v/>
      </c>
      <c r="M555" s="26" t="str">
        <f t="array" ref="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/>
      </c>
      <c r="N555" s="26" t="str">
        <f t="shared" si="8"/>
        <v/>
      </c>
      <c r="O555" s="26" t="str">
        <f t="shared" si="9"/>
        <v/>
      </c>
      <c r="P555" s="26" t="str">
        <f t="shared" si="10"/>
        <v/>
      </c>
      <c r="Q555" s="26" t="str">
        <f t="shared" si="11"/>
        <v/>
      </c>
      <c r="R555" s="26" t="str">
        <f t="shared" si="12"/>
        <v/>
      </c>
      <c r="S555" s="26" t="str">
        <f t="shared" si="13"/>
        <v/>
      </c>
      <c r="T555" s="26" t="str">
        <f t="shared" si="14"/>
        <v/>
      </c>
      <c r="U555" s="26" t="str">
        <f t="shared" si="15"/>
        <v/>
      </c>
      <c r="V555" s="26" t="str">
        <f t="shared" si="16"/>
        <v/>
      </c>
      <c r="W555" s="26" t="str">
        <f t="shared" si="17"/>
        <v/>
      </c>
      <c r="X555" s="26" t="str">
        <f t="shared" si="18"/>
        <v/>
      </c>
      <c r="Y555" s="26" t="str">
        <f t="shared" si="19"/>
        <v/>
      </c>
      <c r="Z555" s="31" t="str">
        <f t="shared" si="20"/>
        <v/>
      </c>
      <c r="AA555" s="31" t="str">
        <f>IF(D555="","",IF(H555&lt;=$B$16,1,IF(H555&gt;=$B$17,$B$21,MATCH(H555,Aux_CAV!$A$2:$A$121,1))))</f>
        <v/>
      </c>
      <c r="AB555" s="31" t="str">
        <f>IF(D555="","",IF(L555&lt;=$B$16,1,IF(L555&gt;=$B$17,$B$21,MATCH(L555,Aux_CAV!$A$2:$A$121,1))))</f>
        <v/>
      </c>
      <c r="AC555" s="3" t="str">
        <f t="shared" si="21"/>
        <v/>
      </c>
    </row>
    <row r="556" ht="12.75" customHeight="1">
      <c r="A556" s="25" t="str">
        <f t="shared" si="1"/>
        <v/>
      </c>
      <c r="B556" s="29" t="str">
        <f t="array" ref="B556">IF(D556="","",IFERROR(VALUE(INDEX(Vazoes_COLAR!$A$2:$A$200,INT((ROW()-24)/12)+1)),""))</f>
        <v/>
      </c>
      <c r="C556" s="29" t="str">
        <f t="shared" si="2"/>
        <v/>
      </c>
      <c r="D556" s="26" t="str">
        <f t="array" ref="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56" s="26" t="str">
        <f t="shared" si="3"/>
        <v/>
      </c>
      <c r="F556" s="26" t="str">
        <f t="array" ref="F556">IF(D556="","",IFERROR(INDEX(Dados_Evap!$C$2:$N$15,MATCH($B$9,Dados_Evap!$A$2:$A$15,0),C556),0))</f>
        <v/>
      </c>
      <c r="G556" s="26" t="str">
        <f t="shared" si="4"/>
        <v/>
      </c>
      <c r="H556" s="26" t="str">
        <f t="shared" si="22"/>
        <v/>
      </c>
      <c r="I556" s="26" t="str">
        <f t="array" ref="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/>
      </c>
      <c r="J556" s="26" t="str">
        <f t="shared" si="5"/>
        <v/>
      </c>
      <c r="K556" s="26" t="str">
        <f t="shared" si="6"/>
        <v/>
      </c>
      <c r="L556" s="26" t="str">
        <f t="shared" si="7"/>
        <v/>
      </c>
      <c r="M556" s="26" t="str">
        <f t="array" ref="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/>
      </c>
      <c r="N556" s="26" t="str">
        <f t="shared" si="8"/>
        <v/>
      </c>
      <c r="O556" s="26" t="str">
        <f t="shared" si="9"/>
        <v/>
      </c>
      <c r="P556" s="26" t="str">
        <f t="shared" si="10"/>
        <v/>
      </c>
      <c r="Q556" s="26" t="str">
        <f t="shared" si="11"/>
        <v/>
      </c>
      <c r="R556" s="26" t="str">
        <f t="shared" si="12"/>
        <v/>
      </c>
      <c r="S556" s="26" t="str">
        <f t="shared" si="13"/>
        <v/>
      </c>
      <c r="T556" s="26" t="str">
        <f t="shared" si="14"/>
        <v/>
      </c>
      <c r="U556" s="26" t="str">
        <f t="shared" si="15"/>
        <v/>
      </c>
      <c r="V556" s="26" t="str">
        <f t="shared" si="16"/>
        <v/>
      </c>
      <c r="W556" s="26" t="str">
        <f t="shared" si="17"/>
        <v/>
      </c>
      <c r="X556" s="26" t="str">
        <f t="shared" si="18"/>
        <v/>
      </c>
      <c r="Y556" s="26" t="str">
        <f t="shared" si="19"/>
        <v/>
      </c>
      <c r="Z556" s="31" t="str">
        <f t="shared" si="20"/>
        <v/>
      </c>
      <c r="AA556" s="31" t="str">
        <f>IF(D556="","",IF(H556&lt;=$B$16,1,IF(H556&gt;=$B$17,$B$21,MATCH(H556,Aux_CAV!$A$2:$A$121,1))))</f>
        <v/>
      </c>
      <c r="AB556" s="31" t="str">
        <f>IF(D556="","",IF(L556&lt;=$B$16,1,IF(L556&gt;=$B$17,$B$21,MATCH(L556,Aux_CAV!$A$2:$A$121,1))))</f>
        <v/>
      </c>
      <c r="AC556" s="3" t="str">
        <f t="shared" si="21"/>
        <v/>
      </c>
    </row>
    <row r="557" ht="12.75" customHeight="1">
      <c r="A557" s="25" t="str">
        <f t="shared" si="1"/>
        <v/>
      </c>
      <c r="B557" s="29" t="str">
        <f t="array" ref="B557">IF(D557="","",IFERROR(VALUE(INDEX(Vazoes_COLAR!$A$2:$A$200,INT((ROW()-24)/12)+1)),""))</f>
        <v/>
      </c>
      <c r="C557" s="29" t="str">
        <f t="shared" si="2"/>
        <v/>
      </c>
      <c r="D557" s="26" t="str">
        <f t="array" ref="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57" s="26" t="str">
        <f t="shared" si="3"/>
        <v/>
      </c>
      <c r="F557" s="26" t="str">
        <f t="array" ref="F557">IF(D557="","",IFERROR(INDEX(Dados_Evap!$C$2:$N$15,MATCH($B$9,Dados_Evap!$A$2:$A$15,0),C557),0))</f>
        <v/>
      </c>
      <c r="G557" s="26" t="str">
        <f t="shared" si="4"/>
        <v/>
      </c>
      <c r="H557" s="26" t="str">
        <f t="shared" si="22"/>
        <v/>
      </c>
      <c r="I557" s="26" t="str">
        <f t="array" ref="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/>
      </c>
      <c r="J557" s="26" t="str">
        <f t="shared" si="5"/>
        <v/>
      </c>
      <c r="K557" s="26" t="str">
        <f t="shared" si="6"/>
        <v/>
      </c>
      <c r="L557" s="26" t="str">
        <f t="shared" si="7"/>
        <v/>
      </c>
      <c r="M557" s="26" t="str">
        <f t="array" ref="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/>
      </c>
      <c r="N557" s="26" t="str">
        <f t="shared" si="8"/>
        <v/>
      </c>
      <c r="O557" s="26" t="str">
        <f t="shared" si="9"/>
        <v/>
      </c>
      <c r="P557" s="26" t="str">
        <f t="shared" si="10"/>
        <v/>
      </c>
      <c r="Q557" s="26" t="str">
        <f t="shared" si="11"/>
        <v/>
      </c>
      <c r="R557" s="26" t="str">
        <f t="shared" si="12"/>
        <v/>
      </c>
      <c r="S557" s="26" t="str">
        <f t="shared" si="13"/>
        <v/>
      </c>
      <c r="T557" s="26" t="str">
        <f t="shared" si="14"/>
        <v/>
      </c>
      <c r="U557" s="26" t="str">
        <f t="shared" si="15"/>
        <v/>
      </c>
      <c r="V557" s="26" t="str">
        <f t="shared" si="16"/>
        <v/>
      </c>
      <c r="W557" s="26" t="str">
        <f t="shared" si="17"/>
        <v/>
      </c>
      <c r="X557" s="26" t="str">
        <f t="shared" si="18"/>
        <v/>
      </c>
      <c r="Y557" s="26" t="str">
        <f t="shared" si="19"/>
        <v/>
      </c>
      <c r="Z557" s="31" t="str">
        <f t="shared" si="20"/>
        <v/>
      </c>
      <c r="AA557" s="31" t="str">
        <f>IF(D557="","",IF(H557&lt;=$B$16,1,IF(H557&gt;=$B$17,$B$21,MATCH(H557,Aux_CAV!$A$2:$A$121,1))))</f>
        <v/>
      </c>
      <c r="AB557" s="31" t="str">
        <f>IF(D557="","",IF(L557&lt;=$B$16,1,IF(L557&gt;=$B$17,$B$21,MATCH(L557,Aux_CAV!$A$2:$A$121,1))))</f>
        <v/>
      </c>
      <c r="AC557" s="3" t="str">
        <f t="shared" si="21"/>
        <v/>
      </c>
    </row>
    <row r="558" ht="12.75" customHeight="1">
      <c r="A558" s="25" t="str">
        <f t="shared" si="1"/>
        <v/>
      </c>
      <c r="B558" s="29" t="str">
        <f t="array" ref="B558">IF(D558="","",IFERROR(VALUE(INDEX(Vazoes_COLAR!$A$2:$A$200,INT((ROW()-24)/12)+1)),""))</f>
        <v/>
      </c>
      <c r="C558" s="29" t="str">
        <f t="shared" si="2"/>
        <v/>
      </c>
      <c r="D558" s="26" t="str">
        <f t="array" ref="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58" s="26" t="str">
        <f t="shared" si="3"/>
        <v/>
      </c>
      <c r="F558" s="26" t="str">
        <f t="array" ref="F558">IF(D558="","",IFERROR(INDEX(Dados_Evap!$C$2:$N$15,MATCH($B$9,Dados_Evap!$A$2:$A$15,0),C558),0))</f>
        <v/>
      </c>
      <c r="G558" s="26" t="str">
        <f t="shared" si="4"/>
        <v/>
      </c>
      <c r="H558" s="26" t="str">
        <f t="shared" si="22"/>
        <v/>
      </c>
      <c r="I558" s="26" t="str">
        <f t="array" ref="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/>
      </c>
      <c r="J558" s="26" t="str">
        <f t="shared" si="5"/>
        <v/>
      </c>
      <c r="K558" s="26" t="str">
        <f t="shared" si="6"/>
        <v/>
      </c>
      <c r="L558" s="26" t="str">
        <f t="shared" si="7"/>
        <v/>
      </c>
      <c r="M558" s="26" t="str">
        <f t="array" ref="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/>
      </c>
      <c r="N558" s="26" t="str">
        <f t="shared" si="8"/>
        <v/>
      </c>
      <c r="O558" s="26" t="str">
        <f t="shared" si="9"/>
        <v/>
      </c>
      <c r="P558" s="26" t="str">
        <f t="shared" si="10"/>
        <v/>
      </c>
      <c r="Q558" s="26" t="str">
        <f t="shared" si="11"/>
        <v/>
      </c>
      <c r="R558" s="26" t="str">
        <f t="shared" si="12"/>
        <v/>
      </c>
      <c r="S558" s="26" t="str">
        <f t="shared" si="13"/>
        <v/>
      </c>
      <c r="T558" s="26" t="str">
        <f t="shared" si="14"/>
        <v/>
      </c>
      <c r="U558" s="26" t="str">
        <f t="shared" si="15"/>
        <v/>
      </c>
      <c r="V558" s="26" t="str">
        <f t="shared" si="16"/>
        <v/>
      </c>
      <c r="W558" s="26" t="str">
        <f t="shared" si="17"/>
        <v/>
      </c>
      <c r="X558" s="26" t="str">
        <f t="shared" si="18"/>
        <v/>
      </c>
      <c r="Y558" s="26" t="str">
        <f t="shared" si="19"/>
        <v/>
      </c>
      <c r="Z558" s="31" t="str">
        <f t="shared" si="20"/>
        <v/>
      </c>
      <c r="AA558" s="31" t="str">
        <f>IF(D558="","",IF(H558&lt;=$B$16,1,IF(H558&gt;=$B$17,$B$21,MATCH(H558,Aux_CAV!$A$2:$A$121,1))))</f>
        <v/>
      </c>
      <c r="AB558" s="31" t="str">
        <f>IF(D558="","",IF(L558&lt;=$B$16,1,IF(L558&gt;=$B$17,$B$21,MATCH(L558,Aux_CAV!$A$2:$A$121,1))))</f>
        <v/>
      </c>
      <c r="AC558" s="3" t="str">
        <f t="shared" si="21"/>
        <v/>
      </c>
    </row>
    <row r="559" ht="12.75" customHeight="1">
      <c r="A559" s="25" t="str">
        <f t="shared" si="1"/>
        <v/>
      </c>
      <c r="B559" s="29" t="str">
        <f t="array" ref="B559">IF(D559="","",IFERROR(VALUE(INDEX(Vazoes_COLAR!$A$2:$A$200,INT((ROW()-24)/12)+1)),""))</f>
        <v/>
      </c>
      <c r="C559" s="29" t="str">
        <f t="shared" si="2"/>
        <v/>
      </c>
      <c r="D559" s="26" t="str">
        <f t="array" ref="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59" s="26" t="str">
        <f t="shared" si="3"/>
        <v/>
      </c>
      <c r="F559" s="26" t="str">
        <f t="array" ref="F559">IF(D559="","",IFERROR(INDEX(Dados_Evap!$C$2:$N$15,MATCH($B$9,Dados_Evap!$A$2:$A$15,0),C559),0))</f>
        <v/>
      </c>
      <c r="G559" s="26" t="str">
        <f t="shared" si="4"/>
        <v/>
      </c>
      <c r="H559" s="26" t="str">
        <f t="shared" si="22"/>
        <v/>
      </c>
      <c r="I559" s="26" t="str">
        <f t="array" ref="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/>
      </c>
      <c r="J559" s="26" t="str">
        <f t="shared" si="5"/>
        <v/>
      </c>
      <c r="K559" s="26" t="str">
        <f t="shared" si="6"/>
        <v/>
      </c>
      <c r="L559" s="26" t="str">
        <f t="shared" si="7"/>
        <v/>
      </c>
      <c r="M559" s="26" t="str">
        <f t="array" ref="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/>
      </c>
      <c r="N559" s="26" t="str">
        <f t="shared" si="8"/>
        <v/>
      </c>
      <c r="O559" s="26" t="str">
        <f t="shared" si="9"/>
        <v/>
      </c>
      <c r="P559" s="26" t="str">
        <f t="shared" si="10"/>
        <v/>
      </c>
      <c r="Q559" s="26" t="str">
        <f t="shared" si="11"/>
        <v/>
      </c>
      <c r="R559" s="26" t="str">
        <f t="shared" si="12"/>
        <v/>
      </c>
      <c r="S559" s="26" t="str">
        <f t="shared" si="13"/>
        <v/>
      </c>
      <c r="T559" s="26" t="str">
        <f t="shared" si="14"/>
        <v/>
      </c>
      <c r="U559" s="26" t="str">
        <f t="shared" si="15"/>
        <v/>
      </c>
      <c r="V559" s="26" t="str">
        <f t="shared" si="16"/>
        <v/>
      </c>
      <c r="W559" s="26" t="str">
        <f t="shared" si="17"/>
        <v/>
      </c>
      <c r="X559" s="26" t="str">
        <f t="shared" si="18"/>
        <v/>
      </c>
      <c r="Y559" s="26" t="str">
        <f t="shared" si="19"/>
        <v/>
      </c>
      <c r="Z559" s="31" t="str">
        <f t="shared" si="20"/>
        <v/>
      </c>
      <c r="AA559" s="31" t="str">
        <f>IF(D559="","",IF(H559&lt;=$B$16,1,IF(H559&gt;=$B$17,$B$21,MATCH(H559,Aux_CAV!$A$2:$A$121,1))))</f>
        <v/>
      </c>
      <c r="AB559" s="31" t="str">
        <f>IF(D559="","",IF(L559&lt;=$B$16,1,IF(L559&gt;=$B$17,$B$21,MATCH(L559,Aux_CAV!$A$2:$A$121,1))))</f>
        <v/>
      </c>
      <c r="AC559" s="3" t="str">
        <f t="shared" si="21"/>
        <v/>
      </c>
    </row>
    <row r="560" ht="12.75" customHeight="1">
      <c r="A560" s="25" t="str">
        <f t="shared" si="1"/>
        <v/>
      </c>
      <c r="B560" s="29" t="str">
        <f t="array" ref="B560">IF(D560="","",IFERROR(VALUE(INDEX(Vazoes_COLAR!$A$2:$A$200,INT((ROW()-24)/12)+1)),""))</f>
        <v/>
      </c>
      <c r="C560" s="29" t="str">
        <f t="shared" si="2"/>
        <v/>
      </c>
      <c r="D560" s="26" t="str">
        <f t="array" ref="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60" s="26" t="str">
        <f t="shared" si="3"/>
        <v/>
      </c>
      <c r="F560" s="26" t="str">
        <f t="array" ref="F560">IF(D560="","",IFERROR(INDEX(Dados_Evap!$C$2:$N$15,MATCH($B$9,Dados_Evap!$A$2:$A$15,0),C560),0))</f>
        <v/>
      </c>
      <c r="G560" s="26" t="str">
        <f t="shared" si="4"/>
        <v/>
      </c>
      <c r="H560" s="26" t="str">
        <f t="shared" si="22"/>
        <v/>
      </c>
      <c r="I560" s="26" t="str">
        <f t="array" ref="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/>
      </c>
      <c r="J560" s="26" t="str">
        <f t="shared" si="5"/>
        <v/>
      </c>
      <c r="K560" s="26" t="str">
        <f t="shared" si="6"/>
        <v/>
      </c>
      <c r="L560" s="26" t="str">
        <f t="shared" si="7"/>
        <v/>
      </c>
      <c r="M560" s="26" t="str">
        <f t="array" ref="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/>
      </c>
      <c r="N560" s="26" t="str">
        <f t="shared" si="8"/>
        <v/>
      </c>
      <c r="O560" s="26" t="str">
        <f t="shared" si="9"/>
        <v/>
      </c>
      <c r="P560" s="26" t="str">
        <f t="shared" si="10"/>
        <v/>
      </c>
      <c r="Q560" s="26" t="str">
        <f t="shared" si="11"/>
        <v/>
      </c>
      <c r="R560" s="26" t="str">
        <f t="shared" si="12"/>
        <v/>
      </c>
      <c r="S560" s="26" t="str">
        <f t="shared" si="13"/>
        <v/>
      </c>
      <c r="T560" s="26" t="str">
        <f t="shared" si="14"/>
        <v/>
      </c>
      <c r="U560" s="26" t="str">
        <f t="shared" si="15"/>
        <v/>
      </c>
      <c r="V560" s="26" t="str">
        <f t="shared" si="16"/>
        <v/>
      </c>
      <c r="W560" s="26" t="str">
        <f t="shared" si="17"/>
        <v/>
      </c>
      <c r="X560" s="26" t="str">
        <f t="shared" si="18"/>
        <v/>
      </c>
      <c r="Y560" s="26" t="str">
        <f t="shared" si="19"/>
        <v/>
      </c>
      <c r="Z560" s="31" t="str">
        <f t="shared" si="20"/>
        <v/>
      </c>
      <c r="AA560" s="31" t="str">
        <f>IF(D560="","",IF(H560&lt;=$B$16,1,IF(H560&gt;=$B$17,$B$21,MATCH(H560,Aux_CAV!$A$2:$A$121,1))))</f>
        <v/>
      </c>
      <c r="AB560" s="31" t="str">
        <f>IF(D560="","",IF(L560&lt;=$B$16,1,IF(L560&gt;=$B$17,$B$21,MATCH(L560,Aux_CAV!$A$2:$A$121,1))))</f>
        <v/>
      </c>
      <c r="AC560" s="3" t="str">
        <f t="shared" si="21"/>
        <v/>
      </c>
    </row>
    <row r="561" ht="12.75" customHeight="1">
      <c r="A561" s="25" t="str">
        <f t="shared" si="1"/>
        <v/>
      </c>
      <c r="B561" s="29" t="str">
        <f t="array" ref="B561">IF(D561="","",IFERROR(VALUE(INDEX(Vazoes_COLAR!$A$2:$A$200,INT((ROW()-24)/12)+1)),""))</f>
        <v/>
      </c>
      <c r="C561" s="29" t="str">
        <f t="shared" si="2"/>
        <v/>
      </c>
      <c r="D561" s="26" t="str">
        <f t="array" ref="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61" s="26" t="str">
        <f t="shared" si="3"/>
        <v/>
      </c>
      <c r="F561" s="26" t="str">
        <f t="array" ref="F561">IF(D561="","",IFERROR(INDEX(Dados_Evap!$C$2:$N$15,MATCH($B$9,Dados_Evap!$A$2:$A$15,0),C561),0))</f>
        <v/>
      </c>
      <c r="G561" s="26" t="str">
        <f t="shared" si="4"/>
        <v/>
      </c>
      <c r="H561" s="26" t="str">
        <f t="shared" si="22"/>
        <v/>
      </c>
      <c r="I561" s="26" t="str">
        <f t="array" ref="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/>
      </c>
      <c r="J561" s="26" t="str">
        <f t="shared" si="5"/>
        <v/>
      </c>
      <c r="K561" s="26" t="str">
        <f t="shared" si="6"/>
        <v/>
      </c>
      <c r="L561" s="26" t="str">
        <f t="shared" si="7"/>
        <v/>
      </c>
      <c r="M561" s="26" t="str">
        <f t="array" ref="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/>
      </c>
      <c r="N561" s="26" t="str">
        <f t="shared" si="8"/>
        <v/>
      </c>
      <c r="O561" s="26" t="str">
        <f t="shared" si="9"/>
        <v/>
      </c>
      <c r="P561" s="26" t="str">
        <f t="shared" si="10"/>
        <v/>
      </c>
      <c r="Q561" s="26" t="str">
        <f t="shared" si="11"/>
        <v/>
      </c>
      <c r="R561" s="26" t="str">
        <f t="shared" si="12"/>
        <v/>
      </c>
      <c r="S561" s="26" t="str">
        <f t="shared" si="13"/>
        <v/>
      </c>
      <c r="T561" s="26" t="str">
        <f t="shared" si="14"/>
        <v/>
      </c>
      <c r="U561" s="26" t="str">
        <f t="shared" si="15"/>
        <v/>
      </c>
      <c r="V561" s="26" t="str">
        <f t="shared" si="16"/>
        <v/>
      </c>
      <c r="W561" s="26" t="str">
        <f t="shared" si="17"/>
        <v/>
      </c>
      <c r="X561" s="26" t="str">
        <f t="shared" si="18"/>
        <v/>
      </c>
      <c r="Y561" s="26" t="str">
        <f t="shared" si="19"/>
        <v/>
      </c>
      <c r="Z561" s="31" t="str">
        <f t="shared" si="20"/>
        <v/>
      </c>
      <c r="AA561" s="31" t="str">
        <f>IF(D561="","",IF(H561&lt;=$B$16,1,IF(H561&gt;=$B$17,$B$21,MATCH(H561,Aux_CAV!$A$2:$A$121,1))))</f>
        <v/>
      </c>
      <c r="AB561" s="31" t="str">
        <f>IF(D561="","",IF(L561&lt;=$B$16,1,IF(L561&gt;=$B$17,$B$21,MATCH(L561,Aux_CAV!$A$2:$A$121,1))))</f>
        <v/>
      </c>
      <c r="AC561" s="3" t="str">
        <f t="shared" si="21"/>
        <v/>
      </c>
    </row>
    <row r="562" ht="12.75" customHeight="1">
      <c r="A562" s="25" t="str">
        <f t="shared" si="1"/>
        <v/>
      </c>
      <c r="B562" s="29" t="str">
        <f t="array" ref="B562">IF(D562="","",IFERROR(VALUE(INDEX(Vazoes_COLAR!$A$2:$A$200,INT((ROW()-24)/12)+1)),""))</f>
        <v/>
      </c>
      <c r="C562" s="29" t="str">
        <f t="shared" si="2"/>
        <v/>
      </c>
      <c r="D562" s="26" t="str">
        <f t="array" ref="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62" s="26" t="str">
        <f t="shared" si="3"/>
        <v/>
      </c>
      <c r="F562" s="26" t="str">
        <f t="array" ref="F562">IF(D562="","",IFERROR(INDEX(Dados_Evap!$C$2:$N$15,MATCH($B$9,Dados_Evap!$A$2:$A$15,0),C562),0))</f>
        <v/>
      </c>
      <c r="G562" s="26" t="str">
        <f t="shared" si="4"/>
        <v/>
      </c>
      <c r="H562" s="26" t="str">
        <f t="shared" si="22"/>
        <v/>
      </c>
      <c r="I562" s="26" t="str">
        <f t="array" ref="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/>
      </c>
      <c r="J562" s="26" t="str">
        <f t="shared" si="5"/>
        <v/>
      </c>
      <c r="K562" s="26" t="str">
        <f t="shared" si="6"/>
        <v/>
      </c>
      <c r="L562" s="26" t="str">
        <f t="shared" si="7"/>
        <v/>
      </c>
      <c r="M562" s="26" t="str">
        <f t="array" ref="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/>
      </c>
      <c r="N562" s="26" t="str">
        <f t="shared" si="8"/>
        <v/>
      </c>
      <c r="O562" s="26" t="str">
        <f t="shared" si="9"/>
        <v/>
      </c>
      <c r="P562" s="26" t="str">
        <f t="shared" si="10"/>
        <v/>
      </c>
      <c r="Q562" s="26" t="str">
        <f t="shared" si="11"/>
        <v/>
      </c>
      <c r="R562" s="26" t="str">
        <f t="shared" si="12"/>
        <v/>
      </c>
      <c r="S562" s="26" t="str">
        <f t="shared" si="13"/>
        <v/>
      </c>
      <c r="T562" s="26" t="str">
        <f t="shared" si="14"/>
        <v/>
      </c>
      <c r="U562" s="26" t="str">
        <f t="shared" si="15"/>
        <v/>
      </c>
      <c r="V562" s="26" t="str">
        <f t="shared" si="16"/>
        <v/>
      </c>
      <c r="W562" s="26" t="str">
        <f t="shared" si="17"/>
        <v/>
      </c>
      <c r="X562" s="26" t="str">
        <f t="shared" si="18"/>
        <v/>
      </c>
      <c r="Y562" s="26" t="str">
        <f t="shared" si="19"/>
        <v/>
      </c>
      <c r="Z562" s="31" t="str">
        <f t="shared" si="20"/>
        <v/>
      </c>
      <c r="AA562" s="31" t="str">
        <f>IF(D562="","",IF(H562&lt;=$B$16,1,IF(H562&gt;=$B$17,$B$21,MATCH(H562,Aux_CAV!$A$2:$A$121,1))))</f>
        <v/>
      </c>
      <c r="AB562" s="31" t="str">
        <f>IF(D562="","",IF(L562&lt;=$B$16,1,IF(L562&gt;=$B$17,$B$21,MATCH(L562,Aux_CAV!$A$2:$A$121,1))))</f>
        <v/>
      </c>
      <c r="AC562" s="3" t="str">
        <f t="shared" si="21"/>
        <v/>
      </c>
    </row>
    <row r="563" ht="12.75" customHeight="1">
      <c r="A563" s="25" t="str">
        <f t="shared" si="1"/>
        <v/>
      </c>
      <c r="B563" s="29" t="str">
        <f t="array" ref="B563">IF(D563="","",IFERROR(VALUE(INDEX(Vazoes_COLAR!$A$2:$A$200,INT((ROW()-24)/12)+1)),""))</f>
        <v/>
      </c>
      <c r="C563" s="29" t="str">
        <f t="shared" si="2"/>
        <v/>
      </c>
      <c r="D563" s="26" t="str">
        <f t="array" ref="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63" s="26" t="str">
        <f t="shared" si="3"/>
        <v/>
      </c>
      <c r="F563" s="26" t="str">
        <f t="array" ref="F563">IF(D563="","",IFERROR(INDEX(Dados_Evap!$C$2:$N$15,MATCH($B$9,Dados_Evap!$A$2:$A$15,0),C563),0))</f>
        <v/>
      </c>
      <c r="G563" s="26" t="str">
        <f t="shared" si="4"/>
        <v/>
      </c>
      <c r="H563" s="26" t="str">
        <f t="shared" si="22"/>
        <v/>
      </c>
      <c r="I563" s="26" t="str">
        <f t="array" ref="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/>
      </c>
      <c r="J563" s="26" t="str">
        <f t="shared" si="5"/>
        <v/>
      </c>
      <c r="K563" s="26" t="str">
        <f t="shared" si="6"/>
        <v/>
      </c>
      <c r="L563" s="26" t="str">
        <f t="shared" si="7"/>
        <v/>
      </c>
      <c r="M563" s="26" t="str">
        <f t="array" ref="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/>
      </c>
      <c r="N563" s="26" t="str">
        <f t="shared" si="8"/>
        <v/>
      </c>
      <c r="O563" s="26" t="str">
        <f t="shared" si="9"/>
        <v/>
      </c>
      <c r="P563" s="26" t="str">
        <f t="shared" si="10"/>
        <v/>
      </c>
      <c r="Q563" s="26" t="str">
        <f t="shared" si="11"/>
        <v/>
      </c>
      <c r="R563" s="26" t="str">
        <f t="shared" si="12"/>
        <v/>
      </c>
      <c r="S563" s="26" t="str">
        <f t="shared" si="13"/>
        <v/>
      </c>
      <c r="T563" s="26" t="str">
        <f t="shared" si="14"/>
        <v/>
      </c>
      <c r="U563" s="26" t="str">
        <f t="shared" si="15"/>
        <v/>
      </c>
      <c r="V563" s="26" t="str">
        <f t="shared" si="16"/>
        <v/>
      </c>
      <c r="W563" s="26" t="str">
        <f t="shared" si="17"/>
        <v/>
      </c>
      <c r="X563" s="26" t="str">
        <f t="shared" si="18"/>
        <v/>
      </c>
      <c r="Y563" s="26" t="str">
        <f t="shared" si="19"/>
        <v/>
      </c>
      <c r="Z563" s="31" t="str">
        <f t="shared" si="20"/>
        <v/>
      </c>
      <c r="AA563" s="31" t="str">
        <f>IF(D563="","",IF(H563&lt;=$B$16,1,IF(H563&gt;=$B$17,$B$21,MATCH(H563,Aux_CAV!$A$2:$A$121,1))))</f>
        <v/>
      </c>
      <c r="AB563" s="31" t="str">
        <f>IF(D563="","",IF(L563&lt;=$B$16,1,IF(L563&gt;=$B$17,$B$21,MATCH(L563,Aux_CAV!$A$2:$A$121,1))))</f>
        <v/>
      </c>
      <c r="AC563" s="3" t="str">
        <f t="shared" si="21"/>
        <v/>
      </c>
    </row>
    <row r="564" ht="12.75" customHeight="1">
      <c r="A564" s="25" t="str">
        <f t="shared" si="1"/>
        <v/>
      </c>
      <c r="B564" s="29" t="str">
        <f t="array" ref="B564">IF(D564="","",IFERROR(VALUE(INDEX(Vazoes_COLAR!$A$2:$A$200,INT((ROW()-24)/12)+1)),""))</f>
        <v/>
      </c>
      <c r="C564" s="29" t="str">
        <f t="shared" si="2"/>
        <v/>
      </c>
      <c r="D564" s="26" t="str">
        <f t="array" ref="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64" s="26" t="str">
        <f t="shared" si="3"/>
        <v/>
      </c>
      <c r="F564" s="26" t="str">
        <f t="array" ref="F564">IF(D564="","",IFERROR(INDEX(Dados_Evap!$C$2:$N$15,MATCH($B$9,Dados_Evap!$A$2:$A$15,0),C564),0))</f>
        <v/>
      </c>
      <c r="G564" s="26" t="str">
        <f t="shared" si="4"/>
        <v/>
      </c>
      <c r="H564" s="26" t="str">
        <f t="shared" si="22"/>
        <v/>
      </c>
      <c r="I564" s="26" t="str">
        <f t="array" ref="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/>
      </c>
      <c r="J564" s="26" t="str">
        <f t="shared" si="5"/>
        <v/>
      </c>
      <c r="K564" s="26" t="str">
        <f t="shared" si="6"/>
        <v/>
      </c>
      <c r="L564" s="26" t="str">
        <f t="shared" si="7"/>
        <v/>
      </c>
      <c r="M564" s="26" t="str">
        <f t="array" ref="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/>
      </c>
      <c r="N564" s="26" t="str">
        <f t="shared" si="8"/>
        <v/>
      </c>
      <c r="O564" s="26" t="str">
        <f t="shared" si="9"/>
        <v/>
      </c>
      <c r="P564" s="26" t="str">
        <f t="shared" si="10"/>
        <v/>
      </c>
      <c r="Q564" s="26" t="str">
        <f t="shared" si="11"/>
        <v/>
      </c>
      <c r="R564" s="26" t="str">
        <f t="shared" si="12"/>
        <v/>
      </c>
      <c r="S564" s="26" t="str">
        <f t="shared" si="13"/>
        <v/>
      </c>
      <c r="T564" s="26" t="str">
        <f t="shared" si="14"/>
        <v/>
      </c>
      <c r="U564" s="26" t="str">
        <f t="shared" si="15"/>
        <v/>
      </c>
      <c r="V564" s="26" t="str">
        <f t="shared" si="16"/>
        <v/>
      </c>
      <c r="W564" s="26" t="str">
        <f t="shared" si="17"/>
        <v/>
      </c>
      <c r="X564" s="26" t="str">
        <f t="shared" si="18"/>
        <v/>
      </c>
      <c r="Y564" s="26" t="str">
        <f t="shared" si="19"/>
        <v/>
      </c>
      <c r="Z564" s="31" t="str">
        <f t="shared" si="20"/>
        <v/>
      </c>
      <c r="AA564" s="31" t="str">
        <f>IF(D564="","",IF(H564&lt;=$B$16,1,IF(H564&gt;=$B$17,$B$21,MATCH(H564,Aux_CAV!$A$2:$A$121,1))))</f>
        <v/>
      </c>
      <c r="AB564" s="31" t="str">
        <f>IF(D564="","",IF(L564&lt;=$B$16,1,IF(L564&gt;=$B$17,$B$21,MATCH(L564,Aux_CAV!$A$2:$A$121,1))))</f>
        <v/>
      </c>
      <c r="AC564" s="3" t="str">
        <f t="shared" si="21"/>
        <v/>
      </c>
    </row>
    <row r="565" ht="12.75" customHeight="1">
      <c r="A565" s="25" t="str">
        <f t="shared" si="1"/>
        <v/>
      </c>
      <c r="B565" s="29" t="str">
        <f t="array" ref="B565">IF(D565="","",IFERROR(VALUE(INDEX(Vazoes_COLAR!$A$2:$A$200,INT((ROW()-24)/12)+1)),""))</f>
        <v/>
      </c>
      <c r="C565" s="29" t="str">
        <f t="shared" si="2"/>
        <v/>
      </c>
      <c r="D565" s="26" t="str">
        <f t="array" ref="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65" s="26" t="str">
        <f t="shared" si="3"/>
        <v/>
      </c>
      <c r="F565" s="26" t="str">
        <f t="array" ref="F565">IF(D565="","",IFERROR(INDEX(Dados_Evap!$C$2:$N$15,MATCH($B$9,Dados_Evap!$A$2:$A$15,0),C565),0))</f>
        <v/>
      </c>
      <c r="G565" s="26" t="str">
        <f t="shared" si="4"/>
        <v/>
      </c>
      <c r="H565" s="26" t="str">
        <f t="shared" si="22"/>
        <v/>
      </c>
      <c r="I565" s="26" t="str">
        <f t="array" ref="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/>
      </c>
      <c r="J565" s="26" t="str">
        <f t="shared" si="5"/>
        <v/>
      </c>
      <c r="K565" s="26" t="str">
        <f t="shared" si="6"/>
        <v/>
      </c>
      <c r="L565" s="26" t="str">
        <f t="shared" si="7"/>
        <v/>
      </c>
      <c r="M565" s="26" t="str">
        <f t="array" ref="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/>
      </c>
      <c r="N565" s="26" t="str">
        <f t="shared" si="8"/>
        <v/>
      </c>
      <c r="O565" s="26" t="str">
        <f t="shared" si="9"/>
        <v/>
      </c>
      <c r="P565" s="26" t="str">
        <f t="shared" si="10"/>
        <v/>
      </c>
      <c r="Q565" s="26" t="str">
        <f t="shared" si="11"/>
        <v/>
      </c>
      <c r="R565" s="26" t="str">
        <f t="shared" si="12"/>
        <v/>
      </c>
      <c r="S565" s="26" t="str">
        <f t="shared" si="13"/>
        <v/>
      </c>
      <c r="T565" s="26" t="str">
        <f t="shared" si="14"/>
        <v/>
      </c>
      <c r="U565" s="26" t="str">
        <f t="shared" si="15"/>
        <v/>
      </c>
      <c r="V565" s="26" t="str">
        <f t="shared" si="16"/>
        <v/>
      </c>
      <c r="W565" s="26" t="str">
        <f t="shared" si="17"/>
        <v/>
      </c>
      <c r="X565" s="26" t="str">
        <f t="shared" si="18"/>
        <v/>
      </c>
      <c r="Y565" s="26" t="str">
        <f t="shared" si="19"/>
        <v/>
      </c>
      <c r="Z565" s="31" t="str">
        <f t="shared" si="20"/>
        <v/>
      </c>
      <c r="AA565" s="31" t="str">
        <f>IF(D565="","",IF(H565&lt;=$B$16,1,IF(H565&gt;=$B$17,$B$21,MATCH(H565,Aux_CAV!$A$2:$A$121,1))))</f>
        <v/>
      </c>
      <c r="AB565" s="31" t="str">
        <f>IF(D565="","",IF(L565&lt;=$B$16,1,IF(L565&gt;=$B$17,$B$21,MATCH(L565,Aux_CAV!$A$2:$A$121,1))))</f>
        <v/>
      </c>
      <c r="AC565" s="3" t="str">
        <f t="shared" si="21"/>
        <v/>
      </c>
    </row>
    <row r="566" ht="12.75" customHeight="1">
      <c r="A566" s="25" t="str">
        <f t="shared" si="1"/>
        <v/>
      </c>
      <c r="B566" s="29" t="str">
        <f t="array" ref="B566">IF(D566="","",IFERROR(VALUE(INDEX(Vazoes_COLAR!$A$2:$A$200,INT((ROW()-24)/12)+1)),""))</f>
        <v/>
      </c>
      <c r="C566" s="29" t="str">
        <f t="shared" si="2"/>
        <v/>
      </c>
      <c r="D566" s="26" t="str">
        <f t="array" ref="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66" s="26" t="str">
        <f t="shared" si="3"/>
        <v/>
      </c>
      <c r="F566" s="26" t="str">
        <f t="array" ref="F566">IF(D566="","",IFERROR(INDEX(Dados_Evap!$C$2:$N$15,MATCH($B$9,Dados_Evap!$A$2:$A$15,0),C566),0))</f>
        <v/>
      </c>
      <c r="G566" s="26" t="str">
        <f t="shared" si="4"/>
        <v/>
      </c>
      <c r="H566" s="26" t="str">
        <f t="shared" si="22"/>
        <v/>
      </c>
      <c r="I566" s="26" t="str">
        <f t="array" ref="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/>
      </c>
      <c r="J566" s="26" t="str">
        <f t="shared" si="5"/>
        <v/>
      </c>
      <c r="K566" s="26" t="str">
        <f t="shared" si="6"/>
        <v/>
      </c>
      <c r="L566" s="26" t="str">
        <f t="shared" si="7"/>
        <v/>
      </c>
      <c r="M566" s="26" t="str">
        <f t="array" ref="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/>
      </c>
      <c r="N566" s="26" t="str">
        <f t="shared" si="8"/>
        <v/>
      </c>
      <c r="O566" s="26" t="str">
        <f t="shared" si="9"/>
        <v/>
      </c>
      <c r="P566" s="26" t="str">
        <f t="shared" si="10"/>
        <v/>
      </c>
      <c r="Q566" s="26" t="str">
        <f t="shared" si="11"/>
        <v/>
      </c>
      <c r="R566" s="26" t="str">
        <f t="shared" si="12"/>
        <v/>
      </c>
      <c r="S566" s="26" t="str">
        <f t="shared" si="13"/>
        <v/>
      </c>
      <c r="T566" s="26" t="str">
        <f t="shared" si="14"/>
        <v/>
      </c>
      <c r="U566" s="26" t="str">
        <f t="shared" si="15"/>
        <v/>
      </c>
      <c r="V566" s="26" t="str">
        <f t="shared" si="16"/>
        <v/>
      </c>
      <c r="W566" s="26" t="str">
        <f t="shared" si="17"/>
        <v/>
      </c>
      <c r="X566" s="26" t="str">
        <f t="shared" si="18"/>
        <v/>
      </c>
      <c r="Y566" s="26" t="str">
        <f t="shared" si="19"/>
        <v/>
      </c>
      <c r="Z566" s="31" t="str">
        <f t="shared" si="20"/>
        <v/>
      </c>
      <c r="AA566" s="31" t="str">
        <f>IF(D566="","",IF(H566&lt;=$B$16,1,IF(H566&gt;=$B$17,$B$21,MATCH(H566,Aux_CAV!$A$2:$A$121,1))))</f>
        <v/>
      </c>
      <c r="AB566" s="31" t="str">
        <f>IF(D566="","",IF(L566&lt;=$B$16,1,IF(L566&gt;=$B$17,$B$21,MATCH(L566,Aux_CAV!$A$2:$A$121,1))))</f>
        <v/>
      </c>
      <c r="AC566" s="3" t="str">
        <f t="shared" si="21"/>
        <v/>
      </c>
    </row>
    <row r="567" ht="12.75" customHeight="1">
      <c r="A567" s="25" t="str">
        <f t="shared" si="1"/>
        <v/>
      </c>
      <c r="B567" s="29" t="str">
        <f t="array" ref="B567">IF(D567="","",IFERROR(VALUE(INDEX(Vazoes_COLAR!$A$2:$A$200,INT((ROW()-24)/12)+1)),""))</f>
        <v/>
      </c>
      <c r="C567" s="29" t="str">
        <f t="shared" si="2"/>
        <v/>
      </c>
      <c r="D567" s="26" t="str">
        <f t="array" ref="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67" s="26" t="str">
        <f t="shared" si="3"/>
        <v/>
      </c>
      <c r="F567" s="26" t="str">
        <f t="array" ref="F567">IF(D567="","",IFERROR(INDEX(Dados_Evap!$C$2:$N$15,MATCH($B$9,Dados_Evap!$A$2:$A$15,0),C567),0))</f>
        <v/>
      </c>
      <c r="G567" s="26" t="str">
        <f t="shared" si="4"/>
        <v/>
      </c>
      <c r="H567" s="26" t="str">
        <f t="shared" si="22"/>
        <v/>
      </c>
      <c r="I567" s="26" t="str">
        <f t="array" ref="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/>
      </c>
      <c r="J567" s="26" t="str">
        <f t="shared" si="5"/>
        <v/>
      </c>
      <c r="K567" s="26" t="str">
        <f t="shared" si="6"/>
        <v/>
      </c>
      <c r="L567" s="26" t="str">
        <f t="shared" si="7"/>
        <v/>
      </c>
      <c r="M567" s="26" t="str">
        <f t="array" ref="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/>
      </c>
      <c r="N567" s="26" t="str">
        <f t="shared" si="8"/>
        <v/>
      </c>
      <c r="O567" s="26" t="str">
        <f t="shared" si="9"/>
        <v/>
      </c>
      <c r="P567" s="26" t="str">
        <f t="shared" si="10"/>
        <v/>
      </c>
      <c r="Q567" s="26" t="str">
        <f t="shared" si="11"/>
        <v/>
      </c>
      <c r="R567" s="26" t="str">
        <f t="shared" si="12"/>
        <v/>
      </c>
      <c r="S567" s="26" t="str">
        <f t="shared" si="13"/>
        <v/>
      </c>
      <c r="T567" s="26" t="str">
        <f t="shared" si="14"/>
        <v/>
      </c>
      <c r="U567" s="26" t="str">
        <f t="shared" si="15"/>
        <v/>
      </c>
      <c r="V567" s="26" t="str">
        <f t="shared" si="16"/>
        <v/>
      </c>
      <c r="W567" s="26" t="str">
        <f t="shared" si="17"/>
        <v/>
      </c>
      <c r="X567" s="26" t="str">
        <f t="shared" si="18"/>
        <v/>
      </c>
      <c r="Y567" s="26" t="str">
        <f t="shared" si="19"/>
        <v/>
      </c>
      <c r="Z567" s="31" t="str">
        <f t="shared" si="20"/>
        <v/>
      </c>
      <c r="AA567" s="31" t="str">
        <f>IF(D567="","",IF(H567&lt;=$B$16,1,IF(H567&gt;=$B$17,$B$21,MATCH(H567,Aux_CAV!$A$2:$A$121,1))))</f>
        <v/>
      </c>
      <c r="AB567" s="31" t="str">
        <f>IF(D567="","",IF(L567&lt;=$B$16,1,IF(L567&gt;=$B$17,$B$21,MATCH(L567,Aux_CAV!$A$2:$A$121,1))))</f>
        <v/>
      </c>
      <c r="AC567" s="3" t="str">
        <f t="shared" si="21"/>
        <v/>
      </c>
    </row>
    <row r="568" ht="12.75" customHeight="1">
      <c r="A568" s="25" t="str">
        <f t="shared" si="1"/>
        <v/>
      </c>
      <c r="B568" s="29" t="str">
        <f t="array" ref="B568">IF(D568="","",IFERROR(VALUE(INDEX(Vazoes_COLAR!$A$2:$A$200,INT((ROW()-24)/12)+1)),""))</f>
        <v/>
      </c>
      <c r="C568" s="29" t="str">
        <f t="shared" si="2"/>
        <v/>
      </c>
      <c r="D568" s="26" t="str">
        <f t="array" ref="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68" s="26" t="str">
        <f t="shared" si="3"/>
        <v/>
      </c>
      <c r="F568" s="26" t="str">
        <f t="array" ref="F568">IF(D568="","",IFERROR(INDEX(Dados_Evap!$C$2:$N$15,MATCH($B$9,Dados_Evap!$A$2:$A$15,0),C568),0))</f>
        <v/>
      </c>
      <c r="G568" s="26" t="str">
        <f t="shared" si="4"/>
        <v/>
      </c>
      <c r="H568" s="26" t="str">
        <f t="shared" si="22"/>
        <v/>
      </c>
      <c r="I568" s="26" t="str">
        <f t="array" ref="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/>
      </c>
      <c r="J568" s="26" t="str">
        <f t="shared" si="5"/>
        <v/>
      </c>
      <c r="K568" s="26" t="str">
        <f t="shared" si="6"/>
        <v/>
      </c>
      <c r="L568" s="26" t="str">
        <f t="shared" si="7"/>
        <v/>
      </c>
      <c r="M568" s="26" t="str">
        <f t="array" ref="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/>
      </c>
      <c r="N568" s="26" t="str">
        <f t="shared" si="8"/>
        <v/>
      </c>
      <c r="O568" s="26" t="str">
        <f t="shared" si="9"/>
        <v/>
      </c>
      <c r="P568" s="26" t="str">
        <f t="shared" si="10"/>
        <v/>
      </c>
      <c r="Q568" s="26" t="str">
        <f t="shared" si="11"/>
        <v/>
      </c>
      <c r="R568" s="26" t="str">
        <f t="shared" si="12"/>
        <v/>
      </c>
      <c r="S568" s="26" t="str">
        <f t="shared" si="13"/>
        <v/>
      </c>
      <c r="T568" s="26" t="str">
        <f t="shared" si="14"/>
        <v/>
      </c>
      <c r="U568" s="26" t="str">
        <f t="shared" si="15"/>
        <v/>
      </c>
      <c r="V568" s="26" t="str">
        <f t="shared" si="16"/>
        <v/>
      </c>
      <c r="W568" s="26" t="str">
        <f t="shared" si="17"/>
        <v/>
      </c>
      <c r="X568" s="26" t="str">
        <f t="shared" si="18"/>
        <v/>
      </c>
      <c r="Y568" s="26" t="str">
        <f t="shared" si="19"/>
        <v/>
      </c>
      <c r="Z568" s="31" t="str">
        <f t="shared" si="20"/>
        <v/>
      </c>
      <c r="AA568" s="31" t="str">
        <f>IF(D568="","",IF(H568&lt;=$B$16,1,IF(H568&gt;=$B$17,$B$21,MATCH(H568,Aux_CAV!$A$2:$A$121,1))))</f>
        <v/>
      </c>
      <c r="AB568" s="31" t="str">
        <f>IF(D568="","",IF(L568&lt;=$B$16,1,IF(L568&gt;=$B$17,$B$21,MATCH(L568,Aux_CAV!$A$2:$A$121,1))))</f>
        <v/>
      </c>
      <c r="AC568" s="3" t="str">
        <f t="shared" si="21"/>
        <v/>
      </c>
    </row>
    <row r="569" ht="12.75" customHeight="1">
      <c r="A569" s="25" t="str">
        <f t="shared" si="1"/>
        <v/>
      </c>
      <c r="B569" s="29" t="str">
        <f t="array" ref="B569">IF(D569="","",IFERROR(VALUE(INDEX(Vazoes_COLAR!$A$2:$A$200,INT((ROW()-24)/12)+1)),""))</f>
        <v/>
      </c>
      <c r="C569" s="29" t="str">
        <f t="shared" si="2"/>
        <v/>
      </c>
      <c r="D569" s="26" t="str">
        <f t="array" ref="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69" s="26" t="str">
        <f t="shared" si="3"/>
        <v/>
      </c>
      <c r="F569" s="26" t="str">
        <f t="array" ref="F569">IF(D569="","",IFERROR(INDEX(Dados_Evap!$C$2:$N$15,MATCH($B$9,Dados_Evap!$A$2:$A$15,0),C569),0))</f>
        <v/>
      </c>
      <c r="G569" s="26" t="str">
        <f t="shared" si="4"/>
        <v/>
      </c>
      <c r="H569" s="26" t="str">
        <f t="shared" si="22"/>
        <v/>
      </c>
      <c r="I569" s="26" t="str">
        <f t="array" ref="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/>
      </c>
      <c r="J569" s="26" t="str">
        <f t="shared" si="5"/>
        <v/>
      </c>
      <c r="K569" s="26" t="str">
        <f t="shared" si="6"/>
        <v/>
      </c>
      <c r="L569" s="26" t="str">
        <f t="shared" si="7"/>
        <v/>
      </c>
      <c r="M569" s="26" t="str">
        <f t="array" ref="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/>
      </c>
      <c r="N569" s="26" t="str">
        <f t="shared" si="8"/>
        <v/>
      </c>
      <c r="O569" s="26" t="str">
        <f t="shared" si="9"/>
        <v/>
      </c>
      <c r="P569" s="26" t="str">
        <f t="shared" si="10"/>
        <v/>
      </c>
      <c r="Q569" s="26" t="str">
        <f t="shared" si="11"/>
        <v/>
      </c>
      <c r="R569" s="26" t="str">
        <f t="shared" si="12"/>
        <v/>
      </c>
      <c r="S569" s="26" t="str">
        <f t="shared" si="13"/>
        <v/>
      </c>
      <c r="T569" s="26" t="str">
        <f t="shared" si="14"/>
        <v/>
      </c>
      <c r="U569" s="26" t="str">
        <f t="shared" si="15"/>
        <v/>
      </c>
      <c r="V569" s="26" t="str">
        <f t="shared" si="16"/>
        <v/>
      </c>
      <c r="W569" s="26" t="str">
        <f t="shared" si="17"/>
        <v/>
      </c>
      <c r="X569" s="26" t="str">
        <f t="shared" si="18"/>
        <v/>
      </c>
      <c r="Y569" s="26" t="str">
        <f t="shared" si="19"/>
        <v/>
      </c>
      <c r="Z569" s="31" t="str">
        <f t="shared" si="20"/>
        <v/>
      </c>
      <c r="AA569" s="31" t="str">
        <f>IF(D569="","",IF(H569&lt;=$B$16,1,IF(H569&gt;=$B$17,$B$21,MATCH(H569,Aux_CAV!$A$2:$A$121,1))))</f>
        <v/>
      </c>
      <c r="AB569" s="31" t="str">
        <f>IF(D569="","",IF(L569&lt;=$B$16,1,IF(L569&gt;=$B$17,$B$21,MATCH(L569,Aux_CAV!$A$2:$A$121,1))))</f>
        <v/>
      </c>
      <c r="AC569" s="3" t="str">
        <f t="shared" si="21"/>
        <v/>
      </c>
    </row>
    <row r="570" ht="12.75" customHeight="1">
      <c r="A570" s="25" t="str">
        <f t="shared" si="1"/>
        <v/>
      </c>
      <c r="B570" s="29" t="str">
        <f t="array" ref="B570">IF(D570="","",IFERROR(VALUE(INDEX(Vazoes_COLAR!$A$2:$A$200,INT((ROW()-24)/12)+1)),""))</f>
        <v/>
      </c>
      <c r="C570" s="29" t="str">
        <f t="shared" si="2"/>
        <v/>
      </c>
      <c r="D570" s="26" t="str">
        <f t="array" ref="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70" s="26" t="str">
        <f t="shared" si="3"/>
        <v/>
      </c>
      <c r="F570" s="26" t="str">
        <f t="array" ref="F570">IF(D570="","",IFERROR(INDEX(Dados_Evap!$C$2:$N$15,MATCH($B$9,Dados_Evap!$A$2:$A$15,0),C570),0))</f>
        <v/>
      </c>
      <c r="G570" s="26" t="str">
        <f t="shared" si="4"/>
        <v/>
      </c>
      <c r="H570" s="26" t="str">
        <f t="shared" si="22"/>
        <v/>
      </c>
      <c r="I570" s="26" t="str">
        <f t="array" ref="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/>
      </c>
      <c r="J570" s="26" t="str">
        <f t="shared" si="5"/>
        <v/>
      </c>
      <c r="K570" s="26" t="str">
        <f t="shared" si="6"/>
        <v/>
      </c>
      <c r="L570" s="26" t="str">
        <f t="shared" si="7"/>
        <v/>
      </c>
      <c r="M570" s="26" t="str">
        <f t="array" ref="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/>
      </c>
      <c r="N570" s="26" t="str">
        <f t="shared" si="8"/>
        <v/>
      </c>
      <c r="O570" s="26" t="str">
        <f t="shared" si="9"/>
        <v/>
      </c>
      <c r="P570" s="26" t="str">
        <f t="shared" si="10"/>
        <v/>
      </c>
      <c r="Q570" s="26" t="str">
        <f t="shared" si="11"/>
        <v/>
      </c>
      <c r="R570" s="26" t="str">
        <f t="shared" si="12"/>
        <v/>
      </c>
      <c r="S570" s="26" t="str">
        <f t="shared" si="13"/>
        <v/>
      </c>
      <c r="T570" s="26" t="str">
        <f t="shared" si="14"/>
        <v/>
      </c>
      <c r="U570" s="26" t="str">
        <f t="shared" si="15"/>
        <v/>
      </c>
      <c r="V570" s="26" t="str">
        <f t="shared" si="16"/>
        <v/>
      </c>
      <c r="W570" s="26" t="str">
        <f t="shared" si="17"/>
        <v/>
      </c>
      <c r="X570" s="26" t="str">
        <f t="shared" si="18"/>
        <v/>
      </c>
      <c r="Y570" s="26" t="str">
        <f t="shared" si="19"/>
        <v/>
      </c>
      <c r="Z570" s="31" t="str">
        <f t="shared" si="20"/>
        <v/>
      </c>
      <c r="AA570" s="31" t="str">
        <f>IF(D570="","",IF(H570&lt;=$B$16,1,IF(H570&gt;=$B$17,$B$21,MATCH(H570,Aux_CAV!$A$2:$A$121,1))))</f>
        <v/>
      </c>
      <c r="AB570" s="31" t="str">
        <f>IF(D570="","",IF(L570&lt;=$B$16,1,IF(L570&gt;=$B$17,$B$21,MATCH(L570,Aux_CAV!$A$2:$A$121,1))))</f>
        <v/>
      </c>
      <c r="AC570" s="3" t="str">
        <f t="shared" si="21"/>
        <v/>
      </c>
    </row>
    <row r="571" ht="12.75" customHeight="1">
      <c r="A571" s="25" t="str">
        <f t="shared" si="1"/>
        <v/>
      </c>
      <c r="B571" s="29" t="str">
        <f t="array" ref="B571">IF(D571="","",IFERROR(VALUE(INDEX(Vazoes_COLAR!$A$2:$A$200,INT((ROW()-24)/12)+1)),""))</f>
        <v/>
      </c>
      <c r="C571" s="29" t="str">
        <f t="shared" si="2"/>
        <v/>
      </c>
      <c r="D571" s="26" t="str">
        <f t="array" ref="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71" s="26" t="str">
        <f t="shared" si="3"/>
        <v/>
      </c>
      <c r="F571" s="26" t="str">
        <f t="array" ref="F571">IF(D571="","",IFERROR(INDEX(Dados_Evap!$C$2:$N$15,MATCH($B$9,Dados_Evap!$A$2:$A$15,0),C571),0))</f>
        <v/>
      </c>
      <c r="G571" s="26" t="str">
        <f t="shared" si="4"/>
        <v/>
      </c>
      <c r="H571" s="26" t="str">
        <f t="shared" si="22"/>
        <v/>
      </c>
      <c r="I571" s="26" t="str">
        <f t="array" ref="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/>
      </c>
      <c r="J571" s="26" t="str">
        <f t="shared" si="5"/>
        <v/>
      </c>
      <c r="K571" s="26" t="str">
        <f t="shared" si="6"/>
        <v/>
      </c>
      <c r="L571" s="26" t="str">
        <f t="shared" si="7"/>
        <v/>
      </c>
      <c r="M571" s="26" t="str">
        <f t="array" ref="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/>
      </c>
      <c r="N571" s="26" t="str">
        <f t="shared" si="8"/>
        <v/>
      </c>
      <c r="O571" s="26" t="str">
        <f t="shared" si="9"/>
        <v/>
      </c>
      <c r="P571" s="26" t="str">
        <f t="shared" si="10"/>
        <v/>
      </c>
      <c r="Q571" s="26" t="str">
        <f t="shared" si="11"/>
        <v/>
      </c>
      <c r="R571" s="26" t="str">
        <f t="shared" si="12"/>
        <v/>
      </c>
      <c r="S571" s="26" t="str">
        <f t="shared" si="13"/>
        <v/>
      </c>
      <c r="T571" s="26" t="str">
        <f t="shared" si="14"/>
        <v/>
      </c>
      <c r="U571" s="26" t="str">
        <f t="shared" si="15"/>
        <v/>
      </c>
      <c r="V571" s="26" t="str">
        <f t="shared" si="16"/>
        <v/>
      </c>
      <c r="W571" s="26" t="str">
        <f t="shared" si="17"/>
        <v/>
      </c>
      <c r="X571" s="26" t="str">
        <f t="shared" si="18"/>
        <v/>
      </c>
      <c r="Y571" s="26" t="str">
        <f t="shared" si="19"/>
        <v/>
      </c>
      <c r="Z571" s="31" t="str">
        <f t="shared" si="20"/>
        <v/>
      </c>
      <c r="AA571" s="31" t="str">
        <f>IF(D571="","",IF(H571&lt;=$B$16,1,IF(H571&gt;=$B$17,$B$21,MATCH(H571,Aux_CAV!$A$2:$A$121,1))))</f>
        <v/>
      </c>
      <c r="AB571" s="31" t="str">
        <f>IF(D571="","",IF(L571&lt;=$B$16,1,IF(L571&gt;=$B$17,$B$21,MATCH(L571,Aux_CAV!$A$2:$A$121,1))))</f>
        <v/>
      </c>
      <c r="AC571" s="3" t="str">
        <f t="shared" si="21"/>
        <v/>
      </c>
    </row>
    <row r="572" ht="12.75" customHeight="1">
      <c r="A572" s="25" t="str">
        <f t="shared" si="1"/>
        <v/>
      </c>
      <c r="B572" s="29" t="str">
        <f t="array" ref="B572">IF(D572="","",IFERROR(VALUE(INDEX(Vazoes_COLAR!$A$2:$A$200,INT((ROW()-24)/12)+1)),""))</f>
        <v/>
      </c>
      <c r="C572" s="29" t="str">
        <f t="shared" si="2"/>
        <v/>
      </c>
      <c r="D572" s="26" t="str">
        <f t="array" ref="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72" s="26" t="str">
        <f t="shared" si="3"/>
        <v/>
      </c>
      <c r="F572" s="26" t="str">
        <f t="array" ref="F572">IF(D572="","",IFERROR(INDEX(Dados_Evap!$C$2:$N$15,MATCH($B$9,Dados_Evap!$A$2:$A$15,0),C572),0))</f>
        <v/>
      </c>
      <c r="G572" s="26" t="str">
        <f t="shared" si="4"/>
        <v/>
      </c>
      <c r="H572" s="26" t="str">
        <f t="shared" si="22"/>
        <v/>
      </c>
      <c r="I572" s="26" t="str">
        <f t="array" ref="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/>
      </c>
      <c r="J572" s="26" t="str">
        <f t="shared" si="5"/>
        <v/>
      </c>
      <c r="K572" s="26" t="str">
        <f t="shared" si="6"/>
        <v/>
      </c>
      <c r="L572" s="26" t="str">
        <f t="shared" si="7"/>
        <v/>
      </c>
      <c r="M572" s="26" t="str">
        <f t="array" ref="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/>
      </c>
      <c r="N572" s="26" t="str">
        <f t="shared" si="8"/>
        <v/>
      </c>
      <c r="O572" s="26" t="str">
        <f t="shared" si="9"/>
        <v/>
      </c>
      <c r="P572" s="26" t="str">
        <f t="shared" si="10"/>
        <v/>
      </c>
      <c r="Q572" s="26" t="str">
        <f t="shared" si="11"/>
        <v/>
      </c>
      <c r="R572" s="26" t="str">
        <f t="shared" si="12"/>
        <v/>
      </c>
      <c r="S572" s="26" t="str">
        <f t="shared" si="13"/>
        <v/>
      </c>
      <c r="T572" s="26" t="str">
        <f t="shared" si="14"/>
        <v/>
      </c>
      <c r="U572" s="26" t="str">
        <f t="shared" si="15"/>
        <v/>
      </c>
      <c r="V572" s="26" t="str">
        <f t="shared" si="16"/>
        <v/>
      </c>
      <c r="W572" s="26" t="str">
        <f t="shared" si="17"/>
        <v/>
      </c>
      <c r="X572" s="26" t="str">
        <f t="shared" si="18"/>
        <v/>
      </c>
      <c r="Y572" s="26" t="str">
        <f t="shared" si="19"/>
        <v/>
      </c>
      <c r="Z572" s="31" t="str">
        <f t="shared" si="20"/>
        <v/>
      </c>
      <c r="AA572" s="31" t="str">
        <f>IF(D572="","",IF(H572&lt;=$B$16,1,IF(H572&gt;=$B$17,$B$21,MATCH(H572,Aux_CAV!$A$2:$A$121,1))))</f>
        <v/>
      </c>
      <c r="AB572" s="31" t="str">
        <f>IF(D572="","",IF(L572&lt;=$B$16,1,IF(L572&gt;=$B$17,$B$21,MATCH(L572,Aux_CAV!$A$2:$A$121,1))))</f>
        <v/>
      </c>
      <c r="AC572" s="3" t="str">
        <f t="shared" si="21"/>
        <v/>
      </c>
    </row>
    <row r="573" ht="12.75" customHeight="1">
      <c r="A573" s="25" t="str">
        <f t="shared" si="1"/>
        <v/>
      </c>
      <c r="B573" s="29" t="str">
        <f t="array" ref="B573">IF(D573="","",IFERROR(VALUE(INDEX(Vazoes_COLAR!$A$2:$A$200,INT((ROW()-24)/12)+1)),""))</f>
        <v/>
      </c>
      <c r="C573" s="29" t="str">
        <f t="shared" si="2"/>
        <v/>
      </c>
      <c r="D573" s="26" t="str">
        <f t="array" ref="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73" s="26" t="str">
        <f t="shared" si="3"/>
        <v/>
      </c>
      <c r="F573" s="26" t="str">
        <f t="array" ref="F573">IF(D573="","",IFERROR(INDEX(Dados_Evap!$C$2:$N$15,MATCH($B$9,Dados_Evap!$A$2:$A$15,0),C573),0))</f>
        <v/>
      </c>
      <c r="G573" s="26" t="str">
        <f t="shared" si="4"/>
        <v/>
      </c>
      <c r="H573" s="26" t="str">
        <f t="shared" si="22"/>
        <v/>
      </c>
      <c r="I573" s="26" t="str">
        <f t="array" ref="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/>
      </c>
      <c r="J573" s="26" t="str">
        <f t="shared" si="5"/>
        <v/>
      </c>
      <c r="K573" s="26" t="str">
        <f t="shared" si="6"/>
        <v/>
      </c>
      <c r="L573" s="26" t="str">
        <f t="shared" si="7"/>
        <v/>
      </c>
      <c r="M573" s="26" t="str">
        <f t="array" ref="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/>
      </c>
      <c r="N573" s="26" t="str">
        <f t="shared" si="8"/>
        <v/>
      </c>
      <c r="O573" s="26" t="str">
        <f t="shared" si="9"/>
        <v/>
      </c>
      <c r="P573" s="26" t="str">
        <f t="shared" si="10"/>
        <v/>
      </c>
      <c r="Q573" s="26" t="str">
        <f t="shared" si="11"/>
        <v/>
      </c>
      <c r="R573" s="26" t="str">
        <f t="shared" si="12"/>
        <v/>
      </c>
      <c r="S573" s="26" t="str">
        <f t="shared" si="13"/>
        <v/>
      </c>
      <c r="T573" s="26" t="str">
        <f t="shared" si="14"/>
        <v/>
      </c>
      <c r="U573" s="26" t="str">
        <f t="shared" si="15"/>
        <v/>
      </c>
      <c r="V573" s="26" t="str">
        <f t="shared" si="16"/>
        <v/>
      </c>
      <c r="W573" s="26" t="str">
        <f t="shared" si="17"/>
        <v/>
      </c>
      <c r="X573" s="26" t="str">
        <f t="shared" si="18"/>
        <v/>
      </c>
      <c r="Y573" s="26" t="str">
        <f t="shared" si="19"/>
        <v/>
      </c>
      <c r="Z573" s="31" t="str">
        <f t="shared" si="20"/>
        <v/>
      </c>
      <c r="AA573" s="31" t="str">
        <f>IF(D573="","",IF(H573&lt;=$B$16,1,IF(H573&gt;=$B$17,$B$21,MATCH(H573,Aux_CAV!$A$2:$A$121,1))))</f>
        <v/>
      </c>
      <c r="AB573" s="31" t="str">
        <f>IF(D573="","",IF(L573&lt;=$B$16,1,IF(L573&gt;=$B$17,$B$21,MATCH(L573,Aux_CAV!$A$2:$A$121,1))))</f>
        <v/>
      </c>
      <c r="AC573" s="3" t="str">
        <f t="shared" si="21"/>
        <v/>
      </c>
    </row>
    <row r="574" ht="12.75" customHeight="1">
      <c r="A574" s="25" t="str">
        <f t="shared" si="1"/>
        <v/>
      </c>
      <c r="B574" s="29" t="str">
        <f t="array" ref="B574">IF(D574="","",IFERROR(VALUE(INDEX(Vazoes_COLAR!$A$2:$A$200,INT((ROW()-24)/12)+1)),""))</f>
        <v/>
      </c>
      <c r="C574" s="29" t="str">
        <f t="shared" si="2"/>
        <v/>
      </c>
      <c r="D574" s="26" t="str">
        <f t="array" ref="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74" s="26" t="str">
        <f t="shared" si="3"/>
        <v/>
      </c>
      <c r="F574" s="26" t="str">
        <f t="array" ref="F574">IF(D574="","",IFERROR(INDEX(Dados_Evap!$C$2:$N$15,MATCH($B$9,Dados_Evap!$A$2:$A$15,0),C574),0))</f>
        <v/>
      </c>
      <c r="G574" s="26" t="str">
        <f t="shared" si="4"/>
        <v/>
      </c>
      <c r="H574" s="26" t="str">
        <f t="shared" si="22"/>
        <v/>
      </c>
      <c r="I574" s="26" t="str">
        <f t="array" ref="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/>
      </c>
      <c r="J574" s="26" t="str">
        <f t="shared" si="5"/>
        <v/>
      </c>
      <c r="K574" s="26" t="str">
        <f t="shared" si="6"/>
        <v/>
      </c>
      <c r="L574" s="26" t="str">
        <f t="shared" si="7"/>
        <v/>
      </c>
      <c r="M574" s="26" t="str">
        <f t="array" ref="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/>
      </c>
      <c r="N574" s="26" t="str">
        <f t="shared" si="8"/>
        <v/>
      </c>
      <c r="O574" s="26" t="str">
        <f t="shared" si="9"/>
        <v/>
      </c>
      <c r="P574" s="26" t="str">
        <f t="shared" si="10"/>
        <v/>
      </c>
      <c r="Q574" s="26" t="str">
        <f t="shared" si="11"/>
        <v/>
      </c>
      <c r="R574" s="26" t="str">
        <f t="shared" si="12"/>
        <v/>
      </c>
      <c r="S574" s="26" t="str">
        <f t="shared" si="13"/>
        <v/>
      </c>
      <c r="T574" s="26" t="str">
        <f t="shared" si="14"/>
        <v/>
      </c>
      <c r="U574" s="26" t="str">
        <f t="shared" si="15"/>
        <v/>
      </c>
      <c r="V574" s="26" t="str">
        <f t="shared" si="16"/>
        <v/>
      </c>
      <c r="W574" s="26" t="str">
        <f t="shared" si="17"/>
        <v/>
      </c>
      <c r="X574" s="26" t="str">
        <f t="shared" si="18"/>
        <v/>
      </c>
      <c r="Y574" s="26" t="str">
        <f t="shared" si="19"/>
        <v/>
      </c>
      <c r="Z574" s="31" t="str">
        <f t="shared" si="20"/>
        <v/>
      </c>
      <c r="AA574" s="31" t="str">
        <f>IF(D574="","",IF(H574&lt;=$B$16,1,IF(H574&gt;=$B$17,$B$21,MATCH(H574,Aux_CAV!$A$2:$A$121,1))))</f>
        <v/>
      </c>
      <c r="AB574" s="31" t="str">
        <f>IF(D574="","",IF(L574&lt;=$B$16,1,IF(L574&gt;=$B$17,$B$21,MATCH(L574,Aux_CAV!$A$2:$A$121,1))))</f>
        <v/>
      </c>
      <c r="AC574" s="3" t="str">
        <f t="shared" si="21"/>
        <v/>
      </c>
    </row>
    <row r="575" ht="12.75" customHeight="1">
      <c r="A575" s="25" t="str">
        <f t="shared" si="1"/>
        <v/>
      </c>
      <c r="B575" s="29" t="str">
        <f t="array" ref="B575">IF(D575="","",IFERROR(VALUE(INDEX(Vazoes_COLAR!$A$2:$A$200,INT((ROW()-24)/12)+1)),""))</f>
        <v/>
      </c>
      <c r="C575" s="29" t="str">
        <f t="shared" si="2"/>
        <v/>
      </c>
      <c r="D575" s="26" t="str">
        <f t="array" ref="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75" s="26" t="str">
        <f t="shared" si="3"/>
        <v/>
      </c>
      <c r="F575" s="26" t="str">
        <f t="array" ref="F575">IF(D575="","",IFERROR(INDEX(Dados_Evap!$C$2:$N$15,MATCH($B$9,Dados_Evap!$A$2:$A$15,0),C575),0))</f>
        <v/>
      </c>
      <c r="G575" s="26" t="str">
        <f t="shared" si="4"/>
        <v/>
      </c>
      <c r="H575" s="26" t="str">
        <f t="shared" si="22"/>
        <v/>
      </c>
      <c r="I575" s="26" t="str">
        <f t="array" ref="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/>
      </c>
      <c r="J575" s="26" t="str">
        <f t="shared" si="5"/>
        <v/>
      </c>
      <c r="K575" s="26" t="str">
        <f t="shared" si="6"/>
        <v/>
      </c>
      <c r="L575" s="26" t="str">
        <f t="shared" si="7"/>
        <v/>
      </c>
      <c r="M575" s="26" t="str">
        <f t="array" ref="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/>
      </c>
      <c r="N575" s="26" t="str">
        <f t="shared" si="8"/>
        <v/>
      </c>
      <c r="O575" s="26" t="str">
        <f t="shared" si="9"/>
        <v/>
      </c>
      <c r="P575" s="26" t="str">
        <f t="shared" si="10"/>
        <v/>
      </c>
      <c r="Q575" s="26" t="str">
        <f t="shared" si="11"/>
        <v/>
      </c>
      <c r="R575" s="26" t="str">
        <f t="shared" si="12"/>
        <v/>
      </c>
      <c r="S575" s="26" t="str">
        <f t="shared" si="13"/>
        <v/>
      </c>
      <c r="T575" s="26" t="str">
        <f t="shared" si="14"/>
        <v/>
      </c>
      <c r="U575" s="26" t="str">
        <f t="shared" si="15"/>
        <v/>
      </c>
      <c r="V575" s="26" t="str">
        <f t="shared" si="16"/>
        <v/>
      </c>
      <c r="W575" s="26" t="str">
        <f t="shared" si="17"/>
        <v/>
      </c>
      <c r="X575" s="26" t="str">
        <f t="shared" si="18"/>
        <v/>
      </c>
      <c r="Y575" s="26" t="str">
        <f t="shared" si="19"/>
        <v/>
      </c>
      <c r="Z575" s="31" t="str">
        <f t="shared" si="20"/>
        <v/>
      </c>
      <c r="AA575" s="31" t="str">
        <f>IF(D575="","",IF(H575&lt;=$B$16,1,IF(H575&gt;=$B$17,$B$21,MATCH(H575,Aux_CAV!$A$2:$A$121,1))))</f>
        <v/>
      </c>
      <c r="AB575" s="31" t="str">
        <f>IF(D575="","",IF(L575&lt;=$B$16,1,IF(L575&gt;=$B$17,$B$21,MATCH(L575,Aux_CAV!$A$2:$A$121,1))))</f>
        <v/>
      </c>
      <c r="AC575" s="3" t="str">
        <f t="shared" si="21"/>
        <v/>
      </c>
    </row>
    <row r="576" ht="12.75" customHeight="1">
      <c r="A576" s="25" t="str">
        <f t="shared" si="1"/>
        <v/>
      </c>
      <c r="B576" s="29" t="str">
        <f t="array" ref="B576">IF(D576="","",IFERROR(VALUE(INDEX(Vazoes_COLAR!$A$2:$A$200,INT((ROW()-24)/12)+1)),""))</f>
        <v/>
      </c>
      <c r="C576" s="29" t="str">
        <f t="shared" si="2"/>
        <v/>
      </c>
      <c r="D576" s="26" t="str">
        <f t="array" ref="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76" s="26" t="str">
        <f t="shared" si="3"/>
        <v/>
      </c>
      <c r="F576" s="26" t="str">
        <f t="array" ref="F576">IF(D576="","",IFERROR(INDEX(Dados_Evap!$C$2:$N$15,MATCH($B$9,Dados_Evap!$A$2:$A$15,0),C576),0))</f>
        <v/>
      </c>
      <c r="G576" s="26" t="str">
        <f t="shared" si="4"/>
        <v/>
      </c>
      <c r="H576" s="26" t="str">
        <f t="shared" si="22"/>
        <v/>
      </c>
      <c r="I576" s="26" t="str">
        <f t="array" ref="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/>
      </c>
      <c r="J576" s="26" t="str">
        <f t="shared" si="5"/>
        <v/>
      </c>
      <c r="K576" s="26" t="str">
        <f t="shared" si="6"/>
        <v/>
      </c>
      <c r="L576" s="26" t="str">
        <f t="shared" si="7"/>
        <v/>
      </c>
      <c r="M576" s="26" t="str">
        <f t="array" ref="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/>
      </c>
      <c r="N576" s="26" t="str">
        <f t="shared" si="8"/>
        <v/>
      </c>
      <c r="O576" s="26" t="str">
        <f t="shared" si="9"/>
        <v/>
      </c>
      <c r="P576" s="26" t="str">
        <f t="shared" si="10"/>
        <v/>
      </c>
      <c r="Q576" s="26" t="str">
        <f t="shared" si="11"/>
        <v/>
      </c>
      <c r="R576" s="26" t="str">
        <f t="shared" si="12"/>
        <v/>
      </c>
      <c r="S576" s="26" t="str">
        <f t="shared" si="13"/>
        <v/>
      </c>
      <c r="T576" s="26" t="str">
        <f t="shared" si="14"/>
        <v/>
      </c>
      <c r="U576" s="26" t="str">
        <f t="shared" si="15"/>
        <v/>
      </c>
      <c r="V576" s="26" t="str">
        <f t="shared" si="16"/>
        <v/>
      </c>
      <c r="W576" s="26" t="str">
        <f t="shared" si="17"/>
        <v/>
      </c>
      <c r="X576" s="26" t="str">
        <f t="shared" si="18"/>
        <v/>
      </c>
      <c r="Y576" s="26" t="str">
        <f t="shared" si="19"/>
        <v/>
      </c>
      <c r="Z576" s="31" t="str">
        <f t="shared" si="20"/>
        <v/>
      </c>
      <c r="AA576" s="31" t="str">
        <f>IF(D576="","",IF(H576&lt;=$B$16,1,IF(H576&gt;=$B$17,$B$21,MATCH(H576,Aux_CAV!$A$2:$A$121,1))))</f>
        <v/>
      </c>
      <c r="AB576" s="31" t="str">
        <f>IF(D576="","",IF(L576&lt;=$B$16,1,IF(L576&gt;=$B$17,$B$21,MATCH(L576,Aux_CAV!$A$2:$A$121,1))))</f>
        <v/>
      </c>
      <c r="AC576" s="3" t="str">
        <f t="shared" si="21"/>
        <v/>
      </c>
    </row>
    <row r="577" ht="12.75" customHeight="1">
      <c r="A577" s="25" t="str">
        <f t="shared" si="1"/>
        <v/>
      </c>
      <c r="B577" s="29" t="str">
        <f t="array" ref="B577">IF(D577="","",IFERROR(VALUE(INDEX(Vazoes_COLAR!$A$2:$A$200,INT((ROW()-24)/12)+1)),""))</f>
        <v/>
      </c>
      <c r="C577" s="29" t="str">
        <f t="shared" si="2"/>
        <v/>
      </c>
      <c r="D577" s="26" t="str">
        <f t="array" ref="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77" s="26" t="str">
        <f t="shared" si="3"/>
        <v/>
      </c>
      <c r="F577" s="26" t="str">
        <f t="array" ref="F577">IF(D577="","",IFERROR(INDEX(Dados_Evap!$C$2:$N$15,MATCH($B$9,Dados_Evap!$A$2:$A$15,0),C577),0))</f>
        <v/>
      </c>
      <c r="G577" s="26" t="str">
        <f t="shared" si="4"/>
        <v/>
      </c>
      <c r="H577" s="26" t="str">
        <f t="shared" si="22"/>
        <v/>
      </c>
      <c r="I577" s="26" t="str">
        <f t="array" ref="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/>
      </c>
      <c r="J577" s="26" t="str">
        <f t="shared" si="5"/>
        <v/>
      </c>
      <c r="K577" s="26" t="str">
        <f t="shared" si="6"/>
        <v/>
      </c>
      <c r="L577" s="26" t="str">
        <f t="shared" si="7"/>
        <v/>
      </c>
      <c r="M577" s="26" t="str">
        <f t="array" ref="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/>
      </c>
      <c r="N577" s="26" t="str">
        <f t="shared" si="8"/>
        <v/>
      </c>
      <c r="O577" s="26" t="str">
        <f t="shared" si="9"/>
        <v/>
      </c>
      <c r="P577" s="26" t="str">
        <f t="shared" si="10"/>
        <v/>
      </c>
      <c r="Q577" s="26" t="str">
        <f t="shared" si="11"/>
        <v/>
      </c>
      <c r="R577" s="26" t="str">
        <f t="shared" si="12"/>
        <v/>
      </c>
      <c r="S577" s="26" t="str">
        <f t="shared" si="13"/>
        <v/>
      </c>
      <c r="T577" s="26" t="str">
        <f t="shared" si="14"/>
        <v/>
      </c>
      <c r="U577" s="26" t="str">
        <f t="shared" si="15"/>
        <v/>
      </c>
      <c r="V577" s="26" t="str">
        <f t="shared" si="16"/>
        <v/>
      </c>
      <c r="W577" s="26" t="str">
        <f t="shared" si="17"/>
        <v/>
      </c>
      <c r="X577" s="26" t="str">
        <f t="shared" si="18"/>
        <v/>
      </c>
      <c r="Y577" s="26" t="str">
        <f t="shared" si="19"/>
        <v/>
      </c>
      <c r="Z577" s="31" t="str">
        <f t="shared" si="20"/>
        <v/>
      </c>
      <c r="AA577" s="31" t="str">
        <f>IF(D577="","",IF(H577&lt;=$B$16,1,IF(H577&gt;=$B$17,$B$21,MATCH(H577,Aux_CAV!$A$2:$A$121,1))))</f>
        <v/>
      </c>
      <c r="AB577" s="31" t="str">
        <f>IF(D577="","",IF(L577&lt;=$B$16,1,IF(L577&gt;=$B$17,$B$21,MATCH(L577,Aux_CAV!$A$2:$A$121,1))))</f>
        <v/>
      </c>
      <c r="AC577" s="3" t="str">
        <f t="shared" si="21"/>
        <v/>
      </c>
    </row>
    <row r="578" ht="12.75" customHeight="1">
      <c r="A578" s="25" t="str">
        <f t="shared" si="1"/>
        <v/>
      </c>
      <c r="B578" s="29" t="str">
        <f t="array" ref="B578">IF(D578="","",IFERROR(VALUE(INDEX(Vazoes_COLAR!$A$2:$A$200,INT((ROW()-24)/12)+1)),""))</f>
        <v/>
      </c>
      <c r="C578" s="29" t="str">
        <f t="shared" si="2"/>
        <v/>
      </c>
      <c r="D578" s="26" t="str">
        <f t="array" ref="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78" s="26" t="str">
        <f t="shared" si="3"/>
        <v/>
      </c>
      <c r="F578" s="26" t="str">
        <f t="array" ref="F578">IF(D578="","",IFERROR(INDEX(Dados_Evap!$C$2:$N$15,MATCH($B$9,Dados_Evap!$A$2:$A$15,0),C578),0))</f>
        <v/>
      </c>
      <c r="G578" s="26" t="str">
        <f t="shared" si="4"/>
        <v/>
      </c>
      <c r="H578" s="26" t="str">
        <f t="shared" si="22"/>
        <v/>
      </c>
      <c r="I578" s="26" t="str">
        <f t="array" ref="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/>
      </c>
      <c r="J578" s="26" t="str">
        <f t="shared" si="5"/>
        <v/>
      </c>
      <c r="K578" s="26" t="str">
        <f t="shared" si="6"/>
        <v/>
      </c>
      <c r="L578" s="26" t="str">
        <f t="shared" si="7"/>
        <v/>
      </c>
      <c r="M578" s="26" t="str">
        <f t="array" ref="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/>
      </c>
      <c r="N578" s="26" t="str">
        <f t="shared" si="8"/>
        <v/>
      </c>
      <c r="O578" s="26" t="str">
        <f t="shared" si="9"/>
        <v/>
      </c>
      <c r="P578" s="26" t="str">
        <f t="shared" si="10"/>
        <v/>
      </c>
      <c r="Q578" s="26" t="str">
        <f t="shared" si="11"/>
        <v/>
      </c>
      <c r="R578" s="26" t="str">
        <f t="shared" si="12"/>
        <v/>
      </c>
      <c r="S578" s="26" t="str">
        <f t="shared" si="13"/>
        <v/>
      </c>
      <c r="T578" s="26" t="str">
        <f t="shared" si="14"/>
        <v/>
      </c>
      <c r="U578" s="26" t="str">
        <f t="shared" si="15"/>
        <v/>
      </c>
      <c r="V578" s="26" t="str">
        <f t="shared" si="16"/>
        <v/>
      </c>
      <c r="W578" s="26" t="str">
        <f t="shared" si="17"/>
        <v/>
      </c>
      <c r="X578" s="26" t="str">
        <f t="shared" si="18"/>
        <v/>
      </c>
      <c r="Y578" s="26" t="str">
        <f t="shared" si="19"/>
        <v/>
      </c>
      <c r="Z578" s="31" t="str">
        <f t="shared" si="20"/>
        <v/>
      </c>
      <c r="AA578" s="31" t="str">
        <f>IF(D578="","",IF(H578&lt;=$B$16,1,IF(H578&gt;=$B$17,$B$21,MATCH(H578,Aux_CAV!$A$2:$A$121,1))))</f>
        <v/>
      </c>
      <c r="AB578" s="31" t="str">
        <f>IF(D578="","",IF(L578&lt;=$B$16,1,IF(L578&gt;=$B$17,$B$21,MATCH(L578,Aux_CAV!$A$2:$A$121,1))))</f>
        <v/>
      </c>
      <c r="AC578" s="3" t="str">
        <f t="shared" si="21"/>
        <v/>
      </c>
    </row>
    <row r="579" ht="12.75" customHeight="1">
      <c r="A579" s="25" t="str">
        <f t="shared" si="1"/>
        <v/>
      </c>
      <c r="B579" s="29" t="str">
        <f t="array" ref="B579">IF(D579="","",IFERROR(VALUE(INDEX(Vazoes_COLAR!$A$2:$A$200,INT((ROW()-24)/12)+1)),""))</f>
        <v/>
      </c>
      <c r="C579" s="29" t="str">
        <f t="shared" si="2"/>
        <v/>
      </c>
      <c r="D579" s="26" t="str">
        <f t="array" ref="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79" s="26" t="str">
        <f t="shared" si="3"/>
        <v/>
      </c>
      <c r="F579" s="26" t="str">
        <f t="array" ref="F579">IF(D579="","",IFERROR(INDEX(Dados_Evap!$C$2:$N$15,MATCH($B$9,Dados_Evap!$A$2:$A$15,0),C579),0))</f>
        <v/>
      </c>
      <c r="G579" s="26" t="str">
        <f t="shared" si="4"/>
        <v/>
      </c>
      <c r="H579" s="26" t="str">
        <f t="shared" si="22"/>
        <v/>
      </c>
      <c r="I579" s="26" t="str">
        <f t="array" ref="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/>
      </c>
      <c r="J579" s="26" t="str">
        <f t="shared" si="5"/>
        <v/>
      </c>
      <c r="K579" s="26" t="str">
        <f t="shared" si="6"/>
        <v/>
      </c>
      <c r="L579" s="26" t="str">
        <f t="shared" si="7"/>
        <v/>
      </c>
      <c r="M579" s="26" t="str">
        <f t="array" ref="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/>
      </c>
      <c r="N579" s="26" t="str">
        <f t="shared" si="8"/>
        <v/>
      </c>
      <c r="O579" s="26" t="str">
        <f t="shared" si="9"/>
        <v/>
      </c>
      <c r="P579" s="26" t="str">
        <f t="shared" si="10"/>
        <v/>
      </c>
      <c r="Q579" s="26" t="str">
        <f t="shared" si="11"/>
        <v/>
      </c>
      <c r="R579" s="26" t="str">
        <f t="shared" si="12"/>
        <v/>
      </c>
      <c r="S579" s="26" t="str">
        <f t="shared" si="13"/>
        <v/>
      </c>
      <c r="T579" s="26" t="str">
        <f t="shared" si="14"/>
        <v/>
      </c>
      <c r="U579" s="26" t="str">
        <f t="shared" si="15"/>
        <v/>
      </c>
      <c r="V579" s="26" t="str">
        <f t="shared" si="16"/>
        <v/>
      </c>
      <c r="W579" s="26" t="str">
        <f t="shared" si="17"/>
        <v/>
      </c>
      <c r="X579" s="26" t="str">
        <f t="shared" si="18"/>
        <v/>
      </c>
      <c r="Y579" s="26" t="str">
        <f t="shared" si="19"/>
        <v/>
      </c>
      <c r="Z579" s="31" t="str">
        <f t="shared" si="20"/>
        <v/>
      </c>
      <c r="AA579" s="31" t="str">
        <f>IF(D579="","",IF(H579&lt;=$B$16,1,IF(H579&gt;=$B$17,$B$21,MATCH(H579,Aux_CAV!$A$2:$A$121,1))))</f>
        <v/>
      </c>
      <c r="AB579" s="31" t="str">
        <f>IF(D579="","",IF(L579&lt;=$B$16,1,IF(L579&gt;=$B$17,$B$21,MATCH(L579,Aux_CAV!$A$2:$A$121,1))))</f>
        <v/>
      </c>
      <c r="AC579" s="3" t="str">
        <f t="shared" si="21"/>
        <v/>
      </c>
    </row>
    <row r="580" ht="12.75" customHeight="1">
      <c r="A580" s="25" t="str">
        <f t="shared" si="1"/>
        <v/>
      </c>
      <c r="B580" s="29" t="str">
        <f t="array" ref="B580">IF(D580="","",IFERROR(VALUE(INDEX(Vazoes_COLAR!$A$2:$A$200,INT((ROW()-24)/12)+1)),""))</f>
        <v/>
      </c>
      <c r="C580" s="29" t="str">
        <f t="shared" si="2"/>
        <v/>
      </c>
      <c r="D580" s="26" t="str">
        <f t="array" ref="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80" s="26" t="str">
        <f t="shared" si="3"/>
        <v/>
      </c>
      <c r="F580" s="26" t="str">
        <f t="array" ref="F580">IF(D580="","",IFERROR(INDEX(Dados_Evap!$C$2:$N$15,MATCH($B$9,Dados_Evap!$A$2:$A$15,0),C580),0))</f>
        <v/>
      </c>
      <c r="G580" s="26" t="str">
        <f t="shared" si="4"/>
        <v/>
      </c>
      <c r="H580" s="26" t="str">
        <f t="shared" si="22"/>
        <v/>
      </c>
      <c r="I580" s="26" t="str">
        <f t="array" ref="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/>
      </c>
      <c r="J580" s="26" t="str">
        <f t="shared" si="5"/>
        <v/>
      </c>
      <c r="K580" s="26" t="str">
        <f t="shared" si="6"/>
        <v/>
      </c>
      <c r="L580" s="26" t="str">
        <f t="shared" si="7"/>
        <v/>
      </c>
      <c r="M580" s="26" t="str">
        <f t="array" ref="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/>
      </c>
      <c r="N580" s="26" t="str">
        <f t="shared" si="8"/>
        <v/>
      </c>
      <c r="O580" s="26" t="str">
        <f t="shared" si="9"/>
        <v/>
      </c>
      <c r="P580" s="26" t="str">
        <f t="shared" si="10"/>
        <v/>
      </c>
      <c r="Q580" s="26" t="str">
        <f t="shared" si="11"/>
        <v/>
      </c>
      <c r="R580" s="26" t="str">
        <f t="shared" si="12"/>
        <v/>
      </c>
      <c r="S580" s="26" t="str">
        <f t="shared" si="13"/>
        <v/>
      </c>
      <c r="T580" s="26" t="str">
        <f t="shared" si="14"/>
        <v/>
      </c>
      <c r="U580" s="26" t="str">
        <f t="shared" si="15"/>
        <v/>
      </c>
      <c r="V580" s="26" t="str">
        <f t="shared" si="16"/>
        <v/>
      </c>
      <c r="W580" s="26" t="str">
        <f t="shared" si="17"/>
        <v/>
      </c>
      <c r="X580" s="26" t="str">
        <f t="shared" si="18"/>
        <v/>
      </c>
      <c r="Y580" s="26" t="str">
        <f t="shared" si="19"/>
        <v/>
      </c>
      <c r="Z580" s="31" t="str">
        <f t="shared" si="20"/>
        <v/>
      </c>
      <c r="AA580" s="31" t="str">
        <f>IF(D580="","",IF(H580&lt;=$B$16,1,IF(H580&gt;=$B$17,$B$21,MATCH(H580,Aux_CAV!$A$2:$A$121,1))))</f>
        <v/>
      </c>
      <c r="AB580" s="31" t="str">
        <f>IF(D580="","",IF(L580&lt;=$B$16,1,IF(L580&gt;=$B$17,$B$21,MATCH(L580,Aux_CAV!$A$2:$A$121,1))))</f>
        <v/>
      </c>
      <c r="AC580" s="3" t="str">
        <f t="shared" si="21"/>
        <v/>
      </c>
    </row>
    <row r="581" ht="12.75" customHeight="1">
      <c r="A581" s="25" t="str">
        <f t="shared" si="1"/>
        <v/>
      </c>
      <c r="B581" s="29" t="str">
        <f t="array" ref="B581">IF(D581="","",IFERROR(VALUE(INDEX(Vazoes_COLAR!$A$2:$A$200,INT((ROW()-24)/12)+1)),""))</f>
        <v/>
      </c>
      <c r="C581" s="29" t="str">
        <f t="shared" si="2"/>
        <v/>
      </c>
      <c r="D581" s="26" t="str">
        <f t="array" ref="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81" s="26" t="str">
        <f t="shared" si="3"/>
        <v/>
      </c>
      <c r="F581" s="26" t="str">
        <f t="array" ref="F581">IF(D581="","",IFERROR(INDEX(Dados_Evap!$C$2:$N$15,MATCH($B$9,Dados_Evap!$A$2:$A$15,0),C581),0))</f>
        <v/>
      </c>
      <c r="G581" s="26" t="str">
        <f t="shared" si="4"/>
        <v/>
      </c>
      <c r="H581" s="26" t="str">
        <f t="shared" si="22"/>
        <v/>
      </c>
      <c r="I581" s="26" t="str">
        <f t="array" ref="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/>
      </c>
      <c r="J581" s="26" t="str">
        <f t="shared" si="5"/>
        <v/>
      </c>
      <c r="K581" s="26" t="str">
        <f t="shared" si="6"/>
        <v/>
      </c>
      <c r="L581" s="26" t="str">
        <f t="shared" si="7"/>
        <v/>
      </c>
      <c r="M581" s="26" t="str">
        <f t="array" ref="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/>
      </c>
      <c r="N581" s="26" t="str">
        <f t="shared" si="8"/>
        <v/>
      </c>
      <c r="O581" s="26" t="str">
        <f t="shared" si="9"/>
        <v/>
      </c>
      <c r="P581" s="26" t="str">
        <f t="shared" si="10"/>
        <v/>
      </c>
      <c r="Q581" s="26" t="str">
        <f t="shared" si="11"/>
        <v/>
      </c>
      <c r="R581" s="26" t="str">
        <f t="shared" si="12"/>
        <v/>
      </c>
      <c r="S581" s="26" t="str">
        <f t="shared" si="13"/>
        <v/>
      </c>
      <c r="T581" s="26" t="str">
        <f t="shared" si="14"/>
        <v/>
      </c>
      <c r="U581" s="26" t="str">
        <f t="shared" si="15"/>
        <v/>
      </c>
      <c r="V581" s="26" t="str">
        <f t="shared" si="16"/>
        <v/>
      </c>
      <c r="W581" s="26" t="str">
        <f t="shared" si="17"/>
        <v/>
      </c>
      <c r="X581" s="26" t="str">
        <f t="shared" si="18"/>
        <v/>
      </c>
      <c r="Y581" s="26" t="str">
        <f t="shared" si="19"/>
        <v/>
      </c>
      <c r="Z581" s="31" t="str">
        <f t="shared" si="20"/>
        <v/>
      </c>
      <c r="AA581" s="31" t="str">
        <f>IF(D581="","",IF(H581&lt;=$B$16,1,IF(H581&gt;=$B$17,$B$21,MATCH(H581,Aux_CAV!$A$2:$A$121,1))))</f>
        <v/>
      </c>
      <c r="AB581" s="31" t="str">
        <f>IF(D581="","",IF(L581&lt;=$B$16,1,IF(L581&gt;=$B$17,$B$21,MATCH(L581,Aux_CAV!$A$2:$A$121,1))))</f>
        <v/>
      </c>
      <c r="AC581" s="3" t="str">
        <f t="shared" si="21"/>
        <v/>
      </c>
    </row>
    <row r="582" ht="12.75" customHeight="1">
      <c r="A582" s="25" t="str">
        <f t="shared" si="1"/>
        <v/>
      </c>
      <c r="B582" s="29" t="str">
        <f t="array" ref="B582">IF(D582="","",IFERROR(VALUE(INDEX(Vazoes_COLAR!$A$2:$A$200,INT((ROW()-24)/12)+1)),""))</f>
        <v/>
      </c>
      <c r="C582" s="29" t="str">
        <f t="shared" si="2"/>
        <v/>
      </c>
      <c r="D582" s="26" t="str">
        <f t="array" ref="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82" s="26" t="str">
        <f t="shared" si="3"/>
        <v/>
      </c>
      <c r="F582" s="26" t="str">
        <f t="array" ref="F582">IF(D582="","",IFERROR(INDEX(Dados_Evap!$C$2:$N$15,MATCH($B$9,Dados_Evap!$A$2:$A$15,0),C582),0))</f>
        <v/>
      </c>
      <c r="G582" s="26" t="str">
        <f t="shared" si="4"/>
        <v/>
      </c>
      <c r="H582" s="26" t="str">
        <f t="shared" si="22"/>
        <v/>
      </c>
      <c r="I582" s="26" t="str">
        <f t="array" ref="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/>
      </c>
      <c r="J582" s="26" t="str">
        <f t="shared" si="5"/>
        <v/>
      </c>
      <c r="K582" s="26" t="str">
        <f t="shared" si="6"/>
        <v/>
      </c>
      <c r="L582" s="26" t="str">
        <f t="shared" si="7"/>
        <v/>
      </c>
      <c r="M582" s="26" t="str">
        <f t="array" ref="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/>
      </c>
      <c r="N582" s="26" t="str">
        <f t="shared" si="8"/>
        <v/>
      </c>
      <c r="O582" s="26" t="str">
        <f t="shared" si="9"/>
        <v/>
      </c>
      <c r="P582" s="26" t="str">
        <f t="shared" si="10"/>
        <v/>
      </c>
      <c r="Q582" s="26" t="str">
        <f t="shared" si="11"/>
        <v/>
      </c>
      <c r="R582" s="26" t="str">
        <f t="shared" si="12"/>
        <v/>
      </c>
      <c r="S582" s="26" t="str">
        <f t="shared" si="13"/>
        <v/>
      </c>
      <c r="T582" s="26" t="str">
        <f t="shared" si="14"/>
        <v/>
      </c>
      <c r="U582" s="26" t="str">
        <f t="shared" si="15"/>
        <v/>
      </c>
      <c r="V582" s="26" t="str">
        <f t="shared" si="16"/>
        <v/>
      </c>
      <c r="W582" s="26" t="str">
        <f t="shared" si="17"/>
        <v/>
      </c>
      <c r="X582" s="26" t="str">
        <f t="shared" si="18"/>
        <v/>
      </c>
      <c r="Y582" s="26" t="str">
        <f t="shared" si="19"/>
        <v/>
      </c>
      <c r="Z582" s="31" t="str">
        <f t="shared" si="20"/>
        <v/>
      </c>
      <c r="AA582" s="31" t="str">
        <f>IF(D582="","",IF(H582&lt;=$B$16,1,IF(H582&gt;=$B$17,$B$21,MATCH(H582,Aux_CAV!$A$2:$A$121,1))))</f>
        <v/>
      </c>
      <c r="AB582" s="31" t="str">
        <f>IF(D582="","",IF(L582&lt;=$B$16,1,IF(L582&gt;=$B$17,$B$21,MATCH(L582,Aux_CAV!$A$2:$A$121,1))))</f>
        <v/>
      </c>
      <c r="AC582" s="3" t="str">
        <f t="shared" si="21"/>
        <v/>
      </c>
    </row>
    <row r="583" ht="12.75" customHeight="1">
      <c r="A583" s="25" t="str">
        <f t="shared" si="1"/>
        <v/>
      </c>
      <c r="B583" s="29" t="str">
        <f t="array" ref="B583">IF(D583="","",IFERROR(VALUE(INDEX(Vazoes_COLAR!$A$2:$A$200,INT((ROW()-24)/12)+1)),""))</f>
        <v/>
      </c>
      <c r="C583" s="29" t="str">
        <f t="shared" si="2"/>
        <v/>
      </c>
      <c r="D583" s="26" t="str">
        <f t="array" ref="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83" s="26" t="str">
        <f t="shared" si="3"/>
        <v/>
      </c>
      <c r="F583" s="26" t="str">
        <f t="array" ref="F583">IF(D583="","",IFERROR(INDEX(Dados_Evap!$C$2:$N$15,MATCH($B$9,Dados_Evap!$A$2:$A$15,0),C583),0))</f>
        <v/>
      </c>
      <c r="G583" s="26" t="str">
        <f t="shared" si="4"/>
        <v/>
      </c>
      <c r="H583" s="26" t="str">
        <f t="shared" si="22"/>
        <v/>
      </c>
      <c r="I583" s="26" t="str">
        <f t="array" ref="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/>
      </c>
      <c r="J583" s="26" t="str">
        <f t="shared" si="5"/>
        <v/>
      </c>
      <c r="K583" s="26" t="str">
        <f t="shared" si="6"/>
        <v/>
      </c>
      <c r="L583" s="26" t="str">
        <f t="shared" si="7"/>
        <v/>
      </c>
      <c r="M583" s="26" t="str">
        <f t="array" ref="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/>
      </c>
      <c r="N583" s="26" t="str">
        <f t="shared" si="8"/>
        <v/>
      </c>
      <c r="O583" s="26" t="str">
        <f t="shared" si="9"/>
        <v/>
      </c>
      <c r="P583" s="26" t="str">
        <f t="shared" si="10"/>
        <v/>
      </c>
      <c r="Q583" s="26" t="str">
        <f t="shared" si="11"/>
        <v/>
      </c>
      <c r="R583" s="26" t="str">
        <f t="shared" si="12"/>
        <v/>
      </c>
      <c r="S583" s="26" t="str">
        <f t="shared" si="13"/>
        <v/>
      </c>
      <c r="T583" s="26" t="str">
        <f t="shared" si="14"/>
        <v/>
      </c>
      <c r="U583" s="26" t="str">
        <f t="shared" si="15"/>
        <v/>
      </c>
      <c r="V583" s="26" t="str">
        <f t="shared" si="16"/>
        <v/>
      </c>
      <c r="W583" s="26" t="str">
        <f t="shared" si="17"/>
        <v/>
      </c>
      <c r="X583" s="26" t="str">
        <f t="shared" si="18"/>
        <v/>
      </c>
      <c r="Y583" s="26" t="str">
        <f t="shared" si="19"/>
        <v/>
      </c>
      <c r="Z583" s="31" t="str">
        <f t="shared" si="20"/>
        <v/>
      </c>
      <c r="AA583" s="31" t="str">
        <f>IF(D583="","",IF(H583&lt;=$B$16,1,IF(H583&gt;=$B$17,$B$21,MATCH(H583,Aux_CAV!$A$2:$A$121,1))))</f>
        <v/>
      </c>
      <c r="AB583" s="31" t="str">
        <f>IF(D583="","",IF(L583&lt;=$B$16,1,IF(L583&gt;=$B$17,$B$21,MATCH(L583,Aux_CAV!$A$2:$A$121,1))))</f>
        <v/>
      </c>
      <c r="AC583" s="3" t="str">
        <f t="shared" si="21"/>
        <v/>
      </c>
    </row>
    <row r="584" ht="12.75" customHeight="1">
      <c r="A584" s="25" t="str">
        <f t="shared" si="1"/>
        <v/>
      </c>
      <c r="B584" s="29" t="str">
        <f t="array" ref="B584">IF(D584="","",IFERROR(VALUE(INDEX(Vazoes_COLAR!$A$2:$A$200,INT((ROW()-24)/12)+1)),""))</f>
        <v/>
      </c>
      <c r="C584" s="29" t="str">
        <f t="shared" si="2"/>
        <v/>
      </c>
      <c r="D584" s="26" t="str">
        <f t="array" ref="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84" s="26" t="str">
        <f t="shared" si="3"/>
        <v/>
      </c>
      <c r="F584" s="26" t="str">
        <f t="array" ref="F584">IF(D584="","",IFERROR(INDEX(Dados_Evap!$C$2:$N$15,MATCH($B$9,Dados_Evap!$A$2:$A$15,0),C584),0))</f>
        <v/>
      </c>
      <c r="G584" s="26" t="str">
        <f t="shared" si="4"/>
        <v/>
      </c>
      <c r="H584" s="26" t="str">
        <f t="shared" si="22"/>
        <v/>
      </c>
      <c r="I584" s="26" t="str">
        <f t="array" ref="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/>
      </c>
      <c r="J584" s="26" t="str">
        <f t="shared" si="5"/>
        <v/>
      </c>
      <c r="K584" s="26" t="str">
        <f t="shared" si="6"/>
        <v/>
      </c>
      <c r="L584" s="26" t="str">
        <f t="shared" si="7"/>
        <v/>
      </c>
      <c r="M584" s="26" t="str">
        <f t="array" ref="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/>
      </c>
      <c r="N584" s="26" t="str">
        <f t="shared" si="8"/>
        <v/>
      </c>
      <c r="O584" s="26" t="str">
        <f t="shared" si="9"/>
        <v/>
      </c>
      <c r="P584" s="26" t="str">
        <f t="shared" si="10"/>
        <v/>
      </c>
      <c r="Q584" s="26" t="str">
        <f t="shared" si="11"/>
        <v/>
      </c>
      <c r="R584" s="26" t="str">
        <f t="shared" si="12"/>
        <v/>
      </c>
      <c r="S584" s="26" t="str">
        <f t="shared" si="13"/>
        <v/>
      </c>
      <c r="T584" s="26" t="str">
        <f t="shared" si="14"/>
        <v/>
      </c>
      <c r="U584" s="26" t="str">
        <f t="shared" si="15"/>
        <v/>
      </c>
      <c r="V584" s="26" t="str">
        <f t="shared" si="16"/>
        <v/>
      </c>
      <c r="W584" s="26" t="str">
        <f t="shared" si="17"/>
        <v/>
      </c>
      <c r="X584" s="26" t="str">
        <f t="shared" si="18"/>
        <v/>
      </c>
      <c r="Y584" s="26" t="str">
        <f t="shared" si="19"/>
        <v/>
      </c>
      <c r="Z584" s="31" t="str">
        <f t="shared" si="20"/>
        <v/>
      </c>
      <c r="AA584" s="31" t="str">
        <f>IF(D584="","",IF(H584&lt;=$B$16,1,IF(H584&gt;=$B$17,$B$21,MATCH(H584,Aux_CAV!$A$2:$A$121,1))))</f>
        <v/>
      </c>
      <c r="AB584" s="31" t="str">
        <f>IF(D584="","",IF(L584&lt;=$B$16,1,IF(L584&gt;=$B$17,$B$21,MATCH(L584,Aux_CAV!$A$2:$A$121,1))))</f>
        <v/>
      </c>
      <c r="AC584" s="3" t="str">
        <f t="shared" si="21"/>
        <v/>
      </c>
    </row>
    <row r="585" ht="12.75" customHeight="1">
      <c r="A585" s="25" t="str">
        <f t="shared" si="1"/>
        <v/>
      </c>
      <c r="B585" s="29" t="str">
        <f t="array" ref="B585">IF(D585="","",IFERROR(VALUE(INDEX(Vazoes_COLAR!$A$2:$A$200,INT((ROW()-24)/12)+1)),""))</f>
        <v/>
      </c>
      <c r="C585" s="29" t="str">
        <f t="shared" si="2"/>
        <v/>
      </c>
      <c r="D585" s="26" t="str">
        <f t="array" ref="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85" s="26" t="str">
        <f t="shared" si="3"/>
        <v/>
      </c>
      <c r="F585" s="26" t="str">
        <f t="array" ref="F585">IF(D585="","",IFERROR(INDEX(Dados_Evap!$C$2:$N$15,MATCH($B$9,Dados_Evap!$A$2:$A$15,0),C585),0))</f>
        <v/>
      </c>
      <c r="G585" s="26" t="str">
        <f t="shared" si="4"/>
        <v/>
      </c>
      <c r="H585" s="26" t="str">
        <f t="shared" si="22"/>
        <v/>
      </c>
      <c r="I585" s="26" t="str">
        <f t="array" ref="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/>
      </c>
      <c r="J585" s="26" t="str">
        <f t="shared" si="5"/>
        <v/>
      </c>
      <c r="K585" s="26" t="str">
        <f t="shared" si="6"/>
        <v/>
      </c>
      <c r="L585" s="26" t="str">
        <f t="shared" si="7"/>
        <v/>
      </c>
      <c r="M585" s="26" t="str">
        <f t="array" ref="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/>
      </c>
      <c r="N585" s="26" t="str">
        <f t="shared" si="8"/>
        <v/>
      </c>
      <c r="O585" s="26" t="str">
        <f t="shared" si="9"/>
        <v/>
      </c>
      <c r="P585" s="26" t="str">
        <f t="shared" si="10"/>
        <v/>
      </c>
      <c r="Q585" s="26" t="str">
        <f t="shared" si="11"/>
        <v/>
      </c>
      <c r="R585" s="26" t="str">
        <f t="shared" si="12"/>
        <v/>
      </c>
      <c r="S585" s="26" t="str">
        <f t="shared" si="13"/>
        <v/>
      </c>
      <c r="T585" s="26" t="str">
        <f t="shared" si="14"/>
        <v/>
      </c>
      <c r="U585" s="26" t="str">
        <f t="shared" si="15"/>
        <v/>
      </c>
      <c r="V585" s="26" t="str">
        <f t="shared" si="16"/>
        <v/>
      </c>
      <c r="W585" s="26" t="str">
        <f t="shared" si="17"/>
        <v/>
      </c>
      <c r="X585" s="26" t="str">
        <f t="shared" si="18"/>
        <v/>
      </c>
      <c r="Y585" s="26" t="str">
        <f t="shared" si="19"/>
        <v/>
      </c>
      <c r="Z585" s="31" t="str">
        <f t="shared" si="20"/>
        <v/>
      </c>
      <c r="AA585" s="31" t="str">
        <f>IF(D585="","",IF(H585&lt;=$B$16,1,IF(H585&gt;=$B$17,$B$21,MATCH(H585,Aux_CAV!$A$2:$A$121,1))))</f>
        <v/>
      </c>
      <c r="AB585" s="31" t="str">
        <f>IF(D585="","",IF(L585&lt;=$B$16,1,IF(L585&gt;=$B$17,$B$21,MATCH(L585,Aux_CAV!$A$2:$A$121,1))))</f>
        <v/>
      </c>
      <c r="AC585" s="3" t="str">
        <f t="shared" si="21"/>
        <v/>
      </c>
    </row>
    <row r="586" ht="12.75" customHeight="1">
      <c r="A586" s="25" t="str">
        <f t="shared" si="1"/>
        <v/>
      </c>
      <c r="B586" s="29" t="str">
        <f t="array" ref="B586">IF(D586="","",IFERROR(VALUE(INDEX(Vazoes_COLAR!$A$2:$A$200,INT((ROW()-24)/12)+1)),""))</f>
        <v/>
      </c>
      <c r="C586" s="29" t="str">
        <f t="shared" si="2"/>
        <v/>
      </c>
      <c r="D586" s="26" t="str">
        <f t="array" ref="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86" s="26" t="str">
        <f t="shared" si="3"/>
        <v/>
      </c>
      <c r="F586" s="26" t="str">
        <f t="array" ref="F586">IF(D586="","",IFERROR(INDEX(Dados_Evap!$C$2:$N$15,MATCH($B$9,Dados_Evap!$A$2:$A$15,0),C586),0))</f>
        <v/>
      </c>
      <c r="G586" s="26" t="str">
        <f t="shared" si="4"/>
        <v/>
      </c>
      <c r="H586" s="26" t="str">
        <f t="shared" si="22"/>
        <v/>
      </c>
      <c r="I586" s="26" t="str">
        <f t="array" ref="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/>
      </c>
      <c r="J586" s="26" t="str">
        <f t="shared" si="5"/>
        <v/>
      </c>
      <c r="K586" s="26" t="str">
        <f t="shared" si="6"/>
        <v/>
      </c>
      <c r="L586" s="26" t="str">
        <f t="shared" si="7"/>
        <v/>
      </c>
      <c r="M586" s="26" t="str">
        <f t="array" ref="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/>
      </c>
      <c r="N586" s="26" t="str">
        <f t="shared" si="8"/>
        <v/>
      </c>
      <c r="O586" s="26" t="str">
        <f t="shared" si="9"/>
        <v/>
      </c>
      <c r="P586" s="26" t="str">
        <f t="shared" si="10"/>
        <v/>
      </c>
      <c r="Q586" s="26" t="str">
        <f t="shared" si="11"/>
        <v/>
      </c>
      <c r="R586" s="26" t="str">
        <f t="shared" si="12"/>
        <v/>
      </c>
      <c r="S586" s="26" t="str">
        <f t="shared" si="13"/>
        <v/>
      </c>
      <c r="T586" s="26" t="str">
        <f t="shared" si="14"/>
        <v/>
      </c>
      <c r="U586" s="26" t="str">
        <f t="shared" si="15"/>
        <v/>
      </c>
      <c r="V586" s="26" t="str">
        <f t="shared" si="16"/>
        <v/>
      </c>
      <c r="W586" s="26" t="str">
        <f t="shared" si="17"/>
        <v/>
      </c>
      <c r="X586" s="26" t="str">
        <f t="shared" si="18"/>
        <v/>
      </c>
      <c r="Y586" s="26" t="str">
        <f t="shared" si="19"/>
        <v/>
      </c>
      <c r="Z586" s="31" t="str">
        <f t="shared" si="20"/>
        <v/>
      </c>
      <c r="AA586" s="31" t="str">
        <f>IF(D586="","",IF(H586&lt;=$B$16,1,IF(H586&gt;=$B$17,$B$21,MATCH(H586,Aux_CAV!$A$2:$A$121,1))))</f>
        <v/>
      </c>
      <c r="AB586" s="31" t="str">
        <f>IF(D586="","",IF(L586&lt;=$B$16,1,IF(L586&gt;=$B$17,$B$21,MATCH(L586,Aux_CAV!$A$2:$A$121,1))))</f>
        <v/>
      </c>
      <c r="AC586" s="3" t="str">
        <f t="shared" si="21"/>
        <v/>
      </c>
    </row>
    <row r="587" ht="12.75" customHeight="1">
      <c r="A587" s="25" t="str">
        <f t="shared" si="1"/>
        <v/>
      </c>
      <c r="B587" s="29" t="str">
        <f t="array" ref="B587">IF(D587="","",IFERROR(VALUE(INDEX(Vazoes_COLAR!$A$2:$A$200,INT((ROW()-24)/12)+1)),""))</f>
        <v/>
      </c>
      <c r="C587" s="29" t="str">
        <f t="shared" si="2"/>
        <v/>
      </c>
      <c r="D587" s="26" t="str">
        <f t="array" ref="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87" s="26" t="str">
        <f t="shared" si="3"/>
        <v/>
      </c>
      <c r="F587" s="26" t="str">
        <f t="array" ref="F587">IF(D587="","",IFERROR(INDEX(Dados_Evap!$C$2:$N$15,MATCH($B$9,Dados_Evap!$A$2:$A$15,0),C587),0))</f>
        <v/>
      </c>
      <c r="G587" s="26" t="str">
        <f t="shared" si="4"/>
        <v/>
      </c>
      <c r="H587" s="26" t="str">
        <f t="shared" si="22"/>
        <v/>
      </c>
      <c r="I587" s="26" t="str">
        <f t="array" ref="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/>
      </c>
      <c r="J587" s="26" t="str">
        <f t="shared" si="5"/>
        <v/>
      </c>
      <c r="K587" s="26" t="str">
        <f t="shared" si="6"/>
        <v/>
      </c>
      <c r="L587" s="26" t="str">
        <f t="shared" si="7"/>
        <v/>
      </c>
      <c r="M587" s="26" t="str">
        <f t="array" ref="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/>
      </c>
      <c r="N587" s="26" t="str">
        <f t="shared" si="8"/>
        <v/>
      </c>
      <c r="O587" s="26" t="str">
        <f t="shared" si="9"/>
        <v/>
      </c>
      <c r="P587" s="26" t="str">
        <f t="shared" si="10"/>
        <v/>
      </c>
      <c r="Q587" s="26" t="str">
        <f t="shared" si="11"/>
        <v/>
      </c>
      <c r="R587" s="26" t="str">
        <f t="shared" si="12"/>
        <v/>
      </c>
      <c r="S587" s="26" t="str">
        <f t="shared" si="13"/>
        <v/>
      </c>
      <c r="T587" s="26" t="str">
        <f t="shared" si="14"/>
        <v/>
      </c>
      <c r="U587" s="26" t="str">
        <f t="shared" si="15"/>
        <v/>
      </c>
      <c r="V587" s="26" t="str">
        <f t="shared" si="16"/>
        <v/>
      </c>
      <c r="W587" s="26" t="str">
        <f t="shared" si="17"/>
        <v/>
      </c>
      <c r="X587" s="26" t="str">
        <f t="shared" si="18"/>
        <v/>
      </c>
      <c r="Y587" s="26" t="str">
        <f t="shared" si="19"/>
        <v/>
      </c>
      <c r="Z587" s="31" t="str">
        <f t="shared" si="20"/>
        <v/>
      </c>
      <c r="AA587" s="31" t="str">
        <f>IF(D587="","",IF(H587&lt;=$B$16,1,IF(H587&gt;=$B$17,$B$21,MATCH(H587,Aux_CAV!$A$2:$A$121,1))))</f>
        <v/>
      </c>
      <c r="AB587" s="31" t="str">
        <f>IF(D587="","",IF(L587&lt;=$B$16,1,IF(L587&gt;=$B$17,$B$21,MATCH(L587,Aux_CAV!$A$2:$A$121,1))))</f>
        <v/>
      </c>
      <c r="AC587" s="3" t="str">
        <f t="shared" si="21"/>
        <v/>
      </c>
    </row>
    <row r="588" ht="12.75" customHeight="1">
      <c r="A588" s="25" t="str">
        <f t="shared" si="1"/>
        <v/>
      </c>
      <c r="B588" s="29" t="str">
        <f t="array" ref="B588">IF(D588="","",IFERROR(VALUE(INDEX(Vazoes_COLAR!$A$2:$A$200,INT((ROW()-24)/12)+1)),""))</f>
        <v/>
      </c>
      <c r="C588" s="29" t="str">
        <f t="shared" si="2"/>
        <v/>
      </c>
      <c r="D588" s="26" t="str">
        <f t="array" ref="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88" s="26" t="str">
        <f t="shared" si="3"/>
        <v/>
      </c>
      <c r="F588" s="26" t="str">
        <f t="array" ref="F588">IF(D588="","",IFERROR(INDEX(Dados_Evap!$C$2:$N$15,MATCH($B$9,Dados_Evap!$A$2:$A$15,0),C588),0))</f>
        <v/>
      </c>
      <c r="G588" s="26" t="str">
        <f t="shared" si="4"/>
        <v/>
      </c>
      <c r="H588" s="26" t="str">
        <f t="shared" si="22"/>
        <v/>
      </c>
      <c r="I588" s="26" t="str">
        <f t="array" ref="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/>
      </c>
      <c r="J588" s="26" t="str">
        <f t="shared" si="5"/>
        <v/>
      </c>
      <c r="K588" s="26" t="str">
        <f t="shared" si="6"/>
        <v/>
      </c>
      <c r="L588" s="26" t="str">
        <f t="shared" si="7"/>
        <v/>
      </c>
      <c r="M588" s="26" t="str">
        <f t="array" ref="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/>
      </c>
      <c r="N588" s="26" t="str">
        <f t="shared" si="8"/>
        <v/>
      </c>
      <c r="O588" s="26" t="str">
        <f t="shared" si="9"/>
        <v/>
      </c>
      <c r="P588" s="26" t="str">
        <f t="shared" si="10"/>
        <v/>
      </c>
      <c r="Q588" s="26" t="str">
        <f t="shared" si="11"/>
        <v/>
      </c>
      <c r="R588" s="26" t="str">
        <f t="shared" si="12"/>
        <v/>
      </c>
      <c r="S588" s="26" t="str">
        <f t="shared" si="13"/>
        <v/>
      </c>
      <c r="T588" s="26" t="str">
        <f t="shared" si="14"/>
        <v/>
      </c>
      <c r="U588" s="26" t="str">
        <f t="shared" si="15"/>
        <v/>
      </c>
      <c r="V588" s="26" t="str">
        <f t="shared" si="16"/>
        <v/>
      </c>
      <c r="W588" s="26" t="str">
        <f t="shared" si="17"/>
        <v/>
      </c>
      <c r="X588" s="26" t="str">
        <f t="shared" si="18"/>
        <v/>
      </c>
      <c r="Y588" s="26" t="str">
        <f t="shared" si="19"/>
        <v/>
      </c>
      <c r="Z588" s="31" t="str">
        <f t="shared" si="20"/>
        <v/>
      </c>
      <c r="AA588" s="31" t="str">
        <f>IF(D588="","",IF(H588&lt;=$B$16,1,IF(H588&gt;=$B$17,$B$21,MATCH(H588,Aux_CAV!$A$2:$A$121,1))))</f>
        <v/>
      </c>
      <c r="AB588" s="31" t="str">
        <f>IF(D588="","",IF(L588&lt;=$B$16,1,IF(L588&gt;=$B$17,$B$21,MATCH(L588,Aux_CAV!$A$2:$A$121,1))))</f>
        <v/>
      </c>
      <c r="AC588" s="3" t="str">
        <f t="shared" si="21"/>
        <v/>
      </c>
    </row>
    <row r="589" ht="12.75" customHeight="1">
      <c r="A589" s="25" t="str">
        <f t="shared" si="1"/>
        <v/>
      </c>
      <c r="B589" s="29" t="str">
        <f t="array" ref="B589">IF(D589="","",IFERROR(VALUE(INDEX(Vazoes_COLAR!$A$2:$A$200,INT((ROW()-24)/12)+1)),""))</f>
        <v/>
      </c>
      <c r="C589" s="29" t="str">
        <f t="shared" si="2"/>
        <v/>
      </c>
      <c r="D589" s="26" t="str">
        <f t="array" ref="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89" s="26" t="str">
        <f t="shared" si="3"/>
        <v/>
      </c>
      <c r="F589" s="26" t="str">
        <f t="array" ref="F589">IF(D589="","",IFERROR(INDEX(Dados_Evap!$C$2:$N$15,MATCH($B$9,Dados_Evap!$A$2:$A$15,0),C589),0))</f>
        <v/>
      </c>
      <c r="G589" s="26" t="str">
        <f t="shared" si="4"/>
        <v/>
      </c>
      <c r="H589" s="26" t="str">
        <f t="shared" si="22"/>
        <v/>
      </c>
      <c r="I589" s="26" t="str">
        <f t="array" ref="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/>
      </c>
      <c r="J589" s="26" t="str">
        <f t="shared" si="5"/>
        <v/>
      </c>
      <c r="K589" s="26" t="str">
        <f t="shared" si="6"/>
        <v/>
      </c>
      <c r="L589" s="26" t="str">
        <f t="shared" si="7"/>
        <v/>
      </c>
      <c r="M589" s="26" t="str">
        <f t="array" ref="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/>
      </c>
      <c r="N589" s="26" t="str">
        <f t="shared" si="8"/>
        <v/>
      </c>
      <c r="O589" s="26" t="str">
        <f t="shared" si="9"/>
        <v/>
      </c>
      <c r="P589" s="26" t="str">
        <f t="shared" si="10"/>
        <v/>
      </c>
      <c r="Q589" s="26" t="str">
        <f t="shared" si="11"/>
        <v/>
      </c>
      <c r="R589" s="26" t="str">
        <f t="shared" si="12"/>
        <v/>
      </c>
      <c r="S589" s="26" t="str">
        <f t="shared" si="13"/>
        <v/>
      </c>
      <c r="T589" s="26" t="str">
        <f t="shared" si="14"/>
        <v/>
      </c>
      <c r="U589" s="26" t="str">
        <f t="shared" si="15"/>
        <v/>
      </c>
      <c r="V589" s="26" t="str">
        <f t="shared" si="16"/>
        <v/>
      </c>
      <c r="W589" s="26" t="str">
        <f t="shared" si="17"/>
        <v/>
      </c>
      <c r="X589" s="26" t="str">
        <f t="shared" si="18"/>
        <v/>
      </c>
      <c r="Y589" s="26" t="str">
        <f t="shared" si="19"/>
        <v/>
      </c>
      <c r="Z589" s="31" t="str">
        <f t="shared" si="20"/>
        <v/>
      </c>
      <c r="AA589" s="31" t="str">
        <f>IF(D589="","",IF(H589&lt;=$B$16,1,IF(H589&gt;=$B$17,$B$21,MATCH(H589,Aux_CAV!$A$2:$A$121,1))))</f>
        <v/>
      </c>
      <c r="AB589" s="31" t="str">
        <f>IF(D589="","",IF(L589&lt;=$B$16,1,IF(L589&gt;=$B$17,$B$21,MATCH(L589,Aux_CAV!$A$2:$A$121,1))))</f>
        <v/>
      </c>
      <c r="AC589" s="3" t="str">
        <f t="shared" si="21"/>
        <v/>
      </c>
    </row>
    <row r="590" ht="12.75" customHeight="1">
      <c r="A590" s="25" t="str">
        <f t="shared" si="1"/>
        <v/>
      </c>
      <c r="B590" s="29" t="str">
        <f t="array" ref="B590">IF(D590="","",IFERROR(VALUE(INDEX(Vazoes_COLAR!$A$2:$A$200,INT((ROW()-24)/12)+1)),""))</f>
        <v/>
      </c>
      <c r="C590" s="29" t="str">
        <f t="shared" si="2"/>
        <v/>
      </c>
      <c r="D590" s="26" t="str">
        <f t="array" ref="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90" s="26" t="str">
        <f t="shared" si="3"/>
        <v/>
      </c>
      <c r="F590" s="26" t="str">
        <f t="array" ref="F590">IF(D590="","",IFERROR(INDEX(Dados_Evap!$C$2:$N$15,MATCH($B$9,Dados_Evap!$A$2:$A$15,0),C590),0))</f>
        <v/>
      </c>
      <c r="G590" s="26" t="str">
        <f t="shared" si="4"/>
        <v/>
      </c>
      <c r="H590" s="26" t="str">
        <f t="shared" si="22"/>
        <v/>
      </c>
      <c r="I590" s="26" t="str">
        <f t="array" ref="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/>
      </c>
      <c r="J590" s="26" t="str">
        <f t="shared" si="5"/>
        <v/>
      </c>
      <c r="K590" s="26" t="str">
        <f t="shared" si="6"/>
        <v/>
      </c>
      <c r="L590" s="26" t="str">
        <f t="shared" si="7"/>
        <v/>
      </c>
      <c r="M590" s="26" t="str">
        <f t="array" ref="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/>
      </c>
      <c r="N590" s="26" t="str">
        <f t="shared" si="8"/>
        <v/>
      </c>
      <c r="O590" s="26" t="str">
        <f t="shared" si="9"/>
        <v/>
      </c>
      <c r="P590" s="26" t="str">
        <f t="shared" si="10"/>
        <v/>
      </c>
      <c r="Q590" s="26" t="str">
        <f t="shared" si="11"/>
        <v/>
      </c>
      <c r="R590" s="26" t="str">
        <f t="shared" si="12"/>
        <v/>
      </c>
      <c r="S590" s="26" t="str">
        <f t="shared" si="13"/>
        <v/>
      </c>
      <c r="T590" s="26" t="str">
        <f t="shared" si="14"/>
        <v/>
      </c>
      <c r="U590" s="26" t="str">
        <f t="shared" si="15"/>
        <v/>
      </c>
      <c r="V590" s="26" t="str">
        <f t="shared" si="16"/>
        <v/>
      </c>
      <c r="W590" s="26" t="str">
        <f t="shared" si="17"/>
        <v/>
      </c>
      <c r="X590" s="26" t="str">
        <f t="shared" si="18"/>
        <v/>
      </c>
      <c r="Y590" s="26" t="str">
        <f t="shared" si="19"/>
        <v/>
      </c>
      <c r="Z590" s="31" t="str">
        <f t="shared" si="20"/>
        <v/>
      </c>
      <c r="AA590" s="31" t="str">
        <f>IF(D590="","",IF(H590&lt;=$B$16,1,IF(H590&gt;=$B$17,$B$21,MATCH(H590,Aux_CAV!$A$2:$A$121,1))))</f>
        <v/>
      </c>
      <c r="AB590" s="31" t="str">
        <f>IF(D590="","",IF(L590&lt;=$B$16,1,IF(L590&gt;=$B$17,$B$21,MATCH(L590,Aux_CAV!$A$2:$A$121,1))))</f>
        <v/>
      </c>
      <c r="AC590" s="3" t="str">
        <f t="shared" si="21"/>
        <v/>
      </c>
    </row>
    <row r="591" ht="12.75" customHeight="1">
      <c r="A591" s="25" t="str">
        <f t="shared" si="1"/>
        <v/>
      </c>
      <c r="B591" s="29" t="str">
        <f t="array" ref="B591">IF(D591="","",IFERROR(VALUE(INDEX(Vazoes_COLAR!$A$2:$A$200,INT((ROW()-24)/12)+1)),""))</f>
        <v/>
      </c>
      <c r="C591" s="29" t="str">
        <f t="shared" si="2"/>
        <v/>
      </c>
      <c r="D591" s="26" t="str">
        <f t="array" ref="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91" s="26" t="str">
        <f t="shared" si="3"/>
        <v/>
      </c>
      <c r="F591" s="26" t="str">
        <f t="array" ref="F591">IF(D591="","",IFERROR(INDEX(Dados_Evap!$C$2:$N$15,MATCH($B$9,Dados_Evap!$A$2:$A$15,0),C591),0))</f>
        <v/>
      </c>
      <c r="G591" s="26" t="str">
        <f t="shared" si="4"/>
        <v/>
      </c>
      <c r="H591" s="26" t="str">
        <f t="shared" si="22"/>
        <v/>
      </c>
      <c r="I591" s="26" t="str">
        <f t="array" ref="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/>
      </c>
      <c r="J591" s="26" t="str">
        <f t="shared" si="5"/>
        <v/>
      </c>
      <c r="K591" s="26" t="str">
        <f t="shared" si="6"/>
        <v/>
      </c>
      <c r="L591" s="26" t="str">
        <f t="shared" si="7"/>
        <v/>
      </c>
      <c r="M591" s="26" t="str">
        <f t="array" ref="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/>
      </c>
      <c r="N591" s="26" t="str">
        <f t="shared" si="8"/>
        <v/>
      </c>
      <c r="O591" s="26" t="str">
        <f t="shared" si="9"/>
        <v/>
      </c>
      <c r="P591" s="26" t="str">
        <f t="shared" si="10"/>
        <v/>
      </c>
      <c r="Q591" s="26" t="str">
        <f t="shared" si="11"/>
        <v/>
      </c>
      <c r="R591" s="26" t="str">
        <f t="shared" si="12"/>
        <v/>
      </c>
      <c r="S591" s="26" t="str">
        <f t="shared" si="13"/>
        <v/>
      </c>
      <c r="T591" s="26" t="str">
        <f t="shared" si="14"/>
        <v/>
      </c>
      <c r="U591" s="26" t="str">
        <f t="shared" si="15"/>
        <v/>
      </c>
      <c r="V591" s="26" t="str">
        <f t="shared" si="16"/>
        <v/>
      </c>
      <c r="W591" s="26" t="str">
        <f t="shared" si="17"/>
        <v/>
      </c>
      <c r="X591" s="26" t="str">
        <f t="shared" si="18"/>
        <v/>
      </c>
      <c r="Y591" s="26" t="str">
        <f t="shared" si="19"/>
        <v/>
      </c>
      <c r="Z591" s="31" t="str">
        <f t="shared" si="20"/>
        <v/>
      </c>
      <c r="AA591" s="31" t="str">
        <f>IF(D591="","",IF(H591&lt;=$B$16,1,IF(H591&gt;=$B$17,$B$21,MATCH(H591,Aux_CAV!$A$2:$A$121,1))))</f>
        <v/>
      </c>
      <c r="AB591" s="31" t="str">
        <f>IF(D591="","",IF(L591&lt;=$B$16,1,IF(L591&gt;=$B$17,$B$21,MATCH(L591,Aux_CAV!$A$2:$A$121,1))))</f>
        <v/>
      </c>
      <c r="AC591" s="3" t="str">
        <f t="shared" si="21"/>
        <v/>
      </c>
    </row>
    <row r="592" ht="12.75" customHeight="1">
      <c r="A592" s="25" t="str">
        <f t="shared" si="1"/>
        <v/>
      </c>
      <c r="B592" s="29" t="str">
        <f t="array" ref="B592">IF(D592="","",IFERROR(VALUE(INDEX(Vazoes_COLAR!$A$2:$A$200,INT((ROW()-24)/12)+1)),""))</f>
        <v/>
      </c>
      <c r="C592" s="29" t="str">
        <f t="shared" si="2"/>
        <v/>
      </c>
      <c r="D592" s="26" t="str">
        <f t="array" ref="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92" s="26" t="str">
        <f t="shared" si="3"/>
        <v/>
      </c>
      <c r="F592" s="26" t="str">
        <f t="array" ref="F592">IF(D592="","",IFERROR(INDEX(Dados_Evap!$C$2:$N$15,MATCH($B$9,Dados_Evap!$A$2:$A$15,0),C592),0))</f>
        <v/>
      </c>
      <c r="G592" s="26" t="str">
        <f t="shared" si="4"/>
        <v/>
      </c>
      <c r="H592" s="26" t="str">
        <f t="shared" si="22"/>
        <v/>
      </c>
      <c r="I592" s="26" t="str">
        <f t="array" ref="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/>
      </c>
      <c r="J592" s="26" t="str">
        <f t="shared" si="5"/>
        <v/>
      </c>
      <c r="K592" s="26" t="str">
        <f t="shared" si="6"/>
        <v/>
      </c>
      <c r="L592" s="26" t="str">
        <f t="shared" si="7"/>
        <v/>
      </c>
      <c r="M592" s="26" t="str">
        <f t="array" ref="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/>
      </c>
      <c r="N592" s="26" t="str">
        <f t="shared" si="8"/>
        <v/>
      </c>
      <c r="O592" s="26" t="str">
        <f t="shared" si="9"/>
        <v/>
      </c>
      <c r="P592" s="26" t="str">
        <f t="shared" si="10"/>
        <v/>
      </c>
      <c r="Q592" s="26" t="str">
        <f t="shared" si="11"/>
        <v/>
      </c>
      <c r="R592" s="26" t="str">
        <f t="shared" si="12"/>
        <v/>
      </c>
      <c r="S592" s="26" t="str">
        <f t="shared" si="13"/>
        <v/>
      </c>
      <c r="T592" s="26" t="str">
        <f t="shared" si="14"/>
        <v/>
      </c>
      <c r="U592" s="26" t="str">
        <f t="shared" si="15"/>
        <v/>
      </c>
      <c r="V592" s="26" t="str">
        <f t="shared" si="16"/>
        <v/>
      </c>
      <c r="W592" s="26" t="str">
        <f t="shared" si="17"/>
        <v/>
      </c>
      <c r="X592" s="26" t="str">
        <f t="shared" si="18"/>
        <v/>
      </c>
      <c r="Y592" s="26" t="str">
        <f t="shared" si="19"/>
        <v/>
      </c>
      <c r="Z592" s="31" t="str">
        <f t="shared" si="20"/>
        <v/>
      </c>
      <c r="AA592" s="31" t="str">
        <f>IF(D592="","",IF(H592&lt;=$B$16,1,IF(H592&gt;=$B$17,$B$21,MATCH(H592,Aux_CAV!$A$2:$A$121,1))))</f>
        <v/>
      </c>
      <c r="AB592" s="31" t="str">
        <f>IF(D592="","",IF(L592&lt;=$B$16,1,IF(L592&gt;=$B$17,$B$21,MATCH(L592,Aux_CAV!$A$2:$A$121,1))))</f>
        <v/>
      </c>
      <c r="AC592" s="3" t="str">
        <f t="shared" si="21"/>
        <v/>
      </c>
    </row>
    <row r="593" ht="12.75" customHeight="1">
      <c r="A593" s="25" t="str">
        <f t="shared" si="1"/>
        <v/>
      </c>
      <c r="B593" s="29" t="str">
        <f t="array" ref="B593">IF(D593="","",IFERROR(VALUE(INDEX(Vazoes_COLAR!$A$2:$A$200,INT((ROW()-24)/12)+1)),""))</f>
        <v/>
      </c>
      <c r="C593" s="29" t="str">
        <f t="shared" si="2"/>
        <v/>
      </c>
      <c r="D593" s="26" t="str">
        <f t="array" ref="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93" s="26" t="str">
        <f t="shared" si="3"/>
        <v/>
      </c>
      <c r="F593" s="26" t="str">
        <f t="array" ref="F593">IF(D593="","",IFERROR(INDEX(Dados_Evap!$C$2:$N$15,MATCH($B$9,Dados_Evap!$A$2:$A$15,0),C593),0))</f>
        <v/>
      </c>
      <c r="G593" s="26" t="str">
        <f t="shared" si="4"/>
        <v/>
      </c>
      <c r="H593" s="26" t="str">
        <f t="shared" si="22"/>
        <v/>
      </c>
      <c r="I593" s="26" t="str">
        <f t="array" ref="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/>
      </c>
      <c r="J593" s="26" t="str">
        <f t="shared" si="5"/>
        <v/>
      </c>
      <c r="K593" s="26" t="str">
        <f t="shared" si="6"/>
        <v/>
      </c>
      <c r="L593" s="26" t="str">
        <f t="shared" si="7"/>
        <v/>
      </c>
      <c r="M593" s="26" t="str">
        <f t="array" ref="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/>
      </c>
      <c r="N593" s="26" t="str">
        <f t="shared" si="8"/>
        <v/>
      </c>
      <c r="O593" s="26" t="str">
        <f t="shared" si="9"/>
        <v/>
      </c>
      <c r="P593" s="26" t="str">
        <f t="shared" si="10"/>
        <v/>
      </c>
      <c r="Q593" s="26" t="str">
        <f t="shared" si="11"/>
        <v/>
      </c>
      <c r="R593" s="26" t="str">
        <f t="shared" si="12"/>
        <v/>
      </c>
      <c r="S593" s="26" t="str">
        <f t="shared" si="13"/>
        <v/>
      </c>
      <c r="T593" s="26" t="str">
        <f t="shared" si="14"/>
        <v/>
      </c>
      <c r="U593" s="26" t="str">
        <f t="shared" si="15"/>
        <v/>
      </c>
      <c r="V593" s="26" t="str">
        <f t="shared" si="16"/>
        <v/>
      </c>
      <c r="W593" s="26" t="str">
        <f t="shared" si="17"/>
        <v/>
      </c>
      <c r="X593" s="26" t="str">
        <f t="shared" si="18"/>
        <v/>
      </c>
      <c r="Y593" s="26" t="str">
        <f t="shared" si="19"/>
        <v/>
      </c>
      <c r="Z593" s="31" t="str">
        <f t="shared" si="20"/>
        <v/>
      </c>
      <c r="AA593" s="31" t="str">
        <f>IF(D593="","",IF(H593&lt;=$B$16,1,IF(H593&gt;=$B$17,$B$21,MATCH(H593,Aux_CAV!$A$2:$A$121,1))))</f>
        <v/>
      </c>
      <c r="AB593" s="31" t="str">
        <f>IF(D593="","",IF(L593&lt;=$B$16,1,IF(L593&gt;=$B$17,$B$21,MATCH(L593,Aux_CAV!$A$2:$A$121,1))))</f>
        <v/>
      </c>
      <c r="AC593" s="3" t="str">
        <f t="shared" si="21"/>
        <v/>
      </c>
    </row>
    <row r="594" ht="12.75" customHeight="1">
      <c r="A594" s="25" t="str">
        <f t="shared" si="1"/>
        <v/>
      </c>
      <c r="B594" s="29" t="str">
        <f t="array" ref="B594">IF(D594="","",IFERROR(VALUE(INDEX(Vazoes_COLAR!$A$2:$A$200,INT((ROW()-24)/12)+1)),""))</f>
        <v/>
      </c>
      <c r="C594" s="29" t="str">
        <f t="shared" si="2"/>
        <v/>
      </c>
      <c r="D594" s="26" t="str">
        <f t="array" ref="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94" s="26" t="str">
        <f t="shared" si="3"/>
        <v/>
      </c>
      <c r="F594" s="26" t="str">
        <f t="array" ref="F594">IF(D594="","",IFERROR(INDEX(Dados_Evap!$C$2:$N$15,MATCH($B$9,Dados_Evap!$A$2:$A$15,0),C594),0))</f>
        <v/>
      </c>
      <c r="G594" s="26" t="str">
        <f t="shared" si="4"/>
        <v/>
      </c>
      <c r="H594" s="26" t="str">
        <f t="shared" si="22"/>
        <v/>
      </c>
      <c r="I594" s="26" t="str">
        <f t="array" ref="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/>
      </c>
      <c r="J594" s="26" t="str">
        <f t="shared" si="5"/>
        <v/>
      </c>
      <c r="K594" s="26" t="str">
        <f t="shared" si="6"/>
        <v/>
      </c>
      <c r="L594" s="26" t="str">
        <f t="shared" si="7"/>
        <v/>
      </c>
      <c r="M594" s="26" t="str">
        <f t="array" ref="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/>
      </c>
      <c r="N594" s="26" t="str">
        <f t="shared" si="8"/>
        <v/>
      </c>
      <c r="O594" s="26" t="str">
        <f t="shared" si="9"/>
        <v/>
      </c>
      <c r="P594" s="26" t="str">
        <f t="shared" si="10"/>
        <v/>
      </c>
      <c r="Q594" s="26" t="str">
        <f t="shared" si="11"/>
        <v/>
      </c>
      <c r="R594" s="26" t="str">
        <f t="shared" si="12"/>
        <v/>
      </c>
      <c r="S594" s="26" t="str">
        <f t="shared" si="13"/>
        <v/>
      </c>
      <c r="T594" s="26" t="str">
        <f t="shared" si="14"/>
        <v/>
      </c>
      <c r="U594" s="26" t="str">
        <f t="shared" si="15"/>
        <v/>
      </c>
      <c r="V594" s="26" t="str">
        <f t="shared" si="16"/>
        <v/>
      </c>
      <c r="W594" s="26" t="str">
        <f t="shared" si="17"/>
        <v/>
      </c>
      <c r="X594" s="26" t="str">
        <f t="shared" si="18"/>
        <v/>
      </c>
      <c r="Y594" s="26" t="str">
        <f t="shared" si="19"/>
        <v/>
      </c>
      <c r="Z594" s="31" t="str">
        <f t="shared" si="20"/>
        <v/>
      </c>
      <c r="AA594" s="31" t="str">
        <f>IF(D594="","",IF(H594&lt;=$B$16,1,IF(H594&gt;=$B$17,$B$21,MATCH(H594,Aux_CAV!$A$2:$A$121,1))))</f>
        <v/>
      </c>
      <c r="AB594" s="31" t="str">
        <f>IF(D594="","",IF(L594&lt;=$B$16,1,IF(L594&gt;=$B$17,$B$21,MATCH(L594,Aux_CAV!$A$2:$A$121,1))))</f>
        <v/>
      </c>
      <c r="AC594" s="3" t="str">
        <f t="shared" si="21"/>
        <v/>
      </c>
    </row>
    <row r="595" ht="12.75" customHeight="1">
      <c r="A595" s="25" t="str">
        <f t="shared" si="1"/>
        <v/>
      </c>
      <c r="B595" s="29" t="str">
        <f t="array" ref="B595">IF(D595="","",IFERROR(VALUE(INDEX(Vazoes_COLAR!$A$2:$A$200,INT((ROW()-24)/12)+1)),""))</f>
        <v/>
      </c>
      <c r="C595" s="29" t="str">
        <f t="shared" si="2"/>
        <v/>
      </c>
      <c r="D595" s="26" t="str">
        <f t="array" ref="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95" s="26" t="str">
        <f t="shared" si="3"/>
        <v/>
      </c>
      <c r="F595" s="26" t="str">
        <f t="array" ref="F595">IF(D595="","",IFERROR(INDEX(Dados_Evap!$C$2:$N$15,MATCH($B$9,Dados_Evap!$A$2:$A$15,0),C595),0))</f>
        <v/>
      </c>
      <c r="G595" s="26" t="str">
        <f t="shared" si="4"/>
        <v/>
      </c>
      <c r="H595" s="26" t="str">
        <f t="shared" si="22"/>
        <v/>
      </c>
      <c r="I595" s="26" t="str">
        <f t="array" ref="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/>
      </c>
      <c r="J595" s="26" t="str">
        <f t="shared" si="5"/>
        <v/>
      </c>
      <c r="K595" s="26" t="str">
        <f t="shared" si="6"/>
        <v/>
      </c>
      <c r="L595" s="26" t="str">
        <f t="shared" si="7"/>
        <v/>
      </c>
      <c r="M595" s="26" t="str">
        <f t="array" ref="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/>
      </c>
      <c r="N595" s="26" t="str">
        <f t="shared" si="8"/>
        <v/>
      </c>
      <c r="O595" s="26" t="str">
        <f t="shared" si="9"/>
        <v/>
      </c>
      <c r="P595" s="26" t="str">
        <f t="shared" si="10"/>
        <v/>
      </c>
      <c r="Q595" s="26" t="str">
        <f t="shared" si="11"/>
        <v/>
      </c>
      <c r="R595" s="26" t="str">
        <f t="shared" si="12"/>
        <v/>
      </c>
      <c r="S595" s="26" t="str">
        <f t="shared" si="13"/>
        <v/>
      </c>
      <c r="T595" s="26" t="str">
        <f t="shared" si="14"/>
        <v/>
      </c>
      <c r="U595" s="26" t="str">
        <f t="shared" si="15"/>
        <v/>
      </c>
      <c r="V595" s="26" t="str">
        <f t="shared" si="16"/>
        <v/>
      </c>
      <c r="W595" s="26" t="str">
        <f t="shared" si="17"/>
        <v/>
      </c>
      <c r="X595" s="26" t="str">
        <f t="shared" si="18"/>
        <v/>
      </c>
      <c r="Y595" s="26" t="str">
        <f t="shared" si="19"/>
        <v/>
      </c>
      <c r="Z595" s="31" t="str">
        <f t="shared" si="20"/>
        <v/>
      </c>
      <c r="AA595" s="31" t="str">
        <f>IF(D595="","",IF(H595&lt;=$B$16,1,IF(H595&gt;=$B$17,$B$21,MATCH(H595,Aux_CAV!$A$2:$A$121,1))))</f>
        <v/>
      </c>
      <c r="AB595" s="31" t="str">
        <f>IF(D595="","",IF(L595&lt;=$B$16,1,IF(L595&gt;=$B$17,$B$21,MATCH(L595,Aux_CAV!$A$2:$A$121,1))))</f>
        <v/>
      </c>
      <c r="AC595" s="3" t="str">
        <f t="shared" si="21"/>
        <v/>
      </c>
    </row>
    <row r="596" ht="12.75" customHeight="1">
      <c r="A596" s="25" t="str">
        <f t="shared" si="1"/>
        <v/>
      </c>
      <c r="B596" s="29" t="str">
        <f t="array" ref="B596">IF(D596="","",IFERROR(VALUE(INDEX(Vazoes_COLAR!$A$2:$A$200,INT((ROW()-24)/12)+1)),""))</f>
        <v/>
      </c>
      <c r="C596" s="29" t="str">
        <f t="shared" si="2"/>
        <v/>
      </c>
      <c r="D596" s="26" t="str">
        <f t="array" ref="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96" s="26" t="str">
        <f t="shared" si="3"/>
        <v/>
      </c>
      <c r="F596" s="26" t="str">
        <f t="array" ref="F596">IF(D596="","",IFERROR(INDEX(Dados_Evap!$C$2:$N$15,MATCH($B$9,Dados_Evap!$A$2:$A$15,0),C596),0))</f>
        <v/>
      </c>
      <c r="G596" s="26" t="str">
        <f t="shared" si="4"/>
        <v/>
      </c>
      <c r="H596" s="26" t="str">
        <f t="shared" si="22"/>
        <v/>
      </c>
      <c r="I596" s="26" t="str">
        <f t="array" ref="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/>
      </c>
      <c r="J596" s="26" t="str">
        <f t="shared" si="5"/>
        <v/>
      </c>
      <c r="K596" s="26" t="str">
        <f t="shared" si="6"/>
        <v/>
      </c>
      <c r="L596" s="26" t="str">
        <f t="shared" si="7"/>
        <v/>
      </c>
      <c r="M596" s="26" t="str">
        <f t="array" ref="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/>
      </c>
      <c r="N596" s="26" t="str">
        <f t="shared" si="8"/>
        <v/>
      </c>
      <c r="O596" s="26" t="str">
        <f t="shared" si="9"/>
        <v/>
      </c>
      <c r="P596" s="26" t="str">
        <f t="shared" si="10"/>
        <v/>
      </c>
      <c r="Q596" s="26" t="str">
        <f t="shared" si="11"/>
        <v/>
      </c>
      <c r="R596" s="26" t="str">
        <f t="shared" si="12"/>
        <v/>
      </c>
      <c r="S596" s="26" t="str">
        <f t="shared" si="13"/>
        <v/>
      </c>
      <c r="T596" s="26" t="str">
        <f t="shared" si="14"/>
        <v/>
      </c>
      <c r="U596" s="26" t="str">
        <f t="shared" si="15"/>
        <v/>
      </c>
      <c r="V596" s="26" t="str">
        <f t="shared" si="16"/>
        <v/>
      </c>
      <c r="W596" s="26" t="str">
        <f t="shared" si="17"/>
        <v/>
      </c>
      <c r="X596" s="26" t="str">
        <f t="shared" si="18"/>
        <v/>
      </c>
      <c r="Y596" s="26" t="str">
        <f t="shared" si="19"/>
        <v/>
      </c>
      <c r="Z596" s="31" t="str">
        <f t="shared" si="20"/>
        <v/>
      </c>
      <c r="AA596" s="31" t="str">
        <f>IF(D596="","",IF(H596&lt;=$B$16,1,IF(H596&gt;=$B$17,$B$21,MATCH(H596,Aux_CAV!$A$2:$A$121,1))))</f>
        <v/>
      </c>
      <c r="AB596" s="31" t="str">
        <f>IF(D596="","",IF(L596&lt;=$B$16,1,IF(L596&gt;=$B$17,$B$21,MATCH(L596,Aux_CAV!$A$2:$A$121,1))))</f>
        <v/>
      </c>
      <c r="AC596" s="3" t="str">
        <f t="shared" si="21"/>
        <v/>
      </c>
    </row>
    <row r="597" ht="12.75" customHeight="1">
      <c r="A597" s="25" t="str">
        <f t="shared" si="1"/>
        <v/>
      </c>
      <c r="B597" s="29" t="str">
        <f t="array" ref="B597">IF(D597="","",IFERROR(VALUE(INDEX(Vazoes_COLAR!$A$2:$A$200,INT((ROW()-24)/12)+1)),""))</f>
        <v/>
      </c>
      <c r="C597" s="29" t="str">
        <f t="shared" si="2"/>
        <v/>
      </c>
      <c r="D597" s="26" t="str">
        <f t="array" ref="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97" s="26" t="str">
        <f t="shared" si="3"/>
        <v/>
      </c>
      <c r="F597" s="26" t="str">
        <f t="array" ref="F597">IF(D597="","",IFERROR(INDEX(Dados_Evap!$C$2:$N$15,MATCH($B$9,Dados_Evap!$A$2:$A$15,0),C597),0))</f>
        <v/>
      </c>
      <c r="G597" s="26" t="str">
        <f t="shared" si="4"/>
        <v/>
      </c>
      <c r="H597" s="26" t="str">
        <f t="shared" si="22"/>
        <v/>
      </c>
      <c r="I597" s="26" t="str">
        <f t="array" ref="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/>
      </c>
      <c r="J597" s="26" t="str">
        <f t="shared" si="5"/>
        <v/>
      </c>
      <c r="K597" s="26" t="str">
        <f t="shared" si="6"/>
        <v/>
      </c>
      <c r="L597" s="26" t="str">
        <f t="shared" si="7"/>
        <v/>
      </c>
      <c r="M597" s="26" t="str">
        <f t="array" ref="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/>
      </c>
      <c r="N597" s="26" t="str">
        <f t="shared" si="8"/>
        <v/>
      </c>
      <c r="O597" s="26" t="str">
        <f t="shared" si="9"/>
        <v/>
      </c>
      <c r="P597" s="26" t="str">
        <f t="shared" si="10"/>
        <v/>
      </c>
      <c r="Q597" s="26" t="str">
        <f t="shared" si="11"/>
        <v/>
      </c>
      <c r="R597" s="26" t="str">
        <f t="shared" si="12"/>
        <v/>
      </c>
      <c r="S597" s="26" t="str">
        <f t="shared" si="13"/>
        <v/>
      </c>
      <c r="T597" s="26" t="str">
        <f t="shared" si="14"/>
        <v/>
      </c>
      <c r="U597" s="26" t="str">
        <f t="shared" si="15"/>
        <v/>
      </c>
      <c r="V597" s="26" t="str">
        <f t="shared" si="16"/>
        <v/>
      </c>
      <c r="W597" s="26" t="str">
        <f t="shared" si="17"/>
        <v/>
      </c>
      <c r="X597" s="26" t="str">
        <f t="shared" si="18"/>
        <v/>
      </c>
      <c r="Y597" s="26" t="str">
        <f t="shared" si="19"/>
        <v/>
      </c>
      <c r="Z597" s="31" t="str">
        <f t="shared" si="20"/>
        <v/>
      </c>
      <c r="AA597" s="31" t="str">
        <f>IF(D597="","",IF(H597&lt;=$B$16,1,IF(H597&gt;=$B$17,$B$21,MATCH(H597,Aux_CAV!$A$2:$A$121,1))))</f>
        <v/>
      </c>
      <c r="AB597" s="31" t="str">
        <f>IF(D597="","",IF(L597&lt;=$B$16,1,IF(L597&gt;=$B$17,$B$21,MATCH(L597,Aux_CAV!$A$2:$A$121,1))))</f>
        <v/>
      </c>
      <c r="AC597" s="3" t="str">
        <f t="shared" si="21"/>
        <v/>
      </c>
    </row>
    <row r="598" ht="12.75" customHeight="1">
      <c r="A598" s="25" t="str">
        <f t="shared" si="1"/>
        <v/>
      </c>
      <c r="B598" s="29" t="str">
        <f t="array" ref="B598">IF(D598="","",IFERROR(VALUE(INDEX(Vazoes_COLAR!$A$2:$A$200,INT((ROW()-24)/12)+1)),""))</f>
        <v/>
      </c>
      <c r="C598" s="29" t="str">
        <f t="shared" si="2"/>
        <v/>
      </c>
      <c r="D598" s="26" t="str">
        <f t="array" ref="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98" s="26" t="str">
        <f t="shared" si="3"/>
        <v/>
      </c>
      <c r="F598" s="26" t="str">
        <f t="array" ref="F598">IF(D598="","",IFERROR(INDEX(Dados_Evap!$C$2:$N$15,MATCH($B$9,Dados_Evap!$A$2:$A$15,0),C598),0))</f>
        <v/>
      </c>
      <c r="G598" s="26" t="str">
        <f t="shared" si="4"/>
        <v/>
      </c>
      <c r="H598" s="26" t="str">
        <f t="shared" si="22"/>
        <v/>
      </c>
      <c r="I598" s="26" t="str">
        <f t="array" ref="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/>
      </c>
      <c r="J598" s="26" t="str">
        <f t="shared" si="5"/>
        <v/>
      </c>
      <c r="K598" s="26" t="str">
        <f t="shared" si="6"/>
        <v/>
      </c>
      <c r="L598" s="26" t="str">
        <f t="shared" si="7"/>
        <v/>
      </c>
      <c r="M598" s="26" t="str">
        <f t="array" ref="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/>
      </c>
      <c r="N598" s="26" t="str">
        <f t="shared" si="8"/>
        <v/>
      </c>
      <c r="O598" s="26" t="str">
        <f t="shared" si="9"/>
        <v/>
      </c>
      <c r="P598" s="26" t="str">
        <f t="shared" si="10"/>
        <v/>
      </c>
      <c r="Q598" s="26" t="str">
        <f t="shared" si="11"/>
        <v/>
      </c>
      <c r="R598" s="26" t="str">
        <f t="shared" si="12"/>
        <v/>
      </c>
      <c r="S598" s="26" t="str">
        <f t="shared" si="13"/>
        <v/>
      </c>
      <c r="T598" s="26" t="str">
        <f t="shared" si="14"/>
        <v/>
      </c>
      <c r="U598" s="26" t="str">
        <f t="shared" si="15"/>
        <v/>
      </c>
      <c r="V598" s="26" t="str">
        <f t="shared" si="16"/>
        <v/>
      </c>
      <c r="W598" s="26" t="str">
        <f t="shared" si="17"/>
        <v/>
      </c>
      <c r="X598" s="26" t="str">
        <f t="shared" si="18"/>
        <v/>
      </c>
      <c r="Y598" s="26" t="str">
        <f t="shared" si="19"/>
        <v/>
      </c>
      <c r="Z598" s="31" t="str">
        <f t="shared" si="20"/>
        <v/>
      </c>
      <c r="AA598" s="31" t="str">
        <f>IF(D598="","",IF(H598&lt;=$B$16,1,IF(H598&gt;=$B$17,$B$21,MATCH(H598,Aux_CAV!$A$2:$A$121,1))))</f>
        <v/>
      </c>
      <c r="AB598" s="31" t="str">
        <f>IF(D598="","",IF(L598&lt;=$B$16,1,IF(L598&gt;=$B$17,$B$21,MATCH(L598,Aux_CAV!$A$2:$A$121,1))))</f>
        <v/>
      </c>
      <c r="AC598" s="3" t="str">
        <f t="shared" si="21"/>
        <v/>
      </c>
    </row>
    <row r="599" ht="12.75" customHeight="1">
      <c r="A599" s="25" t="str">
        <f t="shared" si="1"/>
        <v/>
      </c>
      <c r="B599" s="29" t="str">
        <f t="array" ref="B599">IF(D599="","",IFERROR(VALUE(INDEX(Vazoes_COLAR!$A$2:$A$200,INT((ROW()-24)/12)+1)),""))</f>
        <v/>
      </c>
      <c r="C599" s="29" t="str">
        <f t="shared" si="2"/>
        <v/>
      </c>
      <c r="D599" s="26" t="str">
        <f t="array" ref="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599" s="26" t="str">
        <f t="shared" si="3"/>
        <v/>
      </c>
      <c r="F599" s="26" t="str">
        <f t="array" ref="F599">IF(D599="","",IFERROR(INDEX(Dados_Evap!$C$2:$N$15,MATCH($B$9,Dados_Evap!$A$2:$A$15,0),C599),0))</f>
        <v/>
      </c>
      <c r="G599" s="26" t="str">
        <f t="shared" si="4"/>
        <v/>
      </c>
      <c r="H599" s="26" t="str">
        <f t="shared" si="22"/>
        <v/>
      </c>
      <c r="I599" s="26" t="str">
        <f t="array" ref="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/>
      </c>
      <c r="J599" s="26" t="str">
        <f t="shared" si="5"/>
        <v/>
      </c>
      <c r="K599" s="26" t="str">
        <f t="shared" si="6"/>
        <v/>
      </c>
      <c r="L599" s="26" t="str">
        <f t="shared" si="7"/>
        <v/>
      </c>
      <c r="M599" s="26" t="str">
        <f t="array" ref="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/>
      </c>
      <c r="N599" s="26" t="str">
        <f t="shared" si="8"/>
        <v/>
      </c>
      <c r="O599" s="26" t="str">
        <f t="shared" si="9"/>
        <v/>
      </c>
      <c r="P599" s="26" t="str">
        <f t="shared" si="10"/>
        <v/>
      </c>
      <c r="Q599" s="26" t="str">
        <f t="shared" si="11"/>
        <v/>
      </c>
      <c r="R599" s="26" t="str">
        <f t="shared" si="12"/>
        <v/>
      </c>
      <c r="S599" s="26" t="str">
        <f t="shared" si="13"/>
        <v/>
      </c>
      <c r="T599" s="26" t="str">
        <f t="shared" si="14"/>
        <v/>
      </c>
      <c r="U599" s="26" t="str">
        <f t="shared" si="15"/>
        <v/>
      </c>
      <c r="V599" s="26" t="str">
        <f t="shared" si="16"/>
        <v/>
      </c>
      <c r="W599" s="26" t="str">
        <f t="shared" si="17"/>
        <v/>
      </c>
      <c r="X599" s="26" t="str">
        <f t="shared" si="18"/>
        <v/>
      </c>
      <c r="Y599" s="26" t="str">
        <f t="shared" si="19"/>
        <v/>
      </c>
      <c r="Z599" s="31" t="str">
        <f t="shared" si="20"/>
        <v/>
      </c>
      <c r="AA599" s="31" t="str">
        <f>IF(D599="","",IF(H599&lt;=$B$16,1,IF(H599&gt;=$B$17,$B$21,MATCH(H599,Aux_CAV!$A$2:$A$121,1))))</f>
        <v/>
      </c>
      <c r="AB599" s="31" t="str">
        <f>IF(D599="","",IF(L599&lt;=$B$16,1,IF(L599&gt;=$B$17,$B$21,MATCH(L599,Aux_CAV!$A$2:$A$121,1))))</f>
        <v/>
      </c>
      <c r="AC599" s="3" t="str">
        <f t="shared" si="21"/>
        <v/>
      </c>
    </row>
    <row r="600" ht="12.75" customHeight="1">
      <c r="A600" s="25" t="str">
        <f t="shared" si="1"/>
        <v/>
      </c>
      <c r="B600" s="29" t="str">
        <f t="array" ref="B600">IF(D600="","",IFERROR(VALUE(INDEX(Vazoes_COLAR!$A$2:$A$200,INT((ROW()-24)/12)+1)),""))</f>
        <v/>
      </c>
      <c r="C600" s="29" t="str">
        <f t="shared" si="2"/>
        <v/>
      </c>
      <c r="D600" s="26" t="str">
        <f t="array" ref="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00" s="26" t="str">
        <f t="shared" si="3"/>
        <v/>
      </c>
      <c r="F600" s="26" t="str">
        <f t="array" ref="F600">IF(D600="","",IFERROR(INDEX(Dados_Evap!$C$2:$N$15,MATCH($B$9,Dados_Evap!$A$2:$A$15,0),C600),0))</f>
        <v/>
      </c>
      <c r="G600" s="26" t="str">
        <f t="shared" si="4"/>
        <v/>
      </c>
      <c r="H600" s="26" t="str">
        <f t="shared" si="22"/>
        <v/>
      </c>
      <c r="I600" s="26" t="str">
        <f t="array" ref="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/>
      </c>
      <c r="J600" s="26" t="str">
        <f t="shared" si="5"/>
        <v/>
      </c>
      <c r="K600" s="26" t="str">
        <f t="shared" si="6"/>
        <v/>
      </c>
      <c r="L600" s="26" t="str">
        <f t="shared" si="7"/>
        <v/>
      </c>
      <c r="M600" s="26" t="str">
        <f t="array" ref="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/>
      </c>
      <c r="N600" s="26" t="str">
        <f t="shared" si="8"/>
        <v/>
      </c>
      <c r="O600" s="26" t="str">
        <f t="shared" si="9"/>
        <v/>
      </c>
      <c r="P600" s="26" t="str">
        <f t="shared" si="10"/>
        <v/>
      </c>
      <c r="Q600" s="26" t="str">
        <f t="shared" si="11"/>
        <v/>
      </c>
      <c r="R600" s="26" t="str">
        <f t="shared" si="12"/>
        <v/>
      </c>
      <c r="S600" s="26" t="str">
        <f t="shared" si="13"/>
        <v/>
      </c>
      <c r="T600" s="26" t="str">
        <f t="shared" si="14"/>
        <v/>
      </c>
      <c r="U600" s="26" t="str">
        <f t="shared" si="15"/>
        <v/>
      </c>
      <c r="V600" s="26" t="str">
        <f t="shared" si="16"/>
        <v/>
      </c>
      <c r="W600" s="26" t="str">
        <f t="shared" si="17"/>
        <v/>
      </c>
      <c r="X600" s="26" t="str">
        <f t="shared" si="18"/>
        <v/>
      </c>
      <c r="Y600" s="26" t="str">
        <f t="shared" si="19"/>
        <v/>
      </c>
      <c r="Z600" s="31" t="str">
        <f t="shared" si="20"/>
        <v/>
      </c>
      <c r="AA600" s="31" t="str">
        <f>IF(D600="","",IF(H600&lt;=$B$16,1,IF(H600&gt;=$B$17,$B$21,MATCH(H600,Aux_CAV!$A$2:$A$121,1))))</f>
        <v/>
      </c>
      <c r="AB600" s="31" t="str">
        <f>IF(D600="","",IF(L600&lt;=$B$16,1,IF(L600&gt;=$B$17,$B$21,MATCH(L600,Aux_CAV!$A$2:$A$121,1))))</f>
        <v/>
      </c>
      <c r="AC600" s="3" t="str">
        <f t="shared" si="21"/>
        <v/>
      </c>
    </row>
    <row r="601" ht="12.75" customHeight="1">
      <c r="A601" s="25" t="str">
        <f t="shared" si="1"/>
        <v/>
      </c>
      <c r="B601" s="29" t="str">
        <f t="array" ref="B601">IF(D601="","",IFERROR(VALUE(INDEX(Vazoes_COLAR!$A$2:$A$200,INT((ROW()-24)/12)+1)),""))</f>
        <v/>
      </c>
      <c r="C601" s="29" t="str">
        <f t="shared" si="2"/>
        <v/>
      </c>
      <c r="D601" s="26" t="str">
        <f t="array" ref="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01" s="26" t="str">
        <f t="shared" si="3"/>
        <v/>
      </c>
      <c r="F601" s="26" t="str">
        <f t="array" ref="F601">IF(D601="","",IFERROR(INDEX(Dados_Evap!$C$2:$N$15,MATCH($B$9,Dados_Evap!$A$2:$A$15,0),C601),0))</f>
        <v/>
      </c>
      <c r="G601" s="26" t="str">
        <f t="shared" si="4"/>
        <v/>
      </c>
      <c r="H601" s="26" t="str">
        <f t="shared" si="22"/>
        <v/>
      </c>
      <c r="I601" s="26" t="str">
        <f t="array" ref="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/>
      </c>
      <c r="J601" s="26" t="str">
        <f t="shared" si="5"/>
        <v/>
      </c>
      <c r="K601" s="26" t="str">
        <f t="shared" si="6"/>
        <v/>
      </c>
      <c r="L601" s="26" t="str">
        <f t="shared" si="7"/>
        <v/>
      </c>
      <c r="M601" s="26" t="str">
        <f t="array" ref="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/>
      </c>
      <c r="N601" s="26" t="str">
        <f t="shared" si="8"/>
        <v/>
      </c>
      <c r="O601" s="26" t="str">
        <f t="shared" si="9"/>
        <v/>
      </c>
      <c r="P601" s="26" t="str">
        <f t="shared" si="10"/>
        <v/>
      </c>
      <c r="Q601" s="26" t="str">
        <f t="shared" si="11"/>
        <v/>
      </c>
      <c r="R601" s="26" t="str">
        <f t="shared" si="12"/>
        <v/>
      </c>
      <c r="S601" s="26" t="str">
        <f t="shared" si="13"/>
        <v/>
      </c>
      <c r="T601" s="26" t="str">
        <f t="shared" si="14"/>
        <v/>
      </c>
      <c r="U601" s="26" t="str">
        <f t="shared" si="15"/>
        <v/>
      </c>
      <c r="V601" s="26" t="str">
        <f t="shared" si="16"/>
        <v/>
      </c>
      <c r="W601" s="26" t="str">
        <f t="shared" si="17"/>
        <v/>
      </c>
      <c r="X601" s="26" t="str">
        <f t="shared" si="18"/>
        <v/>
      </c>
      <c r="Y601" s="26" t="str">
        <f t="shared" si="19"/>
        <v/>
      </c>
      <c r="Z601" s="31" t="str">
        <f t="shared" si="20"/>
        <v/>
      </c>
      <c r="AA601" s="31" t="str">
        <f>IF(D601="","",IF(H601&lt;=$B$16,1,IF(H601&gt;=$B$17,$B$21,MATCH(H601,Aux_CAV!$A$2:$A$121,1))))</f>
        <v/>
      </c>
      <c r="AB601" s="31" t="str">
        <f>IF(D601="","",IF(L601&lt;=$B$16,1,IF(L601&gt;=$B$17,$B$21,MATCH(L601,Aux_CAV!$A$2:$A$121,1))))</f>
        <v/>
      </c>
      <c r="AC601" s="3" t="str">
        <f t="shared" si="21"/>
        <v/>
      </c>
    </row>
    <row r="602" ht="12.75" customHeight="1">
      <c r="A602" s="25" t="str">
        <f t="shared" si="1"/>
        <v/>
      </c>
      <c r="B602" s="29" t="str">
        <f t="array" ref="B602">IF(D602="","",IFERROR(VALUE(INDEX(Vazoes_COLAR!$A$2:$A$200,INT((ROW()-24)/12)+1)),""))</f>
        <v/>
      </c>
      <c r="C602" s="29" t="str">
        <f t="shared" si="2"/>
        <v/>
      </c>
      <c r="D602" s="26" t="str">
        <f t="array" ref="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02" s="26" t="str">
        <f t="shared" si="3"/>
        <v/>
      </c>
      <c r="F602" s="26" t="str">
        <f t="array" ref="F602">IF(D602="","",IFERROR(INDEX(Dados_Evap!$C$2:$N$15,MATCH($B$9,Dados_Evap!$A$2:$A$15,0),C602),0))</f>
        <v/>
      </c>
      <c r="G602" s="26" t="str">
        <f t="shared" si="4"/>
        <v/>
      </c>
      <c r="H602" s="26" t="str">
        <f t="shared" si="22"/>
        <v/>
      </c>
      <c r="I602" s="26" t="str">
        <f t="array" ref="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/>
      </c>
      <c r="J602" s="26" t="str">
        <f t="shared" si="5"/>
        <v/>
      </c>
      <c r="K602" s="26" t="str">
        <f t="shared" si="6"/>
        <v/>
      </c>
      <c r="L602" s="26" t="str">
        <f t="shared" si="7"/>
        <v/>
      </c>
      <c r="M602" s="26" t="str">
        <f t="array" ref="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/>
      </c>
      <c r="N602" s="26" t="str">
        <f t="shared" si="8"/>
        <v/>
      </c>
      <c r="O602" s="26" t="str">
        <f t="shared" si="9"/>
        <v/>
      </c>
      <c r="P602" s="26" t="str">
        <f t="shared" si="10"/>
        <v/>
      </c>
      <c r="Q602" s="26" t="str">
        <f t="shared" si="11"/>
        <v/>
      </c>
      <c r="R602" s="26" t="str">
        <f t="shared" si="12"/>
        <v/>
      </c>
      <c r="S602" s="26" t="str">
        <f t="shared" si="13"/>
        <v/>
      </c>
      <c r="T602" s="26" t="str">
        <f t="shared" si="14"/>
        <v/>
      </c>
      <c r="U602" s="26" t="str">
        <f t="shared" si="15"/>
        <v/>
      </c>
      <c r="V602" s="26" t="str">
        <f t="shared" si="16"/>
        <v/>
      </c>
      <c r="W602" s="26" t="str">
        <f t="shared" si="17"/>
        <v/>
      </c>
      <c r="X602" s="26" t="str">
        <f t="shared" si="18"/>
        <v/>
      </c>
      <c r="Y602" s="26" t="str">
        <f t="shared" si="19"/>
        <v/>
      </c>
      <c r="Z602" s="31" t="str">
        <f t="shared" si="20"/>
        <v/>
      </c>
      <c r="AA602" s="31" t="str">
        <f>IF(D602="","",IF(H602&lt;=$B$16,1,IF(H602&gt;=$B$17,$B$21,MATCH(H602,Aux_CAV!$A$2:$A$121,1))))</f>
        <v/>
      </c>
      <c r="AB602" s="31" t="str">
        <f>IF(D602="","",IF(L602&lt;=$B$16,1,IF(L602&gt;=$B$17,$B$21,MATCH(L602,Aux_CAV!$A$2:$A$121,1))))</f>
        <v/>
      </c>
      <c r="AC602" s="3" t="str">
        <f t="shared" si="21"/>
        <v/>
      </c>
    </row>
    <row r="603" ht="12.75" customHeight="1">
      <c r="A603" s="25" t="str">
        <f t="shared" si="1"/>
        <v/>
      </c>
      <c r="B603" s="29" t="str">
        <f t="array" ref="B603">IF(D603="","",IFERROR(VALUE(INDEX(Vazoes_COLAR!$A$2:$A$200,INT((ROW()-24)/12)+1)),""))</f>
        <v/>
      </c>
      <c r="C603" s="29" t="str">
        <f t="shared" si="2"/>
        <v/>
      </c>
      <c r="D603" s="26" t="str">
        <f t="array" ref="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03" s="26" t="str">
        <f t="shared" si="3"/>
        <v/>
      </c>
      <c r="F603" s="26" t="str">
        <f t="array" ref="F603">IF(D603="","",IFERROR(INDEX(Dados_Evap!$C$2:$N$15,MATCH($B$9,Dados_Evap!$A$2:$A$15,0),C603),0))</f>
        <v/>
      </c>
      <c r="G603" s="26" t="str">
        <f t="shared" si="4"/>
        <v/>
      </c>
      <c r="H603" s="26" t="str">
        <f t="shared" si="22"/>
        <v/>
      </c>
      <c r="I603" s="26" t="str">
        <f t="array" ref="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/>
      </c>
      <c r="J603" s="26" t="str">
        <f t="shared" si="5"/>
        <v/>
      </c>
      <c r="K603" s="26" t="str">
        <f t="shared" si="6"/>
        <v/>
      </c>
      <c r="L603" s="26" t="str">
        <f t="shared" si="7"/>
        <v/>
      </c>
      <c r="M603" s="26" t="str">
        <f t="array" ref="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/>
      </c>
      <c r="N603" s="26" t="str">
        <f t="shared" si="8"/>
        <v/>
      </c>
      <c r="O603" s="26" t="str">
        <f t="shared" si="9"/>
        <v/>
      </c>
      <c r="P603" s="26" t="str">
        <f t="shared" si="10"/>
        <v/>
      </c>
      <c r="Q603" s="26" t="str">
        <f t="shared" si="11"/>
        <v/>
      </c>
      <c r="R603" s="26" t="str">
        <f t="shared" si="12"/>
        <v/>
      </c>
      <c r="S603" s="26" t="str">
        <f t="shared" si="13"/>
        <v/>
      </c>
      <c r="T603" s="26" t="str">
        <f t="shared" si="14"/>
        <v/>
      </c>
      <c r="U603" s="26" t="str">
        <f t="shared" si="15"/>
        <v/>
      </c>
      <c r="V603" s="26" t="str">
        <f t="shared" si="16"/>
        <v/>
      </c>
      <c r="W603" s="26" t="str">
        <f t="shared" si="17"/>
        <v/>
      </c>
      <c r="X603" s="26" t="str">
        <f t="shared" si="18"/>
        <v/>
      </c>
      <c r="Y603" s="26" t="str">
        <f t="shared" si="19"/>
        <v/>
      </c>
      <c r="Z603" s="31" t="str">
        <f t="shared" si="20"/>
        <v/>
      </c>
      <c r="AA603" s="31" t="str">
        <f>IF(D603="","",IF(H603&lt;=$B$16,1,IF(H603&gt;=$B$17,$B$21,MATCH(H603,Aux_CAV!$A$2:$A$121,1))))</f>
        <v/>
      </c>
      <c r="AB603" s="31" t="str">
        <f>IF(D603="","",IF(L603&lt;=$B$16,1,IF(L603&gt;=$B$17,$B$21,MATCH(L603,Aux_CAV!$A$2:$A$121,1))))</f>
        <v/>
      </c>
      <c r="AC603" s="3" t="str">
        <f t="shared" si="21"/>
        <v/>
      </c>
    </row>
    <row r="604" ht="12.75" customHeight="1">
      <c r="A604" s="25" t="str">
        <f t="shared" si="1"/>
        <v/>
      </c>
      <c r="B604" s="29" t="str">
        <f t="array" ref="B604">IF(D604="","",IFERROR(VALUE(INDEX(Vazoes_COLAR!$A$2:$A$200,INT((ROW()-24)/12)+1)),""))</f>
        <v/>
      </c>
      <c r="C604" s="29" t="str">
        <f t="shared" si="2"/>
        <v/>
      </c>
      <c r="D604" s="26" t="str">
        <f t="array" ref="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04" s="26" t="str">
        <f t="shared" si="3"/>
        <v/>
      </c>
      <c r="F604" s="26" t="str">
        <f t="array" ref="F604">IF(D604="","",IFERROR(INDEX(Dados_Evap!$C$2:$N$15,MATCH($B$9,Dados_Evap!$A$2:$A$15,0),C604),0))</f>
        <v/>
      </c>
      <c r="G604" s="26" t="str">
        <f t="shared" si="4"/>
        <v/>
      </c>
      <c r="H604" s="26" t="str">
        <f t="shared" si="22"/>
        <v/>
      </c>
      <c r="I604" s="26" t="str">
        <f t="array" ref="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/>
      </c>
      <c r="J604" s="26" t="str">
        <f t="shared" si="5"/>
        <v/>
      </c>
      <c r="K604" s="26" t="str">
        <f t="shared" si="6"/>
        <v/>
      </c>
      <c r="L604" s="26" t="str">
        <f t="shared" si="7"/>
        <v/>
      </c>
      <c r="M604" s="26" t="str">
        <f t="array" ref="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/>
      </c>
      <c r="N604" s="26" t="str">
        <f t="shared" si="8"/>
        <v/>
      </c>
      <c r="O604" s="26" t="str">
        <f t="shared" si="9"/>
        <v/>
      </c>
      <c r="P604" s="26" t="str">
        <f t="shared" si="10"/>
        <v/>
      </c>
      <c r="Q604" s="26" t="str">
        <f t="shared" si="11"/>
        <v/>
      </c>
      <c r="R604" s="26" t="str">
        <f t="shared" si="12"/>
        <v/>
      </c>
      <c r="S604" s="26" t="str">
        <f t="shared" si="13"/>
        <v/>
      </c>
      <c r="T604" s="26" t="str">
        <f t="shared" si="14"/>
        <v/>
      </c>
      <c r="U604" s="26" t="str">
        <f t="shared" si="15"/>
        <v/>
      </c>
      <c r="V604" s="26" t="str">
        <f t="shared" si="16"/>
        <v/>
      </c>
      <c r="W604" s="26" t="str">
        <f t="shared" si="17"/>
        <v/>
      </c>
      <c r="X604" s="26" t="str">
        <f t="shared" si="18"/>
        <v/>
      </c>
      <c r="Y604" s="26" t="str">
        <f t="shared" si="19"/>
        <v/>
      </c>
      <c r="Z604" s="31" t="str">
        <f t="shared" si="20"/>
        <v/>
      </c>
      <c r="AA604" s="31" t="str">
        <f>IF(D604="","",IF(H604&lt;=$B$16,1,IF(H604&gt;=$B$17,$B$21,MATCH(H604,Aux_CAV!$A$2:$A$121,1))))</f>
        <v/>
      </c>
      <c r="AB604" s="31" t="str">
        <f>IF(D604="","",IF(L604&lt;=$B$16,1,IF(L604&gt;=$B$17,$B$21,MATCH(L604,Aux_CAV!$A$2:$A$121,1))))</f>
        <v/>
      </c>
      <c r="AC604" s="3" t="str">
        <f t="shared" si="21"/>
        <v/>
      </c>
    </row>
    <row r="605" ht="12.75" customHeight="1">
      <c r="A605" s="25" t="str">
        <f t="shared" si="1"/>
        <v/>
      </c>
      <c r="B605" s="29" t="str">
        <f t="array" ref="B605">IF(D605="","",IFERROR(VALUE(INDEX(Vazoes_COLAR!$A$2:$A$200,INT((ROW()-24)/12)+1)),""))</f>
        <v/>
      </c>
      <c r="C605" s="29" t="str">
        <f t="shared" si="2"/>
        <v/>
      </c>
      <c r="D605" s="26" t="str">
        <f t="array" ref="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05" s="26" t="str">
        <f t="shared" si="3"/>
        <v/>
      </c>
      <c r="F605" s="26" t="str">
        <f t="array" ref="F605">IF(D605="","",IFERROR(INDEX(Dados_Evap!$C$2:$N$15,MATCH($B$9,Dados_Evap!$A$2:$A$15,0),C605),0))</f>
        <v/>
      </c>
      <c r="G605" s="26" t="str">
        <f t="shared" si="4"/>
        <v/>
      </c>
      <c r="H605" s="26" t="str">
        <f t="shared" si="22"/>
        <v/>
      </c>
      <c r="I605" s="26" t="str">
        <f t="array" ref="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/>
      </c>
      <c r="J605" s="26" t="str">
        <f t="shared" si="5"/>
        <v/>
      </c>
      <c r="K605" s="26" t="str">
        <f t="shared" si="6"/>
        <v/>
      </c>
      <c r="L605" s="26" t="str">
        <f t="shared" si="7"/>
        <v/>
      </c>
      <c r="M605" s="26" t="str">
        <f t="array" ref="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/>
      </c>
      <c r="N605" s="26" t="str">
        <f t="shared" si="8"/>
        <v/>
      </c>
      <c r="O605" s="26" t="str">
        <f t="shared" si="9"/>
        <v/>
      </c>
      <c r="P605" s="26" t="str">
        <f t="shared" si="10"/>
        <v/>
      </c>
      <c r="Q605" s="26" t="str">
        <f t="shared" si="11"/>
        <v/>
      </c>
      <c r="R605" s="26" t="str">
        <f t="shared" si="12"/>
        <v/>
      </c>
      <c r="S605" s="26" t="str">
        <f t="shared" si="13"/>
        <v/>
      </c>
      <c r="T605" s="26" t="str">
        <f t="shared" si="14"/>
        <v/>
      </c>
      <c r="U605" s="26" t="str">
        <f t="shared" si="15"/>
        <v/>
      </c>
      <c r="V605" s="26" t="str">
        <f t="shared" si="16"/>
        <v/>
      </c>
      <c r="W605" s="26" t="str">
        <f t="shared" si="17"/>
        <v/>
      </c>
      <c r="X605" s="26" t="str">
        <f t="shared" si="18"/>
        <v/>
      </c>
      <c r="Y605" s="26" t="str">
        <f t="shared" si="19"/>
        <v/>
      </c>
      <c r="Z605" s="31" t="str">
        <f t="shared" si="20"/>
        <v/>
      </c>
      <c r="AA605" s="31" t="str">
        <f>IF(D605="","",IF(H605&lt;=$B$16,1,IF(H605&gt;=$B$17,$B$21,MATCH(H605,Aux_CAV!$A$2:$A$121,1))))</f>
        <v/>
      </c>
      <c r="AB605" s="31" t="str">
        <f>IF(D605="","",IF(L605&lt;=$B$16,1,IF(L605&gt;=$B$17,$B$21,MATCH(L605,Aux_CAV!$A$2:$A$121,1))))</f>
        <v/>
      </c>
      <c r="AC605" s="3" t="str">
        <f t="shared" si="21"/>
        <v/>
      </c>
    </row>
    <row r="606" ht="12.75" customHeight="1">
      <c r="A606" s="25" t="str">
        <f t="shared" si="1"/>
        <v/>
      </c>
      <c r="B606" s="29" t="str">
        <f t="array" ref="B606">IF(D606="","",IFERROR(VALUE(INDEX(Vazoes_COLAR!$A$2:$A$200,INT((ROW()-24)/12)+1)),""))</f>
        <v/>
      </c>
      <c r="C606" s="29" t="str">
        <f t="shared" si="2"/>
        <v/>
      </c>
      <c r="D606" s="26" t="str">
        <f t="array" ref="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06" s="26" t="str">
        <f t="shared" si="3"/>
        <v/>
      </c>
      <c r="F606" s="26" t="str">
        <f t="array" ref="F606">IF(D606="","",IFERROR(INDEX(Dados_Evap!$C$2:$N$15,MATCH($B$9,Dados_Evap!$A$2:$A$15,0),C606),0))</f>
        <v/>
      </c>
      <c r="G606" s="26" t="str">
        <f t="shared" si="4"/>
        <v/>
      </c>
      <c r="H606" s="26" t="str">
        <f t="shared" si="22"/>
        <v/>
      </c>
      <c r="I606" s="26" t="str">
        <f t="array" ref="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/>
      </c>
      <c r="J606" s="26" t="str">
        <f t="shared" si="5"/>
        <v/>
      </c>
      <c r="K606" s="26" t="str">
        <f t="shared" si="6"/>
        <v/>
      </c>
      <c r="L606" s="26" t="str">
        <f t="shared" si="7"/>
        <v/>
      </c>
      <c r="M606" s="26" t="str">
        <f t="array" ref="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/>
      </c>
      <c r="N606" s="26" t="str">
        <f t="shared" si="8"/>
        <v/>
      </c>
      <c r="O606" s="26" t="str">
        <f t="shared" si="9"/>
        <v/>
      </c>
      <c r="P606" s="26" t="str">
        <f t="shared" si="10"/>
        <v/>
      </c>
      <c r="Q606" s="26" t="str">
        <f t="shared" si="11"/>
        <v/>
      </c>
      <c r="R606" s="26" t="str">
        <f t="shared" si="12"/>
        <v/>
      </c>
      <c r="S606" s="26" t="str">
        <f t="shared" si="13"/>
        <v/>
      </c>
      <c r="T606" s="26" t="str">
        <f t="shared" si="14"/>
        <v/>
      </c>
      <c r="U606" s="26" t="str">
        <f t="shared" si="15"/>
        <v/>
      </c>
      <c r="V606" s="26" t="str">
        <f t="shared" si="16"/>
        <v/>
      </c>
      <c r="W606" s="26" t="str">
        <f t="shared" si="17"/>
        <v/>
      </c>
      <c r="X606" s="26" t="str">
        <f t="shared" si="18"/>
        <v/>
      </c>
      <c r="Y606" s="26" t="str">
        <f t="shared" si="19"/>
        <v/>
      </c>
      <c r="Z606" s="31" t="str">
        <f t="shared" si="20"/>
        <v/>
      </c>
      <c r="AA606" s="31" t="str">
        <f>IF(D606="","",IF(H606&lt;=$B$16,1,IF(H606&gt;=$B$17,$B$21,MATCH(H606,Aux_CAV!$A$2:$A$121,1))))</f>
        <v/>
      </c>
      <c r="AB606" s="31" t="str">
        <f>IF(D606="","",IF(L606&lt;=$B$16,1,IF(L606&gt;=$B$17,$B$21,MATCH(L606,Aux_CAV!$A$2:$A$121,1))))</f>
        <v/>
      </c>
      <c r="AC606" s="3" t="str">
        <f t="shared" si="21"/>
        <v/>
      </c>
    </row>
    <row r="607" ht="12.75" customHeight="1">
      <c r="A607" s="25" t="str">
        <f t="shared" si="1"/>
        <v/>
      </c>
      <c r="B607" s="29" t="str">
        <f t="array" ref="B607">IF(D607="","",IFERROR(VALUE(INDEX(Vazoes_COLAR!$A$2:$A$200,INT((ROW()-24)/12)+1)),""))</f>
        <v/>
      </c>
      <c r="C607" s="29" t="str">
        <f t="shared" si="2"/>
        <v/>
      </c>
      <c r="D607" s="26" t="str">
        <f t="array" ref="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07" s="26" t="str">
        <f t="shared" si="3"/>
        <v/>
      </c>
      <c r="F607" s="26" t="str">
        <f t="array" ref="F607">IF(D607="","",IFERROR(INDEX(Dados_Evap!$C$2:$N$15,MATCH($B$9,Dados_Evap!$A$2:$A$15,0),C607),0))</f>
        <v/>
      </c>
      <c r="G607" s="26" t="str">
        <f t="shared" si="4"/>
        <v/>
      </c>
      <c r="H607" s="26" t="str">
        <f t="shared" si="22"/>
        <v/>
      </c>
      <c r="I607" s="26" t="str">
        <f t="array" ref="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/>
      </c>
      <c r="J607" s="26" t="str">
        <f t="shared" si="5"/>
        <v/>
      </c>
      <c r="K607" s="26" t="str">
        <f t="shared" si="6"/>
        <v/>
      </c>
      <c r="L607" s="26" t="str">
        <f t="shared" si="7"/>
        <v/>
      </c>
      <c r="M607" s="26" t="str">
        <f t="array" ref="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/>
      </c>
      <c r="N607" s="26" t="str">
        <f t="shared" si="8"/>
        <v/>
      </c>
      <c r="O607" s="26" t="str">
        <f t="shared" si="9"/>
        <v/>
      </c>
      <c r="P607" s="26" t="str">
        <f t="shared" si="10"/>
        <v/>
      </c>
      <c r="Q607" s="26" t="str">
        <f t="shared" si="11"/>
        <v/>
      </c>
      <c r="R607" s="26" t="str">
        <f t="shared" si="12"/>
        <v/>
      </c>
      <c r="S607" s="26" t="str">
        <f t="shared" si="13"/>
        <v/>
      </c>
      <c r="T607" s="26" t="str">
        <f t="shared" si="14"/>
        <v/>
      </c>
      <c r="U607" s="26" t="str">
        <f t="shared" si="15"/>
        <v/>
      </c>
      <c r="V607" s="26" t="str">
        <f t="shared" si="16"/>
        <v/>
      </c>
      <c r="W607" s="26" t="str">
        <f t="shared" si="17"/>
        <v/>
      </c>
      <c r="X607" s="26" t="str">
        <f t="shared" si="18"/>
        <v/>
      </c>
      <c r="Y607" s="26" t="str">
        <f t="shared" si="19"/>
        <v/>
      </c>
      <c r="Z607" s="31" t="str">
        <f t="shared" si="20"/>
        <v/>
      </c>
      <c r="AA607" s="31" t="str">
        <f>IF(D607="","",IF(H607&lt;=$B$16,1,IF(H607&gt;=$B$17,$B$21,MATCH(H607,Aux_CAV!$A$2:$A$121,1))))</f>
        <v/>
      </c>
      <c r="AB607" s="31" t="str">
        <f>IF(D607="","",IF(L607&lt;=$B$16,1,IF(L607&gt;=$B$17,$B$21,MATCH(L607,Aux_CAV!$A$2:$A$121,1))))</f>
        <v/>
      </c>
      <c r="AC607" s="3" t="str">
        <f t="shared" si="21"/>
        <v/>
      </c>
    </row>
    <row r="608" ht="12.75" customHeight="1">
      <c r="A608" s="25" t="str">
        <f t="shared" si="1"/>
        <v/>
      </c>
      <c r="B608" s="29" t="str">
        <f t="array" ref="B608">IF(D608="","",IFERROR(VALUE(INDEX(Vazoes_COLAR!$A$2:$A$200,INT((ROW()-24)/12)+1)),""))</f>
        <v/>
      </c>
      <c r="C608" s="29" t="str">
        <f t="shared" si="2"/>
        <v/>
      </c>
      <c r="D608" s="26" t="str">
        <f t="array" ref="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08" s="26" t="str">
        <f t="shared" si="3"/>
        <v/>
      </c>
      <c r="F608" s="26" t="str">
        <f t="array" ref="F608">IF(D608="","",IFERROR(INDEX(Dados_Evap!$C$2:$N$15,MATCH($B$9,Dados_Evap!$A$2:$A$15,0),C608),0))</f>
        <v/>
      </c>
      <c r="G608" s="26" t="str">
        <f t="shared" si="4"/>
        <v/>
      </c>
      <c r="H608" s="26" t="str">
        <f t="shared" si="22"/>
        <v/>
      </c>
      <c r="I608" s="26" t="str">
        <f t="array" ref="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/>
      </c>
      <c r="J608" s="26" t="str">
        <f t="shared" si="5"/>
        <v/>
      </c>
      <c r="K608" s="26" t="str">
        <f t="shared" si="6"/>
        <v/>
      </c>
      <c r="L608" s="26" t="str">
        <f t="shared" si="7"/>
        <v/>
      </c>
      <c r="M608" s="26" t="str">
        <f t="array" ref="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/>
      </c>
      <c r="N608" s="26" t="str">
        <f t="shared" si="8"/>
        <v/>
      </c>
      <c r="O608" s="26" t="str">
        <f t="shared" si="9"/>
        <v/>
      </c>
      <c r="P608" s="26" t="str">
        <f t="shared" si="10"/>
        <v/>
      </c>
      <c r="Q608" s="26" t="str">
        <f t="shared" si="11"/>
        <v/>
      </c>
      <c r="R608" s="26" t="str">
        <f t="shared" si="12"/>
        <v/>
      </c>
      <c r="S608" s="26" t="str">
        <f t="shared" si="13"/>
        <v/>
      </c>
      <c r="T608" s="26" t="str">
        <f t="shared" si="14"/>
        <v/>
      </c>
      <c r="U608" s="26" t="str">
        <f t="shared" si="15"/>
        <v/>
      </c>
      <c r="V608" s="26" t="str">
        <f t="shared" si="16"/>
        <v/>
      </c>
      <c r="W608" s="26" t="str">
        <f t="shared" si="17"/>
        <v/>
      </c>
      <c r="X608" s="26" t="str">
        <f t="shared" si="18"/>
        <v/>
      </c>
      <c r="Y608" s="26" t="str">
        <f t="shared" si="19"/>
        <v/>
      </c>
      <c r="Z608" s="31" t="str">
        <f t="shared" si="20"/>
        <v/>
      </c>
      <c r="AA608" s="31" t="str">
        <f>IF(D608="","",IF(H608&lt;=$B$16,1,IF(H608&gt;=$B$17,$B$21,MATCH(H608,Aux_CAV!$A$2:$A$121,1))))</f>
        <v/>
      </c>
      <c r="AB608" s="31" t="str">
        <f>IF(D608="","",IF(L608&lt;=$B$16,1,IF(L608&gt;=$B$17,$B$21,MATCH(L608,Aux_CAV!$A$2:$A$121,1))))</f>
        <v/>
      </c>
      <c r="AC608" s="3" t="str">
        <f t="shared" si="21"/>
        <v/>
      </c>
    </row>
    <row r="609" ht="12.75" customHeight="1">
      <c r="A609" s="25" t="str">
        <f t="shared" si="1"/>
        <v/>
      </c>
      <c r="B609" s="29" t="str">
        <f t="array" ref="B609">IF(D609="","",IFERROR(VALUE(INDEX(Vazoes_COLAR!$A$2:$A$200,INT((ROW()-24)/12)+1)),""))</f>
        <v/>
      </c>
      <c r="C609" s="29" t="str">
        <f t="shared" si="2"/>
        <v/>
      </c>
      <c r="D609" s="26" t="str">
        <f t="array" ref="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09" s="26" t="str">
        <f t="shared" si="3"/>
        <v/>
      </c>
      <c r="F609" s="26" t="str">
        <f t="array" ref="F609">IF(D609="","",IFERROR(INDEX(Dados_Evap!$C$2:$N$15,MATCH($B$9,Dados_Evap!$A$2:$A$15,0),C609),0))</f>
        <v/>
      </c>
      <c r="G609" s="26" t="str">
        <f t="shared" si="4"/>
        <v/>
      </c>
      <c r="H609" s="26" t="str">
        <f t="shared" si="22"/>
        <v/>
      </c>
      <c r="I609" s="26" t="str">
        <f t="array" ref="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/>
      </c>
      <c r="J609" s="26" t="str">
        <f t="shared" si="5"/>
        <v/>
      </c>
      <c r="K609" s="26" t="str">
        <f t="shared" si="6"/>
        <v/>
      </c>
      <c r="L609" s="26" t="str">
        <f t="shared" si="7"/>
        <v/>
      </c>
      <c r="M609" s="26" t="str">
        <f t="array" ref="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/>
      </c>
      <c r="N609" s="26" t="str">
        <f t="shared" si="8"/>
        <v/>
      </c>
      <c r="O609" s="26" t="str">
        <f t="shared" si="9"/>
        <v/>
      </c>
      <c r="P609" s="26" t="str">
        <f t="shared" si="10"/>
        <v/>
      </c>
      <c r="Q609" s="26" t="str">
        <f t="shared" si="11"/>
        <v/>
      </c>
      <c r="R609" s="26" t="str">
        <f t="shared" si="12"/>
        <v/>
      </c>
      <c r="S609" s="26" t="str">
        <f t="shared" si="13"/>
        <v/>
      </c>
      <c r="T609" s="26" t="str">
        <f t="shared" si="14"/>
        <v/>
      </c>
      <c r="U609" s="26" t="str">
        <f t="shared" si="15"/>
        <v/>
      </c>
      <c r="V609" s="26" t="str">
        <f t="shared" si="16"/>
        <v/>
      </c>
      <c r="W609" s="26" t="str">
        <f t="shared" si="17"/>
        <v/>
      </c>
      <c r="X609" s="26" t="str">
        <f t="shared" si="18"/>
        <v/>
      </c>
      <c r="Y609" s="26" t="str">
        <f t="shared" si="19"/>
        <v/>
      </c>
      <c r="Z609" s="31" t="str">
        <f t="shared" si="20"/>
        <v/>
      </c>
      <c r="AA609" s="31" t="str">
        <f>IF(D609="","",IF(H609&lt;=$B$16,1,IF(H609&gt;=$B$17,$B$21,MATCH(H609,Aux_CAV!$A$2:$A$121,1))))</f>
        <v/>
      </c>
      <c r="AB609" s="31" t="str">
        <f>IF(D609="","",IF(L609&lt;=$B$16,1,IF(L609&gt;=$B$17,$B$21,MATCH(L609,Aux_CAV!$A$2:$A$121,1))))</f>
        <v/>
      </c>
      <c r="AC609" s="3" t="str">
        <f t="shared" si="21"/>
        <v/>
      </c>
    </row>
    <row r="610" ht="12.75" customHeight="1">
      <c r="A610" s="25" t="str">
        <f t="shared" si="1"/>
        <v/>
      </c>
      <c r="B610" s="29" t="str">
        <f t="array" ref="B610">IF(D610="","",IFERROR(VALUE(INDEX(Vazoes_COLAR!$A$2:$A$200,INT((ROW()-24)/12)+1)),""))</f>
        <v/>
      </c>
      <c r="C610" s="29" t="str">
        <f t="shared" si="2"/>
        <v/>
      </c>
      <c r="D610" s="26" t="str">
        <f t="array" ref="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10" s="26" t="str">
        <f t="shared" si="3"/>
        <v/>
      </c>
      <c r="F610" s="26" t="str">
        <f t="array" ref="F610">IF(D610="","",IFERROR(INDEX(Dados_Evap!$C$2:$N$15,MATCH($B$9,Dados_Evap!$A$2:$A$15,0),C610),0))</f>
        <v/>
      </c>
      <c r="G610" s="26" t="str">
        <f t="shared" si="4"/>
        <v/>
      </c>
      <c r="H610" s="26" t="str">
        <f t="shared" si="22"/>
        <v/>
      </c>
      <c r="I610" s="26" t="str">
        <f t="array" ref="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/>
      </c>
      <c r="J610" s="26" t="str">
        <f t="shared" si="5"/>
        <v/>
      </c>
      <c r="K610" s="26" t="str">
        <f t="shared" si="6"/>
        <v/>
      </c>
      <c r="L610" s="26" t="str">
        <f t="shared" si="7"/>
        <v/>
      </c>
      <c r="M610" s="26" t="str">
        <f t="array" ref="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/>
      </c>
      <c r="N610" s="26" t="str">
        <f t="shared" si="8"/>
        <v/>
      </c>
      <c r="O610" s="26" t="str">
        <f t="shared" si="9"/>
        <v/>
      </c>
      <c r="P610" s="26" t="str">
        <f t="shared" si="10"/>
        <v/>
      </c>
      <c r="Q610" s="26" t="str">
        <f t="shared" si="11"/>
        <v/>
      </c>
      <c r="R610" s="26" t="str">
        <f t="shared" si="12"/>
        <v/>
      </c>
      <c r="S610" s="26" t="str">
        <f t="shared" si="13"/>
        <v/>
      </c>
      <c r="T610" s="26" t="str">
        <f t="shared" si="14"/>
        <v/>
      </c>
      <c r="U610" s="26" t="str">
        <f t="shared" si="15"/>
        <v/>
      </c>
      <c r="V610" s="26" t="str">
        <f t="shared" si="16"/>
        <v/>
      </c>
      <c r="W610" s="26" t="str">
        <f t="shared" si="17"/>
        <v/>
      </c>
      <c r="X610" s="26" t="str">
        <f t="shared" si="18"/>
        <v/>
      </c>
      <c r="Y610" s="26" t="str">
        <f t="shared" si="19"/>
        <v/>
      </c>
      <c r="Z610" s="31" t="str">
        <f t="shared" si="20"/>
        <v/>
      </c>
      <c r="AA610" s="31" t="str">
        <f>IF(D610="","",IF(H610&lt;=$B$16,1,IF(H610&gt;=$B$17,$B$21,MATCH(H610,Aux_CAV!$A$2:$A$121,1))))</f>
        <v/>
      </c>
      <c r="AB610" s="31" t="str">
        <f>IF(D610="","",IF(L610&lt;=$B$16,1,IF(L610&gt;=$B$17,$B$21,MATCH(L610,Aux_CAV!$A$2:$A$121,1))))</f>
        <v/>
      </c>
      <c r="AC610" s="3" t="str">
        <f t="shared" si="21"/>
        <v/>
      </c>
    </row>
    <row r="611" ht="12.75" customHeight="1">
      <c r="A611" s="25" t="str">
        <f t="shared" si="1"/>
        <v/>
      </c>
      <c r="B611" s="29" t="str">
        <f t="array" ref="B611">IF(D611="","",IFERROR(VALUE(INDEX(Vazoes_COLAR!$A$2:$A$200,INT((ROW()-24)/12)+1)),""))</f>
        <v/>
      </c>
      <c r="C611" s="29" t="str">
        <f t="shared" si="2"/>
        <v/>
      </c>
      <c r="D611" s="26" t="str">
        <f t="array" ref="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11" s="26" t="str">
        <f t="shared" si="3"/>
        <v/>
      </c>
      <c r="F611" s="26" t="str">
        <f t="array" ref="F611">IF(D611="","",IFERROR(INDEX(Dados_Evap!$C$2:$N$15,MATCH($B$9,Dados_Evap!$A$2:$A$15,0),C611),0))</f>
        <v/>
      </c>
      <c r="G611" s="26" t="str">
        <f t="shared" si="4"/>
        <v/>
      </c>
      <c r="H611" s="26" t="str">
        <f t="shared" si="22"/>
        <v/>
      </c>
      <c r="I611" s="26" t="str">
        <f t="array" ref="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/>
      </c>
      <c r="J611" s="26" t="str">
        <f t="shared" si="5"/>
        <v/>
      </c>
      <c r="K611" s="26" t="str">
        <f t="shared" si="6"/>
        <v/>
      </c>
      <c r="L611" s="26" t="str">
        <f t="shared" si="7"/>
        <v/>
      </c>
      <c r="M611" s="26" t="str">
        <f t="array" ref="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/>
      </c>
      <c r="N611" s="26" t="str">
        <f t="shared" si="8"/>
        <v/>
      </c>
      <c r="O611" s="26" t="str">
        <f t="shared" si="9"/>
        <v/>
      </c>
      <c r="P611" s="26" t="str">
        <f t="shared" si="10"/>
        <v/>
      </c>
      <c r="Q611" s="26" t="str">
        <f t="shared" si="11"/>
        <v/>
      </c>
      <c r="R611" s="26" t="str">
        <f t="shared" si="12"/>
        <v/>
      </c>
      <c r="S611" s="26" t="str">
        <f t="shared" si="13"/>
        <v/>
      </c>
      <c r="T611" s="26" t="str">
        <f t="shared" si="14"/>
        <v/>
      </c>
      <c r="U611" s="26" t="str">
        <f t="shared" si="15"/>
        <v/>
      </c>
      <c r="V611" s="26" t="str">
        <f t="shared" si="16"/>
        <v/>
      </c>
      <c r="W611" s="26" t="str">
        <f t="shared" si="17"/>
        <v/>
      </c>
      <c r="X611" s="26" t="str">
        <f t="shared" si="18"/>
        <v/>
      </c>
      <c r="Y611" s="26" t="str">
        <f t="shared" si="19"/>
        <v/>
      </c>
      <c r="Z611" s="31" t="str">
        <f t="shared" si="20"/>
        <v/>
      </c>
      <c r="AA611" s="31" t="str">
        <f>IF(D611="","",IF(H611&lt;=$B$16,1,IF(H611&gt;=$B$17,$B$21,MATCH(H611,Aux_CAV!$A$2:$A$121,1))))</f>
        <v/>
      </c>
      <c r="AB611" s="31" t="str">
        <f>IF(D611="","",IF(L611&lt;=$B$16,1,IF(L611&gt;=$B$17,$B$21,MATCH(L611,Aux_CAV!$A$2:$A$121,1))))</f>
        <v/>
      </c>
      <c r="AC611" s="3" t="str">
        <f t="shared" si="21"/>
        <v/>
      </c>
    </row>
    <row r="612" ht="12.75" customHeight="1">
      <c r="A612" s="25" t="str">
        <f t="shared" si="1"/>
        <v/>
      </c>
      <c r="B612" s="29" t="str">
        <f t="array" ref="B612">IF(D612="","",IFERROR(VALUE(INDEX(Vazoes_COLAR!$A$2:$A$200,INT((ROW()-24)/12)+1)),""))</f>
        <v/>
      </c>
      <c r="C612" s="29" t="str">
        <f t="shared" si="2"/>
        <v/>
      </c>
      <c r="D612" s="26" t="str">
        <f t="array" ref="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12" s="26" t="str">
        <f t="shared" si="3"/>
        <v/>
      </c>
      <c r="F612" s="26" t="str">
        <f t="array" ref="F612">IF(D612="","",IFERROR(INDEX(Dados_Evap!$C$2:$N$15,MATCH($B$9,Dados_Evap!$A$2:$A$15,0),C612),0))</f>
        <v/>
      </c>
      <c r="G612" s="26" t="str">
        <f t="shared" si="4"/>
        <v/>
      </c>
      <c r="H612" s="26" t="str">
        <f t="shared" si="22"/>
        <v/>
      </c>
      <c r="I612" s="26" t="str">
        <f t="array" ref="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/>
      </c>
      <c r="J612" s="26" t="str">
        <f t="shared" si="5"/>
        <v/>
      </c>
      <c r="K612" s="26" t="str">
        <f t="shared" si="6"/>
        <v/>
      </c>
      <c r="L612" s="26" t="str">
        <f t="shared" si="7"/>
        <v/>
      </c>
      <c r="M612" s="26" t="str">
        <f t="array" ref="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/>
      </c>
      <c r="N612" s="26" t="str">
        <f t="shared" si="8"/>
        <v/>
      </c>
      <c r="O612" s="26" t="str">
        <f t="shared" si="9"/>
        <v/>
      </c>
      <c r="P612" s="26" t="str">
        <f t="shared" si="10"/>
        <v/>
      </c>
      <c r="Q612" s="26" t="str">
        <f t="shared" si="11"/>
        <v/>
      </c>
      <c r="R612" s="26" t="str">
        <f t="shared" si="12"/>
        <v/>
      </c>
      <c r="S612" s="26" t="str">
        <f t="shared" si="13"/>
        <v/>
      </c>
      <c r="T612" s="26" t="str">
        <f t="shared" si="14"/>
        <v/>
      </c>
      <c r="U612" s="26" t="str">
        <f t="shared" si="15"/>
        <v/>
      </c>
      <c r="V612" s="26" t="str">
        <f t="shared" si="16"/>
        <v/>
      </c>
      <c r="W612" s="26" t="str">
        <f t="shared" si="17"/>
        <v/>
      </c>
      <c r="X612" s="26" t="str">
        <f t="shared" si="18"/>
        <v/>
      </c>
      <c r="Y612" s="26" t="str">
        <f t="shared" si="19"/>
        <v/>
      </c>
      <c r="Z612" s="31" t="str">
        <f t="shared" si="20"/>
        <v/>
      </c>
      <c r="AA612" s="31" t="str">
        <f>IF(D612="","",IF(H612&lt;=$B$16,1,IF(H612&gt;=$B$17,$B$21,MATCH(H612,Aux_CAV!$A$2:$A$121,1))))</f>
        <v/>
      </c>
      <c r="AB612" s="31" t="str">
        <f>IF(D612="","",IF(L612&lt;=$B$16,1,IF(L612&gt;=$B$17,$B$21,MATCH(L612,Aux_CAV!$A$2:$A$121,1))))</f>
        <v/>
      </c>
      <c r="AC612" s="3" t="str">
        <f t="shared" si="21"/>
        <v/>
      </c>
    </row>
    <row r="613" ht="12.75" customHeight="1">
      <c r="A613" s="25" t="str">
        <f t="shared" si="1"/>
        <v/>
      </c>
      <c r="B613" s="29" t="str">
        <f t="array" ref="B613">IF(D613="","",IFERROR(VALUE(INDEX(Vazoes_COLAR!$A$2:$A$200,INT((ROW()-24)/12)+1)),""))</f>
        <v/>
      </c>
      <c r="C613" s="29" t="str">
        <f t="shared" si="2"/>
        <v/>
      </c>
      <c r="D613" s="26" t="str">
        <f t="array" ref="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13" s="26" t="str">
        <f t="shared" si="3"/>
        <v/>
      </c>
      <c r="F613" s="26" t="str">
        <f t="array" ref="F613">IF(D613="","",IFERROR(INDEX(Dados_Evap!$C$2:$N$15,MATCH($B$9,Dados_Evap!$A$2:$A$15,0),C613),0))</f>
        <v/>
      </c>
      <c r="G613" s="26" t="str">
        <f t="shared" si="4"/>
        <v/>
      </c>
      <c r="H613" s="26" t="str">
        <f t="shared" si="22"/>
        <v/>
      </c>
      <c r="I613" s="26" t="str">
        <f t="array" ref="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/>
      </c>
      <c r="J613" s="26" t="str">
        <f t="shared" si="5"/>
        <v/>
      </c>
      <c r="K613" s="26" t="str">
        <f t="shared" si="6"/>
        <v/>
      </c>
      <c r="L613" s="26" t="str">
        <f t="shared" si="7"/>
        <v/>
      </c>
      <c r="M613" s="26" t="str">
        <f t="array" ref="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/>
      </c>
      <c r="N613" s="26" t="str">
        <f t="shared" si="8"/>
        <v/>
      </c>
      <c r="O613" s="26" t="str">
        <f t="shared" si="9"/>
        <v/>
      </c>
      <c r="P613" s="26" t="str">
        <f t="shared" si="10"/>
        <v/>
      </c>
      <c r="Q613" s="26" t="str">
        <f t="shared" si="11"/>
        <v/>
      </c>
      <c r="R613" s="26" t="str">
        <f t="shared" si="12"/>
        <v/>
      </c>
      <c r="S613" s="26" t="str">
        <f t="shared" si="13"/>
        <v/>
      </c>
      <c r="T613" s="26" t="str">
        <f t="shared" si="14"/>
        <v/>
      </c>
      <c r="U613" s="26" t="str">
        <f t="shared" si="15"/>
        <v/>
      </c>
      <c r="V613" s="26" t="str">
        <f t="shared" si="16"/>
        <v/>
      </c>
      <c r="W613" s="26" t="str">
        <f t="shared" si="17"/>
        <v/>
      </c>
      <c r="X613" s="26" t="str">
        <f t="shared" si="18"/>
        <v/>
      </c>
      <c r="Y613" s="26" t="str">
        <f t="shared" si="19"/>
        <v/>
      </c>
      <c r="Z613" s="31" t="str">
        <f t="shared" si="20"/>
        <v/>
      </c>
      <c r="AA613" s="31" t="str">
        <f>IF(D613="","",IF(H613&lt;=$B$16,1,IF(H613&gt;=$B$17,$B$21,MATCH(H613,Aux_CAV!$A$2:$A$121,1))))</f>
        <v/>
      </c>
      <c r="AB613" s="31" t="str">
        <f>IF(D613="","",IF(L613&lt;=$B$16,1,IF(L613&gt;=$B$17,$B$21,MATCH(L613,Aux_CAV!$A$2:$A$121,1))))</f>
        <v/>
      </c>
      <c r="AC613" s="3" t="str">
        <f t="shared" si="21"/>
        <v/>
      </c>
    </row>
    <row r="614" ht="12.75" customHeight="1">
      <c r="A614" s="25" t="str">
        <f t="shared" si="1"/>
        <v/>
      </c>
      <c r="B614" s="29" t="str">
        <f t="array" ref="B614">IF(D614="","",IFERROR(VALUE(INDEX(Vazoes_COLAR!$A$2:$A$200,INT((ROW()-24)/12)+1)),""))</f>
        <v/>
      </c>
      <c r="C614" s="29" t="str">
        <f t="shared" si="2"/>
        <v/>
      </c>
      <c r="D614" s="26" t="str">
        <f t="array" ref="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14" s="26" t="str">
        <f t="shared" si="3"/>
        <v/>
      </c>
      <c r="F614" s="26" t="str">
        <f t="array" ref="F614">IF(D614="","",IFERROR(INDEX(Dados_Evap!$C$2:$N$15,MATCH($B$9,Dados_Evap!$A$2:$A$15,0),C614),0))</f>
        <v/>
      </c>
      <c r="G614" s="26" t="str">
        <f t="shared" si="4"/>
        <v/>
      </c>
      <c r="H614" s="26" t="str">
        <f t="shared" si="22"/>
        <v/>
      </c>
      <c r="I614" s="26" t="str">
        <f t="array" ref="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/>
      </c>
      <c r="J614" s="26" t="str">
        <f t="shared" si="5"/>
        <v/>
      </c>
      <c r="K614" s="26" t="str">
        <f t="shared" si="6"/>
        <v/>
      </c>
      <c r="L614" s="26" t="str">
        <f t="shared" si="7"/>
        <v/>
      </c>
      <c r="M614" s="26" t="str">
        <f t="array" ref="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/>
      </c>
      <c r="N614" s="26" t="str">
        <f t="shared" si="8"/>
        <v/>
      </c>
      <c r="O614" s="26" t="str">
        <f t="shared" si="9"/>
        <v/>
      </c>
      <c r="P614" s="26" t="str">
        <f t="shared" si="10"/>
        <v/>
      </c>
      <c r="Q614" s="26" t="str">
        <f t="shared" si="11"/>
        <v/>
      </c>
      <c r="R614" s="26" t="str">
        <f t="shared" si="12"/>
        <v/>
      </c>
      <c r="S614" s="26" t="str">
        <f t="shared" si="13"/>
        <v/>
      </c>
      <c r="T614" s="26" t="str">
        <f t="shared" si="14"/>
        <v/>
      </c>
      <c r="U614" s="26" t="str">
        <f t="shared" si="15"/>
        <v/>
      </c>
      <c r="V614" s="26" t="str">
        <f t="shared" si="16"/>
        <v/>
      </c>
      <c r="W614" s="26" t="str">
        <f t="shared" si="17"/>
        <v/>
      </c>
      <c r="X614" s="26" t="str">
        <f t="shared" si="18"/>
        <v/>
      </c>
      <c r="Y614" s="26" t="str">
        <f t="shared" si="19"/>
        <v/>
      </c>
      <c r="Z614" s="31" t="str">
        <f t="shared" si="20"/>
        <v/>
      </c>
      <c r="AA614" s="31" t="str">
        <f>IF(D614="","",IF(H614&lt;=$B$16,1,IF(H614&gt;=$B$17,$B$21,MATCH(H614,Aux_CAV!$A$2:$A$121,1))))</f>
        <v/>
      </c>
      <c r="AB614" s="31" t="str">
        <f>IF(D614="","",IF(L614&lt;=$B$16,1,IF(L614&gt;=$B$17,$B$21,MATCH(L614,Aux_CAV!$A$2:$A$121,1))))</f>
        <v/>
      </c>
      <c r="AC614" s="3" t="str">
        <f t="shared" si="21"/>
        <v/>
      </c>
    </row>
    <row r="615" ht="12.75" customHeight="1">
      <c r="A615" s="25" t="str">
        <f t="shared" si="1"/>
        <v/>
      </c>
      <c r="B615" s="29" t="str">
        <f t="array" ref="B615">IF(D615="","",IFERROR(VALUE(INDEX(Vazoes_COLAR!$A$2:$A$200,INT((ROW()-24)/12)+1)),""))</f>
        <v/>
      </c>
      <c r="C615" s="29" t="str">
        <f t="shared" si="2"/>
        <v/>
      </c>
      <c r="D615" s="26" t="str">
        <f t="array" ref="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15" s="26" t="str">
        <f t="shared" si="3"/>
        <v/>
      </c>
      <c r="F615" s="26" t="str">
        <f t="array" ref="F615">IF(D615="","",IFERROR(INDEX(Dados_Evap!$C$2:$N$15,MATCH($B$9,Dados_Evap!$A$2:$A$15,0),C615),0))</f>
        <v/>
      </c>
      <c r="G615" s="26" t="str">
        <f t="shared" si="4"/>
        <v/>
      </c>
      <c r="H615" s="26" t="str">
        <f t="shared" si="22"/>
        <v/>
      </c>
      <c r="I615" s="26" t="str">
        <f t="array" ref="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/>
      </c>
      <c r="J615" s="26" t="str">
        <f t="shared" si="5"/>
        <v/>
      </c>
      <c r="K615" s="26" t="str">
        <f t="shared" si="6"/>
        <v/>
      </c>
      <c r="L615" s="26" t="str">
        <f t="shared" si="7"/>
        <v/>
      </c>
      <c r="M615" s="26" t="str">
        <f t="array" ref="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/>
      </c>
      <c r="N615" s="26" t="str">
        <f t="shared" si="8"/>
        <v/>
      </c>
      <c r="O615" s="26" t="str">
        <f t="shared" si="9"/>
        <v/>
      </c>
      <c r="P615" s="26" t="str">
        <f t="shared" si="10"/>
        <v/>
      </c>
      <c r="Q615" s="26" t="str">
        <f t="shared" si="11"/>
        <v/>
      </c>
      <c r="R615" s="26" t="str">
        <f t="shared" si="12"/>
        <v/>
      </c>
      <c r="S615" s="26" t="str">
        <f t="shared" si="13"/>
        <v/>
      </c>
      <c r="T615" s="26" t="str">
        <f t="shared" si="14"/>
        <v/>
      </c>
      <c r="U615" s="26" t="str">
        <f t="shared" si="15"/>
        <v/>
      </c>
      <c r="V615" s="26" t="str">
        <f t="shared" si="16"/>
        <v/>
      </c>
      <c r="W615" s="26" t="str">
        <f t="shared" si="17"/>
        <v/>
      </c>
      <c r="X615" s="26" t="str">
        <f t="shared" si="18"/>
        <v/>
      </c>
      <c r="Y615" s="26" t="str">
        <f t="shared" si="19"/>
        <v/>
      </c>
      <c r="Z615" s="31" t="str">
        <f t="shared" si="20"/>
        <v/>
      </c>
      <c r="AA615" s="31" t="str">
        <f>IF(D615="","",IF(H615&lt;=$B$16,1,IF(H615&gt;=$B$17,$B$21,MATCH(H615,Aux_CAV!$A$2:$A$121,1))))</f>
        <v/>
      </c>
      <c r="AB615" s="31" t="str">
        <f>IF(D615="","",IF(L615&lt;=$B$16,1,IF(L615&gt;=$B$17,$B$21,MATCH(L615,Aux_CAV!$A$2:$A$121,1))))</f>
        <v/>
      </c>
      <c r="AC615" s="3" t="str">
        <f t="shared" si="21"/>
        <v/>
      </c>
    </row>
    <row r="616" ht="12.75" customHeight="1">
      <c r="A616" s="25" t="str">
        <f t="shared" si="1"/>
        <v/>
      </c>
      <c r="B616" s="29" t="str">
        <f t="array" ref="B616">IF(D616="","",IFERROR(VALUE(INDEX(Vazoes_COLAR!$A$2:$A$200,INT((ROW()-24)/12)+1)),""))</f>
        <v/>
      </c>
      <c r="C616" s="29" t="str">
        <f t="shared" si="2"/>
        <v/>
      </c>
      <c r="D616" s="26" t="str">
        <f t="array" ref="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16" s="26" t="str">
        <f t="shared" si="3"/>
        <v/>
      </c>
      <c r="F616" s="26" t="str">
        <f t="array" ref="F616">IF(D616="","",IFERROR(INDEX(Dados_Evap!$C$2:$N$15,MATCH($B$9,Dados_Evap!$A$2:$A$15,0),C616),0))</f>
        <v/>
      </c>
      <c r="G616" s="26" t="str">
        <f t="shared" si="4"/>
        <v/>
      </c>
      <c r="H616" s="26" t="str">
        <f t="shared" si="22"/>
        <v/>
      </c>
      <c r="I616" s="26" t="str">
        <f t="array" ref="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/>
      </c>
      <c r="J616" s="26" t="str">
        <f t="shared" si="5"/>
        <v/>
      </c>
      <c r="K616" s="26" t="str">
        <f t="shared" si="6"/>
        <v/>
      </c>
      <c r="L616" s="26" t="str">
        <f t="shared" si="7"/>
        <v/>
      </c>
      <c r="M616" s="26" t="str">
        <f t="array" ref="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/>
      </c>
      <c r="N616" s="26" t="str">
        <f t="shared" si="8"/>
        <v/>
      </c>
      <c r="O616" s="26" t="str">
        <f t="shared" si="9"/>
        <v/>
      </c>
      <c r="P616" s="26" t="str">
        <f t="shared" si="10"/>
        <v/>
      </c>
      <c r="Q616" s="26" t="str">
        <f t="shared" si="11"/>
        <v/>
      </c>
      <c r="R616" s="26" t="str">
        <f t="shared" si="12"/>
        <v/>
      </c>
      <c r="S616" s="26" t="str">
        <f t="shared" si="13"/>
        <v/>
      </c>
      <c r="T616" s="26" t="str">
        <f t="shared" si="14"/>
        <v/>
      </c>
      <c r="U616" s="26" t="str">
        <f t="shared" si="15"/>
        <v/>
      </c>
      <c r="V616" s="26" t="str">
        <f t="shared" si="16"/>
        <v/>
      </c>
      <c r="W616" s="26" t="str">
        <f t="shared" si="17"/>
        <v/>
      </c>
      <c r="X616" s="26" t="str">
        <f t="shared" si="18"/>
        <v/>
      </c>
      <c r="Y616" s="26" t="str">
        <f t="shared" si="19"/>
        <v/>
      </c>
      <c r="Z616" s="31" t="str">
        <f t="shared" si="20"/>
        <v/>
      </c>
      <c r="AA616" s="31" t="str">
        <f>IF(D616="","",IF(H616&lt;=$B$16,1,IF(H616&gt;=$B$17,$B$21,MATCH(H616,Aux_CAV!$A$2:$A$121,1))))</f>
        <v/>
      </c>
      <c r="AB616" s="31" t="str">
        <f>IF(D616="","",IF(L616&lt;=$B$16,1,IF(L616&gt;=$B$17,$B$21,MATCH(L616,Aux_CAV!$A$2:$A$121,1))))</f>
        <v/>
      </c>
      <c r="AC616" s="3" t="str">
        <f t="shared" si="21"/>
        <v/>
      </c>
    </row>
    <row r="617" ht="12.75" customHeight="1">
      <c r="A617" s="25" t="str">
        <f t="shared" si="1"/>
        <v/>
      </c>
      <c r="B617" s="29" t="str">
        <f t="array" ref="B617">IF(D617="","",IFERROR(VALUE(INDEX(Vazoes_COLAR!$A$2:$A$200,INT((ROW()-24)/12)+1)),""))</f>
        <v/>
      </c>
      <c r="C617" s="29" t="str">
        <f t="shared" si="2"/>
        <v/>
      </c>
      <c r="D617" s="26" t="str">
        <f t="array" ref="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17" s="26" t="str">
        <f t="shared" si="3"/>
        <v/>
      </c>
      <c r="F617" s="26" t="str">
        <f t="array" ref="F617">IF(D617="","",IFERROR(INDEX(Dados_Evap!$C$2:$N$15,MATCH($B$9,Dados_Evap!$A$2:$A$15,0),C617),0))</f>
        <v/>
      </c>
      <c r="G617" s="26" t="str">
        <f t="shared" si="4"/>
        <v/>
      </c>
      <c r="H617" s="26" t="str">
        <f t="shared" si="22"/>
        <v/>
      </c>
      <c r="I617" s="26" t="str">
        <f t="array" ref="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/>
      </c>
      <c r="J617" s="26" t="str">
        <f t="shared" si="5"/>
        <v/>
      </c>
      <c r="K617" s="26" t="str">
        <f t="shared" si="6"/>
        <v/>
      </c>
      <c r="L617" s="26" t="str">
        <f t="shared" si="7"/>
        <v/>
      </c>
      <c r="M617" s="26" t="str">
        <f t="array" ref="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/>
      </c>
      <c r="N617" s="26" t="str">
        <f t="shared" si="8"/>
        <v/>
      </c>
      <c r="O617" s="26" t="str">
        <f t="shared" si="9"/>
        <v/>
      </c>
      <c r="P617" s="26" t="str">
        <f t="shared" si="10"/>
        <v/>
      </c>
      <c r="Q617" s="26" t="str">
        <f t="shared" si="11"/>
        <v/>
      </c>
      <c r="R617" s="26" t="str">
        <f t="shared" si="12"/>
        <v/>
      </c>
      <c r="S617" s="26" t="str">
        <f t="shared" si="13"/>
        <v/>
      </c>
      <c r="T617" s="26" t="str">
        <f t="shared" si="14"/>
        <v/>
      </c>
      <c r="U617" s="26" t="str">
        <f t="shared" si="15"/>
        <v/>
      </c>
      <c r="V617" s="26" t="str">
        <f t="shared" si="16"/>
        <v/>
      </c>
      <c r="W617" s="26" t="str">
        <f t="shared" si="17"/>
        <v/>
      </c>
      <c r="X617" s="26" t="str">
        <f t="shared" si="18"/>
        <v/>
      </c>
      <c r="Y617" s="26" t="str">
        <f t="shared" si="19"/>
        <v/>
      </c>
      <c r="Z617" s="31" t="str">
        <f t="shared" si="20"/>
        <v/>
      </c>
      <c r="AA617" s="31" t="str">
        <f>IF(D617="","",IF(H617&lt;=$B$16,1,IF(H617&gt;=$B$17,$B$21,MATCH(H617,Aux_CAV!$A$2:$A$121,1))))</f>
        <v/>
      </c>
      <c r="AB617" s="31" t="str">
        <f>IF(D617="","",IF(L617&lt;=$B$16,1,IF(L617&gt;=$B$17,$B$21,MATCH(L617,Aux_CAV!$A$2:$A$121,1))))</f>
        <v/>
      </c>
      <c r="AC617" s="3" t="str">
        <f t="shared" si="21"/>
        <v/>
      </c>
    </row>
    <row r="618" ht="12.75" customHeight="1">
      <c r="A618" s="25" t="str">
        <f t="shared" si="1"/>
        <v/>
      </c>
      <c r="B618" s="29" t="str">
        <f t="array" ref="B618">IF(D618="","",IFERROR(VALUE(INDEX(Vazoes_COLAR!$A$2:$A$200,INT((ROW()-24)/12)+1)),""))</f>
        <v/>
      </c>
      <c r="C618" s="29" t="str">
        <f t="shared" si="2"/>
        <v/>
      </c>
      <c r="D618" s="26" t="str">
        <f t="array" ref="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18" s="26" t="str">
        <f t="shared" si="3"/>
        <v/>
      </c>
      <c r="F618" s="26" t="str">
        <f t="array" ref="F618">IF(D618="","",IFERROR(INDEX(Dados_Evap!$C$2:$N$15,MATCH($B$9,Dados_Evap!$A$2:$A$15,0),C618),0))</f>
        <v/>
      </c>
      <c r="G618" s="26" t="str">
        <f t="shared" si="4"/>
        <v/>
      </c>
      <c r="H618" s="26" t="str">
        <f t="shared" si="22"/>
        <v/>
      </c>
      <c r="I618" s="26" t="str">
        <f t="array" ref="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/>
      </c>
      <c r="J618" s="26" t="str">
        <f t="shared" si="5"/>
        <v/>
      </c>
      <c r="K618" s="26" t="str">
        <f t="shared" si="6"/>
        <v/>
      </c>
      <c r="L618" s="26" t="str">
        <f t="shared" si="7"/>
        <v/>
      </c>
      <c r="M618" s="26" t="str">
        <f t="array" ref="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/>
      </c>
      <c r="N618" s="26" t="str">
        <f t="shared" si="8"/>
        <v/>
      </c>
      <c r="O618" s="26" t="str">
        <f t="shared" si="9"/>
        <v/>
      </c>
      <c r="P618" s="26" t="str">
        <f t="shared" si="10"/>
        <v/>
      </c>
      <c r="Q618" s="26" t="str">
        <f t="shared" si="11"/>
        <v/>
      </c>
      <c r="R618" s="26" t="str">
        <f t="shared" si="12"/>
        <v/>
      </c>
      <c r="S618" s="26" t="str">
        <f t="shared" si="13"/>
        <v/>
      </c>
      <c r="T618" s="26" t="str">
        <f t="shared" si="14"/>
        <v/>
      </c>
      <c r="U618" s="26" t="str">
        <f t="shared" si="15"/>
        <v/>
      </c>
      <c r="V618" s="26" t="str">
        <f t="shared" si="16"/>
        <v/>
      </c>
      <c r="W618" s="26" t="str">
        <f t="shared" si="17"/>
        <v/>
      </c>
      <c r="X618" s="26" t="str">
        <f t="shared" si="18"/>
        <v/>
      </c>
      <c r="Y618" s="26" t="str">
        <f t="shared" si="19"/>
        <v/>
      </c>
      <c r="Z618" s="31" t="str">
        <f t="shared" si="20"/>
        <v/>
      </c>
      <c r="AA618" s="31" t="str">
        <f>IF(D618="","",IF(H618&lt;=$B$16,1,IF(H618&gt;=$B$17,$B$21,MATCH(H618,Aux_CAV!$A$2:$A$121,1))))</f>
        <v/>
      </c>
      <c r="AB618" s="31" t="str">
        <f>IF(D618="","",IF(L618&lt;=$B$16,1,IF(L618&gt;=$B$17,$B$21,MATCH(L618,Aux_CAV!$A$2:$A$121,1))))</f>
        <v/>
      </c>
      <c r="AC618" s="3" t="str">
        <f t="shared" si="21"/>
        <v/>
      </c>
    </row>
    <row r="619" ht="12.75" customHeight="1">
      <c r="A619" s="25" t="str">
        <f t="shared" si="1"/>
        <v/>
      </c>
      <c r="B619" s="29" t="str">
        <f t="array" ref="B619">IF(D619="","",IFERROR(VALUE(INDEX(Vazoes_COLAR!$A$2:$A$200,INT((ROW()-24)/12)+1)),""))</f>
        <v/>
      </c>
      <c r="C619" s="29" t="str">
        <f t="shared" si="2"/>
        <v/>
      </c>
      <c r="D619" s="26" t="str">
        <f t="array" ref="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19" s="26" t="str">
        <f t="shared" si="3"/>
        <v/>
      </c>
      <c r="F619" s="26" t="str">
        <f t="array" ref="F619">IF(D619="","",IFERROR(INDEX(Dados_Evap!$C$2:$N$15,MATCH($B$9,Dados_Evap!$A$2:$A$15,0),C619),0))</f>
        <v/>
      </c>
      <c r="G619" s="26" t="str">
        <f t="shared" si="4"/>
        <v/>
      </c>
      <c r="H619" s="26" t="str">
        <f t="shared" si="22"/>
        <v/>
      </c>
      <c r="I619" s="26" t="str">
        <f t="array" ref="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/>
      </c>
      <c r="J619" s="26" t="str">
        <f t="shared" si="5"/>
        <v/>
      </c>
      <c r="K619" s="26" t="str">
        <f t="shared" si="6"/>
        <v/>
      </c>
      <c r="L619" s="26" t="str">
        <f t="shared" si="7"/>
        <v/>
      </c>
      <c r="M619" s="26" t="str">
        <f t="array" ref="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/>
      </c>
      <c r="N619" s="26" t="str">
        <f t="shared" si="8"/>
        <v/>
      </c>
      <c r="O619" s="26" t="str">
        <f t="shared" si="9"/>
        <v/>
      </c>
      <c r="P619" s="26" t="str">
        <f t="shared" si="10"/>
        <v/>
      </c>
      <c r="Q619" s="26" t="str">
        <f t="shared" si="11"/>
        <v/>
      </c>
      <c r="R619" s="26" t="str">
        <f t="shared" si="12"/>
        <v/>
      </c>
      <c r="S619" s="26" t="str">
        <f t="shared" si="13"/>
        <v/>
      </c>
      <c r="T619" s="26" t="str">
        <f t="shared" si="14"/>
        <v/>
      </c>
      <c r="U619" s="26" t="str">
        <f t="shared" si="15"/>
        <v/>
      </c>
      <c r="V619" s="26" t="str">
        <f t="shared" si="16"/>
        <v/>
      </c>
      <c r="W619" s="26" t="str">
        <f t="shared" si="17"/>
        <v/>
      </c>
      <c r="X619" s="26" t="str">
        <f t="shared" si="18"/>
        <v/>
      </c>
      <c r="Y619" s="26" t="str">
        <f t="shared" si="19"/>
        <v/>
      </c>
      <c r="Z619" s="31" t="str">
        <f t="shared" si="20"/>
        <v/>
      </c>
      <c r="AA619" s="31" t="str">
        <f>IF(D619="","",IF(H619&lt;=$B$16,1,IF(H619&gt;=$B$17,$B$21,MATCH(H619,Aux_CAV!$A$2:$A$121,1))))</f>
        <v/>
      </c>
      <c r="AB619" s="31" t="str">
        <f>IF(D619="","",IF(L619&lt;=$B$16,1,IF(L619&gt;=$B$17,$B$21,MATCH(L619,Aux_CAV!$A$2:$A$121,1))))</f>
        <v/>
      </c>
      <c r="AC619" s="3" t="str">
        <f t="shared" si="21"/>
        <v/>
      </c>
    </row>
    <row r="620" ht="12.75" customHeight="1">
      <c r="A620" s="25" t="str">
        <f t="shared" si="1"/>
        <v/>
      </c>
      <c r="B620" s="29" t="str">
        <f t="array" ref="B620">IF(D620="","",IFERROR(VALUE(INDEX(Vazoes_COLAR!$A$2:$A$200,INT((ROW()-24)/12)+1)),""))</f>
        <v/>
      </c>
      <c r="C620" s="29" t="str">
        <f t="shared" si="2"/>
        <v/>
      </c>
      <c r="D620" s="26" t="str">
        <f t="array" ref="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20" s="26" t="str">
        <f t="shared" si="3"/>
        <v/>
      </c>
      <c r="F620" s="26" t="str">
        <f t="array" ref="F620">IF(D620="","",IFERROR(INDEX(Dados_Evap!$C$2:$N$15,MATCH($B$9,Dados_Evap!$A$2:$A$15,0),C620),0))</f>
        <v/>
      </c>
      <c r="G620" s="26" t="str">
        <f t="shared" si="4"/>
        <v/>
      </c>
      <c r="H620" s="26" t="str">
        <f t="shared" si="22"/>
        <v/>
      </c>
      <c r="I620" s="26" t="str">
        <f t="array" ref="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/>
      </c>
      <c r="J620" s="26" t="str">
        <f t="shared" si="5"/>
        <v/>
      </c>
      <c r="K620" s="26" t="str">
        <f t="shared" si="6"/>
        <v/>
      </c>
      <c r="L620" s="26" t="str">
        <f t="shared" si="7"/>
        <v/>
      </c>
      <c r="M620" s="26" t="str">
        <f t="array" ref="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/>
      </c>
      <c r="N620" s="26" t="str">
        <f t="shared" si="8"/>
        <v/>
      </c>
      <c r="O620" s="26" t="str">
        <f t="shared" si="9"/>
        <v/>
      </c>
      <c r="P620" s="26" t="str">
        <f t="shared" si="10"/>
        <v/>
      </c>
      <c r="Q620" s="26" t="str">
        <f t="shared" si="11"/>
        <v/>
      </c>
      <c r="R620" s="26" t="str">
        <f t="shared" si="12"/>
        <v/>
      </c>
      <c r="S620" s="26" t="str">
        <f t="shared" si="13"/>
        <v/>
      </c>
      <c r="T620" s="26" t="str">
        <f t="shared" si="14"/>
        <v/>
      </c>
      <c r="U620" s="26" t="str">
        <f t="shared" si="15"/>
        <v/>
      </c>
      <c r="V620" s="26" t="str">
        <f t="shared" si="16"/>
        <v/>
      </c>
      <c r="W620" s="26" t="str">
        <f t="shared" si="17"/>
        <v/>
      </c>
      <c r="X620" s="26" t="str">
        <f t="shared" si="18"/>
        <v/>
      </c>
      <c r="Y620" s="26" t="str">
        <f t="shared" si="19"/>
        <v/>
      </c>
      <c r="Z620" s="31" t="str">
        <f t="shared" si="20"/>
        <v/>
      </c>
      <c r="AA620" s="31" t="str">
        <f>IF(D620="","",IF(H620&lt;=$B$16,1,IF(H620&gt;=$B$17,$B$21,MATCH(H620,Aux_CAV!$A$2:$A$121,1))))</f>
        <v/>
      </c>
      <c r="AB620" s="31" t="str">
        <f>IF(D620="","",IF(L620&lt;=$B$16,1,IF(L620&gt;=$B$17,$B$21,MATCH(L620,Aux_CAV!$A$2:$A$121,1))))</f>
        <v/>
      </c>
      <c r="AC620" s="3" t="str">
        <f t="shared" si="21"/>
        <v/>
      </c>
    </row>
    <row r="621" ht="12.75" customHeight="1">
      <c r="A621" s="25" t="str">
        <f t="shared" si="1"/>
        <v/>
      </c>
      <c r="B621" s="29" t="str">
        <f t="array" ref="B621">IF(D621="","",IFERROR(VALUE(INDEX(Vazoes_COLAR!$A$2:$A$200,INT((ROW()-24)/12)+1)),""))</f>
        <v/>
      </c>
      <c r="C621" s="29" t="str">
        <f t="shared" si="2"/>
        <v/>
      </c>
      <c r="D621" s="26" t="str">
        <f t="array" ref="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21" s="26" t="str">
        <f t="shared" si="3"/>
        <v/>
      </c>
      <c r="F621" s="26" t="str">
        <f t="array" ref="F621">IF(D621="","",IFERROR(INDEX(Dados_Evap!$C$2:$N$15,MATCH($B$9,Dados_Evap!$A$2:$A$15,0),C621),0))</f>
        <v/>
      </c>
      <c r="G621" s="26" t="str">
        <f t="shared" si="4"/>
        <v/>
      </c>
      <c r="H621" s="26" t="str">
        <f t="shared" si="22"/>
        <v/>
      </c>
      <c r="I621" s="26" t="str">
        <f t="array" ref="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/>
      </c>
      <c r="J621" s="26" t="str">
        <f t="shared" si="5"/>
        <v/>
      </c>
      <c r="K621" s="26" t="str">
        <f t="shared" si="6"/>
        <v/>
      </c>
      <c r="L621" s="26" t="str">
        <f t="shared" si="7"/>
        <v/>
      </c>
      <c r="M621" s="26" t="str">
        <f t="array" ref="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/>
      </c>
      <c r="N621" s="26" t="str">
        <f t="shared" si="8"/>
        <v/>
      </c>
      <c r="O621" s="26" t="str">
        <f t="shared" si="9"/>
        <v/>
      </c>
      <c r="P621" s="26" t="str">
        <f t="shared" si="10"/>
        <v/>
      </c>
      <c r="Q621" s="26" t="str">
        <f t="shared" si="11"/>
        <v/>
      </c>
      <c r="R621" s="26" t="str">
        <f t="shared" si="12"/>
        <v/>
      </c>
      <c r="S621" s="26" t="str">
        <f t="shared" si="13"/>
        <v/>
      </c>
      <c r="T621" s="26" t="str">
        <f t="shared" si="14"/>
        <v/>
      </c>
      <c r="U621" s="26" t="str">
        <f t="shared" si="15"/>
        <v/>
      </c>
      <c r="V621" s="26" t="str">
        <f t="shared" si="16"/>
        <v/>
      </c>
      <c r="W621" s="26" t="str">
        <f t="shared" si="17"/>
        <v/>
      </c>
      <c r="X621" s="26" t="str">
        <f t="shared" si="18"/>
        <v/>
      </c>
      <c r="Y621" s="26" t="str">
        <f t="shared" si="19"/>
        <v/>
      </c>
      <c r="Z621" s="31" t="str">
        <f t="shared" si="20"/>
        <v/>
      </c>
      <c r="AA621" s="31" t="str">
        <f>IF(D621="","",IF(H621&lt;=$B$16,1,IF(H621&gt;=$B$17,$B$21,MATCH(H621,Aux_CAV!$A$2:$A$121,1))))</f>
        <v/>
      </c>
      <c r="AB621" s="31" t="str">
        <f>IF(D621="","",IF(L621&lt;=$B$16,1,IF(L621&gt;=$B$17,$B$21,MATCH(L621,Aux_CAV!$A$2:$A$121,1))))</f>
        <v/>
      </c>
      <c r="AC621" s="3" t="str">
        <f t="shared" si="21"/>
        <v/>
      </c>
    </row>
    <row r="622" ht="12.75" customHeight="1">
      <c r="A622" s="25" t="str">
        <f t="shared" si="1"/>
        <v/>
      </c>
      <c r="B622" s="29" t="str">
        <f t="array" ref="B622">IF(D622="","",IFERROR(VALUE(INDEX(Vazoes_COLAR!$A$2:$A$200,INT((ROW()-24)/12)+1)),""))</f>
        <v/>
      </c>
      <c r="C622" s="29" t="str">
        <f t="shared" si="2"/>
        <v/>
      </c>
      <c r="D622" s="26" t="str">
        <f t="array" ref="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22" s="26" t="str">
        <f t="shared" si="3"/>
        <v/>
      </c>
      <c r="F622" s="26" t="str">
        <f t="array" ref="F622">IF(D622="","",IFERROR(INDEX(Dados_Evap!$C$2:$N$15,MATCH($B$9,Dados_Evap!$A$2:$A$15,0),C622),0))</f>
        <v/>
      </c>
      <c r="G622" s="26" t="str">
        <f t="shared" si="4"/>
        <v/>
      </c>
      <c r="H622" s="26" t="str">
        <f t="shared" si="22"/>
        <v/>
      </c>
      <c r="I622" s="26" t="str">
        <f t="array" ref="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/>
      </c>
      <c r="J622" s="26" t="str">
        <f t="shared" si="5"/>
        <v/>
      </c>
      <c r="K622" s="26" t="str">
        <f t="shared" si="6"/>
        <v/>
      </c>
      <c r="L622" s="26" t="str">
        <f t="shared" si="7"/>
        <v/>
      </c>
      <c r="M622" s="26" t="str">
        <f t="array" ref="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/>
      </c>
      <c r="N622" s="26" t="str">
        <f t="shared" si="8"/>
        <v/>
      </c>
      <c r="O622" s="26" t="str">
        <f t="shared" si="9"/>
        <v/>
      </c>
      <c r="P622" s="26" t="str">
        <f t="shared" si="10"/>
        <v/>
      </c>
      <c r="Q622" s="26" t="str">
        <f t="shared" si="11"/>
        <v/>
      </c>
      <c r="R622" s="26" t="str">
        <f t="shared" si="12"/>
        <v/>
      </c>
      <c r="S622" s="26" t="str">
        <f t="shared" si="13"/>
        <v/>
      </c>
      <c r="T622" s="26" t="str">
        <f t="shared" si="14"/>
        <v/>
      </c>
      <c r="U622" s="26" t="str">
        <f t="shared" si="15"/>
        <v/>
      </c>
      <c r="V622" s="26" t="str">
        <f t="shared" si="16"/>
        <v/>
      </c>
      <c r="W622" s="26" t="str">
        <f t="shared" si="17"/>
        <v/>
      </c>
      <c r="X622" s="26" t="str">
        <f t="shared" si="18"/>
        <v/>
      </c>
      <c r="Y622" s="26" t="str">
        <f t="shared" si="19"/>
        <v/>
      </c>
      <c r="Z622" s="31" t="str">
        <f t="shared" si="20"/>
        <v/>
      </c>
      <c r="AA622" s="31" t="str">
        <f>IF(D622="","",IF(H622&lt;=$B$16,1,IF(H622&gt;=$B$17,$B$21,MATCH(H622,Aux_CAV!$A$2:$A$121,1))))</f>
        <v/>
      </c>
      <c r="AB622" s="31" t="str">
        <f>IF(D622="","",IF(L622&lt;=$B$16,1,IF(L622&gt;=$B$17,$B$21,MATCH(L622,Aux_CAV!$A$2:$A$121,1))))</f>
        <v/>
      </c>
      <c r="AC622" s="3" t="str">
        <f t="shared" si="21"/>
        <v/>
      </c>
    </row>
    <row r="623" ht="12.75" customHeight="1">
      <c r="A623" s="25" t="str">
        <f t="shared" si="1"/>
        <v/>
      </c>
      <c r="B623" s="29" t="str">
        <f t="array" ref="B623">IF(D623="","",IFERROR(VALUE(INDEX(Vazoes_COLAR!$A$2:$A$200,INT((ROW()-24)/12)+1)),""))</f>
        <v/>
      </c>
      <c r="C623" s="29" t="str">
        <f t="shared" si="2"/>
        <v/>
      </c>
      <c r="D623" s="26" t="str">
        <f t="array" ref="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23" s="26" t="str">
        <f t="shared" si="3"/>
        <v/>
      </c>
      <c r="F623" s="26" t="str">
        <f t="array" ref="F623">IF(D623="","",IFERROR(INDEX(Dados_Evap!$C$2:$N$15,MATCH($B$9,Dados_Evap!$A$2:$A$15,0),C623),0))</f>
        <v/>
      </c>
      <c r="G623" s="26" t="str">
        <f t="shared" si="4"/>
        <v/>
      </c>
      <c r="H623" s="26" t="str">
        <f t="shared" si="22"/>
        <v/>
      </c>
      <c r="I623" s="26" t="str">
        <f t="array" ref="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/>
      </c>
      <c r="J623" s="26" t="str">
        <f t="shared" si="5"/>
        <v/>
      </c>
      <c r="K623" s="26" t="str">
        <f t="shared" si="6"/>
        <v/>
      </c>
      <c r="L623" s="26" t="str">
        <f t="shared" si="7"/>
        <v/>
      </c>
      <c r="M623" s="26" t="str">
        <f t="array" ref="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/>
      </c>
      <c r="N623" s="26" t="str">
        <f t="shared" si="8"/>
        <v/>
      </c>
      <c r="O623" s="26" t="str">
        <f t="shared" si="9"/>
        <v/>
      </c>
      <c r="P623" s="26" t="str">
        <f t="shared" si="10"/>
        <v/>
      </c>
      <c r="Q623" s="26" t="str">
        <f t="shared" si="11"/>
        <v/>
      </c>
      <c r="R623" s="26" t="str">
        <f t="shared" si="12"/>
        <v/>
      </c>
      <c r="S623" s="26" t="str">
        <f t="shared" si="13"/>
        <v/>
      </c>
      <c r="T623" s="26" t="str">
        <f t="shared" si="14"/>
        <v/>
      </c>
      <c r="U623" s="26" t="str">
        <f t="shared" si="15"/>
        <v/>
      </c>
      <c r="V623" s="26" t="str">
        <f t="shared" si="16"/>
        <v/>
      </c>
      <c r="W623" s="26" t="str">
        <f t="shared" si="17"/>
        <v/>
      </c>
      <c r="X623" s="26" t="str">
        <f t="shared" si="18"/>
        <v/>
      </c>
      <c r="Y623" s="26" t="str">
        <f t="shared" si="19"/>
        <v/>
      </c>
      <c r="Z623" s="31" t="str">
        <f t="shared" si="20"/>
        <v/>
      </c>
      <c r="AA623" s="31" t="str">
        <f>IF(D623="","",IF(H623&lt;=$B$16,1,IF(H623&gt;=$B$17,$B$21,MATCH(H623,Aux_CAV!$A$2:$A$121,1))))</f>
        <v/>
      </c>
      <c r="AB623" s="31" t="str">
        <f>IF(D623="","",IF(L623&lt;=$B$16,1,IF(L623&gt;=$B$17,$B$21,MATCH(L623,Aux_CAV!$A$2:$A$121,1))))</f>
        <v/>
      </c>
      <c r="AC623" s="3" t="str">
        <f t="shared" si="21"/>
        <v/>
      </c>
    </row>
    <row r="624" ht="12.75" customHeight="1">
      <c r="A624" s="25" t="str">
        <f t="shared" si="1"/>
        <v/>
      </c>
      <c r="B624" s="29" t="str">
        <f t="array" ref="B624">IF(D624="","",IFERROR(VALUE(INDEX(Vazoes_COLAR!$A$2:$A$200,INT((ROW()-24)/12)+1)),""))</f>
        <v/>
      </c>
      <c r="C624" s="29" t="str">
        <f t="shared" si="2"/>
        <v/>
      </c>
      <c r="D624" s="26" t="str">
        <f t="array" ref="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24" s="26" t="str">
        <f t="shared" si="3"/>
        <v/>
      </c>
      <c r="F624" s="26" t="str">
        <f t="array" ref="F624">IF(D624="","",IFERROR(INDEX(Dados_Evap!$C$2:$N$15,MATCH($B$9,Dados_Evap!$A$2:$A$15,0),C624),0))</f>
        <v/>
      </c>
      <c r="G624" s="26" t="str">
        <f t="shared" si="4"/>
        <v/>
      </c>
      <c r="H624" s="26" t="str">
        <f t="shared" si="22"/>
        <v/>
      </c>
      <c r="I624" s="26" t="str">
        <f t="array" ref="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/>
      </c>
      <c r="J624" s="26" t="str">
        <f t="shared" si="5"/>
        <v/>
      </c>
      <c r="K624" s="26" t="str">
        <f t="shared" si="6"/>
        <v/>
      </c>
      <c r="L624" s="26" t="str">
        <f t="shared" si="7"/>
        <v/>
      </c>
      <c r="M624" s="26" t="str">
        <f t="array" ref="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/>
      </c>
      <c r="N624" s="26" t="str">
        <f t="shared" si="8"/>
        <v/>
      </c>
      <c r="O624" s="26" t="str">
        <f t="shared" si="9"/>
        <v/>
      </c>
      <c r="P624" s="26" t="str">
        <f t="shared" si="10"/>
        <v/>
      </c>
      <c r="Q624" s="26" t="str">
        <f t="shared" si="11"/>
        <v/>
      </c>
      <c r="R624" s="26" t="str">
        <f t="shared" si="12"/>
        <v/>
      </c>
      <c r="S624" s="26" t="str">
        <f t="shared" si="13"/>
        <v/>
      </c>
      <c r="T624" s="26" t="str">
        <f t="shared" si="14"/>
        <v/>
      </c>
      <c r="U624" s="26" t="str">
        <f t="shared" si="15"/>
        <v/>
      </c>
      <c r="V624" s="26" t="str">
        <f t="shared" si="16"/>
        <v/>
      </c>
      <c r="W624" s="26" t="str">
        <f t="shared" si="17"/>
        <v/>
      </c>
      <c r="X624" s="26" t="str">
        <f t="shared" si="18"/>
        <v/>
      </c>
      <c r="Y624" s="26" t="str">
        <f t="shared" si="19"/>
        <v/>
      </c>
      <c r="Z624" s="31" t="str">
        <f t="shared" si="20"/>
        <v/>
      </c>
      <c r="AA624" s="31" t="str">
        <f>IF(D624="","",IF(H624&lt;=$B$16,1,IF(H624&gt;=$B$17,$B$21,MATCH(H624,Aux_CAV!$A$2:$A$121,1))))</f>
        <v/>
      </c>
      <c r="AB624" s="31" t="str">
        <f>IF(D624="","",IF(L624&lt;=$B$16,1,IF(L624&gt;=$B$17,$B$21,MATCH(L624,Aux_CAV!$A$2:$A$121,1))))</f>
        <v/>
      </c>
      <c r="AC624" s="3" t="str">
        <f t="shared" si="21"/>
        <v/>
      </c>
    </row>
    <row r="625" ht="12.75" customHeight="1">
      <c r="A625" s="25" t="str">
        <f t="shared" si="1"/>
        <v/>
      </c>
      <c r="B625" s="29" t="str">
        <f t="array" ref="B625">IF(D625="","",IFERROR(VALUE(INDEX(Vazoes_COLAR!$A$2:$A$200,INT((ROW()-24)/12)+1)),""))</f>
        <v/>
      </c>
      <c r="C625" s="29" t="str">
        <f t="shared" si="2"/>
        <v/>
      </c>
      <c r="D625" s="26" t="str">
        <f t="array" ref="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25" s="26" t="str">
        <f t="shared" si="3"/>
        <v/>
      </c>
      <c r="F625" s="26" t="str">
        <f t="array" ref="F625">IF(D625="","",IFERROR(INDEX(Dados_Evap!$C$2:$N$15,MATCH($B$9,Dados_Evap!$A$2:$A$15,0),C625),0))</f>
        <v/>
      </c>
      <c r="G625" s="26" t="str">
        <f t="shared" si="4"/>
        <v/>
      </c>
      <c r="H625" s="26" t="str">
        <f t="shared" si="22"/>
        <v/>
      </c>
      <c r="I625" s="26" t="str">
        <f t="array" ref="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/>
      </c>
      <c r="J625" s="26" t="str">
        <f t="shared" si="5"/>
        <v/>
      </c>
      <c r="K625" s="26" t="str">
        <f t="shared" si="6"/>
        <v/>
      </c>
      <c r="L625" s="26" t="str">
        <f t="shared" si="7"/>
        <v/>
      </c>
      <c r="M625" s="26" t="str">
        <f t="array" ref="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/>
      </c>
      <c r="N625" s="26" t="str">
        <f t="shared" si="8"/>
        <v/>
      </c>
      <c r="O625" s="26" t="str">
        <f t="shared" si="9"/>
        <v/>
      </c>
      <c r="P625" s="26" t="str">
        <f t="shared" si="10"/>
        <v/>
      </c>
      <c r="Q625" s="26" t="str">
        <f t="shared" si="11"/>
        <v/>
      </c>
      <c r="R625" s="26" t="str">
        <f t="shared" si="12"/>
        <v/>
      </c>
      <c r="S625" s="26" t="str">
        <f t="shared" si="13"/>
        <v/>
      </c>
      <c r="T625" s="26" t="str">
        <f t="shared" si="14"/>
        <v/>
      </c>
      <c r="U625" s="26" t="str">
        <f t="shared" si="15"/>
        <v/>
      </c>
      <c r="V625" s="26" t="str">
        <f t="shared" si="16"/>
        <v/>
      </c>
      <c r="W625" s="26" t="str">
        <f t="shared" si="17"/>
        <v/>
      </c>
      <c r="X625" s="26" t="str">
        <f t="shared" si="18"/>
        <v/>
      </c>
      <c r="Y625" s="26" t="str">
        <f t="shared" si="19"/>
        <v/>
      </c>
      <c r="Z625" s="31" t="str">
        <f t="shared" si="20"/>
        <v/>
      </c>
      <c r="AA625" s="31" t="str">
        <f>IF(D625="","",IF(H625&lt;=$B$16,1,IF(H625&gt;=$B$17,$B$21,MATCH(H625,Aux_CAV!$A$2:$A$121,1))))</f>
        <v/>
      </c>
      <c r="AB625" s="31" t="str">
        <f>IF(D625="","",IF(L625&lt;=$B$16,1,IF(L625&gt;=$B$17,$B$21,MATCH(L625,Aux_CAV!$A$2:$A$121,1))))</f>
        <v/>
      </c>
      <c r="AC625" s="3" t="str">
        <f t="shared" si="21"/>
        <v/>
      </c>
    </row>
    <row r="626" ht="12.75" customHeight="1">
      <c r="A626" s="25" t="str">
        <f t="shared" si="1"/>
        <v/>
      </c>
      <c r="B626" s="29" t="str">
        <f t="array" ref="B626">IF(D626="","",IFERROR(VALUE(INDEX(Vazoes_COLAR!$A$2:$A$200,INT((ROW()-24)/12)+1)),""))</f>
        <v/>
      </c>
      <c r="C626" s="29" t="str">
        <f t="shared" si="2"/>
        <v/>
      </c>
      <c r="D626" s="26" t="str">
        <f t="array" ref="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26" s="26" t="str">
        <f t="shared" si="3"/>
        <v/>
      </c>
      <c r="F626" s="26" t="str">
        <f t="array" ref="F626">IF(D626="","",IFERROR(INDEX(Dados_Evap!$C$2:$N$15,MATCH($B$9,Dados_Evap!$A$2:$A$15,0),C626),0))</f>
        <v/>
      </c>
      <c r="G626" s="26" t="str">
        <f t="shared" si="4"/>
        <v/>
      </c>
      <c r="H626" s="26" t="str">
        <f t="shared" si="22"/>
        <v/>
      </c>
      <c r="I626" s="26" t="str">
        <f t="array" ref="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/>
      </c>
      <c r="J626" s="26" t="str">
        <f t="shared" si="5"/>
        <v/>
      </c>
      <c r="K626" s="26" t="str">
        <f t="shared" si="6"/>
        <v/>
      </c>
      <c r="L626" s="26" t="str">
        <f t="shared" si="7"/>
        <v/>
      </c>
      <c r="M626" s="26" t="str">
        <f t="array" ref="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/>
      </c>
      <c r="N626" s="26" t="str">
        <f t="shared" si="8"/>
        <v/>
      </c>
      <c r="O626" s="26" t="str">
        <f t="shared" si="9"/>
        <v/>
      </c>
      <c r="P626" s="26" t="str">
        <f t="shared" si="10"/>
        <v/>
      </c>
      <c r="Q626" s="26" t="str">
        <f t="shared" si="11"/>
        <v/>
      </c>
      <c r="R626" s="26" t="str">
        <f t="shared" si="12"/>
        <v/>
      </c>
      <c r="S626" s="26" t="str">
        <f t="shared" si="13"/>
        <v/>
      </c>
      <c r="T626" s="26" t="str">
        <f t="shared" si="14"/>
        <v/>
      </c>
      <c r="U626" s="26" t="str">
        <f t="shared" si="15"/>
        <v/>
      </c>
      <c r="V626" s="26" t="str">
        <f t="shared" si="16"/>
        <v/>
      </c>
      <c r="W626" s="26" t="str">
        <f t="shared" si="17"/>
        <v/>
      </c>
      <c r="X626" s="26" t="str">
        <f t="shared" si="18"/>
        <v/>
      </c>
      <c r="Y626" s="26" t="str">
        <f t="shared" si="19"/>
        <v/>
      </c>
      <c r="Z626" s="31" t="str">
        <f t="shared" si="20"/>
        <v/>
      </c>
      <c r="AA626" s="31" t="str">
        <f>IF(D626="","",IF(H626&lt;=$B$16,1,IF(H626&gt;=$B$17,$B$21,MATCH(H626,Aux_CAV!$A$2:$A$121,1))))</f>
        <v/>
      </c>
      <c r="AB626" s="31" t="str">
        <f>IF(D626="","",IF(L626&lt;=$B$16,1,IF(L626&gt;=$B$17,$B$21,MATCH(L626,Aux_CAV!$A$2:$A$121,1))))</f>
        <v/>
      </c>
      <c r="AC626" s="3" t="str">
        <f t="shared" si="21"/>
        <v/>
      </c>
    </row>
    <row r="627" ht="12.75" customHeight="1">
      <c r="A627" s="25" t="str">
        <f t="shared" si="1"/>
        <v/>
      </c>
      <c r="B627" s="29" t="str">
        <f t="array" ref="B627">IF(D627="","",IFERROR(VALUE(INDEX(Vazoes_COLAR!$A$2:$A$200,INT((ROW()-24)/12)+1)),""))</f>
        <v/>
      </c>
      <c r="C627" s="29" t="str">
        <f t="shared" si="2"/>
        <v/>
      </c>
      <c r="D627" s="26" t="str">
        <f t="array" ref="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27" s="26" t="str">
        <f t="shared" si="3"/>
        <v/>
      </c>
      <c r="F627" s="26" t="str">
        <f t="array" ref="F627">IF(D627="","",IFERROR(INDEX(Dados_Evap!$C$2:$N$15,MATCH($B$9,Dados_Evap!$A$2:$A$15,0),C627),0))</f>
        <v/>
      </c>
      <c r="G627" s="26" t="str">
        <f t="shared" si="4"/>
        <v/>
      </c>
      <c r="H627" s="26" t="str">
        <f t="shared" si="22"/>
        <v/>
      </c>
      <c r="I627" s="26" t="str">
        <f t="array" ref="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/>
      </c>
      <c r="J627" s="26" t="str">
        <f t="shared" si="5"/>
        <v/>
      </c>
      <c r="K627" s="26" t="str">
        <f t="shared" si="6"/>
        <v/>
      </c>
      <c r="L627" s="26" t="str">
        <f t="shared" si="7"/>
        <v/>
      </c>
      <c r="M627" s="26" t="str">
        <f t="array" ref="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/>
      </c>
      <c r="N627" s="26" t="str">
        <f t="shared" si="8"/>
        <v/>
      </c>
      <c r="O627" s="26" t="str">
        <f t="shared" si="9"/>
        <v/>
      </c>
      <c r="P627" s="26" t="str">
        <f t="shared" si="10"/>
        <v/>
      </c>
      <c r="Q627" s="26" t="str">
        <f t="shared" si="11"/>
        <v/>
      </c>
      <c r="R627" s="26" t="str">
        <f t="shared" si="12"/>
        <v/>
      </c>
      <c r="S627" s="26" t="str">
        <f t="shared" si="13"/>
        <v/>
      </c>
      <c r="T627" s="26" t="str">
        <f t="shared" si="14"/>
        <v/>
      </c>
      <c r="U627" s="26" t="str">
        <f t="shared" si="15"/>
        <v/>
      </c>
      <c r="V627" s="26" t="str">
        <f t="shared" si="16"/>
        <v/>
      </c>
      <c r="W627" s="26" t="str">
        <f t="shared" si="17"/>
        <v/>
      </c>
      <c r="X627" s="26" t="str">
        <f t="shared" si="18"/>
        <v/>
      </c>
      <c r="Y627" s="26" t="str">
        <f t="shared" si="19"/>
        <v/>
      </c>
      <c r="Z627" s="31" t="str">
        <f t="shared" si="20"/>
        <v/>
      </c>
      <c r="AA627" s="31" t="str">
        <f>IF(D627="","",IF(H627&lt;=$B$16,1,IF(H627&gt;=$B$17,$B$21,MATCH(H627,Aux_CAV!$A$2:$A$121,1))))</f>
        <v/>
      </c>
      <c r="AB627" s="31" t="str">
        <f>IF(D627="","",IF(L627&lt;=$B$16,1,IF(L627&gt;=$B$17,$B$21,MATCH(L627,Aux_CAV!$A$2:$A$121,1))))</f>
        <v/>
      </c>
      <c r="AC627" s="3" t="str">
        <f t="shared" si="21"/>
        <v/>
      </c>
    </row>
    <row r="628" ht="12.75" customHeight="1">
      <c r="A628" s="25" t="str">
        <f t="shared" si="1"/>
        <v/>
      </c>
      <c r="B628" s="29" t="str">
        <f t="array" ref="B628">IF(D628="","",IFERROR(VALUE(INDEX(Vazoes_COLAR!$A$2:$A$200,INT((ROW()-24)/12)+1)),""))</f>
        <v/>
      </c>
      <c r="C628" s="29" t="str">
        <f t="shared" si="2"/>
        <v/>
      </c>
      <c r="D628" s="26" t="str">
        <f t="array" ref="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28" s="26" t="str">
        <f t="shared" si="3"/>
        <v/>
      </c>
      <c r="F628" s="26" t="str">
        <f t="array" ref="F628">IF(D628="","",IFERROR(INDEX(Dados_Evap!$C$2:$N$15,MATCH($B$9,Dados_Evap!$A$2:$A$15,0),C628),0))</f>
        <v/>
      </c>
      <c r="G628" s="26" t="str">
        <f t="shared" si="4"/>
        <v/>
      </c>
      <c r="H628" s="26" t="str">
        <f t="shared" si="22"/>
        <v/>
      </c>
      <c r="I628" s="26" t="str">
        <f t="array" ref="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/>
      </c>
      <c r="J628" s="26" t="str">
        <f t="shared" si="5"/>
        <v/>
      </c>
      <c r="K628" s="26" t="str">
        <f t="shared" si="6"/>
        <v/>
      </c>
      <c r="L628" s="26" t="str">
        <f t="shared" si="7"/>
        <v/>
      </c>
      <c r="M628" s="26" t="str">
        <f t="array" ref="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/>
      </c>
      <c r="N628" s="26" t="str">
        <f t="shared" si="8"/>
        <v/>
      </c>
      <c r="O628" s="26" t="str">
        <f t="shared" si="9"/>
        <v/>
      </c>
      <c r="P628" s="26" t="str">
        <f t="shared" si="10"/>
        <v/>
      </c>
      <c r="Q628" s="26" t="str">
        <f t="shared" si="11"/>
        <v/>
      </c>
      <c r="R628" s="26" t="str">
        <f t="shared" si="12"/>
        <v/>
      </c>
      <c r="S628" s="26" t="str">
        <f t="shared" si="13"/>
        <v/>
      </c>
      <c r="T628" s="26" t="str">
        <f t="shared" si="14"/>
        <v/>
      </c>
      <c r="U628" s="26" t="str">
        <f t="shared" si="15"/>
        <v/>
      </c>
      <c r="V628" s="26" t="str">
        <f t="shared" si="16"/>
        <v/>
      </c>
      <c r="W628" s="26" t="str">
        <f t="shared" si="17"/>
        <v/>
      </c>
      <c r="X628" s="26" t="str">
        <f t="shared" si="18"/>
        <v/>
      </c>
      <c r="Y628" s="26" t="str">
        <f t="shared" si="19"/>
        <v/>
      </c>
      <c r="Z628" s="31" t="str">
        <f t="shared" si="20"/>
        <v/>
      </c>
      <c r="AA628" s="31" t="str">
        <f>IF(D628="","",IF(H628&lt;=$B$16,1,IF(H628&gt;=$B$17,$B$21,MATCH(H628,Aux_CAV!$A$2:$A$121,1))))</f>
        <v/>
      </c>
      <c r="AB628" s="31" t="str">
        <f>IF(D628="","",IF(L628&lt;=$B$16,1,IF(L628&gt;=$B$17,$B$21,MATCH(L628,Aux_CAV!$A$2:$A$121,1))))</f>
        <v/>
      </c>
      <c r="AC628" s="3" t="str">
        <f t="shared" si="21"/>
        <v/>
      </c>
    </row>
    <row r="629" ht="12.75" customHeight="1">
      <c r="A629" s="25" t="str">
        <f t="shared" si="1"/>
        <v/>
      </c>
      <c r="B629" s="29" t="str">
        <f t="array" ref="B629">IF(D629="","",IFERROR(VALUE(INDEX(Vazoes_COLAR!$A$2:$A$200,INT((ROW()-24)/12)+1)),""))</f>
        <v/>
      </c>
      <c r="C629" s="29" t="str">
        <f t="shared" si="2"/>
        <v/>
      </c>
      <c r="D629" s="26" t="str">
        <f t="array" ref="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29" s="26" t="str">
        <f t="shared" si="3"/>
        <v/>
      </c>
      <c r="F629" s="26" t="str">
        <f t="array" ref="F629">IF(D629="","",IFERROR(INDEX(Dados_Evap!$C$2:$N$15,MATCH($B$9,Dados_Evap!$A$2:$A$15,0),C629),0))</f>
        <v/>
      </c>
      <c r="G629" s="26" t="str">
        <f t="shared" si="4"/>
        <v/>
      </c>
      <c r="H629" s="26" t="str">
        <f t="shared" si="22"/>
        <v/>
      </c>
      <c r="I629" s="26" t="str">
        <f t="array" ref="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/>
      </c>
      <c r="J629" s="26" t="str">
        <f t="shared" si="5"/>
        <v/>
      </c>
      <c r="K629" s="26" t="str">
        <f t="shared" si="6"/>
        <v/>
      </c>
      <c r="L629" s="26" t="str">
        <f t="shared" si="7"/>
        <v/>
      </c>
      <c r="M629" s="26" t="str">
        <f t="array" ref="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/>
      </c>
      <c r="N629" s="26" t="str">
        <f t="shared" si="8"/>
        <v/>
      </c>
      <c r="O629" s="26" t="str">
        <f t="shared" si="9"/>
        <v/>
      </c>
      <c r="P629" s="26" t="str">
        <f t="shared" si="10"/>
        <v/>
      </c>
      <c r="Q629" s="26" t="str">
        <f t="shared" si="11"/>
        <v/>
      </c>
      <c r="R629" s="26" t="str">
        <f t="shared" si="12"/>
        <v/>
      </c>
      <c r="S629" s="26" t="str">
        <f t="shared" si="13"/>
        <v/>
      </c>
      <c r="T629" s="26" t="str">
        <f t="shared" si="14"/>
        <v/>
      </c>
      <c r="U629" s="26" t="str">
        <f t="shared" si="15"/>
        <v/>
      </c>
      <c r="V629" s="26" t="str">
        <f t="shared" si="16"/>
        <v/>
      </c>
      <c r="W629" s="26" t="str">
        <f t="shared" si="17"/>
        <v/>
      </c>
      <c r="X629" s="26" t="str">
        <f t="shared" si="18"/>
        <v/>
      </c>
      <c r="Y629" s="26" t="str">
        <f t="shared" si="19"/>
        <v/>
      </c>
      <c r="Z629" s="31" t="str">
        <f t="shared" si="20"/>
        <v/>
      </c>
      <c r="AA629" s="31" t="str">
        <f>IF(D629="","",IF(H629&lt;=$B$16,1,IF(H629&gt;=$B$17,$B$21,MATCH(H629,Aux_CAV!$A$2:$A$121,1))))</f>
        <v/>
      </c>
      <c r="AB629" s="31" t="str">
        <f>IF(D629="","",IF(L629&lt;=$B$16,1,IF(L629&gt;=$B$17,$B$21,MATCH(L629,Aux_CAV!$A$2:$A$121,1))))</f>
        <v/>
      </c>
      <c r="AC629" s="3" t="str">
        <f t="shared" si="21"/>
        <v/>
      </c>
    </row>
    <row r="630" ht="12.75" customHeight="1">
      <c r="A630" s="25" t="str">
        <f t="shared" si="1"/>
        <v/>
      </c>
      <c r="B630" s="29" t="str">
        <f t="array" ref="B630">IF(D630="","",IFERROR(VALUE(INDEX(Vazoes_COLAR!$A$2:$A$200,INT((ROW()-24)/12)+1)),""))</f>
        <v/>
      </c>
      <c r="C630" s="29" t="str">
        <f t="shared" si="2"/>
        <v/>
      </c>
      <c r="D630" s="26" t="str">
        <f t="array" ref="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30" s="26" t="str">
        <f t="shared" si="3"/>
        <v/>
      </c>
      <c r="F630" s="26" t="str">
        <f t="array" ref="F630">IF(D630="","",IFERROR(INDEX(Dados_Evap!$C$2:$N$15,MATCH($B$9,Dados_Evap!$A$2:$A$15,0),C630),0))</f>
        <v/>
      </c>
      <c r="G630" s="26" t="str">
        <f t="shared" si="4"/>
        <v/>
      </c>
      <c r="H630" s="26" t="str">
        <f t="shared" si="22"/>
        <v/>
      </c>
      <c r="I630" s="26" t="str">
        <f t="array" ref="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/>
      </c>
      <c r="J630" s="26" t="str">
        <f t="shared" si="5"/>
        <v/>
      </c>
      <c r="K630" s="26" t="str">
        <f t="shared" si="6"/>
        <v/>
      </c>
      <c r="L630" s="26" t="str">
        <f t="shared" si="7"/>
        <v/>
      </c>
      <c r="M630" s="26" t="str">
        <f t="array" ref="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/>
      </c>
      <c r="N630" s="26" t="str">
        <f t="shared" si="8"/>
        <v/>
      </c>
      <c r="O630" s="26" t="str">
        <f t="shared" si="9"/>
        <v/>
      </c>
      <c r="P630" s="26" t="str">
        <f t="shared" si="10"/>
        <v/>
      </c>
      <c r="Q630" s="26" t="str">
        <f t="shared" si="11"/>
        <v/>
      </c>
      <c r="R630" s="26" t="str">
        <f t="shared" si="12"/>
        <v/>
      </c>
      <c r="S630" s="26" t="str">
        <f t="shared" si="13"/>
        <v/>
      </c>
      <c r="T630" s="26" t="str">
        <f t="shared" si="14"/>
        <v/>
      </c>
      <c r="U630" s="26" t="str">
        <f t="shared" si="15"/>
        <v/>
      </c>
      <c r="V630" s="26" t="str">
        <f t="shared" si="16"/>
        <v/>
      </c>
      <c r="W630" s="26" t="str">
        <f t="shared" si="17"/>
        <v/>
      </c>
      <c r="X630" s="26" t="str">
        <f t="shared" si="18"/>
        <v/>
      </c>
      <c r="Y630" s="26" t="str">
        <f t="shared" si="19"/>
        <v/>
      </c>
      <c r="Z630" s="31" t="str">
        <f t="shared" si="20"/>
        <v/>
      </c>
      <c r="AA630" s="31" t="str">
        <f>IF(D630="","",IF(H630&lt;=$B$16,1,IF(H630&gt;=$B$17,$B$21,MATCH(H630,Aux_CAV!$A$2:$A$121,1))))</f>
        <v/>
      </c>
      <c r="AB630" s="31" t="str">
        <f>IF(D630="","",IF(L630&lt;=$B$16,1,IF(L630&gt;=$B$17,$B$21,MATCH(L630,Aux_CAV!$A$2:$A$121,1))))</f>
        <v/>
      </c>
      <c r="AC630" s="3" t="str">
        <f t="shared" si="21"/>
        <v/>
      </c>
    </row>
    <row r="631" ht="12.75" customHeight="1">
      <c r="A631" s="25" t="str">
        <f t="shared" si="1"/>
        <v/>
      </c>
      <c r="B631" s="29" t="str">
        <f t="array" ref="B631">IF(D631="","",IFERROR(VALUE(INDEX(Vazoes_COLAR!$A$2:$A$200,INT((ROW()-24)/12)+1)),""))</f>
        <v/>
      </c>
      <c r="C631" s="29" t="str">
        <f t="shared" si="2"/>
        <v/>
      </c>
      <c r="D631" s="26" t="str">
        <f t="array" ref="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31" s="26" t="str">
        <f t="shared" si="3"/>
        <v/>
      </c>
      <c r="F631" s="26" t="str">
        <f t="array" ref="F631">IF(D631="","",IFERROR(INDEX(Dados_Evap!$C$2:$N$15,MATCH($B$9,Dados_Evap!$A$2:$A$15,0),C631),0))</f>
        <v/>
      </c>
      <c r="G631" s="26" t="str">
        <f t="shared" si="4"/>
        <v/>
      </c>
      <c r="H631" s="26" t="str">
        <f t="shared" si="22"/>
        <v/>
      </c>
      <c r="I631" s="26" t="str">
        <f t="array" ref="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/>
      </c>
      <c r="J631" s="26" t="str">
        <f t="shared" si="5"/>
        <v/>
      </c>
      <c r="K631" s="26" t="str">
        <f t="shared" si="6"/>
        <v/>
      </c>
      <c r="L631" s="26" t="str">
        <f t="shared" si="7"/>
        <v/>
      </c>
      <c r="M631" s="26" t="str">
        <f t="array" ref="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/>
      </c>
      <c r="N631" s="26" t="str">
        <f t="shared" si="8"/>
        <v/>
      </c>
      <c r="O631" s="26" t="str">
        <f t="shared" si="9"/>
        <v/>
      </c>
      <c r="P631" s="26" t="str">
        <f t="shared" si="10"/>
        <v/>
      </c>
      <c r="Q631" s="26" t="str">
        <f t="shared" si="11"/>
        <v/>
      </c>
      <c r="R631" s="26" t="str">
        <f t="shared" si="12"/>
        <v/>
      </c>
      <c r="S631" s="26" t="str">
        <f t="shared" si="13"/>
        <v/>
      </c>
      <c r="T631" s="26" t="str">
        <f t="shared" si="14"/>
        <v/>
      </c>
      <c r="U631" s="26" t="str">
        <f t="shared" si="15"/>
        <v/>
      </c>
      <c r="V631" s="26" t="str">
        <f t="shared" si="16"/>
        <v/>
      </c>
      <c r="W631" s="26" t="str">
        <f t="shared" si="17"/>
        <v/>
      </c>
      <c r="X631" s="26" t="str">
        <f t="shared" si="18"/>
        <v/>
      </c>
      <c r="Y631" s="26" t="str">
        <f t="shared" si="19"/>
        <v/>
      </c>
      <c r="Z631" s="31" t="str">
        <f t="shared" si="20"/>
        <v/>
      </c>
      <c r="AA631" s="31" t="str">
        <f>IF(D631="","",IF(H631&lt;=$B$16,1,IF(H631&gt;=$B$17,$B$21,MATCH(H631,Aux_CAV!$A$2:$A$121,1))))</f>
        <v/>
      </c>
      <c r="AB631" s="31" t="str">
        <f>IF(D631="","",IF(L631&lt;=$B$16,1,IF(L631&gt;=$B$17,$B$21,MATCH(L631,Aux_CAV!$A$2:$A$121,1))))</f>
        <v/>
      </c>
      <c r="AC631" s="3" t="str">
        <f t="shared" si="21"/>
        <v/>
      </c>
    </row>
    <row r="632" ht="12.75" customHeight="1">
      <c r="A632" s="25" t="str">
        <f t="shared" si="1"/>
        <v/>
      </c>
      <c r="B632" s="29" t="str">
        <f t="array" ref="B632">IF(D632="","",IFERROR(VALUE(INDEX(Vazoes_COLAR!$A$2:$A$200,INT((ROW()-24)/12)+1)),""))</f>
        <v/>
      </c>
      <c r="C632" s="29" t="str">
        <f t="shared" si="2"/>
        <v/>
      </c>
      <c r="D632" s="26" t="str">
        <f t="array" ref="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32" s="26" t="str">
        <f t="shared" si="3"/>
        <v/>
      </c>
      <c r="F632" s="26" t="str">
        <f t="array" ref="F632">IF(D632="","",IFERROR(INDEX(Dados_Evap!$C$2:$N$15,MATCH($B$9,Dados_Evap!$A$2:$A$15,0),C632),0))</f>
        <v/>
      </c>
      <c r="G632" s="26" t="str">
        <f t="shared" si="4"/>
        <v/>
      </c>
      <c r="H632" s="26" t="str">
        <f t="shared" si="22"/>
        <v/>
      </c>
      <c r="I632" s="26" t="str">
        <f t="array" ref="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/>
      </c>
      <c r="J632" s="26" t="str">
        <f t="shared" si="5"/>
        <v/>
      </c>
      <c r="K632" s="26" t="str">
        <f t="shared" si="6"/>
        <v/>
      </c>
      <c r="L632" s="26" t="str">
        <f t="shared" si="7"/>
        <v/>
      </c>
      <c r="M632" s="26" t="str">
        <f t="array" ref="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/>
      </c>
      <c r="N632" s="26" t="str">
        <f t="shared" si="8"/>
        <v/>
      </c>
      <c r="O632" s="26" t="str">
        <f t="shared" si="9"/>
        <v/>
      </c>
      <c r="P632" s="26" t="str">
        <f t="shared" si="10"/>
        <v/>
      </c>
      <c r="Q632" s="26" t="str">
        <f t="shared" si="11"/>
        <v/>
      </c>
      <c r="R632" s="26" t="str">
        <f t="shared" si="12"/>
        <v/>
      </c>
      <c r="S632" s="26" t="str">
        <f t="shared" si="13"/>
        <v/>
      </c>
      <c r="T632" s="26" t="str">
        <f t="shared" si="14"/>
        <v/>
      </c>
      <c r="U632" s="26" t="str">
        <f t="shared" si="15"/>
        <v/>
      </c>
      <c r="V632" s="26" t="str">
        <f t="shared" si="16"/>
        <v/>
      </c>
      <c r="W632" s="26" t="str">
        <f t="shared" si="17"/>
        <v/>
      </c>
      <c r="X632" s="26" t="str">
        <f t="shared" si="18"/>
        <v/>
      </c>
      <c r="Y632" s="26" t="str">
        <f t="shared" si="19"/>
        <v/>
      </c>
      <c r="Z632" s="31" t="str">
        <f t="shared" si="20"/>
        <v/>
      </c>
      <c r="AA632" s="31" t="str">
        <f>IF(D632="","",IF(H632&lt;=$B$16,1,IF(H632&gt;=$B$17,$B$21,MATCH(H632,Aux_CAV!$A$2:$A$121,1))))</f>
        <v/>
      </c>
      <c r="AB632" s="31" t="str">
        <f>IF(D632="","",IF(L632&lt;=$B$16,1,IF(L632&gt;=$B$17,$B$21,MATCH(L632,Aux_CAV!$A$2:$A$121,1))))</f>
        <v/>
      </c>
      <c r="AC632" s="3" t="str">
        <f t="shared" si="21"/>
        <v/>
      </c>
    </row>
    <row r="633" ht="12.75" customHeight="1">
      <c r="A633" s="25" t="str">
        <f t="shared" si="1"/>
        <v/>
      </c>
      <c r="B633" s="29" t="str">
        <f t="array" ref="B633">IF(D633="","",IFERROR(VALUE(INDEX(Vazoes_COLAR!$A$2:$A$200,INT((ROW()-24)/12)+1)),""))</f>
        <v/>
      </c>
      <c r="C633" s="29" t="str">
        <f t="shared" si="2"/>
        <v/>
      </c>
      <c r="D633" s="26" t="str">
        <f t="array" ref="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33" s="26" t="str">
        <f t="shared" si="3"/>
        <v/>
      </c>
      <c r="F633" s="26" t="str">
        <f t="array" ref="F633">IF(D633="","",IFERROR(INDEX(Dados_Evap!$C$2:$N$15,MATCH($B$9,Dados_Evap!$A$2:$A$15,0),C633),0))</f>
        <v/>
      </c>
      <c r="G633" s="26" t="str">
        <f t="shared" si="4"/>
        <v/>
      </c>
      <c r="H633" s="26" t="str">
        <f t="shared" si="22"/>
        <v/>
      </c>
      <c r="I633" s="26" t="str">
        <f t="array" ref="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/>
      </c>
      <c r="J633" s="26" t="str">
        <f t="shared" si="5"/>
        <v/>
      </c>
      <c r="K633" s="26" t="str">
        <f t="shared" si="6"/>
        <v/>
      </c>
      <c r="L633" s="26" t="str">
        <f t="shared" si="7"/>
        <v/>
      </c>
      <c r="M633" s="26" t="str">
        <f t="array" ref="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/>
      </c>
      <c r="N633" s="26" t="str">
        <f t="shared" si="8"/>
        <v/>
      </c>
      <c r="O633" s="26" t="str">
        <f t="shared" si="9"/>
        <v/>
      </c>
      <c r="P633" s="26" t="str">
        <f t="shared" si="10"/>
        <v/>
      </c>
      <c r="Q633" s="26" t="str">
        <f t="shared" si="11"/>
        <v/>
      </c>
      <c r="R633" s="26" t="str">
        <f t="shared" si="12"/>
        <v/>
      </c>
      <c r="S633" s="26" t="str">
        <f t="shared" si="13"/>
        <v/>
      </c>
      <c r="T633" s="26" t="str">
        <f t="shared" si="14"/>
        <v/>
      </c>
      <c r="U633" s="26" t="str">
        <f t="shared" si="15"/>
        <v/>
      </c>
      <c r="V633" s="26" t="str">
        <f t="shared" si="16"/>
        <v/>
      </c>
      <c r="W633" s="26" t="str">
        <f t="shared" si="17"/>
        <v/>
      </c>
      <c r="X633" s="26" t="str">
        <f t="shared" si="18"/>
        <v/>
      </c>
      <c r="Y633" s="26" t="str">
        <f t="shared" si="19"/>
        <v/>
      </c>
      <c r="Z633" s="31" t="str">
        <f t="shared" si="20"/>
        <v/>
      </c>
      <c r="AA633" s="31" t="str">
        <f>IF(D633="","",IF(H633&lt;=$B$16,1,IF(H633&gt;=$B$17,$B$21,MATCH(H633,Aux_CAV!$A$2:$A$121,1))))</f>
        <v/>
      </c>
      <c r="AB633" s="31" t="str">
        <f>IF(D633="","",IF(L633&lt;=$B$16,1,IF(L633&gt;=$B$17,$B$21,MATCH(L633,Aux_CAV!$A$2:$A$121,1))))</f>
        <v/>
      </c>
      <c r="AC633" s="3" t="str">
        <f t="shared" si="21"/>
        <v/>
      </c>
    </row>
    <row r="634" ht="12.75" customHeight="1">
      <c r="A634" s="25" t="str">
        <f t="shared" si="1"/>
        <v/>
      </c>
      <c r="B634" s="29" t="str">
        <f t="array" ref="B634">IF(D634="","",IFERROR(VALUE(INDEX(Vazoes_COLAR!$A$2:$A$200,INT((ROW()-24)/12)+1)),""))</f>
        <v/>
      </c>
      <c r="C634" s="29" t="str">
        <f t="shared" si="2"/>
        <v/>
      </c>
      <c r="D634" s="26" t="str">
        <f t="array" ref="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34" s="26" t="str">
        <f t="shared" si="3"/>
        <v/>
      </c>
      <c r="F634" s="26" t="str">
        <f t="array" ref="F634">IF(D634="","",IFERROR(INDEX(Dados_Evap!$C$2:$N$15,MATCH($B$9,Dados_Evap!$A$2:$A$15,0),C634),0))</f>
        <v/>
      </c>
      <c r="G634" s="26" t="str">
        <f t="shared" si="4"/>
        <v/>
      </c>
      <c r="H634" s="26" t="str">
        <f t="shared" si="22"/>
        <v/>
      </c>
      <c r="I634" s="26" t="str">
        <f t="array" ref="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/>
      </c>
      <c r="J634" s="26" t="str">
        <f t="shared" si="5"/>
        <v/>
      </c>
      <c r="K634" s="26" t="str">
        <f t="shared" si="6"/>
        <v/>
      </c>
      <c r="L634" s="26" t="str">
        <f t="shared" si="7"/>
        <v/>
      </c>
      <c r="M634" s="26" t="str">
        <f t="array" ref="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/>
      </c>
      <c r="N634" s="26" t="str">
        <f t="shared" si="8"/>
        <v/>
      </c>
      <c r="O634" s="26" t="str">
        <f t="shared" si="9"/>
        <v/>
      </c>
      <c r="P634" s="26" t="str">
        <f t="shared" si="10"/>
        <v/>
      </c>
      <c r="Q634" s="26" t="str">
        <f t="shared" si="11"/>
        <v/>
      </c>
      <c r="R634" s="26" t="str">
        <f t="shared" si="12"/>
        <v/>
      </c>
      <c r="S634" s="26" t="str">
        <f t="shared" si="13"/>
        <v/>
      </c>
      <c r="T634" s="26" t="str">
        <f t="shared" si="14"/>
        <v/>
      </c>
      <c r="U634" s="26" t="str">
        <f t="shared" si="15"/>
        <v/>
      </c>
      <c r="V634" s="26" t="str">
        <f t="shared" si="16"/>
        <v/>
      </c>
      <c r="W634" s="26" t="str">
        <f t="shared" si="17"/>
        <v/>
      </c>
      <c r="X634" s="26" t="str">
        <f t="shared" si="18"/>
        <v/>
      </c>
      <c r="Y634" s="26" t="str">
        <f t="shared" si="19"/>
        <v/>
      </c>
      <c r="Z634" s="31" t="str">
        <f t="shared" si="20"/>
        <v/>
      </c>
      <c r="AA634" s="31" t="str">
        <f>IF(D634="","",IF(H634&lt;=$B$16,1,IF(H634&gt;=$B$17,$B$21,MATCH(H634,Aux_CAV!$A$2:$A$121,1))))</f>
        <v/>
      </c>
      <c r="AB634" s="31" t="str">
        <f>IF(D634="","",IF(L634&lt;=$B$16,1,IF(L634&gt;=$B$17,$B$21,MATCH(L634,Aux_CAV!$A$2:$A$121,1))))</f>
        <v/>
      </c>
      <c r="AC634" s="3" t="str">
        <f t="shared" si="21"/>
        <v/>
      </c>
    </row>
    <row r="635" ht="12.75" customHeight="1">
      <c r="A635" s="25" t="str">
        <f t="shared" si="1"/>
        <v/>
      </c>
      <c r="B635" s="29" t="str">
        <f t="array" ref="B635">IF(D635="","",IFERROR(VALUE(INDEX(Vazoes_COLAR!$A$2:$A$200,INT((ROW()-24)/12)+1)),""))</f>
        <v/>
      </c>
      <c r="C635" s="29" t="str">
        <f t="shared" si="2"/>
        <v/>
      </c>
      <c r="D635" s="26" t="str">
        <f t="array" ref="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35" s="26" t="str">
        <f t="shared" si="3"/>
        <v/>
      </c>
      <c r="F635" s="26" t="str">
        <f t="array" ref="F635">IF(D635="","",IFERROR(INDEX(Dados_Evap!$C$2:$N$15,MATCH($B$9,Dados_Evap!$A$2:$A$15,0),C635),0))</f>
        <v/>
      </c>
      <c r="G635" s="26" t="str">
        <f t="shared" si="4"/>
        <v/>
      </c>
      <c r="H635" s="26" t="str">
        <f t="shared" si="22"/>
        <v/>
      </c>
      <c r="I635" s="26" t="str">
        <f t="array" ref="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/>
      </c>
      <c r="J635" s="26" t="str">
        <f t="shared" si="5"/>
        <v/>
      </c>
      <c r="K635" s="26" t="str">
        <f t="shared" si="6"/>
        <v/>
      </c>
      <c r="L635" s="26" t="str">
        <f t="shared" si="7"/>
        <v/>
      </c>
      <c r="M635" s="26" t="str">
        <f t="array" ref="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/>
      </c>
      <c r="N635" s="26" t="str">
        <f t="shared" si="8"/>
        <v/>
      </c>
      <c r="O635" s="26" t="str">
        <f t="shared" si="9"/>
        <v/>
      </c>
      <c r="P635" s="26" t="str">
        <f t="shared" si="10"/>
        <v/>
      </c>
      <c r="Q635" s="26" t="str">
        <f t="shared" si="11"/>
        <v/>
      </c>
      <c r="R635" s="26" t="str">
        <f t="shared" si="12"/>
        <v/>
      </c>
      <c r="S635" s="26" t="str">
        <f t="shared" si="13"/>
        <v/>
      </c>
      <c r="T635" s="26" t="str">
        <f t="shared" si="14"/>
        <v/>
      </c>
      <c r="U635" s="26" t="str">
        <f t="shared" si="15"/>
        <v/>
      </c>
      <c r="V635" s="26" t="str">
        <f t="shared" si="16"/>
        <v/>
      </c>
      <c r="W635" s="26" t="str">
        <f t="shared" si="17"/>
        <v/>
      </c>
      <c r="X635" s="26" t="str">
        <f t="shared" si="18"/>
        <v/>
      </c>
      <c r="Y635" s="26" t="str">
        <f t="shared" si="19"/>
        <v/>
      </c>
      <c r="Z635" s="31" t="str">
        <f t="shared" si="20"/>
        <v/>
      </c>
      <c r="AA635" s="31" t="str">
        <f>IF(D635="","",IF(H635&lt;=$B$16,1,IF(H635&gt;=$B$17,$B$21,MATCH(H635,Aux_CAV!$A$2:$A$121,1))))</f>
        <v/>
      </c>
      <c r="AB635" s="31" t="str">
        <f>IF(D635="","",IF(L635&lt;=$B$16,1,IF(L635&gt;=$B$17,$B$21,MATCH(L635,Aux_CAV!$A$2:$A$121,1))))</f>
        <v/>
      </c>
      <c r="AC635" s="3" t="str">
        <f t="shared" si="21"/>
        <v/>
      </c>
    </row>
    <row r="636" ht="12.75" customHeight="1">
      <c r="A636" s="25" t="str">
        <f t="shared" si="1"/>
        <v/>
      </c>
      <c r="B636" s="29" t="str">
        <f t="array" ref="B636">IF(D636="","",IFERROR(VALUE(INDEX(Vazoes_COLAR!$A$2:$A$200,INT((ROW()-24)/12)+1)),""))</f>
        <v/>
      </c>
      <c r="C636" s="29" t="str">
        <f t="shared" si="2"/>
        <v/>
      </c>
      <c r="D636" s="26" t="str">
        <f t="array" ref="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36" s="26" t="str">
        <f t="shared" si="3"/>
        <v/>
      </c>
      <c r="F636" s="26" t="str">
        <f t="array" ref="F636">IF(D636="","",IFERROR(INDEX(Dados_Evap!$C$2:$N$15,MATCH($B$9,Dados_Evap!$A$2:$A$15,0),C636),0))</f>
        <v/>
      </c>
      <c r="G636" s="26" t="str">
        <f t="shared" si="4"/>
        <v/>
      </c>
      <c r="H636" s="26" t="str">
        <f t="shared" si="22"/>
        <v/>
      </c>
      <c r="I636" s="26" t="str">
        <f t="array" ref="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/>
      </c>
      <c r="J636" s="26" t="str">
        <f t="shared" si="5"/>
        <v/>
      </c>
      <c r="K636" s="26" t="str">
        <f t="shared" si="6"/>
        <v/>
      </c>
      <c r="L636" s="26" t="str">
        <f t="shared" si="7"/>
        <v/>
      </c>
      <c r="M636" s="26" t="str">
        <f t="array" ref="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/>
      </c>
      <c r="N636" s="26" t="str">
        <f t="shared" si="8"/>
        <v/>
      </c>
      <c r="O636" s="26" t="str">
        <f t="shared" si="9"/>
        <v/>
      </c>
      <c r="P636" s="26" t="str">
        <f t="shared" si="10"/>
        <v/>
      </c>
      <c r="Q636" s="26" t="str">
        <f t="shared" si="11"/>
        <v/>
      </c>
      <c r="R636" s="26" t="str">
        <f t="shared" si="12"/>
        <v/>
      </c>
      <c r="S636" s="26" t="str">
        <f t="shared" si="13"/>
        <v/>
      </c>
      <c r="T636" s="26" t="str">
        <f t="shared" si="14"/>
        <v/>
      </c>
      <c r="U636" s="26" t="str">
        <f t="shared" si="15"/>
        <v/>
      </c>
      <c r="V636" s="26" t="str">
        <f t="shared" si="16"/>
        <v/>
      </c>
      <c r="W636" s="26" t="str">
        <f t="shared" si="17"/>
        <v/>
      </c>
      <c r="X636" s="26" t="str">
        <f t="shared" si="18"/>
        <v/>
      </c>
      <c r="Y636" s="26" t="str">
        <f t="shared" si="19"/>
        <v/>
      </c>
      <c r="Z636" s="31" t="str">
        <f t="shared" si="20"/>
        <v/>
      </c>
      <c r="AA636" s="31" t="str">
        <f>IF(D636="","",IF(H636&lt;=$B$16,1,IF(H636&gt;=$B$17,$B$21,MATCH(H636,Aux_CAV!$A$2:$A$121,1))))</f>
        <v/>
      </c>
      <c r="AB636" s="31" t="str">
        <f>IF(D636="","",IF(L636&lt;=$B$16,1,IF(L636&gt;=$B$17,$B$21,MATCH(L636,Aux_CAV!$A$2:$A$121,1))))</f>
        <v/>
      </c>
      <c r="AC636" s="3" t="str">
        <f t="shared" si="21"/>
        <v/>
      </c>
    </row>
    <row r="637" ht="12.75" customHeight="1">
      <c r="A637" s="25" t="str">
        <f t="shared" si="1"/>
        <v/>
      </c>
      <c r="B637" s="29" t="str">
        <f t="array" ref="B637">IF(D637="","",IFERROR(VALUE(INDEX(Vazoes_COLAR!$A$2:$A$200,INT((ROW()-24)/12)+1)),""))</f>
        <v/>
      </c>
      <c r="C637" s="29" t="str">
        <f t="shared" si="2"/>
        <v/>
      </c>
      <c r="D637" s="26" t="str">
        <f t="array" ref="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37" s="26" t="str">
        <f t="shared" si="3"/>
        <v/>
      </c>
      <c r="F637" s="26" t="str">
        <f t="array" ref="F637">IF(D637="","",IFERROR(INDEX(Dados_Evap!$C$2:$N$15,MATCH($B$9,Dados_Evap!$A$2:$A$15,0),C637),0))</f>
        <v/>
      </c>
      <c r="G637" s="26" t="str">
        <f t="shared" si="4"/>
        <v/>
      </c>
      <c r="H637" s="26" t="str">
        <f t="shared" si="22"/>
        <v/>
      </c>
      <c r="I637" s="26" t="str">
        <f t="array" ref="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/>
      </c>
      <c r="J637" s="26" t="str">
        <f t="shared" si="5"/>
        <v/>
      </c>
      <c r="K637" s="26" t="str">
        <f t="shared" si="6"/>
        <v/>
      </c>
      <c r="L637" s="26" t="str">
        <f t="shared" si="7"/>
        <v/>
      </c>
      <c r="M637" s="26" t="str">
        <f t="array" ref="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/>
      </c>
      <c r="N637" s="26" t="str">
        <f t="shared" si="8"/>
        <v/>
      </c>
      <c r="O637" s="26" t="str">
        <f t="shared" si="9"/>
        <v/>
      </c>
      <c r="P637" s="26" t="str">
        <f t="shared" si="10"/>
        <v/>
      </c>
      <c r="Q637" s="26" t="str">
        <f t="shared" si="11"/>
        <v/>
      </c>
      <c r="R637" s="26" t="str">
        <f t="shared" si="12"/>
        <v/>
      </c>
      <c r="S637" s="26" t="str">
        <f t="shared" si="13"/>
        <v/>
      </c>
      <c r="T637" s="26" t="str">
        <f t="shared" si="14"/>
        <v/>
      </c>
      <c r="U637" s="26" t="str">
        <f t="shared" si="15"/>
        <v/>
      </c>
      <c r="V637" s="26" t="str">
        <f t="shared" si="16"/>
        <v/>
      </c>
      <c r="W637" s="26" t="str">
        <f t="shared" si="17"/>
        <v/>
      </c>
      <c r="X637" s="26" t="str">
        <f t="shared" si="18"/>
        <v/>
      </c>
      <c r="Y637" s="26" t="str">
        <f t="shared" si="19"/>
        <v/>
      </c>
      <c r="Z637" s="31" t="str">
        <f t="shared" si="20"/>
        <v/>
      </c>
      <c r="AA637" s="31" t="str">
        <f>IF(D637="","",IF(H637&lt;=$B$16,1,IF(H637&gt;=$B$17,$B$21,MATCH(H637,Aux_CAV!$A$2:$A$121,1))))</f>
        <v/>
      </c>
      <c r="AB637" s="31" t="str">
        <f>IF(D637="","",IF(L637&lt;=$B$16,1,IF(L637&gt;=$B$17,$B$21,MATCH(L637,Aux_CAV!$A$2:$A$121,1))))</f>
        <v/>
      </c>
      <c r="AC637" s="3" t="str">
        <f t="shared" si="21"/>
        <v/>
      </c>
    </row>
    <row r="638" ht="12.75" customHeight="1">
      <c r="A638" s="25" t="str">
        <f t="shared" si="1"/>
        <v/>
      </c>
      <c r="B638" s="29" t="str">
        <f t="array" ref="B638">IF(D638="","",IFERROR(VALUE(INDEX(Vazoes_COLAR!$A$2:$A$200,INT((ROW()-24)/12)+1)),""))</f>
        <v/>
      </c>
      <c r="C638" s="29" t="str">
        <f t="shared" si="2"/>
        <v/>
      </c>
      <c r="D638" s="26" t="str">
        <f t="array" ref="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38" s="26" t="str">
        <f t="shared" si="3"/>
        <v/>
      </c>
      <c r="F638" s="26" t="str">
        <f t="array" ref="F638">IF(D638="","",IFERROR(INDEX(Dados_Evap!$C$2:$N$15,MATCH($B$9,Dados_Evap!$A$2:$A$15,0),C638),0))</f>
        <v/>
      </c>
      <c r="G638" s="26" t="str">
        <f t="shared" si="4"/>
        <v/>
      </c>
      <c r="H638" s="26" t="str">
        <f t="shared" si="22"/>
        <v/>
      </c>
      <c r="I638" s="26" t="str">
        <f t="array" ref="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/>
      </c>
      <c r="J638" s="26" t="str">
        <f t="shared" si="5"/>
        <v/>
      </c>
      <c r="K638" s="26" t="str">
        <f t="shared" si="6"/>
        <v/>
      </c>
      <c r="L638" s="26" t="str">
        <f t="shared" si="7"/>
        <v/>
      </c>
      <c r="M638" s="26" t="str">
        <f t="array" ref="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/>
      </c>
      <c r="N638" s="26" t="str">
        <f t="shared" si="8"/>
        <v/>
      </c>
      <c r="O638" s="26" t="str">
        <f t="shared" si="9"/>
        <v/>
      </c>
      <c r="P638" s="26" t="str">
        <f t="shared" si="10"/>
        <v/>
      </c>
      <c r="Q638" s="26" t="str">
        <f t="shared" si="11"/>
        <v/>
      </c>
      <c r="R638" s="26" t="str">
        <f t="shared" si="12"/>
        <v/>
      </c>
      <c r="S638" s="26" t="str">
        <f t="shared" si="13"/>
        <v/>
      </c>
      <c r="T638" s="26" t="str">
        <f t="shared" si="14"/>
        <v/>
      </c>
      <c r="U638" s="26" t="str">
        <f t="shared" si="15"/>
        <v/>
      </c>
      <c r="V638" s="26" t="str">
        <f t="shared" si="16"/>
        <v/>
      </c>
      <c r="W638" s="26" t="str">
        <f t="shared" si="17"/>
        <v/>
      </c>
      <c r="X638" s="26" t="str">
        <f t="shared" si="18"/>
        <v/>
      </c>
      <c r="Y638" s="26" t="str">
        <f t="shared" si="19"/>
        <v/>
      </c>
      <c r="Z638" s="31" t="str">
        <f t="shared" si="20"/>
        <v/>
      </c>
      <c r="AA638" s="31" t="str">
        <f>IF(D638="","",IF(H638&lt;=$B$16,1,IF(H638&gt;=$B$17,$B$21,MATCH(H638,Aux_CAV!$A$2:$A$121,1))))</f>
        <v/>
      </c>
      <c r="AB638" s="31" t="str">
        <f>IF(D638="","",IF(L638&lt;=$B$16,1,IF(L638&gt;=$B$17,$B$21,MATCH(L638,Aux_CAV!$A$2:$A$121,1))))</f>
        <v/>
      </c>
      <c r="AC638" s="3" t="str">
        <f t="shared" si="21"/>
        <v/>
      </c>
    </row>
    <row r="639" ht="12.75" customHeight="1">
      <c r="A639" s="25" t="str">
        <f t="shared" si="1"/>
        <v/>
      </c>
      <c r="B639" s="29" t="str">
        <f t="array" ref="B639">IF(D639="","",IFERROR(VALUE(INDEX(Vazoes_COLAR!$A$2:$A$200,INT((ROW()-24)/12)+1)),""))</f>
        <v/>
      </c>
      <c r="C639" s="29" t="str">
        <f t="shared" si="2"/>
        <v/>
      </c>
      <c r="D639" s="26" t="str">
        <f t="array" ref="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39" s="26" t="str">
        <f t="shared" si="3"/>
        <v/>
      </c>
      <c r="F639" s="26" t="str">
        <f t="array" ref="F639">IF(D639="","",IFERROR(INDEX(Dados_Evap!$C$2:$N$15,MATCH($B$9,Dados_Evap!$A$2:$A$15,0),C639),0))</f>
        <v/>
      </c>
      <c r="G639" s="26" t="str">
        <f t="shared" si="4"/>
        <v/>
      </c>
      <c r="H639" s="26" t="str">
        <f t="shared" si="22"/>
        <v/>
      </c>
      <c r="I639" s="26" t="str">
        <f t="array" ref="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/>
      </c>
      <c r="J639" s="26" t="str">
        <f t="shared" si="5"/>
        <v/>
      </c>
      <c r="K639" s="26" t="str">
        <f t="shared" si="6"/>
        <v/>
      </c>
      <c r="L639" s="26" t="str">
        <f t="shared" si="7"/>
        <v/>
      </c>
      <c r="M639" s="26" t="str">
        <f t="array" ref="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/>
      </c>
      <c r="N639" s="26" t="str">
        <f t="shared" si="8"/>
        <v/>
      </c>
      <c r="O639" s="26" t="str">
        <f t="shared" si="9"/>
        <v/>
      </c>
      <c r="P639" s="26" t="str">
        <f t="shared" si="10"/>
        <v/>
      </c>
      <c r="Q639" s="26" t="str">
        <f t="shared" si="11"/>
        <v/>
      </c>
      <c r="R639" s="26" t="str">
        <f t="shared" si="12"/>
        <v/>
      </c>
      <c r="S639" s="26" t="str">
        <f t="shared" si="13"/>
        <v/>
      </c>
      <c r="T639" s="26" t="str">
        <f t="shared" si="14"/>
        <v/>
      </c>
      <c r="U639" s="26" t="str">
        <f t="shared" si="15"/>
        <v/>
      </c>
      <c r="V639" s="26" t="str">
        <f t="shared" si="16"/>
        <v/>
      </c>
      <c r="W639" s="26" t="str">
        <f t="shared" si="17"/>
        <v/>
      </c>
      <c r="X639" s="26" t="str">
        <f t="shared" si="18"/>
        <v/>
      </c>
      <c r="Y639" s="26" t="str">
        <f t="shared" si="19"/>
        <v/>
      </c>
      <c r="Z639" s="31" t="str">
        <f t="shared" si="20"/>
        <v/>
      </c>
      <c r="AA639" s="31" t="str">
        <f>IF(D639="","",IF(H639&lt;=$B$16,1,IF(H639&gt;=$B$17,$B$21,MATCH(H639,Aux_CAV!$A$2:$A$121,1))))</f>
        <v/>
      </c>
      <c r="AB639" s="31" t="str">
        <f>IF(D639="","",IF(L639&lt;=$B$16,1,IF(L639&gt;=$B$17,$B$21,MATCH(L639,Aux_CAV!$A$2:$A$121,1))))</f>
        <v/>
      </c>
      <c r="AC639" s="3" t="str">
        <f t="shared" si="21"/>
        <v/>
      </c>
    </row>
    <row r="640" ht="12.75" customHeight="1">
      <c r="A640" s="25" t="str">
        <f t="shared" si="1"/>
        <v/>
      </c>
      <c r="B640" s="29" t="str">
        <f t="array" ref="B640">IF(D640="","",IFERROR(VALUE(INDEX(Vazoes_COLAR!$A$2:$A$200,INT((ROW()-24)/12)+1)),""))</f>
        <v/>
      </c>
      <c r="C640" s="29" t="str">
        <f t="shared" si="2"/>
        <v/>
      </c>
      <c r="D640" s="26" t="str">
        <f t="array" ref="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40" s="26" t="str">
        <f t="shared" si="3"/>
        <v/>
      </c>
      <c r="F640" s="26" t="str">
        <f t="array" ref="F640">IF(D640="","",IFERROR(INDEX(Dados_Evap!$C$2:$N$15,MATCH($B$9,Dados_Evap!$A$2:$A$15,0),C640),0))</f>
        <v/>
      </c>
      <c r="G640" s="26" t="str">
        <f t="shared" si="4"/>
        <v/>
      </c>
      <c r="H640" s="26" t="str">
        <f t="shared" si="22"/>
        <v/>
      </c>
      <c r="I640" s="26" t="str">
        <f t="array" ref="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/>
      </c>
      <c r="J640" s="26" t="str">
        <f t="shared" si="5"/>
        <v/>
      </c>
      <c r="K640" s="26" t="str">
        <f t="shared" si="6"/>
        <v/>
      </c>
      <c r="L640" s="26" t="str">
        <f t="shared" si="7"/>
        <v/>
      </c>
      <c r="M640" s="26" t="str">
        <f t="array" ref="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/>
      </c>
      <c r="N640" s="26" t="str">
        <f t="shared" si="8"/>
        <v/>
      </c>
      <c r="O640" s="26" t="str">
        <f t="shared" si="9"/>
        <v/>
      </c>
      <c r="P640" s="26" t="str">
        <f t="shared" si="10"/>
        <v/>
      </c>
      <c r="Q640" s="26" t="str">
        <f t="shared" si="11"/>
        <v/>
      </c>
      <c r="R640" s="26" t="str">
        <f t="shared" si="12"/>
        <v/>
      </c>
      <c r="S640" s="26" t="str">
        <f t="shared" si="13"/>
        <v/>
      </c>
      <c r="T640" s="26" t="str">
        <f t="shared" si="14"/>
        <v/>
      </c>
      <c r="U640" s="26" t="str">
        <f t="shared" si="15"/>
        <v/>
      </c>
      <c r="V640" s="26" t="str">
        <f t="shared" si="16"/>
        <v/>
      </c>
      <c r="W640" s="26" t="str">
        <f t="shared" si="17"/>
        <v/>
      </c>
      <c r="X640" s="26" t="str">
        <f t="shared" si="18"/>
        <v/>
      </c>
      <c r="Y640" s="26" t="str">
        <f t="shared" si="19"/>
        <v/>
      </c>
      <c r="Z640" s="31" t="str">
        <f t="shared" si="20"/>
        <v/>
      </c>
      <c r="AA640" s="31" t="str">
        <f>IF(D640="","",IF(H640&lt;=$B$16,1,IF(H640&gt;=$B$17,$B$21,MATCH(H640,Aux_CAV!$A$2:$A$121,1))))</f>
        <v/>
      </c>
      <c r="AB640" s="31" t="str">
        <f>IF(D640="","",IF(L640&lt;=$B$16,1,IF(L640&gt;=$B$17,$B$21,MATCH(L640,Aux_CAV!$A$2:$A$121,1))))</f>
        <v/>
      </c>
      <c r="AC640" s="3" t="str">
        <f t="shared" si="21"/>
        <v/>
      </c>
    </row>
    <row r="641" ht="12.75" customHeight="1">
      <c r="A641" s="25" t="str">
        <f t="shared" si="1"/>
        <v/>
      </c>
      <c r="B641" s="29" t="str">
        <f t="array" ref="B641">IF(D641="","",IFERROR(VALUE(INDEX(Vazoes_COLAR!$A$2:$A$200,INT((ROW()-24)/12)+1)),""))</f>
        <v/>
      </c>
      <c r="C641" s="29" t="str">
        <f t="shared" si="2"/>
        <v/>
      </c>
      <c r="D641" s="26" t="str">
        <f t="array" ref="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41" s="26" t="str">
        <f t="shared" si="3"/>
        <v/>
      </c>
      <c r="F641" s="26" t="str">
        <f t="array" ref="F641">IF(D641="","",IFERROR(INDEX(Dados_Evap!$C$2:$N$15,MATCH($B$9,Dados_Evap!$A$2:$A$15,0),C641),0))</f>
        <v/>
      </c>
      <c r="G641" s="26" t="str">
        <f t="shared" si="4"/>
        <v/>
      </c>
      <c r="H641" s="26" t="str">
        <f t="shared" si="22"/>
        <v/>
      </c>
      <c r="I641" s="26" t="str">
        <f t="array" ref="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/>
      </c>
      <c r="J641" s="26" t="str">
        <f t="shared" si="5"/>
        <v/>
      </c>
      <c r="K641" s="26" t="str">
        <f t="shared" si="6"/>
        <v/>
      </c>
      <c r="L641" s="26" t="str">
        <f t="shared" si="7"/>
        <v/>
      </c>
      <c r="M641" s="26" t="str">
        <f t="array" ref="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/>
      </c>
      <c r="N641" s="26" t="str">
        <f t="shared" si="8"/>
        <v/>
      </c>
      <c r="O641" s="26" t="str">
        <f t="shared" si="9"/>
        <v/>
      </c>
      <c r="P641" s="26" t="str">
        <f t="shared" si="10"/>
        <v/>
      </c>
      <c r="Q641" s="26" t="str">
        <f t="shared" si="11"/>
        <v/>
      </c>
      <c r="R641" s="26" t="str">
        <f t="shared" si="12"/>
        <v/>
      </c>
      <c r="S641" s="26" t="str">
        <f t="shared" si="13"/>
        <v/>
      </c>
      <c r="T641" s="26" t="str">
        <f t="shared" si="14"/>
        <v/>
      </c>
      <c r="U641" s="26" t="str">
        <f t="shared" si="15"/>
        <v/>
      </c>
      <c r="V641" s="26" t="str">
        <f t="shared" si="16"/>
        <v/>
      </c>
      <c r="W641" s="26" t="str">
        <f t="shared" si="17"/>
        <v/>
      </c>
      <c r="X641" s="26" t="str">
        <f t="shared" si="18"/>
        <v/>
      </c>
      <c r="Y641" s="26" t="str">
        <f t="shared" si="19"/>
        <v/>
      </c>
      <c r="Z641" s="31" t="str">
        <f t="shared" si="20"/>
        <v/>
      </c>
      <c r="AA641" s="31" t="str">
        <f>IF(D641="","",IF(H641&lt;=$B$16,1,IF(H641&gt;=$B$17,$B$21,MATCH(H641,Aux_CAV!$A$2:$A$121,1))))</f>
        <v/>
      </c>
      <c r="AB641" s="31" t="str">
        <f>IF(D641="","",IF(L641&lt;=$B$16,1,IF(L641&gt;=$B$17,$B$21,MATCH(L641,Aux_CAV!$A$2:$A$121,1))))</f>
        <v/>
      </c>
      <c r="AC641" s="3" t="str">
        <f t="shared" si="21"/>
        <v/>
      </c>
    </row>
    <row r="642" ht="12.75" customHeight="1">
      <c r="A642" s="25" t="str">
        <f t="shared" si="1"/>
        <v/>
      </c>
      <c r="B642" s="29" t="str">
        <f t="array" ref="B642">IF(D642="","",IFERROR(VALUE(INDEX(Vazoes_COLAR!$A$2:$A$200,INT((ROW()-24)/12)+1)),""))</f>
        <v/>
      </c>
      <c r="C642" s="29" t="str">
        <f t="shared" si="2"/>
        <v/>
      </c>
      <c r="D642" s="26" t="str">
        <f t="array" ref="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42" s="26" t="str">
        <f t="shared" si="3"/>
        <v/>
      </c>
      <c r="F642" s="26" t="str">
        <f t="array" ref="F642">IF(D642="","",IFERROR(INDEX(Dados_Evap!$C$2:$N$15,MATCH($B$9,Dados_Evap!$A$2:$A$15,0),C642),0))</f>
        <v/>
      </c>
      <c r="G642" s="26" t="str">
        <f t="shared" si="4"/>
        <v/>
      </c>
      <c r="H642" s="26" t="str">
        <f t="shared" si="22"/>
        <v/>
      </c>
      <c r="I642" s="26" t="str">
        <f t="array" ref="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/>
      </c>
      <c r="J642" s="26" t="str">
        <f t="shared" si="5"/>
        <v/>
      </c>
      <c r="K642" s="26" t="str">
        <f t="shared" si="6"/>
        <v/>
      </c>
      <c r="L642" s="26" t="str">
        <f t="shared" si="7"/>
        <v/>
      </c>
      <c r="M642" s="26" t="str">
        <f t="array" ref="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/>
      </c>
      <c r="N642" s="26" t="str">
        <f t="shared" si="8"/>
        <v/>
      </c>
      <c r="O642" s="26" t="str">
        <f t="shared" si="9"/>
        <v/>
      </c>
      <c r="P642" s="26" t="str">
        <f t="shared" si="10"/>
        <v/>
      </c>
      <c r="Q642" s="26" t="str">
        <f t="shared" si="11"/>
        <v/>
      </c>
      <c r="R642" s="26" t="str">
        <f t="shared" si="12"/>
        <v/>
      </c>
      <c r="S642" s="26" t="str">
        <f t="shared" si="13"/>
        <v/>
      </c>
      <c r="T642" s="26" t="str">
        <f t="shared" si="14"/>
        <v/>
      </c>
      <c r="U642" s="26" t="str">
        <f t="shared" si="15"/>
        <v/>
      </c>
      <c r="V642" s="26" t="str">
        <f t="shared" si="16"/>
        <v/>
      </c>
      <c r="W642" s="26" t="str">
        <f t="shared" si="17"/>
        <v/>
      </c>
      <c r="X642" s="26" t="str">
        <f t="shared" si="18"/>
        <v/>
      </c>
      <c r="Y642" s="26" t="str">
        <f t="shared" si="19"/>
        <v/>
      </c>
      <c r="Z642" s="31" t="str">
        <f t="shared" si="20"/>
        <v/>
      </c>
      <c r="AA642" s="31" t="str">
        <f>IF(D642="","",IF(H642&lt;=$B$16,1,IF(H642&gt;=$B$17,$B$21,MATCH(H642,Aux_CAV!$A$2:$A$121,1))))</f>
        <v/>
      </c>
      <c r="AB642" s="31" t="str">
        <f>IF(D642="","",IF(L642&lt;=$B$16,1,IF(L642&gt;=$B$17,$B$21,MATCH(L642,Aux_CAV!$A$2:$A$121,1))))</f>
        <v/>
      </c>
      <c r="AC642" s="3" t="str">
        <f t="shared" si="21"/>
        <v/>
      </c>
    </row>
    <row r="643" ht="12.75" customHeight="1">
      <c r="A643" s="25" t="str">
        <f t="shared" si="1"/>
        <v/>
      </c>
      <c r="B643" s="29" t="str">
        <f t="array" ref="B643">IF(D643="","",IFERROR(VALUE(INDEX(Vazoes_COLAR!$A$2:$A$200,INT((ROW()-24)/12)+1)),""))</f>
        <v/>
      </c>
      <c r="C643" s="29" t="str">
        <f t="shared" si="2"/>
        <v/>
      </c>
      <c r="D643" s="26" t="str">
        <f t="array" ref="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43" s="26" t="str">
        <f t="shared" si="3"/>
        <v/>
      </c>
      <c r="F643" s="26" t="str">
        <f t="array" ref="F643">IF(D643="","",IFERROR(INDEX(Dados_Evap!$C$2:$N$15,MATCH($B$9,Dados_Evap!$A$2:$A$15,0),C643),0))</f>
        <v/>
      </c>
      <c r="G643" s="26" t="str">
        <f t="shared" si="4"/>
        <v/>
      </c>
      <c r="H643" s="26" t="str">
        <f t="shared" si="22"/>
        <v/>
      </c>
      <c r="I643" s="26" t="str">
        <f t="array" ref="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/>
      </c>
      <c r="J643" s="26" t="str">
        <f t="shared" si="5"/>
        <v/>
      </c>
      <c r="K643" s="26" t="str">
        <f t="shared" si="6"/>
        <v/>
      </c>
      <c r="L643" s="26" t="str">
        <f t="shared" si="7"/>
        <v/>
      </c>
      <c r="M643" s="26" t="str">
        <f t="array" ref="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/>
      </c>
      <c r="N643" s="26" t="str">
        <f t="shared" si="8"/>
        <v/>
      </c>
      <c r="O643" s="26" t="str">
        <f t="shared" si="9"/>
        <v/>
      </c>
      <c r="P643" s="26" t="str">
        <f t="shared" si="10"/>
        <v/>
      </c>
      <c r="Q643" s="26" t="str">
        <f t="shared" si="11"/>
        <v/>
      </c>
      <c r="R643" s="26" t="str">
        <f t="shared" si="12"/>
        <v/>
      </c>
      <c r="S643" s="26" t="str">
        <f t="shared" si="13"/>
        <v/>
      </c>
      <c r="T643" s="26" t="str">
        <f t="shared" si="14"/>
        <v/>
      </c>
      <c r="U643" s="26" t="str">
        <f t="shared" si="15"/>
        <v/>
      </c>
      <c r="V643" s="26" t="str">
        <f t="shared" si="16"/>
        <v/>
      </c>
      <c r="W643" s="26" t="str">
        <f t="shared" si="17"/>
        <v/>
      </c>
      <c r="X643" s="26" t="str">
        <f t="shared" si="18"/>
        <v/>
      </c>
      <c r="Y643" s="26" t="str">
        <f t="shared" si="19"/>
        <v/>
      </c>
      <c r="Z643" s="31" t="str">
        <f t="shared" si="20"/>
        <v/>
      </c>
      <c r="AA643" s="31" t="str">
        <f>IF(D643="","",IF(H643&lt;=$B$16,1,IF(H643&gt;=$B$17,$B$21,MATCH(H643,Aux_CAV!$A$2:$A$121,1))))</f>
        <v/>
      </c>
      <c r="AB643" s="31" t="str">
        <f>IF(D643="","",IF(L643&lt;=$B$16,1,IF(L643&gt;=$B$17,$B$21,MATCH(L643,Aux_CAV!$A$2:$A$121,1))))</f>
        <v/>
      </c>
      <c r="AC643" s="3" t="str">
        <f t="shared" si="21"/>
        <v/>
      </c>
    </row>
    <row r="644" ht="12.75" customHeight="1">
      <c r="A644" s="25" t="str">
        <f t="shared" si="1"/>
        <v/>
      </c>
      <c r="B644" s="29" t="str">
        <f t="array" ref="B644">IF(D644="","",IFERROR(VALUE(INDEX(Vazoes_COLAR!$A$2:$A$200,INT((ROW()-24)/12)+1)),""))</f>
        <v/>
      </c>
      <c r="C644" s="29" t="str">
        <f t="shared" si="2"/>
        <v/>
      </c>
      <c r="D644" s="26" t="str">
        <f t="array" ref="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44" s="26" t="str">
        <f t="shared" si="3"/>
        <v/>
      </c>
      <c r="F644" s="26" t="str">
        <f t="array" ref="F644">IF(D644="","",IFERROR(INDEX(Dados_Evap!$C$2:$N$15,MATCH($B$9,Dados_Evap!$A$2:$A$15,0),C644),0))</f>
        <v/>
      </c>
      <c r="G644" s="26" t="str">
        <f t="shared" si="4"/>
        <v/>
      </c>
      <c r="H644" s="26" t="str">
        <f t="shared" si="22"/>
        <v/>
      </c>
      <c r="I644" s="26" t="str">
        <f t="array" ref="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/>
      </c>
      <c r="J644" s="26" t="str">
        <f t="shared" si="5"/>
        <v/>
      </c>
      <c r="K644" s="26" t="str">
        <f t="shared" si="6"/>
        <v/>
      </c>
      <c r="L644" s="26" t="str">
        <f t="shared" si="7"/>
        <v/>
      </c>
      <c r="M644" s="26" t="str">
        <f t="array" ref="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/>
      </c>
      <c r="N644" s="26" t="str">
        <f t="shared" si="8"/>
        <v/>
      </c>
      <c r="O644" s="26" t="str">
        <f t="shared" si="9"/>
        <v/>
      </c>
      <c r="P644" s="26" t="str">
        <f t="shared" si="10"/>
        <v/>
      </c>
      <c r="Q644" s="26" t="str">
        <f t="shared" si="11"/>
        <v/>
      </c>
      <c r="R644" s="26" t="str">
        <f t="shared" si="12"/>
        <v/>
      </c>
      <c r="S644" s="26" t="str">
        <f t="shared" si="13"/>
        <v/>
      </c>
      <c r="T644" s="26" t="str">
        <f t="shared" si="14"/>
        <v/>
      </c>
      <c r="U644" s="26" t="str">
        <f t="shared" si="15"/>
        <v/>
      </c>
      <c r="V644" s="26" t="str">
        <f t="shared" si="16"/>
        <v/>
      </c>
      <c r="W644" s="26" t="str">
        <f t="shared" si="17"/>
        <v/>
      </c>
      <c r="X644" s="26" t="str">
        <f t="shared" si="18"/>
        <v/>
      </c>
      <c r="Y644" s="26" t="str">
        <f t="shared" si="19"/>
        <v/>
      </c>
      <c r="Z644" s="31" t="str">
        <f t="shared" si="20"/>
        <v/>
      </c>
      <c r="AA644" s="31" t="str">
        <f>IF(D644="","",IF(H644&lt;=$B$16,1,IF(H644&gt;=$B$17,$B$21,MATCH(H644,Aux_CAV!$A$2:$A$121,1))))</f>
        <v/>
      </c>
      <c r="AB644" s="31" t="str">
        <f>IF(D644="","",IF(L644&lt;=$B$16,1,IF(L644&gt;=$B$17,$B$21,MATCH(L644,Aux_CAV!$A$2:$A$121,1))))</f>
        <v/>
      </c>
      <c r="AC644" s="3" t="str">
        <f t="shared" si="21"/>
        <v/>
      </c>
    </row>
    <row r="645" ht="12.75" customHeight="1">
      <c r="A645" s="25" t="str">
        <f t="shared" si="1"/>
        <v/>
      </c>
      <c r="B645" s="29" t="str">
        <f t="array" ref="B645">IF(D645="","",IFERROR(VALUE(INDEX(Vazoes_COLAR!$A$2:$A$200,INT((ROW()-24)/12)+1)),""))</f>
        <v/>
      </c>
      <c r="C645" s="29" t="str">
        <f t="shared" si="2"/>
        <v/>
      </c>
      <c r="D645" s="26" t="str">
        <f t="array" ref="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45" s="26" t="str">
        <f t="shared" si="3"/>
        <v/>
      </c>
      <c r="F645" s="26" t="str">
        <f t="array" ref="F645">IF(D645="","",IFERROR(INDEX(Dados_Evap!$C$2:$N$15,MATCH($B$9,Dados_Evap!$A$2:$A$15,0),C645),0))</f>
        <v/>
      </c>
      <c r="G645" s="26" t="str">
        <f t="shared" si="4"/>
        <v/>
      </c>
      <c r="H645" s="26" t="str">
        <f t="shared" si="22"/>
        <v/>
      </c>
      <c r="I645" s="26" t="str">
        <f t="array" ref="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/>
      </c>
      <c r="J645" s="26" t="str">
        <f t="shared" si="5"/>
        <v/>
      </c>
      <c r="K645" s="26" t="str">
        <f t="shared" si="6"/>
        <v/>
      </c>
      <c r="L645" s="26" t="str">
        <f t="shared" si="7"/>
        <v/>
      </c>
      <c r="M645" s="26" t="str">
        <f t="array" ref="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/>
      </c>
      <c r="N645" s="26" t="str">
        <f t="shared" si="8"/>
        <v/>
      </c>
      <c r="O645" s="26" t="str">
        <f t="shared" si="9"/>
        <v/>
      </c>
      <c r="P645" s="26" t="str">
        <f t="shared" si="10"/>
        <v/>
      </c>
      <c r="Q645" s="26" t="str">
        <f t="shared" si="11"/>
        <v/>
      </c>
      <c r="R645" s="26" t="str">
        <f t="shared" si="12"/>
        <v/>
      </c>
      <c r="S645" s="26" t="str">
        <f t="shared" si="13"/>
        <v/>
      </c>
      <c r="T645" s="26" t="str">
        <f t="shared" si="14"/>
        <v/>
      </c>
      <c r="U645" s="26" t="str">
        <f t="shared" si="15"/>
        <v/>
      </c>
      <c r="V645" s="26" t="str">
        <f t="shared" si="16"/>
        <v/>
      </c>
      <c r="W645" s="26" t="str">
        <f t="shared" si="17"/>
        <v/>
      </c>
      <c r="X645" s="26" t="str">
        <f t="shared" si="18"/>
        <v/>
      </c>
      <c r="Y645" s="26" t="str">
        <f t="shared" si="19"/>
        <v/>
      </c>
      <c r="Z645" s="31" t="str">
        <f t="shared" si="20"/>
        <v/>
      </c>
      <c r="AA645" s="31" t="str">
        <f>IF(D645="","",IF(H645&lt;=$B$16,1,IF(H645&gt;=$B$17,$B$21,MATCH(H645,Aux_CAV!$A$2:$A$121,1))))</f>
        <v/>
      </c>
      <c r="AB645" s="31" t="str">
        <f>IF(D645="","",IF(L645&lt;=$B$16,1,IF(L645&gt;=$B$17,$B$21,MATCH(L645,Aux_CAV!$A$2:$A$121,1))))</f>
        <v/>
      </c>
      <c r="AC645" s="3" t="str">
        <f t="shared" si="21"/>
        <v/>
      </c>
    </row>
    <row r="646" ht="12.75" customHeight="1">
      <c r="A646" s="25" t="str">
        <f t="shared" si="1"/>
        <v/>
      </c>
      <c r="B646" s="29" t="str">
        <f t="array" ref="B646">IF(D646="","",IFERROR(VALUE(INDEX(Vazoes_COLAR!$A$2:$A$200,INT((ROW()-24)/12)+1)),""))</f>
        <v/>
      </c>
      <c r="C646" s="29" t="str">
        <f t="shared" si="2"/>
        <v/>
      </c>
      <c r="D646" s="26" t="str">
        <f t="array" ref="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46" s="26" t="str">
        <f t="shared" si="3"/>
        <v/>
      </c>
      <c r="F646" s="26" t="str">
        <f t="array" ref="F646">IF(D646="","",IFERROR(INDEX(Dados_Evap!$C$2:$N$15,MATCH($B$9,Dados_Evap!$A$2:$A$15,0),C646),0))</f>
        <v/>
      </c>
      <c r="G646" s="26" t="str">
        <f t="shared" si="4"/>
        <v/>
      </c>
      <c r="H646" s="26" t="str">
        <f t="shared" si="22"/>
        <v/>
      </c>
      <c r="I646" s="26" t="str">
        <f t="array" ref="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/>
      </c>
      <c r="J646" s="26" t="str">
        <f t="shared" si="5"/>
        <v/>
      </c>
      <c r="K646" s="26" t="str">
        <f t="shared" si="6"/>
        <v/>
      </c>
      <c r="L646" s="26" t="str">
        <f t="shared" si="7"/>
        <v/>
      </c>
      <c r="M646" s="26" t="str">
        <f t="array" ref="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/>
      </c>
      <c r="N646" s="26" t="str">
        <f t="shared" si="8"/>
        <v/>
      </c>
      <c r="O646" s="26" t="str">
        <f t="shared" si="9"/>
        <v/>
      </c>
      <c r="P646" s="26" t="str">
        <f t="shared" si="10"/>
        <v/>
      </c>
      <c r="Q646" s="26" t="str">
        <f t="shared" si="11"/>
        <v/>
      </c>
      <c r="R646" s="26" t="str">
        <f t="shared" si="12"/>
        <v/>
      </c>
      <c r="S646" s="26" t="str">
        <f t="shared" si="13"/>
        <v/>
      </c>
      <c r="T646" s="26" t="str">
        <f t="shared" si="14"/>
        <v/>
      </c>
      <c r="U646" s="26" t="str">
        <f t="shared" si="15"/>
        <v/>
      </c>
      <c r="V646" s="26" t="str">
        <f t="shared" si="16"/>
        <v/>
      </c>
      <c r="W646" s="26" t="str">
        <f t="shared" si="17"/>
        <v/>
      </c>
      <c r="X646" s="26" t="str">
        <f t="shared" si="18"/>
        <v/>
      </c>
      <c r="Y646" s="26" t="str">
        <f t="shared" si="19"/>
        <v/>
      </c>
      <c r="Z646" s="31" t="str">
        <f t="shared" si="20"/>
        <v/>
      </c>
      <c r="AA646" s="31" t="str">
        <f>IF(D646="","",IF(H646&lt;=$B$16,1,IF(H646&gt;=$B$17,$B$21,MATCH(H646,Aux_CAV!$A$2:$A$121,1))))</f>
        <v/>
      </c>
      <c r="AB646" s="31" t="str">
        <f>IF(D646="","",IF(L646&lt;=$B$16,1,IF(L646&gt;=$B$17,$B$21,MATCH(L646,Aux_CAV!$A$2:$A$121,1))))</f>
        <v/>
      </c>
      <c r="AC646" s="3" t="str">
        <f t="shared" si="21"/>
        <v/>
      </c>
    </row>
    <row r="647" ht="12.75" customHeight="1">
      <c r="A647" s="25" t="str">
        <f t="shared" si="1"/>
        <v/>
      </c>
      <c r="B647" s="29" t="str">
        <f t="array" ref="B647">IF(D647="","",IFERROR(VALUE(INDEX(Vazoes_COLAR!$A$2:$A$200,INT((ROW()-24)/12)+1)),""))</f>
        <v/>
      </c>
      <c r="C647" s="29" t="str">
        <f t="shared" si="2"/>
        <v/>
      </c>
      <c r="D647" s="26" t="str">
        <f t="array" ref="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47" s="26" t="str">
        <f t="shared" si="3"/>
        <v/>
      </c>
      <c r="F647" s="26" t="str">
        <f t="array" ref="F647">IF(D647="","",IFERROR(INDEX(Dados_Evap!$C$2:$N$15,MATCH($B$9,Dados_Evap!$A$2:$A$15,0),C647),0))</f>
        <v/>
      </c>
      <c r="G647" s="26" t="str">
        <f t="shared" si="4"/>
        <v/>
      </c>
      <c r="H647" s="26" t="str">
        <f t="shared" si="22"/>
        <v/>
      </c>
      <c r="I647" s="26" t="str">
        <f t="array" ref="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/>
      </c>
      <c r="J647" s="26" t="str">
        <f t="shared" si="5"/>
        <v/>
      </c>
      <c r="K647" s="26" t="str">
        <f t="shared" si="6"/>
        <v/>
      </c>
      <c r="L647" s="26" t="str">
        <f t="shared" si="7"/>
        <v/>
      </c>
      <c r="M647" s="26" t="str">
        <f t="array" ref="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/>
      </c>
      <c r="N647" s="26" t="str">
        <f t="shared" si="8"/>
        <v/>
      </c>
      <c r="O647" s="26" t="str">
        <f t="shared" si="9"/>
        <v/>
      </c>
      <c r="P647" s="26" t="str">
        <f t="shared" si="10"/>
        <v/>
      </c>
      <c r="Q647" s="26" t="str">
        <f t="shared" si="11"/>
        <v/>
      </c>
      <c r="R647" s="26" t="str">
        <f t="shared" si="12"/>
        <v/>
      </c>
      <c r="S647" s="26" t="str">
        <f t="shared" si="13"/>
        <v/>
      </c>
      <c r="T647" s="26" t="str">
        <f t="shared" si="14"/>
        <v/>
      </c>
      <c r="U647" s="26" t="str">
        <f t="shared" si="15"/>
        <v/>
      </c>
      <c r="V647" s="26" t="str">
        <f t="shared" si="16"/>
        <v/>
      </c>
      <c r="W647" s="26" t="str">
        <f t="shared" si="17"/>
        <v/>
      </c>
      <c r="X647" s="26" t="str">
        <f t="shared" si="18"/>
        <v/>
      </c>
      <c r="Y647" s="26" t="str">
        <f t="shared" si="19"/>
        <v/>
      </c>
      <c r="Z647" s="31" t="str">
        <f t="shared" si="20"/>
        <v/>
      </c>
      <c r="AA647" s="31" t="str">
        <f>IF(D647="","",IF(H647&lt;=$B$16,1,IF(H647&gt;=$B$17,$B$21,MATCH(H647,Aux_CAV!$A$2:$A$121,1))))</f>
        <v/>
      </c>
      <c r="AB647" s="31" t="str">
        <f>IF(D647="","",IF(L647&lt;=$B$16,1,IF(L647&gt;=$B$17,$B$21,MATCH(L647,Aux_CAV!$A$2:$A$121,1))))</f>
        <v/>
      </c>
      <c r="AC647" s="3" t="str">
        <f t="shared" si="21"/>
        <v/>
      </c>
    </row>
    <row r="648" ht="12.75" customHeight="1">
      <c r="A648" s="25" t="str">
        <f t="shared" si="1"/>
        <v/>
      </c>
      <c r="B648" s="29" t="str">
        <f t="array" ref="B648">IF(D648="","",IFERROR(VALUE(INDEX(Vazoes_COLAR!$A$2:$A$200,INT((ROW()-24)/12)+1)),""))</f>
        <v/>
      </c>
      <c r="C648" s="29" t="str">
        <f t="shared" si="2"/>
        <v/>
      </c>
      <c r="D648" s="26" t="str">
        <f t="array" ref="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48" s="26" t="str">
        <f t="shared" si="3"/>
        <v/>
      </c>
      <c r="F648" s="26" t="str">
        <f t="array" ref="F648">IF(D648="","",IFERROR(INDEX(Dados_Evap!$C$2:$N$15,MATCH($B$9,Dados_Evap!$A$2:$A$15,0),C648),0))</f>
        <v/>
      </c>
      <c r="G648" s="26" t="str">
        <f t="shared" si="4"/>
        <v/>
      </c>
      <c r="H648" s="26" t="str">
        <f t="shared" si="22"/>
        <v/>
      </c>
      <c r="I648" s="26" t="str">
        <f t="array" ref="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/>
      </c>
      <c r="J648" s="26" t="str">
        <f t="shared" si="5"/>
        <v/>
      </c>
      <c r="K648" s="26" t="str">
        <f t="shared" si="6"/>
        <v/>
      </c>
      <c r="L648" s="26" t="str">
        <f t="shared" si="7"/>
        <v/>
      </c>
      <c r="M648" s="26" t="str">
        <f t="array" ref="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/>
      </c>
      <c r="N648" s="26" t="str">
        <f t="shared" si="8"/>
        <v/>
      </c>
      <c r="O648" s="26" t="str">
        <f t="shared" si="9"/>
        <v/>
      </c>
      <c r="P648" s="26" t="str">
        <f t="shared" si="10"/>
        <v/>
      </c>
      <c r="Q648" s="26" t="str">
        <f t="shared" si="11"/>
        <v/>
      </c>
      <c r="R648" s="26" t="str">
        <f t="shared" si="12"/>
        <v/>
      </c>
      <c r="S648" s="26" t="str">
        <f t="shared" si="13"/>
        <v/>
      </c>
      <c r="T648" s="26" t="str">
        <f t="shared" si="14"/>
        <v/>
      </c>
      <c r="U648" s="26" t="str">
        <f t="shared" si="15"/>
        <v/>
      </c>
      <c r="V648" s="26" t="str">
        <f t="shared" si="16"/>
        <v/>
      </c>
      <c r="W648" s="26" t="str">
        <f t="shared" si="17"/>
        <v/>
      </c>
      <c r="X648" s="26" t="str">
        <f t="shared" si="18"/>
        <v/>
      </c>
      <c r="Y648" s="26" t="str">
        <f t="shared" si="19"/>
        <v/>
      </c>
      <c r="Z648" s="31" t="str">
        <f t="shared" si="20"/>
        <v/>
      </c>
      <c r="AA648" s="31" t="str">
        <f>IF(D648="","",IF(H648&lt;=$B$16,1,IF(H648&gt;=$B$17,$B$21,MATCH(H648,Aux_CAV!$A$2:$A$121,1))))</f>
        <v/>
      </c>
      <c r="AB648" s="31" t="str">
        <f>IF(D648="","",IF(L648&lt;=$B$16,1,IF(L648&gt;=$B$17,$B$21,MATCH(L648,Aux_CAV!$A$2:$A$121,1))))</f>
        <v/>
      </c>
      <c r="AC648" s="3" t="str">
        <f t="shared" si="21"/>
        <v/>
      </c>
    </row>
    <row r="649" ht="12.75" customHeight="1">
      <c r="A649" s="25" t="str">
        <f t="shared" si="1"/>
        <v/>
      </c>
      <c r="B649" s="29" t="str">
        <f t="array" ref="B649">IF(D649="","",IFERROR(VALUE(INDEX(Vazoes_COLAR!$A$2:$A$200,INT((ROW()-24)/12)+1)),""))</f>
        <v/>
      </c>
      <c r="C649" s="29" t="str">
        <f t="shared" si="2"/>
        <v/>
      </c>
      <c r="D649" s="26" t="str">
        <f t="array" ref="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49" s="26" t="str">
        <f t="shared" si="3"/>
        <v/>
      </c>
      <c r="F649" s="26" t="str">
        <f t="array" ref="F649">IF(D649="","",IFERROR(INDEX(Dados_Evap!$C$2:$N$15,MATCH($B$9,Dados_Evap!$A$2:$A$15,0),C649),0))</f>
        <v/>
      </c>
      <c r="G649" s="26" t="str">
        <f t="shared" si="4"/>
        <v/>
      </c>
      <c r="H649" s="26" t="str">
        <f t="shared" si="22"/>
        <v/>
      </c>
      <c r="I649" s="26" t="str">
        <f t="array" ref="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/>
      </c>
      <c r="J649" s="26" t="str">
        <f t="shared" si="5"/>
        <v/>
      </c>
      <c r="K649" s="26" t="str">
        <f t="shared" si="6"/>
        <v/>
      </c>
      <c r="L649" s="26" t="str">
        <f t="shared" si="7"/>
        <v/>
      </c>
      <c r="M649" s="26" t="str">
        <f t="array" ref="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/>
      </c>
      <c r="N649" s="26" t="str">
        <f t="shared" si="8"/>
        <v/>
      </c>
      <c r="O649" s="26" t="str">
        <f t="shared" si="9"/>
        <v/>
      </c>
      <c r="P649" s="26" t="str">
        <f t="shared" si="10"/>
        <v/>
      </c>
      <c r="Q649" s="26" t="str">
        <f t="shared" si="11"/>
        <v/>
      </c>
      <c r="R649" s="26" t="str">
        <f t="shared" si="12"/>
        <v/>
      </c>
      <c r="S649" s="26" t="str">
        <f t="shared" si="13"/>
        <v/>
      </c>
      <c r="T649" s="26" t="str">
        <f t="shared" si="14"/>
        <v/>
      </c>
      <c r="U649" s="26" t="str">
        <f t="shared" si="15"/>
        <v/>
      </c>
      <c r="V649" s="26" t="str">
        <f t="shared" si="16"/>
        <v/>
      </c>
      <c r="W649" s="26" t="str">
        <f t="shared" si="17"/>
        <v/>
      </c>
      <c r="X649" s="26" t="str">
        <f t="shared" si="18"/>
        <v/>
      </c>
      <c r="Y649" s="26" t="str">
        <f t="shared" si="19"/>
        <v/>
      </c>
      <c r="Z649" s="31" t="str">
        <f t="shared" si="20"/>
        <v/>
      </c>
      <c r="AA649" s="31" t="str">
        <f>IF(D649="","",IF(H649&lt;=$B$16,1,IF(H649&gt;=$B$17,$B$21,MATCH(H649,Aux_CAV!$A$2:$A$121,1))))</f>
        <v/>
      </c>
      <c r="AB649" s="31" t="str">
        <f>IF(D649="","",IF(L649&lt;=$B$16,1,IF(L649&gt;=$B$17,$B$21,MATCH(L649,Aux_CAV!$A$2:$A$121,1))))</f>
        <v/>
      </c>
      <c r="AC649" s="3" t="str">
        <f t="shared" si="21"/>
        <v/>
      </c>
    </row>
    <row r="650" ht="12.75" customHeight="1">
      <c r="A650" s="25" t="str">
        <f t="shared" si="1"/>
        <v/>
      </c>
      <c r="B650" s="29" t="str">
        <f t="array" ref="B650">IF(D650="","",IFERROR(VALUE(INDEX(Vazoes_COLAR!$A$2:$A$200,INT((ROW()-24)/12)+1)),""))</f>
        <v/>
      </c>
      <c r="C650" s="29" t="str">
        <f t="shared" si="2"/>
        <v/>
      </c>
      <c r="D650" s="26" t="str">
        <f t="array" ref="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50" s="26" t="str">
        <f t="shared" si="3"/>
        <v/>
      </c>
      <c r="F650" s="26" t="str">
        <f t="array" ref="F650">IF(D650="","",IFERROR(INDEX(Dados_Evap!$C$2:$N$15,MATCH($B$9,Dados_Evap!$A$2:$A$15,0),C650),0))</f>
        <v/>
      </c>
      <c r="G650" s="26" t="str">
        <f t="shared" si="4"/>
        <v/>
      </c>
      <c r="H650" s="26" t="str">
        <f t="shared" si="22"/>
        <v/>
      </c>
      <c r="I650" s="26" t="str">
        <f t="array" ref="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/>
      </c>
      <c r="J650" s="26" t="str">
        <f t="shared" si="5"/>
        <v/>
      </c>
      <c r="K650" s="26" t="str">
        <f t="shared" si="6"/>
        <v/>
      </c>
      <c r="L650" s="26" t="str">
        <f t="shared" si="7"/>
        <v/>
      </c>
      <c r="M650" s="26" t="str">
        <f t="array" ref="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/>
      </c>
      <c r="N650" s="26" t="str">
        <f t="shared" si="8"/>
        <v/>
      </c>
      <c r="O650" s="26" t="str">
        <f t="shared" si="9"/>
        <v/>
      </c>
      <c r="P650" s="26" t="str">
        <f t="shared" si="10"/>
        <v/>
      </c>
      <c r="Q650" s="26" t="str">
        <f t="shared" si="11"/>
        <v/>
      </c>
      <c r="R650" s="26" t="str">
        <f t="shared" si="12"/>
        <v/>
      </c>
      <c r="S650" s="26" t="str">
        <f t="shared" si="13"/>
        <v/>
      </c>
      <c r="T650" s="26" t="str">
        <f t="shared" si="14"/>
        <v/>
      </c>
      <c r="U650" s="26" t="str">
        <f t="shared" si="15"/>
        <v/>
      </c>
      <c r="V650" s="26" t="str">
        <f t="shared" si="16"/>
        <v/>
      </c>
      <c r="W650" s="26" t="str">
        <f t="shared" si="17"/>
        <v/>
      </c>
      <c r="X650" s="26" t="str">
        <f t="shared" si="18"/>
        <v/>
      </c>
      <c r="Y650" s="26" t="str">
        <f t="shared" si="19"/>
        <v/>
      </c>
      <c r="Z650" s="31" t="str">
        <f t="shared" si="20"/>
        <v/>
      </c>
      <c r="AA650" s="31" t="str">
        <f>IF(D650="","",IF(H650&lt;=$B$16,1,IF(H650&gt;=$B$17,$B$21,MATCH(H650,Aux_CAV!$A$2:$A$121,1))))</f>
        <v/>
      </c>
      <c r="AB650" s="31" t="str">
        <f>IF(D650="","",IF(L650&lt;=$B$16,1,IF(L650&gt;=$B$17,$B$21,MATCH(L650,Aux_CAV!$A$2:$A$121,1))))</f>
        <v/>
      </c>
      <c r="AC650" s="3" t="str">
        <f t="shared" si="21"/>
        <v/>
      </c>
    </row>
    <row r="651" ht="12.75" customHeight="1">
      <c r="A651" s="25" t="str">
        <f t="shared" si="1"/>
        <v/>
      </c>
      <c r="B651" s="29" t="str">
        <f t="array" ref="B651">IF(D651="","",IFERROR(VALUE(INDEX(Vazoes_COLAR!$A$2:$A$200,INT((ROW()-24)/12)+1)),""))</f>
        <v/>
      </c>
      <c r="C651" s="29" t="str">
        <f t="shared" si="2"/>
        <v/>
      </c>
      <c r="D651" s="26" t="str">
        <f t="array" ref="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51" s="26" t="str">
        <f t="shared" si="3"/>
        <v/>
      </c>
      <c r="F651" s="26" t="str">
        <f t="array" ref="F651">IF(D651="","",IFERROR(INDEX(Dados_Evap!$C$2:$N$15,MATCH($B$9,Dados_Evap!$A$2:$A$15,0),C651),0))</f>
        <v/>
      </c>
      <c r="G651" s="26" t="str">
        <f t="shared" si="4"/>
        <v/>
      </c>
      <c r="H651" s="26" t="str">
        <f t="shared" si="22"/>
        <v/>
      </c>
      <c r="I651" s="26" t="str">
        <f t="array" ref="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/>
      </c>
      <c r="J651" s="26" t="str">
        <f t="shared" si="5"/>
        <v/>
      </c>
      <c r="K651" s="26" t="str">
        <f t="shared" si="6"/>
        <v/>
      </c>
      <c r="L651" s="26" t="str">
        <f t="shared" si="7"/>
        <v/>
      </c>
      <c r="M651" s="26" t="str">
        <f t="array" ref="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/>
      </c>
      <c r="N651" s="26" t="str">
        <f t="shared" si="8"/>
        <v/>
      </c>
      <c r="O651" s="26" t="str">
        <f t="shared" si="9"/>
        <v/>
      </c>
      <c r="P651" s="26" t="str">
        <f t="shared" si="10"/>
        <v/>
      </c>
      <c r="Q651" s="26" t="str">
        <f t="shared" si="11"/>
        <v/>
      </c>
      <c r="R651" s="26" t="str">
        <f t="shared" si="12"/>
        <v/>
      </c>
      <c r="S651" s="26" t="str">
        <f t="shared" si="13"/>
        <v/>
      </c>
      <c r="T651" s="26" t="str">
        <f t="shared" si="14"/>
        <v/>
      </c>
      <c r="U651" s="26" t="str">
        <f t="shared" si="15"/>
        <v/>
      </c>
      <c r="V651" s="26" t="str">
        <f t="shared" si="16"/>
        <v/>
      </c>
      <c r="W651" s="26" t="str">
        <f t="shared" si="17"/>
        <v/>
      </c>
      <c r="X651" s="26" t="str">
        <f t="shared" si="18"/>
        <v/>
      </c>
      <c r="Y651" s="26" t="str">
        <f t="shared" si="19"/>
        <v/>
      </c>
      <c r="Z651" s="31" t="str">
        <f t="shared" si="20"/>
        <v/>
      </c>
      <c r="AA651" s="31" t="str">
        <f>IF(D651="","",IF(H651&lt;=$B$16,1,IF(H651&gt;=$B$17,$B$21,MATCH(H651,Aux_CAV!$A$2:$A$121,1))))</f>
        <v/>
      </c>
      <c r="AB651" s="31" t="str">
        <f>IF(D651="","",IF(L651&lt;=$B$16,1,IF(L651&gt;=$B$17,$B$21,MATCH(L651,Aux_CAV!$A$2:$A$121,1))))</f>
        <v/>
      </c>
      <c r="AC651" s="3" t="str">
        <f t="shared" si="21"/>
        <v/>
      </c>
    </row>
    <row r="652" ht="12.75" customHeight="1">
      <c r="A652" s="25" t="str">
        <f t="shared" si="1"/>
        <v/>
      </c>
      <c r="B652" s="29" t="str">
        <f t="array" ref="B652">IF(D652="","",IFERROR(VALUE(INDEX(Vazoes_COLAR!$A$2:$A$200,INT((ROW()-24)/12)+1)),""))</f>
        <v/>
      </c>
      <c r="C652" s="29" t="str">
        <f t="shared" si="2"/>
        <v/>
      </c>
      <c r="D652" s="26" t="str">
        <f t="array" ref="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52" s="26" t="str">
        <f t="shared" si="3"/>
        <v/>
      </c>
      <c r="F652" s="26" t="str">
        <f t="array" ref="F652">IF(D652="","",IFERROR(INDEX(Dados_Evap!$C$2:$N$15,MATCH($B$9,Dados_Evap!$A$2:$A$15,0),C652),0))</f>
        <v/>
      </c>
      <c r="G652" s="26" t="str">
        <f t="shared" si="4"/>
        <v/>
      </c>
      <c r="H652" s="26" t="str">
        <f t="shared" si="22"/>
        <v/>
      </c>
      <c r="I652" s="26" t="str">
        <f t="array" ref="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/>
      </c>
      <c r="J652" s="26" t="str">
        <f t="shared" si="5"/>
        <v/>
      </c>
      <c r="K652" s="26" t="str">
        <f t="shared" si="6"/>
        <v/>
      </c>
      <c r="L652" s="26" t="str">
        <f t="shared" si="7"/>
        <v/>
      </c>
      <c r="M652" s="26" t="str">
        <f t="array" ref="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/>
      </c>
      <c r="N652" s="26" t="str">
        <f t="shared" si="8"/>
        <v/>
      </c>
      <c r="O652" s="26" t="str">
        <f t="shared" si="9"/>
        <v/>
      </c>
      <c r="P652" s="26" t="str">
        <f t="shared" si="10"/>
        <v/>
      </c>
      <c r="Q652" s="26" t="str">
        <f t="shared" si="11"/>
        <v/>
      </c>
      <c r="R652" s="26" t="str">
        <f t="shared" si="12"/>
        <v/>
      </c>
      <c r="S652" s="26" t="str">
        <f t="shared" si="13"/>
        <v/>
      </c>
      <c r="T652" s="26" t="str">
        <f t="shared" si="14"/>
        <v/>
      </c>
      <c r="U652" s="26" t="str">
        <f t="shared" si="15"/>
        <v/>
      </c>
      <c r="V652" s="26" t="str">
        <f t="shared" si="16"/>
        <v/>
      </c>
      <c r="W652" s="26" t="str">
        <f t="shared" si="17"/>
        <v/>
      </c>
      <c r="X652" s="26" t="str">
        <f t="shared" si="18"/>
        <v/>
      </c>
      <c r="Y652" s="26" t="str">
        <f t="shared" si="19"/>
        <v/>
      </c>
      <c r="Z652" s="31" t="str">
        <f t="shared" si="20"/>
        <v/>
      </c>
      <c r="AA652" s="31" t="str">
        <f>IF(D652="","",IF(H652&lt;=$B$16,1,IF(H652&gt;=$B$17,$B$21,MATCH(H652,Aux_CAV!$A$2:$A$121,1))))</f>
        <v/>
      </c>
      <c r="AB652" s="31" t="str">
        <f>IF(D652="","",IF(L652&lt;=$B$16,1,IF(L652&gt;=$B$17,$B$21,MATCH(L652,Aux_CAV!$A$2:$A$121,1))))</f>
        <v/>
      </c>
      <c r="AC652" s="3" t="str">
        <f t="shared" si="21"/>
        <v/>
      </c>
    </row>
    <row r="653" ht="12.75" customHeight="1">
      <c r="A653" s="25" t="str">
        <f t="shared" si="1"/>
        <v/>
      </c>
      <c r="B653" s="29" t="str">
        <f t="array" ref="B653">IF(D653="","",IFERROR(VALUE(INDEX(Vazoes_COLAR!$A$2:$A$200,INT((ROW()-24)/12)+1)),""))</f>
        <v/>
      </c>
      <c r="C653" s="29" t="str">
        <f t="shared" si="2"/>
        <v/>
      </c>
      <c r="D653" s="26" t="str">
        <f t="array" ref="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53" s="26" t="str">
        <f t="shared" si="3"/>
        <v/>
      </c>
      <c r="F653" s="26" t="str">
        <f t="array" ref="F653">IF(D653="","",IFERROR(INDEX(Dados_Evap!$C$2:$N$15,MATCH($B$9,Dados_Evap!$A$2:$A$15,0),C653),0))</f>
        <v/>
      </c>
      <c r="G653" s="26" t="str">
        <f t="shared" si="4"/>
        <v/>
      </c>
      <c r="H653" s="26" t="str">
        <f t="shared" si="22"/>
        <v/>
      </c>
      <c r="I653" s="26" t="str">
        <f t="array" ref="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/>
      </c>
      <c r="J653" s="26" t="str">
        <f t="shared" si="5"/>
        <v/>
      </c>
      <c r="K653" s="26" t="str">
        <f t="shared" si="6"/>
        <v/>
      </c>
      <c r="L653" s="26" t="str">
        <f t="shared" si="7"/>
        <v/>
      </c>
      <c r="M653" s="26" t="str">
        <f t="array" ref="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/>
      </c>
      <c r="N653" s="26" t="str">
        <f t="shared" si="8"/>
        <v/>
      </c>
      <c r="O653" s="26" t="str">
        <f t="shared" si="9"/>
        <v/>
      </c>
      <c r="P653" s="26" t="str">
        <f t="shared" si="10"/>
        <v/>
      </c>
      <c r="Q653" s="26" t="str">
        <f t="shared" si="11"/>
        <v/>
      </c>
      <c r="R653" s="26" t="str">
        <f t="shared" si="12"/>
        <v/>
      </c>
      <c r="S653" s="26" t="str">
        <f t="shared" si="13"/>
        <v/>
      </c>
      <c r="T653" s="26" t="str">
        <f t="shared" si="14"/>
        <v/>
      </c>
      <c r="U653" s="26" t="str">
        <f t="shared" si="15"/>
        <v/>
      </c>
      <c r="V653" s="26" t="str">
        <f t="shared" si="16"/>
        <v/>
      </c>
      <c r="W653" s="26" t="str">
        <f t="shared" si="17"/>
        <v/>
      </c>
      <c r="X653" s="26" t="str">
        <f t="shared" si="18"/>
        <v/>
      </c>
      <c r="Y653" s="26" t="str">
        <f t="shared" si="19"/>
        <v/>
      </c>
      <c r="Z653" s="31" t="str">
        <f t="shared" si="20"/>
        <v/>
      </c>
      <c r="AA653" s="31" t="str">
        <f>IF(D653="","",IF(H653&lt;=$B$16,1,IF(H653&gt;=$B$17,$B$21,MATCH(H653,Aux_CAV!$A$2:$A$121,1))))</f>
        <v/>
      </c>
      <c r="AB653" s="31" t="str">
        <f>IF(D653="","",IF(L653&lt;=$B$16,1,IF(L653&gt;=$B$17,$B$21,MATCH(L653,Aux_CAV!$A$2:$A$121,1))))</f>
        <v/>
      </c>
      <c r="AC653" s="3" t="str">
        <f t="shared" si="21"/>
        <v/>
      </c>
    </row>
    <row r="654" ht="12.75" customHeight="1">
      <c r="A654" s="25" t="str">
        <f t="shared" si="1"/>
        <v/>
      </c>
      <c r="B654" s="29" t="str">
        <f t="array" ref="B654">IF(D654="","",IFERROR(VALUE(INDEX(Vazoes_COLAR!$A$2:$A$200,INT((ROW()-24)/12)+1)),""))</f>
        <v/>
      </c>
      <c r="C654" s="29" t="str">
        <f t="shared" si="2"/>
        <v/>
      </c>
      <c r="D654" s="26" t="str">
        <f t="array" ref="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54" s="26" t="str">
        <f t="shared" si="3"/>
        <v/>
      </c>
      <c r="F654" s="26" t="str">
        <f t="array" ref="F654">IF(D654="","",IFERROR(INDEX(Dados_Evap!$C$2:$N$15,MATCH($B$9,Dados_Evap!$A$2:$A$15,0),C654),0))</f>
        <v/>
      </c>
      <c r="G654" s="26" t="str">
        <f t="shared" si="4"/>
        <v/>
      </c>
      <c r="H654" s="26" t="str">
        <f t="shared" si="22"/>
        <v/>
      </c>
      <c r="I654" s="26" t="str">
        <f t="array" ref="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/>
      </c>
      <c r="J654" s="26" t="str">
        <f t="shared" si="5"/>
        <v/>
      </c>
      <c r="K654" s="26" t="str">
        <f t="shared" si="6"/>
        <v/>
      </c>
      <c r="L654" s="26" t="str">
        <f t="shared" si="7"/>
        <v/>
      </c>
      <c r="M654" s="26" t="str">
        <f t="array" ref="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/>
      </c>
      <c r="N654" s="26" t="str">
        <f t="shared" si="8"/>
        <v/>
      </c>
      <c r="O654" s="26" t="str">
        <f t="shared" si="9"/>
        <v/>
      </c>
      <c r="P654" s="26" t="str">
        <f t="shared" si="10"/>
        <v/>
      </c>
      <c r="Q654" s="26" t="str">
        <f t="shared" si="11"/>
        <v/>
      </c>
      <c r="R654" s="26" t="str">
        <f t="shared" si="12"/>
        <v/>
      </c>
      <c r="S654" s="26" t="str">
        <f t="shared" si="13"/>
        <v/>
      </c>
      <c r="T654" s="26" t="str">
        <f t="shared" si="14"/>
        <v/>
      </c>
      <c r="U654" s="26" t="str">
        <f t="shared" si="15"/>
        <v/>
      </c>
      <c r="V654" s="26" t="str">
        <f t="shared" si="16"/>
        <v/>
      </c>
      <c r="W654" s="26" t="str">
        <f t="shared" si="17"/>
        <v/>
      </c>
      <c r="X654" s="26" t="str">
        <f t="shared" si="18"/>
        <v/>
      </c>
      <c r="Y654" s="26" t="str">
        <f t="shared" si="19"/>
        <v/>
      </c>
      <c r="Z654" s="31" t="str">
        <f t="shared" si="20"/>
        <v/>
      </c>
      <c r="AA654" s="31" t="str">
        <f>IF(D654="","",IF(H654&lt;=$B$16,1,IF(H654&gt;=$B$17,$B$21,MATCH(H654,Aux_CAV!$A$2:$A$121,1))))</f>
        <v/>
      </c>
      <c r="AB654" s="31" t="str">
        <f>IF(D654="","",IF(L654&lt;=$B$16,1,IF(L654&gt;=$B$17,$B$21,MATCH(L654,Aux_CAV!$A$2:$A$121,1))))</f>
        <v/>
      </c>
      <c r="AC654" s="3" t="str">
        <f t="shared" si="21"/>
        <v/>
      </c>
    </row>
    <row r="655" ht="12.75" customHeight="1">
      <c r="A655" s="25" t="str">
        <f t="shared" si="1"/>
        <v/>
      </c>
      <c r="B655" s="29" t="str">
        <f t="array" ref="B655">IF(D655="","",IFERROR(VALUE(INDEX(Vazoes_COLAR!$A$2:$A$200,INT((ROW()-24)/12)+1)),""))</f>
        <v/>
      </c>
      <c r="C655" s="29" t="str">
        <f t="shared" si="2"/>
        <v/>
      </c>
      <c r="D655" s="26" t="str">
        <f t="array" ref="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55" s="26" t="str">
        <f t="shared" si="3"/>
        <v/>
      </c>
      <c r="F655" s="26" t="str">
        <f t="array" ref="F655">IF(D655="","",IFERROR(INDEX(Dados_Evap!$C$2:$N$15,MATCH($B$9,Dados_Evap!$A$2:$A$15,0),C655),0))</f>
        <v/>
      </c>
      <c r="G655" s="26" t="str">
        <f t="shared" si="4"/>
        <v/>
      </c>
      <c r="H655" s="26" t="str">
        <f t="shared" si="22"/>
        <v/>
      </c>
      <c r="I655" s="26" t="str">
        <f t="array" ref="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/>
      </c>
      <c r="J655" s="26" t="str">
        <f t="shared" si="5"/>
        <v/>
      </c>
      <c r="K655" s="26" t="str">
        <f t="shared" si="6"/>
        <v/>
      </c>
      <c r="L655" s="26" t="str">
        <f t="shared" si="7"/>
        <v/>
      </c>
      <c r="M655" s="26" t="str">
        <f t="array" ref="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/>
      </c>
      <c r="N655" s="26" t="str">
        <f t="shared" si="8"/>
        <v/>
      </c>
      <c r="O655" s="26" t="str">
        <f t="shared" si="9"/>
        <v/>
      </c>
      <c r="P655" s="26" t="str">
        <f t="shared" si="10"/>
        <v/>
      </c>
      <c r="Q655" s="26" t="str">
        <f t="shared" si="11"/>
        <v/>
      </c>
      <c r="R655" s="26" t="str">
        <f t="shared" si="12"/>
        <v/>
      </c>
      <c r="S655" s="26" t="str">
        <f t="shared" si="13"/>
        <v/>
      </c>
      <c r="T655" s="26" t="str">
        <f t="shared" si="14"/>
        <v/>
      </c>
      <c r="U655" s="26" t="str">
        <f t="shared" si="15"/>
        <v/>
      </c>
      <c r="V655" s="26" t="str">
        <f t="shared" si="16"/>
        <v/>
      </c>
      <c r="W655" s="26" t="str">
        <f t="shared" si="17"/>
        <v/>
      </c>
      <c r="X655" s="26" t="str">
        <f t="shared" si="18"/>
        <v/>
      </c>
      <c r="Y655" s="26" t="str">
        <f t="shared" si="19"/>
        <v/>
      </c>
      <c r="Z655" s="31" t="str">
        <f t="shared" si="20"/>
        <v/>
      </c>
      <c r="AA655" s="31" t="str">
        <f>IF(D655="","",IF(H655&lt;=$B$16,1,IF(H655&gt;=$B$17,$B$21,MATCH(H655,Aux_CAV!$A$2:$A$121,1))))</f>
        <v/>
      </c>
      <c r="AB655" s="31" t="str">
        <f>IF(D655="","",IF(L655&lt;=$B$16,1,IF(L655&gt;=$B$17,$B$21,MATCH(L655,Aux_CAV!$A$2:$A$121,1))))</f>
        <v/>
      </c>
      <c r="AC655" s="3" t="str">
        <f t="shared" si="21"/>
        <v/>
      </c>
    </row>
    <row r="656" ht="12.75" customHeight="1">
      <c r="A656" s="25" t="str">
        <f t="shared" si="1"/>
        <v/>
      </c>
      <c r="B656" s="29" t="str">
        <f t="array" ref="B656">IF(D656="","",IFERROR(VALUE(INDEX(Vazoes_COLAR!$A$2:$A$200,INT((ROW()-24)/12)+1)),""))</f>
        <v/>
      </c>
      <c r="C656" s="29" t="str">
        <f t="shared" si="2"/>
        <v/>
      </c>
      <c r="D656" s="26" t="str">
        <f t="array" ref="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56" s="26" t="str">
        <f t="shared" si="3"/>
        <v/>
      </c>
      <c r="F656" s="26" t="str">
        <f t="array" ref="F656">IF(D656="","",IFERROR(INDEX(Dados_Evap!$C$2:$N$15,MATCH($B$9,Dados_Evap!$A$2:$A$15,0),C656),0))</f>
        <v/>
      </c>
      <c r="G656" s="26" t="str">
        <f t="shared" si="4"/>
        <v/>
      </c>
      <c r="H656" s="26" t="str">
        <f t="shared" si="22"/>
        <v/>
      </c>
      <c r="I656" s="26" t="str">
        <f t="array" ref="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/>
      </c>
      <c r="J656" s="26" t="str">
        <f t="shared" si="5"/>
        <v/>
      </c>
      <c r="K656" s="26" t="str">
        <f t="shared" si="6"/>
        <v/>
      </c>
      <c r="L656" s="26" t="str">
        <f t="shared" si="7"/>
        <v/>
      </c>
      <c r="M656" s="26" t="str">
        <f t="array" ref="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/>
      </c>
      <c r="N656" s="26" t="str">
        <f t="shared" si="8"/>
        <v/>
      </c>
      <c r="O656" s="26" t="str">
        <f t="shared" si="9"/>
        <v/>
      </c>
      <c r="P656" s="26" t="str">
        <f t="shared" si="10"/>
        <v/>
      </c>
      <c r="Q656" s="26" t="str">
        <f t="shared" si="11"/>
        <v/>
      </c>
      <c r="R656" s="26" t="str">
        <f t="shared" si="12"/>
        <v/>
      </c>
      <c r="S656" s="26" t="str">
        <f t="shared" si="13"/>
        <v/>
      </c>
      <c r="T656" s="26" t="str">
        <f t="shared" si="14"/>
        <v/>
      </c>
      <c r="U656" s="26" t="str">
        <f t="shared" si="15"/>
        <v/>
      </c>
      <c r="V656" s="26" t="str">
        <f t="shared" si="16"/>
        <v/>
      </c>
      <c r="W656" s="26" t="str">
        <f t="shared" si="17"/>
        <v/>
      </c>
      <c r="X656" s="26" t="str">
        <f t="shared" si="18"/>
        <v/>
      </c>
      <c r="Y656" s="26" t="str">
        <f t="shared" si="19"/>
        <v/>
      </c>
      <c r="Z656" s="31" t="str">
        <f t="shared" si="20"/>
        <v/>
      </c>
      <c r="AA656" s="31" t="str">
        <f>IF(D656="","",IF(H656&lt;=$B$16,1,IF(H656&gt;=$B$17,$B$21,MATCH(H656,Aux_CAV!$A$2:$A$121,1))))</f>
        <v/>
      </c>
      <c r="AB656" s="31" t="str">
        <f>IF(D656="","",IF(L656&lt;=$B$16,1,IF(L656&gt;=$B$17,$B$21,MATCH(L656,Aux_CAV!$A$2:$A$121,1))))</f>
        <v/>
      </c>
      <c r="AC656" s="3" t="str">
        <f t="shared" si="21"/>
        <v/>
      </c>
    </row>
    <row r="657" ht="12.75" customHeight="1">
      <c r="A657" s="25" t="str">
        <f t="shared" si="1"/>
        <v/>
      </c>
      <c r="B657" s="29" t="str">
        <f t="array" ref="B657">IF(D657="","",IFERROR(VALUE(INDEX(Vazoes_COLAR!$A$2:$A$200,INT((ROW()-24)/12)+1)),""))</f>
        <v/>
      </c>
      <c r="C657" s="29" t="str">
        <f t="shared" si="2"/>
        <v/>
      </c>
      <c r="D657" s="26" t="str">
        <f t="array" ref="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57" s="26" t="str">
        <f t="shared" si="3"/>
        <v/>
      </c>
      <c r="F657" s="26" t="str">
        <f t="array" ref="F657">IF(D657="","",IFERROR(INDEX(Dados_Evap!$C$2:$N$15,MATCH($B$9,Dados_Evap!$A$2:$A$15,0),C657),0))</f>
        <v/>
      </c>
      <c r="G657" s="26" t="str">
        <f t="shared" si="4"/>
        <v/>
      </c>
      <c r="H657" s="26" t="str">
        <f t="shared" si="22"/>
        <v/>
      </c>
      <c r="I657" s="26" t="str">
        <f t="array" ref="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/>
      </c>
      <c r="J657" s="26" t="str">
        <f t="shared" si="5"/>
        <v/>
      </c>
      <c r="K657" s="26" t="str">
        <f t="shared" si="6"/>
        <v/>
      </c>
      <c r="L657" s="26" t="str">
        <f t="shared" si="7"/>
        <v/>
      </c>
      <c r="M657" s="26" t="str">
        <f t="array" ref="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/>
      </c>
      <c r="N657" s="26" t="str">
        <f t="shared" si="8"/>
        <v/>
      </c>
      <c r="O657" s="26" t="str">
        <f t="shared" si="9"/>
        <v/>
      </c>
      <c r="P657" s="26" t="str">
        <f t="shared" si="10"/>
        <v/>
      </c>
      <c r="Q657" s="26" t="str">
        <f t="shared" si="11"/>
        <v/>
      </c>
      <c r="R657" s="26" t="str">
        <f t="shared" si="12"/>
        <v/>
      </c>
      <c r="S657" s="26" t="str">
        <f t="shared" si="13"/>
        <v/>
      </c>
      <c r="T657" s="26" t="str">
        <f t="shared" si="14"/>
        <v/>
      </c>
      <c r="U657" s="26" t="str">
        <f t="shared" si="15"/>
        <v/>
      </c>
      <c r="V657" s="26" t="str">
        <f t="shared" si="16"/>
        <v/>
      </c>
      <c r="W657" s="26" t="str">
        <f t="shared" si="17"/>
        <v/>
      </c>
      <c r="X657" s="26" t="str">
        <f t="shared" si="18"/>
        <v/>
      </c>
      <c r="Y657" s="26" t="str">
        <f t="shared" si="19"/>
        <v/>
      </c>
      <c r="Z657" s="31" t="str">
        <f t="shared" si="20"/>
        <v/>
      </c>
      <c r="AA657" s="31" t="str">
        <f>IF(D657="","",IF(H657&lt;=$B$16,1,IF(H657&gt;=$B$17,$B$21,MATCH(H657,Aux_CAV!$A$2:$A$121,1))))</f>
        <v/>
      </c>
      <c r="AB657" s="31" t="str">
        <f>IF(D657="","",IF(L657&lt;=$B$16,1,IF(L657&gt;=$B$17,$B$21,MATCH(L657,Aux_CAV!$A$2:$A$121,1))))</f>
        <v/>
      </c>
      <c r="AC657" s="3" t="str">
        <f t="shared" si="21"/>
        <v/>
      </c>
    </row>
    <row r="658" ht="12.75" customHeight="1">
      <c r="A658" s="25" t="str">
        <f t="shared" si="1"/>
        <v/>
      </c>
      <c r="B658" s="29" t="str">
        <f t="array" ref="B658">IF(D658="","",IFERROR(VALUE(INDEX(Vazoes_COLAR!$A$2:$A$200,INT((ROW()-24)/12)+1)),""))</f>
        <v/>
      </c>
      <c r="C658" s="29" t="str">
        <f t="shared" si="2"/>
        <v/>
      </c>
      <c r="D658" s="26" t="str">
        <f t="array" ref="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58" s="26" t="str">
        <f t="shared" si="3"/>
        <v/>
      </c>
      <c r="F658" s="26" t="str">
        <f t="array" ref="F658">IF(D658="","",IFERROR(INDEX(Dados_Evap!$C$2:$N$15,MATCH($B$9,Dados_Evap!$A$2:$A$15,0),C658),0))</f>
        <v/>
      </c>
      <c r="G658" s="26" t="str">
        <f t="shared" si="4"/>
        <v/>
      </c>
      <c r="H658" s="26" t="str">
        <f t="shared" si="22"/>
        <v/>
      </c>
      <c r="I658" s="26" t="str">
        <f t="array" ref="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/>
      </c>
      <c r="J658" s="26" t="str">
        <f t="shared" si="5"/>
        <v/>
      </c>
      <c r="K658" s="26" t="str">
        <f t="shared" si="6"/>
        <v/>
      </c>
      <c r="L658" s="26" t="str">
        <f t="shared" si="7"/>
        <v/>
      </c>
      <c r="M658" s="26" t="str">
        <f t="array" ref="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/>
      </c>
      <c r="N658" s="26" t="str">
        <f t="shared" si="8"/>
        <v/>
      </c>
      <c r="O658" s="26" t="str">
        <f t="shared" si="9"/>
        <v/>
      </c>
      <c r="P658" s="26" t="str">
        <f t="shared" si="10"/>
        <v/>
      </c>
      <c r="Q658" s="26" t="str">
        <f t="shared" si="11"/>
        <v/>
      </c>
      <c r="R658" s="26" t="str">
        <f t="shared" si="12"/>
        <v/>
      </c>
      <c r="S658" s="26" t="str">
        <f t="shared" si="13"/>
        <v/>
      </c>
      <c r="T658" s="26" t="str">
        <f t="shared" si="14"/>
        <v/>
      </c>
      <c r="U658" s="26" t="str">
        <f t="shared" si="15"/>
        <v/>
      </c>
      <c r="V658" s="26" t="str">
        <f t="shared" si="16"/>
        <v/>
      </c>
      <c r="W658" s="26" t="str">
        <f t="shared" si="17"/>
        <v/>
      </c>
      <c r="X658" s="26" t="str">
        <f t="shared" si="18"/>
        <v/>
      </c>
      <c r="Y658" s="26" t="str">
        <f t="shared" si="19"/>
        <v/>
      </c>
      <c r="Z658" s="31" t="str">
        <f t="shared" si="20"/>
        <v/>
      </c>
      <c r="AA658" s="31" t="str">
        <f>IF(D658="","",IF(H658&lt;=$B$16,1,IF(H658&gt;=$B$17,$B$21,MATCH(H658,Aux_CAV!$A$2:$A$121,1))))</f>
        <v/>
      </c>
      <c r="AB658" s="31" t="str">
        <f>IF(D658="","",IF(L658&lt;=$B$16,1,IF(L658&gt;=$B$17,$B$21,MATCH(L658,Aux_CAV!$A$2:$A$121,1))))</f>
        <v/>
      </c>
      <c r="AC658" s="3" t="str">
        <f t="shared" si="21"/>
        <v/>
      </c>
    </row>
    <row r="659" ht="12.75" customHeight="1">
      <c r="A659" s="25" t="str">
        <f t="shared" si="1"/>
        <v/>
      </c>
      <c r="B659" s="29" t="str">
        <f t="array" ref="B659">IF(D659="","",IFERROR(VALUE(INDEX(Vazoes_COLAR!$A$2:$A$200,INT((ROW()-24)/12)+1)),""))</f>
        <v/>
      </c>
      <c r="C659" s="29" t="str">
        <f t="shared" si="2"/>
        <v/>
      </c>
      <c r="D659" s="26" t="str">
        <f t="array" ref="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59" s="26" t="str">
        <f t="shared" si="3"/>
        <v/>
      </c>
      <c r="F659" s="26" t="str">
        <f t="array" ref="F659">IF(D659="","",IFERROR(INDEX(Dados_Evap!$C$2:$N$15,MATCH($B$9,Dados_Evap!$A$2:$A$15,0),C659),0))</f>
        <v/>
      </c>
      <c r="G659" s="26" t="str">
        <f t="shared" si="4"/>
        <v/>
      </c>
      <c r="H659" s="26" t="str">
        <f t="shared" si="22"/>
        <v/>
      </c>
      <c r="I659" s="26" t="str">
        <f t="array" ref="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/>
      </c>
      <c r="J659" s="26" t="str">
        <f t="shared" si="5"/>
        <v/>
      </c>
      <c r="K659" s="26" t="str">
        <f t="shared" si="6"/>
        <v/>
      </c>
      <c r="L659" s="26" t="str">
        <f t="shared" si="7"/>
        <v/>
      </c>
      <c r="M659" s="26" t="str">
        <f t="array" ref="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/>
      </c>
      <c r="N659" s="26" t="str">
        <f t="shared" si="8"/>
        <v/>
      </c>
      <c r="O659" s="26" t="str">
        <f t="shared" si="9"/>
        <v/>
      </c>
      <c r="P659" s="26" t="str">
        <f t="shared" si="10"/>
        <v/>
      </c>
      <c r="Q659" s="26" t="str">
        <f t="shared" si="11"/>
        <v/>
      </c>
      <c r="R659" s="26" t="str">
        <f t="shared" si="12"/>
        <v/>
      </c>
      <c r="S659" s="26" t="str">
        <f t="shared" si="13"/>
        <v/>
      </c>
      <c r="T659" s="26" t="str">
        <f t="shared" si="14"/>
        <v/>
      </c>
      <c r="U659" s="26" t="str">
        <f t="shared" si="15"/>
        <v/>
      </c>
      <c r="V659" s="26" t="str">
        <f t="shared" si="16"/>
        <v/>
      </c>
      <c r="W659" s="26" t="str">
        <f t="shared" si="17"/>
        <v/>
      </c>
      <c r="X659" s="26" t="str">
        <f t="shared" si="18"/>
        <v/>
      </c>
      <c r="Y659" s="26" t="str">
        <f t="shared" si="19"/>
        <v/>
      </c>
      <c r="Z659" s="31" t="str">
        <f t="shared" si="20"/>
        <v/>
      </c>
      <c r="AA659" s="31" t="str">
        <f>IF(D659="","",IF(H659&lt;=$B$16,1,IF(H659&gt;=$B$17,$B$21,MATCH(H659,Aux_CAV!$A$2:$A$121,1))))</f>
        <v/>
      </c>
      <c r="AB659" s="31" t="str">
        <f>IF(D659="","",IF(L659&lt;=$B$16,1,IF(L659&gt;=$B$17,$B$21,MATCH(L659,Aux_CAV!$A$2:$A$121,1))))</f>
        <v/>
      </c>
      <c r="AC659" s="3" t="str">
        <f t="shared" si="21"/>
        <v/>
      </c>
    </row>
    <row r="660" ht="12.75" customHeight="1">
      <c r="A660" s="25" t="str">
        <f t="shared" si="1"/>
        <v/>
      </c>
      <c r="B660" s="29" t="str">
        <f t="array" ref="B660">IF(D660="","",IFERROR(VALUE(INDEX(Vazoes_COLAR!$A$2:$A$200,INT((ROW()-24)/12)+1)),""))</f>
        <v/>
      </c>
      <c r="C660" s="29" t="str">
        <f t="shared" si="2"/>
        <v/>
      </c>
      <c r="D660" s="26" t="str">
        <f t="array" ref="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60" s="26" t="str">
        <f t="shared" si="3"/>
        <v/>
      </c>
      <c r="F660" s="26" t="str">
        <f t="array" ref="F660">IF(D660="","",IFERROR(INDEX(Dados_Evap!$C$2:$N$15,MATCH($B$9,Dados_Evap!$A$2:$A$15,0),C660),0))</f>
        <v/>
      </c>
      <c r="G660" s="26" t="str">
        <f t="shared" si="4"/>
        <v/>
      </c>
      <c r="H660" s="26" t="str">
        <f t="shared" si="22"/>
        <v/>
      </c>
      <c r="I660" s="26" t="str">
        <f t="array" ref="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/>
      </c>
      <c r="J660" s="26" t="str">
        <f t="shared" si="5"/>
        <v/>
      </c>
      <c r="K660" s="26" t="str">
        <f t="shared" si="6"/>
        <v/>
      </c>
      <c r="L660" s="26" t="str">
        <f t="shared" si="7"/>
        <v/>
      </c>
      <c r="M660" s="26" t="str">
        <f t="array" ref="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/>
      </c>
      <c r="N660" s="26" t="str">
        <f t="shared" si="8"/>
        <v/>
      </c>
      <c r="O660" s="26" t="str">
        <f t="shared" si="9"/>
        <v/>
      </c>
      <c r="P660" s="26" t="str">
        <f t="shared" si="10"/>
        <v/>
      </c>
      <c r="Q660" s="26" t="str">
        <f t="shared" si="11"/>
        <v/>
      </c>
      <c r="R660" s="26" t="str">
        <f t="shared" si="12"/>
        <v/>
      </c>
      <c r="S660" s="26" t="str">
        <f t="shared" si="13"/>
        <v/>
      </c>
      <c r="T660" s="26" t="str">
        <f t="shared" si="14"/>
        <v/>
      </c>
      <c r="U660" s="26" t="str">
        <f t="shared" si="15"/>
        <v/>
      </c>
      <c r="V660" s="26" t="str">
        <f t="shared" si="16"/>
        <v/>
      </c>
      <c r="W660" s="26" t="str">
        <f t="shared" si="17"/>
        <v/>
      </c>
      <c r="X660" s="26" t="str">
        <f t="shared" si="18"/>
        <v/>
      </c>
      <c r="Y660" s="26" t="str">
        <f t="shared" si="19"/>
        <v/>
      </c>
      <c r="Z660" s="31" t="str">
        <f t="shared" si="20"/>
        <v/>
      </c>
      <c r="AA660" s="31" t="str">
        <f>IF(D660="","",IF(H660&lt;=$B$16,1,IF(H660&gt;=$B$17,$B$21,MATCH(H660,Aux_CAV!$A$2:$A$121,1))))</f>
        <v/>
      </c>
      <c r="AB660" s="31" t="str">
        <f>IF(D660="","",IF(L660&lt;=$B$16,1,IF(L660&gt;=$B$17,$B$21,MATCH(L660,Aux_CAV!$A$2:$A$121,1))))</f>
        <v/>
      </c>
      <c r="AC660" s="3" t="str">
        <f t="shared" si="21"/>
        <v/>
      </c>
    </row>
    <row r="661" ht="12.75" customHeight="1">
      <c r="A661" s="25" t="str">
        <f t="shared" si="1"/>
        <v/>
      </c>
      <c r="B661" s="29" t="str">
        <f t="array" ref="B661">IF(D661="","",IFERROR(VALUE(INDEX(Vazoes_COLAR!$A$2:$A$200,INT((ROW()-24)/12)+1)),""))</f>
        <v/>
      </c>
      <c r="C661" s="29" t="str">
        <f t="shared" si="2"/>
        <v/>
      </c>
      <c r="D661" s="26" t="str">
        <f t="array" ref="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61" s="26" t="str">
        <f t="shared" si="3"/>
        <v/>
      </c>
      <c r="F661" s="26" t="str">
        <f t="array" ref="F661">IF(D661="","",IFERROR(INDEX(Dados_Evap!$C$2:$N$15,MATCH($B$9,Dados_Evap!$A$2:$A$15,0),C661),0))</f>
        <v/>
      </c>
      <c r="G661" s="26" t="str">
        <f t="shared" si="4"/>
        <v/>
      </c>
      <c r="H661" s="26" t="str">
        <f t="shared" si="22"/>
        <v/>
      </c>
      <c r="I661" s="26" t="str">
        <f t="array" ref="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/>
      </c>
      <c r="J661" s="26" t="str">
        <f t="shared" si="5"/>
        <v/>
      </c>
      <c r="K661" s="26" t="str">
        <f t="shared" si="6"/>
        <v/>
      </c>
      <c r="L661" s="26" t="str">
        <f t="shared" si="7"/>
        <v/>
      </c>
      <c r="M661" s="26" t="str">
        <f t="array" ref="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/>
      </c>
      <c r="N661" s="26" t="str">
        <f t="shared" si="8"/>
        <v/>
      </c>
      <c r="O661" s="26" t="str">
        <f t="shared" si="9"/>
        <v/>
      </c>
      <c r="P661" s="26" t="str">
        <f t="shared" si="10"/>
        <v/>
      </c>
      <c r="Q661" s="26" t="str">
        <f t="shared" si="11"/>
        <v/>
      </c>
      <c r="R661" s="26" t="str">
        <f t="shared" si="12"/>
        <v/>
      </c>
      <c r="S661" s="26" t="str">
        <f t="shared" si="13"/>
        <v/>
      </c>
      <c r="T661" s="26" t="str">
        <f t="shared" si="14"/>
        <v/>
      </c>
      <c r="U661" s="26" t="str">
        <f t="shared" si="15"/>
        <v/>
      </c>
      <c r="V661" s="26" t="str">
        <f t="shared" si="16"/>
        <v/>
      </c>
      <c r="W661" s="26" t="str">
        <f t="shared" si="17"/>
        <v/>
      </c>
      <c r="X661" s="26" t="str">
        <f t="shared" si="18"/>
        <v/>
      </c>
      <c r="Y661" s="26" t="str">
        <f t="shared" si="19"/>
        <v/>
      </c>
      <c r="Z661" s="31" t="str">
        <f t="shared" si="20"/>
        <v/>
      </c>
      <c r="AA661" s="31" t="str">
        <f>IF(D661="","",IF(H661&lt;=$B$16,1,IF(H661&gt;=$B$17,$B$21,MATCH(H661,Aux_CAV!$A$2:$A$121,1))))</f>
        <v/>
      </c>
      <c r="AB661" s="31" t="str">
        <f>IF(D661="","",IF(L661&lt;=$B$16,1,IF(L661&gt;=$B$17,$B$21,MATCH(L661,Aux_CAV!$A$2:$A$121,1))))</f>
        <v/>
      </c>
      <c r="AC661" s="3" t="str">
        <f t="shared" si="21"/>
        <v/>
      </c>
    </row>
    <row r="662" ht="12.75" customHeight="1">
      <c r="A662" s="25" t="str">
        <f t="shared" si="1"/>
        <v/>
      </c>
      <c r="B662" s="29" t="str">
        <f t="array" ref="B662">IF(D662="","",IFERROR(VALUE(INDEX(Vazoes_COLAR!$A$2:$A$200,INT((ROW()-24)/12)+1)),""))</f>
        <v/>
      </c>
      <c r="C662" s="29" t="str">
        <f t="shared" si="2"/>
        <v/>
      </c>
      <c r="D662" s="26" t="str">
        <f t="array" ref="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62" s="26" t="str">
        <f t="shared" si="3"/>
        <v/>
      </c>
      <c r="F662" s="26" t="str">
        <f t="array" ref="F662">IF(D662="","",IFERROR(INDEX(Dados_Evap!$C$2:$N$15,MATCH($B$9,Dados_Evap!$A$2:$A$15,0),C662),0))</f>
        <v/>
      </c>
      <c r="G662" s="26" t="str">
        <f t="shared" si="4"/>
        <v/>
      </c>
      <c r="H662" s="26" t="str">
        <f t="shared" si="22"/>
        <v/>
      </c>
      <c r="I662" s="26" t="str">
        <f t="array" ref="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/>
      </c>
      <c r="J662" s="26" t="str">
        <f t="shared" si="5"/>
        <v/>
      </c>
      <c r="K662" s="26" t="str">
        <f t="shared" si="6"/>
        <v/>
      </c>
      <c r="L662" s="26" t="str">
        <f t="shared" si="7"/>
        <v/>
      </c>
      <c r="M662" s="26" t="str">
        <f t="array" ref="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/>
      </c>
      <c r="N662" s="26" t="str">
        <f t="shared" si="8"/>
        <v/>
      </c>
      <c r="O662" s="26" t="str">
        <f t="shared" si="9"/>
        <v/>
      </c>
      <c r="P662" s="26" t="str">
        <f t="shared" si="10"/>
        <v/>
      </c>
      <c r="Q662" s="26" t="str">
        <f t="shared" si="11"/>
        <v/>
      </c>
      <c r="R662" s="26" t="str">
        <f t="shared" si="12"/>
        <v/>
      </c>
      <c r="S662" s="26" t="str">
        <f t="shared" si="13"/>
        <v/>
      </c>
      <c r="T662" s="26" t="str">
        <f t="shared" si="14"/>
        <v/>
      </c>
      <c r="U662" s="26" t="str">
        <f t="shared" si="15"/>
        <v/>
      </c>
      <c r="V662" s="26" t="str">
        <f t="shared" si="16"/>
        <v/>
      </c>
      <c r="W662" s="26" t="str">
        <f t="shared" si="17"/>
        <v/>
      </c>
      <c r="X662" s="26" t="str">
        <f t="shared" si="18"/>
        <v/>
      </c>
      <c r="Y662" s="26" t="str">
        <f t="shared" si="19"/>
        <v/>
      </c>
      <c r="Z662" s="31" t="str">
        <f t="shared" si="20"/>
        <v/>
      </c>
      <c r="AA662" s="31" t="str">
        <f>IF(D662="","",IF(H662&lt;=$B$16,1,IF(H662&gt;=$B$17,$B$21,MATCH(H662,Aux_CAV!$A$2:$A$121,1))))</f>
        <v/>
      </c>
      <c r="AB662" s="31" t="str">
        <f>IF(D662="","",IF(L662&lt;=$B$16,1,IF(L662&gt;=$B$17,$B$21,MATCH(L662,Aux_CAV!$A$2:$A$121,1))))</f>
        <v/>
      </c>
      <c r="AC662" s="3" t="str">
        <f t="shared" si="21"/>
        <v/>
      </c>
    </row>
    <row r="663" ht="12.75" customHeight="1">
      <c r="A663" s="25" t="str">
        <f t="shared" si="1"/>
        <v/>
      </c>
      <c r="B663" s="29" t="str">
        <f t="array" ref="B663">IF(D663="","",IFERROR(VALUE(INDEX(Vazoes_COLAR!$A$2:$A$200,INT((ROW()-24)/12)+1)),""))</f>
        <v/>
      </c>
      <c r="C663" s="29" t="str">
        <f t="shared" si="2"/>
        <v/>
      </c>
      <c r="D663" s="26" t="str">
        <f t="array" ref="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63" s="26" t="str">
        <f t="shared" si="3"/>
        <v/>
      </c>
      <c r="F663" s="26" t="str">
        <f t="array" ref="F663">IF(D663="","",IFERROR(INDEX(Dados_Evap!$C$2:$N$15,MATCH($B$9,Dados_Evap!$A$2:$A$15,0),C663),0))</f>
        <v/>
      </c>
      <c r="G663" s="26" t="str">
        <f t="shared" si="4"/>
        <v/>
      </c>
      <c r="H663" s="26" t="str">
        <f t="shared" si="22"/>
        <v/>
      </c>
      <c r="I663" s="26" t="str">
        <f t="array" ref="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/>
      </c>
      <c r="J663" s="26" t="str">
        <f t="shared" si="5"/>
        <v/>
      </c>
      <c r="K663" s="26" t="str">
        <f t="shared" si="6"/>
        <v/>
      </c>
      <c r="L663" s="26" t="str">
        <f t="shared" si="7"/>
        <v/>
      </c>
      <c r="M663" s="26" t="str">
        <f t="array" ref="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/>
      </c>
      <c r="N663" s="26" t="str">
        <f t="shared" si="8"/>
        <v/>
      </c>
      <c r="O663" s="26" t="str">
        <f t="shared" si="9"/>
        <v/>
      </c>
      <c r="P663" s="26" t="str">
        <f t="shared" si="10"/>
        <v/>
      </c>
      <c r="Q663" s="26" t="str">
        <f t="shared" si="11"/>
        <v/>
      </c>
      <c r="R663" s="26" t="str">
        <f t="shared" si="12"/>
        <v/>
      </c>
      <c r="S663" s="26" t="str">
        <f t="shared" si="13"/>
        <v/>
      </c>
      <c r="T663" s="26" t="str">
        <f t="shared" si="14"/>
        <v/>
      </c>
      <c r="U663" s="26" t="str">
        <f t="shared" si="15"/>
        <v/>
      </c>
      <c r="V663" s="26" t="str">
        <f t="shared" si="16"/>
        <v/>
      </c>
      <c r="W663" s="26" t="str">
        <f t="shared" si="17"/>
        <v/>
      </c>
      <c r="X663" s="26" t="str">
        <f t="shared" si="18"/>
        <v/>
      </c>
      <c r="Y663" s="26" t="str">
        <f t="shared" si="19"/>
        <v/>
      </c>
      <c r="Z663" s="31" t="str">
        <f t="shared" si="20"/>
        <v/>
      </c>
      <c r="AA663" s="31" t="str">
        <f>IF(D663="","",IF(H663&lt;=$B$16,1,IF(H663&gt;=$B$17,$B$21,MATCH(H663,Aux_CAV!$A$2:$A$121,1))))</f>
        <v/>
      </c>
      <c r="AB663" s="31" t="str">
        <f>IF(D663="","",IF(L663&lt;=$B$16,1,IF(L663&gt;=$B$17,$B$21,MATCH(L663,Aux_CAV!$A$2:$A$121,1))))</f>
        <v/>
      </c>
      <c r="AC663" s="3" t="str">
        <f t="shared" si="21"/>
        <v/>
      </c>
    </row>
    <row r="664" ht="12.75" customHeight="1">
      <c r="A664" s="25" t="str">
        <f t="shared" si="1"/>
        <v/>
      </c>
      <c r="B664" s="29" t="str">
        <f t="array" ref="B664">IF(D664="","",IFERROR(VALUE(INDEX(Vazoes_COLAR!$A$2:$A$200,INT((ROW()-24)/12)+1)),""))</f>
        <v/>
      </c>
      <c r="C664" s="29" t="str">
        <f t="shared" si="2"/>
        <v/>
      </c>
      <c r="D664" s="26" t="str">
        <f t="array" ref="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64" s="26" t="str">
        <f t="shared" si="3"/>
        <v/>
      </c>
      <c r="F664" s="26" t="str">
        <f t="array" ref="F664">IF(D664="","",IFERROR(INDEX(Dados_Evap!$C$2:$N$15,MATCH($B$9,Dados_Evap!$A$2:$A$15,0),C664),0))</f>
        <v/>
      </c>
      <c r="G664" s="26" t="str">
        <f t="shared" si="4"/>
        <v/>
      </c>
      <c r="H664" s="26" t="str">
        <f t="shared" si="22"/>
        <v/>
      </c>
      <c r="I664" s="26" t="str">
        <f t="array" ref="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/>
      </c>
      <c r="J664" s="26" t="str">
        <f t="shared" si="5"/>
        <v/>
      </c>
      <c r="K664" s="26" t="str">
        <f t="shared" si="6"/>
        <v/>
      </c>
      <c r="L664" s="26" t="str">
        <f t="shared" si="7"/>
        <v/>
      </c>
      <c r="M664" s="26" t="str">
        <f t="array" ref="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/>
      </c>
      <c r="N664" s="26" t="str">
        <f t="shared" si="8"/>
        <v/>
      </c>
      <c r="O664" s="26" t="str">
        <f t="shared" si="9"/>
        <v/>
      </c>
      <c r="P664" s="26" t="str">
        <f t="shared" si="10"/>
        <v/>
      </c>
      <c r="Q664" s="26" t="str">
        <f t="shared" si="11"/>
        <v/>
      </c>
      <c r="R664" s="26" t="str">
        <f t="shared" si="12"/>
        <v/>
      </c>
      <c r="S664" s="26" t="str">
        <f t="shared" si="13"/>
        <v/>
      </c>
      <c r="T664" s="26" t="str">
        <f t="shared" si="14"/>
        <v/>
      </c>
      <c r="U664" s="26" t="str">
        <f t="shared" si="15"/>
        <v/>
      </c>
      <c r="V664" s="26" t="str">
        <f t="shared" si="16"/>
        <v/>
      </c>
      <c r="W664" s="26" t="str">
        <f t="shared" si="17"/>
        <v/>
      </c>
      <c r="X664" s="26" t="str">
        <f t="shared" si="18"/>
        <v/>
      </c>
      <c r="Y664" s="26" t="str">
        <f t="shared" si="19"/>
        <v/>
      </c>
      <c r="Z664" s="31" t="str">
        <f t="shared" si="20"/>
        <v/>
      </c>
      <c r="AA664" s="31" t="str">
        <f>IF(D664="","",IF(H664&lt;=$B$16,1,IF(H664&gt;=$B$17,$B$21,MATCH(H664,Aux_CAV!$A$2:$A$121,1))))</f>
        <v/>
      </c>
      <c r="AB664" s="31" t="str">
        <f>IF(D664="","",IF(L664&lt;=$B$16,1,IF(L664&gt;=$B$17,$B$21,MATCH(L664,Aux_CAV!$A$2:$A$121,1))))</f>
        <v/>
      </c>
      <c r="AC664" s="3" t="str">
        <f t="shared" si="21"/>
        <v/>
      </c>
    </row>
    <row r="665" ht="12.75" customHeight="1">
      <c r="A665" s="25" t="str">
        <f t="shared" si="1"/>
        <v/>
      </c>
      <c r="B665" s="29" t="str">
        <f t="array" ref="B665">IF(D665="","",IFERROR(VALUE(INDEX(Vazoes_COLAR!$A$2:$A$200,INT((ROW()-24)/12)+1)),""))</f>
        <v/>
      </c>
      <c r="C665" s="29" t="str">
        <f t="shared" si="2"/>
        <v/>
      </c>
      <c r="D665" s="26" t="str">
        <f t="array" ref="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65" s="26" t="str">
        <f t="shared" si="3"/>
        <v/>
      </c>
      <c r="F665" s="26" t="str">
        <f t="array" ref="F665">IF(D665="","",IFERROR(INDEX(Dados_Evap!$C$2:$N$15,MATCH($B$9,Dados_Evap!$A$2:$A$15,0),C665),0))</f>
        <v/>
      </c>
      <c r="G665" s="26" t="str">
        <f t="shared" si="4"/>
        <v/>
      </c>
      <c r="H665" s="26" t="str">
        <f t="shared" si="22"/>
        <v/>
      </c>
      <c r="I665" s="26" t="str">
        <f t="array" ref="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/>
      </c>
      <c r="J665" s="26" t="str">
        <f t="shared" si="5"/>
        <v/>
      </c>
      <c r="K665" s="26" t="str">
        <f t="shared" si="6"/>
        <v/>
      </c>
      <c r="L665" s="26" t="str">
        <f t="shared" si="7"/>
        <v/>
      </c>
      <c r="M665" s="26" t="str">
        <f t="array" ref="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/>
      </c>
      <c r="N665" s="26" t="str">
        <f t="shared" si="8"/>
        <v/>
      </c>
      <c r="O665" s="26" t="str">
        <f t="shared" si="9"/>
        <v/>
      </c>
      <c r="P665" s="26" t="str">
        <f t="shared" si="10"/>
        <v/>
      </c>
      <c r="Q665" s="26" t="str">
        <f t="shared" si="11"/>
        <v/>
      </c>
      <c r="R665" s="26" t="str">
        <f t="shared" si="12"/>
        <v/>
      </c>
      <c r="S665" s="26" t="str">
        <f t="shared" si="13"/>
        <v/>
      </c>
      <c r="T665" s="26" t="str">
        <f t="shared" si="14"/>
        <v/>
      </c>
      <c r="U665" s="26" t="str">
        <f t="shared" si="15"/>
        <v/>
      </c>
      <c r="V665" s="26" t="str">
        <f t="shared" si="16"/>
        <v/>
      </c>
      <c r="W665" s="26" t="str">
        <f t="shared" si="17"/>
        <v/>
      </c>
      <c r="X665" s="26" t="str">
        <f t="shared" si="18"/>
        <v/>
      </c>
      <c r="Y665" s="26" t="str">
        <f t="shared" si="19"/>
        <v/>
      </c>
      <c r="Z665" s="31" t="str">
        <f t="shared" si="20"/>
        <v/>
      </c>
      <c r="AA665" s="31" t="str">
        <f>IF(D665="","",IF(H665&lt;=$B$16,1,IF(H665&gt;=$B$17,$B$21,MATCH(H665,Aux_CAV!$A$2:$A$121,1))))</f>
        <v/>
      </c>
      <c r="AB665" s="31" t="str">
        <f>IF(D665="","",IF(L665&lt;=$B$16,1,IF(L665&gt;=$B$17,$B$21,MATCH(L665,Aux_CAV!$A$2:$A$121,1))))</f>
        <v/>
      </c>
      <c r="AC665" s="3" t="str">
        <f t="shared" si="21"/>
        <v/>
      </c>
    </row>
    <row r="666" ht="12.75" customHeight="1">
      <c r="A666" s="25" t="str">
        <f t="shared" si="1"/>
        <v/>
      </c>
      <c r="B666" s="29" t="str">
        <f t="array" ref="B666">IF(D666="","",IFERROR(VALUE(INDEX(Vazoes_COLAR!$A$2:$A$200,INT((ROW()-24)/12)+1)),""))</f>
        <v/>
      </c>
      <c r="C666" s="29" t="str">
        <f t="shared" si="2"/>
        <v/>
      </c>
      <c r="D666" s="26" t="str">
        <f t="array" ref="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66" s="26" t="str">
        <f t="shared" si="3"/>
        <v/>
      </c>
      <c r="F666" s="26" t="str">
        <f t="array" ref="F666">IF(D666="","",IFERROR(INDEX(Dados_Evap!$C$2:$N$15,MATCH($B$9,Dados_Evap!$A$2:$A$15,0),C666),0))</f>
        <v/>
      </c>
      <c r="G666" s="26" t="str">
        <f t="shared" si="4"/>
        <v/>
      </c>
      <c r="H666" s="26" t="str">
        <f t="shared" si="22"/>
        <v/>
      </c>
      <c r="I666" s="26" t="str">
        <f t="array" ref="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/>
      </c>
      <c r="J666" s="26" t="str">
        <f t="shared" si="5"/>
        <v/>
      </c>
      <c r="K666" s="26" t="str">
        <f t="shared" si="6"/>
        <v/>
      </c>
      <c r="L666" s="26" t="str">
        <f t="shared" si="7"/>
        <v/>
      </c>
      <c r="M666" s="26" t="str">
        <f t="array" ref="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/>
      </c>
      <c r="N666" s="26" t="str">
        <f t="shared" si="8"/>
        <v/>
      </c>
      <c r="O666" s="26" t="str">
        <f t="shared" si="9"/>
        <v/>
      </c>
      <c r="P666" s="26" t="str">
        <f t="shared" si="10"/>
        <v/>
      </c>
      <c r="Q666" s="26" t="str">
        <f t="shared" si="11"/>
        <v/>
      </c>
      <c r="R666" s="26" t="str">
        <f t="shared" si="12"/>
        <v/>
      </c>
      <c r="S666" s="26" t="str">
        <f t="shared" si="13"/>
        <v/>
      </c>
      <c r="T666" s="26" t="str">
        <f t="shared" si="14"/>
        <v/>
      </c>
      <c r="U666" s="26" t="str">
        <f t="shared" si="15"/>
        <v/>
      </c>
      <c r="V666" s="26" t="str">
        <f t="shared" si="16"/>
        <v/>
      </c>
      <c r="W666" s="26" t="str">
        <f t="shared" si="17"/>
        <v/>
      </c>
      <c r="X666" s="26" t="str">
        <f t="shared" si="18"/>
        <v/>
      </c>
      <c r="Y666" s="26" t="str">
        <f t="shared" si="19"/>
        <v/>
      </c>
      <c r="Z666" s="31" t="str">
        <f t="shared" si="20"/>
        <v/>
      </c>
      <c r="AA666" s="31" t="str">
        <f>IF(D666="","",IF(H666&lt;=$B$16,1,IF(H666&gt;=$B$17,$B$21,MATCH(H666,Aux_CAV!$A$2:$A$121,1))))</f>
        <v/>
      </c>
      <c r="AB666" s="31" t="str">
        <f>IF(D666="","",IF(L666&lt;=$B$16,1,IF(L666&gt;=$B$17,$B$21,MATCH(L666,Aux_CAV!$A$2:$A$121,1))))</f>
        <v/>
      </c>
      <c r="AC666" s="3" t="str">
        <f t="shared" si="21"/>
        <v/>
      </c>
    </row>
    <row r="667" ht="12.75" customHeight="1">
      <c r="A667" s="25" t="str">
        <f t="shared" si="1"/>
        <v/>
      </c>
      <c r="B667" s="29" t="str">
        <f t="array" ref="B667">IF(D667="","",IFERROR(VALUE(INDEX(Vazoes_COLAR!$A$2:$A$200,INT((ROW()-24)/12)+1)),""))</f>
        <v/>
      </c>
      <c r="C667" s="29" t="str">
        <f t="shared" si="2"/>
        <v/>
      </c>
      <c r="D667" s="26" t="str">
        <f t="array" ref="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67" s="26" t="str">
        <f t="shared" si="3"/>
        <v/>
      </c>
      <c r="F667" s="26" t="str">
        <f t="array" ref="F667">IF(D667="","",IFERROR(INDEX(Dados_Evap!$C$2:$N$15,MATCH($B$9,Dados_Evap!$A$2:$A$15,0),C667),0))</f>
        <v/>
      </c>
      <c r="G667" s="26" t="str">
        <f t="shared" si="4"/>
        <v/>
      </c>
      <c r="H667" s="26" t="str">
        <f t="shared" si="22"/>
        <v/>
      </c>
      <c r="I667" s="26" t="str">
        <f t="array" ref="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/>
      </c>
      <c r="J667" s="26" t="str">
        <f t="shared" si="5"/>
        <v/>
      </c>
      <c r="K667" s="26" t="str">
        <f t="shared" si="6"/>
        <v/>
      </c>
      <c r="L667" s="26" t="str">
        <f t="shared" si="7"/>
        <v/>
      </c>
      <c r="M667" s="26" t="str">
        <f t="array" ref="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/>
      </c>
      <c r="N667" s="26" t="str">
        <f t="shared" si="8"/>
        <v/>
      </c>
      <c r="O667" s="26" t="str">
        <f t="shared" si="9"/>
        <v/>
      </c>
      <c r="P667" s="26" t="str">
        <f t="shared" si="10"/>
        <v/>
      </c>
      <c r="Q667" s="26" t="str">
        <f t="shared" si="11"/>
        <v/>
      </c>
      <c r="R667" s="26" t="str">
        <f t="shared" si="12"/>
        <v/>
      </c>
      <c r="S667" s="26" t="str">
        <f t="shared" si="13"/>
        <v/>
      </c>
      <c r="T667" s="26" t="str">
        <f t="shared" si="14"/>
        <v/>
      </c>
      <c r="U667" s="26" t="str">
        <f t="shared" si="15"/>
        <v/>
      </c>
      <c r="V667" s="26" t="str">
        <f t="shared" si="16"/>
        <v/>
      </c>
      <c r="W667" s="26" t="str">
        <f t="shared" si="17"/>
        <v/>
      </c>
      <c r="X667" s="26" t="str">
        <f t="shared" si="18"/>
        <v/>
      </c>
      <c r="Y667" s="26" t="str">
        <f t="shared" si="19"/>
        <v/>
      </c>
      <c r="Z667" s="31" t="str">
        <f t="shared" si="20"/>
        <v/>
      </c>
      <c r="AA667" s="31" t="str">
        <f>IF(D667="","",IF(H667&lt;=$B$16,1,IF(H667&gt;=$B$17,$B$21,MATCH(H667,Aux_CAV!$A$2:$A$121,1))))</f>
        <v/>
      </c>
      <c r="AB667" s="31" t="str">
        <f>IF(D667="","",IF(L667&lt;=$B$16,1,IF(L667&gt;=$B$17,$B$21,MATCH(L667,Aux_CAV!$A$2:$A$121,1))))</f>
        <v/>
      </c>
      <c r="AC667" s="3" t="str">
        <f t="shared" si="21"/>
        <v/>
      </c>
    </row>
    <row r="668" ht="12.75" customHeight="1">
      <c r="A668" s="25" t="str">
        <f t="shared" si="1"/>
        <v/>
      </c>
      <c r="B668" s="29" t="str">
        <f t="array" ref="B668">IF(D668="","",IFERROR(VALUE(INDEX(Vazoes_COLAR!$A$2:$A$200,INT((ROW()-24)/12)+1)),""))</f>
        <v/>
      </c>
      <c r="C668" s="29" t="str">
        <f t="shared" si="2"/>
        <v/>
      </c>
      <c r="D668" s="26" t="str">
        <f t="array" ref="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68" s="26" t="str">
        <f t="shared" si="3"/>
        <v/>
      </c>
      <c r="F668" s="26" t="str">
        <f t="array" ref="F668">IF(D668="","",IFERROR(INDEX(Dados_Evap!$C$2:$N$15,MATCH($B$9,Dados_Evap!$A$2:$A$15,0),C668),0))</f>
        <v/>
      </c>
      <c r="G668" s="26" t="str">
        <f t="shared" si="4"/>
        <v/>
      </c>
      <c r="H668" s="26" t="str">
        <f t="shared" si="22"/>
        <v/>
      </c>
      <c r="I668" s="26" t="str">
        <f t="array" ref="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/>
      </c>
      <c r="J668" s="26" t="str">
        <f t="shared" si="5"/>
        <v/>
      </c>
      <c r="K668" s="26" t="str">
        <f t="shared" si="6"/>
        <v/>
      </c>
      <c r="L668" s="26" t="str">
        <f t="shared" si="7"/>
        <v/>
      </c>
      <c r="M668" s="26" t="str">
        <f t="array" ref="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/>
      </c>
      <c r="N668" s="26" t="str">
        <f t="shared" si="8"/>
        <v/>
      </c>
      <c r="O668" s="26" t="str">
        <f t="shared" si="9"/>
        <v/>
      </c>
      <c r="P668" s="26" t="str">
        <f t="shared" si="10"/>
        <v/>
      </c>
      <c r="Q668" s="26" t="str">
        <f t="shared" si="11"/>
        <v/>
      </c>
      <c r="R668" s="26" t="str">
        <f t="shared" si="12"/>
        <v/>
      </c>
      <c r="S668" s="26" t="str">
        <f t="shared" si="13"/>
        <v/>
      </c>
      <c r="T668" s="26" t="str">
        <f t="shared" si="14"/>
        <v/>
      </c>
      <c r="U668" s="26" t="str">
        <f t="shared" si="15"/>
        <v/>
      </c>
      <c r="V668" s="26" t="str">
        <f t="shared" si="16"/>
        <v/>
      </c>
      <c r="W668" s="26" t="str">
        <f t="shared" si="17"/>
        <v/>
      </c>
      <c r="X668" s="26" t="str">
        <f t="shared" si="18"/>
        <v/>
      </c>
      <c r="Y668" s="26" t="str">
        <f t="shared" si="19"/>
        <v/>
      </c>
      <c r="Z668" s="31" t="str">
        <f t="shared" si="20"/>
        <v/>
      </c>
      <c r="AA668" s="31" t="str">
        <f>IF(D668="","",IF(H668&lt;=$B$16,1,IF(H668&gt;=$B$17,$B$21,MATCH(H668,Aux_CAV!$A$2:$A$121,1))))</f>
        <v/>
      </c>
      <c r="AB668" s="31" t="str">
        <f>IF(D668="","",IF(L668&lt;=$B$16,1,IF(L668&gt;=$B$17,$B$21,MATCH(L668,Aux_CAV!$A$2:$A$121,1))))</f>
        <v/>
      </c>
      <c r="AC668" s="3" t="str">
        <f t="shared" si="21"/>
        <v/>
      </c>
    </row>
    <row r="669" ht="12.75" customHeight="1">
      <c r="A669" s="25" t="str">
        <f t="shared" si="1"/>
        <v/>
      </c>
      <c r="B669" s="29" t="str">
        <f t="array" ref="B669">IF(D669="","",IFERROR(VALUE(INDEX(Vazoes_COLAR!$A$2:$A$200,INT((ROW()-24)/12)+1)),""))</f>
        <v/>
      </c>
      <c r="C669" s="29" t="str">
        <f t="shared" si="2"/>
        <v/>
      </c>
      <c r="D669" s="26" t="str">
        <f t="array" ref="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69" s="26" t="str">
        <f t="shared" si="3"/>
        <v/>
      </c>
      <c r="F669" s="26" t="str">
        <f t="array" ref="F669">IF(D669="","",IFERROR(INDEX(Dados_Evap!$C$2:$N$15,MATCH($B$9,Dados_Evap!$A$2:$A$15,0),C669),0))</f>
        <v/>
      </c>
      <c r="G669" s="26" t="str">
        <f t="shared" si="4"/>
        <v/>
      </c>
      <c r="H669" s="26" t="str">
        <f t="shared" si="22"/>
        <v/>
      </c>
      <c r="I669" s="26" t="str">
        <f t="array" ref="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/>
      </c>
      <c r="J669" s="26" t="str">
        <f t="shared" si="5"/>
        <v/>
      </c>
      <c r="K669" s="26" t="str">
        <f t="shared" si="6"/>
        <v/>
      </c>
      <c r="L669" s="26" t="str">
        <f t="shared" si="7"/>
        <v/>
      </c>
      <c r="M669" s="26" t="str">
        <f t="array" ref="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/>
      </c>
      <c r="N669" s="26" t="str">
        <f t="shared" si="8"/>
        <v/>
      </c>
      <c r="O669" s="26" t="str">
        <f t="shared" si="9"/>
        <v/>
      </c>
      <c r="P669" s="26" t="str">
        <f t="shared" si="10"/>
        <v/>
      </c>
      <c r="Q669" s="26" t="str">
        <f t="shared" si="11"/>
        <v/>
      </c>
      <c r="R669" s="26" t="str">
        <f t="shared" si="12"/>
        <v/>
      </c>
      <c r="S669" s="26" t="str">
        <f t="shared" si="13"/>
        <v/>
      </c>
      <c r="T669" s="26" t="str">
        <f t="shared" si="14"/>
        <v/>
      </c>
      <c r="U669" s="26" t="str">
        <f t="shared" si="15"/>
        <v/>
      </c>
      <c r="V669" s="26" t="str">
        <f t="shared" si="16"/>
        <v/>
      </c>
      <c r="W669" s="26" t="str">
        <f t="shared" si="17"/>
        <v/>
      </c>
      <c r="X669" s="26" t="str">
        <f t="shared" si="18"/>
        <v/>
      </c>
      <c r="Y669" s="26" t="str">
        <f t="shared" si="19"/>
        <v/>
      </c>
      <c r="Z669" s="31" t="str">
        <f t="shared" si="20"/>
        <v/>
      </c>
      <c r="AA669" s="31" t="str">
        <f>IF(D669="","",IF(H669&lt;=$B$16,1,IF(H669&gt;=$B$17,$B$21,MATCH(H669,Aux_CAV!$A$2:$A$121,1))))</f>
        <v/>
      </c>
      <c r="AB669" s="31" t="str">
        <f>IF(D669="","",IF(L669&lt;=$B$16,1,IF(L669&gt;=$B$17,$B$21,MATCH(L669,Aux_CAV!$A$2:$A$121,1))))</f>
        <v/>
      </c>
      <c r="AC669" s="3" t="str">
        <f t="shared" si="21"/>
        <v/>
      </c>
    </row>
    <row r="670" ht="12.75" customHeight="1">
      <c r="A670" s="25" t="str">
        <f t="shared" si="1"/>
        <v/>
      </c>
      <c r="B670" s="29" t="str">
        <f t="array" ref="B670">IF(D670="","",IFERROR(VALUE(INDEX(Vazoes_COLAR!$A$2:$A$200,INT((ROW()-24)/12)+1)),""))</f>
        <v/>
      </c>
      <c r="C670" s="29" t="str">
        <f t="shared" si="2"/>
        <v/>
      </c>
      <c r="D670" s="26" t="str">
        <f t="array" ref="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70" s="26" t="str">
        <f t="shared" si="3"/>
        <v/>
      </c>
      <c r="F670" s="26" t="str">
        <f t="array" ref="F670">IF(D670="","",IFERROR(INDEX(Dados_Evap!$C$2:$N$15,MATCH($B$9,Dados_Evap!$A$2:$A$15,0),C670),0))</f>
        <v/>
      </c>
      <c r="G670" s="26" t="str">
        <f t="shared" si="4"/>
        <v/>
      </c>
      <c r="H670" s="26" t="str">
        <f t="shared" si="22"/>
        <v/>
      </c>
      <c r="I670" s="26" t="str">
        <f t="array" ref="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/>
      </c>
      <c r="J670" s="26" t="str">
        <f t="shared" si="5"/>
        <v/>
      </c>
      <c r="K670" s="26" t="str">
        <f t="shared" si="6"/>
        <v/>
      </c>
      <c r="L670" s="26" t="str">
        <f t="shared" si="7"/>
        <v/>
      </c>
      <c r="M670" s="26" t="str">
        <f t="array" ref="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/>
      </c>
      <c r="N670" s="26" t="str">
        <f t="shared" si="8"/>
        <v/>
      </c>
      <c r="O670" s="26" t="str">
        <f t="shared" si="9"/>
        <v/>
      </c>
      <c r="P670" s="26" t="str">
        <f t="shared" si="10"/>
        <v/>
      </c>
      <c r="Q670" s="26" t="str">
        <f t="shared" si="11"/>
        <v/>
      </c>
      <c r="R670" s="26" t="str">
        <f t="shared" si="12"/>
        <v/>
      </c>
      <c r="S670" s="26" t="str">
        <f t="shared" si="13"/>
        <v/>
      </c>
      <c r="T670" s="26" t="str">
        <f t="shared" si="14"/>
        <v/>
      </c>
      <c r="U670" s="26" t="str">
        <f t="shared" si="15"/>
        <v/>
      </c>
      <c r="V670" s="26" t="str">
        <f t="shared" si="16"/>
        <v/>
      </c>
      <c r="W670" s="26" t="str">
        <f t="shared" si="17"/>
        <v/>
      </c>
      <c r="X670" s="26" t="str">
        <f t="shared" si="18"/>
        <v/>
      </c>
      <c r="Y670" s="26" t="str">
        <f t="shared" si="19"/>
        <v/>
      </c>
      <c r="Z670" s="31" t="str">
        <f t="shared" si="20"/>
        <v/>
      </c>
      <c r="AA670" s="31" t="str">
        <f>IF(D670="","",IF(H670&lt;=$B$16,1,IF(H670&gt;=$B$17,$B$21,MATCH(H670,Aux_CAV!$A$2:$A$121,1))))</f>
        <v/>
      </c>
      <c r="AB670" s="31" t="str">
        <f>IF(D670="","",IF(L670&lt;=$B$16,1,IF(L670&gt;=$B$17,$B$21,MATCH(L670,Aux_CAV!$A$2:$A$121,1))))</f>
        <v/>
      </c>
      <c r="AC670" s="3" t="str">
        <f t="shared" si="21"/>
        <v/>
      </c>
    </row>
    <row r="671" ht="12.75" customHeight="1">
      <c r="A671" s="25" t="str">
        <f t="shared" si="1"/>
        <v/>
      </c>
      <c r="B671" s="29" t="str">
        <f t="array" ref="B671">IF(D671="","",IFERROR(VALUE(INDEX(Vazoes_COLAR!$A$2:$A$200,INT((ROW()-24)/12)+1)),""))</f>
        <v/>
      </c>
      <c r="C671" s="29" t="str">
        <f t="shared" si="2"/>
        <v/>
      </c>
      <c r="D671" s="26" t="str">
        <f t="array" ref="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71" s="26" t="str">
        <f t="shared" si="3"/>
        <v/>
      </c>
      <c r="F671" s="26" t="str">
        <f t="array" ref="F671">IF(D671="","",IFERROR(INDEX(Dados_Evap!$C$2:$N$15,MATCH($B$9,Dados_Evap!$A$2:$A$15,0),C671),0))</f>
        <v/>
      </c>
      <c r="G671" s="26" t="str">
        <f t="shared" si="4"/>
        <v/>
      </c>
      <c r="H671" s="26" t="str">
        <f t="shared" si="22"/>
        <v/>
      </c>
      <c r="I671" s="26" t="str">
        <f t="array" ref="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/>
      </c>
      <c r="J671" s="26" t="str">
        <f t="shared" si="5"/>
        <v/>
      </c>
      <c r="K671" s="26" t="str">
        <f t="shared" si="6"/>
        <v/>
      </c>
      <c r="L671" s="26" t="str">
        <f t="shared" si="7"/>
        <v/>
      </c>
      <c r="M671" s="26" t="str">
        <f t="array" ref="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/>
      </c>
      <c r="N671" s="26" t="str">
        <f t="shared" si="8"/>
        <v/>
      </c>
      <c r="O671" s="26" t="str">
        <f t="shared" si="9"/>
        <v/>
      </c>
      <c r="P671" s="26" t="str">
        <f t="shared" si="10"/>
        <v/>
      </c>
      <c r="Q671" s="26" t="str">
        <f t="shared" si="11"/>
        <v/>
      </c>
      <c r="R671" s="26" t="str">
        <f t="shared" si="12"/>
        <v/>
      </c>
      <c r="S671" s="26" t="str">
        <f t="shared" si="13"/>
        <v/>
      </c>
      <c r="T671" s="26" t="str">
        <f t="shared" si="14"/>
        <v/>
      </c>
      <c r="U671" s="26" t="str">
        <f t="shared" si="15"/>
        <v/>
      </c>
      <c r="V671" s="26" t="str">
        <f t="shared" si="16"/>
        <v/>
      </c>
      <c r="W671" s="26" t="str">
        <f t="shared" si="17"/>
        <v/>
      </c>
      <c r="X671" s="26" t="str">
        <f t="shared" si="18"/>
        <v/>
      </c>
      <c r="Y671" s="26" t="str">
        <f t="shared" si="19"/>
        <v/>
      </c>
      <c r="Z671" s="31" t="str">
        <f t="shared" si="20"/>
        <v/>
      </c>
      <c r="AA671" s="31" t="str">
        <f>IF(D671="","",IF(H671&lt;=$B$16,1,IF(H671&gt;=$B$17,$B$21,MATCH(H671,Aux_CAV!$A$2:$A$121,1))))</f>
        <v/>
      </c>
      <c r="AB671" s="31" t="str">
        <f>IF(D671="","",IF(L671&lt;=$B$16,1,IF(L671&gt;=$B$17,$B$21,MATCH(L671,Aux_CAV!$A$2:$A$121,1))))</f>
        <v/>
      </c>
      <c r="AC671" s="3" t="str">
        <f t="shared" si="21"/>
        <v/>
      </c>
    </row>
    <row r="672" ht="12.75" customHeight="1">
      <c r="A672" s="25" t="str">
        <f t="shared" si="1"/>
        <v/>
      </c>
      <c r="B672" s="29" t="str">
        <f t="array" ref="B672">IF(D672="","",IFERROR(VALUE(INDEX(Vazoes_COLAR!$A$2:$A$200,INT((ROW()-24)/12)+1)),""))</f>
        <v/>
      </c>
      <c r="C672" s="29" t="str">
        <f t="shared" si="2"/>
        <v/>
      </c>
      <c r="D672" s="26" t="str">
        <f t="array" ref="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72" s="26" t="str">
        <f t="shared" si="3"/>
        <v/>
      </c>
      <c r="F672" s="26" t="str">
        <f t="array" ref="F672">IF(D672="","",IFERROR(INDEX(Dados_Evap!$C$2:$N$15,MATCH($B$9,Dados_Evap!$A$2:$A$15,0),C672),0))</f>
        <v/>
      </c>
      <c r="G672" s="26" t="str">
        <f t="shared" si="4"/>
        <v/>
      </c>
      <c r="H672" s="26" t="str">
        <f t="shared" si="22"/>
        <v/>
      </c>
      <c r="I672" s="26" t="str">
        <f t="array" ref="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/>
      </c>
      <c r="J672" s="26" t="str">
        <f t="shared" si="5"/>
        <v/>
      </c>
      <c r="K672" s="26" t="str">
        <f t="shared" si="6"/>
        <v/>
      </c>
      <c r="L672" s="26" t="str">
        <f t="shared" si="7"/>
        <v/>
      </c>
      <c r="M672" s="26" t="str">
        <f t="array" ref="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/>
      </c>
      <c r="N672" s="26" t="str">
        <f t="shared" si="8"/>
        <v/>
      </c>
      <c r="O672" s="26" t="str">
        <f t="shared" si="9"/>
        <v/>
      </c>
      <c r="P672" s="26" t="str">
        <f t="shared" si="10"/>
        <v/>
      </c>
      <c r="Q672" s="26" t="str">
        <f t="shared" si="11"/>
        <v/>
      </c>
      <c r="R672" s="26" t="str">
        <f t="shared" si="12"/>
        <v/>
      </c>
      <c r="S672" s="26" t="str">
        <f t="shared" si="13"/>
        <v/>
      </c>
      <c r="T672" s="26" t="str">
        <f t="shared" si="14"/>
        <v/>
      </c>
      <c r="U672" s="26" t="str">
        <f t="shared" si="15"/>
        <v/>
      </c>
      <c r="V672" s="26" t="str">
        <f t="shared" si="16"/>
        <v/>
      </c>
      <c r="W672" s="26" t="str">
        <f t="shared" si="17"/>
        <v/>
      </c>
      <c r="X672" s="26" t="str">
        <f t="shared" si="18"/>
        <v/>
      </c>
      <c r="Y672" s="26" t="str">
        <f t="shared" si="19"/>
        <v/>
      </c>
      <c r="Z672" s="31" t="str">
        <f t="shared" si="20"/>
        <v/>
      </c>
      <c r="AA672" s="31" t="str">
        <f>IF(D672="","",IF(H672&lt;=$B$16,1,IF(H672&gt;=$B$17,$B$21,MATCH(H672,Aux_CAV!$A$2:$A$121,1))))</f>
        <v/>
      </c>
      <c r="AB672" s="31" t="str">
        <f>IF(D672="","",IF(L672&lt;=$B$16,1,IF(L672&gt;=$B$17,$B$21,MATCH(L672,Aux_CAV!$A$2:$A$121,1))))</f>
        <v/>
      </c>
      <c r="AC672" s="3" t="str">
        <f t="shared" si="21"/>
        <v/>
      </c>
    </row>
    <row r="673" ht="12.75" customHeight="1">
      <c r="A673" s="25" t="str">
        <f t="shared" si="1"/>
        <v/>
      </c>
      <c r="B673" s="29" t="str">
        <f t="array" ref="B673">IF(D673="","",IFERROR(VALUE(INDEX(Vazoes_COLAR!$A$2:$A$200,INT((ROW()-24)/12)+1)),""))</f>
        <v/>
      </c>
      <c r="C673" s="29" t="str">
        <f t="shared" si="2"/>
        <v/>
      </c>
      <c r="D673" s="26" t="str">
        <f t="array" ref="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73" s="26" t="str">
        <f t="shared" si="3"/>
        <v/>
      </c>
      <c r="F673" s="26" t="str">
        <f t="array" ref="F673">IF(D673="","",IFERROR(INDEX(Dados_Evap!$C$2:$N$15,MATCH($B$9,Dados_Evap!$A$2:$A$15,0),C673),0))</f>
        <v/>
      </c>
      <c r="G673" s="26" t="str">
        <f t="shared" si="4"/>
        <v/>
      </c>
      <c r="H673" s="26" t="str">
        <f t="shared" si="22"/>
        <v/>
      </c>
      <c r="I673" s="26" t="str">
        <f t="array" ref="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/>
      </c>
      <c r="J673" s="26" t="str">
        <f t="shared" si="5"/>
        <v/>
      </c>
      <c r="K673" s="26" t="str">
        <f t="shared" si="6"/>
        <v/>
      </c>
      <c r="L673" s="26" t="str">
        <f t="shared" si="7"/>
        <v/>
      </c>
      <c r="M673" s="26" t="str">
        <f t="array" ref="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/>
      </c>
      <c r="N673" s="26" t="str">
        <f t="shared" si="8"/>
        <v/>
      </c>
      <c r="O673" s="26" t="str">
        <f t="shared" si="9"/>
        <v/>
      </c>
      <c r="P673" s="26" t="str">
        <f t="shared" si="10"/>
        <v/>
      </c>
      <c r="Q673" s="26" t="str">
        <f t="shared" si="11"/>
        <v/>
      </c>
      <c r="R673" s="26" t="str">
        <f t="shared" si="12"/>
        <v/>
      </c>
      <c r="S673" s="26" t="str">
        <f t="shared" si="13"/>
        <v/>
      </c>
      <c r="T673" s="26" t="str">
        <f t="shared" si="14"/>
        <v/>
      </c>
      <c r="U673" s="26" t="str">
        <f t="shared" si="15"/>
        <v/>
      </c>
      <c r="V673" s="26" t="str">
        <f t="shared" si="16"/>
        <v/>
      </c>
      <c r="W673" s="26" t="str">
        <f t="shared" si="17"/>
        <v/>
      </c>
      <c r="X673" s="26" t="str">
        <f t="shared" si="18"/>
        <v/>
      </c>
      <c r="Y673" s="26" t="str">
        <f t="shared" si="19"/>
        <v/>
      </c>
      <c r="Z673" s="31" t="str">
        <f t="shared" si="20"/>
        <v/>
      </c>
      <c r="AA673" s="31" t="str">
        <f>IF(D673="","",IF(H673&lt;=$B$16,1,IF(H673&gt;=$B$17,$B$21,MATCH(H673,Aux_CAV!$A$2:$A$121,1))))</f>
        <v/>
      </c>
      <c r="AB673" s="31" t="str">
        <f>IF(D673="","",IF(L673&lt;=$B$16,1,IF(L673&gt;=$B$17,$B$21,MATCH(L673,Aux_CAV!$A$2:$A$121,1))))</f>
        <v/>
      </c>
      <c r="AC673" s="3" t="str">
        <f t="shared" si="21"/>
        <v/>
      </c>
    </row>
    <row r="674" ht="12.75" customHeight="1">
      <c r="A674" s="25" t="str">
        <f t="shared" si="1"/>
        <v/>
      </c>
      <c r="B674" s="29" t="str">
        <f t="array" ref="B674">IF(D674="","",IFERROR(VALUE(INDEX(Vazoes_COLAR!$A$2:$A$200,INT((ROW()-24)/12)+1)),""))</f>
        <v/>
      </c>
      <c r="C674" s="29" t="str">
        <f t="shared" si="2"/>
        <v/>
      </c>
      <c r="D674" s="26" t="str">
        <f t="array" ref="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74" s="26" t="str">
        <f t="shared" si="3"/>
        <v/>
      </c>
      <c r="F674" s="26" t="str">
        <f t="array" ref="F674">IF(D674="","",IFERROR(INDEX(Dados_Evap!$C$2:$N$15,MATCH($B$9,Dados_Evap!$A$2:$A$15,0),C674),0))</f>
        <v/>
      </c>
      <c r="G674" s="26" t="str">
        <f t="shared" si="4"/>
        <v/>
      </c>
      <c r="H674" s="26" t="str">
        <f t="shared" si="22"/>
        <v/>
      </c>
      <c r="I674" s="26" t="str">
        <f t="array" ref="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/>
      </c>
      <c r="J674" s="26" t="str">
        <f t="shared" si="5"/>
        <v/>
      </c>
      <c r="K674" s="26" t="str">
        <f t="shared" si="6"/>
        <v/>
      </c>
      <c r="L674" s="26" t="str">
        <f t="shared" si="7"/>
        <v/>
      </c>
      <c r="M674" s="26" t="str">
        <f t="array" ref="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/>
      </c>
      <c r="N674" s="26" t="str">
        <f t="shared" si="8"/>
        <v/>
      </c>
      <c r="O674" s="26" t="str">
        <f t="shared" si="9"/>
        <v/>
      </c>
      <c r="P674" s="26" t="str">
        <f t="shared" si="10"/>
        <v/>
      </c>
      <c r="Q674" s="26" t="str">
        <f t="shared" si="11"/>
        <v/>
      </c>
      <c r="R674" s="26" t="str">
        <f t="shared" si="12"/>
        <v/>
      </c>
      <c r="S674" s="26" t="str">
        <f t="shared" si="13"/>
        <v/>
      </c>
      <c r="T674" s="26" t="str">
        <f t="shared" si="14"/>
        <v/>
      </c>
      <c r="U674" s="26" t="str">
        <f t="shared" si="15"/>
        <v/>
      </c>
      <c r="V674" s="26" t="str">
        <f t="shared" si="16"/>
        <v/>
      </c>
      <c r="W674" s="26" t="str">
        <f t="shared" si="17"/>
        <v/>
      </c>
      <c r="X674" s="26" t="str">
        <f t="shared" si="18"/>
        <v/>
      </c>
      <c r="Y674" s="26" t="str">
        <f t="shared" si="19"/>
        <v/>
      </c>
      <c r="Z674" s="31" t="str">
        <f t="shared" si="20"/>
        <v/>
      </c>
      <c r="AA674" s="31" t="str">
        <f>IF(D674="","",IF(H674&lt;=$B$16,1,IF(H674&gt;=$B$17,$B$21,MATCH(H674,Aux_CAV!$A$2:$A$121,1))))</f>
        <v/>
      </c>
      <c r="AB674" s="31" t="str">
        <f>IF(D674="","",IF(L674&lt;=$B$16,1,IF(L674&gt;=$B$17,$B$21,MATCH(L674,Aux_CAV!$A$2:$A$121,1))))</f>
        <v/>
      </c>
      <c r="AC674" s="3" t="str">
        <f t="shared" si="21"/>
        <v/>
      </c>
    </row>
    <row r="675" ht="12.75" customHeight="1">
      <c r="A675" s="25" t="str">
        <f t="shared" si="1"/>
        <v/>
      </c>
      <c r="B675" s="29" t="str">
        <f t="array" ref="B675">IF(D675="","",IFERROR(VALUE(INDEX(Vazoes_COLAR!$A$2:$A$200,INT((ROW()-24)/12)+1)),""))</f>
        <v/>
      </c>
      <c r="C675" s="29" t="str">
        <f t="shared" si="2"/>
        <v/>
      </c>
      <c r="D675" s="26" t="str">
        <f t="array" ref="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75" s="26" t="str">
        <f t="shared" si="3"/>
        <v/>
      </c>
      <c r="F675" s="26" t="str">
        <f t="array" ref="F675">IF(D675="","",IFERROR(INDEX(Dados_Evap!$C$2:$N$15,MATCH($B$9,Dados_Evap!$A$2:$A$15,0),C675),0))</f>
        <v/>
      </c>
      <c r="G675" s="26" t="str">
        <f t="shared" si="4"/>
        <v/>
      </c>
      <c r="H675" s="26" t="str">
        <f t="shared" si="22"/>
        <v/>
      </c>
      <c r="I675" s="26" t="str">
        <f t="array" ref="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/>
      </c>
      <c r="J675" s="26" t="str">
        <f t="shared" si="5"/>
        <v/>
      </c>
      <c r="K675" s="26" t="str">
        <f t="shared" si="6"/>
        <v/>
      </c>
      <c r="L675" s="26" t="str">
        <f t="shared" si="7"/>
        <v/>
      </c>
      <c r="M675" s="26" t="str">
        <f t="array" ref="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/>
      </c>
      <c r="N675" s="26" t="str">
        <f t="shared" si="8"/>
        <v/>
      </c>
      <c r="O675" s="26" t="str">
        <f t="shared" si="9"/>
        <v/>
      </c>
      <c r="P675" s="26" t="str">
        <f t="shared" si="10"/>
        <v/>
      </c>
      <c r="Q675" s="26" t="str">
        <f t="shared" si="11"/>
        <v/>
      </c>
      <c r="R675" s="26" t="str">
        <f t="shared" si="12"/>
        <v/>
      </c>
      <c r="S675" s="26" t="str">
        <f t="shared" si="13"/>
        <v/>
      </c>
      <c r="T675" s="26" t="str">
        <f t="shared" si="14"/>
        <v/>
      </c>
      <c r="U675" s="26" t="str">
        <f t="shared" si="15"/>
        <v/>
      </c>
      <c r="V675" s="26" t="str">
        <f t="shared" si="16"/>
        <v/>
      </c>
      <c r="W675" s="26" t="str">
        <f t="shared" si="17"/>
        <v/>
      </c>
      <c r="X675" s="26" t="str">
        <f t="shared" si="18"/>
        <v/>
      </c>
      <c r="Y675" s="26" t="str">
        <f t="shared" si="19"/>
        <v/>
      </c>
      <c r="Z675" s="31" t="str">
        <f t="shared" si="20"/>
        <v/>
      </c>
      <c r="AA675" s="31" t="str">
        <f>IF(D675="","",IF(H675&lt;=$B$16,1,IF(H675&gt;=$B$17,$B$21,MATCH(H675,Aux_CAV!$A$2:$A$121,1))))</f>
        <v/>
      </c>
      <c r="AB675" s="31" t="str">
        <f>IF(D675="","",IF(L675&lt;=$B$16,1,IF(L675&gt;=$B$17,$B$21,MATCH(L675,Aux_CAV!$A$2:$A$121,1))))</f>
        <v/>
      </c>
      <c r="AC675" s="3" t="str">
        <f t="shared" si="21"/>
        <v/>
      </c>
    </row>
    <row r="676" ht="12.75" customHeight="1">
      <c r="A676" s="25" t="str">
        <f t="shared" si="1"/>
        <v/>
      </c>
      <c r="B676" s="29" t="str">
        <f t="array" ref="B676">IF(D676="","",IFERROR(VALUE(INDEX(Vazoes_COLAR!$A$2:$A$200,INT((ROW()-24)/12)+1)),""))</f>
        <v/>
      </c>
      <c r="C676" s="29" t="str">
        <f t="shared" si="2"/>
        <v/>
      </c>
      <c r="D676" s="26" t="str">
        <f t="array" ref="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76" s="26" t="str">
        <f t="shared" si="3"/>
        <v/>
      </c>
      <c r="F676" s="26" t="str">
        <f t="array" ref="F676">IF(D676="","",IFERROR(INDEX(Dados_Evap!$C$2:$N$15,MATCH($B$9,Dados_Evap!$A$2:$A$15,0),C676),0))</f>
        <v/>
      </c>
      <c r="G676" s="26" t="str">
        <f t="shared" si="4"/>
        <v/>
      </c>
      <c r="H676" s="26" t="str">
        <f t="shared" si="22"/>
        <v/>
      </c>
      <c r="I676" s="26" t="str">
        <f t="array" ref="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/>
      </c>
      <c r="J676" s="26" t="str">
        <f t="shared" si="5"/>
        <v/>
      </c>
      <c r="K676" s="26" t="str">
        <f t="shared" si="6"/>
        <v/>
      </c>
      <c r="L676" s="26" t="str">
        <f t="shared" si="7"/>
        <v/>
      </c>
      <c r="M676" s="26" t="str">
        <f t="array" ref="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/>
      </c>
      <c r="N676" s="26" t="str">
        <f t="shared" si="8"/>
        <v/>
      </c>
      <c r="O676" s="26" t="str">
        <f t="shared" si="9"/>
        <v/>
      </c>
      <c r="P676" s="26" t="str">
        <f t="shared" si="10"/>
        <v/>
      </c>
      <c r="Q676" s="26" t="str">
        <f t="shared" si="11"/>
        <v/>
      </c>
      <c r="R676" s="26" t="str">
        <f t="shared" si="12"/>
        <v/>
      </c>
      <c r="S676" s="26" t="str">
        <f t="shared" si="13"/>
        <v/>
      </c>
      <c r="T676" s="26" t="str">
        <f t="shared" si="14"/>
        <v/>
      </c>
      <c r="U676" s="26" t="str">
        <f t="shared" si="15"/>
        <v/>
      </c>
      <c r="V676" s="26" t="str">
        <f t="shared" si="16"/>
        <v/>
      </c>
      <c r="W676" s="26" t="str">
        <f t="shared" si="17"/>
        <v/>
      </c>
      <c r="X676" s="26" t="str">
        <f t="shared" si="18"/>
        <v/>
      </c>
      <c r="Y676" s="26" t="str">
        <f t="shared" si="19"/>
        <v/>
      </c>
      <c r="Z676" s="31" t="str">
        <f t="shared" si="20"/>
        <v/>
      </c>
      <c r="AA676" s="31" t="str">
        <f>IF(D676="","",IF(H676&lt;=$B$16,1,IF(H676&gt;=$B$17,$B$21,MATCH(H676,Aux_CAV!$A$2:$A$121,1))))</f>
        <v/>
      </c>
      <c r="AB676" s="31" t="str">
        <f>IF(D676="","",IF(L676&lt;=$B$16,1,IF(L676&gt;=$B$17,$B$21,MATCH(L676,Aux_CAV!$A$2:$A$121,1))))</f>
        <v/>
      </c>
      <c r="AC676" s="3" t="str">
        <f t="shared" si="21"/>
        <v/>
      </c>
    </row>
    <row r="677" ht="12.75" customHeight="1">
      <c r="A677" s="25" t="str">
        <f t="shared" si="1"/>
        <v/>
      </c>
      <c r="B677" s="29" t="str">
        <f t="array" ref="B677">IF(D677="","",IFERROR(VALUE(INDEX(Vazoes_COLAR!$A$2:$A$200,INT((ROW()-24)/12)+1)),""))</f>
        <v/>
      </c>
      <c r="C677" s="29" t="str">
        <f t="shared" si="2"/>
        <v/>
      </c>
      <c r="D677" s="26" t="str">
        <f t="array" ref="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77" s="26" t="str">
        <f t="shared" si="3"/>
        <v/>
      </c>
      <c r="F677" s="26" t="str">
        <f t="array" ref="F677">IF(D677="","",IFERROR(INDEX(Dados_Evap!$C$2:$N$15,MATCH($B$9,Dados_Evap!$A$2:$A$15,0),C677),0))</f>
        <v/>
      </c>
      <c r="G677" s="26" t="str">
        <f t="shared" si="4"/>
        <v/>
      </c>
      <c r="H677" s="26" t="str">
        <f t="shared" si="22"/>
        <v/>
      </c>
      <c r="I677" s="26" t="str">
        <f t="array" ref="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/>
      </c>
      <c r="J677" s="26" t="str">
        <f t="shared" si="5"/>
        <v/>
      </c>
      <c r="K677" s="26" t="str">
        <f t="shared" si="6"/>
        <v/>
      </c>
      <c r="L677" s="26" t="str">
        <f t="shared" si="7"/>
        <v/>
      </c>
      <c r="M677" s="26" t="str">
        <f t="array" ref="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/>
      </c>
      <c r="N677" s="26" t="str">
        <f t="shared" si="8"/>
        <v/>
      </c>
      <c r="O677" s="26" t="str">
        <f t="shared" si="9"/>
        <v/>
      </c>
      <c r="P677" s="26" t="str">
        <f t="shared" si="10"/>
        <v/>
      </c>
      <c r="Q677" s="26" t="str">
        <f t="shared" si="11"/>
        <v/>
      </c>
      <c r="R677" s="26" t="str">
        <f t="shared" si="12"/>
        <v/>
      </c>
      <c r="S677" s="26" t="str">
        <f t="shared" si="13"/>
        <v/>
      </c>
      <c r="T677" s="26" t="str">
        <f t="shared" si="14"/>
        <v/>
      </c>
      <c r="U677" s="26" t="str">
        <f t="shared" si="15"/>
        <v/>
      </c>
      <c r="V677" s="26" t="str">
        <f t="shared" si="16"/>
        <v/>
      </c>
      <c r="W677" s="26" t="str">
        <f t="shared" si="17"/>
        <v/>
      </c>
      <c r="X677" s="26" t="str">
        <f t="shared" si="18"/>
        <v/>
      </c>
      <c r="Y677" s="26" t="str">
        <f t="shared" si="19"/>
        <v/>
      </c>
      <c r="Z677" s="31" t="str">
        <f t="shared" si="20"/>
        <v/>
      </c>
      <c r="AA677" s="31" t="str">
        <f>IF(D677="","",IF(H677&lt;=$B$16,1,IF(H677&gt;=$B$17,$B$21,MATCH(H677,Aux_CAV!$A$2:$A$121,1))))</f>
        <v/>
      </c>
      <c r="AB677" s="31" t="str">
        <f>IF(D677="","",IF(L677&lt;=$B$16,1,IF(L677&gt;=$B$17,$B$21,MATCH(L677,Aux_CAV!$A$2:$A$121,1))))</f>
        <v/>
      </c>
      <c r="AC677" s="3" t="str">
        <f t="shared" si="21"/>
        <v/>
      </c>
    </row>
    <row r="678" ht="12.75" customHeight="1">
      <c r="A678" s="25" t="str">
        <f t="shared" si="1"/>
        <v/>
      </c>
      <c r="B678" s="29" t="str">
        <f t="array" ref="B678">IF(D678="","",IFERROR(VALUE(INDEX(Vazoes_COLAR!$A$2:$A$200,INT((ROW()-24)/12)+1)),""))</f>
        <v/>
      </c>
      <c r="C678" s="29" t="str">
        <f t="shared" si="2"/>
        <v/>
      </c>
      <c r="D678" s="26" t="str">
        <f t="array" ref="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78" s="26" t="str">
        <f t="shared" si="3"/>
        <v/>
      </c>
      <c r="F678" s="26" t="str">
        <f t="array" ref="F678">IF(D678="","",IFERROR(INDEX(Dados_Evap!$C$2:$N$15,MATCH($B$9,Dados_Evap!$A$2:$A$15,0),C678),0))</f>
        <v/>
      </c>
      <c r="G678" s="26" t="str">
        <f t="shared" si="4"/>
        <v/>
      </c>
      <c r="H678" s="26" t="str">
        <f t="shared" si="22"/>
        <v/>
      </c>
      <c r="I678" s="26" t="str">
        <f t="array" ref="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/>
      </c>
      <c r="J678" s="26" t="str">
        <f t="shared" si="5"/>
        <v/>
      </c>
      <c r="K678" s="26" t="str">
        <f t="shared" si="6"/>
        <v/>
      </c>
      <c r="L678" s="26" t="str">
        <f t="shared" si="7"/>
        <v/>
      </c>
      <c r="M678" s="26" t="str">
        <f t="array" ref="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/>
      </c>
      <c r="N678" s="26" t="str">
        <f t="shared" si="8"/>
        <v/>
      </c>
      <c r="O678" s="26" t="str">
        <f t="shared" si="9"/>
        <v/>
      </c>
      <c r="P678" s="26" t="str">
        <f t="shared" si="10"/>
        <v/>
      </c>
      <c r="Q678" s="26" t="str">
        <f t="shared" si="11"/>
        <v/>
      </c>
      <c r="R678" s="26" t="str">
        <f t="shared" si="12"/>
        <v/>
      </c>
      <c r="S678" s="26" t="str">
        <f t="shared" si="13"/>
        <v/>
      </c>
      <c r="T678" s="26" t="str">
        <f t="shared" si="14"/>
        <v/>
      </c>
      <c r="U678" s="26" t="str">
        <f t="shared" si="15"/>
        <v/>
      </c>
      <c r="V678" s="26" t="str">
        <f t="shared" si="16"/>
        <v/>
      </c>
      <c r="W678" s="26" t="str">
        <f t="shared" si="17"/>
        <v/>
      </c>
      <c r="X678" s="26" t="str">
        <f t="shared" si="18"/>
        <v/>
      </c>
      <c r="Y678" s="26" t="str">
        <f t="shared" si="19"/>
        <v/>
      </c>
      <c r="Z678" s="31" t="str">
        <f t="shared" si="20"/>
        <v/>
      </c>
      <c r="AA678" s="31" t="str">
        <f>IF(D678="","",IF(H678&lt;=$B$16,1,IF(H678&gt;=$B$17,$B$21,MATCH(H678,Aux_CAV!$A$2:$A$121,1))))</f>
        <v/>
      </c>
      <c r="AB678" s="31" t="str">
        <f>IF(D678="","",IF(L678&lt;=$B$16,1,IF(L678&gt;=$B$17,$B$21,MATCH(L678,Aux_CAV!$A$2:$A$121,1))))</f>
        <v/>
      </c>
      <c r="AC678" s="3" t="str">
        <f t="shared" si="21"/>
        <v/>
      </c>
    </row>
    <row r="679" ht="12.75" customHeight="1">
      <c r="A679" s="25" t="str">
        <f t="shared" si="1"/>
        <v/>
      </c>
      <c r="B679" s="29" t="str">
        <f t="array" ref="B679">IF(D679="","",IFERROR(VALUE(INDEX(Vazoes_COLAR!$A$2:$A$200,INT((ROW()-24)/12)+1)),""))</f>
        <v/>
      </c>
      <c r="C679" s="29" t="str">
        <f t="shared" si="2"/>
        <v/>
      </c>
      <c r="D679" s="26" t="str">
        <f t="array" ref="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79" s="26" t="str">
        <f t="shared" si="3"/>
        <v/>
      </c>
      <c r="F679" s="26" t="str">
        <f t="array" ref="F679">IF(D679="","",IFERROR(INDEX(Dados_Evap!$C$2:$N$15,MATCH($B$9,Dados_Evap!$A$2:$A$15,0),C679),0))</f>
        <v/>
      </c>
      <c r="G679" s="26" t="str">
        <f t="shared" si="4"/>
        <v/>
      </c>
      <c r="H679" s="26" t="str">
        <f t="shared" si="22"/>
        <v/>
      </c>
      <c r="I679" s="26" t="str">
        <f t="array" ref="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/>
      </c>
      <c r="J679" s="26" t="str">
        <f t="shared" si="5"/>
        <v/>
      </c>
      <c r="K679" s="26" t="str">
        <f t="shared" si="6"/>
        <v/>
      </c>
      <c r="L679" s="26" t="str">
        <f t="shared" si="7"/>
        <v/>
      </c>
      <c r="M679" s="26" t="str">
        <f t="array" ref="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/>
      </c>
      <c r="N679" s="26" t="str">
        <f t="shared" si="8"/>
        <v/>
      </c>
      <c r="O679" s="26" t="str">
        <f t="shared" si="9"/>
        <v/>
      </c>
      <c r="P679" s="26" t="str">
        <f t="shared" si="10"/>
        <v/>
      </c>
      <c r="Q679" s="26" t="str">
        <f t="shared" si="11"/>
        <v/>
      </c>
      <c r="R679" s="26" t="str">
        <f t="shared" si="12"/>
        <v/>
      </c>
      <c r="S679" s="26" t="str">
        <f t="shared" si="13"/>
        <v/>
      </c>
      <c r="T679" s="26" t="str">
        <f t="shared" si="14"/>
        <v/>
      </c>
      <c r="U679" s="26" t="str">
        <f t="shared" si="15"/>
        <v/>
      </c>
      <c r="V679" s="26" t="str">
        <f t="shared" si="16"/>
        <v/>
      </c>
      <c r="W679" s="26" t="str">
        <f t="shared" si="17"/>
        <v/>
      </c>
      <c r="X679" s="26" t="str">
        <f t="shared" si="18"/>
        <v/>
      </c>
      <c r="Y679" s="26" t="str">
        <f t="shared" si="19"/>
        <v/>
      </c>
      <c r="Z679" s="31" t="str">
        <f t="shared" si="20"/>
        <v/>
      </c>
      <c r="AA679" s="31" t="str">
        <f>IF(D679="","",IF(H679&lt;=$B$16,1,IF(H679&gt;=$B$17,$B$21,MATCH(H679,Aux_CAV!$A$2:$A$121,1))))</f>
        <v/>
      </c>
      <c r="AB679" s="31" t="str">
        <f>IF(D679="","",IF(L679&lt;=$B$16,1,IF(L679&gt;=$B$17,$B$21,MATCH(L679,Aux_CAV!$A$2:$A$121,1))))</f>
        <v/>
      </c>
      <c r="AC679" s="3" t="str">
        <f t="shared" si="21"/>
        <v/>
      </c>
    </row>
    <row r="680" ht="12.75" customHeight="1">
      <c r="A680" s="25" t="str">
        <f t="shared" si="1"/>
        <v/>
      </c>
      <c r="B680" s="29" t="str">
        <f t="array" ref="B680">IF(D680="","",IFERROR(VALUE(INDEX(Vazoes_COLAR!$A$2:$A$200,INT((ROW()-24)/12)+1)),""))</f>
        <v/>
      </c>
      <c r="C680" s="29" t="str">
        <f t="shared" si="2"/>
        <v/>
      </c>
      <c r="D680" s="26" t="str">
        <f t="array" ref="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80" s="26" t="str">
        <f t="shared" si="3"/>
        <v/>
      </c>
      <c r="F680" s="26" t="str">
        <f t="array" ref="F680">IF(D680="","",IFERROR(INDEX(Dados_Evap!$C$2:$N$15,MATCH($B$9,Dados_Evap!$A$2:$A$15,0),C680),0))</f>
        <v/>
      </c>
      <c r="G680" s="26" t="str">
        <f t="shared" si="4"/>
        <v/>
      </c>
      <c r="H680" s="26" t="str">
        <f t="shared" si="22"/>
        <v/>
      </c>
      <c r="I680" s="26" t="str">
        <f t="array" ref="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/>
      </c>
      <c r="J680" s="26" t="str">
        <f t="shared" si="5"/>
        <v/>
      </c>
      <c r="K680" s="26" t="str">
        <f t="shared" si="6"/>
        <v/>
      </c>
      <c r="L680" s="26" t="str">
        <f t="shared" si="7"/>
        <v/>
      </c>
      <c r="M680" s="26" t="str">
        <f t="array" ref="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/>
      </c>
      <c r="N680" s="26" t="str">
        <f t="shared" si="8"/>
        <v/>
      </c>
      <c r="O680" s="26" t="str">
        <f t="shared" si="9"/>
        <v/>
      </c>
      <c r="P680" s="26" t="str">
        <f t="shared" si="10"/>
        <v/>
      </c>
      <c r="Q680" s="26" t="str">
        <f t="shared" si="11"/>
        <v/>
      </c>
      <c r="R680" s="26" t="str">
        <f t="shared" si="12"/>
        <v/>
      </c>
      <c r="S680" s="26" t="str">
        <f t="shared" si="13"/>
        <v/>
      </c>
      <c r="T680" s="26" t="str">
        <f t="shared" si="14"/>
        <v/>
      </c>
      <c r="U680" s="26" t="str">
        <f t="shared" si="15"/>
        <v/>
      </c>
      <c r="V680" s="26" t="str">
        <f t="shared" si="16"/>
        <v/>
      </c>
      <c r="W680" s="26" t="str">
        <f t="shared" si="17"/>
        <v/>
      </c>
      <c r="X680" s="26" t="str">
        <f t="shared" si="18"/>
        <v/>
      </c>
      <c r="Y680" s="26" t="str">
        <f t="shared" si="19"/>
        <v/>
      </c>
      <c r="Z680" s="31" t="str">
        <f t="shared" si="20"/>
        <v/>
      </c>
      <c r="AA680" s="31" t="str">
        <f>IF(D680="","",IF(H680&lt;=$B$16,1,IF(H680&gt;=$B$17,$B$21,MATCH(H680,Aux_CAV!$A$2:$A$121,1))))</f>
        <v/>
      </c>
      <c r="AB680" s="31" t="str">
        <f>IF(D680="","",IF(L680&lt;=$B$16,1,IF(L680&gt;=$B$17,$B$21,MATCH(L680,Aux_CAV!$A$2:$A$121,1))))</f>
        <v/>
      </c>
      <c r="AC680" s="3" t="str">
        <f t="shared" si="21"/>
        <v/>
      </c>
    </row>
    <row r="681" ht="12.75" customHeight="1">
      <c r="A681" s="25" t="str">
        <f t="shared" si="1"/>
        <v/>
      </c>
      <c r="B681" s="29" t="str">
        <f t="array" ref="B681">IF(D681="","",IFERROR(VALUE(INDEX(Vazoes_COLAR!$A$2:$A$200,INT((ROW()-24)/12)+1)),""))</f>
        <v/>
      </c>
      <c r="C681" s="29" t="str">
        <f t="shared" si="2"/>
        <v/>
      </c>
      <c r="D681" s="26" t="str">
        <f t="array" ref="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81" s="26" t="str">
        <f t="shared" si="3"/>
        <v/>
      </c>
      <c r="F681" s="26" t="str">
        <f t="array" ref="F681">IF(D681="","",IFERROR(INDEX(Dados_Evap!$C$2:$N$15,MATCH($B$9,Dados_Evap!$A$2:$A$15,0),C681),0))</f>
        <v/>
      </c>
      <c r="G681" s="26" t="str">
        <f t="shared" si="4"/>
        <v/>
      </c>
      <c r="H681" s="26" t="str">
        <f t="shared" si="22"/>
        <v/>
      </c>
      <c r="I681" s="26" t="str">
        <f t="array" ref="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/>
      </c>
      <c r="J681" s="26" t="str">
        <f t="shared" si="5"/>
        <v/>
      </c>
      <c r="K681" s="26" t="str">
        <f t="shared" si="6"/>
        <v/>
      </c>
      <c r="L681" s="26" t="str">
        <f t="shared" si="7"/>
        <v/>
      </c>
      <c r="M681" s="26" t="str">
        <f t="array" ref="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/>
      </c>
      <c r="N681" s="26" t="str">
        <f t="shared" si="8"/>
        <v/>
      </c>
      <c r="O681" s="26" t="str">
        <f t="shared" si="9"/>
        <v/>
      </c>
      <c r="P681" s="26" t="str">
        <f t="shared" si="10"/>
        <v/>
      </c>
      <c r="Q681" s="26" t="str">
        <f t="shared" si="11"/>
        <v/>
      </c>
      <c r="R681" s="26" t="str">
        <f t="shared" si="12"/>
        <v/>
      </c>
      <c r="S681" s="26" t="str">
        <f t="shared" si="13"/>
        <v/>
      </c>
      <c r="T681" s="26" t="str">
        <f t="shared" si="14"/>
        <v/>
      </c>
      <c r="U681" s="26" t="str">
        <f t="shared" si="15"/>
        <v/>
      </c>
      <c r="V681" s="26" t="str">
        <f t="shared" si="16"/>
        <v/>
      </c>
      <c r="W681" s="26" t="str">
        <f t="shared" si="17"/>
        <v/>
      </c>
      <c r="X681" s="26" t="str">
        <f t="shared" si="18"/>
        <v/>
      </c>
      <c r="Y681" s="26" t="str">
        <f t="shared" si="19"/>
        <v/>
      </c>
      <c r="Z681" s="31" t="str">
        <f t="shared" si="20"/>
        <v/>
      </c>
      <c r="AA681" s="31" t="str">
        <f>IF(D681="","",IF(H681&lt;=$B$16,1,IF(H681&gt;=$B$17,$B$21,MATCH(H681,Aux_CAV!$A$2:$A$121,1))))</f>
        <v/>
      </c>
      <c r="AB681" s="31" t="str">
        <f>IF(D681="","",IF(L681&lt;=$B$16,1,IF(L681&gt;=$B$17,$B$21,MATCH(L681,Aux_CAV!$A$2:$A$121,1))))</f>
        <v/>
      </c>
      <c r="AC681" s="3" t="str">
        <f t="shared" si="21"/>
        <v/>
      </c>
    </row>
    <row r="682" ht="12.75" customHeight="1">
      <c r="A682" s="25" t="str">
        <f t="shared" si="1"/>
        <v/>
      </c>
      <c r="B682" s="29" t="str">
        <f t="array" ref="B682">IF(D682="","",IFERROR(VALUE(INDEX(Vazoes_COLAR!$A$2:$A$200,INT((ROW()-24)/12)+1)),""))</f>
        <v/>
      </c>
      <c r="C682" s="29" t="str">
        <f t="shared" si="2"/>
        <v/>
      </c>
      <c r="D682" s="26" t="str">
        <f t="array" ref="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82" s="26" t="str">
        <f t="shared" si="3"/>
        <v/>
      </c>
      <c r="F682" s="26" t="str">
        <f t="array" ref="F682">IF(D682="","",IFERROR(INDEX(Dados_Evap!$C$2:$N$15,MATCH($B$9,Dados_Evap!$A$2:$A$15,0),C682),0))</f>
        <v/>
      </c>
      <c r="G682" s="26" t="str">
        <f t="shared" si="4"/>
        <v/>
      </c>
      <c r="H682" s="26" t="str">
        <f t="shared" si="22"/>
        <v/>
      </c>
      <c r="I682" s="26" t="str">
        <f t="array" ref="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/>
      </c>
      <c r="J682" s="26" t="str">
        <f t="shared" si="5"/>
        <v/>
      </c>
      <c r="K682" s="26" t="str">
        <f t="shared" si="6"/>
        <v/>
      </c>
      <c r="L682" s="26" t="str">
        <f t="shared" si="7"/>
        <v/>
      </c>
      <c r="M682" s="26" t="str">
        <f t="array" ref="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/>
      </c>
      <c r="N682" s="26" t="str">
        <f t="shared" si="8"/>
        <v/>
      </c>
      <c r="O682" s="26" t="str">
        <f t="shared" si="9"/>
        <v/>
      </c>
      <c r="P682" s="26" t="str">
        <f t="shared" si="10"/>
        <v/>
      </c>
      <c r="Q682" s="26" t="str">
        <f t="shared" si="11"/>
        <v/>
      </c>
      <c r="R682" s="26" t="str">
        <f t="shared" si="12"/>
        <v/>
      </c>
      <c r="S682" s="26" t="str">
        <f t="shared" si="13"/>
        <v/>
      </c>
      <c r="T682" s="26" t="str">
        <f t="shared" si="14"/>
        <v/>
      </c>
      <c r="U682" s="26" t="str">
        <f t="shared" si="15"/>
        <v/>
      </c>
      <c r="V682" s="26" t="str">
        <f t="shared" si="16"/>
        <v/>
      </c>
      <c r="W682" s="26" t="str">
        <f t="shared" si="17"/>
        <v/>
      </c>
      <c r="X682" s="26" t="str">
        <f t="shared" si="18"/>
        <v/>
      </c>
      <c r="Y682" s="26" t="str">
        <f t="shared" si="19"/>
        <v/>
      </c>
      <c r="Z682" s="31" t="str">
        <f t="shared" si="20"/>
        <v/>
      </c>
      <c r="AA682" s="31" t="str">
        <f>IF(D682="","",IF(H682&lt;=$B$16,1,IF(H682&gt;=$B$17,$B$21,MATCH(H682,Aux_CAV!$A$2:$A$121,1))))</f>
        <v/>
      </c>
      <c r="AB682" s="31" t="str">
        <f>IF(D682="","",IF(L682&lt;=$B$16,1,IF(L682&gt;=$B$17,$B$21,MATCH(L682,Aux_CAV!$A$2:$A$121,1))))</f>
        <v/>
      </c>
      <c r="AC682" s="3" t="str">
        <f t="shared" si="21"/>
        <v/>
      </c>
    </row>
    <row r="683" ht="12.75" customHeight="1">
      <c r="A683" s="25" t="str">
        <f t="shared" si="1"/>
        <v/>
      </c>
      <c r="B683" s="29" t="str">
        <f t="array" ref="B683">IF(D683="","",IFERROR(VALUE(INDEX(Vazoes_COLAR!$A$2:$A$200,INT((ROW()-24)/12)+1)),""))</f>
        <v/>
      </c>
      <c r="C683" s="29" t="str">
        <f t="shared" si="2"/>
        <v/>
      </c>
      <c r="D683" s="26" t="str">
        <f t="array" ref="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83" s="26" t="str">
        <f t="shared" si="3"/>
        <v/>
      </c>
      <c r="F683" s="26" t="str">
        <f t="array" ref="F683">IF(D683="","",IFERROR(INDEX(Dados_Evap!$C$2:$N$15,MATCH($B$9,Dados_Evap!$A$2:$A$15,0),C683),0))</f>
        <v/>
      </c>
      <c r="G683" s="26" t="str">
        <f t="shared" si="4"/>
        <v/>
      </c>
      <c r="H683" s="26" t="str">
        <f t="shared" si="22"/>
        <v/>
      </c>
      <c r="I683" s="26" t="str">
        <f t="array" ref="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/>
      </c>
      <c r="J683" s="26" t="str">
        <f t="shared" si="5"/>
        <v/>
      </c>
      <c r="K683" s="26" t="str">
        <f t="shared" si="6"/>
        <v/>
      </c>
      <c r="L683" s="26" t="str">
        <f t="shared" si="7"/>
        <v/>
      </c>
      <c r="M683" s="26" t="str">
        <f t="array" ref="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/>
      </c>
      <c r="N683" s="26" t="str">
        <f t="shared" si="8"/>
        <v/>
      </c>
      <c r="O683" s="26" t="str">
        <f t="shared" si="9"/>
        <v/>
      </c>
      <c r="P683" s="26" t="str">
        <f t="shared" si="10"/>
        <v/>
      </c>
      <c r="Q683" s="26" t="str">
        <f t="shared" si="11"/>
        <v/>
      </c>
      <c r="R683" s="26" t="str">
        <f t="shared" si="12"/>
        <v/>
      </c>
      <c r="S683" s="26" t="str">
        <f t="shared" si="13"/>
        <v/>
      </c>
      <c r="T683" s="26" t="str">
        <f t="shared" si="14"/>
        <v/>
      </c>
      <c r="U683" s="26" t="str">
        <f t="shared" si="15"/>
        <v/>
      </c>
      <c r="V683" s="26" t="str">
        <f t="shared" si="16"/>
        <v/>
      </c>
      <c r="W683" s="26" t="str">
        <f t="shared" si="17"/>
        <v/>
      </c>
      <c r="X683" s="26" t="str">
        <f t="shared" si="18"/>
        <v/>
      </c>
      <c r="Y683" s="26" t="str">
        <f t="shared" si="19"/>
        <v/>
      </c>
      <c r="Z683" s="31" t="str">
        <f t="shared" si="20"/>
        <v/>
      </c>
      <c r="AA683" s="31" t="str">
        <f>IF(D683="","",IF(H683&lt;=$B$16,1,IF(H683&gt;=$B$17,$B$21,MATCH(H683,Aux_CAV!$A$2:$A$121,1))))</f>
        <v/>
      </c>
      <c r="AB683" s="31" t="str">
        <f>IF(D683="","",IF(L683&lt;=$B$16,1,IF(L683&gt;=$B$17,$B$21,MATCH(L683,Aux_CAV!$A$2:$A$121,1))))</f>
        <v/>
      </c>
      <c r="AC683" s="3" t="str">
        <f t="shared" si="21"/>
        <v/>
      </c>
    </row>
    <row r="684" ht="12.75" customHeight="1">
      <c r="A684" s="25" t="str">
        <f t="shared" si="1"/>
        <v/>
      </c>
      <c r="B684" s="29" t="str">
        <f t="array" ref="B684">IF(D684="","",IFERROR(VALUE(INDEX(Vazoes_COLAR!$A$2:$A$200,INT((ROW()-24)/12)+1)),""))</f>
        <v/>
      </c>
      <c r="C684" s="29" t="str">
        <f t="shared" si="2"/>
        <v/>
      </c>
      <c r="D684" s="26" t="str">
        <f t="array" ref="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84" s="26" t="str">
        <f t="shared" si="3"/>
        <v/>
      </c>
      <c r="F684" s="26" t="str">
        <f t="array" ref="F684">IF(D684="","",IFERROR(INDEX(Dados_Evap!$C$2:$N$15,MATCH($B$9,Dados_Evap!$A$2:$A$15,0),C684),0))</f>
        <v/>
      </c>
      <c r="G684" s="26" t="str">
        <f t="shared" si="4"/>
        <v/>
      </c>
      <c r="H684" s="26" t="str">
        <f t="shared" si="22"/>
        <v/>
      </c>
      <c r="I684" s="26" t="str">
        <f t="array" ref="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/>
      </c>
      <c r="J684" s="26" t="str">
        <f t="shared" si="5"/>
        <v/>
      </c>
      <c r="K684" s="26" t="str">
        <f t="shared" si="6"/>
        <v/>
      </c>
      <c r="L684" s="26" t="str">
        <f t="shared" si="7"/>
        <v/>
      </c>
      <c r="M684" s="26" t="str">
        <f t="array" ref="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/>
      </c>
      <c r="N684" s="26" t="str">
        <f t="shared" si="8"/>
        <v/>
      </c>
      <c r="O684" s="26" t="str">
        <f t="shared" si="9"/>
        <v/>
      </c>
      <c r="P684" s="26" t="str">
        <f t="shared" si="10"/>
        <v/>
      </c>
      <c r="Q684" s="26" t="str">
        <f t="shared" si="11"/>
        <v/>
      </c>
      <c r="R684" s="26" t="str">
        <f t="shared" si="12"/>
        <v/>
      </c>
      <c r="S684" s="26" t="str">
        <f t="shared" si="13"/>
        <v/>
      </c>
      <c r="T684" s="26" t="str">
        <f t="shared" si="14"/>
        <v/>
      </c>
      <c r="U684" s="26" t="str">
        <f t="shared" si="15"/>
        <v/>
      </c>
      <c r="V684" s="26" t="str">
        <f t="shared" si="16"/>
        <v/>
      </c>
      <c r="W684" s="26" t="str">
        <f t="shared" si="17"/>
        <v/>
      </c>
      <c r="X684" s="26" t="str">
        <f t="shared" si="18"/>
        <v/>
      </c>
      <c r="Y684" s="26" t="str">
        <f t="shared" si="19"/>
        <v/>
      </c>
      <c r="Z684" s="31" t="str">
        <f t="shared" si="20"/>
        <v/>
      </c>
      <c r="AA684" s="31" t="str">
        <f>IF(D684="","",IF(H684&lt;=$B$16,1,IF(H684&gt;=$B$17,$B$21,MATCH(H684,Aux_CAV!$A$2:$A$121,1))))</f>
        <v/>
      </c>
      <c r="AB684" s="31" t="str">
        <f>IF(D684="","",IF(L684&lt;=$B$16,1,IF(L684&gt;=$B$17,$B$21,MATCH(L684,Aux_CAV!$A$2:$A$121,1))))</f>
        <v/>
      </c>
      <c r="AC684" s="3" t="str">
        <f t="shared" si="21"/>
        <v/>
      </c>
    </row>
    <row r="685" ht="12.75" customHeight="1">
      <c r="A685" s="25" t="str">
        <f t="shared" si="1"/>
        <v/>
      </c>
      <c r="B685" s="29" t="str">
        <f t="array" ref="B685">IF(D685="","",IFERROR(VALUE(INDEX(Vazoes_COLAR!$A$2:$A$200,INT((ROW()-24)/12)+1)),""))</f>
        <v/>
      </c>
      <c r="C685" s="29" t="str">
        <f t="shared" si="2"/>
        <v/>
      </c>
      <c r="D685" s="26" t="str">
        <f t="array" ref="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85" s="26" t="str">
        <f t="shared" si="3"/>
        <v/>
      </c>
      <c r="F685" s="26" t="str">
        <f t="array" ref="F685">IF(D685="","",IFERROR(INDEX(Dados_Evap!$C$2:$N$15,MATCH($B$9,Dados_Evap!$A$2:$A$15,0),C685),0))</f>
        <v/>
      </c>
      <c r="G685" s="26" t="str">
        <f t="shared" si="4"/>
        <v/>
      </c>
      <c r="H685" s="26" t="str">
        <f t="shared" si="22"/>
        <v/>
      </c>
      <c r="I685" s="26" t="str">
        <f t="array" ref="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/>
      </c>
      <c r="J685" s="26" t="str">
        <f t="shared" si="5"/>
        <v/>
      </c>
      <c r="K685" s="26" t="str">
        <f t="shared" si="6"/>
        <v/>
      </c>
      <c r="L685" s="26" t="str">
        <f t="shared" si="7"/>
        <v/>
      </c>
      <c r="M685" s="26" t="str">
        <f t="array" ref="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/>
      </c>
      <c r="N685" s="26" t="str">
        <f t="shared" si="8"/>
        <v/>
      </c>
      <c r="O685" s="26" t="str">
        <f t="shared" si="9"/>
        <v/>
      </c>
      <c r="P685" s="26" t="str">
        <f t="shared" si="10"/>
        <v/>
      </c>
      <c r="Q685" s="26" t="str">
        <f t="shared" si="11"/>
        <v/>
      </c>
      <c r="R685" s="26" t="str">
        <f t="shared" si="12"/>
        <v/>
      </c>
      <c r="S685" s="26" t="str">
        <f t="shared" si="13"/>
        <v/>
      </c>
      <c r="T685" s="26" t="str">
        <f t="shared" si="14"/>
        <v/>
      </c>
      <c r="U685" s="26" t="str">
        <f t="shared" si="15"/>
        <v/>
      </c>
      <c r="V685" s="26" t="str">
        <f t="shared" si="16"/>
        <v/>
      </c>
      <c r="W685" s="26" t="str">
        <f t="shared" si="17"/>
        <v/>
      </c>
      <c r="X685" s="26" t="str">
        <f t="shared" si="18"/>
        <v/>
      </c>
      <c r="Y685" s="26" t="str">
        <f t="shared" si="19"/>
        <v/>
      </c>
      <c r="Z685" s="31" t="str">
        <f t="shared" si="20"/>
        <v/>
      </c>
      <c r="AA685" s="31" t="str">
        <f>IF(D685="","",IF(H685&lt;=$B$16,1,IF(H685&gt;=$B$17,$B$21,MATCH(H685,Aux_CAV!$A$2:$A$121,1))))</f>
        <v/>
      </c>
      <c r="AB685" s="31" t="str">
        <f>IF(D685="","",IF(L685&lt;=$B$16,1,IF(L685&gt;=$B$17,$B$21,MATCH(L685,Aux_CAV!$A$2:$A$121,1))))</f>
        <v/>
      </c>
      <c r="AC685" s="3" t="str">
        <f t="shared" si="21"/>
        <v/>
      </c>
    </row>
    <row r="686" ht="12.75" customHeight="1">
      <c r="A686" s="25" t="str">
        <f t="shared" si="1"/>
        <v/>
      </c>
      <c r="B686" s="29" t="str">
        <f t="array" ref="B686">IF(D686="","",IFERROR(VALUE(INDEX(Vazoes_COLAR!$A$2:$A$200,INT((ROW()-24)/12)+1)),""))</f>
        <v/>
      </c>
      <c r="C686" s="29" t="str">
        <f t="shared" si="2"/>
        <v/>
      </c>
      <c r="D686" s="26" t="str">
        <f t="array" ref="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86" s="26" t="str">
        <f t="shared" si="3"/>
        <v/>
      </c>
      <c r="F686" s="26" t="str">
        <f t="array" ref="F686">IF(D686="","",IFERROR(INDEX(Dados_Evap!$C$2:$N$15,MATCH($B$9,Dados_Evap!$A$2:$A$15,0),C686),0))</f>
        <v/>
      </c>
      <c r="G686" s="26" t="str">
        <f t="shared" si="4"/>
        <v/>
      </c>
      <c r="H686" s="26" t="str">
        <f t="shared" si="22"/>
        <v/>
      </c>
      <c r="I686" s="26" t="str">
        <f t="array" ref="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/>
      </c>
      <c r="J686" s="26" t="str">
        <f t="shared" si="5"/>
        <v/>
      </c>
      <c r="K686" s="26" t="str">
        <f t="shared" si="6"/>
        <v/>
      </c>
      <c r="L686" s="26" t="str">
        <f t="shared" si="7"/>
        <v/>
      </c>
      <c r="M686" s="26" t="str">
        <f t="array" ref="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/>
      </c>
      <c r="N686" s="26" t="str">
        <f t="shared" si="8"/>
        <v/>
      </c>
      <c r="O686" s="26" t="str">
        <f t="shared" si="9"/>
        <v/>
      </c>
      <c r="P686" s="26" t="str">
        <f t="shared" si="10"/>
        <v/>
      </c>
      <c r="Q686" s="26" t="str">
        <f t="shared" si="11"/>
        <v/>
      </c>
      <c r="R686" s="26" t="str">
        <f t="shared" si="12"/>
        <v/>
      </c>
      <c r="S686" s="26" t="str">
        <f t="shared" si="13"/>
        <v/>
      </c>
      <c r="T686" s="26" t="str">
        <f t="shared" si="14"/>
        <v/>
      </c>
      <c r="U686" s="26" t="str">
        <f t="shared" si="15"/>
        <v/>
      </c>
      <c r="V686" s="26" t="str">
        <f t="shared" si="16"/>
        <v/>
      </c>
      <c r="W686" s="26" t="str">
        <f t="shared" si="17"/>
        <v/>
      </c>
      <c r="X686" s="26" t="str">
        <f t="shared" si="18"/>
        <v/>
      </c>
      <c r="Y686" s="26" t="str">
        <f t="shared" si="19"/>
        <v/>
      </c>
      <c r="Z686" s="31" t="str">
        <f t="shared" si="20"/>
        <v/>
      </c>
      <c r="AA686" s="31" t="str">
        <f>IF(D686="","",IF(H686&lt;=$B$16,1,IF(H686&gt;=$B$17,$B$21,MATCH(H686,Aux_CAV!$A$2:$A$121,1))))</f>
        <v/>
      </c>
      <c r="AB686" s="31" t="str">
        <f>IF(D686="","",IF(L686&lt;=$B$16,1,IF(L686&gt;=$B$17,$B$21,MATCH(L686,Aux_CAV!$A$2:$A$121,1))))</f>
        <v/>
      </c>
      <c r="AC686" s="3" t="str">
        <f t="shared" si="21"/>
        <v/>
      </c>
    </row>
    <row r="687" ht="12.75" customHeight="1">
      <c r="A687" s="25" t="str">
        <f t="shared" si="1"/>
        <v/>
      </c>
      <c r="B687" s="29" t="str">
        <f t="array" ref="B687">IF(D687="","",IFERROR(VALUE(INDEX(Vazoes_COLAR!$A$2:$A$200,INT((ROW()-24)/12)+1)),""))</f>
        <v/>
      </c>
      <c r="C687" s="29" t="str">
        <f t="shared" si="2"/>
        <v/>
      </c>
      <c r="D687" s="26" t="str">
        <f t="array" ref="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87" s="26" t="str">
        <f t="shared" si="3"/>
        <v/>
      </c>
      <c r="F687" s="26" t="str">
        <f t="array" ref="F687">IF(D687="","",IFERROR(INDEX(Dados_Evap!$C$2:$N$15,MATCH($B$9,Dados_Evap!$A$2:$A$15,0),C687),0))</f>
        <v/>
      </c>
      <c r="G687" s="26" t="str">
        <f t="shared" si="4"/>
        <v/>
      </c>
      <c r="H687" s="26" t="str">
        <f t="shared" si="22"/>
        <v/>
      </c>
      <c r="I687" s="26" t="str">
        <f t="array" ref="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/>
      </c>
      <c r="J687" s="26" t="str">
        <f t="shared" si="5"/>
        <v/>
      </c>
      <c r="K687" s="26" t="str">
        <f t="shared" si="6"/>
        <v/>
      </c>
      <c r="L687" s="26" t="str">
        <f t="shared" si="7"/>
        <v/>
      </c>
      <c r="M687" s="26" t="str">
        <f t="array" ref="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/>
      </c>
      <c r="N687" s="26" t="str">
        <f t="shared" si="8"/>
        <v/>
      </c>
      <c r="O687" s="26" t="str">
        <f t="shared" si="9"/>
        <v/>
      </c>
      <c r="P687" s="26" t="str">
        <f t="shared" si="10"/>
        <v/>
      </c>
      <c r="Q687" s="26" t="str">
        <f t="shared" si="11"/>
        <v/>
      </c>
      <c r="R687" s="26" t="str">
        <f t="shared" si="12"/>
        <v/>
      </c>
      <c r="S687" s="26" t="str">
        <f t="shared" si="13"/>
        <v/>
      </c>
      <c r="T687" s="26" t="str">
        <f t="shared" si="14"/>
        <v/>
      </c>
      <c r="U687" s="26" t="str">
        <f t="shared" si="15"/>
        <v/>
      </c>
      <c r="V687" s="26" t="str">
        <f t="shared" si="16"/>
        <v/>
      </c>
      <c r="W687" s="26" t="str">
        <f t="shared" si="17"/>
        <v/>
      </c>
      <c r="X687" s="26" t="str">
        <f t="shared" si="18"/>
        <v/>
      </c>
      <c r="Y687" s="26" t="str">
        <f t="shared" si="19"/>
        <v/>
      </c>
      <c r="Z687" s="31" t="str">
        <f t="shared" si="20"/>
        <v/>
      </c>
      <c r="AA687" s="31" t="str">
        <f>IF(D687="","",IF(H687&lt;=$B$16,1,IF(H687&gt;=$B$17,$B$21,MATCH(H687,Aux_CAV!$A$2:$A$121,1))))</f>
        <v/>
      </c>
      <c r="AB687" s="31" t="str">
        <f>IF(D687="","",IF(L687&lt;=$B$16,1,IF(L687&gt;=$B$17,$B$21,MATCH(L687,Aux_CAV!$A$2:$A$121,1))))</f>
        <v/>
      </c>
      <c r="AC687" s="3" t="str">
        <f t="shared" si="21"/>
        <v/>
      </c>
    </row>
    <row r="688" ht="12.75" customHeight="1">
      <c r="A688" s="25" t="str">
        <f t="shared" si="1"/>
        <v/>
      </c>
      <c r="B688" s="29" t="str">
        <f t="array" ref="B688">IF(D688="","",IFERROR(VALUE(INDEX(Vazoes_COLAR!$A$2:$A$200,INT((ROW()-24)/12)+1)),""))</f>
        <v/>
      </c>
      <c r="C688" s="29" t="str">
        <f t="shared" si="2"/>
        <v/>
      </c>
      <c r="D688" s="26" t="str">
        <f t="array" ref="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88" s="26" t="str">
        <f t="shared" si="3"/>
        <v/>
      </c>
      <c r="F688" s="26" t="str">
        <f t="array" ref="F688">IF(D688="","",IFERROR(INDEX(Dados_Evap!$C$2:$N$15,MATCH($B$9,Dados_Evap!$A$2:$A$15,0),C688),0))</f>
        <v/>
      </c>
      <c r="G688" s="26" t="str">
        <f t="shared" si="4"/>
        <v/>
      </c>
      <c r="H688" s="26" t="str">
        <f t="shared" si="22"/>
        <v/>
      </c>
      <c r="I688" s="26" t="str">
        <f t="array" ref="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/>
      </c>
      <c r="J688" s="26" t="str">
        <f t="shared" si="5"/>
        <v/>
      </c>
      <c r="K688" s="26" t="str">
        <f t="shared" si="6"/>
        <v/>
      </c>
      <c r="L688" s="26" t="str">
        <f t="shared" si="7"/>
        <v/>
      </c>
      <c r="M688" s="26" t="str">
        <f t="array" ref="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/>
      </c>
      <c r="N688" s="26" t="str">
        <f t="shared" si="8"/>
        <v/>
      </c>
      <c r="O688" s="26" t="str">
        <f t="shared" si="9"/>
        <v/>
      </c>
      <c r="P688" s="26" t="str">
        <f t="shared" si="10"/>
        <v/>
      </c>
      <c r="Q688" s="26" t="str">
        <f t="shared" si="11"/>
        <v/>
      </c>
      <c r="R688" s="26" t="str">
        <f t="shared" si="12"/>
        <v/>
      </c>
      <c r="S688" s="26" t="str">
        <f t="shared" si="13"/>
        <v/>
      </c>
      <c r="T688" s="26" t="str">
        <f t="shared" si="14"/>
        <v/>
      </c>
      <c r="U688" s="26" t="str">
        <f t="shared" si="15"/>
        <v/>
      </c>
      <c r="V688" s="26" t="str">
        <f t="shared" si="16"/>
        <v/>
      </c>
      <c r="W688" s="26" t="str">
        <f t="shared" si="17"/>
        <v/>
      </c>
      <c r="X688" s="26" t="str">
        <f t="shared" si="18"/>
        <v/>
      </c>
      <c r="Y688" s="26" t="str">
        <f t="shared" si="19"/>
        <v/>
      </c>
      <c r="Z688" s="31" t="str">
        <f t="shared" si="20"/>
        <v/>
      </c>
      <c r="AA688" s="31" t="str">
        <f>IF(D688="","",IF(H688&lt;=$B$16,1,IF(H688&gt;=$B$17,$B$21,MATCH(H688,Aux_CAV!$A$2:$A$121,1))))</f>
        <v/>
      </c>
      <c r="AB688" s="31" t="str">
        <f>IF(D688="","",IF(L688&lt;=$B$16,1,IF(L688&gt;=$B$17,$B$21,MATCH(L688,Aux_CAV!$A$2:$A$121,1))))</f>
        <v/>
      </c>
      <c r="AC688" s="3" t="str">
        <f t="shared" si="21"/>
        <v/>
      </c>
    </row>
    <row r="689" ht="12.75" customHeight="1">
      <c r="A689" s="25" t="str">
        <f t="shared" si="1"/>
        <v/>
      </c>
      <c r="B689" s="29" t="str">
        <f t="array" ref="B689">IF(D689="","",IFERROR(VALUE(INDEX(Vazoes_COLAR!$A$2:$A$200,INT((ROW()-24)/12)+1)),""))</f>
        <v/>
      </c>
      <c r="C689" s="29" t="str">
        <f t="shared" si="2"/>
        <v/>
      </c>
      <c r="D689" s="26" t="str">
        <f t="array" ref="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89" s="26" t="str">
        <f t="shared" si="3"/>
        <v/>
      </c>
      <c r="F689" s="26" t="str">
        <f t="array" ref="F689">IF(D689="","",IFERROR(INDEX(Dados_Evap!$C$2:$N$15,MATCH($B$9,Dados_Evap!$A$2:$A$15,0),C689),0))</f>
        <v/>
      </c>
      <c r="G689" s="26" t="str">
        <f t="shared" si="4"/>
        <v/>
      </c>
      <c r="H689" s="26" t="str">
        <f t="shared" si="22"/>
        <v/>
      </c>
      <c r="I689" s="26" t="str">
        <f t="array" ref="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/>
      </c>
      <c r="J689" s="26" t="str">
        <f t="shared" si="5"/>
        <v/>
      </c>
      <c r="K689" s="26" t="str">
        <f t="shared" si="6"/>
        <v/>
      </c>
      <c r="L689" s="26" t="str">
        <f t="shared" si="7"/>
        <v/>
      </c>
      <c r="M689" s="26" t="str">
        <f t="array" ref="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/>
      </c>
      <c r="N689" s="26" t="str">
        <f t="shared" si="8"/>
        <v/>
      </c>
      <c r="O689" s="26" t="str">
        <f t="shared" si="9"/>
        <v/>
      </c>
      <c r="P689" s="26" t="str">
        <f t="shared" si="10"/>
        <v/>
      </c>
      <c r="Q689" s="26" t="str">
        <f t="shared" si="11"/>
        <v/>
      </c>
      <c r="R689" s="26" t="str">
        <f t="shared" si="12"/>
        <v/>
      </c>
      <c r="S689" s="26" t="str">
        <f t="shared" si="13"/>
        <v/>
      </c>
      <c r="T689" s="26" t="str">
        <f t="shared" si="14"/>
        <v/>
      </c>
      <c r="U689" s="26" t="str">
        <f t="shared" si="15"/>
        <v/>
      </c>
      <c r="V689" s="26" t="str">
        <f t="shared" si="16"/>
        <v/>
      </c>
      <c r="W689" s="26" t="str">
        <f t="shared" si="17"/>
        <v/>
      </c>
      <c r="X689" s="26" t="str">
        <f t="shared" si="18"/>
        <v/>
      </c>
      <c r="Y689" s="26" t="str">
        <f t="shared" si="19"/>
        <v/>
      </c>
      <c r="Z689" s="31" t="str">
        <f t="shared" si="20"/>
        <v/>
      </c>
      <c r="AA689" s="31" t="str">
        <f>IF(D689="","",IF(H689&lt;=$B$16,1,IF(H689&gt;=$B$17,$B$21,MATCH(H689,Aux_CAV!$A$2:$A$121,1))))</f>
        <v/>
      </c>
      <c r="AB689" s="31" t="str">
        <f>IF(D689="","",IF(L689&lt;=$B$16,1,IF(L689&gt;=$B$17,$B$21,MATCH(L689,Aux_CAV!$A$2:$A$121,1))))</f>
        <v/>
      </c>
      <c r="AC689" s="3" t="str">
        <f t="shared" si="21"/>
        <v/>
      </c>
    </row>
    <row r="690" ht="12.75" customHeight="1">
      <c r="A690" s="25" t="str">
        <f t="shared" si="1"/>
        <v/>
      </c>
      <c r="B690" s="29" t="str">
        <f t="array" ref="B690">IF(D690="","",IFERROR(VALUE(INDEX(Vazoes_COLAR!$A$2:$A$200,INT((ROW()-24)/12)+1)),""))</f>
        <v/>
      </c>
      <c r="C690" s="29" t="str">
        <f t="shared" si="2"/>
        <v/>
      </c>
      <c r="D690" s="26" t="str">
        <f t="array" ref="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90" s="26" t="str">
        <f t="shared" si="3"/>
        <v/>
      </c>
      <c r="F690" s="26" t="str">
        <f t="array" ref="F690">IF(D690="","",IFERROR(INDEX(Dados_Evap!$C$2:$N$15,MATCH($B$9,Dados_Evap!$A$2:$A$15,0),C690),0))</f>
        <v/>
      </c>
      <c r="G690" s="26" t="str">
        <f t="shared" si="4"/>
        <v/>
      </c>
      <c r="H690" s="26" t="str">
        <f t="shared" si="22"/>
        <v/>
      </c>
      <c r="I690" s="26" t="str">
        <f t="array" ref="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/>
      </c>
      <c r="J690" s="26" t="str">
        <f t="shared" si="5"/>
        <v/>
      </c>
      <c r="K690" s="26" t="str">
        <f t="shared" si="6"/>
        <v/>
      </c>
      <c r="L690" s="26" t="str">
        <f t="shared" si="7"/>
        <v/>
      </c>
      <c r="M690" s="26" t="str">
        <f t="array" ref="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/>
      </c>
      <c r="N690" s="26" t="str">
        <f t="shared" si="8"/>
        <v/>
      </c>
      <c r="O690" s="26" t="str">
        <f t="shared" si="9"/>
        <v/>
      </c>
      <c r="P690" s="26" t="str">
        <f t="shared" si="10"/>
        <v/>
      </c>
      <c r="Q690" s="26" t="str">
        <f t="shared" si="11"/>
        <v/>
      </c>
      <c r="R690" s="26" t="str">
        <f t="shared" si="12"/>
        <v/>
      </c>
      <c r="S690" s="26" t="str">
        <f t="shared" si="13"/>
        <v/>
      </c>
      <c r="T690" s="26" t="str">
        <f t="shared" si="14"/>
        <v/>
      </c>
      <c r="U690" s="26" t="str">
        <f t="shared" si="15"/>
        <v/>
      </c>
      <c r="V690" s="26" t="str">
        <f t="shared" si="16"/>
        <v/>
      </c>
      <c r="W690" s="26" t="str">
        <f t="shared" si="17"/>
        <v/>
      </c>
      <c r="X690" s="26" t="str">
        <f t="shared" si="18"/>
        <v/>
      </c>
      <c r="Y690" s="26" t="str">
        <f t="shared" si="19"/>
        <v/>
      </c>
      <c r="Z690" s="31" t="str">
        <f t="shared" si="20"/>
        <v/>
      </c>
      <c r="AA690" s="31" t="str">
        <f>IF(D690="","",IF(H690&lt;=$B$16,1,IF(H690&gt;=$B$17,$B$21,MATCH(H690,Aux_CAV!$A$2:$A$121,1))))</f>
        <v/>
      </c>
      <c r="AB690" s="31" t="str">
        <f>IF(D690="","",IF(L690&lt;=$B$16,1,IF(L690&gt;=$B$17,$B$21,MATCH(L690,Aux_CAV!$A$2:$A$121,1))))</f>
        <v/>
      </c>
      <c r="AC690" s="3" t="str">
        <f t="shared" si="21"/>
        <v/>
      </c>
    </row>
    <row r="691" ht="12.75" customHeight="1">
      <c r="A691" s="25" t="str">
        <f t="shared" si="1"/>
        <v/>
      </c>
      <c r="B691" s="29" t="str">
        <f t="array" ref="B691">IF(D691="","",IFERROR(VALUE(INDEX(Vazoes_COLAR!$A$2:$A$200,INT((ROW()-24)/12)+1)),""))</f>
        <v/>
      </c>
      <c r="C691" s="29" t="str">
        <f t="shared" si="2"/>
        <v/>
      </c>
      <c r="D691" s="26" t="str">
        <f t="array" ref="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91" s="26" t="str">
        <f t="shared" si="3"/>
        <v/>
      </c>
      <c r="F691" s="26" t="str">
        <f t="array" ref="F691">IF(D691="","",IFERROR(INDEX(Dados_Evap!$C$2:$N$15,MATCH($B$9,Dados_Evap!$A$2:$A$15,0),C691),0))</f>
        <v/>
      </c>
      <c r="G691" s="26" t="str">
        <f t="shared" si="4"/>
        <v/>
      </c>
      <c r="H691" s="26" t="str">
        <f t="shared" si="22"/>
        <v/>
      </c>
      <c r="I691" s="26" t="str">
        <f t="array" ref="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/>
      </c>
      <c r="J691" s="26" t="str">
        <f t="shared" si="5"/>
        <v/>
      </c>
      <c r="K691" s="26" t="str">
        <f t="shared" si="6"/>
        <v/>
      </c>
      <c r="L691" s="26" t="str">
        <f t="shared" si="7"/>
        <v/>
      </c>
      <c r="M691" s="26" t="str">
        <f t="array" ref="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/>
      </c>
      <c r="N691" s="26" t="str">
        <f t="shared" si="8"/>
        <v/>
      </c>
      <c r="O691" s="26" t="str">
        <f t="shared" si="9"/>
        <v/>
      </c>
      <c r="P691" s="26" t="str">
        <f t="shared" si="10"/>
        <v/>
      </c>
      <c r="Q691" s="26" t="str">
        <f t="shared" si="11"/>
        <v/>
      </c>
      <c r="R691" s="26" t="str">
        <f t="shared" si="12"/>
        <v/>
      </c>
      <c r="S691" s="26" t="str">
        <f t="shared" si="13"/>
        <v/>
      </c>
      <c r="T691" s="26" t="str">
        <f t="shared" si="14"/>
        <v/>
      </c>
      <c r="U691" s="26" t="str">
        <f t="shared" si="15"/>
        <v/>
      </c>
      <c r="V691" s="26" t="str">
        <f t="shared" si="16"/>
        <v/>
      </c>
      <c r="W691" s="26" t="str">
        <f t="shared" si="17"/>
        <v/>
      </c>
      <c r="X691" s="26" t="str">
        <f t="shared" si="18"/>
        <v/>
      </c>
      <c r="Y691" s="26" t="str">
        <f t="shared" si="19"/>
        <v/>
      </c>
      <c r="Z691" s="31" t="str">
        <f t="shared" si="20"/>
        <v/>
      </c>
      <c r="AA691" s="31" t="str">
        <f>IF(D691="","",IF(H691&lt;=$B$16,1,IF(H691&gt;=$B$17,$B$21,MATCH(H691,Aux_CAV!$A$2:$A$121,1))))</f>
        <v/>
      </c>
      <c r="AB691" s="31" t="str">
        <f>IF(D691="","",IF(L691&lt;=$B$16,1,IF(L691&gt;=$B$17,$B$21,MATCH(L691,Aux_CAV!$A$2:$A$121,1))))</f>
        <v/>
      </c>
      <c r="AC691" s="3" t="str">
        <f t="shared" si="21"/>
        <v/>
      </c>
    </row>
    <row r="692" ht="12.75" customHeight="1">
      <c r="A692" s="25" t="str">
        <f t="shared" si="1"/>
        <v/>
      </c>
      <c r="B692" s="29" t="str">
        <f t="array" ref="B692">IF(D692="","",IFERROR(VALUE(INDEX(Vazoes_COLAR!$A$2:$A$200,INT((ROW()-24)/12)+1)),""))</f>
        <v/>
      </c>
      <c r="C692" s="29" t="str">
        <f t="shared" si="2"/>
        <v/>
      </c>
      <c r="D692" s="26" t="str">
        <f t="array" ref="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92" s="26" t="str">
        <f t="shared" si="3"/>
        <v/>
      </c>
      <c r="F692" s="26" t="str">
        <f t="array" ref="F692">IF(D692="","",IFERROR(INDEX(Dados_Evap!$C$2:$N$15,MATCH($B$9,Dados_Evap!$A$2:$A$15,0),C692),0))</f>
        <v/>
      </c>
      <c r="G692" s="26" t="str">
        <f t="shared" si="4"/>
        <v/>
      </c>
      <c r="H692" s="26" t="str">
        <f t="shared" si="22"/>
        <v/>
      </c>
      <c r="I692" s="26" t="str">
        <f t="array" ref="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/>
      </c>
      <c r="J692" s="26" t="str">
        <f t="shared" si="5"/>
        <v/>
      </c>
      <c r="K692" s="26" t="str">
        <f t="shared" si="6"/>
        <v/>
      </c>
      <c r="L692" s="26" t="str">
        <f t="shared" si="7"/>
        <v/>
      </c>
      <c r="M692" s="26" t="str">
        <f t="array" ref="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/>
      </c>
      <c r="N692" s="26" t="str">
        <f t="shared" si="8"/>
        <v/>
      </c>
      <c r="O692" s="26" t="str">
        <f t="shared" si="9"/>
        <v/>
      </c>
      <c r="P692" s="26" t="str">
        <f t="shared" si="10"/>
        <v/>
      </c>
      <c r="Q692" s="26" t="str">
        <f t="shared" si="11"/>
        <v/>
      </c>
      <c r="R692" s="26" t="str">
        <f t="shared" si="12"/>
        <v/>
      </c>
      <c r="S692" s="26" t="str">
        <f t="shared" si="13"/>
        <v/>
      </c>
      <c r="T692" s="26" t="str">
        <f t="shared" si="14"/>
        <v/>
      </c>
      <c r="U692" s="26" t="str">
        <f t="shared" si="15"/>
        <v/>
      </c>
      <c r="V692" s="26" t="str">
        <f t="shared" si="16"/>
        <v/>
      </c>
      <c r="W692" s="26" t="str">
        <f t="shared" si="17"/>
        <v/>
      </c>
      <c r="X692" s="26" t="str">
        <f t="shared" si="18"/>
        <v/>
      </c>
      <c r="Y692" s="26" t="str">
        <f t="shared" si="19"/>
        <v/>
      </c>
      <c r="Z692" s="31" t="str">
        <f t="shared" si="20"/>
        <v/>
      </c>
      <c r="AA692" s="31" t="str">
        <f>IF(D692="","",IF(H692&lt;=$B$16,1,IF(H692&gt;=$B$17,$B$21,MATCH(H692,Aux_CAV!$A$2:$A$121,1))))</f>
        <v/>
      </c>
      <c r="AB692" s="31" t="str">
        <f>IF(D692="","",IF(L692&lt;=$B$16,1,IF(L692&gt;=$B$17,$B$21,MATCH(L692,Aux_CAV!$A$2:$A$121,1))))</f>
        <v/>
      </c>
      <c r="AC692" s="3" t="str">
        <f t="shared" si="21"/>
        <v/>
      </c>
    </row>
    <row r="693" ht="12.75" customHeight="1">
      <c r="A693" s="25" t="str">
        <f t="shared" si="1"/>
        <v/>
      </c>
      <c r="B693" s="29" t="str">
        <f t="array" ref="B693">IF(D693="","",IFERROR(VALUE(INDEX(Vazoes_COLAR!$A$2:$A$200,INT((ROW()-24)/12)+1)),""))</f>
        <v/>
      </c>
      <c r="C693" s="29" t="str">
        <f t="shared" si="2"/>
        <v/>
      </c>
      <c r="D693" s="26" t="str">
        <f t="array" ref="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93" s="26" t="str">
        <f t="shared" si="3"/>
        <v/>
      </c>
      <c r="F693" s="26" t="str">
        <f t="array" ref="F693">IF(D693="","",IFERROR(INDEX(Dados_Evap!$C$2:$N$15,MATCH($B$9,Dados_Evap!$A$2:$A$15,0),C693),0))</f>
        <v/>
      </c>
      <c r="G693" s="26" t="str">
        <f t="shared" si="4"/>
        <v/>
      </c>
      <c r="H693" s="26" t="str">
        <f t="shared" si="22"/>
        <v/>
      </c>
      <c r="I693" s="26" t="str">
        <f t="array" ref="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/>
      </c>
      <c r="J693" s="26" t="str">
        <f t="shared" si="5"/>
        <v/>
      </c>
      <c r="K693" s="26" t="str">
        <f t="shared" si="6"/>
        <v/>
      </c>
      <c r="L693" s="26" t="str">
        <f t="shared" si="7"/>
        <v/>
      </c>
      <c r="M693" s="26" t="str">
        <f t="array" ref="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/>
      </c>
      <c r="N693" s="26" t="str">
        <f t="shared" si="8"/>
        <v/>
      </c>
      <c r="O693" s="26" t="str">
        <f t="shared" si="9"/>
        <v/>
      </c>
      <c r="P693" s="26" t="str">
        <f t="shared" si="10"/>
        <v/>
      </c>
      <c r="Q693" s="26" t="str">
        <f t="shared" si="11"/>
        <v/>
      </c>
      <c r="R693" s="26" t="str">
        <f t="shared" si="12"/>
        <v/>
      </c>
      <c r="S693" s="26" t="str">
        <f t="shared" si="13"/>
        <v/>
      </c>
      <c r="T693" s="26" t="str">
        <f t="shared" si="14"/>
        <v/>
      </c>
      <c r="U693" s="26" t="str">
        <f t="shared" si="15"/>
        <v/>
      </c>
      <c r="V693" s="26" t="str">
        <f t="shared" si="16"/>
        <v/>
      </c>
      <c r="W693" s="26" t="str">
        <f t="shared" si="17"/>
        <v/>
      </c>
      <c r="X693" s="26" t="str">
        <f t="shared" si="18"/>
        <v/>
      </c>
      <c r="Y693" s="26" t="str">
        <f t="shared" si="19"/>
        <v/>
      </c>
      <c r="Z693" s="31" t="str">
        <f t="shared" si="20"/>
        <v/>
      </c>
      <c r="AA693" s="31" t="str">
        <f>IF(D693="","",IF(H693&lt;=$B$16,1,IF(H693&gt;=$B$17,$B$21,MATCH(H693,Aux_CAV!$A$2:$A$121,1))))</f>
        <v/>
      </c>
      <c r="AB693" s="31" t="str">
        <f>IF(D693="","",IF(L693&lt;=$B$16,1,IF(L693&gt;=$B$17,$B$21,MATCH(L693,Aux_CAV!$A$2:$A$121,1))))</f>
        <v/>
      </c>
      <c r="AC693" s="3" t="str">
        <f t="shared" si="21"/>
        <v/>
      </c>
    </row>
    <row r="694" ht="12.75" customHeight="1">
      <c r="A694" s="25" t="str">
        <f t="shared" si="1"/>
        <v/>
      </c>
      <c r="B694" s="29" t="str">
        <f t="array" ref="B694">IF(D694="","",IFERROR(VALUE(INDEX(Vazoes_COLAR!$A$2:$A$200,INT((ROW()-24)/12)+1)),""))</f>
        <v/>
      </c>
      <c r="C694" s="29" t="str">
        <f t="shared" si="2"/>
        <v/>
      </c>
      <c r="D694" s="26" t="str">
        <f t="array" ref="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94" s="26" t="str">
        <f t="shared" si="3"/>
        <v/>
      </c>
      <c r="F694" s="26" t="str">
        <f t="array" ref="F694">IF(D694="","",IFERROR(INDEX(Dados_Evap!$C$2:$N$15,MATCH($B$9,Dados_Evap!$A$2:$A$15,0),C694),0))</f>
        <v/>
      </c>
      <c r="G694" s="26" t="str">
        <f t="shared" si="4"/>
        <v/>
      </c>
      <c r="H694" s="26" t="str">
        <f t="shared" si="22"/>
        <v/>
      </c>
      <c r="I694" s="26" t="str">
        <f t="array" ref="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/>
      </c>
      <c r="J694" s="26" t="str">
        <f t="shared" si="5"/>
        <v/>
      </c>
      <c r="K694" s="26" t="str">
        <f t="shared" si="6"/>
        <v/>
      </c>
      <c r="L694" s="26" t="str">
        <f t="shared" si="7"/>
        <v/>
      </c>
      <c r="M694" s="26" t="str">
        <f t="array" ref="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/>
      </c>
      <c r="N694" s="26" t="str">
        <f t="shared" si="8"/>
        <v/>
      </c>
      <c r="O694" s="26" t="str">
        <f t="shared" si="9"/>
        <v/>
      </c>
      <c r="P694" s="26" t="str">
        <f t="shared" si="10"/>
        <v/>
      </c>
      <c r="Q694" s="26" t="str">
        <f t="shared" si="11"/>
        <v/>
      </c>
      <c r="R694" s="26" t="str">
        <f t="shared" si="12"/>
        <v/>
      </c>
      <c r="S694" s="26" t="str">
        <f t="shared" si="13"/>
        <v/>
      </c>
      <c r="T694" s="26" t="str">
        <f t="shared" si="14"/>
        <v/>
      </c>
      <c r="U694" s="26" t="str">
        <f t="shared" si="15"/>
        <v/>
      </c>
      <c r="V694" s="26" t="str">
        <f t="shared" si="16"/>
        <v/>
      </c>
      <c r="W694" s="26" t="str">
        <f t="shared" si="17"/>
        <v/>
      </c>
      <c r="X694" s="26" t="str">
        <f t="shared" si="18"/>
        <v/>
      </c>
      <c r="Y694" s="26" t="str">
        <f t="shared" si="19"/>
        <v/>
      </c>
      <c r="Z694" s="31" t="str">
        <f t="shared" si="20"/>
        <v/>
      </c>
      <c r="AA694" s="31" t="str">
        <f>IF(D694="","",IF(H694&lt;=$B$16,1,IF(H694&gt;=$B$17,$B$21,MATCH(H694,Aux_CAV!$A$2:$A$121,1))))</f>
        <v/>
      </c>
      <c r="AB694" s="31" t="str">
        <f>IF(D694="","",IF(L694&lt;=$B$16,1,IF(L694&gt;=$B$17,$B$21,MATCH(L694,Aux_CAV!$A$2:$A$121,1))))</f>
        <v/>
      </c>
      <c r="AC694" s="3" t="str">
        <f t="shared" si="21"/>
        <v/>
      </c>
    </row>
    <row r="695" ht="12.75" customHeight="1">
      <c r="A695" s="25" t="str">
        <f t="shared" si="1"/>
        <v/>
      </c>
      <c r="B695" s="29" t="str">
        <f t="array" ref="B695">IF(D695="","",IFERROR(VALUE(INDEX(Vazoes_COLAR!$A$2:$A$200,INT((ROW()-24)/12)+1)),""))</f>
        <v/>
      </c>
      <c r="C695" s="29" t="str">
        <f t="shared" si="2"/>
        <v/>
      </c>
      <c r="D695" s="26" t="str">
        <f t="array" ref="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95" s="26" t="str">
        <f t="shared" si="3"/>
        <v/>
      </c>
      <c r="F695" s="26" t="str">
        <f t="array" ref="F695">IF(D695="","",IFERROR(INDEX(Dados_Evap!$C$2:$N$15,MATCH($B$9,Dados_Evap!$A$2:$A$15,0),C695),0))</f>
        <v/>
      </c>
      <c r="G695" s="26" t="str">
        <f t="shared" si="4"/>
        <v/>
      </c>
      <c r="H695" s="26" t="str">
        <f t="shared" si="22"/>
        <v/>
      </c>
      <c r="I695" s="26" t="str">
        <f t="array" ref="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/>
      </c>
      <c r="J695" s="26" t="str">
        <f t="shared" si="5"/>
        <v/>
      </c>
      <c r="K695" s="26" t="str">
        <f t="shared" si="6"/>
        <v/>
      </c>
      <c r="L695" s="26" t="str">
        <f t="shared" si="7"/>
        <v/>
      </c>
      <c r="M695" s="26" t="str">
        <f t="array" ref="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/>
      </c>
      <c r="N695" s="26" t="str">
        <f t="shared" si="8"/>
        <v/>
      </c>
      <c r="O695" s="26" t="str">
        <f t="shared" si="9"/>
        <v/>
      </c>
      <c r="P695" s="26" t="str">
        <f t="shared" si="10"/>
        <v/>
      </c>
      <c r="Q695" s="26" t="str">
        <f t="shared" si="11"/>
        <v/>
      </c>
      <c r="R695" s="26" t="str">
        <f t="shared" si="12"/>
        <v/>
      </c>
      <c r="S695" s="26" t="str">
        <f t="shared" si="13"/>
        <v/>
      </c>
      <c r="T695" s="26" t="str">
        <f t="shared" si="14"/>
        <v/>
      </c>
      <c r="U695" s="26" t="str">
        <f t="shared" si="15"/>
        <v/>
      </c>
      <c r="V695" s="26" t="str">
        <f t="shared" si="16"/>
        <v/>
      </c>
      <c r="W695" s="26" t="str">
        <f t="shared" si="17"/>
        <v/>
      </c>
      <c r="X695" s="26" t="str">
        <f t="shared" si="18"/>
        <v/>
      </c>
      <c r="Y695" s="26" t="str">
        <f t="shared" si="19"/>
        <v/>
      </c>
      <c r="Z695" s="31" t="str">
        <f t="shared" si="20"/>
        <v/>
      </c>
      <c r="AA695" s="31" t="str">
        <f>IF(D695="","",IF(H695&lt;=$B$16,1,IF(H695&gt;=$B$17,$B$21,MATCH(H695,Aux_CAV!$A$2:$A$121,1))))</f>
        <v/>
      </c>
      <c r="AB695" s="31" t="str">
        <f>IF(D695="","",IF(L695&lt;=$B$16,1,IF(L695&gt;=$B$17,$B$21,MATCH(L695,Aux_CAV!$A$2:$A$121,1))))</f>
        <v/>
      </c>
      <c r="AC695" s="3" t="str">
        <f t="shared" si="21"/>
        <v/>
      </c>
    </row>
    <row r="696" ht="12.75" customHeight="1">
      <c r="A696" s="25" t="str">
        <f t="shared" si="1"/>
        <v/>
      </c>
      <c r="B696" s="29" t="str">
        <f t="array" ref="B696">IF(D696="","",IFERROR(VALUE(INDEX(Vazoes_COLAR!$A$2:$A$200,INT((ROW()-24)/12)+1)),""))</f>
        <v/>
      </c>
      <c r="C696" s="29" t="str">
        <f t="shared" si="2"/>
        <v/>
      </c>
      <c r="D696" s="26" t="str">
        <f t="array" ref="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96" s="26" t="str">
        <f t="shared" si="3"/>
        <v/>
      </c>
      <c r="F696" s="26" t="str">
        <f t="array" ref="F696">IF(D696="","",IFERROR(INDEX(Dados_Evap!$C$2:$N$15,MATCH($B$9,Dados_Evap!$A$2:$A$15,0),C696),0))</f>
        <v/>
      </c>
      <c r="G696" s="26" t="str">
        <f t="shared" si="4"/>
        <v/>
      </c>
      <c r="H696" s="26" t="str">
        <f t="shared" si="22"/>
        <v/>
      </c>
      <c r="I696" s="26" t="str">
        <f t="array" ref="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/>
      </c>
      <c r="J696" s="26" t="str">
        <f t="shared" si="5"/>
        <v/>
      </c>
      <c r="K696" s="26" t="str">
        <f t="shared" si="6"/>
        <v/>
      </c>
      <c r="L696" s="26" t="str">
        <f t="shared" si="7"/>
        <v/>
      </c>
      <c r="M696" s="26" t="str">
        <f t="array" ref="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/>
      </c>
      <c r="N696" s="26" t="str">
        <f t="shared" si="8"/>
        <v/>
      </c>
      <c r="O696" s="26" t="str">
        <f t="shared" si="9"/>
        <v/>
      </c>
      <c r="P696" s="26" t="str">
        <f t="shared" si="10"/>
        <v/>
      </c>
      <c r="Q696" s="26" t="str">
        <f t="shared" si="11"/>
        <v/>
      </c>
      <c r="R696" s="26" t="str">
        <f t="shared" si="12"/>
        <v/>
      </c>
      <c r="S696" s="26" t="str">
        <f t="shared" si="13"/>
        <v/>
      </c>
      <c r="T696" s="26" t="str">
        <f t="shared" si="14"/>
        <v/>
      </c>
      <c r="U696" s="26" t="str">
        <f t="shared" si="15"/>
        <v/>
      </c>
      <c r="V696" s="26" t="str">
        <f t="shared" si="16"/>
        <v/>
      </c>
      <c r="W696" s="26" t="str">
        <f t="shared" si="17"/>
        <v/>
      </c>
      <c r="X696" s="26" t="str">
        <f t="shared" si="18"/>
        <v/>
      </c>
      <c r="Y696" s="26" t="str">
        <f t="shared" si="19"/>
        <v/>
      </c>
      <c r="Z696" s="31" t="str">
        <f t="shared" si="20"/>
        <v/>
      </c>
      <c r="AA696" s="31" t="str">
        <f>IF(D696="","",IF(H696&lt;=$B$16,1,IF(H696&gt;=$B$17,$B$21,MATCH(H696,Aux_CAV!$A$2:$A$121,1))))</f>
        <v/>
      </c>
      <c r="AB696" s="31" t="str">
        <f>IF(D696="","",IF(L696&lt;=$B$16,1,IF(L696&gt;=$B$17,$B$21,MATCH(L696,Aux_CAV!$A$2:$A$121,1))))</f>
        <v/>
      </c>
      <c r="AC696" s="3" t="str">
        <f t="shared" si="21"/>
        <v/>
      </c>
    </row>
    <row r="697" ht="12.75" customHeight="1">
      <c r="A697" s="25" t="str">
        <f t="shared" si="1"/>
        <v/>
      </c>
      <c r="B697" s="29" t="str">
        <f t="array" ref="B697">IF(D697="","",IFERROR(VALUE(INDEX(Vazoes_COLAR!$A$2:$A$200,INT((ROW()-24)/12)+1)),""))</f>
        <v/>
      </c>
      <c r="C697" s="29" t="str">
        <f t="shared" si="2"/>
        <v/>
      </c>
      <c r="D697" s="26" t="str">
        <f t="array" ref="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97" s="26" t="str">
        <f t="shared" si="3"/>
        <v/>
      </c>
      <c r="F697" s="26" t="str">
        <f t="array" ref="F697">IF(D697="","",IFERROR(INDEX(Dados_Evap!$C$2:$N$15,MATCH($B$9,Dados_Evap!$A$2:$A$15,0),C697),0))</f>
        <v/>
      </c>
      <c r="G697" s="26" t="str">
        <f t="shared" si="4"/>
        <v/>
      </c>
      <c r="H697" s="26" t="str">
        <f t="shared" si="22"/>
        <v/>
      </c>
      <c r="I697" s="26" t="str">
        <f t="array" ref="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/>
      </c>
      <c r="J697" s="26" t="str">
        <f t="shared" si="5"/>
        <v/>
      </c>
      <c r="K697" s="26" t="str">
        <f t="shared" si="6"/>
        <v/>
      </c>
      <c r="L697" s="26" t="str">
        <f t="shared" si="7"/>
        <v/>
      </c>
      <c r="M697" s="26" t="str">
        <f t="array" ref="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/>
      </c>
      <c r="N697" s="26" t="str">
        <f t="shared" si="8"/>
        <v/>
      </c>
      <c r="O697" s="26" t="str">
        <f t="shared" si="9"/>
        <v/>
      </c>
      <c r="P697" s="26" t="str">
        <f t="shared" si="10"/>
        <v/>
      </c>
      <c r="Q697" s="26" t="str">
        <f t="shared" si="11"/>
        <v/>
      </c>
      <c r="R697" s="26" t="str">
        <f t="shared" si="12"/>
        <v/>
      </c>
      <c r="S697" s="26" t="str">
        <f t="shared" si="13"/>
        <v/>
      </c>
      <c r="T697" s="26" t="str">
        <f t="shared" si="14"/>
        <v/>
      </c>
      <c r="U697" s="26" t="str">
        <f t="shared" si="15"/>
        <v/>
      </c>
      <c r="V697" s="26" t="str">
        <f t="shared" si="16"/>
        <v/>
      </c>
      <c r="W697" s="26" t="str">
        <f t="shared" si="17"/>
        <v/>
      </c>
      <c r="X697" s="26" t="str">
        <f t="shared" si="18"/>
        <v/>
      </c>
      <c r="Y697" s="26" t="str">
        <f t="shared" si="19"/>
        <v/>
      </c>
      <c r="Z697" s="31" t="str">
        <f t="shared" si="20"/>
        <v/>
      </c>
      <c r="AA697" s="31" t="str">
        <f>IF(D697="","",IF(H697&lt;=$B$16,1,IF(H697&gt;=$B$17,$B$21,MATCH(H697,Aux_CAV!$A$2:$A$121,1))))</f>
        <v/>
      </c>
      <c r="AB697" s="31" t="str">
        <f>IF(D697="","",IF(L697&lt;=$B$16,1,IF(L697&gt;=$B$17,$B$21,MATCH(L697,Aux_CAV!$A$2:$A$121,1))))</f>
        <v/>
      </c>
      <c r="AC697" s="3" t="str">
        <f t="shared" si="21"/>
        <v/>
      </c>
    </row>
    <row r="698" ht="12.75" customHeight="1">
      <c r="A698" s="25" t="str">
        <f t="shared" si="1"/>
        <v/>
      </c>
      <c r="B698" s="29" t="str">
        <f t="array" ref="B698">IF(D698="","",IFERROR(VALUE(INDEX(Vazoes_COLAR!$A$2:$A$200,INT((ROW()-24)/12)+1)),""))</f>
        <v/>
      </c>
      <c r="C698" s="29" t="str">
        <f t="shared" si="2"/>
        <v/>
      </c>
      <c r="D698" s="26" t="str">
        <f t="array" ref="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98" s="26" t="str">
        <f t="shared" si="3"/>
        <v/>
      </c>
      <c r="F698" s="26" t="str">
        <f t="array" ref="F698">IF(D698="","",IFERROR(INDEX(Dados_Evap!$C$2:$N$15,MATCH($B$9,Dados_Evap!$A$2:$A$15,0),C698),0))</f>
        <v/>
      </c>
      <c r="G698" s="26" t="str">
        <f t="shared" si="4"/>
        <v/>
      </c>
      <c r="H698" s="26" t="str">
        <f t="shared" si="22"/>
        <v/>
      </c>
      <c r="I698" s="26" t="str">
        <f t="array" ref="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/>
      </c>
      <c r="J698" s="26" t="str">
        <f t="shared" si="5"/>
        <v/>
      </c>
      <c r="K698" s="26" t="str">
        <f t="shared" si="6"/>
        <v/>
      </c>
      <c r="L698" s="26" t="str">
        <f t="shared" si="7"/>
        <v/>
      </c>
      <c r="M698" s="26" t="str">
        <f t="array" ref="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/>
      </c>
      <c r="N698" s="26" t="str">
        <f t="shared" si="8"/>
        <v/>
      </c>
      <c r="O698" s="26" t="str">
        <f t="shared" si="9"/>
        <v/>
      </c>
      <c r="P698" s="26" t="str">
        <f t="shared" si="10"/>
        <v/>
      </c>
      <c r="Q698" s="26" t="str">
        <f t="shared" si="11"/>
        <v/>
      </c>
      <c r="R698" s="26" t="str">
        <f t="shared" si="12"/>
        <v/>
      </c>
      <c r="S698" s="26" t="str">
        <f t="shared" si="13"/>
        <v/>
      </c>
      <c r="T698" s="26" t="str">
        <f t="shared" si="14"/>
        <v/>
      </c>
      <c r="U698" s="26" t="str">
        <f t="shared" si="15"/>
        <v/>
      </c>
      <c r="V698" s="26" t="str">
        <f t="shared" si="16"/>
        <v/>
      </c>
      <c r="W698" s="26" t="str">
        <f t="shared" si="17"/>
        <v/>
      </c>
      <c r="X698" s="26" t="str">
        <f t="shared" si="18"/>
        <v/>
      </c>
      <c r="Y698" s="26" t="str">
        <f t="shared" si="19"/>
        <v/>
      </c>
      <c r="Z698" s="31" t="str">
        <f t="shared" si="20"/>
        <v/>
      </c>
      <c r="AA698" s="31" t="str">
        <f>IF(D698="","",IF(H698&lt;=$B$16,1,IF(H698&gt;=$B$17,$B$21,MATCH(H698,Aux_CAV!$A$2:$A$121,1))))</f>
        <v/>
      </c>
      <c r="AB698" s="31" t="str">
        <f>IF(D698="","",IF(L698&lt;=$B$16,1,IF(L698&gt;=$B$17,$B$21,MATCH(L698,Aux_CAV!$A$2:$A$121,1))))</f>
        <v/>
      </c>
      <c r="AC698" s="3" t="str">
        <f t="shared" si="21"/>
        <v/>
      </c>
    </row>
    <row r="699" ht="12.75" customHeight="1">
      <c r="A699" s="25" t="str">
        <f t="shared" si="1"/>
        <v/>
      </c>
      <c r="B699" s="29" t="str">
        <f t="array" ref="B699">IF(D699="","",IFERROR(VALUE(INDEX(Vazoes_COLAR!$A$2:$A$200,INT((ROW()-24)/12)+1)),""))</f>
        <v/>
      </c>
      <c r="C699" s="29" t="str">
        <f t="shared" si="2"/>
        <v/>
      </c>
      <c r="D699" s="26" t="str">
        <f t="array" ref="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699" s="26" t="str">
        <f t="shared" si="3"/>
        <v/>
      </c>
      <c r="F699" s="26" t="str">
        <f t="array" ref="F699">IF(D699="","",IFERROR(INDEX(Dados_Evap!$C$2:$N$15,MATCH($B$9,Dados_Evap!$A$2:$A$15,0),C699),0))</f>
        <v/>
      </c>
      <c r="G699" s="26" t="str">
        <f t="shared" si="4"/>
        <v/>
      </c>
      <c r="H699" s="26" t="str">
        <f t="shared" si="22"/>
        <v/>
      </c>
      <c r="I699" s="26" t="str">
        <f t="array" ref="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/>
      </c>
      <c r="J699" s="26" t="str">
        <f t="shared" si="5"/>
        <v/>
      </c>
      <c r="K699" s="26" t="str">
        <f t="shared" si="6"/>
        <v/>
      </c>
      <c r="L699" s="26" t="str">
        <f t="shared" si="7"/>
        <v/>
      </c>
      <c r="M699" s="26" t="str">
        <f t="array" ref="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/>
      </c>
      <c r="N699" s="26" t="str">
        <f t="shared" si="8"/>
        <v/>
      </c>
      <c r="O699" s="26" t="str">
        <f t="shared" si="9"/>
        <v/>
      </c>
      <c r="P699" s="26" t="str">
        <f t="shared" si="10"/>
        <v/>
      </c>
      <c r="Q699" s="26" t="str">
        <f t="shared" si="11"/>
        <v/>
      </c>
      <c r="R699" s="26" t="str">
        <f t="shared" si="12"/>
        <v/>
      </c>
      <c r="S699" s="26" t="str">
        <f t="shared" si="13"/>
        <v/>
      </c>
      <c r="T699" s="26" t="str">
        <f t="shared" si="14"/>
        <v/>
      </c>
      <c r="U699" s="26" t="str">
        <f t="shared" si="15"/>
        <v/>
      </c>
      <c r="V699" s="26" t="str">
        <f t="shared" si="16"/>
        <v/>
      </c>
      <c r="W699" s="26" t="str">
        <f t="shared" si="17"/>
        <v/>
      </c>
      <c r="X699" s="26" t="str">
        <f t="shared" si="18"/>
        <v/>
      </c>
      <c r="Y699" s="26" t="str">
        <f t="shared" si="19"/>
        <v/>
      </c>
      <c r="Z699" s="31" t="str">
        <f t="shared" si="20"/>
        <v/>
      </c>
      <c r="AA699" s="31" t="str">
        <f>IF(D699="","",IF(H699&lt;=$B$16,1,IF(H699&gt;=$B$17,$B$21,MATCH(H699,Aux_CAV!$A$2:$A$121,1))))</f>
        <v/>
      </c>
      <c r="AB699" s="31" t="str">
        <f>IF(D699="","",IF(L699&lt;=$B$16,1,IF(L699&gt;=$B$17,$B$21,MATCH(L699,Aux_CAV!$A$2:$A$121,1))))</f>
        <v/>
      </c>
      <c r="AC699" s="3" t="str">
        <f t="shared" si="21"/>
        <v/>
      </c>
    </row>
    <row r="700" ht="12.75" customHeight="1">
      <c r="A700" s="25" t="str">
        <f t="shared" si="1"/>
        <v/>
      </c>
      <c r="B700" s="29" t="str">
        <f t="array" ref="B700">IF(D700="","",IFERROR(VALUE(INDEX(Vazoes_COLAR!$A$2:$A$200,INT((ROW()-24)/12)+1)),""))</f>
        <v/>
      </c>
      <c r="C700" s="29" t="str">
        <f t="shared" si="2"/>
        <v/>
      </c>
      <c r="D700" s="26" t="str">
        <f t="array" ref="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00" s="26" t="str">
        <f t="shared" si="3"/>
        <v/>
      </c>
      <c r="F700" s="26" t="str">
        <f t="array" ref="F700">IF(D700="","",IFERROR(INDEX(Dados_Evap!$C$2:$N$15,MATCH($B$9,Dados_Evap!$A$2:$A$15,0),C700),0))</f>
        <v/>
      </c>
      <c r="G700" s="26" t="str">
        <f t="shared" si="4"/>
        <v/>
      </c>
      <c r="H700" s="26" t="str">
        <f t="shared" si="22"/>
        <v/>
      </c>
      <c r="I700" s="26" t="str">
        <f t="array" ref="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/>
      </c>
      <c r="J700" s="26" t="str">
        <f t="shared" si="5"/>
        <v/>
      </c>
      <c r="K700" s="26" t="str">
        <f t="shared" si="6"/>
        <v/>
      </c>
      <c r="L700" s="26" t="str">
        <f t="shared" si="7"/>
        <v/>
      </c>
      <c r="M700" s="26" t="str">
        <f t="array" ref="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/>
      </c>
      <c r="N700" s="26" t="str">
        <f t="shared" si="8"/>
        <v/>
      </c>
      <c r="O700" s="26" t="str">
        <f t="shared" si="9"/>
        <v/>
      </c>
      <c r="P700" s="26" t="str">
        <f t="shared" si="10"/>
        <v/>
      </c>
      <c r="Q700" s="26" t="str">
        <f t="shared" si="11"/>
        <v/>
      </c>
      <c r="R700" s="26" t="str">
        <f t="shared" si="12"/>
        <v/>
      </c>
      <c r="S700" s="26" t="str">
        <f t="shared" si="13"/>
        <v/>
      </c>
      <c r="T700" s="26" t="str">
        <f t="shared" si="14"/>
        <v/>
      </c>
      <c r="U700" s="26" t="str">
        <f t="shared" si="15"/>
        <v/>
      </c>
      <c r="V700" s="26" t="str">
        <f t="shared" si="16"/>
        <v/>
      </c>
      <c r="W700" s="26" t="str">
        <f t="shared" si="17"/>
        <v/>
      </c>
      <c r="X700" s="26" t="str">
        <f t="shared" si="18"/>
        <v/>
      </c>
      <c r="Y700" s="26" t="str">
        <f t="shared" si="19"/>
        <v/>
      </c>
      <c r="Z700" s="31" t="str">
        <f t="shared" si="20"/>
        <v/>
      </c>
      <c r="AA700" s="31" t="str">
        <f>IF(D700="","",IF(H700&lt;=$B$16,1,IF(H700&gt;=$B$17,$B$21,MATCH(H700,Aux_CAV!$A$2:$A$121,1))))</f>
        <v/>
      </c>
      <c r="AB700" s="31" t="str">
        <f>IF(D700="","",IF(L700&lt;=$B$16,1,IF(L700&gt;=$B$17,$B$21,MATCH(L700,Aux_CAV!$A$2:$A$121,1))))</f>
        <v/>
      </c>
      <c r="AC700" s="3" t="str">
        <f t="shared" si="21"/>
        <v/>
      </c>
    </row>
    <row r="701" ht="12.75" customHeight="1">
      <c r="A701" s="25" t="str">
        <f t="shared" si="1"/>
        <v/>
      </c>
      <c r="B701" s="29" t="str">
        <f t="array" ref="B701">IF(D701="","",IFERROR(VALUE(INDEX(Vazoes_COLAR!$A$2:$A$200,INT((ROW()-24)/12)+1)),""))</f>
        <v/>
      </c>
      <c r="C701" s="29" t="str">
        <f t="shared" si="2"/>
        <v/>
      </c>
      <c r="D701" s="26" t="str">
        <f t="array" ref="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01" s="26" t="str">
        <f t="shared" si="3"/>
        <v/>
      </c>
      <c r="F701" s="26" t="str">
        <f t="array" ref="F701">IF(D701="","",IFERROR(INDEX(Dados_Evap!$C$2:$N$15,MATCH($B$9,Dados_Evap!$A$2:$A$15,0),C701),0))</f>
        <v/>
      </c>
      <c r="G701" s="26" t="str">
        <f t="shared" si="4"/>
        <v/>
      </c>
      <c r="H701" s="26" t="str">
        <f t="shared" si="22"/>
        <v/>
      </c>
      <c r="I701" s="26" t="str">
        <f t="array" ref="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/>
      </c>
      <c r="J701" s="26" t="str">
        <f t="shared" si="5"/>
        <v/>
      </c>
      <c r="K701" s="26" t="str">
        <f t="shared" si="6"/>
        <v/>
      </c>
      <c r="L701" s="26" t="str">
        <f t="shared" si="7"/>
        <v/>
      </c>
      <c r="M701" s="26" t="str">
        <f t="array" ref="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/>
      </c>
      <c r="N701" s="26" t="str">
        <f t="shared" si="8"/>
        <v/>
      </c>
      <c r="O701" s="26" t="str">
        <f t="shared" si="9"/>
        <v/>
      </c>
      <c r="P701" s="26" t="str">
        <f t="shared" si="10"/>
        <v/>
      </c>
      <c r="Q701" s="26" t="str">
        <f t="shared" si="11"/>
        <v/>
      </c>
      <c r="R701" s="26" t="str">
        <f t="shared" si="12"/>
        <v/>
      </c>
      <c r="S701" s="26" t="str">
        <f t="shared" si="13"/>
        <v/>
      </c>
      <c r="T701" s="26" t="str">
        <f t="shared" si="14"/>
        <v/>
      </c>
      <c r="U701" s="26" t="str">
        <f t="shared" si="15"/>
        <v/>
      </c>
      <c r="V701" s="26" t="str">
        <f t="shared" si="16"/>
        <v/>
      </c>
      <c r="W701" s="26" t="str">
        <f t="shared" si="17"/>
        <v/>
      </c>
      <c r="X701" s="26" t="str">
        <f t="shared" si="18"/>
        <v/>
      </c>
      <c r="Y701" s="26" t="str">
        <f t="shared" si="19"/>
        <v/>
      </c>
      <c r="Z701" s="31" t="str">
        <f t="shared" si="20"/>
        <v/>
      </c>
      <c r="AA701" s="31" t="str">
        <f>IF(D701="","",IF(H701&lt;=$B$16,1,IF(H701&gt;=$B$17,$B$21,MATCH(H701,Aux_CAV!$A$2:$A$121,1))))</f>
        <v/>
      </c>
      <c r="AB701" s="31" t="str">
        <f>IF(D701="","",IF(L701&lt;=$B$16,1,IF(L701&gt;=$B$17,$B$21,MATCH(L701,Aux_CAV!$A$2:$A$121,1))))</f>
        <v/>
      </c>
      <c r="AC701" s="3" t="str">
        <f t="shared" si="21"/>
        <v/>
      </c>
    </row>
    <row r="702" ht="12.75" customHeight="1">
      <c r="A702" s="25" t="str">
        <f t="shared" si="1"/>
        <v/>
      </c>
      <c r="B702" s="29" t="str">
        <f t="array" ref="B702">IF(D702="","",IFERROR(VALUE(INDEX(Vazoes_COLAR!$A$2:$A$200,INT((ROW()-24)/12)+1)),""))</f>
        <v/>
      </c>
      <c r="C702" s="29" t="str">
        <f t="shared" si="2"/>
        <v/>
      </c>
      <c r="D702" s="26" t="str">
        <f t="array" ref="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02" s="26" t="str">
        <f t="shared" si="3"/>
        <v/>
      </c>
      <c r="F702" s="26" t="str">
        <f t="array" ref="F702">IF(D702="","",IFERROR(INDEX(Dados_Evap!$C$2:$N$15,MATCH($B$9,Dados_Evap!$A$2:$A$15,0),C702),0))</f>
        <v/>
      </c>
      <c r="G702" s="26" t="str">
        <f t="shared" si="4"/>
        <v/>
      </c>
      <c r="H702" s="26" t="str">
        <f t="shared" si="22"/>
        <v/>
      </c>
      <c r="I702" s="26" t="str">
        <f t="array" ref="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/>
      </c>
      <c r="J702" s="26" t="str">
        <f t="shared" si="5"/>
        <v/>
      </c>
      <c r="K702" s="26" t="str">
        <f t="shared" si="6"/>
        <v/>
      </c>
      <c r="L702" s="26" t="str">
        <f t="shared" si="7"/>
        <v/>
      </c>
      <c r="M702" s="26" t="str">
        <f t="array" ref="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/>
      </c>
      <c r="N702" s="26" t="str">
        <f t="shared" si="8"/>
        <v/>
      </c>
      <c r="O702" s="26" t="str">
        <f t="shared" si="9"/>
        <v/>
      </c>
      <c r="P702" s="26" t="str">
        <f t="shared" si="10"/>
        <v/>
      </c>
      <c r="Q702" s="26" t="str">
        <f t="shared" si="11"/>
        <v/>
      </c>
      <c r="R702" s="26" t="str">
        <f t="shared" si="12"/>
        <v/>
      </c>
      <c r="S702" s="26" t="str">
        <f t="shared" si="13"/>
        <v/>
      </c>
      <c r="T702" s="26" t="str">
        <f t="shared" si="14"/>
        <v/>
      </c>
      <c r="U702" s="26" t="str">
        <f t="shared" si="15"/>
        <v/>
      </c>
      <c r="V702" s="26" t="str">
        <f t="shared" si="16"/>
        <v/>
      </c>
      <c r="W702" s="26" t="str">
        <f t="shared" si="17"/>
        <v/>
      </c>
      <c r="X702" s="26" t="str">
        <f t="shared" si="18"/>
        <v/>
      </c>
      <c r="Y702" s="26" t="str">
        <f t="shared" si="19"/>
        <v/>
      </c>
      <c r="Z702" s="31" t="str">
        <f t="shared" si="20"/>
        <v/>
      </c>
      <c r="AA702" s="31" t="str">
        <f>IF(D702="","",IF(H702&lt;=$B$16,1,IF(H702&gt;=$B$17,$B$21,MATCH(H702,Aux_CAV!$A$2:$A$121,1))))</f>
        <v/>
      </c>
      <c r="AB702" s="31" t="str">
        <f>IF(D702="","",IF(L702&lt;=$B$16,1,IF(L702&gt;=$B$17,$B$21,MATCH(L702,Aux_CAV!$A$2:$A$121,1))))</f>
        <v/>
      </c>
      <c r="AC702" s="3" t="str">
        <f t="shared" si="21"/>
        <v/>
      </c>
    </row>
    <row r="703" ht="12.75" customHeight="1">
      <c r="A703" s="25" t="str">
        <f t="shared" si="1"/>
        <v/>
      </c>
      <c r="B703" s="29" t="str">
        <f t="array" ref="B703">IF(D703="","",IFERROR(VALUE(INDEX(Vazoes_COLAR!$A$2:$A$200,INT((ROW()-24)/12)+1)),""))</f>
        <v/>
      </c>
      <c r="C703" s="29" t="str">
        <f t="shared" si="2"/>
        <v/>
      </c>
      <c r="D703" s="26" t="str">
        <f t="array" ref="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03" s="26" t="str">
        <f t="shared" si="3"/>
        <v/>
      </c>
      <c r="F703" s="26" t="str">
        <f t="array" ref="F703">IF(D703="","",IFERROR(INDEX(Dados_Evap!$C$2:$N$15,MATCH($B$9,Dados_Evap!$A$2:$A$15,0),C703),0))</f>
        <v/>
      </c>
      <c r="G703" s="26" t="str">
        <f t="shared" si="4"/>
        <v/>
      </c>
      <c r="H703" s="26" t="str">
        <f t="shared" si="22"/>
        <v/>
      </c>
      <c r="I703" s="26" t="str">
        <f t="array" ref="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/>
      </c>
      <c r="J703" s="26" t="str">
        <f t="shared" si="5"/>
        <v/>
      </c>
      <c r="K703" s="26" t="str">
        <f t="shared" si="6"/>
        <v/>
      </c>
      <c r="L703" s="26" t="str">
        <f t="shared" si="7"/>
        <v/>
      </c>
      <c r="M703" s="26" t="str">
        <f t="array" ref="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/>
      </c>
      <c r="N703" s="26" t="str">
        <f t="shared" si="8"/>
        <v/>
      </c>
      <c r="O703" s="26" t="str">
        <f t="shared" si="9"/>
        <v/>
      </c>
      <c r="P703" s="26" t="str">
        <f t="shared" si="10"/>
        <v/>
      </c>
      <c r="Q703" s="26" t="str">
        <f t="shared" si="11"/>
        <v/>
      </c>
      <c r="R703" s="26" t="str">
        <f t="shared" si="12"/>
        <v/>
      </c>
      <c r="S703" s="26" t="str">
        <f t="shared" si="13"/>
        <v/>
      </c>
      <c r="T703" s="26" t="str">
        <f t="shared" si="14"/>
        <v/>
      </c>
      <c r="U703" s="26" t="str">
        <f t="shared" si="15"/>
        <v/>
      </c>
      <c r="V703" s="26" t="str">
        <f t="shared" si="16"/>
        <v/>
      </c>
      <c r="W703" s="26" t="str">
        <f t="shared" si="17"/>
        <v/>
      </c>
      <c r="X703" s="26" t="str">
        <f t="shared" si="18"/>
        <v/>
      </c>
      <c r="Y703" s="26" t="str">
        <f t="shared" si="19"/>
        <v/>
      </c>
      <c r="Z703" s="31" t="str">
        <f t="shared" si="20"/>
        <v/>
      </c>
      <c r="AA703" s="31" t="str">
        <f>IF(D703="","",IF(H703&lt;=$B$16,1,IF(H703&gt;=$B$17,$B$21,MATCH(H703,Aux_CAV!$A$2:$A$121,1))))</f>
        <v/>
      </c>
      <c r="AB703" s="31" t="str">
        <f>IF(D703="","",IF(L703&lt;=$B$16,1,IF(L703&gt;=$B$17,$B$21,MATCH(L703,Aux_CAV!$A$2:$A$121,1))))</f>
        <v/>
      </c>
      <c r="AC703" s="3" t="str">
        <f t="shared" si="21"/>
        <v/>
      </c>
    </row>
    <row r="704" ht="12.75" customHeight="1">
      <c r="A704" s="25" t="str">
        <f t="shared" si="1"/>
        <v/>
      </c>
      <c r="B704" s="29" t="str">
        <f t="array" ref="B704">IF(D704="","",IFERROR(VALUE(INDEX(Vazoes_COLAR!$A$2:$A$200,INT((ROW()-24)/12)+1)),""))</f>
        <v/>
      </c>
      <c r="C704" s="29" t="str">
        <f t="shared" si="2"/>
        <v/>
      </c>
      <c r="D704" s="26" t="str">
        <f t="array" ref="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04" s="26" t="str">
        <f t="shared" si="3"/>
        <v/>
      </c>
      <c r="F704" s="26" t="str">
        <f t="array" ref="F704">IF(D704="","",IFERROR(INDEX(Dados_Evap!$C$2:$N$15,MATCH($B$9,Dados_Evap!$A$2:$A$15,0),C704),0))</f>
        <v/>
      </c>
      <c r="G704" s="26" t="str">
        <f t="shared" si="4"/>
        <v/>
      </c>
      <c r="H704" s="26" t="str">
        <f t="shared" si="22"/>
        <v/>
      </c>
      <c r="I704" s="26" t="str">
        <f t="array" ref="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/>
      </c>
      <c r="J704" s="26" t="str">
        <f t="shared" si="5"/>
        <v/>
      </c>
      <c r="K704" s="26" t="str">
        <f t="shared" si="6"/>
        <v/>
      </c>
      <c r="L704" s="26" t="str">
        <f t="shared" si="7"/>
        <v/>
      </c>
      <c r="M704" s="26" t="str">
        <f t="array" ref="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/>
      </c>
      <c r="N704" s="26" t="str">
        <f t="shared" si="8"/>
        <v/>
      </c>
      <c r="O704" s="26" t="str">
        <f t="shared" si="9"/>
        <v/>
      </c>
      <c r="P704" s="26" t="str">
        <f t="shared" si="10"/>
        <v/>
      </c>
      <c r="Q704" s="26" t="str">
        <f t="shared" si="11"/>
        <v/>
      </c>
      <c r="R704" s="26" t="str">
        <f t="shared" si="12"/>
        <v/>
      </c>
      <c r="S704" s="26" t="str">
        <f t="shared" si="13"/>
        <v/>
      </c>
      <c r="T704" s="26" t="str">
        <f t="shared" si="14"/>
        <v/>
      </c>
      <c r="U704" s="26" t="str">
        <f t="shared" si="15"/>
        <v/>
      </c>
      <c r="V704" s="26" t="str">
        <f t="shared" si="16"/>
        <v/>
      </c>
      <c r="W704" s="26" t="str">
        <f t="shared" si="17"/>
        <v/>
      </c>
      <c r="X704" s="26" t="str">
        <f t="shared" si="18"/>
        <v/>
      </c>
      <c r="Y704" s="26" t="str">
        <f t="shared" si="19"/>
        <v/>
      </c>
      <c r="Z704" s="31" t="str">
        <f t="shared" si="20"/>
        <v/>
      </c>
      <c r="AA704" s="31" t="str">
        <f>IF(D704="","",IF(H704&lt;=$B$16,1,IF(H704&gt;=$B$17,$B$21,MATCH(H704,Aux_CAV!$A$2:$A$121,1))))</f>
        <v/>
      </c>
      <c r="AB704" s="31" t="str">
        <f>IF(D704="","",IF(L704&lt;=$B$16,1,IF(L704&gt;=$B$17,$B$21,MATCH(L704,Aux_CAV!$A$2:$A$121,1))))</f>
        <v/>
      </c>
      <c r="AC704" s="3" t="str">
        <f t="shared" si="21"/>
        <v/>
      </c>
    </row>
    <row r="705" ht="12.75" customHeight="1">
      <c r="A705" s="25" t="str">
        <f t="shared" si="1"/>
        <v/>
      </c>
      <c r="B705" s="29" t="str">
        <f t="array" ref="B705">IF(D705="","",IFERROR(VALUE(INDEX(Vazoes_COLAR!$A$2:$A$200,INT((ROW()-24)/12)+1)),""))</f>
        <v/>
      </c>
      <c r="C705" s="29" t="str">
        <f t="shared" si="2"/>
        <v/>
      </c>
      <c r="D705" s="26" t="str">
        <f t="array" ref="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05" s="26" t="str">
        <f t="shared" si="3"/>
        <v/>
      </c>
      <c r="F705" s="26" t="str">
        <f t="array" ref="F705">IF(D705="","",IFERROR(INDEX(Dados_Evap!$C$2:$N$15,MATCH($B$9,Dados_Evap!$A$2:$A$15,0),C705),0))</f>
        <v/>
      </c>
      <c r="G705" s="26" t="str">
        <f t="shared" si="4"/>
        <v/>
      </c>
      <c r="H705" s="26" t="str">
        <f t="shared" si="22"/>
        <v/>
      </c>
      <c r="I705" s="26" t="str">
        <f t="array" ref="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/>
      </c>
      <c r="J705" s="26" t="str">
        <f t="shared" si="5"/>
        <v/>
      </c>
      <c r="K705" s="26" t="str">
        <f t="shared" si="6"/>
        <v/>
      </c>
      <c r="L705" s="26" t="str">
        <f t="shared" si="7"/>
        <v/>
      </c>
      <c r="M705" s="26" t="str">
        <f t="array" ref="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/>
      </c>
      <c r="N705" s="26" t="str">
        <f t="shared" si="8"/>
        <v/>
      </c>
      <c r="O705" s="26" t="str">
        <f t="shared" si="9"/>
        <v/>
      </c>
      <c r="P705" s="26" t="str">
        <f t="shared" si="10"/>
        <v/>
      </c>
      <c r="Q705" s="26" t="str">
        <f t="shared" si="11"/>
        <v/>
      </c>
      <c r="R705" s="26" t="str">
        <f t="shared" si="12"/>
        <v/>
      </c>
      <c r="S705" s="26" t="str">
        <f t="shared" si="13"/>
        <v/>
      </c>
      <c r="T705" s="26" t="str">
        <f t="shared" si="14"/>
        <v/>
      </c>
      <c r="U705" s="26" t="str">
        <f t="shared" si="15"/>
        <v/>
      </c>
      <c r="V705" s="26" t="str">
        <f t="shared" si="16"/>
        <v/>
      </c>
      <c r="W705" s="26" t="str">
        <f t="shared" si="17"/>
        <v/>
      </c>
      <c r="X705" s="26" t="str">
        <f t="shared" si="18"/>
        <v/>
      </c>
      <c r="Y705" s="26" t="str">
        <f t="shared" si="19"/>
        <v/>
      </c>
      <c r="Z705" s="31" t="str">
        <f t="shared" si="20"/>
        <v/>
      </c>
      <c r="AA705" s="31" t="str">
        <f>IF(D705="","",IF(H705&lt;=$B$16,1,IF(H705&gt;=$B$17,$B$21,MATCH(H705,Aux_CAV!$A$2:$A$121,1))))</f>
        <v/>
      </c>
      <c r="AB705" s="31" t="str">
        <f>IF(D705="","",IF(L705&lt;=$B$16,1,IF(L705&gt;=$B$17,$B$21,MATCH(L705,Aux_CAV!$A$2:$A$121,1))))</f>
        <v/>
      </c>
      <c r="AC705" s="3" t="str">
        <f t="shared" si="21"/>
        <v/>
      </c>
    </row>
    <row r="706" ht="12.75" customHeight="1">
      <c r="A706" s="25" t="str">
        <f t="shared" si="1"/>
        <v/>
      </c>
      <c r="B706" s="29" t="str">
        <f t="array" ref="B706">IF(D706="","",IFERROR(VALUE(INDEX(Vazoes_COLAR!$A$2:$A$200,INT((ROW()-24)/12)+1)),""))</f>
        <v/>
      </c>
      <c r="C706" s="29" t="str">
        <f t="shared" si="2"/>
        <v/>
      </c>
      <c r="D706" s="26" t="str">
        <f t="array" ref="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06" s="26" t="str">
        <f t="shared" si="3"/>
        <v/>
      </c>
      <c r="F706" s="26" t="str">
        <f t="array" ref="F706">IF(D706="","",IFERROR(INDEX(Dados_Evap!$C$2:$N$15,MATCH($B$9,Dados_Evap!$A$2:$A$15,0),C706),0))</f>
        <v/>
      </c>
      <c r="G706" s="26" t="str">
        <f t="shared" si="4"/>
        <v/>
      </c>
      <c r="H706" s="26" t="str">
        <f t="shared" si="22"/>
        <v/>
      </c>
      <c r="I706" s="26" t="str">
        <f t="array" ref="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/>
      </c>
      <c r="J706" s="26" t="str">
        <f t="shared" si="5"/>
        <v/>
      </c>
      <c r="K706" s="26" t="str">
        <f t="shared" si="6"/>
        <v/>
      </c>
      <c r="L706" s="26" t="str">
        <f t="shared" si="7"/>
        <v/>
      </c>
      <c r="M706" s="26" t="str">
        <f t="array" ref="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/>
      </c>
      <c r="N706" s="26" t="str">
        <f t="shared" si="8"/>
        <v/>
      </c>
      <c r="O706" s="26" t="str">
        <f t="shared" si="9"/>
        <v/>
      </c>
      <c r="P706" s="26" t="str">
        <f t="shared" si="10"/>
        <v/>
      </c>
      <c r="Q706" s="26" t="str">
        <f t="shared" si="11"/>
        <v/>
      </c>
      <c r="R706" s="26" t="str">
        <f t="shared" si="12"/>
        <v/>
      </c>
      <c r="S706" s="26" t="str">
        <f t="shared" si="13"/>
        <v/>
      </c>
      <c r="T706" s="26" t="str">
        <f t="shared" si="14"/>
        <v/>
      </c>
      <c r="U706" s="26" t="str">
        <f t="shared" si="15"/>
        <v/>
      </c>
      <c r="V706" s="26" t="str">
        <f t="shared" si="16"/>
        <v/>
      </c>
      <c r="W706" s="26" t="str">
        <f t="shared" si="17"/>
        <v/>
      </c>
      <c r="X706" s="26" t="str">
        <f t="shared" si="18"/>
        <v/>
      </c>
      <c r="Y706" s="26" t="str">
        <f t="shared" si="19"/>
        <v/>
      </c>
      <c r="Z706" s="31" t="str">
        <f t="shared" si="20"/>
        <v/>
      </c>
      <c r="AA706" s="31" t="str">
        <f>IF(D706="","",IF(H706&lt;=$B$16,1,IF(H706&gt;=$B$17,$B$21,MATCH(H706,Aux_CAV!$A$2:$A$121,1))))</f>
        <v/>
      </c>
      <c r="AB706" s="31" t="str">
        <f>IF(D706="","",IF(L706&lt;=$B$16,1,IF(L706&gt;=$B$17,$B$21,MATCH(L706,Aux_CAV!$A$2:$A$121,1))))</f>
        <v/>
      </c>
      <c r="AC706" s="3" t="str">
        <f t="shared" si="21"/>
        <v/>
      </c>
    </row>
    <row r="707" ht="12.75" customHeight="1">
      <c r="A707" s="25" t="str">
        <f t="shared" si="1"/>
        <v/>
      </c>
      <c r="B707" s="29" t="str">
        <f t="array" ref="B707">IF(D707="","",IFERROR(VALUE(INDEX(Vazoes_COLAR!$A$2:$A$200,INT((ROW()-24)/12)+1)),""))</f>
        <v/>
      </c>
      <c r="C707" s="29" t="str">
        <f t="shared" si="2"/>
        <v/>
      </c>
      <c r="D707" s="26" t="str">
        <f t="array" ref="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07" s="26" t="str">
        <f t="shared" si="3"/>
        <v/>
      </c>
      <c r="F707" s="26" t="str">
        <f t="array" ref="F707">IF(D707="","",IFERROR(INDEX(Dados_Evap!$C$2:$N$15,MATCH($B$9,Dados_Evap!$A$2:$A$15,0),C707),0))</f>
        <v/>
      </c>
      <c r="G707" s="26" t="str">
        <f t="shared" si="4"/>
        <v/>
      </c>
      <c r="H707" s="26" t="str">
        <f t="shared" si="22"/>
        <v/>
      </c>
      <c r="I707" s="26" t="str">
        <f t="array" ref="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/>
      </c>
      <c r="J707" s="26" t="str">
        <f t="shared" si="5"/>
        <v/>
      </c>
      <c r="K707" s="26" t="str">
        <f t="shared" si="6"/>
        <v/>
      </c>
      <c r="L707" s="26" t="str">
        <f t="shared" si="7"/>
        <v/>
      </c>
      <c r="M707" s="26" t="str">
        <f t="array" ref="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/>
      </c>
      <c r="N707" s="26" t="str">
        <f t="shared" si="8"/>
        <v/>
      </c>
      <c r="O707" s="26" t="str">
        <f t="shared" si="9"/>
        <v/>
      </c>
      <c r="P707" s="26" t="str">
        <f t="shared" si="10"/>
        <v/>
      </c>
      <c r="Q707" s="26" t="str">
        <f t="shared" si="11"/>
        <v/>
      </c>
      <c r="R707" s="26" t="str">
        <f t="shared" si="12"/>
        <v/>
      </c>
      <c r="S707" s="26" t="str">
        <f t="shared" si="13"/>
        <v/>
      </c>
      <c r="T707" s="26" t="str">
        <f t="shared" si="14"/>
        <v/>
      </c>
      <c r="U707" s="26" t="str">
        <f t="shared" si="15"/>
        <v/>
      </c>
      <c r="V707" s="26" t="str">
        <f t="shared" si="16"/>
        <v/>
      </c>
      <c r="W707" s="26" t="str">
        <f t="shared" si="17"/>
        <v/>
      </c>
      <c r="X707" s="26" t="str">
        <f t="shared" si="18"/>
        <v/>
      </c>
      <c r="Y707" s="26" t="str">
        <f t="shared" si="19"/>
        <v/>
      </c>
      <c r="Z707" s="31" t="str">
        <f t="shared" si="20"/>
        <v/>
      </c>
      <c r="AA707" s="31" t="str">
        <f>IF(D707="","",IF(H707&lt;=$B$16,1,IF(H707&gt;=$B$17,$B$21,MATCH(H707,Aux_CAV!$A$2:$A$121,1))))</f>
        <v/>
      </c>
      <c r="AB707" s="31" t="str">
        <f>IF(D707="","",IF(L707&lt;=$B$16,1,IF(L707&gt;=$B$17,$B$21,MATCH(L707,Aux_CAV!$A$2:$A$121,1))))</f>
        <v/>
      </c>
      <c r="AC707" s="3" t="str">
        <f t="shared" si="21"/>
        <v/>
      </c>
    </row>
    <row r="708" ht="12.75" customHeight="1">
      <c r="A708" s="25" t="str">
        <f t="shared" si="1"/>
        <v/>
      </c>
      <c r="B708" s="29" t="str">
        <f t="array" ref="B708">IF(D708="","",IFERROR(VALUE(INDEX(Vazoes_COLAR!$A$2:$A$200,INT((ROW()-24)/12)+1)),""))</f>
        <v/>
      </c>
      <c r="C708" s="29" t="str">
        <f t="shared" si="2"/>
        <v/>
      </c>
      <c r="D708" s="26" t="str">
        <f t="array" ref="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08" s="26" t="str">
        <f t="shared" si="3"/>
        <v/>
      </c>
      <c r="F708" s="26" t="str">
        <f t="array" ref="F708">IF(D708="","",IFERROR(INDEX(Dados_Evap!$C$2:$N$15,MATCH($B$9,Dados_Evap!$A$2:$A$15,0),C708),0))</f>
        <v/>
      </c>
      <c r="G708" s="26" t="str">
        <f t="shared" si="4"/>
        <v/>
      </c>
      <c r="H708" s="26" t="str">
        <f t="shared" si="22"/>
        <v/>
      </c>
      <c r="I708" s="26" t="str">
        <f t="array" ref="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/>
      </c>
      <c r="J708" s="26" t="str">
        <f t="shared" si="5"/>
        <v/>
      </c>
      <c r="K708" s="26" t="str">
        <f t="shared" si="6"/>
        <v/>
      </c>
      <c r="L708" s="26" t="str">
        <f t="shared" si="7"/>
        <v/>
      </c>
      <c r="M708" s="26" t="str">
        <f t="array" ref="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/>
      </c>
      <c r="N708" s="26" t="str">
        <f t="shared" si="8"/>
        <v/>
      </c>
      <c r="O708" s="26" t="str">
        <f t="shared" si="9"/>
        <v/>
      </c>
      <c r="P708" s="26" t="str">
        <f t="shared" si="10"/>
        <v/>
      </c>
      <c r="Q708" s="26" t="str">
        <f t="shared" si="11"/>
        <v/>
      </c>
      <c r="R708" s="26" t="str">
        <f t="shared" si="12"/>
        <v/>
      </c>
      <c r="S708" s="26" t="str">
        <f t="shared" si="13"/>
        <v/>
      </c>
      <c r="T708" s="26" t="str">
        <f t="shared" si="14"/>
        <v/>
      </c>
      <c r="U708" s="26" t="str">
        <f t="shared" si="15"/>
        <v/>
      </c>
      <c r="V708" s="26" t="str">
        <f t="shared" si="16"/>
        <v/>
      </c>
      <c r="W708" s="26" t="str">
        <f t="shared" si="17"/>
        <v/>
      </c>
      <c r="X708" s="26" t="str">
        <f t="shared" si="18"/>
        <v/>
      </c>
      <c r="Y708" s="26" t="str">
        <f t="shared" si="19"/>
        <v/>
      </c>
      <c r="Z708" s="31" t="str">
        <f t="shared" si="20"/>
        <v/>
      </c>
      <c r="AA708" s="31" t="str">
        <f>IF(D708="","",IF(H708&lt;=$B$16,1,IF(H708&gt;=$B$17,$B$21,MATCH(H708,Aux_CAV!$A$2:$A$121,1))))</f>
        <v/>
      </c>
      <c r="AB708" s="31" t="str">
        <f>IF(D708="","",IF(L708&lt;=$B$16,1,IF(L708&gt;=$B$17,$B$21,MATCH(L708,Aux_CAV!$A$2:$A$121,1))))</f>
        <v/>
      </c>
      <c r="AC708" s="3" t="str">
        <f t="shared" si="21"/>
        <v/>
      </c>
    </row>
    <row r="709" ht="12.75" customHeight="1">
      <c r="A709" s="25" t="str">
        <f t="shared" si="1"/>
        <v/>
      </c>
      <c r="B709" s="29" t="str">
        <f t="array" ref="B709">IF(D709="","",IFERROR(VALUE(INDEX(Vazoes_COLAR!$A$2:$A$200,INT((ROW()-24)/12)+1)),""))</f>
        <v/>
      </c>
      <c r="C709" s="29" t="str">
        <f t="shared" si="2"/>
        <v/>
      </c>
      <c r="D709" s="26" t="str">
        <f t="array" ref="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09" s="26" t="str">
        <f t="shared" si="3"/>
        <v/>
      </c>
      <c r="F709" s="26" t="str">
        <f t="array" ref="F709">IF(D709="","",IFERROR(INDEX(Dados_Evap!$C$2:$N$15,MATCH($B$9,Dados_Evap!$A$2:$A$15,0),C709),0))</f>
        <v/>
      </c>
      <c r="G709" s="26" t="str">
        <f t="shared" si="4"/>
        <v/>
      </c>
      <c r="H709" s="26" t="str">
        <f t="shared" si="22"/>
        <v/>
      </c>
      <c r="I709" s="26" t="str">
        <f t="array" ref="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/>
      </c>
      <c r="J709" s="26" t="str">
        <f t="shared" si="5"/>
        <v/>
      </c>
      <c r="K709" s="26" t="str">
        <f t="shared" si="6"/>
        <v/>
      </c>
      <c r="L709" s="26" t="str">
        <f t="shared" si="7"/>
        <v/>
      </c>
      <c r="M709" s="26" t="str">
        <f t="array" ref="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/>
      </c>
      <c r="N709" s="26" t="str">
        <f t="shared" si="8"/>
        <v/>
      </c>
      <c r="O709" s="26" t="str">
        <f t="shared" si="9"/>
        <v/>
      </c>
      <c r="P709" s="26" t="str">
        <f t="shared" si="10"/>
        <v/>
      </c>
      <c r="Q709" s="26" t="str">
        <f t="shared" si="11"/>
        <v/>
      </c>
      <c r="R709" s="26" t="str">
        <f t="shared" si="12"/>
        <v/>
      </c>
      <c r="S709" s="26" t="str">
        <f t="shared" si="13"/>
        <v/>
      </c>
      <c r="T709" s="26" t="str">
        <f t="shared" si="14"/>
        <v/>
      </c>
      <c r="U709" s="26" t="str">
        <f t="shared" si="15"/>
        <v/>
      </c>
      <c r="V709" s="26" t="str">
        <f t="shared" si="16"/>
        <v/>
      </c>
      <c r="W709" s="26" t="str">
        <f t="shared" si="17"/>
        <v/>
      </c>
      <c r="X709" s="26" t="str">
        <f t="shared" si="18"/>
        <v/>
      </c>
      <c r="Y709" s="26" t="str">
        <f t="shared" si="19"/>
        <v/>
      </c>
      <c r="Z709" s="31" t="str">
        <f t="shared" si="20"/>
        <v/>
      </c>
      <c r="AA709" s="31" t="str">
        <f>IF(D709="","",IF(H709&lt;=$B$16,1,IF(H709&gt;=$B$17,$B$21,MATCH(H709,Aux_CAV!$A$2:$A$121,1))))</f>
        <v/>
      </c>
      <c r="AB709" s="31" t="str">
        <f>IF(D709="","",IF(L709&lt;=$B$16,1,IF(L709&gt;=$B$17,$B$21,MATCH(L709,Aux_CAV!$A$2:$A$121,1))))</f>
        <v/>
      </c>
      <c r="AC709" s="3" t="str">
        <f t="shared" si="21"/>
        <v/>
      </c>
    </row>
    <row r="710" ht="12.75" customHeight="1">
      <c r="A710" s="25" t="str">
        <f t="shared" si="1"/>
        <v/>
      </c>
      <c r="B710" s="29" t="str">
        <f t="array" ref="B710">IF(D710="","",IFERROR(VALUE(INDEX(Vazoes_COLAR!$A$2:$A$200,INT((ROW()-24)/12)+1)),""))</f>
        <v/>
      </c>
      <c r="C710" s="29" t="str">
        <f t="shared" si="2"/>
        <v/>
      </c>
      <c r="D710" s="26" t="str">
        <f t="array" ref="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10" s="26" t="str">
        <f t="shared" si="3"/>
        <v/>
      </c>
      <c r="F710" s="26" t="str">
        <f t="array" ref="F710">IF(D710="","",IFERROR(INDEX(Dados_Evap!$C$2:$N$15,MATCH($B$9,Dados_Evap!$A$2:$A$15,0),C710),0))</f>
        <v/>
      </c>
      <c r="G710" s="26" t="str">
        <f t="shared" si="4"/>
        <v/>
      </c>
      <c r="H710" s="26" t="str">
        <f t="shared" si="22"/>
        <v/>
      </c>
      <c r="I710" s="26" t="str">
        <f t="array" ref="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/>
      </c>
      <c r="J710" s="26" t="str">
        <f t="shared" si="5"/>
        <v/>
      </c>
      <c r="K710" s="26" t="str">
        <f t="shared" si="6"/>
        <v/>
      </c>
      <c r="L710" s="26" t="str">
        <f t="shared" si="7"/>
        <v/>
      </c>
      <c r="M710" s="26" t="str">
        <f t="array" ref="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/>
      </c>
      <c r="N710" s="26" t="str">
        <f t="shared" si="8"/>
        <v/>
      </c>
      <c r="O710" s="26" t="str">
        <f t="shared" si="9"/>
        <v/>
      </c>
      <c r="P710" s="26" t="str">
        <f t="shared" si="10"/>
        <v/>
      </c>
      <c r="Q710" s="26" t="str">
        <f t="shared" si="11"/>
        <v/>
      </c>
      <c r="R710" s="26" t="str">
        <f t="shared" si="12"/>
        <v/>
      </c>
      <c r="S710" s="26" t="str">
        <f t="shared" si="13"/>
        <v/>
      </c>
      <c r="T710" s="26" t="str">
        <f t="shared" si="14"/>
        <v/>
      </c>
      <c r="U710" s="26" t="str">
        <f t="shared" si="15"/>
        <v/>
      </c>
      <c r="V710" s="26" t="str">
        <f t="shared" si="16"/>
        <v/>
      </c>
      <c r="W710" s="26" t="str">
        <f t="shared" si="17"/>
        <v/>
      </c>
      <c r="X710" s="26" t="str">
        <f t="shared" si="18"/>
        <v/>
      </c>
      <c r="Y710" s="26" t="str">
        <f t="shared" si="19"/>
        <v/>
      </c>
      <c r="Z710" s="31" t="str">
        <f t="shared" si="20"/>
        <v/>
      </c>
      <c r="AA710" s="31" t="str">
        <f>IF(D710="","",IF(H710&lt;=$B$16,1,IF(H710&gt;=$B$17,$B$21,MATCH(H710,Aux_CAV!$A$2:$A$121,1))))</f>
        <v/>
      </c>
      <c r="AB710" s="31" t="str">
        <f>IF(D710="","",IF(L710&lt;=$B$16,1,IF(L710&gt;=$B$17,$B$21,MATCH(L710,Aux_CAV!$A$2:$A$121,1))))</f>
        <v/>
      </c>
      <c r="AC710" s="3" t="str">
        <f t="shared" si="21"/>
        <v/>
      </c>
    </row>
    <row r="711" ht="12.75" customHeight="1">
      <c r="A711" s="25" t="str">
        <f t="shared" si="1"/>
        <v/>
      </c>
      <c r="B711" s="29" t="str">
        <f t="array" ref="B711">IF(D711="","",IFERROR(VALUE(INDEX(Vazoes_COLAR!$A$2:$A$200,INT((ROW()-24)/12)+1)),""))</f>
        <v/>
      </c>
      <c r="C711" s="29" t="str">
        <f t="shared" si="2"/>
        <v/>
      </c>
      <c r="D711" s="26" t="str">
        <f t="array" ref="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11" s="26" t="str">
        <f t="shared" si="3"/>
        <v/>
      </c>
      <c r="F711" s="26" t="str">
        <f t="array" ref="F711">IF(D711="","",IFERROR(INDEX(Dados_Evap!$C$2:$N$15,MATCH($B$9,Dados_Evap!$A$2:$A$15,0),C711),0))</f>
        <v/>
      </c>
      <c r="G711" s="26" t="str">
        <f t="shared" si="4"/>
        <v/>
      </c>
      <c r="H711" s="26" t="str">
        <f t="shared" si="22"/>
        <v/>
      </c>
      <c r="I711" s="26" t="str">
        <f t="array" ref="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/>
      </c>
      <c r="J711" s="26" t="str">
        <f t="shared" si="5"/>
        <v/>
      </c>
      <c r="K711" s="26" t="str">
        <f t="shared" si="6"/>
        <v/>
      </c>
      <c r="L711" s="26" t="str">
        <f t="shared" si="7"/>
        <v/>
      </c>
      <c r="M711" s="26" t="str">
        <f t="array" ref="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/>
      </c>
      <c r="N711" s="26" t="str">
        <f t="shared" si="8"/>
        <v/>
      </c>
      <c r="O711" s="26" t="str">
        <f t="shared" si="9"/>
        <v/>
      </c>
      <c r="P711" s="26" t="str">
        <f t="shared" si="10"/>
        <v/>
      </c>
      <c r="Q711" s="26" t="str">
        <f t="shared" si="11"/>
        <v/>
      </c>
      <c r="R711" s="26" t="str">
        <f t="shared" si="12"/>
        <v/>
      </c>
      <c r="S711" s="26" t="str">
        <f t="shared" si="13"/>
        <v/>
      </c>
      <c r="T711" s="26" t="str">
        <f t="shared" si="14"/>
        <v/>
      </c>
      <c r="U711" s="26" t="str">
        <f t="shared" si="15"/>
        <v/>
      </c>
      <c r="V711" s="26" t="str">
        <f t="shared" si="16"/>
        <v/>
      </c>
      <c r="W711" s="26" t="str">
        <f t="shared" si="17"/>
        <v/>
      </c>
      <c r="X711" s="26" t="str">
        <f t="shared" si="18"/>
        <v/>
      </c>
      <c r="Y711" s="26" t="str">
        <f t="shared" si="19"/>
        <v/>
      </c>
      <c r="Z711" s="31" t="str">
        <f t="shared" si="20"/>
        <v/>
      </c>
      <c r="AA711" s="31" t="str">
        <f>IF(D711="","",IF(H711&lt;=$B$16,1,IF(H711&gt;=$B$17,$B$21,MATCH(H711,Aux_CAV!$A$2:$A$121,1))))</f>
        <v/>
      </c>
      <c r="AB711" s="31" t="str">
        <f>IF(D711="","",IF(L711&lt;=$B$16,1,IF(L711&gt;=$B$17,$B$21,MATCH(L711,Aux_CAV!$A$2:$A$121,1))))</f>
        <v/>
      </c>
      <c r="AC711" s="3" t="str">
        <f t="shared" si="21"/>
        <v/>
      </c>
    </row>
    <row r="712" ht="12.75" customHeight="1">
      <c r="A712" s="25" t="str">
        <f t="shared" si="1"/>
        <v/>
      </c>
      <c r="B712" s="29" t="str">
        <f t="array" ref="B712">IF(D712="","",IFERROR(VALUE(INDEX(Vazoes_COLAR!$A$2:$A$200,INT((ROW()-24)/12)+1)),""))</f>
        <v/>
      </c>
      <c r="C712" s="29" t="str">
        <f t="shared" si="2"/>
        <v/>
      </c>
      <c r="D712" s="26" t="str">
        <f t="array" ref="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12" s="26" t="str">
        <f t="shared" si="3"/>
        <v/>
      </c>
      <c r="F712" s="26" t="str">
        <f t="array" ref="F712">IF(D712="","",IFERROR(INDEX(Dados_Evap!$C$2:$N$15,MATCH($B$9,Dados_Evap!$A$2:$A$15,0),C712),0))</f>
        <v/>
      </c>
      <c r="G712" s="26" t="str">
        <f t="shared" si="4"/>
        <v/>
      </c>
      <c r="H712" s="26" t="str">
        <f t="shared" si="22"/>
        <v/>
      </c>
      <c r="I712" s="26" t="str">
        <f t="array" ref="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/>
      </c>
      <c r="J712" s="26" t="str">
        <f t="shared" si="5"/>
        <v/>
      </c>
      <c r="K712" s="26" t="str">
        <f t="shared" si="6"/>
        <v/>
      </c>
      <c r="L712" s="26" t="str">
        <f t="shared" si="7"/>
        <v/>
      </c>
      <c r="M712" s="26" t="str">
        <f t="array" ref="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/>
      </c>
      <c r="N712" s="26" t="str">
        <f t="shared" si="8"/>
        <v/>
      </c>
      <c r="O712" s="26" t="str">
        <f t="shared" si="9"/>
        <v/>
      </c>
      <c r="P712" s="26" t="str">
        <f t="shared" si="10"/>
        <v/>
      </c>
      <c r="Q712" s="26" t="str">
        <f t="shared" si="11"/>
        <v/>
      </c>
      <c r="R712" s="26" t="str">
        <f t="shared" si="12"/>
        <v/>
      </c>
      <c r="S712" s="26" t="str">
        <f t="shared" si="13"/>
        <v/>
      </c>
      <c r="T712" s="26" t="str">
        <f t="shared" si="14"/>
        <v/>
      </c>
      <c r="U712" s="26" t="str">
        <f t="shared" si="15"/>
        <v/>
      </c>
      <c r="V712" s="26" t="str">
        <f t="shared" si="16"/>
        <v/>
      </c>
      <c r="W712" s="26" t="str">
        <f t="shared" si="17"/>
        <v/>
      </c>
      <c r="X712" s="26" t="str">
        <f t="shared" si="18"/>
        <v/>
      </c>
      <c r="Y712" s="26" t="str">
        <f t="shared" si="19"/>
        <v/>
      </c>
      <c r="Z712" s="31" t="str">
        <f t="shared" si="20"/>
        <v/>
      </c>
      <c r="AA712" s="31" t="str">
        <f>IF(D712="","",IF(H712&lt;=$B$16,1,IF(H712&gt;=$B$17,$B$21,MATCH(H712,Aux_CAV!$A$2:$A$121,1))))</f>
        <v/>
      </c>
      <c r="AB712" s="31" t="str">
        <f>IF(D712="","",IF(L712&lt;=$B$16,1,IF(L712&gt;=$B$17,$B$21,MATCH(L712,Aux_CAV!$A$2:$A$121,1))))</f>
        <v/>
      </c>
      <c r="AC712" s="3" t="str">
        <f t="shared" si="21"/>
        <v/>
      </c>
    </row>
    <row r="713" ht="12.75" customHeight="1">
      <c r="A713" s="25" t="str">
        <f t="shared" si="1"/>
        <v/>
      </c>
      <c r="B713" s="29" t="str">
        <f t="array" ref="B713">IF(D713="","",IFERROR(VALUE(INDEX(Vazoes_COLAR!$A$2:$A$200,INT((ROW()-24)/12)+1)),""))</f>
        <v/>
      </c>
      <c r="C713" s="29" t="str">
        <f t="shared" si="2"/>
        <v/>
      </c>
      <c r="D713" s="26" t="str">
        <f t="array" ref="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13" s="26" t="str">
        <f t="shared" si="3"/>
        <v/>
      </c>
      <c r="F713" s="26" t="str">
        <f t="array" ref="F713">IF(D713="","",IFERROR(INDEX(Dados_Evap!$C$2:$N$15,MATCH($B$9,Dados_Evap!$A$2:$A$15,0),C713),0))</f>
        <v/>
      </c>
      <c r="G713" s="26" t="str">
        <f t="shared" si="4"/>
        <v/>
      </c>
      <c r="H713" s="26" t="str">
        <f t="shared" si="22"/>
        <v/>
      </c>
      <c r="I713" s="26" t="str">
        <f t="array" ref="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/>
      </c>
      <c r="J713" s="26" t="str">
        <f t="shared" si="5"/>
        <v/>
      </c>
      <c r="K713" s="26" t="str">
        <f t="shared" si="6"/>
        <v/>
      </c>
      <c r="L713" s="26" t="str">
        <f t="shared" si="7"/>
        <v/>
      </c>
      <c r="M713" s="26" t="str">
        <f t="array" ref="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/>
      </c>
      <c r="N713" s="26" t="str">
        <f t="shared" si="8"/>
        <v/>
      </c>
      <c r="O713" s="26" t="str">
        <f t="shared" si="9"/>
        <v/>
      </c>
      <c r="P713" s="26" t="str">
        <f t="shared" si="10"/>
        <v/>
      </c>
      <c r="Q713" s="26" t="str">
        <f t="shared" si="11"/>
        <v/>
      </c>
      <c r="R713" s="26" t="str">
        <f t="shared" si="12"/>
        <v/>
      </c>
      <c r="S713" s="26" t="str">
        <f t="shared" si="13"/>
        <v/>
      </c>
      <c r="T713" s="26" t="str">
        <f t="shared" si="14"/>
        <v/>
      </c>
      <c r="U713" s="26" t="str">
        <f t="shared" si="15"/>
        <v/>
      </c>
      <c r="V713" s="26" t="str">
        <f t="shared" si="16"/>
        <v/>
      </c>
      <c r="W713" s="26" t="str">
        <f t="shared" si="17"/>
        <v/>
      </c>
      <c r="X713" s="26" t="str">
        <f t="shared" si="18"/>
        <v/>
      </c>
      <c r="Y713" s="26" t="str">
        <f t="shared" si="19"/>
        <v/>
      </c>
      <c r="Z713" s="31" t="str">
        <f t="shared" si="20"/>
        <v/>
      </c>
      <c r="AA713" s="31" t="str">
        <f>IF(D713="","",IF(H713&lt;=$B$16,1,IF(H713&gt;=$B$17,$B$21,MATCH(H713,Aux_CAV!$A$2:$A$121,1))))</f>
        <v/>
      </c>
      <c r="AB713" s="31" t="str">
        <f>IF(D713="","",IF(L713&lt;=$B$16,1,IF(L713&gt;=$B$17,$B$21,MATCH(L713,Aux_CAV!$A$2:$A$121,1))))</f>
        <v/>
      </c>
      <c r="AC713" s="3" t="str">
        <f t="shared" si="21"/>
        <v/>
      </c>
    </row>
    <row r="714" ht="12.75" customHeight="1">
      <c r="A714" s="25" t="str">
        <f t="shared" si="1"/>
        <v/>
      </c>
      <c r="B714" s="29" t="str">
        <f t="array" ref="B714">IF(D714="","",IFERROR(VALUE(INDEX(Vazoes_COLAR!$A$2:$A$200,INT((ROW()-24)/12)+1)),""))</f>
        <v/>
      </c>
      <c r="C714" s="29" t="str">
        <f t="shared" si="2"/>
        <v/>
      </c>
      <c r="D714" s="26" t="str">
        <f t="array" ref="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14" s="26" t="str">
        <f t="shared" si="3"/>
        <v/>
      </c>
      <c r="F714" s="26" t="str">
        <f t="array" ref="F714">IF(D714="","",IFERROR(INDEX(Dados_Evap!$C$2:$N$15,MATCH($B$9,Dados_Evap!$A$2:$A$15,0),C714),0))</f>
        <v/>
      </c>
      <c r="G714" s="26" t="str">
        <f t="shared" si="4"/>
        <v/>
      </c>
      <c r="H714" s="26" t="str">
        <f t="shared" si="22"/>
        <v/>
      </c>
      <c r="I714" s="26" t="str">
        <f t="array" ref="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/>
      </c>
      <c r="J714" s="26" t="str">
        <f t="shared" si="5"/>
        <v/>
      </c>
      <c r="K714" s="26" t="str">
        <f t="shared" si="6"/>
        <v/>
      </c>
      <c r="L714" s="26" t="str">
        <f t="shared" si="7"/>
        <v/>
      </c>
      <c r="M714" s="26" t="str">
        <f t="array" ref="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/>
      </c>
      <c r="N714" s="26" t="str">
        <f t="shared" si="8"/>
        <v/>
      </c>
      <c r="O714" s="26" t="str">
        <f t="shared" si="9"/>
        <v/>
      </c>
      <c r="P714" s="26" t="str">
        <f t="shared" si="10"/>
        <v/>
      </c>
      <c r="Q714" s="26" t="str">
        <f t="shared" si="11"/>
        <v/>
      </c>
      <c r="R714" s="26" t="str">
        <f t="shared" si="12"/>
        <v/>
      </c>
      <c r="S714" s="26" t="str">
        <f t="shared" si="13"/>
        <v/>
      </c>
      <c r="T714" s="26" t="str">
        <f t="shared" si="14"/>
        <v/>
      </c>
      <c r="U714" s="26" t="str">
        <f t="shared" si="15"/>
        <v/>
      </c>
      <c r="V714" s="26" t="str">
        <f t="shared" si="16"/>
        <v/>
      </c>
      <c r="W714" s="26" t="str">
        <f t="shared" si="17"/>
        <v/>
      </c>
      <c r="X714" s="26" t="str">
        <f t="shared" si="18"/>
        <v/>
      </c>
      <c r="Y714" s="26" t="str">
        <f t="shared" si="19"/>
        <v/>
      </c>
      <c r="Z714" s="31" t="str">
        <f t="shared" si="20"/>
        <v/>
      </c>
      <c r="AA714" s="31" t="str">
        <f>IF(D714="","",IF(H714&lt;=$B$16,1,IF(H714&gt;=$B$17,$B$21,MATCH(H714,Aux_CAV!$A$2:$A$121,1))))</f>
        <v/>
      </c>
      <c r="AB714" s="31" t="str">
        <f>IF(D714="","",IF(L714&lt;=$B$16,1,IF(L714&gt;=$B$17,$B$21,MATCH(L714,Aux_CAV!$A$2:$A$121,1))))</f>
        <v/>
      </c>
      <c r="AC714" s="3" t="str">
        <f t="shared" si="21"/>
        <v/>
      </c>
    </row>
    <row r="715" ht="12.75" customHeight="1">
      <c r="A715" s="25" t="str">
        <f t="shared" si="1"/>
        <v/>
      </c>
      <c r="B715" s="29" t="str">
        <f t="array" ref="B715">IF(D715="","",IFERROR(VALUE(INDEX(Vazoes_COLAR!$A$2:$A$200,INT((ROW()-24)/12)+1)),""))</f>
        <v/>
      </c>
      <c r="C715" s="29" t="str">
        <f t="shared" si="2"/>
        <v/>
      </c>
      <c r="D715" s="26" t="str">
        <f t="array" ref="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15" s="26" t="str">
        <f t="shared" si="3"/>
        <v/>
      </c>
      <c r="F715" s="26" t="str">
        <f t="array" ref="F715">IF(D715="","",IFERROR(INDEX(Dados_Evap!$C$2:$N$15,MATCH($B$9,Dados_Evap!$A$2:$A$15,0),C715),0))</f>
        <v/>
      </c>
      <c r="G715" s="26" t="str">
        <f t="shared" si="4"/>
        <v/>
      </c>
      <c r="H715" s="26" t="str">
        <f t="shared" si="22"/>
        <v/>
      </c>
      <c r="I715" s="26" t="str">
        <f t="array" ref="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/>
      </c>
      <c r="J715" s="26" t="str">
        <f t="shared" si="5"/>
        <v/>
      </c>
      <c r="K715" s="26" t="str">
        <f t="shared" si="6"/>
        <v/>
      </c>
      <c r="L715" s="26" t="str">
        <f t="shared" si="7"/>
        <v/>
      </c>
      <c r="M715" s="26" t="str">
        <f t="array" ref="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/>
      </c>
      <c r="N715" s="26" t="str">
        <f t="shared" si="8"/>
        <v/>
      </c>
      <c r="O715" s="26" t="str">
        <f t="shared" si="9"/>
        <v/>
      </c>
      <c r="P715" s="26" t="str">
        <f t="shared" si="10"/>
        <v/>
      </c>
      <c r="Q715" s="26" t="str">
        <f t="shared" si="11"/>
        <v/>
      </c>
      <c r="R715" s="26" t="str">
        <f t="shared" si="12"/>
        <v/>
      </c>
      <c r="S715" s="26" t="str">
        <f t="shared" si="13"/>
        <v/>
      </c>
      <c r="T715" s="26" t="str">
        <f t="shared" si="14"/>
        <v/>
      </c>
      <c r="U715" s="26" t="str">
        <f t="shared" si="15"/>
        <v/>
      </c>
      <c r="V715" s="26" t="str">
        <f t="shared" si="16"/>
        <v/>
      </c>
      <c r="W715" s="26" t="str">
        <f t="shared" si="17"/>
        <v/>
      </c>
      <c r="X715" s="26" t="str">
        <f t="shared" si="18"/>
        <v/>
      </c>
      <c r="Y715" s="26" t="str">
        <f t="shared" si="19"/>
        <v/>
      </c>
      <c r="Z715" s="31" t="str">
        <f t="shared" si="20"/>
        <v/>
      </c>
      <c r="AA715" s="31" t="str">
        <f>IF(D715="","",IF(H715&lt;=$B$16,1,IF(H715&gt;=$B$17,$B$21,MATCH(H715,Aux_CAV!$A$2:$A$121,1))))</f>
        <v/>
      </c>
      <c r="AB715" s="31" t="str">
        <f>IF(D715="","",IF(L715&lt;=$B$16,1,IF(L715&gt;=$B$17,$B$21,MATCH(L715,Aux_CAV!$A$2:$A$121,1))))</f>
        <v/>
      </c>
      <c r="AC715" s="3" t="str">
        <f t="shared" si="21"/>
        <v/>
      </c>
    </row>
    <row r="716" ht="12.75" customHeight="1">
      <c r="A716" s="25" t="str">
        <f t="shared" si="1"/>
        <v/>
      </c>
      <c r="B716" s="29" t="str">
        <f t="array" ref="B716">IF(D716="","",IFERROR(VALUE(INDEX(Vazoes_COLAR!$A$2:$A$200,INT((ROW()-24)/12)+1)),""))</f>
        <v/>
      </c>
      <c r="C716" s="29" t="str">
        <f t="shared" si="2"/>
        <v/>
      </c>
      <c r="D716" s="26" t="str">
        <f t="array" ref="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16" s="26" t="str">
        <f t="shared" si="3"/>
        <v/>
      </c>
      <c r="F716" s="26" t="str">
        <f t="array" ref="F716">IF(D716="","",IFERROR(INDEX(Dados_Evap!$C$2:$N$15,MATCH($B$9,Dados_Evap!$A$2:$A$15,0),C716),0))</f>
        <v/>
      </c>
      <c r="G716" s="26" t="str">
        <f t="shared" si="4"/>
        <v/>
      </c>
      <c r="H716" s="26" t="str">
        <f t="shared" si="22"/>
        <v/>
      </c>
      <c r="I716" s="26" t="str">
        <f t="array" ref="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/>
      </c>
      <c r="J716" s="26" t="str">
        <f t="shared" si="5"/>
        <v/>
      </c>
      <c r="K716" s="26" t="str">
        <f t="shared" si="6"/>
        <v/>
      </c>
      <c r="L716" s="26" t="str">
        <f t="shared" si="7"/>
        <v/>
      </c>
      <c r="M716" s="26" t="str">
        <f t="array" ref="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/>
      </c>
      <c r="N716" s="26" t="str">
        <f t="shared" si="8"/>
        <v/>
      </c>
      <c r="O716" s="26" t="str">
        <f t="shared" si="9"/>
        <v/>
      </c>
      <c r="P716" s="26" t="str">
        <f t="shared" si="10"/>
        <v/>
      </c>
      <c r="Q716" s="26" t="str">
        <f t="shared" si="11"/>
        <v/>
      </c>
      <c r="R716" s="26" t="str">
        <f t="shared" si="12"/>
        <v/>
      </c>
      <c r="S716" s="26" t="str">
        <f t="shared" si="13"/>
        <v/>
      </c>
      <c r="T716" s="26" t="str">
        <f t="shared" si="14"/>
        <v/>
      </c>
      <c r="U716" s="26" t="str">
        <f t="shared" si="15"/>
        <v/>
      </c>
      <c r="V716" s="26" t="str">
        <f t="shared" si="16"/>
        <v/>
      </c>
      <c r="W716" s="26" t="str">
        <f t="shared" si="17"/>
        <v/>
      </c>
      <c r="X716" s="26" t="str">
        <f t="shared" si="18"/>
        <v/>
      </c>
      <c r="Y716" s="26" t="str">
        <f t="shared" si="19"/>
        <v/>
      </c>
      <c r="Z716" s="31" t="str">
        <f t="shared" si="20"/>
        <v/>
      </c>
      <c r="AA716" s="31" t="str">
        <f>IF(D716="","",IF(H716&lt;=$B$16,1,IF(H716&gt;=$B$17,$B$21,MATCH(H716,Aux_CAV!$A$2:$A$121,1))))</f>
        <v/>
      </c>
      <c r="AB716" s="31" t="str">
        <f>IF(D716="","",IF(L716&lt;=$B$16,1,IF(L716&gt;=$B$17,$B$21,MATCH(L716,Aux_CAV!$A$2:$A$121,1))))</f>
        <v/>
      </c>
      <c r="AC716" s="3" t="str">
        <f t="shared" si="21"/>
        <v/>
      </c>
    </row>
    <row r="717" ht="12.75" customHeight="1">
      <c r="A717" s="25" t="str">
        <f t="shared" si="1"/>
        <v/>
      </c>
      <c r="B717" s="29" t="str">
        <f t="array" ref="B717">IF(D717="","",IFERROR(VALUE(INDEX(Vazoes_COLAR!$A$2:$A$200,INT((ROW()-24)/12)+1)),""))</f>
        <v/>
      </c>
      <c r="C717" s="29" t="str">
        <f t="shared" si="2"/>
        <v/>
      </c>
      <c r="D717" s="26" t="str">
        <f t="array" ref="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17" s="26" t="str">
        <f t="shared" si="3"/>
        <v/>
      </c>
      <c r="F717" s="26" t="str">
        <f t="array" ref="F717">IF(D717="","",IFERROR(INDEX(Dados_Evap!$C$2:$N$15,MATCH($B$9,Dados_Evap!$A$2:$A$15,0),C717),0))</f>
        <v/>
      </c>
      <c r="G717" s="26" t="str">
        <f t="shared" si="4"/>
        <v/>
      </c>
      <c r="H717" s="26" t="str">
        <f t="shared" si="22"/>
        <v/>
      </c>
      <c r="I717" s="26" t="str">
        <f t="array" ref="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/>
      </c>
      <c r="J717" s="26" t="str">
        <f t="shared" si="5"/>
        <v/>
      </c>
      <c r="K717" s="26" t="str">
        <f t="shared" si="6"/>
        <v/>
      </c>
      <c r="L717" s="26" t="str">
        <f t="shared" si="7"/>
        <v/>
      </c>
      <c r="M717" s="26" t="str">
        <f t="array" ref="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/>
      </c>
      <c r="N717" s="26" t="str">
        <f t="shared" si="8"/>
        <v/>
      </c>
      <c r="O717" s="26" t="str">
        <f t="shared" si="9"/>
        <v/>
      </c>
      <c r="P717" s="26" t="str">
        <f t="shared" si="10"/>
        <v/>
      </c>
      <c r="Q717" s="26" t="str">
        <f t="shared" si="11"/>
        <v/>
      </c>
      <c r="R717" s="26" t="str">
        <f t="shared" si="12"/>
        <v/>
      </c>
      <c r="S717" s="26" t="str">
        <f t="shared" si="13"/>
        <v/>
      </c>
      <c r="T717" s="26" t="str">
        <f t="shared" si="14"/>
        <v/>
      </c>
      <c r="U717" s="26" t="str">
        <f t="shared" si="15"/>
        <v/>
      </c>
      <c r="V717" s="26" t="str">
        <f t="shared" si="16"/>
        <v/>
      </c>
      <c r="W717" s="26" t="str">
        <f t="shared" si="17"/>
        <v/>
      </c>
      <c r="X717" s="26" t="str">
        <f t="shared" si="18"/>
        <v/>
      </c>
      <c r="Y717" s="26" t="str">
        <f t="shared" si="19"/>
        <v/>
      </c>
      <c r="Z717" s="31" t="str">
        <f t="shared" si="20"/>
        <v/>
      </c>
      <c r="AA717" s="31" t="str">
        <f>IF(D717="","",IF(H717&lt;=$B$16,1,IF(H717&gt;=$B$17,$B$21,MATCH(H717,Aux_CAV!$A$2:$A$121,1))))</f>
        <v/>
      </c>
      <c r="AB717" s="31" t="str">
        <f>IF(D717="","",IF(L717&lt;=$B$16,1,IF(L717&gt;=$B$17,$B$21,MATCH(L717,Aux_CAV!$A$2:$A$121,1))))</f>
        <v/>
      </c>
      <c r="AC717" s="3" t="str">
        <f t="shared" si="21"/>
        <v/>
      </c>
    </row>
    <row r="718" ht="12.75" customHeight="1">
      <c r="A718" s="25" t="str">
        <f t="shared" si="1"/>
        <v/>
      </c>
      <c r="B718" s="29" t="str">
        <f t="array" ref="B718">IF(D718="","",IFERROR(VALUE(INDEX(Vazoes_COLAR!$A$2:$A$200,INT((ROW()-24)/12)+1)),""))</f>
        <v/>
      </c>
      <c r="C718" s="29" t="str">
        <f t="shared" si="2"/>
        <v/>
      </c>
      <c r="D718" s="26" t="str">
        <f t="array" ref="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18" s="26" t="str">
        <f t="shared" si="3"/>
        <v/>
      </c>
      <c r="F718" s="26" t="str">
        <f t="array" ref="F718">IF(D718="","",IFERROR(INDEX(Dados_Evap!$C$2:$N$15,MATCH($B$9,Dados_Evap!$A$2:$A$15,0),C718),0))</f>
        <v/>
      </c>
      <c r="G718" s="26" t="str">
        <f t="shared" si="4"/>
        <v/>
      </c>
      <c r="H718" s="26" t="str">
        <f t="shared" si="22"/>
        <v/>
      </c>
      <c r="I718" s="26" t="str">
        <f t="array" ref="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/>
      </c>
      <c r="J718" s="26" t="str">
        <f t="shared" si="5"/>
        <v/>
      </c>
      <c r="K718" s="26" t="str">
        <f t="shared" si="6"/>
        <v/>
      </c>
      <c r="L718" s="26" t="str">
        <f t="shared" si="7"/>
        <v/>
      </c>
      <c r="M718" s="26" t="str">
        <f t="array" ref="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/>
      </c>
      <c r="N718" s="26" t="str">
        <f t="shared" si="8"/>
        <v/>
      </c>
      <c r="O718" s="26" t="str">
        <f t="shared" si="9"/>
        <v/>
      </c>
      <c r="P718" s="26" t="str">
        <f t="shared" si="10"/>
        <v/>
      </c>
      <c r="Q718" s="26" t="str">
        <f t="shared" si="11"/>
        <v/>
      </c>
      <c r="R718" s="26" t="str">
        <f t="shared" si="12"/>
        <v/>
      </c>
      <c r="S718" s="26" t="str">
        <f t="shared" si="13"/>
        <v/>
      </c>
      <c r="T718" s="26" t="str">
        <f t="shared" si="14"/>
        <v/>
      </c>
      <c r="U718" s="26" t="str">
        <f t="shared" si="15"/>
        <v/>
      </c>
      <c r="V718" s="26" t="str">
        <f t="shared" si="16"/>
        <v/>
      </c>
      <c r="W718" s="26" t="str">
        <f t="shared" si="17"/>
        <v/>
      </c>
      <c r="X718" s="26" t="str">
        <f t="shared" si="18"/>
        <v/>
      </c>
      <c r="Y718" s="26" t="str">
        <f t="shared" si="19"/>
        <v/>
      </c>
      <c r="Z718" s="31" t="str">
        <f t="shared" si="20"/>
        <v/>
      </c>
      <c r="AA718" s="31" t="str">
        <f>IF(D718="","",IF(H718&lt;=$B$16,1,IF(H718&gt;=$B$17,$B$21,MATCH(H718,Aux_CAV!$A$2:$A$121,1))))</f>
        <v/>
      </c>
      <c r="AB718" s="31" t="str">
        <f>IF(D718="","",IF(L718&lt;=$B$16,1,IF(L718&gt;=$B$17,$B$21,MATCH(L718,Aux_CAV!$A$2:$A$121,1))))</f>
        <v/>
      </c>
      <c r="AC718" s="3" t="str">
        <f t="shared" si="21"/>
        <v/>
      </c>
    </row>
    <row r="719" ht="12.75" customHeight="1">
      <c r="A719" s="25" t="str">
        <f t="shared" si="1"/>
        <v/>
      </c>
      <c r="B719" s="29" t="str">
        <f t="array" ref="B719">IF(D719="","",IFERROR(VALUE(INDEX(Vazoes_COLAR!$A$2:$A$200,INT((ROW()-24)/12)+1)),""))</f>
        <v/>
      </c>
      <c r="C719" s="29" t="str">
        <f t="shared" si="2"/>
        <v/>
      </c>
      <c r="D719" s="26" t="str">
        <f t="array" ref="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19" s="26" t="str">
        <f t="shared" si="3"/>
        <v/>
      </c>
      <c r="F719" s="26" t="str">
        <f t="array" ref="F719">IF(D719="","",IFERROR(INDEX(Dados_Evap!$C$2:$N$15,MATCH($B$9,Dados_Evap!$A$2:$A$15,0),C719),0))</f>
        <v/>
      </c>
      <c r="G719" s="26" t="str">
        <f t="shared" si="4"/>
        <v/>
      </c>
      <c r="H719" s="26" t="str">
        <f t="shared" si="22"/>
        <v/>
      </c>
      <c r="I719" s="26" t="str">
        <f t="array" ref="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/>
      </c>
      <c r="J719" s="26" t="str">
        <f t="shared" si="5"/>
        <v/>
      </c>
      <c r="K719" s="26" t="str">
        <f t="shared" si="6"/>
        <v/>
      </c>
      <c r="L719" s="26" t="str">
        <f t="shared" si="7"/>
        <v/>
      </c>
      <c r="M719" s="26" t="str">
        <f t="array" ref="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/>
      </c>
      <c r="N719" s="26" t="str">
        <f t="shared" si="8"/>
        <v/>
      </c>
      <c r="O719" s="26" t="str">
        <f t="shared" si="9"/>
        <v/>
      </c>
      <c r="P719" s="26" t="str">
        <f t="shared" si="10"/>
        <v/>
      </c>
      <c r="Q719" s="26" t="str">
        <f t="shared" si="11"/>
        <v/>
      </c>
      <c r="R719" s="26" t="str">
        <f t="shared" si="12"/>
        <v/>
      </c>
      <c r="S719" s="26" t="str">
        <f t="shared" si="13"/>
        <v/>
      </c>
      <c r="T719" s="26" t="str">
        <f t="shared" si="14"/>
        <v/>
      </c>
      <c r="U719" s="26" t="str">
        <f t="shared" si="15"/>
        <v/>
      </c>
      <c r="V719" s="26" t="str">
        <f t="shared" si="16"/>
        <v/>
      </c>
      <c r="W719" s="26" t="str">
        <f t="shared" si="17"/>
        <v/>
      </c>
      <c r="X719" s="26" t="str">
        <f t="shared" si="18"/>
        <v/>
      </c>
      <c r="Y719" s="26" t="str">
        <f t="shared" si="19"/>
        <v/>
      </c>
      <c r="Z719" s="31" t="str">
        <f t="shared" si="20"/>
        <v/>
      </c>
      <c r="AA719" s="31" t="str">
        <f>IF(D719="","",IF(H719&lt;=$B$16,1,IF(H719&gt;=$B$17,$B$21,MATCH(H719,Aux_CAV!$A$2:$A$121,1))))</f>
        <v/>
      </c>
      <c r="AB719" s="31" t="str">
        <f>IF(D719="","",IF(L719&lt;=$B$16,1,IF(L719&gt;=$B$17,$B$21,MATCH(L719,Aux_CAV!$A$2:$A$121,1))))</f>
        <v/>
      </c>
      <c r="AC719" s="3" t="str">
        <f t="shared" si="21"/>
        <v/>
      </c>
    </row>
    <row r="720" ht="12.75" customHeight="1">
      <c r="A720" s="25" t="str">
        <f t="shared" si="1"/>
        <v/>
      </c>
      <c r="B720" s="29" t="str">
        <f t="array" ref="B720">IF(D720="","",IFERROR(VALUE(INDEX(Vazoes_COLAR!$A$2:$A$200,INT((ROW()-24)/12)+1)),""))</f>
        <v/>
      </c>
      <c r="C720" s="29" t="str">
        <f t="shared" si="2"/>
        <v/>
      </c>
      <c r="D720" s="26" t="str">
        <f t="array" ref="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20" s="26" t="str">
        <f t="shared" si="3"/>
        <v/>
      </c>
      <c r="F720" s="26" t="str">
        <f t="array" ref="F720">IF(D720="","",IFERROR(INDEX(Dados_Evap!$C$2:$N$15,MATCH($B$9,Dados_Evap!$A$2:$A$15,0),C720),0))</f>
        <v/>
      </c>
      <c r="G720" s="26" t="str">
        <f t="shared" si="4"/>
        <v/>
      </c>
      <c r="H720" s="26" t="str">
        <f t="shared" si="22"/>
        <v/>
      </c>
      <c r="I720" s="26" t="str">
        <f t="array" ref="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/>
      </c>
      <c r="J720" s="26" t="str">
        <f t="shared" si="5"/>
        <v/>
      </c>
      <c r="K720" s="26" t="str">
        <f t="shared" si="6"/>
        <v/>
      </c>
      <c r="L720" s="26" t="str">
        <f t="shared" si="7"/>
        <v/>
      </c>
      <c r="M720" s="26" t="str">
        <f t="array" ref="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/>
      </c>
      <c r="N720" s="26" t="str">
        <f t="shared" si="8"/>
        <v/>
      </c>
      <c r="O720" s="26" t="str">
        <f t="shared" si="9"/>
        <v/>
      </c>
      <c r="P720" s="26" t="str">
        <f t="shared" si="10"/>
        <v/>
      </c>
      <c r="Q720" s="26" t="str">
        <f t="shared" si="11"/>
        <v/>
      </c>
      <c r="R720" s="26" t="str">
        <f t="shared" si="12"/>
        <v/>
      </c>
      <c r="S720" s="26" t="str">
        <f t="shared" si="13"/>
        <v/>
      </c>
      <c r="T720" s="26" t="str">
        <f t="shared" si="14"/>
        <v/>
      </c>
      <c r="U720" s="26" t="str">
        <f t="shared" si="15"/>
        <v/>
      </c>
      <c r="V720" s="26" t="str">
        <f t="shared" si="16"/>
        <v/>
      </c>
      <c r="W720" s="26" t="str">
        <f t="shared" si="17"/>
        <v/>
      </c>
      <c r="X720" s="26" t="str">
        <f t="shared" si="18"/>
        <v/>
      </c>
      <c r="Y720" s="26" t="str">
        <f t="shared" si="19"/>
        <v/>
      </c>
      <c r="Z720" s="31" t="str">
        <f t="shared" si="20"/>
        <v/>
      </c>
      <c r="AA720" s="31" t="str">
        <f>IF(D720="","",IF(H720&lt;=$B$16,1,IF(H720&gt;=$B$17,$B$21,MATCH(H720,Aux_CAV!$A$2:$A$121,1))))</f>
        <v/>
      </c>
      <c r="AB720" s="31" t="str">
        <f>IF(D720="","",IF(L720&lt;=$B$16,1,IF(L720&gt;=$B$17,$B$21,MATCH(L720,Aux_CAV!$A$2:$A$121,1))))</f>
        <v/>
      </c>
      <c r="AC720" s="3" t="str">
        <f t="shared" si="21"/>
        <v/>
      </c>
    </row>
    <row r="721" ht="12.75" customHeight="1">
      <c r="A721" s="25" t="str">
        <f t="shared" si="1"/>
        <v/>
      </c>
      <c r="B721" s="29" t="str">
        <f t="array" ref="B721">IF(D721="","",IFERROR(VALUE(INDEX(Vazoes_COLAR!$A$2:$A$200,INT((ROW()-24)/12)+1)),""))</f>
        <v/>
      </c>
      <c r="C721" s="29" t="str">
        <f t="shared" si="2"/>
        <v/>
      </c>
      <c r="D721" s="26" t="str">
        <f t="array" ref="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21" s="26" t="str">
        <f t="shared" si="3"/>
        <v/>
      </c>
      <c r="F721" s="26" t="str">
        <f t="array" ref="F721">IF(D721="","",IFERROR(INDEX(Dados_Evap!$C$2:$N$15,MATCH($B$9,Dados_Evap!$A$2:$A$15,0),C721),0))</f>
        <v/>
      </c>
      <c r="G721" s="26" t="str">
        <f t="shared" si="4"/>
        <v/>
      </c>
      <c r="H721" s="26" t="str">
        <f t="shared" si="22"/>
        <v/>
      </c>
      <c r="I721" s="26" t="str">
        <f t="array" ref="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/>
      </c>
      <c r="J721" s="26" t="str">
        <f t="shared" si="5"/>
        <v/>
      </c>
      <c r="K721" s="26" t="str">
        <f t="shared" si="6"/>
        <v/>
      </c>
      <c r="L721" s="26" t="str">
        <f t="shared" si="7"/>
        <v/>
      </c>
      <c r="M721" s="26" t="str">
        <f t="array" ref="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/>
      </c>
      <c r="N721" s="26" t="str">
        <f t="shared" si="8"/>
        <v/>
      </c>
      <c r="O721" s="26" t="str">
        <f t="shared" si="9"/>
        <v/>
      </c>
      <c r="P721" s="26" t="str">
        <f t="shared" si="10"/>
        <v/>
      </c>
      <c r="Q721" s="26" t="str">
        <f t="shared" si="11"/>
        <v/>
      </c>
      <c r="R721" s="26" t="str">
        <f t="shared" si="12"/>
        <v/>
      </c>
      <c r="S721" s="26" t="str">
        <f t="shared" si="13"/>
        <v/>
      </c>
      <c r="T721" s="26" t="str">
        <f t="shared" si="14"/>
        <v/>
      </c>
      <c r="U721" s="26" t="str">
        <f t="shared" si="15"/>
        <v/>
      </c>
      <c r="V721" s="26" t="str">
        <f t="shared" si="16"/>
        <v/>
      </c>
      <c r="W721" s="26" t="str">
        <f t="shared" si="17"/>
        <v/>
      </c>
      <c r="X721" s="26" t="str">
        <f t="shared" si="18"/>
        <v/>
      </c>
      <c r="Y721" s="26" t="str">
        <f t="shared" si="19"/>
        <v/>
      </c>
      <c r="Z721" s="31" t="str">
        <f t="shared" si="20"/>
        <v/>
      </c>
      <c r="AA721" s="31" t="str">
        <f>IF(D721="","",IF(H721&lt;=$B$16,1,IF(H721&gt;=$B$17,$B$21,MATCH(H721,Aux_CAV!$A$2:$A$121,1))))</f>
        <v/>
      </c>
      <c r="AB721" s="31" t="str">
        <f>IF(D721="","",IF(L721&lt;=$B$16,1,IF(L721&gt;=$B$17,$B$21,MATCH(L721,Aux_CAV!$A$2:$A$121,1))))</f>
        <v/>
      </c>
      <c r="AC721" s="3" t="str">
        <f t="shared" si="21"/>
        <v/>
      </c>
    </row>
    <row r="722" ht="12.75" customHeight="1">
      <c r="A722" s="25" t="str">
        <f t="shared" si="1"/>
        <v/>
      </c>
      <c r="B722" s="29" t="str">
        <f t="array" ref="B722">IF(D722="","",IFERROR(VALUE(INDEX(Vazoes_COLAR!$A$2:$A$200,INT((ROW()-24)/12)+1)),""))</f>
        <v/>
      </c>
      <c r="C722" s="29" t="str">
        <f t="shared" si="2"/>
        <v/>
      </c>
      <c r="D722" s="26" t="str">
        <f t="array" ref="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22" s="26" t="str">
        <f t="shared" si="3"/>
        <v/>
      </c>
      <c r="F722" s="26" t="str">
        <f t="array" ref="F722">IF(D722="","",IFERROR(INDEX(Dados_Evap!$C$2:$N$15,MATCH($B$9,Dados_Evap!$A$2:$A$15,0),C722),0))</f>
        <v/>
      </c>
      <c r="G722" s="26" t="str">
        <f t="shared" si="4"/>
        <v/>
      </c>
      <c r="H722" s="26" t="str">
        <f t="shared" si="22"/>
        <v/>
      </c>
      <c r="I722" s="26" t="str">
        <f t="array" ref="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/>
      </c>
      <c r="J722" s="26" t="str">
        <f t="shared" si="5"/>
        <v/>
      </c>
      <c r="K722" s="26" t="str">
        <f t="shared" si="6"/>
        <v/>
      </c>
      <c r="L722" s="26" t="str">
        <f t="shared" si="7"/>
        <v/>
      </c>
      <c r="M722" s="26" t="str">
        <f t="array" ref="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/>
      </c>
      <c r="N722" s="26" t="str">
        <f t="shared" si="8"/>
        <v/>
      </c>
      <c r="O722" s="26" t="str">
        <f t="shared" si="9"/>
        <v/>
      </c>
      <c r="P722" s="26" t="str">
        <f t="shared" si="10"/>
        <v/>
      </c>
      <c r="Q722" s="26" t="str">
        <f t="shared" si="11"/>
        <v/>
      </c>
      <c r="R722" s="26" t="str">
        <f t="shared" si="12"/>
        <v/>
      </c>
      <c r="S722" s="26" t="str">
        <f t="shared" si="13"/>
        <v/>
      </c>
      <c r="T722" s="26" t="str">
        <f t="shared" si="14"/>
        <v/>
      </c>
      <c r="U722" s="26" t="str">
        <f t="shared" si="15"/>
        <v/>
      </c>
      <c r="V722" s="26" t="str">
        <f t="shared" si="16"/>
        <v/>
      </c>
      <c r="W722" s="26" t="str">
        <f t="shared" si="17"/>
        <v/>
      </c>
      <c r="X722" s="26" t="str">
        <f t="shared" si="18"/>
        <v/>
      </c>
      <c r="Y722" s="26" t="str">
        <f t="shared" si="19"/>
        <v/>
      </c>
      <c r="Z722" s="31" t="str">
        <f t="shared" si="20"/>
        <v/>
      </c>
      <c r="AA722" s="31" t="str">
        <f>IF(D722="","",IF(H722&lt;=$B$16,1,IF(H722&gt;=$B$17,$B$21,MATCH(H722,Aux_CAV!$A$2:$A$121,1))))</f>
        <v/>
      </c>
      <c r="AB722" s="31" t="str">
        <f>IF(D722="","",IF(L722&lt;=$B$16,1,IF(L722&gt;=$B$17,$B$21,MATCH(L722,Aux_CAV!$A$2:$A$121,1))))</f>
        <v/>
      </c>
      <c r="AC722" s="3" t="str">
        <f t="shared" si="21"/>
        <v/>
      </c>
    </row>
    <row r="723" ht="12.75" customHeight="1">
      <c r="A723" s="25" t="str">
        <f t="shared" si="1"/>
        <v/>
      </c>
      <c r="B723" s="29" t="str">
        <f t="array" ref="B723">IF(D723="","",IFERROR(VALUE(INDEX(Vazoes_COLAR!$A$2:$A$200,INT((ROW()-24)/12)+1)),""))</f>
        <v/>
      </c>
      <c r="C723" s="29" t="str">
        <f t="shared" si="2"/>
        <v/>
      </c>
      <c r="D723" s="26" t="str">
        <f t="array" ref="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23" s="26" t="str">
        <f t="shared" si="3"/>
        <v/>
      </c>
      <c r="F723" s="26" t="str">
        <f t="array" ref="F723">IF(D723="","",IFERROR(INDEX(Dados_Evap!$C$2:$N$15,MATCH($B$9,Dados_Evap!$A$2:$A$15,0),C723),0))</f>
        <v/>
      </c>
      <c r="G723" s="26" t="str">
        <f t="shared" si="4"/>
        <v/>
      </c>
      <c r="H723" s="26" t="str">
        <f t="shared" si="22"/>
        <v/>
      </c>
      <c r="I723" s="26" t="str">
        <f t="array" ref="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/>
      </c>
      <c r="J723" s="26" t="str">
        <f t="shared" si="5"/>
        <v/>
      </c>
      <c r="K723" s="26" t="str">
        <f t="shared" si="6"/>
        <v/>
      </c>
      <c r="L723" s="26" t="str">
        <f t="shared" si="7"/>
        <v/>
      </c>
      <c r="M723" s="26" t="str">
        <f t="array" ref="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/>
      </c>
      <c r="N723" s="26" t="str">
        <f t="shared" si="8"/>
        <v/>
      </c>
      <c r="O723" s="26" t="str">
        <f t="shared" si="9"/>
        <v/>
      </c>
      <c r="P723" s="26" t="str">
        <f t="shared" si="10"/>
        <v/>
      </c>
      <c r="Q723" s="26" t="str">
        <f t="shared" si="11"/>
        <v/>
      </c>
      <c r="R723" s="26" t="str">
        <f t="shared" si="12"/>
        <v/>
      </c>
      <c r="S723" s="26" t="str">
        <f t="shared" si="13"/>
        <v/>
      </c>
      <c r="T723" s="26" t="str">
        <f t="shared" si="14"/>
        <v/>
      </c>
      <c r="U723" s="26" t="str">
        <f t="shared" si="15"/>
        <v/>
      </c>
      <c r="V723" s="26" t="str">
        <f t="shared" si="16"/>
        <v/>
      </c>
      <c r="W723" s="26" t="str">
        <f t="shared" si="17"/>
        <v/>
      </c>
      <c r="X723" s="26" t="str">
        <f t="shared" si="18"/>
        <v/>
      </c>
      <c r="Y723" s="26" t="str">
        <f t="shared" si="19"/>
        <v/>
      </c>
      <c r="Z723" s="31" t="str">
        <f t="shared" si="20"/>
        <v/>
      </c>
      <c r="AA723" s="31" t="str">
        <f>IF(D723="","",IF(H723&lt;=$B$16,1,IF(H723&gt;=$B$17,$B$21,MATCH(H723,Aux_CAV!$A$2:$A$121,1))))</f>
        <v/>
      </c>
      <c r="AB723" s="31" t="str">
        <f>IF(D723="","",IF(L723&lt;=$B$16,1,IF(L723&gt;=$B$17,$B$21,MATCH(L723,Aux_CAV!$A$2:$A$121,1))))</f>
        <v/>
      </c>
      <c r="AC723" s="3" t="str">
        <f t="shared" si="21"/>
        <v/>
      </c>
    </row>
    <row r="724" ht="12.75" customHeight="1">
      <c r="A724" s="25" t="str">
        <f t="shared" si="1"/>
        <v/>
      </c>
      <c r="B724" s="29" t="str">
        <f t="array" ref="B724">IF(D724="","",IFERROR(VALUE(INDEX(Vazoes_COLAR!$A$2:$A$200,INT((ROW()-24)/12)+1)),""))</f>
        <v/>
      </c>
      <c r="C724" s="29" t="str">
        <f t="shared" si="2"/>
        <v/>
      </c>
      <c r="D724" s="26" t="str">
        <f t="array" ref="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24" s="26" t="str">
        <f t="shared" si="3"/>
        <v/>
      </c>
      <c r="F724" s="26" t="str">
        <f t="array" ref="F724">IF(D724="","",IFERROR(INDEX(Dados_Evap!$C$2:$N$15,MATCH($B$9,Dados_Evap!$A$2:$A$15,0),C724),0))</f>
        <v/>
      </c>
      <c r="G724" s="26" t="str">
        <f t="shared" si="4"/>
        <v/>
      </c>
      <c r="H724" s="26" t="str">
        <f t="shared" si="22"/>
        <v/>
      </c>
      <c r="I724" s="26" t="str">
        <f t="array" ref="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/>
      </c>
      <c r="J724" s="26" t="str">
        <f t="shared" si="5"/>
        <v/>
      </c>
      <c r="K724" s="26" t="str">
        <f t="shared" si="6"/>
        <v/>
      </c>
      <c r="L724" s="26" t="str">
        <f t="shared" si="7"/>
        <v/>
      </c>
      <c r="M724" s="26" t="str">
        <f t="array" ref="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/>
      </c>
      <c r="N724" s="26" t="str">
        <f t="shared" si="8"/>
        <v/>
      </c>
      <c r="O724" s="26" t="str">
        <f t="shared" si="9"/>
        <v/>
      </c>
      <c r="P724" s="26" t="str">
        <f t="shared" si="10"/>
        <v/>
      </c>
      <c r="Q724" s="26" t="str">
        <f t="shared" si="11"/>
        <v/>
      </c>
      <c r="R724" s="26" t="str">
        <f t="shared" si="12"/>
        <v/>
      </c>
      <c r="S724" s="26" t="str">
        <f t="shared" si="13"/>
        <v/>
      </c>
      <c r="T724" s="26" t="str">
        <f t="shared" si="14"/>
        <v/>
      </c>
      <c r="U724" s="26" t="str">
        <f t="shared" si="15"/>
        <v/>
      </c>
      <c r="V724" s="26" t="str">
        <f t="shared" si="16"/>
        <v/>
      </c>
      <c r="W724" s="26" t="str">
        <f t="shared" si="17"/>
        <v/>
      </c>
      <c r="X724" s="26" t="str">
        <f t="shared" si="18"/>
        <v/>
      </c>
      <c r="Y724" s="26" t="str">
        <f t="shared" si="19"/>
        <v/>
      </c>
      <c r="Z724" s="31" t="str">
        <f t="shared" si="20"/>
        <v/>
      </c>
      <c r="AA724" s="31" t="str">
        <f>IF(D724="","",IF(H724&lt;=$B$16,1,IF(H724&gt;=$B$17,$B$21,MATCH(H724,Aux_CAV!$A$2:$A$121,1))))</f>
        <v/>
      </c>
      <c r="AB724" s="31" t="str">
        <f>IF(D724="","",IF(L724&lt;=$B$16,1,IF(L724&gt;=$B$17,$B$21,MATCH(L724,Aux_CAV!$A$2:$A$121,1))))</f>
        <v/>
      </c>
      <c r="AC724" s="3" t="str">
        <f t="shared" si="21"/>
        <v/>
      </c>
    </row>
    <row r="725" ht="12.75" customHeight="1">
      <c r="A725" s="25" t="str">
        <f t="shared" si="1"/>
        <v/>
      </c>
      <c r="B725" s="29" t="str">
        <f t="array" ref="B725">IF(D725="","",IFERROR(VALUE(INDEX(Vazoes_COLAR!$A$2:$A$200,INT((ROW()-24)/12)+1)),""))</f>
        <v/>
      </c>
      <c r="C725" s="29" t="str">
        <f t="shared" si="2"/>
        <v/>
      </c>
      <c r="D725" s="26" t="str">
        <f t="array" ref="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25" s="26" t="str">
        <f t="shared" si="3"/>
        <v/>
      </c>
      <c r="F725" s="26" t="str">
        <f t="array" ref="F725">IF(D725="","",IFERROR(INDEX(Dados_Evap!$C$2:$N$15,MATCH($B$9,Dados_Evap!$A$2:$A$15,0),C725),0))</f>
        <v/>
      </c>
      <c r="G725" s="26" t="str">
        <f t="shared" si="4"/>
        <v/>
      </c>
      <c r="H725" s="26" t="str">
        <f t="shared" si="22"/>
        <v/>
      </c>
      <c r="I725" s="26" t="str">
        <f t="array" ref="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/>
      </c>
      <c r="J725" s="26" t="str">
        <f t="shared" si="5"/>
        <v/>
      </c>
      <c r="K725" s="26" t="str">
        <f t="shared" si="6"/>
        <v/>
      </c>
      <c r="L725" s="26" t="str">
        <f t="shared" si="7"/>
        <v/>
      </c>
      <c r="M725" s="26" t="str">
        <f t="array" ref="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/>
      </c>
      <c r="N725" s="26" t="str">
        <f t="shared" si="8"/>
        <v/>
      </c>
      <c r="O725" s="26" t="str">
        <f t="shared" si="9"/>
        <v/>
      </c>
      <c r="P725" s="26" t="str">
        <f t="shared" si="10"/>
        <v/>
      </c>
      <c r="Q725" s="26" t="str">
        <f t="shared" si="11"/>
        <v/>
      </c>
      <c r="R725" s="26" t="str">
        <f t="shared" si="12"/>
        <v/>
      </c>
      <c r="S725" s="26" t="str">
        <f t="shared" si="13"/>
        <v/>
      </c>
      <c r="T725" s="26" t="str">
        <f t="shared" si="14"/>
        <v/>
      </c>
      <c r="U725" s="26" t="str">
        <f t="shared" si="15"/>
        <v/>
      </c>
      <c r="V725" s="26" t="str">
        <f t="shared" si="16"/>
        <v/>
      </c>
      <c r="W725" s="26" t="str">
        <f t="shared" si="17"/>
        <v/>
      </c>
      <c r="X725" s="26" t="str">
        <f t="shared" si="18"/>
        <v/>
      </c>
      <c r="Y725" s="26" t="str">
        <f t="shared" si="19"/>
        <v/>
      </c>
      <c r="Z725" s="31" t="str">
        <f t="shared" si="20"/>
        <v/>
      </c>
      <c r="AA725" s="31" t="str">
        <f>IF(D725="","",IF(H725&lt;=$B$16,1,IF(H725&gt;=$B$17,$B$21,MATCH(H725,Aux_CAV!$A$2:$A$121,1))))</f>
        <v/>
      </c>
      <c r="AB725" s="31" t="str">
        <f>IF(D725="","",IF(L725&lt;=$B$16,1,IF(L725&gt;=$B$17,$B$21,MATCH(L725,Aux_CAV!$A$2:$A$121,1))))</f>
        <v/>
      </c>
      <c r="AC725" s="3" t="str">
        <f t="shared" si="21"/>
        <v/>
      </c>
    </row>
    <row r="726" ht="12.75" customHeight="1">
      <c r="A726" s="25" t="str">
        <f t="shared" si="1"/>
        <v/>
      </c>
      <c r="B726" s="29" t="str">
        <f t="array" ref="B726">IF(D726="","",IFERROR(VALUE(INDEX(Vazoes_COLAR!$A$2:$A$200,INT((ROW()-24)/12)+1)),""))</f>
        <v/>
      </c>
      <c r="C726" s="29" t="str">
        <f t="shared" si="2"/>
        <v/>
      </c>
      <c r="D726" s="26" t="str">
        <f t="array" ref="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26" s="26" t="str">
        <f t="shared" si="3"/>
        <v/>
      </c>
      <c r="F726" s="26" t="str">
        <f t="array" ref="F726">IF(D726="","",IFERROR(INDEX(Dados_Evap!$C$2:$N$15,MATCH($B$9,Dados_Evap!$A$2:$A$15,0),C726),0))</f>
        <v/>
      </c>
      <c r="G726" s="26" t="str">
        <f t="shared" si="4"/>
        <v/>
      </c>
      <c r="H726" s="26" t="str">
        <f t="shared" si="22"/>
        <v/>
      </c>
      <c r="I726" s="26" t="str">
        <f t="array" ref="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/>
      </c>
      <c r="J726" s="26" t="str">
        <f t="shared" si="5"/>
        <v/>
      </c>
      <c r="K726" s="26" t="str">
        <f t="shared" si="6"/>
        <v/>
      </c>
      <c r="L726" s="26" t="str">
        <f t="shared" si="7"/>
        <v/>
      </c>
      <c r="M726" s="26" t="str">
        <f t="array" ref="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/>
      </c>
      <c r="N726" s="26" t="str">
        <f t="shared" si="8"/>
        <v/>
      </c>
      <c r="O726" s="26" t="str">
        <f t="shared" si="9"/>
        <v/>
      </c>
      <c r="P726" s="26" t="str">
        <f t="shared" si="10"/>
        <v/>
      </c>
      <c r="Q726" s="26" t="str">
        <f t="shared" si="11"/>
        <v/>
      </c>
      <c r="R726" s="26" t="str">
        <f t="shared" si="12"/>
        <v/>
      </c>
      <c r="S726" s="26" t="str">
        <f t="shared" si="13"/>
        <v/>
      </c>
      <c r="T726" s="26" t="str">
        <f t="shared" si="14"/>
        <v/>
      </c>
      <c r="U726" s="26" t="str">
        <f t="shared" si="15"/>
        <v/>
      </c>
      <c r="V726" s="26" t="str">
        <f t="shared" si="16"/>
        <v/>
      </c>
      <c r="W726" s="26" t="str">
        <f t="shared" si="17"/>
        <v/>
      </c>
      <c r="X726" s="26" t="str">
        <f t="shared" si="18"/>
        <v/>
      </c>
      <c r="Y726" s="26" t="str">
        <f t="shared" si="19"/>
        <v/>
      </c>
      <c r="Z726" s="31" t="str">
        <f t="shared" si="20"/>
        <v/>
      </c>
      <c r="AA726" s="31" t="str">
        <f>IF(D726="","",IF(H726&lt;=$B$16,1,IF(H726&gt;=$B$17,$B$21,MATCH(H726,Aux_CAV!$A$2:$A$121,1))))</f>
        <v/>
      </c>
      <c r="AB726" s="31" t="str">
        <f>IF(D726="","",IF(L726&lt;=$B$16,1,IF(L726&gt;=$B$17,$B$21,MATCH(L726,Aux_CAV!$A$2:$A$121,1))))</f>
        <v/>
      </c>
      <c r="AC726" s="3" t="str">
        <f t="shared" si="21"/>
        <v/>
      </c>
    </row>
    <row r="727" ht="12.75" customHeight="1">
      <c r="A727" s="25" t="str">
        <f t="shared" si="1"/>
        <v/>
      </c>
      <c r="B727" s="29" t="str">
        <f t="array" ref="B727">IF(D727="","",IFERROR(VALUE(INDEX(Vazoes_COLAR!$A$2:$A$200,INT((ROW()-24)/12)+1)),""))</f>
        <v/>
      </c>
      <c r="C727" s="29" t="str">
        <f t="shared" si="2"/>
        <v/>
      </c>
      <c r="D727" s="26" t="str">
        <f t="array" ref="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27" s="26" t="str">
        <f t="shared" si="3"/>
        <v/>
      </c>
      <c r="F727" s="26" t="str">
        <f t="array" ref="F727">IF(D727="","",IFERROR(INDEX(Dados_Evap!$C$2:$N$15,MATCH($B$9,Dados_Evap!$A$2:$A$15,0),C727),0))</f>
        <v/>
      </c>
      <c r="G727" s="26" t="str">
        <f t="shared" si="4"/>
        <v/>
      </c>
      <c r="H727" s="26" t="str">
        <f t="shared" si="22"/>
        <v/>
      </c>
      <c r="I727" s="26" t="str">
        <f t="array" ref="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/>
      </c>
      <c r="J727" s="26" t="str">
        <f t="shared" si="5"/>
        <v/>
      </c>
      <c r="K727" s="26" t="str">
        <f t="shared" si="6"/>
        <v/>
      </c>
      <c r="L727" s="26" t="str">
        <f t="shared" si="7"/>
        <v/>
      </c>
      <c r="M727" s="26" t="str">
        <f t="array" ref="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/>
      </c>
      <c r="N727" s="26" t="str">
        <f t="shared" si="8"/>
        <v/>
      </c>
      <c r="O727" s="26" t="str">
        <f t="shared" si="9"/>
        <v/>
      </c>
      <c r="P727" s="26" t="str">
        <f t="shared" si="10"/>
        <v/>
      </c>
      <c r="Q727" s="26" t="str">
        <f t="shared" si="11"/>
        <v/>
      </c>
      <c r="R727" s="26" t="str">
        <f t="shared" si="12"/>
        <v/>
      </c>
      <c r="S727" s="26" t="str">
        <f t="shared" si="13"/>
        <v/>
      </c>
      <c r="T727" s="26" t="str">
        <f t="shared" si="14"/>
        <v/>
      </c>
      <c r="U727" s="26" t="str">
        <f t="shared" si="15"/>
        <v/>
      </c>
      <c r="V727" s="26" t="str">
        <f t="shared" si="16"/>
        <v/>
      </c>
      <c r="W727" s="26" t="str">
        <f t="shared" si="17"/>
        <v/>
      </c>
      <c r="X727" s="26" t="str">
        <f t="shared" si="18"/>
        <v/>
      </c>
      <c r="Y727" s="26" t="str">
        <f t="shared" si="19"/>
        <v/>
      </c>
      <c r="Z727" s="31" t="str">
        <f t="shared" si="20"/>
        <v/>
      </c>
      <c r="AA727" s="31" t="str">
        <f>IF(D727="","",IF(H727&lt;=$B$16,1,IF(H727&gt;=$B$17,$B$21,MATCH(H727,Aux_CAV!$A$2:$A$121,1))))</f>
        <v/>
      </c>
      <c r="AB727" s="31" t="str">
        <f>IF(D727="","",IF(L727&lt;=$B$16,1,IF(L727&gt;=$B$17,$B$21,MATCH(L727,Aux_CAV!$A$2:$A$121,1))))</f>
        <v/>
      </c>
      <c r="AC727" s="3" t="str">
        <f t="shared" si="21"/>
        <v/>
      </c>
    </row>
    <row r="728" ht="12.75" customHeight="1">
      <c r="A728" s="25" t="str">
        <f t="shared" si="1"/>
        <v/>
      </c>
      <c r="B728" s="29" t="str">
        <f t="array" ref="B728">IF(D728="","",IFERROR(VALUE(INDEX(Vazoes_COLAR!$A$2:$A$200,INT((ROW()-24)/12)+1)),""))</f>
        <v/>
      </c>
      <c r="C728" s="29" t="str">
        <f t="shared" si="2"/>
        <v/>
      </c>
      <c r="D728" s="26" t="str">
        <f t="array" ref="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28" s="26" t="str">
        <f t="shared" si="3"/>
        <v/>
      </c>
      <c r="F728" s="26" t="str">
        <f t="array" ref="F728">IF(D728="","",IFERROR(INDEX(Dados_Evap!$C$2:$N$15,MATCH($B$9,Dados_Evap!$A$2:$A$15,0),C728),0))</f>
        <v/>
      </c>
      <c r="G728" s="26" t="str">
        <f t="shared" si="4"/>
        <v/>
      </c>
      <c r="H728" s="26" t="str">
        <f t="shared" si="22"/>
        <v/>
      </c>
      <c r="I728" s="26" t="str">
        <f t="array" ref="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/>
      </c>
      <c r="J728" s="26" t="str">
        <f t="shared" si="5"/>
        <v/>
      </c>
      <c r="K728" s="26" t="str">
        <f t="shared" si="6"/>
        <v/>
      </c>
      <c r="L728" s="26" t="str">
        <f t="shared" si="7"/>
        <v/>
      </c>
      <c r="M728" s="26" t="str">
        <f t="array" ref="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/>
      </c>
      <c r="N728" s="26" t="str">
        <f t="shared" si="8"/>
        <v/>
      </c>
      <c r="O728" s="26" t="str">
        <f t="shared" si="9"/>
        <v/>
      </c>
      <c r="P728" s="26" t="str">
        <f t="shared" si="10"/>
        <v/>
      </c>
      <c r="Q728" s="26" t="str">
        <f t="shared" si="11"/>
        <v/>
      </c>
      <c r="R728" s="26" t="str">
        <f t="shared" si="12"/>
        <v/>
      </c>
      <c r="S728" s="26" t="str">
        <f t="shared" si="13"/>
        <v/>
      </c>
      <c r="T728" s="26" t="str">
        <f t="shared" si="14"/>
        <v/>
      </c>
      <c r="U728" s="26" t="str">
        <f t="shared" si="15"/>
        <v/>
      </c>
      <c r="V728" s="26" t="str">
        <f t="shared" si="16"/>
        <v/>
      </c>
      <c r="W728" s="26" t="str">
        <f t="shared" si="17"/>
        <v/>
      </c>
      <c r="X728" s="26" t="str">
        <f t="shared" si="18"/>
        <v/>
      </c>
      <c r="Y728" s="26" t="str">
        <f t="shared" si="19"/>
        <v/>
      </c>
      <c r="Z728" s="31" t="str">
        <f t="shared" si="20"/>
        <v/>
      </c>
      <c r="AA728" s="31" t="str">
        <f>IF(D728="","",IF(H728&lt;=$B$16,1,IF(H728&gt;=$B$17,$B$21,MATCH(H728,Aux_CAV!$A$2:$A$121,1))))</f>
        <v/>
      </c>
      <c r="AB728" s="31" t="str">
        <f>IF(D728="","",IF(L728&lt;=$B$16,1,IF(L728&gt;=$B$17,$B$21,MATCH(L728,Aux_CAV!$A$2:$A$121,1))))</f>
        <v/>
      </c>
      <c r="AC728" s="3" t="str">
        <f t="shared" si="21"/>
        <v/>
      </c>
    </row>
    <row r="729" ht="12.75" customHeight="1">
      <c r="A729" s="25" t="str">
        <f t="shared" si="1"/>
        <v/>
      </c>
      <c r="B729" s="29" t="str">
        <f t="array" ref="B729">IF(D729="","",IFERROR(VALUE(INDEX(Vazoes_COLAR!$A$2:$A$200,INT((ROW()-24)/12)+1)),""))</f>
        <v/>
      </c>
      <c r="C729" s="29" t="str">
        <f t="shared" si="2"/>
        <v/>
      </c>
      <c r="D729" s="26" t="str">
        <f t="array" ref="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29" s="26" t="str">
        <f t="shared" si="3"/>
        <v/>
      </c>
      <c r="F729" s="26" t="str">
        <f t="array" ref="F729">IF(D729="","",IFERROR(INDEX(Dados_Evap!$C$2:$N$15,MATCH($B$9,Dados_Evap!$A$2:$A$15,0),C729),0))</f>
        <v/>
      </c>
      <c r="G729" s="26" t="str">
        <f t="shared" si="4"/>
        <v/>
      </c>
      <c r="H729" s="26" t="str">
        <f t="shared" si="22"/>
        <v/>
      </c>
      <c r="I729" s="26" t="str">
        <f t="array" ref="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/>
      </c>
      <c r="J729" s="26" t="str">
        <f t="shared" si="5"/>
        <v/>
      </c>
      <c r="K729" s="26" t="str">
        <f t="shared" si="6"/>
        <v/>
      </c>
      <c r="L729" s="26" t="str">
        <f t="shared" si="7"/>
        <v/>
      </c>
      <c r="M729" s="26" t="str">
        <f t="array" ref="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/>
      </c>
      <c r="N729" s="26" t="str">
        <f t="shared" si="8"/>
        <v/>
      </c>
      <c r="O729" s="26" t="str">
        <f t="shared" si="9"/>
        <v/>
      </c>
      <c r="P729" s="26" t="str">
        <f t="shared" si="10"/>
        <v/>
      </c>
      <c r="Q729" s="26" t="str">
        <f t="shared" si="11"/>
        <v/>
      </c>
      <c r="R729" s="26" t="str">
        <f t="shared" si="12"/>
        <v/>
      </c>
      <c r="S729" s="26" t="str">
        <f t="shared" si="13"/>
        <v/>
      </c>
      <c r="T729" s="26" t="str">
        <f t="shared" si="14"/>
        <v/>
      </c>
      <c r="U729" s="26" t="str">
        <f t="shared" si="15"/>
        <v/>
      </c>
      <c r="V729" s="26" t="str">
        <f t="shared" si="16"/>
        <v/>
      </c>
      <c r="W729" s="26" t="str">
        <f t="shared" si="17"/>
        <v/>
      </c>
      <c r="X729" s="26" t="str">
        <f t="shared" si="18"/>
        <v/>
      </c>
      <c r="Y729" s="26" t="str">
        <f t="shared" si="19"/>
        <v/>
      </c>
      <c r="Z729" s="31" t="str">
        <f t="shared" si="20"/>
        <v/>
      </c>
      <c r="AA729" s="31" t="str">
        <f>IF(D729="","",IF(H729&lt;=$B$16,1,IF(H729&gt;=$B$17,$B$21,MATCH(H729,Aux_CAV!$A$2:$A$121,1))))</f>
        <v/>
      </c>
      <c r="AB729" s="31" t="str">
        <f>IF(D729="","",IF(L729&lt;=$B$16,1,IF(L729&gt;=$B$17,$B$21,MATCH(L729,Aux_CAV!$A$2:$A$121,1))))</f>
        <v/>
      </c>
      <c r="AC729" s="3" t="str">
        <f t="shared" si="21"/>
        <v/>
      </c>
    </row>
    <row r="730" ht="12.75" customHeight="1">
      <c r="A730" s="25" t="str">
        <f t="shared" si="1"/>
        <v/>
      </c>
      <c r="B730" s="29" t="str">
        <f t="array" ref="B730">IF(D730="","",IFERROR(VALUE(INDEX(Vazoes_COLAR!$A$2:$A$200,INT((ROW()-24)/12)+1)),""))</f>
        <v/>
      </c>
      <c r="C730" s="29" t="str">
        <f t="shared" si="2"/>
        <v/>
      </c>
      <c r="D730" s="26" t="str">
        <f t="array" ref="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30" s="26" t="str">
        <f t="shared" si="3"/>
        <v/>
      </c>
      <c r="F730" s="26" t="str">
        <f t="array" ref="F730">IF(D730="","",IFERROR(INDEX(Dados_Evap!$C$2:$N$15,MATCH($B$9,Dados_Evap!$A$2:$A$15,0),C730),0))</f>
        <v/>
      </c>
      <c r="G730" s="26" t="str">
        <f t="shared" si="4"/>
        <v/>
      </c>
      <c r="H730" s="26" t="str">
        <f t="shared" si="22"/>
        <v/>
      </c>
      <c r="I730" s="26" t="str">
        <f t="array" ref="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/>
      </c>
      <c r="J730" s="26" t="str">
        <f t="shared" si="5"/>
        <v/>
      </c>
      <c r="K730" s="26" t="str">
        <f t="shared" si="6"/>
        <v/>
      </c>
      <c r="L730" s="26" t="str">
        <f t="shared" si="7"/>
        <v/>
      </c>
      <c r="M730" s="26" t="str">
        <f t="array" ref="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/>
      </c>
      <c r="N730" s="26" t="str">
        <f t="shared" si="8"/>
        <v/>
      </c>
      <c r="O730" s="26" t="str">
        <f t="shared" si="9"/>
        <v/>
      </c>
      <c r="P730" s="26" t="str">
        <f t="shared" si="10"/>
        <v/>
      </c>
      <c r="Q730" s="26" t="str">
        <f t="shared" si="11"/>
        <v/>
      </c>
      <c r="R730" s="26" t="str">
        <f t="shared" si="12"/>
        <v/>
      </c>
      <c r="S730" s="26" t="str">
        <f t="shared" si="13"/>
        <v/>
      </c>
      <c r="T730" s="26" t="str">
        <f t="shared" si="14"/>
        <v/>
      </c>
      <c r="U730" s="26" t="str">
        <f t="shared" si="15"/>
        <v/>
      </c>
      <c r="V730" s="26" t="str">
        <f t="shared" si="16"/>
        <v/>
      </c>
      <c r="W730" s="26" t="str">
        <f t="shared" si="17"/>
        <v/>
      </c>
      <c r="X730" s="26" t="str">
        <f t="shared" si="18"/>
        <v/>
      </c>
      <c r="Y730" s="26" t="str">
        <f t="shared" si="19"/>
        <v/>
      </c>
      <c r="Z730" s="31" t="str">
        <f t="shared" si="20"/>
        <v/>
      </c>
      <c r="AA730" s="31" t="str">
        <f>IF(D730="","",IF(H730&lt;=$B$16,1,IF(H730&gt;=$B$17,$B$21,MATCH(H730,Aux_CAV!$A$2:$A$121,1))))</f>
        <v/>
      </c>
      <c r="AB730" s="31" t="str">
        <f>IF(D730="","",IF(L730&lt;=$B$16,1,IF(L730&gt;=$B$17,$B$21,MATCH(L730,Aux_CAV!$A$2:$A$121,1))))</f>
        <v/>
      </c>
      <c r="AC730" s="3" t="str">
        <f t="shared" si="21"/>
        <v/>
      </c>
    </row>
    <row r="731" ht="12.75" customHeight="1">
      <c r="A731" s="25" t="str">
        <f t="shared" si="1"/>
        <v/>
      </c>
      <c r="B731" s="29" t="str">
        <f t="array" ref="B731">IF(D731="","",IFERROR(VALUE(INDEX(Vazoes_COLAR!$A$2:$A$200,INT((ROW()-24)/12)+1)),""))</f>
        <v/>
      </c>
      <c r="C731" s="29" t="str">
        <f t="shared" si="2"/>
        <v/>
      </c>
      <c r="D731" s="26" t="str">
        <f t="array" ref="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31" s="26" t="str">
        <f t="shared" si="3"/>
        <v/>
      </c>
      <c r="F731" s="26" t="str">
        <f t="array" ref="F731">IF(D731="","",IFERROR(INDEX(Dados_Evap!$C$2:$N$15,MATCH($B$9,Dados_Evap!$A$2:$A$15,0),C731),0))</f>
        <v/>
      </c>
      <c r="G731" s="26" t="str">
        <f t="shared" si="4"/>
        <v/>
      </c>
      <c r="H731" s="26" t="str">
        <f t="shared" si="22"/>
        <v/>
      </c>
      <c r="I731" s="26" t="str">
        <f t="array" ref="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/>
      </c>
      <c r="J731" s="26" t="str">
        <f t="shared" si="5"/>
        <v/>
      </c>
      <c r="K731" s="26" t="str">
        <f t="shared" si="6"/>
        <v/>
      </c>
      <c r="L731" s="26" t="str">
        <f t="shared" si="7"/>
        <v/>
      </c>
      <c r="M731" s="26" t="str">
        <f t="array" ref="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/>
      </c>
      <c r="N731" s="26" t="str">
        <f t="shared" si="8"/>
        <v/>
      </c>
      <c r="O731" s="26" t="str">
        <f t="shared" si="9"/>
        <v/>
      </c>
      <c r="P731" s="26" t="str">
        <f t="shared" si="10"/>
        <v/>
      </c>
      <c r="Q731" s="26" t="str">
        <f t="shared" si="11"/>
        <v/>
      </c>
      <c r="R731" s="26" t="str">
        <f t="shared" si="12"/>
        <v/>
      </c>
      <c r="S731" s="26" t="str">
        <f t="shared" si="13"/>
        <v/>
      </c>
      <c r="T731" s="26" t="str">
        <f t="shared" si="14"/>
        <v/>
      </c>
      <c r="U731" s="26" t="str">
        <f t="shared" si="15"/>
        <v/>
      </c>
      <c r="V731" s="26" t="str">
        <f t="shared" si="16"/>
        <v/>
      </c>
      <c r="W731" s="26" t="str">
        <f t="shared" si="17"/>
        <v/>
      </c>
      <c r="X731" s="26" t="str">
        <f t="shared" si="18"/>
        <v/>
      </c>
      <c r="Y731" s="26" t="str">
        <f t="shared" si="19"/>
        <v/>
      </c>
      <c r="Z731" s="31" t="str">
        <f t="shared" si="20"/>
        <v/>
      </c>
      <c r="AA731" s="31" t="str">
        <f>IF(D731="","",IF(H731&lt;=$B$16,1,IF(H731&gt;=$B$17,$B$21,MATCH(H731,Aux_CAV!$A$2:$A$121,1))))</f>
        <v/>
      </c>
      <c r="AB731" s="31" t="str">
        <f>IF(D731="","",IF(L731&lt;=$B$16,1,IF(L731&gt;=$B$17,$B$21,MATCH(L731,Aux_CAV!$A$2:$A$121,1))))</f>
        <v/>
      </c>
      <c r="AC731" s="3" t="str">
        <f t="shared" si="21"/>
        <v/>
      </c>
    </row>
    <row r="732" ht="12.75" customHeight="1">
      <c r="A732" s="25" t="str">
        <f t="shared" si="1"/>
        <v/>
      </c>
      <c r="B732" s="29" t="str">
        <f t="array" ref="B732">IF(D732="","",IFERROR(VALUE(INDEX(Vazoes_COLAR!$A$2:$A$200,INT((ROW()-24)/12)+1)),""))</f>
        <v/>
      </c>
      <c r="C732" s="29" t="str">
        <f t="shared" si="2"/>
        <v/>
      </c>
      <c r="D732" s="26" t="str">
        <f t="array" ref="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32" s="26" t="str">
        <f t="shared" si="3"/>
        <v/>
      </c>
      <c r="F732" s="26" t="str">
        <f t="array" ref="F732">IF(D732="","",IFERROR(INDEX(Dados_Evap!$C$2:$N$15,MATCH($B$9,Dados_Evap!$A$2:$A$15,0),C732),0))</f>
        <v/>
      </c>
      <c r="G732" s="26" t="str">
        <f t="shared" si="4"/>
        <v/>
      </c>
      <c r="H732" s="26" t="str">
        <f t="shared" si="22"/>
        <v/>
      </c>
      <c r="I732" s="26" t="str">
        <f t="array" ref="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/>
      </c>
      <c r="J732" s="26" t="str">
        <f t="shared" si="5"/>
        <v/>
      </c>
      <c r="K732" s="26" t="str">
        <f t="shared" si="6"/>
        <v/>
      </c>
      <c r="L732" s="26" t="str">
        <f t="shared" si="7"/>
        <v/>
      </c>
      <c r="M732" s="26" t="str">
        <f t="array" ref="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/>
      </c>
      <c r="N732" s="26" t="str">
        <f t="shared" si="8"/>
        <v/>
      </c>
      <c r="O732" s="26" t="str">
        <f t="shared" si="9"/>
        <v/>
      </c>
      <c r="P732" s="26" t="str">
        <f t="shared" si="10"/>
        <v/>
      </c>
      <c r="Q732" s="26" t="str">
        <f t="shared" si="11"/>
        <v/>
      </c>
      <c r="R732" s="26" t="str">
        <f t="shared" si="12"/>
        <v/>
      </c>
      <c r="S732" s="26" t="str">
        <f t="shared" si="13"/>
        <v/>
      </c>
      <c r="T732" s="26" t="str">
        <f t="shared" si="14"/>
        <v/>
      </c>
      <c r="U732" s="26" t="str">
        <f t="shared" si="15"/>
        <v/>
      </c>
      <c r="V732" s="26" t="str">
        <f t="shared" si="16"/>
        <v/>
      </c>
      <c r="W732" s="26" t="str">
        <f t="shared" si="17"/>
        <v/>
      </c>
      <c r="X732" s="26" t="str">
        <f t="shared" si="18"/>
        <v/>
      </c>
      <c r="Y732" s="26" t="str">
        <f t="shared" si="19"/>
        <v/>
      </c>
      <c r="Z732" s="31" t="str">
        <f t="shared" si="20"/>
        <v/>
      </c>
      <c r="AA732" s="31" t="str">
        <f>IF(D732="","",IF(H732&lt;=$B$16,1,IF(H732&gt;=$B$17,$B$21,MATCH(H732,Aux_CAV!$A$2:$A$121,1))))</f>
        <v/>
      </c>
      <c r="AB732" s="31" t="str">
        <f>IF(D732="","",IF(L732&lt;=$B$16,1,IF(L732&gt;=$B$17,$B$21,MATCH(L732,Aux_CAV!$A$2:$A$121,1))))</f>
        <v/>
      </c>
      <c r="AC732" s="3" t="str">
        <f t="shared" si="21"/>
        <v/>
      </c>
    </row>
    <row r="733" ht="12.75" customHeight="1">
      <c r="A733" s="25" t="str">
        <f t="shared" si="1"/>
        <v/>
      </c>
      <c r="B733" s="29" t="str">
        <f t="array" ref="B733">IF(D733="","",IFERROR(VALUE(INDEX(Vazoes_COLAR!$A$2:$A$200,INT((ROW()-24)/12)+1)),""))</f>
        <v/>
      </c>
      <c r="C733" s="29" t="str">
        <f t="shared" si="2"/>
        <v/>
      </c>
      <c r="D733" s="26" t="str">
        <f t="array" ref="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33" s="26" t="str">
        <f t="shared" si="3"/>
        <v/>
      </c>
      <c r="F733" s="26" t="str">
        <f t="array" ref="F733">IF(D733="","",IFERROR(INDEX(Dados_Evap!$C$2:$N$15,MATCH($B$9,Dados_Evap!$A$2:$A$15,0),C733),0))</f>
        <v/>
      </c>
      <c r="G733" s="26" t="str">
        <f t="shared" si="4"/>
        <v/>
      </c>
      <c r="H733" s="26" t="str">
        <f t="shared" si="22"/>
        <v/>
      </c>
      <c r="I733" s="26" t="str">
        <f t="array" ref="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/>
      </c>
      <c r="J733" s="26" t="str">
        <f t="shared" si="5"/>
        <v/>
      </c>
      <c r="K733" s="26" t="str">
        <f t="shared" si="6"/>
        <v/>
      </c>
      <c r="L733" s="26" t="str">
        <f t="shared" si="7"/>
        <v/>
      </c>
      <c r="M733" s="26" t="str">
        <f t="array" ref="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/>
      </c>
      <c r="N733" s="26" t="str">
        <f t="shared" si="8"/>
        <v/>
      </c>
      <c r="O733" s="26" t="str">
        <f t="shared" si="9"/>
        <v/>
      </c>
      <c r="P733" s="26" t="str">
        <f t="shared" si="10"/>
        <v/>
      </c>
      <c r="Q733" s="26" t="str">
        <f t="shared" si="11"/>
        <v/>
      </c>
      <c r="R733" s="26" t="str">
        <f t="shared" si="12"/>
        <v/>
      </c>
      <c r="S733" s="26" t="str">
        <f t="shared" si="13"/>
        <v/>
      </c>
      <c r="T733" s="26" t="str">
        <f t="shared" si="14"/>
        <v/>
      </c>
      <c r="U733" s="26" t="str">
        <f t="shared" si="15"/>
        <v/>
      </c>
      <c r="V733" s="26" t="str">
        <f t="shared" si="16"/>
        <v/>
      </c>
      <c r="W733" s="26" t="str">
        <f t="shared" si="17"/>
        <v/>
      </c>
      <c r="X733" s="26" t="str">
        <f t="shared" si="18"/>
        <v/>
      </c>
      <c r="Y733" s="26" t="str">
        <f t="shared" si="19"/>
        <v/>
      </c>
      <c r="Z733" s="31" t="str">
        <f t="shared" si="20"/>
        <v/>
      </c>
      <c r="AA733" s="31" t="str">
        <f>IF(D733="","",IF(H733&lt;=$B$16,1,IF(H733&gt;=$B$17,$B$21,MATCH(H733,Aux_CAV!$A$2:$A$121,1))))</f>
        <v/>
      </c>
      <c r="AB733" s="31" t="str">
        <f>IF(D733="","",IF(L733&lt;=$B$16,1,IF(L733&gt;=$B$17,$B$21,MATCH(L733,Aux_CAV!$A$2:$A$121,1))))</f>
        <v/>
      </c>
      <c r="AC733" s="3" t="str">
        <f t="shared" si="21"/>
        <v/>
      </c>
    </row>
    <row r="734" ht="12.75" customHeight="1">
      <c r="A734" s="25" t="str">
        <f t="shared" si="1"/>
        <v/>
      </c>
      <c r="B734" s="29" t="str">
        <f t="array" ref="B734">IF(D734="","",IFERROR(VALUE(INDEX(Vazoes_COLAR!$A$2:$A$200,INT((ROW()-24)/12)+1)),""))</f>
        <v/>
      </c>
      <c r="C734" s="29" t="str">
        <f t="shared" si="2"/>
        <v/>
      </c>
      <c r="D734" s="26" t="str">
        <f t="array" ref="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34" s="26" t="str">
        <f t="shared" si="3"/>
        <v/>
      </c>
      <c r="F734" s="26" t="str">
        <f t="array" ref="F734">IF(D734="","",IFERROR(INDEX(Dados_Evap!$C$2:$N$15,MATCH($B$9,Dados_Evap!$A$2:$A$15,0),C734),0))</f>
        <v/>
      </c>
      <c r="G734" s="26" t="str">
        <f t="shared" si="4"/>
        <v/>
      </c>
      <c r="H734" s="26" t="str">
        <f t="shared" si="22"/>
        <v/>
      </c>
      <c r="I734" s="26" t="str">
        <f t="array" ref="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/>
      </c>
      <c r="J734" s="26" t="str">
        <f t="shared" si="5"/>
        <v/>
      </c>
      <c r="K734" s="26" t="str">
        <f t="shared" si="6"/>
        <v/>
      </c>
      <c r="L734" s="26" t="str">
        <f t="shared" si="7"/>
        <v/>
      </c>
      <c r="M734" s="26" t="str">
        <f t="array" ref="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/>
      </c>
      <c r="N734" s="26" t="str">
        <f t="shared" si="8"/>
        <v/>
      </c>
      <c r="O734" s="26" t="str">
        <f t="shared" si="9"/>
        <v/>
      </c>
      <c r="P734" s="26" t="str">
        <f t="shared" si="10"/>
        <v/>
      </c>
      <c r="Q734" s="26" t="str">
        <f t="shared" si="11"/>
        <v/>
      </c>
      <c r="R734" s="26" t="str">
        <f t="shared" si="12"/>
        <v/>
      </c>
      <c r="S734" s="26" t="str">
        <f t="shared" si="13"/>
        <v/>
      </c>
      <c r="T734" s="26" t="str">
        <f t="shared" si="14"/>
        <v/>
      </c>
      <c r="U734" s="26" t="str">
        <f t="shared" si="15"/>
        <v/>
      </c>
      <c r="V734" s="26" t="str">
        <f t="shared" si="16"/>
        <v/>
      </c>
      <c r="W734" s="26" t="str">
        <f t="shared" si="17"/>
        <v/>
      </c>
      <c r="X734" s="26" t="str">
        <f t="shared" si="18"/>
        <v/>
      </c>
      <c r="Y734" s="26" t="str">
        <f t="shared" si="19"/>
        <v/>
      </c>
      <c r="Z734" s="31" t="str">
        <f t="shared" si="20"/>
        <v/>
      </c>
      <c r="AA734" s="31" t="str">
        <f>IF(D734="","",IF(H734&lt;=$B$16,1,IF(H734&gt;=$B$17,$B$21,MATCH(H734,Aux_CAV!$A$2:$A$121,1))))</f>
        <v/>
      </c>
      <c r="AB734" s="31" t="str">
        <f>IF(D734="","",IF(L734&lt;=$B$16,1,IF(L734&gt;=$B$17,$B$21,MATCH(L734,Aux_CAV!$A$2:$A$121,1))))</f>
        <v/>
      </c>
      <c r="AC734" s="3" t="str">
        <f t="shared" si="21"/>
        <v/>
      </c>
    </row>
    <row r="735" ht="12.75" customHeight="1">
      <c r="A735" s="25" t="str">
        <f t="shared" si="1"/>
        <v/>
      </c>
      <c r="B735" s="29" t="str">
        <f t="array" ref="B735">IF(D735="","",IFERROR(VALUE(INDEX(Vazoes_COLAR!$A$2:$A$200,INT((ROW()-24)/12)+1)),""))</f>
        <v/>
      </c>
      <c r="C735" s="29" t="str">
        <f t="shared" si="2"/>
        <v/>
      </c>
      <c r="D735" s="26" t="str">
        <f t="array" ref="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35" s="26" t="str">
        <f t="shared" si="3"/>
        <v/>
      </c>
      <c r="F735" s="26" t="str">
        <f t="array" ref="F735">IF(D735="","",IFERROR(INDEX(Dados_Evap!$C$2:$N$15,MATCH($B$9,Dados_Evap!$A$2:$A$15,0),C735),0))</f>
        <v/>
      </c>
      <c r="G735" s="26" t="str">
        <f t="shared" si="4"/>
        <v/>
      </c>
      <c r="H735" s="26" t="str">
        <f t="shared" si="22"/>
        <v/>
      </c>
      <c r="I735" s="26" t="str">
        <f t="array" ref="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/>
      </c>
      <c r="J735" s="26" t="str">
        <f t="shared" si="5"/>
        <v/>
      </c>
      <c r="K735" s="26" t="str">
        <f t="shared" si="6"/>
        <v/>
      </c>
      <c r="L735" s="26" t="str">
        <f t="shared" si="7"/>
        <v/>
      </c>
      <c r="M735" s="26" t="str">
        <f t="array" ref="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/>
      </c>
      <c r="N735" s="26" t="str">
        <f t="shared" si="8"/>
        <v/>
      </c>
      <c r="O735" s="26" t="str">
        <f t="shared" si="9"/>
        <v/>
      </c>
      <c r="P735" s="26" t="str">
        <f t="shared" si="10"/>
        <v/>
      </c>
      <c r="Q735" s="26" t="str">
        <f t="shared" si="11"/>
        <v/>
      </c>
      <c r="R735" s="26" t="str">
        <f t="shared" si="12"/>
        <v/>
      </c>
      <c r="S735" s="26" t="str">
        <f t="shared" si="13"/>
        <v/>
      </c>
      <c r="T735" s="26" t="str">
        <f t="shared" si="14"/>
        <v/>
      </c>
      <c r="U735" s="26" t="str">
        <f t="shared" si="15"/>
        <v/>
      </c>
      <c r="V735" s="26" t="str">
        <f t="shared" si="16"/>
        <v/>
      </c>
      <c r="W735" s="26" t="str">
        <f t="shared" si="17"/>
        <v/>
      </c>
      <c r="X735" s="26" t="str">
        <f t="shared" si="18"/>
        <v/>
      </c>
      <c r="Y735" s="26" t="str">
        <f t="shared" si="19"/>
        <v/>
      </c>
      <c r="Z735" s="31" t="str">
        <f t="shared" si="20"/>
        <v/>
      </c>
      <c r="AA735" s="31" t="str">
        <f>IF(D735="","",IF(H735&lt;=$B$16,1,IF(H735&gt;=$B$17,$B$21,MATCH(H735,Aux_CAV!$A$2:$A$121,1))))</f>
        <v/>
      </c>
      <c r="AB735" s="31" t="str">
        <f>IF(D735="","",IF(L735&lt;=$B$16,1,IF(L735&gt;=$B$17,$B$21,MATCH(L735,Aux_CAV!$A$2:$A$121,1))))</f>
        <v/>
      </c>
      <c r="AC735" s="3" t="str">
        <f t="shared" si="21"/>
        <v/>
      </c>
    </row>
    <row r="736" ht="12.75" customHeight="1">
      <c r="A736" s="25" t="str">
        <f t="shared" si="1"/>
        <v/>
      </c>
      <c r="B736" s="29" t="str">
        <f t="array" ref="B736">IF(D736="","",IFERROR(VALUE(INDEX(Vazoes_COLAR!$A$2:$A$200,INT((ROW()-24)/12)+1)),""))</f>
        <v/>
      </c>
      <c r="C736" s="29" t="str">
        <f t="shared" si="2"/>
        <v/>
      </c>
      <c r="D736" s="26" t="str">
        <f t="array" ref="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36" s="26" t="str">
        <f t="shared" si="3"/>
        <v/>
      </c>
      <c r="F736" s="26" t="str">
        <f t="array" ref="F736">IF(D736="","",IFERROR(INDEX(Dados_Evap!$C$2:$N$15,MATCH($B$9,Dados_Evap!$A$2:$A$15,0),C736),0))</f>
        <v/>
      </c>
      <c r="G736" s="26" t="str">
        <f t="shared" si="4"/>
        <v/>
      </c>
      <c r="H736" s="26" t="str">
        <f t="shared" si="22"/>
        <v/>
      </c>
      <c r="I736" s="26" t="str">
        <f t="array" ref="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/>
      </c>
      <c r="J736" s="26" t="str">
        <f t="shared" si="5"/>
        <v/>
      </c>
      <c r="K736" s="26" t="str">
        <f t="shared" si="6"/>
        <v/>
      </c>
      <c r="L736" s="26" t="str">
        <f t="shared" si="7"/>
        <v/>
      </c>
      <c r="M736" s="26" t="str">
        <f t="array" ref="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/>
      </c>
      <c r="N736" s="26" t="str">
        <f t="shared" si="8"/>
        <v/>
      </c>
      <c r="O736" s="26" t="str">
        <f t="shared" si="9"/>
        <v/>
      </c>
      <c r="P736" s="26" t="str">
        <f t="shared" si="10"/>
        <v/>
      </c>
      <c r="Q736" s="26" t="str">
        <f t="shared" si="11"/>
        <v/>
      </c>
      <c r="R736" s="26" t="str">
        <f t="shared" si="12"/>
        <v/>
      </c>
      <c r="S736" s="26" t="str">
        <f t="shared" si="13"/>
        <v/>
      </c>
      <c r="T736" s="26" t="str">
        <f t="shared" si="14"/>
        <v/>
      </c>
      <c r="U736" s="26" t="str">
        <f t="shared" si="15"/>
        <v/>
      </c>
      <c r="V736" s="26" t="str">
        <f t="shared" si="16"/>
        <v/>
      </c>
      <c r="W736" s="26" t="str">
        <f t="shared" si="17"/>
        <v/>
      </c>
      <c r="X736" s="26" t="str">
        <f t="shared" si="18"/>
        <v/>
      </c>
      <c r="Y736" s="26" t="str">
        <f t="shared" si="19"/>
        <v/>
      </c>
      <c r="Z736" s="31" t="str">
        <f t="shared" si="20"/>
        <v/>
      </c>
      <c r="AA736" s="31" t="str">
        <f>IF(D736="","",IF(H736&lt;=$B$16,1,IF(H736&gt;=$B$17,$B$21,MATCH(H736,Aux_CAV!$A$2:$A$121,1))))</f>
        <v/>
      </c>
      <c r="AB736" s="31" t="str">
        <f>IF(D736="","",IF(L736&lt;=$B$16,1,IF(L736&gt;=$B$17,$B$21,MATCH(L736,Aux_CAV!$A$2:$A$121,1))))</f>
        <v/>
      </c>
      <c r="AC736" s="3" t="str">
        <f t="shared" si="21"/>
        <v/>
      </c>
    </row>
    <row r="737" ht="12.75" customHeight="1">
      <c r="A737" s="25" t="str">
        <f t="shared" si="1"/>
        <v/>
      </c>
      <c r="B737" s="29" t="str">
        <f t="array" ref="B737">IF(D737="","",IFERROR(VALUE(INDEX(Vazoes_COLAR!$A$2:$A$200,INT((ROW()-24)/12)+1)),""))</f>
        <v/>
      </c>
      <c r="C737" s="29" t="str">
        <f t="shared" si="2"/>
        <v/>
      </c>
      <c r="D737" s="26" t="str">
        <f t="array" ref="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37" s="26" t="str">
        <f t="shared" si="3"/>
        <v/>
      </c>
      <c r="F737" s="26" t="str">
        <f t="array" ref="F737">IF(D737="","",IFERROR(INDEX(Dados_Evap!$C$2:$N$15,MATCH($B$9,Dados_Evap!$A$2:$A$15,0),C737),0))</f>
        <v/>
      </c>
      <c r="G737" s="26" t="str">
        <f t="shared" si="4"/>
        <v/>
      </c>
      <c r="H737" s="26" t="str">
        <f t="shared" si="22"/>
        <v/>
      </c>
      <c r="I737" s="26" t="str">
        <f t="array" ref="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/>
      </c>
      <c r="J737" s="26" t="str">
        <f t="shared" si="5"/>
        <v/>
      </c>
      <c r="K737" s="26" t="str">
        <f t="shared" si="6"/>
        <v/>
      </c>
      <c r="L737" s="26" t="str">
        <f t="shared" si="7"/>
        <v/>
      </c>
      <c r="M737" s="26" t="str">
        <f t="array" ref="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/>
      </c>
      <c r="N737" s="26" t="str">
        <f t="shared" si="8"/>
        <v/>
      </c>
      <c r="O737" s="26" t="str">
        <f t="shared" si="9"/>
        <v/>
      </c>
      <c r="P737" s="26" t="str">
        <f t="shared" si="10"/>
        <v/>
      </c>
      <c r="Q737" s="26" t="str">
        <f t="shared" si="11"/>
        <v/>
      </c>
      <c r="R737" s="26" t="str">
        <f t="shared" si="12"/>
        <v/>
      </c>
      <c r="S737" s="26" t="str">
        <f t="shared" si="13"/>
        <v/>
      </c>
      <c r="T737" s="26" t="str">
        <f t="shared" si="14"/>
        <v/>
      </c>
      <c r="U737" s="26" t="str">
        <f t="shared" si="15"/>
        <v/>
      </c>
      <c r="V737" s="26" t="str">
        <f t="shared" si="16"/>
        <v/>
      </c>
      <c r="W737" s="26" t="str">
        <f t="shared" si="17"/>
        <v/>
      </c>
      <c r="X737" s="26" t="str">
        <f t="shared" si="18"/>
        <v/>
      </c>
      <c r="Y737" s="26" t="str">
        <f t="shared" si="19"/>
        <v/>
      </c>
      <c r="Z737" s="31" t="str">
        <f t="shared" si="20"/>
        <v/>
      </c>
      <c r="AA737" s="31" t="str">
        <f>IF(D737="","",IF(H737&lt;=$B$16,1,IF(H737&gt;=$B$17,$B$21,MATCH(H737,Aux_CAV!$A$2:$A$121,1))))</f>
        <v/>
      </c>
      <c r="AB737" s="31" t="str">
        <f>IF(D737="","",IF(L737&lt;=$B$16,1,IF(L737&gt;=$B$17,$B$21,MATCH(L737,Aux_CAV!$A$2:$A$121,1))))</f>
        <v/>
      </c>
      <c r="AC737" s="3" t="str">
        <f t="shared" si="21"/>
        <v/>
      </c>
    </row>
    <row r="738" ht="12.75" customHeight="1">
      <c r="A738" s="25" t="str">
        <f t="shared" si="1"/>
        <v/>
      </c>
      <c r="B738" s="29" t="str">
        <f t="array" ref="B738">IF(D738="","",IFERROR(VALUE(INDEX(Vazoes_COLAR!$A$2:$A$200,INT((ROW()-24)/12)+1)),""))</f>
        <v/>
      </c>
      <c r="C738" s="29" t="str">
        <f t="shared" si="2"/>
        <v/>
      </c>
      <c r="D738" s="26" t="str">
        <f t="array" ref="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38" s="26" t="str">
        <f t="shared" si="3"/>
        <v/>
      </c>
      <c r="F738" s="26" t="str">
        <f t="array" ref="F738">IF(D738="","",IFERROR(INDEX(Dados_Evap!$C$2:$N$15,MATCH($B$9,Dados_Evap!$A$2:$A$15,0),C738),0))</f>
        <v/>
      </c>
      <c r="G738" s="26" t="str">
        <f t="shared" si="4"/>
        <v/>
      </c>
      <c r="H738" s="26" t="str">
        <f t="shared" si="22"/>
        <v/>
      </c>
      <c r="I738" s="26" t="str">
        <f t="array" ref="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/>
      </c>
      <c r="J738" s="26" t="str">
        <f t="shared" si="5"/>
        <v/>
      </c>
      <c r="K738" s="26" t="str">
        <f t="shared" si="6"/>
        <v/>
      </c>
      <c r="L738" s="26" t="str">
        <f t="shared" si="7"/>
        <v/>
      </c>
      <c r="M738" s="26" t="str">
        <f t="array" ref="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/>
      </c>
      <c r="N738" s="26" t="str">
        <f t="shared" si="8"/>
        <v/>
      </c>
      <c r="O738" s="26" t="str">
        <f t="shared" si="9"/>
        <v/>
      </c>
      <c r="P738" s="26" t="str">
        <f t="shared" si="10"/>
        <v/>
      </c>
      <c r="Q738" s="26" t="str">
        <f t="shared" si="11"/>
        <v/>
      </c>
      <c r="R738" s="26" t="str">
        <f t="shared" si="12"/>
        <v/>
      </c>
      <c r="S738" s="26" t="str">
        <f t="shared" si="13"/>
        <v/>
      </c>
      <c r="T738" s="26" t="str">
        <f t="shared" si="14"/>
        <v/>
      </c>
      <c r="U738" s="26" t="str">
        <f t="shared" si="15"/>
        <v/>
      </c>
      <c r="V738" s="26" t="str">
        <f t="shared" si="16"/>
        <v/>
      </c>
      <c r="W738" s="26" t="str">
        <f t="shared" si="17"/>
        <v/>
      </c>
      <c r="X738" s="26" t="str">
        <f t="shared" si="18"/>
        <v/>
      </c>
      <c r="Y738" s="26" t="str">
        <f t="shared" si="19"/>
        <v/>
      </c>
      <c r="Z738" s="31" t="str">
        <f t="shared" si="20"/>
        <v/>
      </c>
      <c r="AA738" s="31" t="str">
        <f>IF(D738="","",IF(H738&lt;=$B$16,1,IF(H738&gt;=$B$17,$B$21,MATCH(H738,Aux_CAV!$A$2:$A$121,1))))</f>
        <v/>
      </c>
      <c r="AB738" s="31" t="str">
        <f>IF(D738="","",IF(L738&lt;=$B$16,1,IF(L738&gt;=$B$17,$B$21,MATCH(L738,Aux_CAV!$A$2:$A$121,1))))</f>
        <v/>
      </c>
      <c r="AC738" s="3" t="str">
        <f t="shared" si="21"/>
        <v/>
      </c>
    </row>
    <row r="739" ht="12.75" customHeight="1">
      <c r="A739" s="25" t="str">
        <f t="shared" si="1"/>
        <v/>
      </c>
      <c r="B739" s="29" t="str">
        <f t="array" ref="B739">IF(D739="","",IFERROR(VALUE(INDEX(Vazoes_COLAR!$A$2:$A$200,INT((ROW()-24)/12)+1)),""))</f>
        <v/>
      </c>
      <c r="C739" s="29" t="str">
        <f t="shared" si="2"/>
        <v/>
      </c>
      <c r="D739" s="26" t="str">
        <f t="array" ref="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39" s="26" t="str">
        <f t="shared" si="3"/>
        <v/>
      </c>
      <c r="F739" s="26" t="str">
        <f t="array" ref="F739">IF(D739="","",IFERROR(INDEX(Dados_Evap!$C$2:$N$15,MATCH($B$9,Dados_Evap!$A$2:$A$15,0),C739),0))</f>
        <v/>
      </c>
      <c r="G739" s="26" t="str">
        <f t="shared" si="4"/>
        <v/>
      </c>
      <c r="H739" s="26" t="str">
        <f t="shared" si="22"/>
        <v/>
      </c>
      <c r="I739" s="26" t="str">
        <f t="array" ref="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/>
      </c>
      <c r="J739" s="26" t="str">
        <f t="shared" si="5"/>
        <v/>
      </c>
      <c r="K739" s="26" t="str">
        <f t="shared" si="6"/>
        <v/>
      </c>
      <c r="L739" s="26" t="str">
        <f t="shared" si="7"/>
        <v/>
      </c>
      <c r="M739" s="26" t="str">
        <f t="array" ref="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/>
      </c>
      <c r="N739" s="26" t="str">
        <f t="shared" si="8"/>
        <v/>
      </c>
      <c r="O739" s="26" t="str">
        <f t="shared" si="9"/>
        <v/>
      </c>
      <c r="P739" s="26" t="str">
        <f t="shared" si="10"/>
        <v/>
      </c>
      <c r="Q739" s="26" t="str">
        <f t="shared" si="11"/>
        <v/>
      </c>
      <c r="R739" s="26" t="str">
        <f t="shared" si="12"/>
        <v/>
      </c>
      <c r="S739" s="26" t="str">
        <f t="shared" si="13"/>
        <v/>
      </c>
      <c r="T739" s="26" t="str">
        <f t="shared" si="14"/>
        <v/>
      </c>
      <c r="U739" s="26" t="str">
        <f t="shared" si="15"/>
        <v/>
      </c>
      <c r="V739" s="26" t="str">
        <f t="shared" si="16"/>
        <v/>
      </c>
      <c r="W739" s="26" t="str">
        <f t="shared" si="17"/>
        <v/>
      </c>
      <c r="X739" s="26" t="str">
        <f t="shared" si="18"/>
        <v/>
      </c>
      <c r="Y739" s="26" t="str">
        <f t="shared" si="19"/>
        <v/>
      </c>
      <c r="Z739" s="31" t="str">
        <f t="shared" si="20"/>
        <v/>
      </c>
      <c r="AA739" s="31" t="str">
        <f>IF(D739="","",IF(H739&lt;=$B$16,1,IF(H739&gt;=$B$17,$B$21,MATCH(H739,Aux_CAV!$A$2:$A$121,1))))</f>
        <v/>
      </c>
      <c r="AB739" s="31" t="str">
        <f>IF(D739="","",IF(L739&lt;=$B$16,1,IF(L739&gt;=$B$17,$B$21,MATCH(L739,Aux_CAV!$A$2:$A$121,1))))</f>
        <v/>
      </c>
      <c r="AC739" s="3" t="str">
        <f t="shared" si="21"/>
        <v/>
      </c>
    </row>
    <row r="740" ht="12.75" customHeight="1">
      <c r="A740" s="25" t="str">
        <f t="shared" si="1"/>
        <v/>
      </c>
      <c r="B740" s="29" t="str">
        <f t="array" ref="B740">IF(D740="","",IFERROR(VALUE(INDEX(Vazoes_COLAR!$A$2:$A$200,INT((ROW()-24)/12)+1)),""))</f>
        <v/>
      </c>
      <c r="C740" s="29" t="str">
        <f t="shared" si="2"/>
        <v/>
      </c>
      <c r="D740" s="26" t="str">
        <f t="array" ref="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40" s="26" t="str">
        <f t="shared" si="3"/>
        <v/>
      </c>
      <c r="F740" s="26" t="str">
        <f t="array" ref="F740">IF(D740="","",IFERROR(INDEX(Dados_Evap!$C$2:$N$15,MATCH($B$9,Dados_Evap!$A$2:$A$15,0),C740),0))</f>
        <v/>
      </c>
      <c r="G740" s="26" t="str">
        <f t="shared" si="4"/>
        <v/>
      </c>
      <c r="H740" s="26" t="str">
        <f t="shared" si="22"/>
        <v/>
      </c>
      <c r="I740" s="26" t="str">
        <f t="array" ref="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/>
      </c>
      <c r="J740" s="26" t="str">
        <f t="shared" si="5"/>
        <v/>
      </c>
      <c r="K740" s="26" t="str">
        <f t="shared" si="6"/>
        <v/>
      </c>
      <c r="L740" s="26" t="str">
        <f t="shared" si="7"/>
        <v/>
      </c>
      <c r="M740" s="26" t="str">
        <f t="array" ref="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/>
      </c>
      <c r="N740" s="26" t="str">
        <f t="shared" si="8"/>
        <v/>
      </c>
      <c r="O740" s="26" t="str">
        <f t="shared" si="9"/>
        <v/>
      </c>
      <c r="P740" s="26" t="str">
        <f t="shared" si="10"/>
        <v/>
      </c>
      <c r="Q740" s="26" t="str">
        <f t="shared" si="11"/>
        <v/>
      </c>
      <c r="R740" s="26" t="str">
        <f t="shared" si="12"/>
        <v/>
      </c>
      <c r="S740" s="26" t="str">
        <f t="shared" si="13"/>
        <v/>
      </c>
      <c r="T740" s="26" t="str">
        <f t="shared" si="14"/>
        <v/>
      </c>
      <c r="U740" s="26" t="str">
        <f t="shared" si="15"/>
        <v/>
      </c>
      <c r="V740" s="26" t="str">
        <f t="shared" si="16"/>
        <v/>
      </c>
      <c r="W740" s="26" t="str">
        <f t="shared" si="17"/>
        <v/>
      </c>
      <c r="X740" s="26" t="str">
        <f t="shared" si="18"/>
        <v/>
      </c>
      <c r="Y740" s="26" t="str">
        <f t="shared" si="19"/>
        <v/>
      </c>
      <c r="Z740" s="31" t="str">
        <f t="shared" si="20"/>
        <v/>
      </c>
      <c r="AA740" s="31" t="str">
        <f>IF(D740="","",IF(H740&lt;=$B$16,1,IF(H740&gt;=$B$17,$B$21,MATCH(H740,Aux_CAV!$A$2:$A$121,1))))</f>
        <v/>
      </c>
      <c r="AB740" s="31" t="str">
        <f>IF(D740="","",IF(L740&lt;=$B$16,1,IF(L740&gt;=$B$17,$B$21,MATCH(L740,Aux_CAV!$A$2:$A$121,1))))</f>
        <v/>
      </c>
      <c r="AC740" s="3" t="str">
        <f t="shared" si="21"/>
        <v/>
      </c>
    </row>
    <row r="741" ht="12.75" customHeight="1">
      <c r="A741" s="25" t="str">
        <f t="shared" si="1"/>
        <v/>
      </c>
      <c r="B741" s="29" t="str">
        <f t="array" ref="B741">IF(D741="","",IFERROR(VALUE(INDEX(Vazoes_COLAR!$A$2:$A$200,INT((ROW()-24)/12)+1)),""))</f>
        <v/>
      </c>
      <c r="C741" s="29" t="str">
        <f t="shared" si="2"/>
        <v/>
      </c>
      <c r="D741" s="26" t="str">
        <f t="array" ref="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41" s="26" t="str">
        <f t="shared" si="3"/>
        <v/>
      </c>
      <c r="F741" s="26" t="str">
        <f t="array" ref="F741">IF(D741="","",IFERROR(INDEX(Dados_Evap!$C$2:$N$15,MATCH($B$9,Dados_Evap!$A$2:$A$15,0),C741),0))</f>
        <v/>
      </c>
      <c r="G741" s="26" t="str">
        <f t="shared" si="4"/>
        <v/>
      </c>
      <c r="H741" s="26" t="str">
        <f t="shared" si="22"/>
        <v/>
      </c>
      <c r="I741" s="26" t="str">
        <f t="array" ref="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/>
      </c>
      <c r="J741" s="26" t="str">
        <f t="shared" si="5"/>
        <v/>
      </c>
      <c r="K741" s="26" t="str">
        <f t="shared" si="6"/>
        <v/>
      </c>
      <c r="L741" s="26" t="str">
        <f t="shared" si="7"/>
        <v/>
      </c>
      <c r="M741" s="26" t="str">
        <f t="array" ref="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/>
      </c>
      <c r="N741" s="26" t="str">
        <f t="shared" si="8"/>
        <v/>
      </c>
      <c r="O741" s="26" t="str">
        <f t="shared" si="9"/>
        <v/>
      </c>
      <c r="P741" s="26" t="str">
        <f t="shared" si="10"/>
        <v/>
      </c>
      <c r="Q741" s="26" t="str">
        <f t="shared" si="11"/>
        <v/>
      </c>
      <c r="R741" s="26" t="str">
        <f t="shared" si="12"/>
        <v/>
      </c>
      <c r="S741" s="26" t="str">
        <f t="shared" si="13"/>
        <v/>
      </c>
      <c r="T741" s="26" t="str">
        <f t="shared" si="14"/>
        <v/>
      </c>
      <c r="U741" s="26" t="str">
        <f t="shared" si="15"/>
        <v/>
      </c>
      <c r="V741" s="26" t="str">
        <f t="shared" si="16"/>
        <v/>
      </c>
      <c r="W741" s="26" t="str">
        <f t="shared" si="17"/>
        <v/>
      </c>
      <c r="X741" s="26" t="str">
        <f t="shared" si="18"/>
        <v/>
      </c>
      <c r="Y741" s="26" t="str">
        <f t="shared" si="19"/>
        <v/>
      </c>
      <c r="Z741" s="31" t="str">
        <f t="shared" si="20"/>
        <v/>
      </c>
      <c r="AA741" s="31" t="str">
        <f>IF(D741="","",IF(H741&lt;=$B$16,1,IF(H741&gt;=$B$17,$B$21,MATCH(H741,Aux_CAV!$A$2:$A$121,1))))</f>
        <v/>
      </c>
      <c r="AB741" s="31" t="str">
        <f>IF(D741="","",IF(L741&lt;=$B$16,1,IF(L741&gt;=$B$17,$B$21,MATCH(L741,Aux_CAV!$A$2:$A$121,1))))</f>
        <v/>
      </c>
      <c r="AC741" s="3" t="str">
        <f t="shared" si="21"/>
        <v/>
      </c>
    </row>
    <row r="742" ht="12.75" customHeight="1">
      <c r="A742" s="25" t="str">
        <f t="shared" si="1"/>
        <v/>
      </c>
      <c r="B742" s="29" t="str">
        <f t="array" ref="B742">IF(D742="","",IFERROR(VALUE(INDEX(Vazoes_COLAR!$A$2:$A$200,INT((ROW()-24)/12)+1)),""))</f>
        <v/>
      </c>
      <c r="C742" s="29" t="str">
        <f t="shared" si="2"/>
        <v/>
      </c>
      <c r="D742" s="26" t="str">
        <f t="array" ref="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42" s="26" t="str">
        <f t="shared" si="3"/>
        <v/>
      </c>
      <c r="F742" s="26" t="str">
        <f t="array" ref="F742">IF(D742="","",IFERROR(INDEX(Dados_Evap!$C$2:$N$15,MATCH($B$9,Dados_Evap!$A$2:$A$15,0),C742),0))</f>
        <v/>
      </c>
      <c r="G742" s="26" t="str">
        <f t="shared" si="4"/>
        <v/>
      </c>
      <c r="H742" s="26" t="str">
        <f t="shared" si="22"/>
        <v/>
      </c>
      <c r="I742" s="26" t="str">
        <f t="array" ref="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/>
      </c>
      <c r="J742" s="26" t="str">
        <f t="shared" si="5"/>
        <v/>
      </c>
      <c r="K742" s="26" t="str">
        <f t="shared" si="6"/>
        <v/>
      </c>
      <c r="L742" s="26" t="str">
        <f t="shared" si="7"/>
        <v/>
      </c>
      <c r="M742" s="26" t="str">
        <f t="array" ref="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/>
      </c>
      <c r="N742" s="26" t="str">
        <f t="shared" si="8"/>
        <v/>
      </c>
      <c r="O742" s="26" t="str">
        <f t="shared" si="9"/>
        <v/>
      </c>
      <c r="P742" s="26" t="str">
        <f t="shared" si="10"/>
        <v/>
      </c>
      <c r="Q742" s="26" t="str">
        <f t="shared" si="11"/>
        <v/>
      </c>
      <c r="R742" s="26" t="str">
        <f t="shared" si="12"/>
        <v/>
      </c>
      <c r="S742" s="26" t="str">
        <f t="shared" si="13"/>
        <v/>
      </c>
      <c r="T742" s="26" t="str">
        <f t="shared" si="14"/>
        <v/>
      </c>
      <c r="U742" s="26" t="str">
        <f t="shared" si="15"/>
        <v/>
      </c>
      <c r="V742" s="26" t="str">
        <f t="shared" si="16"/>
        <v/>
      </c>
      <c r="W742" s="26" t="str">
        <f t="shared" si="17"/>
        <v/>
      </c>
      <c r="X742" s="26" t="str">
        <f t="shared" si="18"/>
        <v/>
      </c>
      <c r="Y742" s="26" t="str">
        <f t="shared" si="19"/>
        <v/>
      </c>
      <c r="Z742" s="31" t="str">
        <f t="shared" si="20"/>
        <v/>
      </c>
      <c r="AA742" s="31" t="str">
        <f>IF(D742="","",IF(H742&lt;=$B$16,1,IF(H742&gt;=$B$17,$B$21,MATCH(H742,Aux_CAV!$A$2:$A$121,1))))</f>
        <v/>
      </c>
      <c r="AB742" s="31" t="str">
        <f>IF(D742="","",IF(L742&lt;=$B$16,1,IF(L742&gt;=$B$17,$B$21,MATCH(L742,Aux_CAV!$A$2:$A$121,1))))</f>
        <v/>
      </c>
      <c r="AC742" s="3" t="str">
        <f t="shared" si="21"/>
        <v/>
      </c>
    </row>
    <row r="743" ht="12.75" customHeight="1">
      <c r="A743" s="25" t="str">
        <f t="shared" si="1"/>
        <v/>
      </c>
      <c r="B743" s="29" t="str">
        <f t="array" ref="B743">IF(D743="","",IFERROR(VALUE(INDEX(Vazoes_COLAR!$A$2:$A$200,INT((ROW()-24)/12)+1)),""))</f>
        <v/>
      </c>
      <c r="C743" s="29" t="str">
        <f t="shared" si="2"/>
        <v/>
      </c>
      <c r="D743" s="26" t="str">
        <f t="array" ref="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43" s="26" t="str">
        <f t="shared" si="3"/>
        <v/>
      </c>
      <c r="F743" s="26" t="str">
        <f t="array" ref="F743">IF(D743="","",IFERROR(INDEX(Dados_Evap!$C$2:$N$15,MATCH($B$9,Dados_Evap!$A$2:$A$15,0),C743),0))</f>
        <v/>
      </c>
      <c r="G743" s="26" t="str">
        <f t="shared" si="4"/>
        <v/>
      </c>
      <c r="H743" s="26" t="str">
        <f t="shared" si="22"/>
        <v/>
      </c>
      <c r="I743" s="26" t="str">
        <f t="array" ref="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/>
      </c>
      <c r="J743" s="26" t="str">
        <f t="shared" si="5"/>
        <v/>
      </c>
      <c r="K743" s="26" t="str">
        <f t="shared" si="6"/>
        <v/>
      </c>
      <c r="L743" s="26" t="str">
        <f t="shared" si="7"/>
        <v/>
      </c>
      <c r="M743" s="26" t="str">
        <f t="array" ref="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/>
      </c>
      <c r="N743" s="26" t="str">
        <f t="shared" si="8"/>
        <v/>
      </c>
      <c r="O743" s="26" t="str">
        <f t="shared" si="9"/>
        <v/>
      </c>
      <c r="P743" s="26" t="str">
        <f t="shared" si="10"/>
        <v/>
      </c>
      <c r="Q743" s="26" t="str">
        <f t="shared" si="11"/>
        <v/>
      </c>
      <c r="R743" s="26" t="str">
        <f t="shared" si="12"/>
        <v/>
      </c>
      <c r="S743" s="26" t="str">
        <f t="shared" si="13"/>
        <v/>
      </c>
      <c r="T743" s="26" t="str">
        <f t="shared" si="14"/>
        <v/>
      </c>
      <c r="U743" s="26" t="str">
        <f t="shared" si="15"/>
        <v/>
      </c>
      <c r="V743" s="26" t="str">
        <f t="shared" si="16"/>
        <v/>
      </c>
      <c r="W743" s="26" t="str">
        <f t="shared" si="17"/>
        <v/>
      </c>
      <c r="X743" s="26" t="str">
        <f t="shared" si="18"/>
        <v/>
      </c>
      <c r="Y743" s="26" t="str">
        <f t="shared" si="19"/>
        <v/>
      </c>
      <c r="Z743" s="31" t="str">
        <f t="shared" si="20"/>
        <v/>
      </c>
      <c r="AA743" s="31" t="str">
        <f>IF(D743="","",IF(H743&lt;=$B$16,1,IF(H743&gt;=$B$17,$B$21,MATCH(H743,Aux_CAV!$A$2:$A$121,1))))</f>
        <v/>
      </c>
      <c r="AB743" s="31" t="str">
        <f>IF(D743="","",IF(L743&lt;=$B$16,1,IF(L743&gt;=$B$17,$B$21,MATCH(L743,Aux_CAV!$A$2:$A$121,1))))</f>
        <v/>
      </c>
      <c r="AC743" s="3" t="str">
        <f t="shared" si="21"/>
        <v/>
      </c>
    </row>
    <row r="744" ht="12.75" customHeight="1">
      <c r="A744" s="25" t="str">
        <f t="shared" si="1"/>
        <v/>
      </c>
      <c r="B744" s="29" t="str">
        <f t="array" ref="B744">IF(D744="","",IFERROR(VALUE(INDEX(Vazoes_COLAR!$A$2:$A$200,INT((ROW()-24)/12)+1)),""))</f>
        <v/>
      </c>
      <c r="C744" s="29" t="str">
        <f t="shared" si="2"/>
        <v/>
      </c>
      <c r="D744" s="26" t="str">
        <f t="array" ref="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44" s="26" t="str">
        <f t="shared" si="3"/>
        <v/>
      </c>
      <c r="F744" s="26" t="str">
        <f t="array" ref="F744">IF(D744="","",IFERROR(INDEX(Dados_Evap!$C$2:$N$15,MATCH($B$9,Dados_Evap!$A$2:$A$15,0),C744),0))</f>
        <v/>
      </c>
      <c r="G744" s="26" t="str">
        <f t="shared" si="4"/>
        <v/>
      </c>
      <c r="H744" s="26" t="str">
        <f t="shared" si="22"/>
        <v/>
      </c>
      <c r="I744" s="26" t="str">
        <f t="array" ref="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/>
      </c>
      <c r="J744" s="26" t="str">
        <f t="shared" si="5"/>
        <v/>
      </c>
      <c r="K744" s="26" t="str">
        <f t="shared" si="6"/>
        <v/>
      </c>
      <c r="L744" s="26" t="str">
        <f t="shared" si="7"/>
        <v/>
      </c>
      <c r="M744" s="26" t="str">
        <f t="array" ref="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/>
      </c>
      <c r="N744" s="26" t="str">
        <f t="shared" si="8"/>
        <v/>
      </c>
      <c r="O744" s="26" t="str">
        <f t="shared" si="9"/>
        <v/>
      </c>
      <c r="P744" s="26" t="str">
        <f t="shared" si="10"/>
        <v/>
      </c>
      <c r="Q744" s="26" t="str">
        <f t="shared" si="11"/>
        <v/>
      </c>
      <c r="R744" s="26" t="str">
        <f t="shared" si="12"/>
        <v/>
      </c>
      <c r="S744" s="26" t="str">
        <f t="shared" si="13"/>
        <v/>
      </c>
      <c r="T744" s="26" t="str">
        <f t="shared" si="14"/>
        <v/>
      </c>
      <c r="U744" s="26" t="str">
        <f t="shared" si="15"/>
        <v/>
      </c>
      <c r="V744" s="26" t="str">
        <f t="shared" si="16"/>
        <v/>
      </c>
      <c r="W744" s="26" t="str">
        <f t="shared" si="17"/>
        <v/>
      </c>
      <c r="X744" s="26" t="str">
        <f t="shared" si="18"/>
        <v/>
      </c>
      <c r="Y744" s="26" t="str">
        <f t="shared" si="19"/>
        <v/>
      </c>
      <c r="Z744" s="31" t="str">
        <f t="shared" si="20"/>
        <v/>
      </c>
      <c r="AA744" s="31" t="str">
        <f>IF(D744="","",IF(H744&lt;=$B$16,1,IF(H744&gt;=$B$17,$B$21,MATCH(H744,Aux_CAV!$A$2:$A$121,1))))</f>
        <v/>
      </c>
      <c r="AB744" s="31" t="str">
        <f>IF(D744="","",IF(L744&lt;=$B$16,1,IF(L744&gt;=$B$17,$B$21,MATCH(L744,Aux_CAV!$A$2:$A$121,1))))</f>
        <v/>
      </c>
      <c r="AC744" s="3" t="str">
        <f t="shared" si="21"/>
        <v/>
      </c>
    </row>
    <row r="745" ht="12.75" customHeight="1">
      <c r="A745" s="25" t="str">
        <f t="shared" si="1"/>
        <v/>
      </c>
      <c r="B745" s="29" t="str">
        <f t="array" ref="B745">IF(D745="","",IFERROR(VALUE(INDEX(Vazoes_COLAR!$A$2:$A$200,INT((ROW()-24)/12)+1)),""))</f>
        <v/>
      </c>
      <c r="C745" s="29" t="str">
        <f t="shared" si="2"/>
        <v/>
      </c>
      <c r="D745" s="26" t="str">
        <f t="array" ref="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45" s="26" t="str">
        <f t="shared" si="3"/>
        <v/>
      </c>
      <c r="F745" s="26" t="str">
        <f t="array" ref="F745">IF(D745="","",IFERROR(INDEX(Dados_Evap!$C$2:$N$15,MATCH($B$9,Dados_Evap!$A$2:$A$15,0),C745),0))</f>
        <v/>
      </c>
      <c r="G745" s="26" t="str">
        <f t="shared" si="4"/>
        <v/>
      </c>
      <c r="H745" s="26" t="str">
        <f t="shared" si="22"/>
        <v/>
      </c>
      <c r="I745" s="26" t="str">
        <f t="array" ref="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/>
      </c>
      <c r="J745" s="26" t="str">
        <f t="shared" si="5"/>
        <v/>
      </c>
      <c r="K745" s="26" t="str">
        <f t="shared" si="6"/>
        <v/>
      </c>
      <c r="L745" s="26" t="str">
        <f t="shared" si="7"/>
        <v/>
      </c>
      <c r="M745" s="26" t="str">
        <f t="array" ref="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/>
      </c>
      <c r="N745" s="26" t="str">
        <f t="shared" si="8"/>
        <v/>
      </c>
      <c r="O745" s="26" t="str">
        <f t="shared" si="9"/>
        <v/>
      </c>
      <c r="P745" s="26" t="str">
        <f t="shared" si="10"/>
        <v/>
      </c>
      <c r="Q745" s="26" t="str">
        <f t="shared" si="11"/>
        <v/>
      </c>
      <c r="R745" s="26" t="str">
        <f t="shared" si="12"/>
        <v/>
      </c>
      <c r="S745" s="26" t="str">
        <f t="shared" si="13"/>
        <v/>
      </c>
      <c r="T745" s="26" t="str">
        <f t="shared" si="14"/>
        <v/>
      </c>
      <c r="U745" s="26" t="str">
        <f t="shared" si="15"/>
        <v/>
      </c>
      <c r="V745" s="26" t="str">
        <f t="shared" si="16"/>
        <v/>
      </c>
      <c r="W745" s="26" t="str">
        <f t="shared" si="17"/>
        <v/>
      </c>
      <c r="X745" s="26" t="str">
        <f t="shared" si="18"/>
        <v/>
      </c>
      <c r="Y745" s="26" t="str">
        <f t="shared" si="19"/>
        <v/>
      </c>
      <c r="Z745" s="31" t="str">
        <f t="shared" si="20"/>
        <v/>
      </c>
      <c r="AA745" s="31" t="str">
        <f>IF(D745="","",IF(H745&lt;=$B$16,1,IF(H745&gt;=$B$17,$B$21,MATCH(H745,Aux_CAV!$A$2:$A$121,1))))</f>
        <v/>
      </c>
      <c r="AB745" s="31" t="str">
        <f>IF(D745="","",IF(L745&lt;=$B$16,1,IF(L745&gt;=$B$17,$B$21,MATCH(L745,Aux_CAV!$A$2:$A$121,1))))</f>
        <v/>
      </c>
      <c r="AC745" s="3" t="str">
        <f t="shared" si="21"/>
        <v/>
      </c>
    </row>
    <row r="746" ht="12.75" customHeight="1">
      <c r="A746" s="25" t="str">
        <f t="shared" si="1"/>
        <v/>
      </c>
      <c r="B746" s="29" t="str">
        <f t="array" ref="B746">IF(D746="","",IFERROR(VALUE(INDEX(Vazoes_COLAR!$A$2:$A$200,INT((ROW()-24)/12)+1)),""))</f>
        <v/>
      </c>
      <c r="C746" s="29" t="str">
        <f t="shared" si="2"/>
        <v/>
      </c>
      <c r="D746" s="26" t="str">
        <f t="array" ref="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46" s="26" t="str">
        <f t="shared" si="3"/>
        <v/>
      </c>
      <c r="F746" s="26" t="str">
        <f t="array" ref="F746">IF(D746="","",IFERROR(INDEX(Dados_Evap!$C$2:$N$15,MATCH($B$9,Dados_Evap!$A$2:$A$15,0),C746),0))</f>
        <v/>
      </c>
      <c r="G746" s="26" t="str">
        <f t="shared" si="4"/>
        <v/>
      </c>
      <c r="H746" s="26" t="str">
        <f t="shared" si="22"/>
        <v/>
      </c>
      <c r="I746" s="26" t="str">
        <f t="array" ref="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/>
      </c>
      <c r="J746" s="26" t="str">
        <f t="shared" si="5"/>
        <v/>
      </c>
      <c r="K746" s="26" t="str">
        <f t="shared" si="6"/>
        <v/>
      </c>
      <c r="L746" s="26" t="str">
        <f t="shared" si="7"/>
        <v/>
      </c>
      <c r="M746" s="26" t="str">
        <f t="array" ref="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/>
      </c>
      <c r="N746" s="26" t="str">
        <f t="shared" si="8"/>
        <v/>
      </c>
      <c r="O746" s="26" t="str">
        <f t="shared" si="9"/>
        <v/>
      </c>
      <c r="P746" s="26" t="str">
        <f t="shared" si="10"/>
        <v/>
      </c>
      <c r="Q746" s="26" t="str">
        <f t="shared" si="11"/>
        <v/>
      </c>
      <c r="R746" s="26" t="str">
        <f t="shared" si="12"/>
        <v/>
      </c>
      <c r="S746" s="26" t="str">
        <f t="shared" si="13"/>
        <v/>
      </c>
      <c r="T746" s="26" t="str">
        <f t="shared" si="14"/>
        <v/>
      </c>
      <c r="U746" s="26" t="str">
        <f t="shared" si="15"/>
        <v/>
      </c>
      <c r="V746" s="26" t="str">
        <f t="shared" si="16"/>
        <v/>
      </c>
      <c r="W746" s="26" t="str">
        <f t="shared" si="17"/>
        <v/>
      </c>
      <c r="X746" s="26" t="str">
        <f t="shared" si="18"/>
        <v/>
      </c>
      <c r="Y746" s="26" t="str">
        <f t="shared" si="19"/>
        <v/>
      </c>
      <c r="Z746" s="31" t="str">
        <f t="shared" si="20"/>
        <v/>
      </c>
      <c r="AA746" s="31" t="str">
        <f>IF(D746="","",IF(H746&lt;=$B$16,1,IF(H746&gt;=$B$17,$B$21,MATCH(H746,Aux_CAV!$A$2:$A$121,1))))</f>
        <v/>
      </c>
      <c r="AB746" s="31" t="str">
        <f>IF(D746="","",IF(L746&lt;=$B$16,1,IF(L746&gt;=$B$17,$B$21,MATCH(L746,Aux_CAV!$A$2:$A$121,1))))</f>
        <v/>
      </c>
      <c r="AC746" s="3" t="str">
        <f t="shared" si="21"/>
        <v/>
      </c>
    </row>
    <row r="747" ht="12.75" customHeight="1">
      <c r="A747" s="25" t="str">
        <f t="shared" si="1"/>
        <v/>
      </c>
      <c r="B747" s="29" t="str">
        <f t="array" ref="B747">IF(D747="","",IFERROR(VALUE(INDEX(Vazoes_COLAR!$A$2:$A$200,INT((ROW()-24)/12)+1)),""))</f>
        <v/>
      </c>
      <c r="C747" s="29" t="str">
        <f t="shared" si="2"/>
        <v/>
      </c>
      <c r="D747" s="26" t="str">
        <f t="array" ref="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47" s="26" t="str">
        <f t="shared" si="3"/>
        <v/>
      </c>
      <c r="F747" s="26" t="str">
        <f t="array" ref="F747">IF(D747="","",IFERROR(INDEX(Dados_Evap!$C$2:$N$15,MATCH($B$9,Dados_Evap!$A$2:$A$15,0),C747),0))</f>
        <v/>
      </c>
      <c r="G747" s="26" t="str">
        <f t="shared" si="4"/>
        <v/>
      </c>
      <c r="H747" s="26" t="str">
        <f t="shared" si="22"/>
        <v/>
      </c>
      <c r="I747" s="26" t="str">
        <f t="array" ref="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/>
      </c>
      <c r="J747" s="26" t="str">
        <f t="shared" si="5"/>
        <v/>
      </c>
      <c r="K747" s="26" t="str">
        <f t="shared" si="6"/>
        <v/>
      </c>
      <c r="L747" s="26" t="str">
        <f t="shared" si="7"/>
        <v/>
      </c>
      <c r="M747" s="26" t="str">
        <f t="array" ref="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/>
      </c>
      <c r="N747" s="26" t="str">
        <f t="shared" si="8"/>
        <v/>
      </c>
      <c r="O747" s="26" t="str">
        <f t="shared" si="9"/>
        <v/>
      </c>
      <c r="P747" s="26" t="str">
        <f t="shared" si="10"/>
        <v/>
      </c>
      <c r="Q747" s="26" t="str">
        <f t="shared" si="11"/>
        <v/>
      </c>
      <c r="R747" s="26" t="str">
        <f t="shared" si="12"/>
        <v/>
      </c>
      <c r="S747" s="26" t="str">
        <f t="shared" si="13"/>
        <v/>
      </c>
      <c r="T747" s="26" t="str">
        <f t="shared" si="14"/>
        <v/>
      </c>
      <c r="U747" s="26" t="str">
        <f t="shared" si="15"/>
        <v/>
      </c>
      <c r="V747" s="26" t="str">
        <f t="shared" si="16"/>
        <v/>
      </c>
      <c r="W747" s="26" t="str">
        <f t="shared" si="17"/>
        <v/>
      </c>
      <c r="X747" s="26" t="str">
        <f t="shared" si="18"/>
        <v/>
      </c>
      <c r="Y747" s="26" t="str">
        <f t="shared" si="19"/>
        <v/>
      </c>
      <c r="Z747" s="31" t="str">
        <f t="shared" si="20"/>
        <v/>
      </c>
      <c r="AA747" s="31" t="str">
        <f>IF(D747="","",IF(H747&lt;=$B$16,1,IF(H747&gt;=$B$17,$B$21,MATCH(H747,Aux_CAV!$A$2:$A$121,1))))</f>
        <v/>
      </c>
      <c r="AB747" s="31" t="str">
        <f>IF(D747="","",IF(L747&lt;=$B$16,1,IF(L747&gt;=$B$17,$B$21,MATCH(L747,Aux_CAV!$A$2:$A$121,1))))</f>
        <v/>
      </c>
      <c r="AC747" s="3" t="str">
        <f t="shared" si="21"/>
        <v/>
      </c>
    </row>
    <row r="748" ht="12.75" customHeight="1">
      <c r="A748" s="25" t="str">
        <f t="shared" si="1"/>
        <v/>
      </c>
      <c r="B748" s="29" t="str">
        <f t="array" ref="B748">IF(D748="","",IFERROR(VALUE(INDEX(Vazoes_COLAR!$A$2:$A$200,INT((ROW()-24)/12)+1)),""))</f>
        <v/>
      </c>
      <c r="C748" s="29" t="str">
        <f t="shared" si="2"/>
        <v/>
      </c>
      <c r="D748" s="26" t="str">
        <f t="array" ref="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48" s="26" t="str">
        <f t="shared" si="3"/>
        <v/>
      </c>
      <c r="F748" s="26" t="str">
        <f t="array" ref="F748">IF(D748="","",IFERROR(INDEX(Dados_Evap!$C$2:$N$15,MATCH($B$9,Dados_Evap!$A$2:$A$15,0),C748),0))</f>
        <v/>
      </c>
      <c r="G748" s="26" t="str">
        <f t="shared" si="4"/>
        <v/>
      </c>
      <c r="H748" s="26" t="str">
        <f t="shared" si="22"/>
        <v/>
      </c>
      <c r="I748" s="26" t="str">
        <f t="array" ref="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/>
      </c>
      <c r="J748" s="26" t="str">
        <f t="shared" si="5"/>
        <v/>
      </c>
      <c r="K748" s="26" t="str">
        <f t="shared" si="6"/>
        <v/>
      </c>
      <c r="L748" s="26" t="str">
        <f t="shared" si="7"/>
        <v/>
      </c>
      <c r="M748" s="26" t="str">
        <f t="array" ref="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/>
      </c>
      <c r="N748" s="26" t="str">
        <f t="shared" si="8"/>
        <v/>
      </c>
      <c r="O748" s="26" t="str">
        <f t="shared" si="9"/>
        <v/>
      </c>
      <c r="P748" s="26" t="str">
        <f t="shared" si="10"/>
        <v/>
      </c>
      <c r="Q748" s="26" t="str">
        <f t="shared" si="11"/>
        <v/>
      </c>
      <c r="R748" s="26" t="str">
        <f t="shared" si="12"/>
        <v/>
      </c>
      <c r="S748" s="26" t="str">
        <f t="shared" si="13"/>
        <v/>
      </c>
      <c r="T748" s="26" t="str">
        <f t="shared" si="14"/>
        <v/>
      </c>
      <c r="U748" s="26" t="str">
        <f t="shared" si="15"/>
        <v/>
      </c>
      <c r="V748" s="26" t="str">
        <f t="shared" si="16"/>
        <v/>
      </c>
      <c r="W748" s="26" t="str">
        <f t="shared" si="17"/>
        <v/>
      </c>
      <c r="X748" s="26" t="str">
        <f t="shared" si="18"/>
        <v/>
      </c>
      <c r="Y748" s="26" t="str">
        <f t="shared" si="19"/>
        <v/>
      </c>
      <c r="Z748" s="31" t="str">
        <f t="shared" si="20"/>
        <v/>
      </c>
      <c r="AA748" s="31" t="str">
        <f>IF(D748="","",IF(H748&lt;=$B$16,1,IF(H748&gt;=$B$17,$B$21,MATCH(H748,Aux_CAV!$A$2:$A$121,1))))</f>
        <v/>
      </c>
      <c r="AB748" s="31" t="str">
        <f>IF(D748="","",IF(L748&lt;=$B$16,1,IF(L748&gt;=$B$17,$B$21,MATCH(L748,Aux_CAV!$A$2:$A$121,1))))</f>
        <v/>
      </c>
      <c r="AC748" s="3" t="str">
        <f t="shared" si="21"/>
        <v/>
      </c>
    </row>
    <row r="749" ht="12.75" customHeight="1">
      <c r="A749" s="25" t="str">
        <f t="shared" si="1"/>
        <v/>
      </c>
      <c r="B749" s="29" t="str">
        <f t="array" ref="B749">IF(D749="","",IFERROR(VALUE(INDEX(Vazoes_COLAR!$A$2:$A$200,INT((ROW()-24)/12)+1)),""))</f>
        <v/>
      </c>
      <c r="C749" s="29" t="str">
        <f t="shared" si="2"/>
        <v/>
      </c>
      <c r="D749" s="26" t="str">
        <f t="array" ref="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49" s="26" t="str">
        <f t="shared" si="3"/>
        <v/>
      </c>
      <c r="F749" s="26" t="str">
        <f t="array" ref="F749">IF(D749="","",IFERROR(INDEX(Dados_Evap!$C$2:$N$15,MATCH($B$9,Dados_Evap!$A$2:$A$15,0),C749),0))</f>
        <v/>
      </c>
      <c r="G749" s="26" t="str">
        <f t="shared" si="4"/>
        <v/>
      </c>
      <c r="H749" s="26" t="str">
        <f t="shared" si="22"/>
        <v/>
      </c>
      <c r="I749" s="26" t="str">
        <f t="array" ref="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/>
      </c>
      <c r="J749" s="26" t="str">
        <f t="shared" si="5"/>
        <v/>
      </c>
      <c r="K749" s="26" t="str">
        <f t="shared" si="6"/>
        <v/>
      </c>
      <c r="L749" s="26" t="str">
        <f t="shared" si="7"/>
        <v/>
      </c>
      <c r="M749" s="26" t="str">
        <f t="array" ref="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/>
      </c>
      <c r="N749" s="26" t="str">
        <f t="shared" si="8"/>
        <v/>
      </c>
      <c r="O749" s="26" t="str">
        <f t="shared" si="9"/>
        <v/>
      </c>
      <c r="P749" s="26" t="str">
        <f t="shared" si="10"/>
        <v/>
      </c>
      <c r="Q749" s="26" t="str">
        <f t="shared" si="11"/>
        <v/>
      </c>
      <c r="R749" s="26" t="str">
        <f t="shared" si="12"/>
        <v/>
      </c>
      <c r="S749" s="26" t="str">
        <f t="shared" si="13"/>
        <v/>
      </c>
      <c r="T749" s="26" t="str">
        <f t="shared" si="14"/>
        <v/>
      </c>
      <c r="U749" s="26" t="str">
        <f t="shared" si="15"/>
        <v/>
      </c>
      <c r="V749" s="26" t="str">
        <f t="shared" si="16"/>
        <v/>
      </c>
      <c r="W749" s="26" t="str">
        <f t="shared" si="17"/>
        <v/>
      </c>
      <c r="X749" s="26" t="str">
        <f t="shared" si="18"/>
        <v/>
      </c>
      <c r="Y749" s="26" t="str">
        <f t="shared" si="19"/>
        <v/>
      </c>
      <c r="Z749" s="31" t="str">
        <f t="shared" si="20"/>
        <v/>
      </c>
      <c r="AA749" s="31" t="str">
        <f>IF(D749="","",IF(H749&lt;=$B$16,1,IF(H749&gt;=$B$17,$B$21,MATCH(H749,Aux_CAV!$A$2:$A$121,1))))</f>
        <v/>
      </c>
      <c r="AB749" s="31" t="str">
        <f>IF(D749="","",IF(L749&lt;=$B$16,1,IF(L749&gt;=$B$17,$B$21,MATCH(L749,Aux_CAV!$A$2:$A$121,1))))</f>
        <v/>
      </c>
      <c r="AC749" s="3" t="str">
        <f t="shared" si="21"/>
        <v/>
      </c>
    </row>
    <row r="750" ht="12.75" customHeight="1">
      <c r="A750" s="25" t="str">
        <f t="shared" si="1"/>
        <v/>
      </c>
      <c r="B750" s="29" t="str">
        <f t="array" ref="B750">IF(D750="","",IFERROR(VALUE(INDEX(Vazoes_COLAR!$A$2:$A$200,INT((ROW()-24)/12)+1)),""))</f>
        <v/>
      </c>
      <c r="C750" s="29" t="str">
        <f t="shared" si="2"/>
        <v/>
      </c>
      <c r="D750" s="26" t="str">
        <f t="array" ref="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50" s="26" t="str">
        <f t="shared" si="3"/>
        <v/>
      </c>
      <c r="F750" s="26" t="str">
        <f t="array" ref="F750">IF(D750="","",IFERROR(INDEX(Dados_Evap!$C$2:$N$15,MATCH($B$9,Dados_Evap!$A$2:$A$15,0),C750),0))</f>
        <v/>
      </c>
      <c r="G750" s="26" t="str">
        <f t="shared" si="4"/>
        <v/>
      </c>
      <c r="H750" s="26" t="str">
        <f t="shared" si="22"/>
        <v/>
      </c>
      <c r="I750" s="26" t="str">
        <f t="array" ref="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/>
      </c>
      <c r="J750" s="26" t="str">
        <f t="shared" si="5"/>
        <v/>
      </c>
      <c r="K750" s="26" t="str">
        <f t="shared" si="6"/>
        <v/>
      </c>
      <c r="L750" s="26" t="str">
        <f t="shared" si="7"/>
        <v/>
      </c>
      <c r="M750" s="26" t="str">
        <f t="array" ref="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/>
      </c>
      <c r="N750" s="26" t="str">
        <f t="shared" si="8"/>
        <v/>
      </c>
      <c r="O750" s="26" t="str">
        <f t="shared" si="9"/>
        <v/>
      </c>
      <c r="P750" s="26" t="str">
        <f t="shared" si="10"/>
        <v/>
      </c>
      <c r="Q750" s="26" t="str">
        <f t="shared" si="11"/>
        <v/>
      </c>
      <c r="R750" s="26" t="str">
        <f t="shared" si="12"/>
        <v/>
      </c>
      <c r="S750" s="26" t="str">
        <f t="shared" si="13"/>
        <v/>
      </c>
      <c r="T750" s="26" t="str">
        <f t="shared" si="14"/>
        <v/>
      </c>
      <c r="U750" s="26" t="str">
        <f t="shared" si="15"/>
        <v/>
      </c>
      <c r="V750" s="26" t="str">
        <f t="shared" si="16"/>
        <v/>
      </c>
      <c r="W750" s="26" t="str">
        <f t="shared" si="17"/>
        <v/>
      </c>
      <c r="X750" s="26" t="str">
        <f t="shared" si="18"/>
        <v/>
      </c>
      <c r="Y750" s="26" t="str">
        <f t="shared" si="19"/>
        <v/>
      </c>
      <c r="Z750" s="31" t="str">
        <f t="shared" si="20"/>
        <v/>
      </c>
      <c r="AA750" s="31" t="str">
        <f>IF(D750="","",IF(H750&lt;=$B$16,1,IF(H750&gt;=$B$17,$B$21,MATCH(H750,Aux_CAV!$A$2:$A$121,1))))</f>
        <v/>
      </c>
      <c r="AB750" s="31" t="str">
        <f>IF(D750="","",IF(L750&lt;=$B$16,1,IF(L750&gt;=$B$17,$B$21,MATCH(L750,Aux_CAV!$A$2:$A$121,1))))</f>
        <v/>
      </c>
      <c r="AC750" s="3" t="str">
        <f t="shared" si="21"/>
        <v/>
      </c>
    </row>
    <row r="751" ht="12.75" customHeight="1">
      <c r="A751" s="25" t="str">
        <f t="shared" si="1"/>
        <v/>
      </c>
      <c r="B751" s="29" t="str">
        <f t="array" ref="B751">IF(D751="","",IFERROR(VALUE(INDEX(Vazoes_COLAR!$A$2:$A$200,INT((ROW()-24)/12)+1)),""))</f>
        <v/>
      </c>
      <c r="C751" s="29" t="str">
        <f t="shared" si="2"/>
        <v/>
      </c>
      <c r="D751" s="26" t="str">
        <f t="array" ref="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51" s="26" t="str">
        <f t="shared" si="3"/>
        <v/>
      </c>
      <c r="F751" s="26" t="str">
        <f t="array" ref="F751">IF(D751="","",IFERROR(INDEX(Dados_Evap!$C$2:$N$15,MATCH($B$9,Dados_Evap!$A$2:$A$15,0),C751),0))</f>
        <v/>
      </c>
      <c r="G751" s="26" t="str">
        <f t="shared" si="4"/>
        <v/>
      </c>
      <c r="H751" s="26" t="str">
        <f t="shared" si="22"/>
        <v/>
      </c>
      <c r="I751" s="26" t="str">
        <f t="array" ref="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/>
      </c>
      <c r="J751" s="26" t="str">
        <f t="shared" si="5"/>
        <v/>
      </c>
      <c r="K751" s="26" t="str">
        <f t="shared" si="6"/>
        <v/>
      </c>
      <c r="L751" s="26" t="str">
        <f t="shared" si="7"/>
        <v/>
      </c>
      <c r="M751" s="26" t="str">
        <f t="array" ref="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/>
      </c>
      <c r="N751" s="26" t="str">
        <f t="shared" si="8"/>
        <v/>
      </c>
      <c r="O751" s="26" t="str">
        <f t="shared" si="9"/>
        <v/>
      </c>
      <c r="P751" s="26" t="str">
        <f t="shared" si="10"/>
        <v/>
      </c>
      <c r="Q751" s="26" t="str">
        <f t="shared" si="11"/>
        <v/>
      </c>
      <c r="R751" s="26" t="str">
        <f t="shared" si="12"/>
        <v/>
      </c>
      <c r="S751" s="26" t="str">
        <f t="shared" si="13"/>
        <v/>
      </c>
      <c r="T751" s="26" t="str">
        <f t="shared" si="14"/>
        <v/>
      </c>
      <c r="U751" s="26" t="str">
        <f t="shared" si="15"/>
        <v/>
      </c>
      <c r="V751" s="26" t="str">
        <f t="shared" si="16"/>
        <v/>
      </c>
      <c r="W751" s="26" t="str">
        <f t="shared" si="17"/>
        <v/>
      </c>
      <c r="X751" s="26" t="str">
        <f t="shared" si="18"/>
        <v/>
      </c>
      <c r="Y751" s="26" t="str">
        <f t="shared" si="19"/>
        <v/>
      </c>
      <c r="Z751" s="31" t="str">
        <f t="shared" si="20"/>
        <v/>
      </c>
      <c r="AA751" s="31" t="str">
        <f>IF(D751="","",IF(H751&lt;=$B$16,1,IF(H751&gt;=$B$17,$B$21,MATCH(H751,Aux_CAV!$A$2:$A$121,1))))</f>
        <v/>
      </c>
      <c r="AB751" s="31" t="str">
        <f>IF(D751="","",IF(L751&lt;=$B$16,1,IF(L751&gt;=$B$17,$B$21,MATCH(L751,Aux_CAV!$A$2:$A$121,1))))</f>
        <v/>
      </c>
      <c r="AC751" s="3" t="str">
        <f t="shared" si="21"/>
        <v/>
      </c>
    </row>
    <row r="752" ht="12.75" customHeight="1">
      <c r="A752" s="25" t="str">
        <f t="shared" si="1"/>
        <v/>
      </c>
      <c r="B752" s="29" t="str">
        <f t="array" ref="B752">IF(D752="","",IFERROR(VALUE(INDEX(Vazoes_COLAR!$A$2:$A$200,INT((ROW()-24)/12)+1)),""))</f>
        <v/>
      </c>
      <c r="C752" s="29" t="str">
        <f t="shared" si="2"/>
        <v/>
      </c>
      <c r="D752" s="26" t="str">
        <f t="array" ref="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52" s="26" t="str">
        <f t="shared" si="3"/>
        <v/>
      </c>
      <c r="F752" s="26" t="str">
        <f t="array" ref="F752">IF(D752="","",IFERROR(INDEX(Dados_Evap!$C$2:$N$15,MATCH($B$9,Dados_Evap!$A$2:$A$15,0),C752),0))</f>
        <v/>
      </c>
      <c r="G752" s="26" t="str">
        <f t="shared" si="4"/>
        <v/>
      </c>
      <c r="H752" s="26" t="str">
        <f t="shared" si="22"/>
        <v/>
      </c>
      <c r="I752" s="26" t="str">
        <f t="array" ref="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/>
      </c>
      <c r="J752" s="26" t="str">
        <f t="shared" si="5"/>
        <v/>
      </c>
      <c r="K752" s="26" t="str">
        <f t="shared" si="6"/>
        <v/>
      </c>
      <c r="L752" s="26" t="str">
        <f t="shared" si="7"/>
        <v/>
      </c>
      <c r="M752" s="26" t="str">
        <f t="array" ref="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/>
      </c>
      <c r="N752" s="26" t="str">
        <f t="shared" si="8"/>
        <v/>
      </c>
      <c r="O752" s="26" t="str">
        <f t="shared" si="9"/>
        <v/>
      </c>
      <c r="P752" s="26" t="str">
        <f t="shared" si="10"/>
        <v/>
      </c>
      <c r="Q752" s="26" t="str">
        <f t="shared" si="11"/>
        <v/>
      </c>
      <c r="R752" s="26" t="str">
        <f t="shared" si="12"/>
        <v/>
      </c>
      <c r="S752" s="26" t="str">
        <f t="shared" si="13"/>
        <v/>
      </c>
      <c r="T752" s="26" t="str">
        <f t="shared" si="14"/>
        <v/>
      </c>
      <c r="U752" s="26" t="str">
        <f t="shared" si="15"/>
        <v/>
      </c>
      <c r="V752" s="26" t="str">
        <f t="shared" si="16"/>
        <v/>
      </c>
      <c r="W752" s="26" t="str">
        <f t="shared" si="17"/>
        <v/>
      </c>
      <c r="X752" s="26" t="str">
        <f t="shared" si="18"/>
        <v/>
      </c>
      <c r="Y752" s="26" t="str">
        <f t="shared" si="19"/>
        <v/>
      </c>
      <c r="Z752" s="31" t="str">
        <f t="shared" si="20"/>
        <v/>
      </c>
      <c r="AA752" s="31" t="str">
        <f>IF(D752="","",IF(H752&lt;=$B$16,1,IF(H752&gt;=$B$17,$B$21,MATCH(H752,Aux_CAV!$A$2:$A$121,1))))</f>
        <v/>
      </c>
      <c r="AB752" s="31" t="str">
        <f>IF(D752="","",IF(L752&lt;=$B$16,1,IF(L752&gt;=$B$17,$B$21,MATCH(L752,Aux_CAV!$A$2:$A$121,1))))</f>
        <v/>
      </c>
      <c r="AC752" s="3" t="str">
        <f t="shared" si="21"/>
        <v/>
      </c>
    </row>
    <row r="753" ht="12.75" customHeight="1">
      <c r="A753" s="25" t="str">
        <f t="shared" si="1"/>
        <v/>
      </c>
      <c r="B753" s="29" t="str">
        <f t="array" ref="B753">IF(D753="","",IFERROR(VALUE(INDEX(Vazoes_COLAR!$A$2:$A$200,INT((ROW()-24)/12)+1)),""))</f>
        <v/>
      </c>
      <c r="C753" s="29" t="str">
        <f t="shared" si="2"/>
        <v/>
      </c>
      <c r="D753" s="26" t="str">
        <f t="array" ref="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53" s="26" t="str">
        <f t="shared" si="3"/>
        <v/>
      </c>
      <c r="F753" s="26" t="str">
        <f t="array" ref="F753">IF(D753="","",IFERROR(INDEX(Dados_Evap!$C$2:$N$15,MATCH($B$9,Dados_Evap!$A$2:$A$15,0),C753),0))</f>
        <v/>
      </c>
      <c r="G753" s="26" t="str">
        <f t="shared" si="4"/>
        <v/>
      </c>
      <c r="H753" s="26" t="str">
        <f t="shared" si="22"/>
        <v/>
      </c>
      <c r="I753" s="26" t="str">
        <f t="array" ref="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/>
      </c>
      <c r="J753" s="26" t="str">
        <f t="shared" si="5"/>
        <v/>
      </c>
      <c r="K753" s="26" t="str">
        <f t="shared" si="6"/>
        <v/>
      </c>
      <c r="L753" s="26" t="str">
        <f t="shared" si="7"/>
        <v/>
      </c>
      <c r="M753" s="26" t="str">
        <f t="array" ref="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/>
      </c>
      <c r="N753" s="26" t="str">
        <f t="shared" si="8"/>
        <v/>
      </c>
      <c r="O753" s="26" t="str">
        <f t="shared" si="9"/>
        <v/>
      </c>
      <c r="P753" s="26" t="str">
        <f t="shared" si="10"/>
        <v/>
      </c>
      <c r="Q753" s="26" t="str">
        <f t="shared" si="11"/>
        <v/>
      </c>
      <c r="R753" s="26" t="str">
        <f t="shared" si="12"/>
        <v/>
      </c>
      <c r="S753" s="26" t="str">
        <f t="shared" si="13"/>
        <v/>
      </c>
      <c r="T753" s="26" t="str">
        <f t="shared" si="14"/>
        <v/>
      </c>
      <c r="U753" s="26" t="str">
        <f t="shared" si="15"/>
        <v/>
      </c>
      <c r="V753" s="26" t="str">
        <f t="shared" si="16"/>
        <v/>
      </c>
      <c r="W753" s="26" t="str">
        <f t="shared" si="17"/>
        <v/>
      </c>
      <c r="X753" s="26" t="str">
        <f t="shared" si="18"/>
        <v/>
      </c>
      <c r="Y753" s="26" t="str">
        <f t="shared" si="19"/>
        <v/>
      </c>
      <c r="Z753" s="31" t="str">
        <f t="shared" si="20"/>
        <v/>
      </c>
      <c r="AA753" s="31" t="str">
        <f>IF(D753="","",IF(H753&lt;=$B$16,1,IF(H753&gt;=$B$17,$B$21,MATCH(H753,Aux_CAV!$A$2:$A$121,1))))</f>
        <v/>
      </c>
      <c r="AB753" s="31" t="str">
        <f>IF(D753="","",IF(L753&lt;=$B$16,1,IF(L753&gt;=$B$17,$B$21,MATCH(L753,Aux_CAV!$A$2:$A$121,1))))</f>
        <v/>
      </c>
      <c r="AC753" s="3" t="str">
        <f t="shared" si="21"/>
        <v/>
      </c>
    </row>
    <row r="754" ht="12.75" customHeight="1">
      <c r="A754" s="25" t="str">
        <f t="shared" si="1"/>
        <v/>
      </c>
      <c r="B754" s="29" t="str">
        <f t="array" ref="B754">IF(D754="","",IFERROR(VALUE(INDEX(Vazoes_COLAR!$A$2:$A$200,INT((ROW()-24)/12)+1)),""))</f>
        <v/>
      </c>
      <c r="C754" s="29" t="str">
        <f t="shared" si="2"/>
        <v/>
      </c>
      <c r="D754" s="26" t="str">
        <f t="array" ref="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54" s="26" t="str">
        <f t="shared" si="3"/>
        <v/>
      </c>
      <c r="F754" s="26" t="str">
        <f t="array" ref="F754">IF(D754="","",IFERROR(INDEX(Dados_Evap!$C$2:$N$15,MATCH($B$9,Dados_Evap!$A$2:$A$15,0),C754),0))</f>
        <v/>
      </c>
      <c r="G754" s="26" t="str">
        <f t="shared" si="4"/>
        <v/>
      </c>
      <c r="H754" s="26" t="str">
        <f t="shared" si="22"/>
        <v/>
      </c>
      <c r="I754" s="26" t="str">
        <f t="array" ref="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/>
      </c>
      <c r="J754" s="26" t="str">
        <f t="shared" si="5"/>
        <v/>
      </c>
      <c r="K754" s="26" t="str">
        <f t="shared" si="6"/>
        <v/>
      </c>
      <c r="L754" s="26" t="str">
        <f t="shared" si="7"/>
        <v/>
      </c>
      <c r="M754" s="26" t="str">
        <f t="array" ref="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/>
      </c>
      <c r="N754" s="26" t="str">
        <f t="shared" si="8"/>
        <v/>
      </c>
      <c r="O754" s="26" t="str">
        <f t="shared" si="9"/>
        <v/>
      </c>
      <c r="P754" s="26" t="str">
        <f t="shared" si="10"/>
        <v/>
      </c>
      <c r="Q754" s="26" t="str">
        <f t="shared" si="11"/>
        <v/>
      </c>
      <c r="R754" s="26" t="str">
        <f t="shared" si="12"/>
        <v/>
      </c>
      <c r="S754" s="26" t="str">
        <f t="shared" si="13"/>
        <v/>
      </c>
      <c r="T754" s="26" t="str">
        <f t="shared" si="14"/>
        <v/>
      </c>
      <c r="U754" s="26" t="str">
        <f t="shared" si="15"/>
        <v/>
      </c>
      <c r="V754" s="26" t="str">
        <f t="shared" si="16"/>
        <v/>
      </c>
      <c r="W754" s="26" t="str">
        <f t="shared" si="17"/>
        <v/>
      </c>
      <c r="X754" s="26" t="str">
        <f t="shared" si="18"/>
        <v/>
      </c>
      <c r="Y754" s="26" t="str">
        <f t="shared" si="19"/>
        <v/>
      </c>
      <c r="Z754" s="31" t="str">
        <f t="shared" si="20"/>
        <v/>
      </c>
      <c r="AA754" s="31" t="str">
        <f>IF(D754="","",IF(H754&lt;=$B$16,1,IF(H754&gt;=$B$17,$B$21,MATCH(H754,Aux_CAV!$A$2:$A$121,1))))</f>
        <v/>
      </c>
      <c r="AB754" s="31" t="str">
        <f>IF(D754="","",IF(L754&lt;=$B$16,1,IF(L754&gt;=$B$17,$B$21,MATCH(L754,Aux_CAV!$A$2:$A$121,1))))</f>
        <v/>
      </c>
      <c r="AC754" s="3" t="str">
        <f t="shared" si="21"/>
        <v/>
      </c>
    </row>
    <row r="755" ht="12.75" customHeight="1">
      <c r="A755" s="25" t="str">
        <f t="shared" si="1"/>
        <v/>
      </c>
      <c r="B755" s="29" t="str">
        <f t="array" ref="B755">IF(D755="","",IFERROR(VALUE(INDEX(Vazoes_COLAR!$A$2:$A$200,INT((ROW()-24)/12)+1)),""))</f>
        <v/>
      </c>
      <c r="C755" s="29" t="str">
        <f t="shared" si="2"/>
        <v/>
      </c>
      <c r="D755" s="26" t="str">
        <f t="array" ref="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55" s="26" t="str">
        <f t="shared" si="3"/>
        <v/>
      </c>
      <c r="F755" s="26" t="str">
        <f t="array" ref="F755">IF(D755="","",IFERROR(INDEX(Dados_Evap!$C$2:$N$15,MATCH($B$9,Dados_Evap!$A$2:$A$15,0),C755),0))</f>
        <v/>
      </c>
      <c r="G755" s="26" t="str">
        <f t="shared" si="4"/>
        <v/>
      </c>
      <c r="H755" s="26" t="str">
        <f t="shared" si="22"/>
        <v/>
      </c>
      <c r="I755" s="26" t="str">
        <f t="array" ref="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/>
      </c>
      <c r="J755" s="26" t="str">
        <f t="shared" si="5"/>
        <v/>
      </c>
      <c r="K755" s="26" t="str">
        <f t="shared" si="6"/>
        <v/>
      </c>
      <c r="L755" s="26" t="str">
        <f t="shared" si="7"/>
        <v/>
      </c>
      <c r="M755" s="26" t="str">
        <f t="array" ref="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/>
      </c>
      <c r="N755" s="26" t="str">
        <f t="shared" si="8"/>
        <v/>
      </c>
      <c r="O755" s="26" t="str">
        <f t="shared" si="9"/>
        <v/>
      </c>
      <c r="P755" s="26" t="str">
        <f t="shared" si="10"/>
        <v/>
      </c>
      <c r="Q755" s="26" t="str">
        <f t="shared" si="11"/>
        <v/>
      </c>
      <c r="R755" s="26" t="str">
        <f t="shared" si="12"/>
        <v/>
      </c>
      <c r="S755" s="26" t="str">
        <f t="shared" si="13"/>
        <v/>
      </c>
      <c r="T755" s="26" t="str">
        <f t="shared" si="14"/>
        <v/>
      </c>
      <c r="U755" s="26" t="str">
        <f t="shared" si="15"/>
        <v/>
      </c>
      <c r="V755" s="26" t="str">
        <f t="shared" si="16"/>
        <v/>
      </c>
      <c r="W755" s="26" t="str">
        <f t="shared" si="17"/>
        <v/>
      </c>
      <c r="X755" s="26" t="str">
        <f t="shared" si="18"/>
        <v/>
      </c>
      <c r="Y755" s="26" t="str">
        <f t="shared" si="19"/>
        <v/>
      </c>
      <c r="Z755" s="31" t="str">
        <f t="shared" si="20"/>
        <v/>
      </c>
      <c r="AA755" s="31" t="str">
        <f>IF(D755="","",IF(H755&lt;=$B$16,1,IF(H755&gt;=$B$17,$B$21,MATCH(H755,Aux_CAV!$A$2:$A$121,1))))</f>
        <v/>
      </c>
      <c r="AB755" s="31" t="str">
        <f>IF(D755="","",IF(L755&lt;=$B$16,1,IF(L755&gt;=$B$17,$B$21,MATCH(L755,Aux_CAV!$A$2:$A$121,1))))</f>
        <v/>
      </c>
      <c r="AC755" s="3" t="str">
        <f t="shared" si="21"/>
        <v/>
      </c>
    </row>
    <row r="756" ht="12.75" customHeight="1">
      <c r="A756" s="25" t="str">
        <f t="shared" si="1"/>
        <v/>
      </c>
      <c r="B756" s="29" t="str">
        <f t="array" ref="B756">IF(D756="","",IFERROR(VALUE(INDEX(Vazoes_COLAR!$A$2:$A$200,INT((ROW()-24)/12)+1)),""))</f>
        <v/>
      </c>
      <c r="C756" s="29" t="str">
        <f t="shared" si="2"/>
        <v/>
      </c>
      <c r="D756" s="26" t="str">
        <f t="array" ref="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56" s="26" t="str">
        <f t="shared" si="3"/>
        <v/>
      </c>
      <c r="F756" s="26" t="str">
        <f t="array" ref="F756">IF(D756="","",IFERROR(INDEX(Dados_Evap!$C$2:$N$15,MATCH($B$9,Dados_Evap!$A$2:$A$15,0),C756),0))</f>
        <v/>
      </c>
      <c r="G756" s="26" t="str">
        <f t="shared" si="4"/>
        <v/>
      </c>
      <c r="H756" s="26" t="str">
        <f t="shared" si="22"/>
        <v/>
      </c>
      <c r="I756" s="26" t="str">
        <f t="array" ref="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/>
      </c>
      <c r="J756" s="26" t="str">
        <f t="shared" si="5"/>
        <v/>
      </c>
      <c r="K756" s="26" t="str">
        <f t="shared" si="6"/>
        <v/>
      </c>
      <c r="L756" s="26" t="str">
        <f t="shared" si="7"/>
        <v/>
      </c>
      <c r="M756" s="26" t="str">
        <f t="array" ref="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/>
      </c>
      <c r="N756" s="26" t="str">
        <f t="shared" si="8"/>
        <v/>
      </c>
      <c r="O756" s="26" t="str">
        <f t="shared" si="9"/>
        <v/>
      </c>
      <c r="P756" s="26" t="str">
        <f t="shared" si="10"/>
        <v/>
      </c>
      <c r="Q756" s="26" t="str">
        <f t="shared" si="11"/>
        <v/>
      </c>
      <c r="R756" s="26" t="str">
        <f t="shared" si="12"/>
        <v/>
      </c>
      <c r="S756" s="26" t="str">
        <f t="shared" si="13"/>
        <v/>
      </c>
      <c r="T756" s="26" t="str">
        <f t="shared" si="14"/>
        <v/>
      </c>
      <c r="U756" s="26" t="str">
        <f t="shared" si="15"/>
        <v/>
      </c>
      <c r="V756" s="26" t="str">
        <f t="shared" si="16"/>
        <v/>
      </c>
      <c r="W756" s="26" t="str">
        <f t="shared" si="17"/>
        <v/>
      </c>
      <c r="X756" s="26" t="str">
        <f t="shared" si="18"/>
        <v/>
      </c>
      <c r="Y756" s="26" t="str">
        <f t="shared" si="19"/>
        <v/>
      </c>
      <c r="Z756" s="31" t="str">
        <f t="shared" si="20"/>
        <v/>
      </c>
      <c r="AA756" s="31" t="str">
        <f>IF(D756="","",IF(H756&lt;=$B$16,1,IF(H756&gt;=$B$17,$B$21,MATCH(H756,Aux_CAV!$A$2:$A$121,1))))</f>
        <v/>
      </c>
      <c r="AB756" s="31" t="str">
        <f>IF(D756="","",IF(L756&lt;=$B$16,1,IF(L756&gt;=$B$17,$B$21,MATCH(L756,Aux_CAV!$A$2:$A$121,1))))</f>
        <v/>
      </c>
      <c r="AC756" s="3" t="str">
        <f t="shared" si="21"/>
        <v/>
      </c>
    </row>
    <row r="757" ht="12.75" customHeight="1">
      <c r="A757" s="25" t="str">
        <f t="shared" si="1"/>
        <v/>
      </c>
      <c r="B757" s="29" t="str">
        <f t="array" ref="B757">IF(D757="","",IFERROR(VALUE(INDEX(Vazoes_COLAR!$A$2:$A$200,INT((ROW()-24)/12)+1)),""))</f>
        <v/>
      </c>
      <c r="C757" s="29" t="str">
        <f t="shared" si="2"/>
        <v/>
      </c>
      <c r="D757" s="26" t="str">
        <f t="array" ref="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57" s="26" t="str">
        <f t="shared" si="3"/>
        <v/>
      </c>
      <c r="F757" s="26" t="str">
        <f t="array" ref="F757">IF(D757="","",IFERROR(INDEX(Dados_Evap!$C$2:$N$15,MATCH($B$9,Dados_Evap!$A$2:$A$15,0),C757),0))</f>
        <v/>
      </c>
      <c r="G757" s="26" t="str">
        <f t="shared" si="4"/>
        <v/>
      </c>
      <c r="H757" s="26" t="str">
        <f t="shared" si="22"/>
        <v/>
      </c>
      <c r="I757" s="26" t="str">
        <f t="array" ref="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/>
      </c>
      <c r="J757" s="26" t="str">
        <f t="shared" si="5"/>
        <v/>
      </c>
      <c r="K757" s="26" t="str">
        <f t="shared" si="6"/>
        <v/>
      </c>
      <c r="L757" s="26" t="str">
        <f t="shared" si="7"/>
        <v/>
      </c>
      <c r="M757" s="26" t="str">
        <f t="array" ref="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/>
      </c>
      <c r="N757" s="26" t="str">
        <f t="shared" si="8"/>
        <v/>
      </c>
      <c r="O757" s="26" t="str">
        <f t="shared" si="9"/>
        <v/>
      </c>
      <c r="P757" s="26" t="str">
        <f t="shared" si="10"/>
        <v/>
      </c>
      <c r="Q757" s="26" t="str">
        <f t="shared" si="11"/>
        <v/>
      </c>
      <c r="R757" s="26" t="str">
        <f t="shared" si="12"/>
        <v/>
      </c>
      <c r="S757" s="26" t="str">
        <f t="shared" si="13"/>
        <v/>
      </c>
      <c r="T757" s="26" t="str">
        <f t="shared" si="14"/>
        <v/>
      </c>
      <c r="U757" s="26" t="str">
        <f t="shared" si="15"/>
        <v/>
      </c>
      <c r="V757" s="26" t="str">
        <f t="shared" si="16"/>
        <v/>
      </c>
      <c r="W757" s="26" t="str">
        <f t="shared" si="17"/>
        <v/>
      </c>
      <c r="X757" s="26" t="str">
        <f t="shared" si="18"/>
        <v/>
      </c>
      <c r="Y757" s="26" t="str">
        <f t="shared" si="19"/>
        <v/>
      </c>
      <c r="Z757" s="31" t="str">
        <f t="shared" si="20"/>
        <v/>
      </c>
      <c r="AA757" s="31" t="str">
        <f>IF(D757="","",IF(H757&lt;=$B$16,1,IF(H757&gt;=$B$17,$B$21,MATCH(H757,Aux_CAV!$A$2:$A$121,1))))</f>
        <v/>
      </c>
      <c r="AB757" s="31" t="str">
        <f>IF(D757="","",IF(L757&lt;=$B$16,1,IF(L757&gt;=$B$17,$B$21,MATCH(L757,Aux_CAV!$A$2:$A$121,1))))</f>
        <v/>
      </c>
      <c r="AC757" s="3" t="str">
        <f t="shared" si="21"/>
        <v/>
      </c>
    </row>
    <row r="758" ht="12.75" customHeight="1">
      <c r="A758" s="25" t="str">
        <f t="shared" si="1"/>
        <v/>
      </c>
      <c r="B758" s="29" t="str">
        <f t="array" ref="B758">IF(D758="","",IFERROR(VALUE(INDEX(Vazoes_COLAR!$A$2:$A$200,INT((ROW()-24)/12)+1)),""))</f>
        <v/>
      </c>
      <c r="C758" s="29" t="str">
        <f t="shared" si="2"/>
        <v/>
      </c>
      <c r="D758" s="26" t="str">
        <f t="array" ref="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58" s="26" t="str">
        <f t="shared" si="3"/>
        <v/>
      </c>
      <c r="F758" s="26" t="str">
        <f t="array" ref="F758">IF(D758="","",IFERROR(INDEX(Dados_Evap!$C$2:$N$15,MATCH($B$9,Dados_Evap!$A$2:$A$15,0),C758),0))</f>
        <v/>
      </c>
      <c r="G758" s="26" t="str">
        <f t="shared" si="4"/>
        <v/>
      </c>
      <c r="H758" s="26" t="str">
        <f t="shared" si="22"/>
        <v/>
      </c>
      <c r="I758" s="26" t="str">
        <f t="array" ref="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/>
      </c>
      <c r="J758" s="26" t="str">
        <f t="shared" si="5"/>
        <v/>
      </c>
      <c r="K758" s="26" t="str">
        <f t="shared" si="6"/>
        <v/>
      </c>
      <c r="L758" s="26" t="str">
        <f t="shared" si="7"/>
        <v/>
      </c>
      <c r="M758" s="26" t="str">
        <f t="array" ref="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/>
      </c>
      <c r="N758" s="26" t="str">
        <f t="shared" si="8"/>
        <v/>
      </c>
      <c r="O758" s="26" t="str">
        <f t="shared" si="9"/>
        <v/>
      </c>
      <c r="P758" s="26" t="str">
        <f t="shared" si="10"/>
        <v/>
      </c>
      <c r="Q758" s="26" t="str">
        <f t="shared" si="11"/>
        <v/>
      </c>
      <c r="R758" s="26" t="str">
        <f t="shared" si="12"/>
        <v/>
      </c>
      <c r="S758" s="26" t="str">
        <f t="shared" si="13"/>
        <v/>
      </c>
      <c r="T758" s="26" t="str">
        <f t="shared" si="14"/>
        <v/>
      </c>
      <c r="U758" s="26" t="str">
        <f t="shared" si="15"/>
        <v/>
      </c>
      <c r="V758" s="26" t="str">
        <f t="shared" si="16"/>
        <v/>
      </c>
      <c r="W758" s="26" t="str">
        <f t="shared" si="17"/>
        <v/>
      </c>
      <c r="X758" s="26" t="str">
        <f t="shared" si="18"/>
        <v/>
      </c>
      <c r="Y758" s="26" t="str">
        <f t="shared" si="19"/>
        <v/>
      </c>
      <c r="Z758" s="31" t="str">
        <f t="shared" si="20"/>
        <v/>
      </c>
      <c r="AA758" s="31" t="str">
        <f>IF(D758="","",IF(H758&lt;=$B$16,1,IF(H758&gt;=$B$17,$B$21,MATCH(H758,Aux_CAV!$A$2:$A$121,1))))</f>
        <v/>
      </c>
      <c r="AB758" s="31" t="str">
        <f>IF(D758="","",IF(L758&lt;=$B$16,1,IF(L758&gt;=$B$17,$B$21,MATCH(L758,Aux_CAV!$A$2:$A$121,1))))</f>
        <v/>
      </c>
      <c r="AC758" s="3" t="str">
        <f t="shared" si="21"/>
        <v/>
      </c>
    </row>
    <row r="759" ht="12.75" customHeight="1">
      <c r="A759" s="25" t="str">
        <f t="shared" si="1"/>
        <v/>
      </c>
      <c r="B759" s="29" t="str">
        <f t="array" ref="B759">IF(D759="","",IFERROR(VALUE(INDEX(Vazoes_COLAR!$A$2:$A$200,INT((ROW()-24)/12)+1)),""))</f>
        <v/>
      </c>
      <c r="C759" s="29" t="str">
        <f t="shared" si="2"/>
        <v/>
      </c>
      <c r="D759" s="26" t="str">
        <f t="array" ref="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59" s="26" t="str">
        <f t="shared" si="3"/>
        <v/>
      </c>
      <c r="F759" s="26" t="str">
        <f t="array" ref="F759">IF(D759="","",IFERROR(INDEX(Dados_Evap!$C$2:$N$15,MATCH($B$9,Dados_Evap!$A$2:$A$15,0),C759),0))</f>
        <v/>
      </c>
      <c r="G759" s="26" t="str">
        <f t="shared" si="4"/>
        <v/>
      </c>
      <c r="H759" s="26" t="str">
        <f t="shared" si="22"/>
        <v/>
      </c>
      <c r="I759" s="26" t="str">
        <f t="array" ref="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/>
      </c>
      <c r="J759" s="26" t="str">
        <f t="shared" si="5"/>
        <v/>
      </c>
      <c r="K759" s="26" t="str">
        <f t="shared" si="6"/>
        <v/>
      </c>
      <c r="L759" s="26" t="str">
        <f t="shared" si="7"/>
        <v/>
      </c>
      <c r="M759" s="26" t="str">
        <f t="array" ref="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/>
      </c>
      <c r="N759" s="26" t="str">
        <f t="shared" si="8"/>
        <v/>
      </c>
      <c r="O759" s="26" t="str">
        <f t="shared" si="9"/>
        <v/>
      </c>
      <c r="P759" s="26" t="str">
        <f t="shared" si="10"/>
        <v/>
      </c>
      <c r="Q759" s="26" t="str">
        <f t="shared" si="11"/>
        <v/>
      </c>
      <c r="R759" s="26" t="str">
        <f t="shared" si="12"/>
        <v/>
      </c>
      <c r="S759" s="26" t="str">
        <f t="shared" si="13"/>
        <v/>
      </c>
      <c r="T759" s="26" t="str">
        <f t="shared" si="14"/>
        <v/>
      </c>
      <c r="U759" s="26" t="str">
        <f t="shared" si="15"/>
        <v/>
      </c>
      <c r="V759" s="26" t="str">
        <f t="shared" si="16"/>
        <v/>
      </c>
      <c r="W759" s="26" t="str">
        <f t="shared" si="17"/>
        <v/>
      </c>
      <c r="X759" s="26" t="str">
        <f t="shared" si="18"/>
        <v/>
      </c>
      <c r="Y759" s="26" t="str">
        <f t="shared" si="19"/>
        <v/>
      </c>
      <c r="Z759" s="31" t="str">
        <f t="shared" si="20"/>
        <v/>
      </c>
      <c r="AA759" s="31" t="str">
        <f>IF(D759="","",IF(H759&lt;=$B$16,1,IF(H759&gt;=$B$17,$B$21,MATCH(H759,Aux_CAV!$A$2:$A$121,1))))</f>
        <v/>
      </c>
      <c r="AB759" s="31" t="str">
        <f>IF(D759="","",IF(L759&lt;=$B$16,1,IF(L759&gt;=$B$17,$B$21,MATCH(L759,Aux_CAV!$A$2:$A$121,1))))</f>
        <v/>
      </c>
      <c r="AC759" s="3" t="str">
        <f t="shared" si="21"/>
        <v/>
      </c>
    </row>
    <row r="760" ht="12.75" customHeight="1">
      <c r="A760" s="25" t="str">
        <f t="shared" si="1"/>
        <v/>
      </c>
      <c r="B760" s="29" t="str">
        <f t="array" ref="B760">IF(D760="","",IFERROR(VALUE(INDEX(Vazoes_COLAR!$A$2:$A$200,INT((ROW()-24)/12)+1)),""))</f>
        <v/>
      </c>
      <c r="C760" s="29" t="str">
        <f t="shared" si="2"/>
        <v/>
      </c>
      <c r="D760" s="26" t="str">
        <f t="array" ref="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60" s="26" t="str">
        <f t="shared" si="3"/>
        <v/>
      </c>
      <c r="F760" s="26" t="str">
        <f t="array" ref="F760">IF(D760="","",IFERROR(INDEX(Dados_Evap!$C$2:$N$15,MATCH($B$9,Dados_Evap!$A$2:$A$15,0),C760),0))</f>
        <v/>
      </c>
      <c r="G760" s="26" t="str">
        <f t="shared" si="4"/>
        <v/>
      </c>
      <c r="H760" s="26" t="str">
        <f t="shared" si="22"/>
        <v/>
      </c>
      <c r="I760" s="26" t="str">
        <f t="array" ref="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/>
      </c>
      <c r="J760" s="26" t="str">
        <f t="shared" si="5"/>
        <v/>
      </c>
      <c r="K760" s="26" t="str">
        <f t="shared" si="6"/>
        <v/>
      </c>
      <c r="L760" s="26" t="str">
        <f t="shared" si="7"/>
        <v/>
      </c>
      <c r="M760" s="26" t="str">
        <f t="array" ref="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/>
      </c>
      <c r="N760" s="26" t="str">
        <f t="shared" si="8"/>
        <v/>
      </c>
      <c r="O760" s="26" t="str">
        <f t="shared" si="9"/>
        <v/>
      </c>
      <c r="P760" s="26" t="str">
        <f t="shared" si="10"/>
        <v/>
      </c>
      <c r="Q760" s="26" t="str">
        <f t="shared" si="11"/>
        <v/>
      </c>
      <c r="R760" s="26" t="str">
        <f t="shared" si="12"/>
        <v/>
      </c>
      <c r="S760" s="26" t="str">
        <f t="shared" si="13"/>
        <v/>
      </c>
      <c r="T760" s="26" t="str">
        <f t="shared" si="14"/>
        <v/>
      </c>
      <c r="U760" s="26" t="str">
        <f t="shared" si="15"/>
        <v/>
      </c>
      <c r="V760" s="26" t="str">
        <f t="shared" si="16"/>
        <v/>
      </c>
      <c r="W760" s="26" t="str">
        <f t="shared" si="17"/>
        <v/>
      </c>
      <c r="X760" s="26" t="str">
        <f t="shared" si="18"/>
        <v/>
      </c>
      <c r="Y760" s="26" t="str">
        <f t="shared" si="19"/>
        <v/>
      </c>
      <c r="Z760" s="31" t="str">
        <f t="shared" si="20"/>
        <v/>
      </c>
      <c r="AA760" s="31" t="str">
        <f>IF(D760="","",IF(H760&lt;=$B$16,1,IF(H760&gt;=$B$17,$B$21,MATCH(H760,Aux_CAV!$A$2:$A$121,1))))</f>
        <v/>
      </c>
      <c r="AB760" s="31" t="str">
        <f>IF(D760="","",IF(L760&lt;=$B$16,1,IF(L760&gt;=$B$17,$B$21,MATCH(L760,Aux_CAV!$A$2:$A$121,1))))</f>
        <v/>
      </c>
      <c r="AC760" s="3" t="str">
        <f t="shared" si="21"/>
        <v/>
      </c>
    </row>
    <row r="761" ht="12.75" customHeight="1">
      <c r="A761" s="25" t="str">
        <f t="shared" si="1"/>
        <v/>
      </c>
      <c r="B761" s="29" t="str">
        <f t="array" ref="B761">IF(D761="","",IFERROR(VALUE(INDEX(Vazoes_COLAR!$A$2:$A$200,INT((ROW()-24)/12)+1)),""))</f>
        <v/>
      </c>
      <c r="C761" s="29" t="str">
        <f t="shared" si="2"/>
        <v/>
      </c>
      <c r="D761" s="26" t="str">
        <f t="array" ref="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61" s="26" t="str">
        <f t="shared" si="3"/>
        <v/>
      </c>
      <c r="F761" s="26" t="str">
        <f t="array" ref="F761">IF(D761="","",IFERROR(INDEX(Dados_Evap!$C$2:$N$15,MATCH($B$9,Dados_Evap!$A$2:$A$15,0),C761),0))</f>
        <v/>
      </c>
      <c r="G761" s="26" t="str">
        <f t="shared" si="4"/>
        <v/>
      </c>
      <c r="H761" s="26" t="str">
        <f t="shared" si="22"/>
        <v/>
      </c>
      <c r="I761" s="26" t="str">
        <f t="array" ref="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/>
      </c>
      <c r="J761" s="26" t="str">
        <f t="shared" si="5"/>
        <v/>
      </c>
      <c r="K761" s="26" t="str">
        <f t="shared" si="6"/>
        <v/>
      </c>
      <c r="L761" s="26" t="str">
        <f t="shared" si="7"/>
        <v/>
      </c>
      <c r="M761" s="26" t="str">
        <f t="array" ref="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/>
      </c>
      <c r="N761" s="26" t="str">
        <f t="shared" si="8"/>
        <v/>
      </c>
      <c r="O761" s="26" t="str">
        <f t="shared" si="9"/>
        <v/>
      </c>
      <c r="P761" s="26" t="str">
        <f t="shared" si="10"/>
        <v/>
      </c>
      <c r="Q761" s="26" t="str">
        <f t="shared" si="11"/>
        <v/>
      </c>
      <c r="R761" s="26" t="str">
        <f t="shared" si="12"/>
        <v/>
      </c>
      <c r="S761" s="26" t="str">
        <f t="shared" si="13"/>
        <v/>
      </c>
      <c r="T761" s="26" t="str">
        <f t="shared" si="14"/>
        <v/>
      </c>
      <c r="U761" s="26" t="str">
        <f t="shared" si="15"/>
        <v/>
      </c>
      <c r="V761" s="26" t="str">
        <f t="shared" si="16"/>
        <v/>
      </c>
      <c r="W761" s="26" t="str">
        <f t="shared" si="17"/>
        <v/>
      </c>
      <c r="X761" s="26" t="str">
        <f t="shared" si="18"/>
        <v/>
      </c>
      <c r="Y761" s="26" t="str">
        <f t="shared" si="19"/>
        <v/>
      </c>
      <c r="Z761" s="31" t="str">
        <f t="shared" si="20"/>
        <v/>
      </c>
      <c r="AA761" s="31" t="str">
        <f>IF(D761="","",IF(H761&lt;=$B$16,1,IF(H761&gt;=$B$17,$B$21,MATCH(H761,Aux_CAV!$A$2:$A$121,1))))</f>
        <v/>
      </c>
      <c r="AB761" s="31" t="str">
        <f>IF(D761="","",IF(L761&lt;=$B$16,1,IF(L761&gt;=$B$17,$B$21,MATCH(L761,Aux_CAV!$A$2:$A$121,1))))</f>
        <v/>
      </c>
      <c r="AC761" s="3" t="str">
        <f t="shared" si="21"/>
        <v/>
      </c>
    </row>
    <row r="762" ht="12.75" customHeight="1">
      <c r="A762" s="25" t="str">
        <f t="shared" si="1"/>
        <v/>
      </c>
      <c r="B762" s="29" t="str">
        <f t="array" ref="B762">IF(D762="","",IFERROR(VALUE(INDEX(Vazoes_COLAR!$A$2:$A$200,INT((ROW()-24)/12)+1)),""))</f>
        <v/>
      </c>
      <c r="C762" s="29" t="str">
        <f t="shared" si="2"/>
        <v/>
      </c>
      <c r="D762" s="26" t="str">
        <f t="array" ref="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62" s="26" t="str">
        <f t="shared" si="3"/>
        <v/>
      </c>
      <c r="F762" s="26" t="str">
        <f t="array" ref="F762">IF(D762="","",IFERROR(INDEX(Dados_Evap!$C$2:$N$15,MATCH($B$9,Dados_Evap!$A$2:$A$15,0),C762),0))</f>
        <v/>
      </c>
      <c r="G762" s="26" t="str">
        <f t="shared" si="4"/>
        <v/>
      </c>
      <c r="H762" s="26" t="str">
        <f t="shared" si="22"/>
        <v/>
      </c>
      <c r="I762" s="26" t="str">
        <f t="array" ref="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/>
      </c>
      <c r="J762" s="26" t="str">
        <f t="shared" si="5"/>
        <v/>
      </c>
      <c r="K762" s="26" t="str">
        <f t="shared" si="6"/>
        <v/>
      </c>
      <c r="L762" s="26" t="str">
        <f t="shared" si="7"/>
        <v/>
      </c>
      <c r="M762" s="26" t="str">
        <f t="array" ref="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/>
      </c>
      <c r="N762" s="26" t="str">
        <f t="shared" si="8"/>
        <v/>
      </c>
      <c r="O762" s="26" t="str">
        <f t="shared" si="9"/>
        <v/>
      </c>
      <c r="P762" s="26" t="str">
        <f t="shared" si="10"/>
        <v/>
      </c>
      <c r="Q762" s="26" t="str">
        <f t="shared" si="11"/>
        <v/>
      </c>
      <c r="R762" s="26" t="str">
        <f t="shared" si="12"/>
        <v/>
      </c>
      <c r="S762" s="26" t="str">
        <f t="shared" si="13"/>
        <v/>
      </c>
      <c r="T762" s="26" t="str">
        <f t="shared" si="14"/>
        <v/>
      </c>
      <c r="U762" s="26" t="str">
        <f t="shared" si="15"/>
        <v/>
      </c>
      <c r="V762" s="26" t="str">
        <f t="shared" si="16"/>
        <v/>
      </c>
      <c r="W762" s="26" t="str">
        <f t="shared" si="17"/>
        <v/>
      </c>
      <c r="X762" s="26" t="str">
        <f t="shared" si="18"/>
        <v/>
      </c>
      <c r="Y762" s="26" t="str">
        <f t="shared" si="19"/>
        <v/>
      </c>
      <c r="Z762" s="31" t="str">
        <f t="shared" si="20"/>
        <v/>
      </c>
      <c r="AA762" s="31" t="str">
        <f>IF(D762="","",IF(H762&lt;=$B$16,1,IF(H762&gt;=$B$17,$B$21,MATCH(H762,Aux_CAV!$A$2:$A$121,1))))</f>
        <v/>
      </c>
      <c r="AB762" s="31" t="str">
        <f>IF(D762="","",IF(L762&lt;=$B$16,1,IF(L762&gt;=$B$17,$B$21,MATCH(L762,Aux_CAV!$A$2:$A$121,1))))</f>
        <v/>
      </c>
      <c r="AC762" s="3" t="str">
        <f t="shared" si="21"/>
        <v/>
      </c>
    </row>
    <row r="763" ht="12.75" customHeight="1">
      <c r="A763" s="25" t="str">
        <f t="shared" si="1"/>
        <v/>
      </c>
      <c r="B763" s="29" t="str">
        <f t="array" ref="B763">IF(D763="","",IFERROR(VALUE(INDEX(Vazoes_COLAR!$A$2:$A$200,INT((ROW()-24)/12)+1)),""))</f>
        <v/>
      </c>
      <c r="C763" s="29" t="str">
        <f t="shared" si="2"/>
        <v/>
      </c>
      <c r="D763" s="26" t="str">
        <f t="array" ref="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63" s="26" t="str">
        <f t="shared" si="3"/>
        <v/>
      </c>
      <c r="F763" s="26" t="str">
        <f t="array" ref="F763">IF(D763="","",IFERROR(INDEX(Dados_Evap!$C$2:$N$15,MATCH($B$9,Dados_Evap!$A$2:$A$15,0),C763),0))</f>
        <v/>
      </c>
      <c r="G763" s="26" t="str">
        <f t="shared" si="4"/>
        <v/>
      </c>
      <c r="H763" s="26" t="str">
        <f t="shared" si="22"/>
        <v/>
      </c>
      <c r="I763" s="26" t="str">
        <f t="array" ref="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/>
      </c>
      <c r="J763" s="26" t="str">
        <f t="shared" si="5"/>
        <v/>
      </c>
      <c r="K763" s="26" t="str">
        <f t="shared" si="6"/>
        <v/>
      </c>
      <c r="L763" s="26" t="str">
        <f t="shared" si="7"/>
        <v/>
      </c>
      <c r="M763" s="26" t="str">
        <f t="array" ref="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/>
      </c>
      <c r="N763" s="26" t="str">
        <f t="shared" si="8"/>
        <v/>
      </c>
      <c r="O763" s="26" t="str">
        <f t="shared" si="9"/>
        <v/>
      </c>
      <c r="P763" s="26" t="str">
        <f t="shared" si="10"/>
        <v/>
      </c>
      <c r="Q763" s="26" t="str">
        <f t="shared" si="11"/>
        <v/>
      </c>
      <c r="R763" s="26" t="str">
        <f t="shared" si="12"/>
        <v/>
      </c>
      <c r="S763" s="26" t="str">
        <f t="shared" si="13"/>
        <v/>
      </c>
      <c r="T763" s="26" t="str">
        <f t="shared" si="14"/>
        <v/>
      </c>
      <c r="U763" s="26" t="str">
        <f t="shared" si="15"/>
        <v/>
      </c>
      <c r="V763" s="26" t="str">
        <f t="shared" si="16"/>
        <v/>
      </c>
      <c r="W763" s="26" t="str">
        <f t="shared" si="17"/>
        <v/>
      </c>
      <c r="X763" s="26" t="str">
        <f t="shared" si="18"/>
        <v/>
      </c>
      <c r="Y763" s="26" t="str">
        <f t="shared" si="19"/>
        <v/>
      </c>
      <c r="Z763" s="31" t="str">
        <f t="shared" si="20"/>
        <v/>
      </c>
      <c r="AA763" s="31" t="str">
        <f>IF(D763="","",IF(H763&lt;=$B$16,1,IF(H763&gt;=$B$17,$B$21,MATCH(H763,Aux_CAV!$A$2:$A$121,1))))</f>
        <v/>
      </c>
      <c r="AB763" s="31" t="str">
        <f>IF(D763="","",IF(L763&lt;=$B$16,1,IF(L763&gt;=$B$17,$B$21,MATCH(L763,Aux_CAV!$A$2:$A$121,1))))</f>
        <v/>
      </c>
      <c r="AC763" s="3" t="str">
        <f t="shared" si="21"/>
        <v/>
      </c>
    </row>
    <row r="764" ht="12.75" customHeight="1">
      <c r="A764" s="25" t="str">
        <f t="shared" si="1"/>
        <v/>
      </c>
      <c r="B764" s="29" t="str">
        <f t="array" ref="B764">IF(D764="","",IFERROR(VALUE(INDEX(Vazoes_COLAR!$A$2:$A$200,INT((ROW()-24)/12)+1)),""))</f>
        <v/>
      </c>
      <c r="C764" s="29" t="str">
        <f t="shared" si="2"/>
        <v/>
      </c>
      <c r="D764" s="26" t="str">
        <f t="array" ref="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64" s="26" t="str">
        <f t="shared" si="3"/>
        <v/>
      </c>
      <c r="F764" s="26" t="str">
        <f t="array" ref="F764">IF(D764="","",IFERROR(INDEX(Dados_Evap!$C$2:$N$15,MATCH($B$9,Dados_Evap!$A$2:$A$15,0),C764),0))</f>
        <v/>
      </c>
      <c r="G764" s="26" t="str">
        <f t="shared" si="4"/>
        <v/>
      </c>
      <c r="H764" s="26" t="str">
        <f t="shared" si="22"/>
        <v/>
      </c>
      <c r="I764" s="26" t="str">
        <f t="array" ref="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/>
      </c>
      <c r="J764" s="26" t="str">
        <f t="shared" si="5"/>
        <v/>
      </c>
      <c r="K764" s="26" t="str">
        <f t="shared" si="6"/>
        <v/>
      </c>
      <c r="L764" s="26" t="str">
        <f t="shared" si="7"/>
        <v/>
      </c>
      <c r="M764" s="26" t="str">
        <f t="array" ref="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/>
      </c>
      <c r="N764" s="26" t="str">
        <f t="shared" si="8"/>
        <v/>
      </c>
      <c r="O764" s="26" t="str">
        <f t="shared" si="9"/>
        <v/>
      </c>
      <c r="P764" s="26" t="str">
        <f t="shared" si="10"/>
        <v/>
      </c>
      <c r="Q764" s="26" t="str">
        <f t="shared" si="11"/>
        <v/>
      </c>
      <c r="R764" s="26" t="str">
        <f t="shared" si="12"/>
        <v/>
      </c>
      <c r="S764" s="26" t="str">
        <f t="shared" si="13"/>
        <v/>
      </c>
      <c r="T764" s="26" t="str">
        <f t="shared" si="14"/>
        <v/>
      </c>
      <c r="U764" s="26" t="str">
        <f t="shared" si="15"/>
        <v/>
      </c>
      <c r="V764" s="26" t="str">
        <f t="shared" si="16"/>
        <v/>
      </c>
      <c r="W764" s="26" t="str">
        <f t="shared" si="17"/>
        <v/>
      </c>
      <c r="X764" s="26" t="str">
        <f t="shared" si="18"/>
        <v/>
      </c>
      <c r="Y764" s="26" t="str">
        <f t="shared" si="19"/>
        <v/>
      </c>
      <c r="Z764" s="31" t="str">
        <f t="shared" si="20"/>
        <v/>
      </c>
      <c r="AA764" s="31" t="str">
        <f>IF(D764="","",IF(H764&lt;=$B$16,1,IF(H764&gt;=$B$17,$B$21,MATCH(H764,Aux_CAV!$A$2:$A$121,1))))</f>
        <v/>
      </c>
      <c r="AB764" s="31" t="str">
        <f>IF(D764="","",IF(L764&lt;=$B$16,1,IF(L764&gt;=$B$17,$B$21,MATCH(L764,Aux_CAV!$A$2:$A$121,1))))</f>
        <v/>
      </c>
      <c r="AC764" s="3" t="str">
        <f t="shared" si="21"/>
        <v/>
      </c>
    </row>
    <row r="765" ht="12.75" customHeight="1">
      <c r="A765" s="25" t="str">
        <f t="shared" si="1"/>
        <v/>
      </c>
      <c r="B765" s="29" t="str">
        <f t="array" ref="B765">IF(D765="","",IFERROR(VALUE(INDEX(Vazoes_COLAR!$A$2:$A$200,INT((ROW()-24)/12)+1)),""))</f>
        <v/>
      </c>
      <c r="C765" s="29" t="str">
        <f t="shared" si="2"/>
        <v/>
      </c>
      <c r="D765" s="26" t="str">
        <f t="array" ref="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65" s="26" t="str">
        <f t="shared" si="3"/>
        <v/>
      </c>
      <c r="F765" s="26" t="str">
        <f t="array" ref="F765">IF(D765="","",IFERROR(INDEX(Dados_Evap!$C$2:$N$15,MATCH($B$9,Dados_Evap!$A$2:$A$15,0),C765),0))</f>
        <v/>
      </c>
      <c r="G765" s="26" t="str">
        <f t="shared" si="4"/>
        <v/>
      </c>
      <c r="H765" s="26" t="str">
        <f t="shared" si="22"/>
        <v/>
      </c>
      <c r="I765" s="26" t="str">
        <f t="array" ref="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/>
      </c>
      <c r="J765" s="26" t="str">
        <f t="shared" si="5"/>
        <v/>
      </c>
      <c r="K765" s="26" t="str">
        <f t="shared" si="6"/>
        <v/>
      </c>
      <c r="L765" s="26" t="str">
        <f t="shared" si="7"/>
        <v/>
      </c>
      <c r="M765" s="26" t="str">
        <f t="array" ref="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/>
      </c>
      <c r="N765" s="26" t="str">
        <f t="shared" si="8"/>
        <v/>
      </c>
      <c r="O765" s="26" t="str">
        <f t="shared" si="9"/>
        <v/>
      </c>
      <c r="P765" s="26" t="str">
        <f t="shared" si="10"/>
        <v/>
      </c>
      <c r="Q765" s="26" t="str">
        <f t="shared" si="11"/>
        <v/>
      </c>
      <c r="R765" s="26" t="str">
        <f t="shared" si="12"/>
        <v/>
      </c>
      <c r="S765" s="26" t="str">
        <f t="shared" si="13"/>
        <v/>
      </c>
      <c r="T765" s="26" t="str">
        <f t="shared" si="14"/>
        <v/>
      </c>
      <c r="U765" s="26" t="str">
        <f t="shared" si="15"/>
        <v/>
      </c>
      <c r="V765" s="26" t="str">
        <f t="shared" si="16"/>
        <v/>
      </c>
      <c r="W765" s="26" t="str">
        <f t="shared" si="17"/>
        <v/>
      </c>
      <c r="X765" s="26" t="str">
        <f t="shared" si="18"/>
        <v/>
      </c>
      <c r="Y765" s="26" t="str">
        <f t="shared" si="19"/>
        <v/>
      </c>
      <c r="Z765" s="31" t="str">
        <f t="shared" si="20"/>
        <v/>
      </c>
      <c r="AA765" s="31" t="str">
        <f>IF(D765="","",IF(H765&lt;=$B$16,1,IF(H765&gt;=$B$17,$B$21,MATCH(H765,Aux_CAV!$A$2:$A$121,1))))</f>
        <v/>
      </c>
      <c r="AB765" s="31" t="str">
        <f>IF(D765="","",IF(L765&lt;=$B$16,1,IF(L765&gt;=$B$17,$B$21,MATCH(L765,Aux_CAV!$A$2:$A$121,1))))</f>
        <v/>
      </c>
      <c r="AC765" s="3" t="str">
        <f t="shared" si="21"/>
        <v/>
      </c>
    </row>
    <row r="766" ht="12.75" customHeight="1">
      <c r="A766" s="25" t="str">
        <f t="shared" si="1"/>
        <v/>
      </c>
      <c r="B766" s="29" t="str">
        <f t="array" ref="B766">IF(D766="","",IFERROR(VALUE(INDEX(Vazoes_COLAR!$A$2:$A$200,INT((ROW()-24)/12)+1)),""))</f>
        <v/>
      </c>
      <c r="C766" s="29" t="str">
        <f t="shared" si="2"/>
        <v/>
      </c>
      <c r="D766" s="26" t="str">
        <f t="array" ref="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66" s="26" t="str">
        <f t="shared" si="3"/>
        <v/>
      </c>
      <c r="F766" s="26" t="str">
        <f t="array" ref="F766">IF(D766="","",IFERROR(INDEX(Dados_Evap!$C$2:$N$15,MATCH($B$9,Dados_Evap!$A$2:$A$15,0),C766),0))</f>
        <v/>
      </c>
      <c r="G766" s="26" t="str">
        <f t="shared" si="4"/>
        <v/>
      </c>
      <c r="H766" s="26" t="str">
        <f t="shared" si="22"/>
        <v/>
      </c>
      <c r="I766" s="26" t="str">
        <f t="array" ref="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/>
      </c>
      <c r="J766" s="26" t="str">
        <f t="shared" si="5"/>
        <v/>
      </c>
      <c r="K766" s="26" t="str">
        <f t="shared" si="6"/>
        <v/>
      </c>
      <c r="L766" s="26" t="str">
        <f t="shared" si="7"/>
        <v/>
      </c>
      <c r="M766" s="26" t="str">
        <f t="array" ref="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/>
      </c>
      <c r="N766" s="26" t="str">
        <f t="shared" si="8"/>
        <v/>
      </c>
      <c r="O766" s="26" t="str">
        <f t="shared" si="9"/>
        <v/>
      </c>
      <c r="P766" s="26" t="str">
        <f t="shared" si="10"/>
        <v/>
      </c>
      <c r="Q766" s="26" t="str">
        <f t="shared" si="11"/>
        <v/>
      </c>
      <c r="R766" s="26" t="str">
        <f t="shared" si="12"/>
        <v/>
      </c>
      <c r="S766" s="26" t="str">
        <f t="shared" si="13"/>
        <v/>
      </c>
      <c r="T766" s="26" t="str">
        <f t="shared" si="14"/>
        <v/>
      </c>
      <c r="U766" s="26" t="str">
        <f t="shared" si="15"/>
        <v/>
      </c>
      <c r="V766" s="26" t="str">
        <f t="shared" si="16"/>
        <v/>
      </c>
      <c r="W766" s="26" t="str">
        <f t="shared" si="17"/>
        <v/>
      </c>
      <c r="X766" s="26" t="str">
        <f t="shared" si="18"/>
        <v/>
      </c>
      <c r="Y766" s="26" t="str">
        <f t="shared" si="19"/>
        <v/>
      </c>
      <c r="Z766" s="31" t="str">
        <f t="shared" si="20"/>
        <v/>
      </c>
      <c r="AA766" s="31" t="str">
        <f>IF(D766="","",IF(H766&lt;=$B$16,1,IF(H766&gt;=$B$17,$B$21,MATCH(H766,Aux_CAV!$A$2:$A$121,1))))</f>
        <v/>
      </c>
      <c r="AB766" s="31" t="str">
        <f>IF(D766="","",IF(L766&lt;=$B$16,1,IF(L766&gt;=$B$17,$B$21,MATCH(L766,Aux_CAV!$A$2:$A$121,1))))</f>
        <v/>
      </c>
      <c r="AC766" s="3" t="str">
        <f t="shared" si="21"/>
        <v/>
      </c>
    </row>
    <row r="767" ht="12.75" customHeight="1">
      <c r="A767" s="25" t="str">
        <f t="shared" si="1"/>
        <v/>
      </c>
      <c r="B767" s="29" t="str">
        <f t="array" ref="B767">IF(D767="","",IFERROR(VALUE(INDEX(Vazoes_COLAR!$A$2:$A$200,INT((ROW()-24)/12)+1)),""))</f>
        <v/>
      </c>
      <c r="C767" s="29" t="str">
        <f t="shared" si="2"/>
        <v/>
      </c>
      <c r="D767" s="26" t="str">
        <f t="array" ref="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67" s="26" t="str">
        <f t="shared" si="3"/>
        <v/>
      </c>
      <c r="F767" s="26" t="str">
        <f t="array" ref="F767">IF(D767="","",IFERROR(INDEX(Dados_Evap!$C$2:$N$15,MATCH($B$9,Dados_Evap!$A$2:$A$15,0),C767),0))</f>
        <v/>
      </c>
      <c r="G767" s="26" t="str">
        <f t="shared" si="4"/>
        <v/>
      </c>
      <c r="H767" s="26" t="str">
        <f t="shared" si="22"/>
        <v/>
      </c>
      <c r="I767" s="26" t="str">
        <f t="array" ref="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/>
      </c>
      <c r="J767" s="26" t="str">
        <f t="shared" si="5"/>
        <v/>
      </c>
      <c r="K767" s="26" t="str">
        <f t="shared" si="6"/>
        <v/>
      </c>
      <c r="L767" s="26" t="str">
        <f t="shared" si="7"/>
        <v/>
      </c>
      <c r="M767" s="26" t="str">
        <f t="array" ref="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/>
      </c>
      <c r="N767" s="26" t="str">
        <f t="shared" si="8"/>
        <v/>
      </c>
      <c r="O767" s="26" t="str">
        <f t="shared" si="9"/>
        <v/>
      </c>
      <c r="P767" s="26" t="str">
        <f t="shared" si="10"/>
        <v/>
      </c>
      <c r="Q767" s="26" t="str">
        <f t="shared" si="11"/>
        <v/>
      </c>
      <c r="R767" s="26" t="str">
        <f t="shared" si="12"/>
        <v/>
      </c>
      <c r="S767" s="26" t="str">
        <f t="shared" si="13"/>
        <v/>
      </c>
      <c r="T767" s="26" t="str">
        <f t="shared" si="14"/>
        <v/>
      </c>
      <c r="U767" s="26" t="str">
        <f t="shared" si="15"/>
        <v/>
      </c>
      <c r="V767" s="26" t="str">
        <f t="shared" si="16"/>
        <v/>
      </c>
      <c r="W767" s="26" t="str">
        <f t="shared" si="17"/>
        <v/>
      </c>
      <c r="X767" s="26" t="str">
        <f t="shared" si="18"/>
        <v/>
      </c>
      <c r="Y767" s="26" t="str">
        <f t="shared" si="19"/>
        <v/>
      </c>
      <c r="Z767" s="31" t="str">
        <f t="shared" si="20"/>
        <v/>
      </c>
      <c r="AA767" s="31" t="str">
        <f>IF(D767="","",IF(H767&lt;=$B$16,1,IF(H767&gt;=$B$17,$B$21,MATCH(H767,Aux_CAV!$A$2:$A$121,1))))</f>
        <v/>
      </c>
      <c r="AB767" s="31" t="str">
        <f>IF(D767="","",IF(L767&lt;=$B$16,1,IF(L767&gt;=$B$17,$B$21,MATCH(L767,Aux_CAV!$A$2:$A$121,1))))</f>
        <v/>
      </c>
      <c r="AC767" s="3" t="str">
        <f t="shared" si="21"/>
        <v/>
      </c>
    </row>
    <row r="768" ht="12.75" customHeight="1">
      <c r="A768" s="25" t="str">
        <f t="shared" si="1"/>
        <v/>
      </c>
      <c r="B768" s="29" t="str">
        <f t="array" ref="B768">IF(D768="","",IFERROR(VALUE(INDEX(Vazoes_COLAR!$A$2:$A$200,INT((ROW()-24)/12)+1)),""))</f>
        <v/>
      </c>
      <c r="C768" s="29" t="str">
        <f t="shared" si="2"/>
        <v/>
      </c>
      <c r="D768" s="26" t="str">
        <f t="array" ref="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68" s="26" t="str">
        <f t="shared" si="3"/>
        <v/>
      </c>
      <c r="F768" s="26" t="str">
        <f t="array" ref="F768">IF(D768="","",IFERROR(INDEX(Dados_Evap!$C$2:$N$15,MATCH($B$9,Dados_Evap!$A$2:$A$15,0),C768),0))</f>
        <v/>
      </c>
      <c r="G768" s="26" t="str">
        <f t="shared" si="4"/>
        <v/>
      </c>
      <c r="H768" s="26" t="str">
        <f t="shared" si="22"/>
        <v/>
      </c>
      <c r="I768" s="26" t="str">
        <f t="array" ref="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/>
      </c>
      <c r="J768" s="26" t="str">
        <f t="shared" si="5"/>
        <v/>
      </c>
      <c r="K768" s="26" t="str">
        <f t="shared" si="6"/>
        <v/>
      </c>
      <c r="L768" s="26" t="str">
        <f t="shared" si="7"/>
        <v/>
      </c>
      <c r="M768" s="26" t="str">
        <f t="array" ref="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/>
      </c>
      <c r="N768" s="26" t="str">
        <f t="shared" si="8"/>
        <v/>
      </c>
      <c r="O768" s="26" t="str">
        <f t="shared" si="9"/>
        <v/>
      </c>
      <c r="P768" s="26" t="str">
        <f t="shared" si="10"/>
        <v/>
      </c>
      <c r="Q768" s="26" t="str">
        <f t="shared" si="11"/>
        <v/>
      </c>
      <c r="R768" s="26" t="str">
        <f t="shared" si="12"/>
        <v/>
      </c>
      <c r="S768" s="26" t="str">
        <f t="shared" si="13"/>
        <v/>
      </c>
      <c r="T768" s="26" t="str">
        <f t="shared" si="14"/>
        <v/>
      </c>
      <c r="U768" s="26" t="str">
        <f t="shared" si="15"/>
        <v/>
      </c>
      <c r="V768" s="26" t="str">
        <f t="shared" si="16"/>
        <v/>
      </c>
      <c r="W768" s="26" t="str">
        <f t="shared" si="17"/>
        <v/>
      </c>
      <c r="X768" s="26" t="str">
        <f t="shared" si="18"/>
        <v/>
      </c>
      <c r="Y768" s="26" t="str">
        <f t="shared" si="19"/>
        <v/>
      </c>
      <c r="Z768" s="31" t="str">
        <f t="shared" si="20"/>
        <v/>
      </c>
      <c r="AA768" s="31" t="str">
        <f>IF(D768="","",IF(H768&lt;=$B$16,1,IF(H768&gt;=$B$17,$B$21,MATCH(H768,Aux_CAV!$A$2:$A$121,1))))</f>
        <v/>
      </c>
      <c r="AB768" s="31" t="str">
        <f>IF(D768="","",IF(L768&lt;=$B$16,1,IF(L768&gt;=$B$17,$B$21,MATCH(L768,Aux_CAV!$A$2:$A$121,1))))</f>
        <v/>
      </c>
      <c r="AC768" s="3" t="str">
        <f t="shared" si="21"/>
        <v/>
      </c>
    </row>
    <row r="769" ht="12.75" customHeight="1">
      <c r="A769" s="25" t="str">
        <f t="shared" si="1"/>
        <v/>
      </c>
      <c r="B769" s="29" t="str">
        <f t="array" ref="B769">IF(D769="","",IFERROR(VALUE(INDEX(Vazoes_COLAR!$A$2:$A$200,INT((ROW()-24)/12)+1)),""))</f>
        <v/>
      </c>
      <c r="C769" s="29" t="str">
        <f t="shared" si="2"/>
        <v/>
      </c>
      <c r="D769" s="26" t="str">
        <f t="array" ref="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69" s="26" t="str">
        <f t="shared" si="3"/>
        <v/>
      </c>
      <c r="F769" s="26" t="str">
        <f t="array" ref="F769">IF(D769="","",IFERROR(INDEX(Dados_Evap!$C$2:$N$15,MATCH($B$9,Dados_Evap!$A$2:$A$15,0),C769),0))</f>
        <v/>
      </c>
      <c r="G769" s="26" t="str">
        <f t="shared" si="4"/>
        <v/>
      </c>
      <c r="H769" s="26" t="str">
        <f t="shared" si="22"/>
        <v/>
      </c>
      <c r="I769" s="26" t="str">
        <f t="array" ref="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/>
      </c>
      <c r="J769" s="26" t="str">
        <f t="shared" si="5"/>
        <v/>
      </c>
      <c r="K769" s="26" t="str">
        <f t="shared" si="6"/>
        <v/>
      </c>
      <c r="L769" s="26" t="str">
        <f t="shared" si="7"/>
        <v/>
      </c>
      <c r="M769" s="26" t="str">
        <f t="array" ref="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/>
      </c>
      <c r="N769" s="26" t="str">
        <f t="shared" si="8"/>
        <v/>
      </c>
      <c r="O769" s="26" t="str">
        <f t="shared" si="9"/>
        <v/>
      </c>
      <c r="P769" s="26" t="str">
        <f t="shared" si="10"/>
        <v/>
      </c>
      <c r="Q769" s="26" t="str">
        <f t="shared" si="11"/>
        <v/>
      </c>
      <c r="R769" s="26" t="str">
        <f t="shared" si="12"/>
        <v/>
      </c>
      <c r="S769" s="26" t="str">
        <f t="shared" si="13"/>
        <v/>
      </c>
      <c r="T769" s="26" t="str">
        <f t="shared" si="14"/>
        <v/>
      </c>
      <c r="U769" s="26" t="str">
        <f t="shared" si="15"/>
        <v/>
      </c>
      <c r="V769" s="26" t="str">
        <f t="shared" si="16"/>
        <v/>
      </c>
      <c r="W769" s="26" t="str">
        <f t="shared" si="17"/>
        <v/>
      </c>
      <c r="X769" s="26" t="str">
        <f t="shared" si="18"/>
        <v/>
      </c>
      <c r="Y769" s="26" t="str">
        <f t="shared" si="19"/>
        <v/>
      </c>
      <c r="Z769" s="31" t="str">
        <f t="shared" si="20"/>
        <v/>
      </c>
      <c r="AA769" s="31" t="str">
        <f>IF(D769="","",IF(H769&lt;=$B$16,1,IF(H769&gt;=$B$17,$B$21,MATCH(H769,Aux_CAV!$A$2:$A$121,1))))</f>
        <v/>
      </c>
      <c r="AB769" s="31" t="str">
        <f>IF(D769="","",IF(L769&lt;=$B$16,1,IF(L769&gt;=$B$17,$B$21,MATCH(L769,Aux_CAV!$A$2:$A$121,1))))</f>
        <v/>
      </c>
      <c r="AC769" s="3" t="str">
        <f t="shared" si="21"/>
        <v/>
      </c>
    </row>
    <row r="770" ht="12.75" customHeight="1">
      <c r="A770" s="25" t="str">
        <f t="shared" si="1"/>
        <v/>
      </c>
      <c r="B770" s="29" t="str">
        <f t="array" ref="B770">IF(D770="","",IFERROR(VALUE(INDEX(Vazoes_COLAR!$A$2:$A$200,INT((ROW()-24)/12)+1)),""))</f>
        <v/>
      </c>
      <c r="C770" s="29" t="str">
        <f t="shared" si="2"/>
        <v/>
      </c>
      <c r="D770" s="26" t="str">
        <f t="array" ref="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70" s="26" t="str">
        <f t="shared" si="3"/>
        <v/>
      </c>
      <c r="F770" s="26" t="str">
        <f t="array" ref="F770">IF(D770="","",IFERROR(INDEX(Dados_Evap!$C$2:$N$15,MATCH($B$9,Dados_Evap!$A$2:$A$15,0),C770),0))</f>
        <v/>
      </c>
      <c r="G770" s="26" t="str">
        <f t="shared" si="4"/>
        <v/>
      </c>
      <c r="H770" s="26" t="str">
        <f t="shared" si="22"/>
        <v/>
      </c>
      <c r="I770" s="26" t="str">
        <f t="array" ref="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/>
      </c>
      <c r="J770" s="26" t="str">
        <f t="shared" si="5"/>
        <v/>
      </c>
      <c r="K770" s="26" t="str">
        <f t="shared" si="6"/>
        <v/>
      </c>
      <c r="L770" s="26" t="str">
        <f t="shared" si="7"/>
        <v/>
      </c>
      <c r="M770" s="26" t="str">
        <f t="array" ref="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/>
      </c>
      <c r="N770" s="26" t="str">
        <f t="shared" si="8"/>
        <v/>
      </c>
      <c r="O770" s="26" t="str">
        <f t="shared" si="9"/>
        <v/>
      </c>
      <c r="P770" s="26" t="str">
        <f t="shared" si="10"/>
        <v/>
      </c>
      <c r="Q770" s="26" t="str">
        <f t="shared" si="11"/>
        <v/>
      </c>
      <c r="R770" s="26" t="str">
        <f t="shared" si="12"/>
        <v/>
      </c>
      <c r="S770" s="26" t="str">
        <f t="shared" si="13"/>
        <v/>
      </c>
      <c r="T770" s="26" t="str">
        <f t="shared" si="14"/>
        <v/>
      </c>
      <c r="U770" s="26" t="str">
        <f t="shared" si="15"/>
        <v/>
      </c>
      <c r="V770" s="26" t="str">
        <f t="shared" si="16"/>
        <v/>
      </c>
      <c r="W770" s="26" t="str">
        <f t="shared" si="17"/>
        <v/>
      </c>
      <c r="X770" s="26" t="str">
        <f t="shared" si="18"/>
        <v/>
      </c>
      <c r="Y770" s="26" t="str">
        <f t="shared" si="19"/>
        <v/>
      </c>
      <c r="Z770" s="31" t="str">
        <f t="shared" si="20"/>
        <v/>
      </c>
      <c r="AA770" s="31" t="str">
        <f>IF(D770="","",IF(H770&lt;=$B$16,1,IF(H770&gt;=$B$17,$B$21,MATCH(H770,Aux_CAV!$A$2:$A$121,1))))</f>
        <v/>
      </c>
      <c r="AB770" s="31" t="str">
        <f>IF(D770="","",IF(L770&lt;=$B$16,1,IF(L770&gt;=$B$17,$B$21,MATCH(L770,Aux_CAV!$A$2:$A$121,1))))</f>
        <v/>
      </c>
      <c r="AC770" s="3" t="str">
        <f t="shared" si="21"/>
        <v/>
      </c>
    </row>
    <row r="771" ht="12.75" customHeight="1">
      <c r="A771" s="25" t="str">
        <f t="shared" si="1"/>
        <v/>
      </c>
      <c r="B771" s="29" t="str">
        <f t="array" ref="B771">IF(D771="","",IFERROR(VALUE(INDEX(Vazoes_COLAR!$A$2:$A$200,INT((ROW()-24)/12)+1)),""))</f>
        <v/>
      </c>
      <c r="C771" s="29" t="str">
        <f t="shared" si="2"/>
        <v/>
      </c>
      <c r="D771" s="26" t="str">
        <f t="array" ref="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71" s="26" t="str">
        <f t="shared" si="3"/>
        <v/>
      </c>
      <c r="F771" s="26" t="str">
        <f t="array" ref="F771">IF(D771="","",IFERROR(INDEX(Dados_Evap!$C$2:$N$15,MATCH($B$9,Dados_Evap!$A$2:$A$15,0),C771),0))</f>
        <v/>
      </c>
      <c r="G771" s="26" t="str">
        <f t="shared" si="4"/>
        <v/>
      </c>
      <c r="H771" s="26" t="str">
        <f t="shared" si="22"/>
        <v/>
      </c>
      <c r="I771" s="26" t="str">
        <f t="array" ref="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/>
      </c>
      <c r="J771" s="26" t="str">
        <f t="shared" si="5"/>
        <v/>
      </c>
      <c r="K771" s="26" t="str">
        <f t="shared" si="6"/>
        <v/>
      </c>
      <c r="L771" s="26" t="str">
        <f t="shared" si="7"/>
        <v/>
      </c>
      <c r="M771" s="26" t="str">
        <f t="array" ref="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/>
      </c>
      <c r="N771" s="26" t="str">
        <f t="shared" si="8"/>
        <v/>
      </c>
      <c r="O771" s="26" t="str">
        <f t="shared" si="9"/>
        <v/>
      </c>
      <c r="P771" s="26" t="str">
        <f t="shared" si="10"/>
        <v/>
      </c>
      <c r="Q771" s="26" t="str">
        <f t="shared" si="11"/>
        <v/>
      </c>
      <c r="R771" s="26" t="str">
        <f t="shared" si="12"/>
        <v/>
      </c>
      <c r="S771" s="26" t="str">
        <f t="shared" si="13"/>
        <v/>
      </c>
      <c r="T771" s="26" t="str">
        <f t="shared" si="14"/>
        <v/>
      </c>
      <c r="U771" s="26" t="str">
        <f t="shared" si="15"/>
        <v/>
      </c>
      <c r="V771" s="26" t="str">
        <f t="shared" si="16"/>
        <v/>
      </c>
      <c r="W771" s="26" t="str">
        <f t="shared" si="17"/>
        <v/>
      </c>
      <c r="X771" s="26" t="str">
        <f t="shared" si="18"/>
        <v/>
      </c>
      <c r="Y771" s="26" t="str">
        <f t="shared" si="19"/>
        <v/>
      </c>
      <c r="Z771" s="31" t="str">
        <f t="shared" si="20"/>
        <v/>
      </c>
      <c r="AA771" s="31" t="str">
        <f>IF(D771="","",IF(H771&lt;=$B$16,1,IF(H771&gt;=$B$17,$B$21,MATCH(H771,Aux_CAV!$A$2:$A$121,1))))</f>
        <v/>
      </c>
      <c r="AB771" s="31" t="str">
        <f>IF(D771="","",IF(L771&lt;=$B$16,1,IF(L771&gt;=$B$17,$B$21,MATCH(L771,Aux_CAV!$A$2:$A$121,1))))</f>
        <v/>
      </c>
      <c r="AC771" s="3" t="str">
        <f t="shared" si="21"/>
        <v/>
      </c>
    </row>
    <row r="772" ht="12.75" customHeight="1">
      <c r="A772" s="25" t="str">
        <f t="shared" si="1"/>
        <v/>
      </c>
      <c r="B772" s="29" t="str">
        <f t="array" ref="B772">IF(D772="","",IFERROR(VALUE(INDEX(Vazoes_COLAR!$A$2:$A$200,INT((ROW()-24)/12)+1)),""))</f>
        <v/>
      </c>
      <c r="C772" s="29" t="str">
        <f t="shared" si="2"/>
        <v/>
      </c>
      <c r="D772" s="26" t="str">
        <f t="array" ref="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72" s="26" t="str">
        <f t="shared" si="3"/>
        <v/>
      </c>
      <c r="F772" s="26" t="str">
        <f t="array" ref="F772">IF(D772="","",IFERROR(INDEX(Dados_Evap!$C$2:$N$15,MATCH($B$9,Dados_Evap!$A$2:$A$15,0),C772),0))</f>
        <v/>
      </c>
      <c r="G772" s="26" t="str">
        <f t="shared" si="4"/>
        <v/>
      </c>
      <c r="H772" s="26" t="str">
        <f t="shared" si="22"/>
        <v/>
      </c>
      <c r="I772" s="26" t="str">
        <f t="array" ref="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/>
      </c>
      <c r="J772" s="26" t="str">
        <f t="shared" si="5"/>
        <v/>
      </c>
      <c r="K772" s="26" t="str">
        <f t="shared" si="6"/>
        <v/>
      </c>
      <c r="L772" s="26" t="str">
        <f t="shared" si="7"/>
        <v/>
      </c>
      <c r="M772" s="26" t="str">
        <f t="array" ref="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/>
      </c>
      <c r="N772" s="26" t="str">
        <f t="shared" si="8"/>
        <v/>
      </c>
      <c r="O772" s="26" t="str">
        <f t="shared" si="9"/>
        <v/>
      </c>
      <c r="P772" s="26" t="str">
        <f t="shared" si="10"/>
        <v/>
      </c>
      <c r="Q772" s="26" t="str">
        <f t="shared" si="11"/>
        <v/>
      </c>
      <c r="R772" s="26" t="str">
        <f t="shared" si="12"/>
        <v/>
      </c>
      <c r="S772" s="26" t="str">
        <f t="shared" si="13"/>
        <v/>
      </c>
      <c r="T772" s="26" t="str">
        <f t="shared" si="14"/>
        <v/>
      </c>
      <c r="U772" s="26" t="str">
        <f t="shared" si="15"/>
        <v/>
      </c>
      <c r="V772" s="26" t="str">
        <f t="shared" si="16"/>
        <v/>
      </c>
      <c r="W772" s="26" t="str">
        <f t="shared" si="17"/>
        <v/>
      </c>
      <c r="X772" s="26" t="str">
        <f t="shared" si="18"/>
        <v/>
      </c>
      <c r="Y772" s="26" t="str">
        <f t="shared" si="19"/>
        <v/>
      </c>
      <c r="Z772" s="31" t="str">
        <f t="shared" si="20"/>
        <v/>
      </c>
      <c r="AA772" s="31" t="str">
        <f>IF(D772="","",IF(H772&lt;=$B$16,1,IF(H772&gt;=$B$17,$B$21,MATCH(H772,Aux_CAV!$A$2:$A$121,1))))</f>
        <v/>
      </c>
      <c r="AB772" s="31" t="str">
        <f>IF(D772="","",IF(L772&lt;=$B$16,1,IF(L772&gt;=$B$17,$B$21,MATCH(L772,Aux_CAV!$A$2:$A$121,1))))</f>
        <v/>
      </c>
      <c r="AC772" s="3" t="str">
        <f t="shared" si="21"/>
        <v/>
      </c>
    </row>
    <row r="773" ht="12.75" customHeight="1">
      <c r="A773" s="25" t="str">
        <f t="shared" si="1"/>
        <v/>
      </c>
      <c r="B773" s="29" t="str">
        <f t="array" ref="B773">IF(D773="","",IFERROR(VALUE(INDEX(Vazoes_COLAR!$A$2:$A$200,INT((ROW()-24)/12)+1)),""))</f>
        <v/>
      </c>
      <c r="C773" s="29" t="str">
        <f t="shared" si="2"/>
        <v/>
      </c>
      <c r="D773" s="26" t="str">
        <f t="array" ref="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73" s="26" t="str">
        <f t="shared" si="3"/>
        <v/>
      </c>
      <c r="F773" s="26" t="str">
        <f t="array" ref="F773">IF(D773="","",IFERROR(INDEX(Dados_Evap!$C$2:$N$15,MATCH($B$9,Dados_Evap!$A$2:$A$15,0),C773),0))</f>
        <v/>
      </c>
      <c r="G773" s="26" t="str">
        <f t="shared" si="4"/>
        <v/>
      </c>
      <c r="H773" s="26" t="str">
        <f t="shared" si="22"/>
        <v/>
      </c>
      <c r="I773" s="26" t="str">
        <f t="array" ref="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/>
      </c>
      <c r="J773" s="26" t="str">
        <f t="shared" si="5"/>
        <v/>
      </c>
      <c r="K773" s="26" t="str">
        <f t="shared" si="6"/>
        <v/>
      </c>
      <c r="L773" s="26" t="str">
        <f t="shared" si="7"/>
        <v/>
      </c>
      <c r="M773" s="26" t="str">
        <f t="array" ref="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/>
      </c>
      <c r="N773" s="26" t="str">
        <f t="shared" si="8"/>
        <v/>
      </c>
      <c r="O773" s="26" t="str">
        <f t="shared" si="9"/>
        <v/>
      </c>
      <c r="P773" s="26" t="str">
        <f t="shared" si="10"/>
        <v/>
      </c>
      <c r="Q773" s="26" t="str">
        <f t="shared" si="11"/>
        <v/>
      </c>
      <c r="R773" s="26" t="str">
        <f t="shared" si="12"/>
        <v/>
      </c>
      <c r="S773" s="26" t="str">
        <f t="shared" si="13"/>
        <v/>
      </c>
      <c r="T773" s="26" t="str">
        <f t="shared" si="14"/>
        <v/>
      </c>
      <c r="U773" s="26" t="str">
        <f t="shared" si="15"/>
        <v/>
      </c>
      <c r="V773" s="26" t="str">
        <f t="shared" si="16"/>
        <v/>
      </c>
      <c r="W773" s="26" t="str">
        <f t="shared" si="17"/>
        <v/>
      </c>
      <c r="X773" s="26" t="str">
        <f t="shared" si="18"/>
        <v/>
      </c>
      <c r="Y773" s="26" t="str">
        <f t="shared" si="19"/>
        <v/>
      </c>
      <c r="Z773" s="31" t="str">
        <f t="shared" si="20"/>
        <v/>
      </c>
      <c r="AA773" s="31" t="str">
        <f>IF(D773="","",IF(H773&lt;=$B$16,1,IF(H773&gt;=$B$17,$B$21,MATCH(H773,Aux_CAV!$A$2:$A$121,1))))</f>
        <v/>
      </c>
      <c r="AB773" s="31" t="str">
        <f>IF(D773="","",IF(L773&lt;=$B$16,1,IF(L773&gt;=$B$17,$B$21,MATCH(L773,Aux_CAV!$A$2:$A$121,1))))</f>
        <v/>
      </c>
      <c r="AC773" s="3" t="str">
        <f t="shared" si="21"/>
        <v/>
      </c>
    </row>
    <row r="774" ht="12.75" customHeight="1">
      <c r="A774" s="25" t="str">
        <f t="shared" si="1"/>
        <v/>
      </c>
      <c r="B774" s="29" t="str">
        <f t="array" ref="B774">IF(D774="","",IFERROR(VALUE(INDEX(Vazoes_COLAR!$A$2:$A$200,INT((ROW()-24)/12)+1)),""))</f>
        <v/>
      </c>
      <c r="C774" s="29" t="str">
        <f t="shared" si="2"/>
        <v/>
      </c>
      <c r="D774" s="26" t="str">
        <f t="array" ref="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74" s="26" t="str">
        <f t="shared" si="3"/>
        <v/>
      </c>
      <c r="F774" s="26" t="str">
        <f t="array" ref="F774">IF(D774="","",IFERROR(INDEX(Dados_Evap!$C$2:$N$15,MATCH($B$9,Dados_Evap!$A$2:$A$15,0),C774),0))</f>
        <v/>
      </c>
      <c r="G774" s="26" t="str">
        <f t="shared" si="4"/>
        <v/>
      </c>
      <c r="H774" s="26" t="str">
        <f t="shared" si="22"/>
        <v/>
      </c>
      <c r="I774" s="26" t="str">
        <f t="array" ref="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/>
      </c>
      <c r="J774" s="26" t="str">
        <f t="shared" si="5"/>
        <v/>
      </c>
      <c r="K774" s="26" t="str">
        <f t="shared" si="6"/>
        <v/>
      </c>
      <c r="L774" s="26" t="str">
        <f t="shared" si="7"/>
        <v/>
      </c>
      <c r="M774" s="26" t="str">
        <f t="array" ref="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/>
      </c>
      <c r="N774" s="26" t="str">
        <f t="shared" si="8"/>
        <v/>
      </c>
      <c r="O774" s="26" t="str">
        <f t="shared" si="9"/>
        <v/>
      </c>
      <c r="P774" s="26" t="str">
        <f t="shared" si="10"/>
        <v/>
      </c>
      <c r="Q774" s="26" t="str">
        <f t="shared" si="11"/>
        <v/>
      </c>
      <c r="R774" s="26" t="str">
        <f t="shared" si="12"/>
        <v/>
      </c>
      <c r="S774" s="26" t="str">
        <f t="shared" si="13"/>
        <v/>
      </c>
      <c r="T774" s="26" t="str">
        <f t="shared" si="14"/>
        <v/>
      </c>
      <c r="U774" s="26" t="str">
        <f t="shared" si="15"/>
        <v/>
      </c>
      <c r="V774" s="26" t="str">
        <f t="shared" si="16"/>
        <v/>
      </c>
      <c r="W774" s="26" t="str">
        <f t="shared" si="17"/>
        <v/>
      </c>
      <c r="X774" s="26" t="str">
        <f t="shared" si="18"/>
        <v/>
      </c>
      <c r="Y774" s="26" t="str">
        <f t="shared" si="19"/>
        <v/>
      </c>
      <c r="Z774" s="31" t="str">
        <f t="shared" si="20"/>
        <v/>
      </c>
      <c r="AA774" s="31" t="str">
        <f>IF(D774="","",IF(H774&lt;=$B$16,1,IF(H774&gt;=$B$17,$B$21,MATCH(H774,Aux_CAV!$A$2:$A$121,1))))</f>
        <v/>
      </c>
      <c r="AB774" s="31" t="str">
        <f>IF(D774="","",IF(L774&lt;=$B$16,1,IF(L774&gt;=$B$17,$B$21,MATCH(L774,Aux_CAV!$A$2:$A$121,1))))</f>
        <v/>
      </c>
      <c r="AC774" s="3" t="str">
        <f t="shared" si="21"/>
        <v/>
      </c>
    </row>
    <row r="775" ht="12.75" customHeight="1">
      <c r="A775" s="25" t="str">
        <f t="shared" si="1"/>
        <v/>
      </c>
      <c r="B775" s="29" t="str">
        <f t="array" ref="B775">IF(D775="","",IFERROR(VALUE(INDEX(Vazoes_COLAR!$A$2:$A$200,INT((ROW()-24)/12)+1)),""))</f>
        <v/>
      </c>
      <c r="C775" s="29" t="str">
        <f t="shared" si="2"/>
        <v/>
      </c>
      <c r="D775" s="26" t="str">
        <f t="array" ref="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75" s="26" t="str">
        <f t="shared" si="3"/>
        <v/>
      </c>
      <c r="F775" s="26" t="str">
        <f t="array" ref="F775">IF(D775="","",IFERROR(INDEX(Dados_Evap!$C$2:$N$15,MATCH($B$9,Dados_Evap!$A$2:$A$15,0),C775),0))</f>
        <v/>
      </c>
      <c r="G775" s="26" t="str">
        <f t="shared" si="4"/>
        <v/>
      </c>
      <c r="H775" s="26" t="str">
        <f t="shared" si="22"/>
        <v/>
      </c>
      <c r="I775" s="26" t="str">
        <f t="array" ref="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/>
      </c>
      <c r="J775" s="26" t="str">
        <f t="shared" si="5"/>
        <v/>
      </c>
      <c r="K775" s="26" t="str">
        <f t="shared" si="6"/>
        <v/>
      </c>
      <c r="L775" s="26" t="str">
        <f t="shared" si="7"/>
        <v/>
      </c>
      <c r="M775" s="26" t="str">
        <f t="array" ref="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/>
      </c>
      <c r="N775" s="26" t="str">
        <f t="shared" si="8"/>
        <v/>
      </c>
      <c r="O775" s="26" t="str">
        <f t="shared" si="9"/>
        <v/>
      </c>
      <c r="P775" s="26" t="str">
        <f t="shared" si="10"/>
        <v/>
      </c>
      <c r="Q775" s="26" t="str">
        <f t="shared" si="11"/>
        <v/>
      </c>
      <c r="R775" s="26" t="str">
        <f t="shared" si="12"/>
        <v/>
      </c>
      <c r="S775" s="26" t="str">
        <f t="shared" si="13"/>
        <v/>
      </c>
      <c r="T775" s="26" t="str">
        <f t="shared" si="14"/>
        <v/>
      </c>
      <c r="U775" s="26" t="str">
        <f t="shared" si="15"/>
        <v/>
      </c>
      <c r="V775" s="26" t="str">
        <f t="shared" si="16"/>
        <v/>
      </c>
      <c r="W775" s="26" t="str">
        <f t="shared" si="17"/>
        <v/>
      </c>
      <c r="X775" s="26" t="str">
        <f t="shared" si="18"/>
        <v/>
      </c>
      <c r="Y775" s="26" t="str">
        <f t="shared" si="19"/>
        <v/>
      </c>
      <c r="Z775" s="31" t="str">
        <f t="shared" si="20"/>
        <v/>
      </c>
      <c r="AA775" s="31" t="str">
        <f>IF(D775="","",IF(H775&lt;=$B$16,1,IF(H775&gt;=$B$17,$B$21,MATCH(H775,Aux_CAV!$A$2:$A$121,1))))</f>
        <v/>
      </c>
      <c r="AB775" s="31" t="str">
        <f>IF(D775="","",IF(L775&lt;=$B$16,1,IF(L775&gt;=$B$17,$B$21,MATCH(L775,Aux_CAV!$A$2:$A$121,1))))</f>
        <v/>
      </c>
      <c r="AC775" s="3" t="str">
        <f t="shared" si="21"/>
        <v/>
      </c>
    </row>
    <row r="776" ht="12.75" customHeight="1">
      <c r="A776" s="25" t="str">
        <f t="shared" si="1"/>
        <v/>
      </c>
      <c r="B776" s="29" t="str">
        <f t="array" ref="B776">IF(D776="","",IFERROR(VALUE(INDEX(Vazoes_COLAR!$A$2:$A$200,INT((ROW()-24)/12)+1)),""))</f>
        <v/>
      </c>
      <c r="C776" s="29" t="str">
        <f t="shared" si="2"/>
        <v/>
      </c>
      <c r="D776" s="26" t="str">
        <f t="array" ref="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76" s="26" t="str">
        <f t="shared" si="3"/>
        <v/>
      </c>
      <c r="F776" s="26" t="str">
        <f t="array" ref="F776">IF(D776="","",IFERROR(INDEX(Dados_Evap!$C$2:$N$15,MATCH($B$9,Dados_Evap!$A$2:$A$15,0),C776),0))</f>
        <v/>
      </c>
      <c r="G776" s="26" t="str">
        <f t="shared" si="4"/>
        <v/>
      </c>
      <c r="H776" s="26" t="str">
        <f t="shared" si="22"/>
        <v/>
      </c>
      <c r="I776" s="26" t="str">
        <f t="array" ref="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/>
      </c>
      <c r="J776" s="26" t="str">
        <f t="shared" si="5"/>
        <v/>
      </c>
      <c r="K776" s="26" t="str">
        <f t="shared" si="6"/>
        <v/>
      </c>
      <c r="L776" s="26" t="str">
        <f t="shared" si="7"/>
        <v/>
      </c>
      <c r="M776" s="26" t="str">
        <f t="array" ref="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/>
      </c>
      <c r="N776" s="26" t="str">
        <f t="shared" si="8"/>
        <v/>
      </c>
      <c r="O776" s="26" t="str">
        <f t="shared" si="9"/>
        <v/>
      </c>
      <c r="P776" s="26" t="str">
        <f t="shared" si="10"/>
        <v/>
      </c>
      <c r="Q776" s="26" t="str">
        <f t="shared" si="11"/>
        <v/>
      </c>
      <c r="R776" s="26" t="str">
        <f t="shared" si="12"/>
        <v/>
      </c>
      <c r="S776" s="26" t="str">
        <f t="shared" si="13"/>
        <v/>
      </c>
      <c r="T776" s="26" t="str">
        <f t="shared" si="14"/>
        <v/>
      </c>
      <c r="U776" s="26" t="str">
        <f t="shared" si="15"/>
        <v/>
      </c>
      <c r="V776" s="26" t="str">
        <f t="shared" si="16"/>
        <v/>
      </c>
      <c r="W776" s="26" t="str">
        <f t="shared" si="17"/>
        <v/>
      </c>
      <c r="X776" s="26" t="str">
        <f t="shared" si="18"/>
        <v/>
      </c>
      <c r="Y776" s="26" t="str">
        <f t="shared" si="19"/>
        <v/>
      </c>
      <c r="Z776" s="31" t="str">
        <f t="shared" si="20"/>
        <v/>
      </c>
      <c r="AA776" s="31" t="str">
        <f>IF(D776="","",IF(H776&lt;=$B$16,1,IF(H776&gt;=$B$17,$B$21,MATCH(H776,Aux_CAV!$A$2:$A$121,1))))</f>
        <v/>
      </c>
      <c r="AB776" s="31" t="str">
        <f>IF(D776="","",IF(L776&lt;=$B$16,1,IF(L776&gt;=$B$17,$B$21,MATCH(L776,Aux_CAV!$A$2:$A$121,1))))</f>
        <v/>
      </c>
      <c r="AC776" s="3" t="str">
        <f t="shared" si="21"/>
        <v/>
      </c>
    </row>
    <row r="777" ht="12.75" customHeight="1">
      <c r="A777" s="25" t="str">
        <f t="shared" si="1"/>
        <v/>
      </c>
      <c r="B777" s="29" t="str">
        <f t="array" ref="B777">IF(D777="","",IFERROR(VALUE(INDEX(Vazoes_COLAR!$A$2:$A$200,INT((ROW()-24)/12)+1)),""))</f>
        <v/>
      </c>
      <c r="C777" s="29" t="str">
        <f t="shared" si="2"/>
        <v/>
      </c>
      <c r="D777" s="26" t="str">
        <f t="array" ref="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77" s="26" t="str">
        <f t="shared" si="3"/>
        <v/>
      </c>
      <c r="F777" s="26" t="str">
        <f t="array" ref="F777">IF(D777="","",IFERROR(INDEX(Dados_Evap!$C$2:$N$15,MATCH($B$9,Dados_Evap!$A$2:$A$15,0),C777),0))</f>
        <v/>
      </c>
      <c r="G777" s="26" t="str">
        <f t="shared" si="4"/>
        <v/>
      </c>
      <c r="H777" s="26" t="str">
        <f t="shared" si="22"/>
        <v/>
      </c>
      <c r="I777" s="26" t="str">
        <f t="array" ref="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/>
      </c>
      <c r="J777" s="26" t="str">
        <f t="shared" si="5"/>
        <v/>
      </c>
      <c r="K777" s="26" t="str">
        <f t="shared" si="6"/>
        <v/>
      </c>
      <c r="L777" s="26" t="str">
        <f t="shared" si="7"/>
        <v/>
      </c>
      <c r="M777" s="26" t="str">
        <f t="array" ref="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/>
      </c>
      <c r="N777" s="26" t="str">
        <f t="shared" si="8"/>
        <v/>
      </c>
      <c r="O777" s="26" t="str">
        <f t="shared" si="9"/>
        <v/>
      </c>
      <c r="P777" s="26" t="str">
        <f t="shared" si="10"/>
        <v/>
      </c>
      <c r="Q777" s="26" t="str">
        <f t="shared" si="11"/>
        <v/>
      </c>
      <c r="R777" s="26" t="str">
        <f t="shared" si="12"/>
        <v/>
      </c>
      <c r="S777" s="26" t="str">
        <f t="shared" si="13"/>
        <v/>
      </c>
      <c r="T777" s="26" t="str">
        <f t="shared" si="14"/>
        <v/>
      </c>
      <c r="U777" s="26" t="str">
        <f t="shared" si="15"/>
        <v/>
      </c>
      <c r="V777" s="26" t="str">
        <f t="shared" si="16"/>
        <v/>
      </c>
      <c r="W777" s="26" t="str">
        <f t="shared" si="17"/>
        <v/>
      </c>
      <c r="X777" s="26" t="str">
        <f t="shared" si="18"/>
        <v/>
      </c>
      <c r="Y777" s="26" t="str">
        <f t="shared" si="19"/>
        <v/>
      </c>
      <c r="Z777" s="31" t="str">
        <f t="shared" si="20"/>
        <v/>
      </c>
      <c r="AA777" s="31" t="str">
        <f>IF(D777="","",IF(H777&lt;=$B$16,1,IF(H777&gt;=$B$17,$B$21,MATCH(H777,Aux_CAV!$A$2:$A$121,1))))</f>
        <v/>
      </c>
      <c r="AB777" s="31" t="str">
        <f>IF(D777="","",IF(L777&lt;=$B$16,1,IF(L777&gt;=$B$17,$B$21,MATCH(L777,Aux_CAV!$A$2:$A$121,1))))</f>
        <v/>
      </c>
      <c r="AC777" s="3" t="str">
        <f t="shared" si="21"/>
        <v/>
      </c>
    </row>
    <row r="778" ht="12.75" customHeight="1">
      <c r="A778" s="25" t="str">
        <f t="shared" si="1"/>
        <v/>
      </c>
      <c r="B778" s="29" t="str">
        <f t="array" ref="B778">IF(D778="","",IFERROR(VALUE(INDEX(Vazoes_COLAR!$A$2:$A$200,INT((ROW()-24)/12)+1)),""))</f>
        <v/>
      </c>
      <c r="C778" s="29" t="str">
        <f t="shared" si="2"/>
        <v/>
      </c>
      <c r="D778" s="26" t="str">
        <f t="array" ref="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78" s="26" t="str">
        <f t="shared" si="3"/>
        <v/>
      </c>
      <c r="F778" s="26" t="str">
        <f t="array" ref="F778">IF(D778="","",IFERROR(INDEX(Dados_Evap!$C$2:$N$15,MATCH($B$9,Dados_Evap!$A$2:$A$15,0),C778),0))</f>
        <v/>
      </c>
      <c r="G778" s="26" t="str">
        <f t="shared" si="4"/>
        <v/>
      </c>
      <c r="H778" s="26" t="str">
        <f t="shared" si="22"/>
        <v/>
      </c>
      <c r="I778" s="26" t="str">
        <f t="array" ref="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/>
      </c>
      <c r="J778" s="26" t="str">
        <f t="shared" si="5"/>
        <v/>
      </c>
      <c r="K778" s="26" t="str">
        <f t="shared" si="6"/>
        <v/>
      </c>
      <c r="L778" s="26" t="str">
        <f t="shared" si="7"/>
        <v/>
      </c>
      <c r="M778" s="26" t="str">
        <f t="array" ref="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/>
      </c>
      <c r="N778" s="26" t="str">
        <f t="shared" si="8"/>
        <v/>
      </c>
      <c r="O778" s="26" t="str">
        <f t="shared" si="9"/>
        <v/>
      </c>
      <c r="P778" s="26" t="str">
        <f t="shared" si="10"/>
        <v/>
      </c>
      <c r="Q778" s="26" t="str">
        <f t="shared" si="11"/>
        <v/>
      </c>
      <c r="R778" s="26" t="str">
        <f t="shared" si="12"/>
        <v/>
      </c>
      <c r="S778" s="26" t="str">
        <f t="shared" si="13"/>
        <v/>
      </c>
      <c r="T778" s="26" t="str">
        <f t="shared" si="14"/>
        <v/>
      </c>
      <c r="U778" s="26" t="str">
        <f t="shared" si="15"/>
        <v/>
      </c>
      <c r="V778" s="26" t="str">
        <f t="shared" si="16"/>
        <v/>
      </c>
      <c r="W778" s="26" t="str">
        <f t="shared" si="17"/>
        <v/>
      </c>
      <c r="X778" s="26" t="str">
        <f t="shared" si="18"/>
        <v/>
      </c>
      <c r="Y778" s="26" t="str">
        <f t="shared" si="19"/>
        <v/>
      </c>
      <c r="Z778" s="31" t="str">
        <f t="shared" si="20"/>
        <v/>
      </c>
      <c r="AA778" s="31" t="str">
        <f>IF(D778="","",IF(H778&lt;=$B$16,1,IF(H778&gt;=$B$17,$B$21,MATCH(H778,Aux_CAV!$A$2:$A$121,1))))</f>
        <v/>
      </c>
      <c r="AB778" s="31" t="str">
        <f>IF(D778="","",IF(L778&lt;=$B$16,1,IF(L778&gt;=$B$17,$B$21,MATCH(L778,Aux_CAV!$A$2:$A$121,1))))</f>
        <v/>
      </c>
      <c r="AC778" s="3" t="str">
        <f t="shared" si="21"/>
        <v/>
      </c>
    </row>
    <row r="779" ht="12.75" customHeight="1">
      <c r="A779" s="25" t="str">
        <f t="shared" si="1"/>
        <v/>
      </c>
      <c r="B779" s="29" t="str">
        <f t="array" ref="B779">IF(D779="","",IFERROR(VALUE(INDEX(Vazoes_COLAR!$A$2:$A$200,INT((ROW()-24)/12)+1)),""))</f>
        <v/>
      </c>
      <c r="C779" s="29" t="str">
        <f t="shared" si="2"/>
        <v/>
      </c>
      <c r="D779" s="26" t="str">
        <f t="array" ref="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79" s="26" t="str">
        <f t="shared" si="3"/>
        <v/>
      </c>
      <c r="F779" s="26" t="str">
        <f t="array" ref="F779">IF(D779="","",IFERROR(INDEX(Dados_Evap!$C$2:$N$15,MATCH($B$9,Dados_Evap!$A$2:$A$15,0),C779),0))</f>
        <v/>
      </c>
      <c r="G779" s="26" t="str">
        <f t="shared" si="4"/>
        <v/>
      </c>
      <c r="H779" s="26" t="str">
        <f t="shared" si="22"/>
        <v/>
      </c>
      <c r="I779" s="26" t="str">
        <f t="array" ref="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/>
      </c>
      <c r="J779" s="26" t="str">
        <f t="shared" si="5"/>
        <v/>
      </c>
      <c r="K779" s="26" t="str">
        <f t="shared" si="6"/>
        <v/>
      </c>
      <c r="L779" s="26" t="str">
        <f t="shared" si="7"/>
        <v/>
      </c>
      <c r="M779" s="26" t="str">
        <f t="array" ref="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/>
      </c>
      <c r="N779" s="26" t="str">
        <f t="shared" si="8"/>
        <v/>
      </c>
      <c r="O779" s="26" t="str">
        <f t="shared" si="9"/>
        <v/>
      </c>
      <c r="P779" s="26" t="str">
        <f t="shared" si="10"/>
        <v/>
      </c>
      <c r="Q779" s="26" t="str">
        <f t="shared" si="11"/>
        <v/>
      </c>
      <c r="R779" s="26" t="str">
        <f t="shared" si="12"/>
        <v/>
      </c>
      <c r="S779" s="26" t="str">
        <f t="shared" si="13"/>
        <v/>
      </c>
      <c r="T779" s="26" t="str">
        <f t="shared" si="14"/>
        <v/>
      </c>
      <c r="U779" s="26" t="str">
        <f t="shared" si="15"/>
        <v/>
      </c>
      <c r="V779" s="26" t="str">
        <f t="shared" si="16"/>
        <v/>
      </c>
      <c r="W779" s="26" t="str">
        <f t="shared" si="17"/>
        <v/>
      </c>
      <c r="X779" s="26" t="str">
        <f t="shared" si="18"/>
        <v/>
      </c>
      <c r="Y779" s="26" t="str">
        <f t="shared" si="19"/>
        <v/>
      </c>
      <c r="Z779" s="31" t="str">
        <f t="shared" si="20"/>
        <v/>
      </c>
      <c r="AA779" s="31" t="str">
        <f>IF(D779="","",IF(H779&lt;=$B$16,1,IF(H779&gt;=$B$17,$B$21,MATCH(H779,Aux_CAV!$A$2:$A$121,1))))</f>
        <v/>
      </c>
      <c r="AB779" s="31" t="str">
        <f>IF(D779="","",IF(L779&lt;=$B$16,1,IF(L779&gt;=$B$17,$B$21,MATCH(L779,Aux_CAV!$A$2:$A$121,1))))</f>
        <v/>
      </c>
      <c r="AC779" s="3" t="str">
        <f t="shared" si="21"/>
        <v/>
      </c>
    </row>
    <row r="780" ht="12.75" customHeight="1">
      <c r="A780" s="25" t="str">
        <f t="shared" si="1"/>
        <v/>
      </c>
      <c r="B780" s="29" t="str">
        <f t="array" ref="B780">IF(D780="","",IFERROR(VALUE(INDEX(Vazoes_COLAR!$A$2:$A$200,INT((ROW()-24)/12)+1)),""))</f>
        <v/>
      </c>
      <c r="C780" s="29" t="str">
        <f t="shared" si="2"/>
        <v/>
      </c>
      <c r="D780" s="26" t="str">
        <f t="array" ref="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80" s="26" t="str">
        <f t="shared" si="3"/>
        <v/>
      </c>
      <c r="F780" s="26" t="str">
        <f t="array" ref="F780">IF(D780="","",IFERROR(INDEX(Dados_Evap!$C$2:$N$15,MATCH($B$9,Dados_Evap!$A$2:$A$15,0),C780),0))</f>
        <v/>
      </c>
      <c r="G780" s="26" t="str">
        <f t="shared" si="4"/>
        <v/>
      </c>
      <c r="H780" s="26" t="str">
        <f t="shared" si="22"/>
        <v/>
      </c>
      <c r="I780" s="26" t="str">
        <f t="array" ref="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/>
      </c>
      <c r="J780" s="26" t="str">
        <f t="shared" si="5"/>
        <v/>
      </c>
      <c r="K780" s="26" t="str">
        <f t="shared" si="6"/>
        <v/>
      </c>
      <c r="L780" s="26" t="str">
        <f t="shared" si="7"/>
        <v/>
      </c>
      <c r="M780" s="26" t="str">
        <f t="array" ref="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/>
      </c>
      <c r="N780" s="26" t="str">
        <f t="shared" si="8"/>
        <v/>
      </c>
      <c r="O780" s="26" t="str">
        <f t="shared" si="9"/>
        <v/>
      </c>
      <c r="P780" s="26" t="str">
        <f t="shared" si="10"/>
        <v/>
      </c>
      <c r="Q780" s="26" t="str">
        <f t="shared" si="11"/>
        <v/>
      </c>
      <c r="R780" s="26" t="str">
        <f t="shared" si="12"/>
        <v/>
      </c>
      <c r="S780" s="26" t="str">
        <f t="shared" si="13"/>
        <v/>
      </c>
      <c r="T780" s="26" t="str">
        <f t="shared" si="14"/>
        <v/>
      </c>
      <c r="U780" s="26" t="str">
        <f t="shared" si="15"/>
        <v/>
      </c>
      <c r="V780" s="26" t="str">
        <f t="shared" si="16"/>
        <v/>
      </c>
      <c r="W780" s="26" t="str">
        <f t="shared" si="17"/>
        <v/>
      </c>
      <c r="X780" s="26" t="str">
        <f t="shared" si="18"/>
        <v/>
      </c>
      <c r="Y780" s="26" t="str">
        <f t="shared" si="19"/>
        <v/>
      </c>
      <c r="Z780" s="31" t="str">
        <f t="shared" si="20"/>
        <v/>
      </c>
      <c r="AA780" s="31" t="str">
        <f>IF(D780="","",IF(H780&lt;=$B$16,1,IF(H780&gt;=$B$17,$B$21,MATCH(H780,Aux_CAV!$A$2:$A$121,1))))</f>
        <v/>
      </c>
      <c r="AB780" s="31" t="str">
        <f>IF(D780="","",IF(L780&lt;=$B$16,1,IF(L780&gt;=$B$17,$B$21,MATCH(L780,Aux_CAV!$A$2:$A$121,1))))</f>
        <v/>
      </c>
      <c r="AC780" s="3" t="str">
        <f t="shared" si="21"/>
        <v/>
      </c>
    </row>
    <row r="781" ht="12.75" customHeight="1">
      <c r="A781" s="25" t="str">
        <f t="shared" si="1"/>
        <v/>
      </c>
      <c r="B781" s="29" t="str">
        <f t="array" ref="B781">IF(D781="","",IFERROR(VALUE(INDEX(Vazoes_COLAR!$A$2:$A$200,INT((ROW()-24)/12)+1)),""))</f>
        <v/>
      </c>
      <c r="C781" s="29" t="str">
        <f t="shared" si="2"/>
        <v/>
      </c>
      <c r="D781" s="26" t="str">
        <f t="array" ref="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81" s="26" t="str">
        <f t="shared" si="3"/>
        <v/>
      </c>
      <c r="F781" s="26" t="str">
        <f t="array" ref="F781">IF(D781="","",IFERROR(INDEX(Dados_Evap!$C$2:$N$15,MATCH($B$9,Dados_Evap!$A$2:$A$15,0),C781),0))</f>
        <v/>
      </c>
      <c r="G781" s="26" t="str">
        <f t="shared" si="4"/>
        <v/>
      </c>
      <c r="H781" s="26" t="str">
        <f t="shared" si="22"/>
        <v/>
      </c>
      <c r="I781" s="26" t="str">
        <f t="array" ref="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/>
      </c>
      <c r="J781" s="26" t="str">
        <f t="shared" si="5"/>
        <v/>
      </c>
      <c r="K781" s="26" t="str">
        <f t="shared" si="6"/>
        <v/>
      </c>
      <c r="L781" s="26" t="str">
        <f t="shared" si="7"/>
        <v/>
      </c>
      <c r="M781" s="26" t="str">
        <f t="array" ref="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/>
      </c>
      <c r="N781" s="26" t="str">
        <f t="shared" si="8"/>
        <v/>
      </c>
      <c r="O781" s="26" t="str">
        <f t="shared" si="9"/>
        <v/>
      </c>
      <c r="P781" s="26" t="str">
        <f t="shared" si="10"/>
        <v/>
      </c>
      <c r="Q781" s="26" t="str">
        <f t="shared" si="11"/>
        <v/>
      </c>
      <c r="R781" s="26" t="str">
        <f t="shared" si="12"/>
        <v/>
      </c>
      <c r="S781" s="26" t="str">
        <f t="shared" si="13"/>
        <v/>
      </c>
      <c r="T781" s="26" t="str">
        <f t="shared" si="14"/>
        <v/>
      </c>
      <c r="U781" s="26" t="str">
        <f t="shared" si="15"/>
        <v/>
      </c>
      <c r="V781" s="26" t="str">
        <f t="shared" si="16"/>
        <v/>
      </c>
      <c r="W781" s="26" t="str">
        <f t="shared" si="17"/>
        <v/>
      </c>
      <c r="X781" s="26" t="str">
        <f t="shared" si="18"/>
        <v/>
      </c>
      <c r="Y781" s="26" t="str">
        <f t="shared" si="19"/>
        <v/>
      </c>
      <c r="Z781" s="31" t="str">
        <f t="shared" si="20"/>
        <v/>
      </c>
      <c r="AA781" s="31" t="str">
        <f>IF(D781="","",IF(H781&lt;=$B$16,1,IF(H781&gt;=$B$17,$B$21,MATCH(H781,Aux_CAV!$A$2:$A$121,1))))</f>
        <v/>
      </c>
      <c r="AB781" s="31" t="str">
        <f>IF(D781="","",IF(L781&lt;=$B$16,1,IF(L781&gt;=$B$17,$B$21,MATCH(L781,Aux_CAV!$A$2:$A$121,1))))</f>
        <v/>
      </c>
      <c r="AC781" s="3" t="str">
        <f t="shared" si="21"/>
        <v/>
      </c>
    </row>
    <row r="782" ht="12.75" customHeight="1">
      <c r="A782" s="25" t="str">
        <f t="shared" si="1"/>
        <v/>
      </c>
      <c r="B782" s="29" t="str">
        <f t="array" ref="B782">IF(D782="","",IFERROR(VALUE(INDEX(Vazoes_COLAR!$A$2:$A$200,INT((ROW()-24)/12)+1)),""))</f>
        <v/>
      </c>
      <c r="C782" s="29" t="str">
        <f t="shared" si="2"/>
        <v/>
      </c>
      <c r="D782" s="26" t="str">
        <f t="array" ref="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82" s="26" t="str">
        <f t="shared" si="3"/>
        <v/>
      </c>
      <c r="F782" s="26" t="str">
        <f t="array" ref="F782">IF(D782="","",IFERROR(INDEX(Dados_Evap!$C$2:$N$15,MATCH($B$9,Dados_Evap!$A$2:$A$15,0),C782),0))</f>
        <v/>
      </c>
      <c r="G782" s="26" t="str">
        <f t="shared" si="4"/>
        <v/>
      </c>
      <c r="H782" s="26" t="str">
        <f t="shared" si="22"/>
        <v/>
      </c>
      <c r="I782" s="26" t="str">
        <f t="array" ref="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/>
      </c>
      <c r="J782" s="26" t="str">
        <f t="shared" si="5"/>
        <v/>
      </c>
      <c r="K782" s="26" t="str">
        <f t="shared" si="6"/>
        <v/>
      </c>
      <c r="L782" s="26" t="str">
        <f t="shared" si="7"/>
        <v/>
      </c>
      <c r="M782" s="26" t="str">
        <f t="array" ref="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/>
      </c>
      <c r="N782" s="26" t="str">
        <f t="shared" si="8"/>
        <v/>
      </c>
      <c r="O782" s="26" t="str">
        <f t="shared" si="9"/>
        <v/>
      </c>
      <c r="P782" s="26" t="str">
        <f t="shared" si="10"/>
        <v/>
      </c>
      <c r="Q782" s="26" t="str">
        <f t="shared" si="11"/>
        <v/>
      </c>
      <c r="R782" s="26" t="str">
        <f t="shared" si="12"/>
        <v/>
      </c>
      <c r="S782" s="26" t="str">
        <f t="shared" si="13"/>
        <v/>
      </c>
      <c r="T782" s="26" t="str">
        <f t="shared" si="14"/>
        <v/>
      </c>
      <c r="U782" s="26" t="str">
        <f t="shared" si="15"/>
        <v/>
      </c>
      <c r="V782" s="26" t="str">
        <f t="shared" si="16"/>
        <v/>
      </c>
      <c r="W782" s="26" t="str">
        <f t="shared" si="17"/>
        <v/>
      </c>
      <c r="X782" s="26" t="str">
        <f t="shared" si="18"/>
        <v/>
      </c>
      <c r="Y782" s="26" t="str">
        <f t="shared" si="19"/>
        <v/>
      </c>
      <c r="Z782" s="31" t="str">
        <f t="shared" si="20"/>
        <v/>
      </c>
      <c r="AA782" s="31" t="str">
        <f>IF(D782="","",IF(H782&lt;=$B$16,1,IF(H782&gt;=$B$17,$B$21,MATCH(H782,Aux_CAV!$A$2:$A$121,1))))</f>
        <v/>
      </c>
      <c r="AB782" s="31" t="str">
        <f>IF(D782="","",IF(L782&lt;=$B$16,1,IF(L782&gt;=$B$17,$B$21,MATCH(L782,Aux_CAV!$A$2:$A$121,1))))</f>
        <v/>
      </c>
      <c r="AC782" s="3" t="str">
        <f t="shared" si="21"/>
        <v/>
      </c>
    </row>
    <row r="783" ht="12.75" customHeight="1">
      <c r="A783" s="25" t="str">
        <f t="shared" si="1"/>
        <v/>
      </c>
      <c r="B783" s="29" t="str">
        <f t="array" ref="B783">IF(D783="","",IFERROR(VALUE(INDEX(Vazoes_COLAR!$A$2:$A$200,INT((ROW()-24)/12)+1)),""))</f>
        <v/>
      </c>
      <c r="C783" s="29" t="str">
        <f t="shared" si="2"/>
        <v/>
      </c>
      <c r="D783" s="26" t="str">
        <f t="array" ref="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83" s="26" t="str">
        <f t="shared" si="3"/>
        <v/>
      </c>
      <c r="F783" s="26" t="str">
        <f t="array" ref="F783">IF(D783="","",IFERROR(INDEX(Dados_Evap!$C$2:$N$15,MATCH($B$9,Dados_Evap!$A$2:$A$15,0),C783),0))</f>
        <v/>
      </c>
      <c r="G783" s="26" t="str">
        <f t="shared" si="4"/>
        <v/>
      </c>
      <c r="H783" s="26" t="str">
        <f t="shared" si="22"/>
        <v/>
      </c>
      <c r="I783" s="26" t="str">
        <f t="array" ref="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/>
      </c>
      <c r="J783" s="26" t="str">
        <f t="shared" si="5"/>
        <v/>
      </c>
      <c r="K783" s="26" t="str">
        <f t="shared" si="6"/>
        <v/>
      </c>
      <c r="L783" s="26" t="str">
        <f t="shared" si="7"/>
        <v/>
      </c>
      <c r="M783" s="26" t="str">
        <f t="array" ref="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/>
      </c>
      <c r="N783" s="26" t="str">
        <f t="shared" si="8"/>
        <v/>
      </c>
      <c r="O783" s="26" t="str">
        <f t="shared" si="9"/>
        <v/>
      </c>
      <c r="P783" s="26" t="str">
        <f t="shared" si="10"/>
        <v/>
      </c>
      <c r="Q783" s="26" t="str">
        <f t="shared" si="11"/>
        <v/>
      </c>
      <c r="R783" s="26" t="str">
        <f t="shared" si="12"/>
        <v/>
      </c>
      <c r="S783" s="26" t="str">
        <f t="shared" si="13"/>
        <v/>
      </c>
      <c r="T783" s="26" t="str">
        <f t="shared" si="14"/>
        <v/>
      </c>
      <c r="U783" s="26" t="str">
        <f t="shared" si="15"/>
        <v/>
      </c>
      <c r="V783" s="26" t="str">
        <f t="shared" si="16"/>
        <v/>
      </c>
      <c r="W783" s="26" t="str">
        <f t="shared" si="17"/>
        <v/>
      </c>
      <c r="X783" s="26" t="str">
        <f t="shared" si="18"/>
        <v/>
      </c>
      <c r="Y783" s="26" t="str">
        <f t="shared" si="19"/>
        <v/>
      </c>
      <c r="Z783" s="31" t="str">
        <f t="shared" si="20"/>
        <v/>
      </c>
      <c r="AA783" s="31" t="str">
        <f>IF(D783="","",IF(H783&lt;=$B$16,1,IF(H783&gt;=$B$17,$B$21,MATCH(H783,Aux_CAV!$A$2:$A$121,1))))</f>
        <v/>
      </c>
      <c r="AB783" s="31" t="str">
        <f>IF(D783="","",IF(L783&lt;=$B$16,1,IF(L783&gt;=$B$17,$B$21,MATCH(L783,Aux_CAV!$A$2:$A$121,1))))</f>
        <v/>
      </c>
      <c r="AC783" s="3" t="str">
        <f t="shared" si="21"/>
        <v/>
      </c>
    </row>
    <row r="784" ht="12.75" customHeight="1">
      <c r="A784" s="25" t="str">
        <f t="shared" si="1"/>
        <v/>
      </c>
      <c r="B784" s="29" t="str">
        <f t="array" ref="B784">IF(D784="","",IFERROR(VALUE(INDEX(Vazoes_COLAR!$A$2:$A$200,INT((ROW()-24)/12)+1)),""))</f>
        <v/>
      </c>
      <c r="C784" s="29" t="str">
        <f t="shared" si="2"/>
        <v/>
      </c>
      <c r="D784" s="26" t="str">
        <f t="array" ref="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84" s="26" t="str">
        <f t="shared" si="3"/>
        <v/>
      </c>
      <c r="F784" s="26" t="str">
        <f t="array" ref="F784">IF(D784="","",IFERROR(INDEX(Dados_Evap!$C$2:$N$15,MATCH($B$9,Dados_Evap!$A$2:$A$15,0),C784),0))</f>
        <v/>
      </c>
      <c r="G784" s="26" t="str">
        <f t="shared" si="4"/>
        <v/>
      </c>
      <c r="H784" s="26" t="str">
        <f t="shared" si="22"/>
        <v/>
      </c>
      <c r="I784" s="26" t="str">
        <f t="array" ref="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/>
      </c>
      <c r="J784" s="26" t="str">
        <f t="shared" si="5"/>
        <v/>
      </c>
      <c r="K784" s="26" t="str">
        <f t="shared" si="6"/>
        <v/>
      </c>
      <c r="L784" s="26" t="str">
        <f t="shared" si="7"/>
        <v/>
      </c>
      <c r="M784" s="26" t="str">
        <f t="array" ref="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/>
      </c>
      <c r="N784" s="26" t="str">
        <f t="shared" si="8"/>
        <v/>
      </c>
      <c r="O784" s="26" t="str">
        <f t="shared" si="9"/>
        <v/>
      </c>
      <c r="P784" s="26" t="str">
        <f t="shared" si="10"/>
        <v/>
      </c>
      <c r="Q784" s="26" t="str">
        <f t="shared" si="11"/>
        <v/>
      </c>
      <c r="R784" s="26" t="str">
        <f t="shared" si="12"/>
        <v/>
      </c>
      <c r="S784" s="26" t="str">
        <f t="shared" si="13"/>
        <v/>
      </c>
      <c r="T784" s="26" t="str">
        <f t="shared" si="14"/>
        <v/>
      </c>
      <c r="U784" s="26" t="str">
        <f t="shared" si="15"/>
        <v/>
      </c>
      <c r="V784" s="26" t="str">
        <f t="shared" si="16"/>
        <v/>
      </c>
      <c r="W784" s="26" t="str">
        <f t="shared" si="17"/>
        <v/>
      </c>
      <c r="X784" s="26" t="str">
        <f t="shared" si="18"/>
        <v/>
      </c>
      <c r="Y784" s="26" t="str">
        <f t="shared" si="19"/>
        <v/>
      </c>
      <c r="Z784" s="31" t="str">
        <f t="shared" si="20"/>
        <v/>
      </c>
      <c r="AA784" s="31" t="str">
        <f>IF(D784="","",IF(H784&lt;=$B$16,1,IF(H784&gt;=$B$17,$B$21,MATCH(H784,Aux_CAV!$A$2:$A$121,1))))</f>
        <v/>
      </c>
      <c r="AB784" s="31" t="str">
        <f>IF(D784="","",IF(L784&lt;=$B$16,1,IF(L784&gt;=$B$17,$B$21,MATCH(L784,Aux_CAV!$A$2:$A$121,1))))</f>
        <v/>
      </c>
      <c r="AC784" s="3" t="str">
        <f t="shared" si="21"/>
        <v/>
      </c>
    </row>
    <row r="785" ht="12.75" customHeight="1">
      <c r="A785" s="25" t="str">
        <f t="shared" si="1"/>
        <v/>
      </c>
      <c r="B785" s="29" t="str">
        <f t="array" ref="B785">IF(D785="","",IFERROR(VALUE(INDEX(Vazoes_COLAR!$A$2:$A$200,INT((ROW()-24)/12)+1)),""))</f>
        <v/>
      </c>
      <c r="C785" s="29" t="str">
        <f t="shared" si="2"/>
        <v/>
      </c>
      <c r="D785" s="26" t="str">
        <f t="array" ref="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85" s="26" t="str">
        <f t="shared" si="3"/>
        <v/>
      </c>
      <c r="F785" s="26" t="str">
        <f t="array" ref="F785">IF(D785="","",IFERROR(INDEX(Dados_Evap!$C$2:$N$15,MATCH($B$9,Dados_Evap!$A$2:$A$15,0),C785),0))</f>
        <v/>
      </c>
      <c r="G785" s="26" t="str">
        <f t="shared" si="4"/>
        <v/>
      </c>
      <c r="H785" s="26" t="str">
        <f t="shared" si="22"/>
        <v/>
      </c>
      <c r="I785" s="26" t="str">
        <f t="array" ref="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/>
      </c>
      <c r="J785" s="26" t="str">
        <f t="shared" si="5"/>
        <v/>
      </c>
      <c r="K785" s="26" t="str">
        <f t="shared" si="6"/>
        <v/>
      </c>
      <c r="L785" s="26" t="str">
        <f t="shared" si="7"/>
        <v/>
      </c>
      <c r="M785" s="26" t="str">
        <f t="array" ref="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/>
      </c>
      <c r="N785" s="26" t="str">
        <f t="shared" si="8"/>
        <v/>
      </c>
      <c r="O785" s="26" t="str">
        <f t="shared" si="9"/>
        <v/>
      </c>
      <c r="P785" s="26" t="str">
        <f t="shared" si="10"/>
        <v/>
      </c>
      <c r="Q785" s="26" t="str">
        <f t="shared" si="11"/>
        <v/>
      </c>
      <c r="R785" s="26" t="str">
        <f t="shared" si="12"/>
        <v/>
      </c>
      <c r="S785" s="26" t="str">
        <f t="shared" si="13"/>
        <v/>
      </c>
      <c r="T785" s="26" t="str">
        <f t="shared" si="14"/>
        <v/>
      </c>
      <c r="U785" s="26" t="str">
        <f t="shared" si="15"/>
        <v/>
      </c>
      <c r="V785" s="26" t="str">
        <f t="shared" si="16"/>
        <v/>
      </c>
      <c r="W785" s="26" t="str">
        <f t="shared" si="17"/>
        <v/>
      </c>
      <c r="X785" s="26" t="str">
        <f t="shared" si="18"/>
        <v/>
      </c>
      <c r="Y785" s="26" t="str">
        <f t="shared" si="19"/>
        <v/>
      </c>
      <c r="Z785" s="31" t="str">
        <f t="shared" si="20"/>
        <v/>
      </c>
      <c r="AA785" s="31" t="str">
        <f>IF(D785="","",IF(H785&lt;=$B$16,1,IF(H785&gt;=$B$17,$B$21,MATCH(H785,Aux_CAV!$A$2:$A$121,1))))</f>
        <v/>
      </c>
      <c r="AB785" s="31" t="str">
        <f>IF(D785="","",IF(L785&lt;=$B$16,1,IF(L785&gt;=$B$17,$B$21,MATCH(L785,Aux_CAV!$A$2:$A$121,1))))</f>
        <v/>
      </c>
      <c r="AC785" s="3" t="str">
        <f t="shared" si="21"/>
        <v/>
      </c>
    </row>
    <row r="786" ht="12.75" customHeight="1">
      <c r="A786" s="25" t="str">
        <f t="shared" si="1"/>
        <v/>
      </c>
      <c r="B786" s="29" t="str">
        <f t="array" ref="B786">IF(D786="","",IFERROR(VALUE(INDEX(Vazoes_COLAR!$A$2:$A$200,INT((ROW()-24)/12)+1)),""))</f>
        <v/>
      </c>
      <c r="C786" s="29" t="str">
        <f t="shared" si="2"/>
        <v/>
      </c>
      <c r="D786" s="26" t="str">
        <f t="array" ref="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86" s="26" t="str">
        <f t="shared" si="3"/>
        <v/>
      </c>
      <c r="F786" s="26" t="str">
        <f t="array" ref="F786">IF(D786="","",IFERROR(INDEX(Dados_Evap!$C$2:$N$15,MATCH($B$9,Dados_Evap!$A$2:$A$15,0),C786),0))</f>
        <v/>
      </c>
      <c r="G786" s="26" t="str">
        <f t="shared" si="4"/>
        <v/>
      </c>
      <c r="H786" s="26" t="str">
        <f t="shared" si="22"/>
        <v/>
      </c>
      <c r="I786" s="26" t="str">
        <f t="array" ref="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/>
      </c>
      <c r="J786" s="26" t="str">
        <f t="shared" si="5"/>
        <v/>
      </c>
      <c r="K786" s="26" t="str">
        <f t="shared" si="6"/>
        <v/>
      </c>
      <c r="L786" s="26" t="str">
        <f t="shared" si="7"/>
        <v/>
      </c>
      <c r="M786" s="26" t="str">
        <f t="array" ref="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/>
      </c>
      <c r="N786" s="26" t="str">
        <f t="shared" si="8"/>
        <v/>
      </c>
      <c r="O786" s="26" t="str">
        <f t="shared" si="9"/>
        <v/>
      </c>
      <c r="P786" s="26" t="str">
        <f t="shared" si="10"/>
        <v/>
      </c>
      <c r="Q786" s="26" t="str">
        <f t="shared" si="11"/>
        <v/>
      </c>
      <c r="R786" s="26" t="str">
        <f t="shared" si="12"/>
        <v/>
      </c>
      <c r="S786" s="26" t="str">
        <f t="shared" si="13"/>
        <v/>
      </c>
      <c r="T786" s="26" t="str">
        <f t="shared" si="14"/>
        <v/>
      </c>
      <c r="U786" s="26" t="str">
        <f t="shared" si="15"/>
        <v/>
      </c>
      <c r="V786" s="26" t="str">
        <f t="shared" si="16"/>
        <v/>
      </c>
      <c r="W786" s="26" t="str">
        <f t="shared" si="17"/>
        <v/>
      </c>
      <c r="X786" s="26" t="str">
        <f t="shared" si="18"/>
        <v/>
      </c>
      <c r="Y786" s="26" t="str">
        <f t="shared" si="19"/>
        <v/>
      </c>
      <c r="Z786" s="31" t="str">
        <f t="shared" si="20"/>
        <v/>
      </c>
      <c r="AA786" s="31" t="str">
        <f>IF(D786="","",IF(H786&lt;=$B$16,1,IF(H786&gt;=$B$17,$B$21,MATCH(H786,Aux_CAV!$A$2:$A$121,1))))</f>
        <v/>
      </c>
      <c r="AB786" s="31" t="str">
        <f>IF(D786="","",IF(L786&lt;=$B$16,1,IF(L786&gt;=$B$17,$B$21,MATCH(L786,Aux_CAV!$A$2:$A$121,1))))</f>
        <v/>
      </c>
      <c r="AC786" s="3" t="str">
        <f t="shared" si="21"/>
        <v/>
      </c>
    </row>
    <row r="787" ht="12.75" customHeight="1">
      <c r="A787" s="25" t="str">
        <f t="shared" si="1"/>
        <v/>
      </c>
      <c r="B787" s="29" t="str">
        <f t="array" ref="B787">IF(D787="","",IFERROR(VALUE(INDEX(Vazoes_COLAR!$A$2:$A$200,INT((ROW()-24)/12)+1)),""))</f>
        <v/>
      </c>
      <c r="C787" s="29" t="str">
        <f t="shared" si="2"/>
        <v/>
      </c>
      <c r="D787" s="26" t="str">
        <f t="array" ref="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87" s="26" t="str">
        <f t="shared" si="3"/>
        <v/>
      </c>
      <c r="F787" s="26" t="str">
        <f t="array" ref="F787">IF(D787="","",IFERROR(INDEX(Dados_Evap!$C$2:$N$15,MATCH($B$9,Dados_Evap!$A$2:$A$15,0),C787),0))</f>
        <v/>
      </c>
      <c r="G787" s="26" t="str">
        <f t="shared" si="4"/>
        <v/>
      </c>
      <c r="H787" s="26" t="str">
        <f t="shared" si="22"/>
        <v/>
      </c>
      <c r="I787" s="26" t="str">
        <f t="array" ref="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/>
      </c>
      <c r="J787" s="26" t="str">
        <f t="shared" si="5"/>
        <v/>
      </c>
      <c r="K787" s="26" t="str">
        <f t="shared" si="6"/>
        <v/>
      </c>
      <c r="L787" s="26" t="str">
        <f t="shared" si="7"/>
        <v/>
      </c>
      <c r="M787" s="26" t="str">
        <f t="array" ref="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/>
      </c>
      <c r="N787" s="26" t="str">
        <f t="shared" si="8"/>
        <v/>
      </c>
      <c r="O787" s="26" t="str">
        <f t="shared" si="9"/>
        <v/>
      </c>
      <c r="P787" s="26" t="str">
        <f t="shared" si="10"/>
        <v/>
      </c>
      <c r="Q787" s="26" t="str">
        <f t="shared" si="11"/>
        <v/>
      </c>
      <c r="R787" s="26" t="str">
        <f t="shared" si="12"/>
        <v/>
      </c>
      <c r="S787" s="26" t="str">
        <f t="shared" si="13"/>
        <v/>
      </c>
      <c r="T787" s="26" t="str">
        <f t="shared" si="14"/>
        <v/>
      </c>
      <c r="U787" s="26" t="str">
        <f t="shared" si="15"/>
        <v/>
      </c>
      <c r="V787" s="26" t="str">
        <f t="shared" si="16"/>
        <v/>
      </c>
      <c r="W787" s="26" t="str">
        <f t="shared" si="17"/>
        <v/>
      </c>
      <c r="X787" s="26" t="str">
        <f t="shared" si="18"/>
        <v/>
      </c>
      <c r="Y787" s="26" t="str">
        <f t="shared" si="19"/>
        <v/>
      </c>
      <c r="Z787" s="31" t="str">
        <f t="shared" si="20"/>
        <v/>
      </c>
      <c r="AA787" s="31" t="str">
        <f>IF(D787="","",IF(H787&lt;=$B$16,1,IF(H787&gt;=$B$17,$B$21,MATCH(H787,Aux_CAV!$A$2:$A$121,1))))</f>
        <v/>
      </c>
      <c r="AB787" s="31" t="str">
        <f>IF(D787="","",IF(L787&lt;=$B$16,1,IF(L787&gt;=$B$17,$B$21,MATCH(L787,Aux_CAV!$A$2:$A$121,1))))</f>
        <v/>
      </c>
      <c r="AC787" s="3" t="str">
        <f t="shared" si="21"/>
        <v/>
      </c>
    </row>
    <row r="788" ht="12.75" customHeight="1">
      <c r="A788" s="25" t="str">
        <f t="shared" si="1"/>
        <v/>
      </c>
      <c r="B788" s="29" t="str">
        <f t="array" ref="B788">IF(D788="","",IFERROR(VALUE(INDEX(Vazoes_COLAR!$A$2:$A$200,INT((ROW()-24)/12)+1)),""))</f>
        <v/>
      </c>
      <c r="C788" s="29" t="str">
        <f t="shared" si="2"/>
        <v/>
      </c>
      <c r="D788" s="26" t="str">
        <f t="array" ref="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88" s="26" t="str">
        <f t="shared" si="3"/>
        <v/>
      </c>
      <c r="F788" s="26" t="str">
        <f t="array" ref="F788">IF(D788="","",IFERROR(INDEX(Dados_Evap!$C$2:$N$15,MATCH($B$9,Dados_Evap!$A$2:$A$15,0),C788),0))</f>
        <v/>
      </c>
      <c r="G788" s="26" t="str">
        <f t="shared" si="4"/>
        <v/>
      </c>
      <c r="H788" s="26" t="str">
        <f t="shared" si="22"/>
        <v/>
      </c>
      <c r="I788" s="26" t="str">
        <f t="array" ref="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/>
      </c>
      <c r="J788" s="26" t="str">
        <f t="shared" si="5"/>
        <v/>
      </c>
      <c r="K788" s="26" t="str">
        <f t="shared" si="6"/>
        <v/>
      </c>
      <c r="L788" s="26" t="str">
        <f t="shared" si="7"/>
        <v/>
      </c>
      <c r="M788" s="26" t="str">
        <f t="array" ref="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/>
      </c>
      <c r="N788" s="26" t="str">
        <f t="shared" si="8"/>
        <v/>
      </c>
      <c r="O788" s="26" t="str">
        <f t="shared" si="9"/>
        <v/>
      </c>
      <c r="P788" s="26" t="str">
        <f t="shared" si="10"/>
        <v/>
      </c>
      <c r="Q788" s="26" t="str">
        <f t="shared" si="11"/>
        <v/>
      </c>
      <c r="R788" s="26" t="str">
        <f t="shared" si="12"/>
        <v/>
      </c>
      <c r="S788" s="26" t="str">
        <f t="shared" si="13"/>
        <v/>
      </c>
      <c r="T788" s="26" t="str">
        <f t="shared" si="14"/>
        <v/>
      </c>
      <c r="U788" s="26" t="str">
        <f t="shared" si="15"/>
        <v/>
      </c>
      <c r="V788" s="26" t="str">
        <f t="shared" si="16"/>
        <v/>
      </c>
      <c r="W788" s="26" t="str">
        <f t="shared" si="17"/>
        <v/>
      </c>
      <c r="X788" s="26" t="str">
        <f t="shared" si="18"/>
        <v/>
      </c>
      <c r="Y788" s="26" t="str">
        <f t="shared" si="19"/>
        <v/>
      </c>
      <c r="Z788" s="31" t="str">
        <f t="shared" si="20"/>
        <v/>
      </c>
      <c r="AA788" s="31" t="str">
        <f>IF(D788="","",IF(H788&lt;=$B$16,1,IF(H788&gt;=$B$17,$B$21,MATCH(H788,Aux_CAV!$A$2:$A$121,1))))</f>
        <v/>
      </c>
      <c r="AB788" s="31" t="str">
        <f>IF(D788="","",IF(L788&lt;=$B$16,1,IF(L788&gt;=$B$17,$B$21,MATCH(L788,Aux_CAV!$A$2:$A$121,1))))</f>
        <v/>
      </c>
      <c r="AC788" s="3" t="str">
        <f t="shared" si="21"/>
        <v/>
      </c>
    </row>
    <row r="789" ht="12.75" customHeight="1">
      <c r="A789" s="25" t="str">
        <f t="shared" si="1"/>
        <v/>
      </c>
      <c r="B789" s="29" t="str">
        <f t="array" ref="B789">IF(D789="","",IFERROR(VALUE(INDEX(Vazoes_COLAR!$A$2:$A$200,INT((ROW()-24)/12)+1)),""))</f>
        <v/>
      </c>
      <c r="C789" s="29" t="str">
        <f t="shared" si="2"/>
        <v/>
      </c>
      <c r="D789" s="26" t="str">
        <f t="array" ref="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89" s="26" t="str">
        <f t="shared" si="3"/>
        <v/>
      </c>
      <c r="F789" s="26" t="str">
        <f t="array" ref="F789">IF(D789="","",IFERROR(INDEX(Dados_Evap!$C$2:$N$15,MATCH($B$9,Dados_Evap!$A$2:$A$15,0),C789),0))</f>
        <v/>
      </c>
      <c r="G789" s="26" t="str">
        <f t="shared" si="4"/>
        <v/>
      </c>
      <c r="H789" s="26" t="str">
        <f t="shared" si="22"/>
        <v/>
      </c>
      <c r="I789" s="26" t="str">
        <f t="array" ref="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/>
      </c>
      <c r="J789" s="26" t="str">
        <f t="shared" si="5"/>
        <v/>
      </c>
      <c r="K789" s="26" t="str">
        <f t="shared" si="6"/>
        <v/>
      </c>
      <c r="L789" s="26" t="str">
        <f t="shared" si="7"/>
        <v/>
      </c>
      <c r="M789" s="26" t="str">
        <f t="array" ref="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/>
      </c>
      <c r="N789" s="26" t="str">
        <f t="shared" si="8"/>
        <v/>
      </c>
      <c r="O789" s="26" t="str">
        <f t="shared" si="9"/>
        <v/>
      </c>
      <c r="P789" s="26" t="str">
        <f t="shared" si="10"/>
        <v/>
      </c>
      <c r="Q789" s="26" t="str">
        <f t="shared" si="11"/>
        <v/>
      </c>
      <c r="R789" s="26" t="str">
        <f t="shared" si="12"/>
        <v/>
      </c>
      <c r="S789" s="26" t="str">
        <f t="shared" si="13"/>
        <v/>
      </c>
      <c r="T789" s="26" t="str">
        <f t="shared" si="14"/>
        <v/>
      </c>
      <c r="U789" s="26" t="str">
        <f t="shared" si="15"/>
        <v/>
      </c>
      <c r="V789" s="26" t="str">
        <f t="shared" si="16"/>
        <v/>
      </c>
      <c r="W789" s="26" t="str">
        <f t="shared" si="17"/>
        <v/>
      </c>
      <c r="X789" s="26" t="str">
        <f t="shared" si="18"/>
        <v/>
      </c>
      <c r="Y789" s="26" t="str">
        <f t="shared" si="19"/>
        <v/>
      </c>
      <c r="Z789" s="31" t="str">
        <f t="shared" si="20"/>
        <v/>
      </c>
      <c r="AA789" s="31" t="str">
        <f>IF(D789="","",IF(H789&lt;=$B$16,1,IF(H789&gt;=$B$17,$B$21,MATCH(H789,Aux_CAV!$A$2:$A$121,1))))</f>
        <v/>
      </c>
      <c r="AB789" s="31" t="str">
        <f>IF(D789="","",IF(L789&lt;=$B$16,1,IF(L789&gt;=$B$17,$B$21,MATCH(L789,Aux_CAV!$A$2:$A$121,1))))</f>
        <v/>
      </c>
      <c r="AC789" s="3" t="str">
        <f t="shared" si="21"/>
        <v/>
      </c>
    </row>
    <row r="790" ht="12.75" customHeight="1">
      <c r="A790" s="25" t="str">
        <f t="shared" si="1"/>
        <v/>
      </c>
      <c r="B790" s="29" t="str">
        <f t="array" ref="B790">IF(D790="","",IFERROR(VALUE(INDEX(Vazoes_COLAR!$A$2:$A$200,INT((ROW()-24)/12)+1)),""))</f>
        <v/>
      </c>
      <c r="C790" s="29" t="str">
        <f t="shared" si="2"/>
        <v/>
      </c>
      <c r="D790" s="26" t="str">
        <f t="array" ref="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90" s="26" t="str">
        <f t="shared" si="3"/>
        <v/>
      </c>
      <c r="F790" s="26" t="str">
        <f t="array" ref="F790">IF(D790="","",IFERROR(INDEX(Dados_Evap!$C$2:$N$15,MATCH($B$9,Dados_Evap!$A$2:$A$15,0),C790),0))</f>
        <v/>
      </c>
      <c r="G790" s="26" t="str">
        <f t="shared" si="4"/>
        <v/>
      </c>
      <c r="H790" s="26" t="str">
        <f t="shared" si="22"/>
        <v/>
      </c>
      <c r="I790" s="26" t="str">
        <f t="array" ref="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/>
      </c>
      <c r="J790" s="26" t="str">
        <f t="shared" si="5"/>
        <v/>
      </c>
      <c r="K790" s="26" t="str">
        <f t="shared" si="6"/>
        <v/>
      </c>
      <c r="L790" s="26" t="str">
        <f t="shared" si="7"/>
        <v/>
      </c>
      <c r="M790" s="26" t="str">
        <f t="array" ref="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/>
      </c>
      <c r="N790" s="26" t="str">
        <f t="shared" si="8"/>
        <v/>
      </c>
      <c r="O790" s="26" t="str">
        <f t="shared" si="9"/>
        <v/>
      </c>
      <c r="P790" s="26" t="str">
        <f t="shared" si="10"/>
        <v/>
      </c>
      <c r="Q790" s="26" t="str">
        <f t="shared" si="11"/>
        <v/>
      </c>
      <c r="R790" s="26" t="str">
        <f t="shared" si="12"/>
        <v/>
      </c>
      <c r="S790" s="26" t="str">
        <f t="shared" si="13"/>
        <v/>
      </c>
      <c r="T790" s="26" t="str">
        <f t="shared" si="14"/>
        <v/>
      </c>
      <c r="U790" s="26" t="str">
        <f t="shared" si="15"/>
        <v/>
      </c>
      <c r="V790" s="26" t="str">
        <f t="shared" si="16"/>
        <v/>
      </c>
      <c r="W790" s="26" t="str">
        <f t="shared" si="17"/>
        <v/>
      </c>
      <c r="X790" s="26" t="str">
        <f t="shared" si="18"/>
        <v/>
      </c>
      <c r="Y790" s="26" t="str">
        <f t="shared" si="19"/>
        <v/>
      </c>
      <c r="Z790" s="31" t="str">
        <f t="shared" si="20"/>
        <v/>
      </c>
      <c r="AA790" s="31" t="str">
        <f>IF(D790="","",IF(H790&lt;=$B$16,1,IF(H790&gt;=$B$17,$B$21,MATCH(H790,Aux_CAV!$A$2:$A$121,1))))</f>
        <v/>
      </c>
      <c r="AB790" s="31" t="str">
        <f>IF(D790="","",IF(L790&lt;=$B$16,1,IF(L790&gt;=$B$17,$B$21,MATCH(L790,Aux_CAV!$A$2:$A$121,1))))</f>
        <v/>
      </c>
      <c r="AC790" s="3" t="str">
        <f t="shared" si="21"/>
        <v/>
      </c>
    </row>
    <row r="791" ht="12.75" customHeight="1">
      <c r="A791" s="25" t="str">
        <f t="shared" si="1"/>
        <v/>
      </c>
      <c r="B791" s="29" t="str">
        <f t="array" ref="B791">IF(D791="","",IFERROR(VALUE(INDEX(Vazoes_COLAR!$A$2:$A$200,INT((ROW()-24)/12)+1)),""))</f>
        <v/>
      </c>
      <c r="C791" s="29" t="str">
        <f t="shared" si="2"/>
        <v/>
      </c>
      <c r="D791" s="26" t="str">
        <f t="array" ref="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91" s="26" t="str">
        <f t="shared" si="3"/>
        <v/>
      </c>
      <c r="F791" s="26" t="str">
        <f t="array" ref="F791">IF(D791="","",IFERROR(INDEX(Dados_Evap!$C$2:$N$15,MATCH($B$9,Dados_Evap!$A$2:$A$15,0),C791),0))</f>
        <v/>
      </c>
      <c r="G791" s="26" t="str">
        <f t="shared" si="4"/>
        <v/>
      </c>
      <c r="H791" s="26" t="str">
        <f t="shared" si="22"/>
        <v/>
      </c>
      <c r="I791" s="26" t="str">
        <f t="array" ref="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/>
      </c>
      <c r="J791" s="26" t="str">
        <f t="shared" si="5"/>
        <v/>
      </c>
      <c r="K791" s="26" t="str">
        <f t="shared" si="6"/>
        <v/>
      </c>
      <c r="L791" s="26" t="str">
        <f t="shared" si="7"/>
        <v/>
      </c>
      <c r="M791" s="26" t="str">
        <f t="array" ref="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/>
      </c>
      <c r="N791" s="26" t="str">
        <f t="shared" si="8"/>
        <v/>
      </c>
      <c r="O791" s="26" t="str">
        <f t="shared" si="9"/>
        <v/>
      </c>
      <c r="P791" s="26" t="str">
        <f t="shared" si="10"/>
        <v/>
      </c>
      <c r="Q791" s="26" t="str">
        <f t="shared" si="11"/>
        <v/>
      </c>
      <c r="R791" s="26" t="str">
        <f t="shared" si="12"/>
        <v/>
      </c>
      <c r="S791" s="26" t="str">
        <f t="shared" si="13"/>
        <v/>
      </c>
      <c r="T791" s="26" t="str">
        <f t="shared" si="14"/>
        <v/>
      </c>
      <c r="U791" s="26" t="str">
        <f t="shared" si="15"/>
        <v/>
      </c>
      <c r="V791" s="26" t="str">
        <f t="shared" si="16"/>
        <v/>
      </c>
      <c r="W791" s="26" t="str">
        <f t="shared" si="17"/>
        <v/>
      </c>
      <c r="X791" s="26" t="str">
        <f t="shared" si="18"/>
        <v/>
      </c>
      <c r="Y791" s="26" t="str">
        <f t="shared" si="19"/>
        <v/>
      </c>
      <c r="Z791" s="31" t="str">
        <f t="shared" si="20"/>
        <v/>
      </c>
      <c r="AA791" s="31" t="str">
        <f>IF(D791="","",IF(H791&lt;=$B$16,1,IF(H791&gt;=$B$17,$B$21,MATCH(H791,Aux_CAV!$A$2:$A$121,1))))</f>
        <v/>
      </c>
      <c r="AB791" s="31" t="str">
        <f>IF(D791="","",IF(L791&lt;=$B$16,1,IF(L791&gt;=$B$17,$B$21,MATCH(L791,Aux_CAV!$A$2:$A$121,1))))</f>
        <v/>
      </c>
      <c r="AC791" s="3" t="str">
        <f t="shared" si="21"/>
        <v/>
      </c>
    </row>
    <row r="792" ht="12.75" customHeight="1">
      <c r="A792" s="25" t="str">
        <f t="shared" si="1"/>
        <v/>
      </c>
      <c r="B792" s="29" t="str">
        <f t="array" ref="B792">IF(D792="","",IFERROR(VALUE(INDEX(Vazoes_COLAR!$A$2:$A$200,INT((ROW()-24)/12)+1)),""))</f>
        <v/>
      </c>
      <c r="C792" s="29" t="str">
        <f t="shared" si="2"/>
        <v/>
      </c>
      <c r="D792" s="26" t="str">
        <f t="array" ref="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92" s="26" t="str">
        <f t="shared" si="3"/>
        <v/>
      </c>
      <c r="F792" s="26" t="str">
        <f t="array" ref="F792">IF(D792="","",IFERROR(INDEX(Dados_Evap!$C$2:$N$15,MATCH($B$9,Dados_Evap!$A$2:$A$15,0),C792),0))</f>
        <v/>
      </c>
      <c r="G792" s="26" t="str">
        <f t="shared" si="4"/>
        <v/>
      </c>
      <c r="H792" s="26" t="str">
        <f t="shared" si="22"/>
        <v/>
      </c>
      <c r="I792" s="26" t="str">
        <f t="array" ref="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/>
      </c>
      <c r="J792" s="26" t="str">
        <f t="shared" si="5"/>
        <v/>
      </c>
      <c r="K792" s="26" t="str">
        <f t="shared" si="6"/>
        <v/>
      </c>
      <c r="L792" s="26" t="str">
        <f t="shared" si="7"/>
        <v/>
      </c>
      <c r="M792" s="26" t="str">
        <f t="array" ref="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/>
      </c>
      <c r="N792" s="26" t="str">
        <f t="shared" si="8"/>
        <v/>
      </c>
      <c r="O792" s="26" t="str">
        <f t="shared" si="9"/>
        <v/>
      </c>
      <c r="P792" s="26" t="str">
        <f t="shared" si="10"/>
        <v/>
      </c>
      <c r="Q792" s="26" t="str">
        <f t="shared" si="11"/>
        <v/>
      </c>
      <c r="R792" s="26" t="str">
        <f t="shared" si="12"/>
        <v/>
      </c>
      <c r="S792" s="26" t="str">
        <f t="shared" si="13"/>
        <v/>
      </c>
      <c r="T792" s="26" t="str">
        <f t="shared" si="14"/>
        <v/>
      </c>
      <c r="U792" s="26" t="str">
        <f t="shared" si="15"/>
        <v/>
      </c>
      <c r="V792" s="26" t="str">
        <f t="shared" si="16"/>
        <v/>
      </c>
      <c r="W792" s="26" t="str">
        <f t="shared" si="17"/>
        <v/>
      </c>
      <c r="X792" s="26" t="str">
        <f t="shared" si="18"/>
        <v/>
      </c>
      <c r="Y792" s="26" t="str">
        <f t="shared" si="19"/>
        <v/>
      </c>
      <c r="Z792" s="31" t="str">
        <f t="shared" si="20"/>
        <v/>
      </c>
      <c r="AA792" s="31" t="str">
        <f>IF(D792="","",IF(H792&lt;=$B$16,1,IF(H792&gt;=$B$17,$B$21,MATCH(H792,Aux_CAV!$A$2:$A$121,1))))</f>
        <v/>
      </c>
      <c r="AB792" s="31" t="str">
        <f>IF(D792="","",IF(L792&lt;=$B$16,1,IF(L792&gt;=$B$17,$B$21,MATCH(L792,Aux_CAV!$A$2:$A$121,1))))</f>
        <v/>
      </c>
      <c r="AC792" s="3" t="str">
        <f t="shared" si="21"/>
        <v/>
      </c>
    </row>
    <row r="793" ht="12.75" customHeight="1">
      <c r="A793" s="25" t="str">
        <f t="shared" si="1"/>
        <v/>
      </c>
      <c r="B793" s="29" t="str">
        <f t="array" ref="B793">IF(D793="","",IFERROR(VALUE(INDEX(Vazoes_COLAR!$A$2:$A$200,INT((ROW()-24)/12)+1)),""))</f>
        <v/>
      </c>
      <c r="C793" s="29" t="str">
        <f t="shared" si="2"/>
        <v/>
      </c>
      <c r="D793" s="26" t="str">
        <f t="array" ref="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93" s="26" t="str">
        <f t="shared" si="3"/>
        <v/>
      </c>
      <c r="F793" s="26" t="str">
        <f t="array" ref="F793">IF(D793="","",IFERROR(INDEX(Dados_Evap!$C$2:$N$15,MATCH($B$9,Dados_Evap!$A$2:$A$15,0),C793),0))</f>
        <v/>
      </c>
      <c r="G793" s="26" t="str">
        <f t="shared" si="4"/>
        <v/>
      </c>
      <c r="H793" s="26" t="str">
        <f t="shared" si="22"/>
        <v/>
      </c>
      <c r="I793" s="26" t="str">
        <f t="array" ref="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/>
      </c>
      <c r="J793" s="26" t="str">
        <f t="shared" si="5"/>
        <v/>
      </c>
      <c r="K793" s="26" t="str">
        <f t="shared" si="6"/>
        <v/>
      </c>
      <c r="L793" s="26" t="str">
        <f t="shared" si="7"/>
        <v/>
      </c>
      <c r="M793" s="26" t="str">
        <f t="array" ref="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/>
      </c>
      <c r="N793" s="26" t="str">
        <f t="shared" si="8"/>
        <v/>
      </c>
      <c r="O793" s="26" t="str">
        <f t="shared" si="9"/>
        <v/>
      </c>
      <c r="P793" s="26" t="str">
        <f t="shared" si="10"/>
        <v/>
      </c>
      <c r="Q793" s="26" t="str">
        <f t="shared" si="11"/>
        <v/>
      </c>
      <c r="R793" s="26" t="str">
        <f t="shared" si="12"/>
        <v/>
      </c>
      <c r="S793" s="26" t="str">
        <f t="shared" si="13"/>
        <v/>
      </c>
      <c r="T793" s="26" t="str">
        <f t="shared" si="14"/>
        <v/>
      </c>
      <c r="U793" s="26" t="str">
        <f t="shared" si="15"/>
        <v/>
      </c>
      <c r="V793" s="26" t="str">
        <f t="shared" si="16"/>
        <v/>
      </c>
      <c r="W793" s="26" t="str">
        <f t="shared" si="17"/>
        <v/>
      </c>
      <c r="X793" s="26" t="str">
        <f t="shared" si="18"/>
        <v/>
      </c>
      <c r="Y793" s="26" t="str">
        <f t="shared" si="19"/>
        <v/>
      </c>
      <c r="Z793" s="31" t="str">
        <f t="shared" si="20"/>
        <v/>
      </c>
      <c r="AA793" s="31" t="str">
        <f>IF(D793="","",IF(H793&lt;=$B$16,1,IF(H793&gt;=$B$17,$B$21,MATCH(H793,Aux_CAV!$A$2:$A$121,1))))</f>
        <v/>
      </c>
      <c r="AB793" s="31" t="str">
        <f>IF(D793="","",IF(L793&lt;=$B$16,1,IF(L793&gt;=$B$17,$B$21,MATCH(L793,Aux_CAV!$A$2:$A$121,1))))</f>
        <v/>
      </c>
      <c r="AC793" s="3" t="str">
        <f t="shared" si="21"/>
        <v/>
      </c>
    </row>
    <row r="794" ht="12.75" customHeight="1">
      <c r="A794" s="25" t="str">
        <f t="shared" si="1"/>
        <v/>
      </c>
      <c r="B794" s="29" t="str">
        <f t="array" ref="B794">IF(D794="","",IFERROR(VALUE(INDEX(Vazoes_COLAR!$A$2:$A$200,INT((ROW()-24)/12)+1)),""))</f>
        <v/>
      </c>
      <c r="C794" s="29" t="str">
        <f t="shared" si="2"/>
        <v/>
      </c>
      <c r="D794" s="26" t="str">
        <f t="array" ref="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94" s="26" t="str">
        <f t="shared" si="3"/>
        <v/>
      </c>
      <c r="F794" s="26" t="str">
        <f t="array" ref="F794">IF(D794="","",IFERROR(INDEX(Dados_Evap!$C$2:$N$15,MATCH($B$9,Dados_Evap!$A$2:$A$15,0),C794),0))</f>
        <v/>
      </c>
      <c r="G794" s="26" t="str">
        <f t="shared" si="4"/>
        <v/>
      </c>
      <c r="H794" s="26" t="str">
        <f t="shared" si="22"/>
        <v/>
      </c>
      <c r="I794" s="26" t="str">
        <f t="array" ref="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/>
      </c>
      <c r="J794" s="26" t="str">
        <f t="shared" si="5"/>
        <v/>
      </c>
      <c r="K794" s="26" t="str">
        <f t="shared" si="6"/>
        <v/>
      </c>
      <c r="L794" s="26" t="str">
        <f t="shared" si="7"/>
        <v/>
      </c>
      <c r="M794" s="26" t="str">
        <f t="array" ref="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/>
      </c>
      <c r="N794" s="26" t="str">
        <f t="shared" si="8"/>
        <v/>
      </c>
      <c r="O794" s="26" t="str">
        <f t="shared" si="9"/>
        <v/>
      </c>
      <c r="P794" s="26" t="str">
        <f t="shared" si="10"/>
        <v/>
      </c>
      <c r="Q794" s="26" t="str">
        <f t="shared" si="11"/>
        <v/>
      </c>
      <c r="R794" s="26" t="str">
        <f t="shared" si="12"/>
        <v/>
      </c>
      <c r="S794" s="26" t="str">
        <f t="shared" si="13"/>
        <v/>
      </c>
      <c r="T794" s="26" t="str">
        <f t="shared" si="14"/>
        <v/>
      </c>
      <c r="U794" s="26" t="str">
        <f t="shared" si="15"/>
        <v/>
      </c>
      <c r="V794" s="26" t="str">
        <f t="shared" si="16"/>
        <v/>
      </c>
      <c r="W794" s="26" t="str">
        <f t="shared" si="17"/>
        <v/>
      </c>
      <c r="X794" s="26" t="str">
        <f t="shared" si="18"/>
        <v/>
      </c>
      <c r="Y794" s="26" t="str">
        <f t="shared" si="19"/>
        <v/>
      </c>
      <c r="Z794" s="31" t="str">
        <f t="shared" si="20"/>
        <v/>
      </c>
      <c r="AA794" s="31" t="str">
        <f>IF(D794="","",IF(H794&lt;=$B$16,1,IF(H794&gt;=$B$17,$B$21,MATCH(H794,Aux_CAV!$A$2:$A$121,1))))</f>
        <v/>
      </c>
      <c r="AB794" s="31" t="str">
        <f>IF(D794="","",IF(L794&lt;=$B$16,1,IF(L794&gt;=$B$17,$B$21,MATCH(L794,Aux_CAV!$A$2:$A$121,1))))</f>
        <v/>
      </c>
      <c r="AC794" s="3" t="str">
        <f t="shared" si="21"/>
        <v/>
      </c>
    </row>
    <row r="795" ht="12.75" customHeight="1">
      <c r="A795" s="25" t="str">
        <f t="shared" si="1"/>
        <v/>
      </c>
      <c r="B795" s="29" t="str">
        <f t="array" ref="B795">IF(D795="","",IFERROR(VALUE(INDEX(Vazoes_COLAR!$A$2:$A$200,INT((ROW()-24)/12)+1)),""))</f>
        <v/>
      </c>
      <c r="C795" s="29" t="str">
        <f t="shared" si="2"/>
        <v/>
      </c>
      <c r="D795" s="26" t="str">
        <f t="array" ref="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95" s="26" t="str">
        <f t="shared" si="3"/>
        <v/>
      </c>
      <c r="F795" s="26" t="str">
        <f t="array" ref="F795">IF(D795="","",IFERROR(INDEX(Dados_Evap!$C$2:$N$15,MATCH($B$9,Dados_Evap!$A$2:$A$15,0),C795),0))</f>
        <v/>
      </c>
      <c r="G795" s="26" t="str">
        <f t="shared" si="4"/>
        <v/>
      </c>
      <c r="H795" s="26" t="str">
        <f t="shared" si="22"/>
        <v/>
      </c>
      <c r="I795" s="26" t="str">
        <f t="array" ref="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/>
      </c>
      <c r="J795" s="26" t="str">
        <f t="shared" si="5"/>
        <v/>
      </c>
      <c r="K795" s="26" t="str">
        <f t="shared" si="6"/>
        <v/>
      </c>
      <c r="L795" s="26" t="str">
        <f t="shared" si="7"/>
        <v/>
      </c>
      <c r="M795" s="26" t="str">
        <f t="array" ref="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/>
      </c>
      <c r="N795" s="26" t="str">
        <f t="shared" si="8"/>
        <v/>
      </c>
      <c r="O795" s="26" t="str">
        <f t="shared" si="9"/>
        <v/>
      </c>
      <c r="P795" s="26" t="str">
        <f t="shared" si="10"/>
        <v/>
      </c>
      <c r="Q795" s="26" t="str">
        <f t="shared" si="11"/>
        <v/>
      </c>
      <c r="R795" s="26" t="str">
        <f t="shared" si="12"/>
        <v/>
      </c>
      <c r="S795" s="26" t="str">
        <f t="shared" si="13"/>
        <v/>
      </c>
      <c r="T795" s="26" t="str">
        <f t="shared" si="14"/>
        <v/>
      </c>
      <c r="U795" s="26" t="str">
        <f t="shared" si="15"/>
        <v/>
      </c>
      <c r="V795" s="26" t="str">
        <f t="shared" si="16"/>
        <v/>
      </c>
      <c r="W795" s="26" t="str">
        <f t="shared" si="17"/>
        <v/>
      </c>
      <c r="X795" s="26" t="str">
        <f t="shared" si="18"/>
        <v/>
      </c>
      <c r="Y795" s="26" t="str">
        <f t="shared" si="19"/>
        <v/>
      </c>
      <c r="Z795" s="31" t="str">
        <f t="shared" si="20"/>
        <v/>
      </c>
      <c r="AA795" s="31" t="str">
        <f>IF(D795="","",IF(H795&lt;=$B$16,1,IF(H795&gt;=$B$17,$B$21,MATCH(H795,Aux_CAV!$A$2:$A$121,1))))</f>
        <v/>
      </c>
      <c r="AB795" s="31" t="str">
        <f>IF(D795="","",IF(L795&lt;=$B$16,1,IF(L795&gt;=$B$17,$B$21,MATCH(L795,Aux_CAV!$A$2:$A$121,1))))</f>
        <v/>
      </c>
      <c r="AC795" s="3" t="str">
        <f t="shared" si="21"/>
        <v/>
      </c>
    </row>
    <row r="796" ht="12.75" customHeight="1">
      <c r="A796" s="25" t="str">
        <f t="shared" si="1"/>
        <v/>
      </c>
      <c r="B796" s="29" t="str">
        <f t="array" ref="B796">IF(D796="","",IFERROR(VALUE(INDEX(Vazoes_COLAR!$A$2:$A$200,INT((ROW()-24)/12)+1)),""))</f>
        <v/>
      </c>
      <c r="C796" s="29" t="str">
        <f t="shared" si="2"/>
        <v/>
      </c>
      <c r="D796" s="26" t="str">
        <f t="array" ref="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96" s="26" t="str">
        <f t="shared" si="3"/>
        <v/>
      </c>
      <c r="F796" s="26" t="str">
        <f t="array" ref="F796">IF(D796="","",IFERROR(INDEX(Dados_Evap!$C$2:$N$15,MATCH($B$9,Dados_Evap!$A$2:$A$15,0),C796),0))</f>
        <v/>
      </c>
      <c r="G796" s="26" t="str">
        <f t="shared" si="4"/>
        <v/>
      </c>
      <c r="H796" s="26" t="str">
        <f t="shared" si="22"/>
        <v/>
      </c>
      <c r="I796" s="26" t="str">
        <f t="array" ref="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/>
      </c>
      <c r="J796" s="26" t="str">
        <f t="shared" si="5"/>
        <v/>
      </c>
      <c r="K796" s="26" t="str">
        <f t="shared" si="6"/>
        <v/>
      </c>
      <c r="L796" s="26" t="str">
        <f t="shared" si="7"/>
        <v/>
      </c>
      <c r="M796" s="26" t="str">
        <f t="array" ref="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/>
      </c>
      <c r="N796" s="26" t="str">
        <f t="shared" si="8"/>
        <v/>
      </c>
      <c r="O796" s="26" t="str">
        <f t="shared" si="9"/>
        <v/>
      </c>
      <c r="P796" s="26" t="str">
        <f t="shared" si="10"/>
        <v/>
      </c>
      <c r="Q796" s="26" t="str">
        <f t="shared" si="11"/>
        <v/>
      </c>
      <c r="R796" s="26" t="str">
        <f t="shared" si="12"/>
        <v/>
      </c>
      <c r="S796" s="26" t="str">
        <f t="shared" si="13"/>
        <v/>
      </c>
      <c r="T796" s="26" t="str">
        <f t="shared" si="14"/>
        <v/>
      </c>
      <c r="U796" s="26" t="str">
        <f t="shared" si="15"/>
        <v/>
      </c>
      <c r="V796" s="26" t="str">
        <f t="shared" si="16"/>
        <v/>
      </c>
      <c r="W796" s="26" t="str">
        <f t="shared" si="17"/>
        <v/>
      </c>
      <c r="X796" s="26" t="str">
        <f t="shared" si="18"/>
        <v/>
      </c>
      <c r="Y796" s="26" t="str">
        <f t="shared" si="19"/>
        <v/>
      </c>
      <c r="Z796" s="31" t="str">
        <f t="shared" si="20"/>
        <v/>
      </c>
      <c r="AA796" s="31" t="str">
        <f>IF(D796="","",IF(H796&lt;=$B$16,1,IF(H796&gt;=$B$17,$B$21,MATCH(H796,Aux_CAV!$A$2:$A$121,1))))</f>
        <v/>
      </c>
      <c r="AB796" s="31" t="str">
        <f>IF(D796="","",IF(L796&lt;=$B$16,1,IF(L796&gt;=$B$17,$B$21,MATCH(L796,Aux_CAV!$A$2:$A$121,1))))</f>
        <v/>
      </c>
      <c r="AC796" s="3" t="str">
        <f t="shared" si="21"/>
        <v/>
      </c>
    </row>
    <row r="797" ht="12.75" customHeight="1">
      <c r="A797" s="25" t="str">
        <f t="shared" si="1"/>
        <v/>
      </c>
      <c r="B797" s="29" t="str">
        <f t="array" ref="B797">IF(D797="","",IFERROR(VALUE(INDEX(Vazoes_COLAR!$A$2:$A$200,INT((ROW()-24)/12)+1)),""))</f>
        <v/>
      </c>
      <c r="C797" s="29" t="str">
        <f t="shared" si="2"/>
        <v/>
      </c>
      <c r="D797" s="26" t="str">
        <f t="array" ref="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97" s="26" t="str">
        <f t="shared" si="3"/>
        <v/>
      </c>
      <c r="F797" s="26" t="str">
        <f t="array" ref="F797">IF(D797="","",IFERROR(INDEX(Dados_Evap!$C$2:$N$15,MATCH($B$9,Dados_Evap!$A$2:$A$15,0),C797),0))</f>
        <v/>
      </c>
      <c r="G797" s="26" t="str">
        <f t="shared" si="4"/>
        <v/>
      </c>
      <c r="H797" s="26" t="str">
        <f t="shared" si="22"/>
        <v/>
      </c>
      <c r="I797" s="26" t="str">
        <f t="array" ref="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/>
      </c>
      <c r="J797" s="26" t="str">
        <f t="shared" si="5"/>
        <v/>
      </c>
      <c r="K797" s="26" t="str">
        <f t="shared" si="6"/>
        <v/>
      </c>
      <c r="L797" s="26" t="str">
        <f t="shared" si="7"/>
        <v/>
      </c>
      <c r="M797" s="26" t="str">
        <f t="array" ref="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/>
      </c>
      <c r="N797" s="26" t="str">
        <f t="shared" si="8"/>
        <v/>
      </c>
      <c r="O797" s="26" t="str">
        <f t="shared" si="9"/>
        <v/>
      </c>
      <c r="P797" s="26" t="str">
        <f t="shared" si="10"/>
        <v/>
      </c>
      <c r="Q797" s="26" t="str">
        <f t="shared" si="11"/>
        <v/>
      </c>
      <c r="R797" s="26" t="str">
        <f t="shared" si="12"/>
        <v/>
      </c>
      <c r="S797" s="26" t="str">
        <f t="shared" si="13"/>
        <v/>
      </c>
      <c r="T797" s="26" t="str">
        <f t="shared" si="14"/>
        <v/>
      </c>
      <c r="U797" s="26" t="str">
        <f t="shared" si="15"/>
        <v/>
      </c>
      <c r="V797" s="26" t="str">
        <f t="shared" si="16"/>
        <v/>
      </c>
      <c r="W797" s="26" t="str">
        <f t="shared" si="17"/>
        <v/>
      </c>
      <c r="X797" s="26" t="str">
        <f t="shared" si="18"/>
        <v/>
      </c>
      <c r="Y797" s="26" t="str">
        <f t="shared" si="19"/>
        <v/>
      </c>
      <c r="Z797" s="31" t="str">
        <f t="shared" si="20"/>
        <v/>
      </c>
      <c r="AA797" s="31" t="str">
        <f>IF(D797="","",IF(H797&lt;=$B$16,1,IF(H797&gt;=$B$17,$B$21,MATCH(H797,Aux_CAV!$A$2:$A$121,1))))</f>
        <v/>
      </c>
      <c r="AB797" s="31" t="str">
        <f>IF(D797="","",IF(L797&lt;=$B$16,1,IF(L797&gt;=$B$17,$B$21,MATCH(L797,Aux_CAV!$A$2:$A$121,1))))</f>
        <v/>
      </c>
      <c r="AC797" s="3" t="str">
        <f t="shared" si="21"/>
        <v/>
      </c>
    </row>
    <row r="798" ht="12.75" customHeight="1">
      <c r="A798" s="25" t="str">
        <f t="shared" si="1"/>
        <v/>
      </c>
      <c r="B798" s="29" t="str">
        <f t="array" ref="B798">IF(D798="","",IFERROR(VALUE(INDEX(Vazoes_COLAR!$A$2:$A$200,INT((ROW()-24)/12)+1)),""))</f>
        <v/>
      </c>
      <c r="C798" s="29" t="str">
        <f t="shared" si="2"/>
        <v/>
      </c>
      <c r="D798" s="26" t="str">
        <f t="array" ref="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98" s="26" t="str">
        <f t="shared" si="3"/>
        <v/>
      </c>
      <c r="F798" s="26" t="str">
        <f t="array" ref="F798">IF(D798="","",IFERROR(INDEX(Dados_Evap!$C$2:$N$15,MATCH($B$9,Dados_Evap!$A$2:$A$15,0),C798),0))</f>
        <v/>
      </c>
      <c r="G798" s="26" t="str">
        <f t="shared" si="4"/>
        <v/>
      </c>
      <c r="H798" s="26" t="str">
        <f t="shared" si="22"/>
        <v/>
      </c>
      <c r="I798" s="26" t="str">
        <f t="array" ref="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/>
      </c>
      <c r="J798" s="26" t="str">
        <f t="shared" si="5"/>
        <v/>
      </c>
      <c r="K798" s="26" t="str">
        <f t="shared" si="6"/>
        <v/>
      </c>
      <c r="L798" s="26" t="str">
        <f t="shared" si="7"/>
        <v/>
      </c>
      <c r="M798" s="26" t="str">
        <f t="array" ref="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/>
      </c>
      <c r="N798" s="26" t="str">
        <f t="shared" si="8"/>
        <v/>
      </c>
      <c r="O798" s="26" t="str">
        <f t="shared" si="9"/>
        <v/>
      </c>
      <c r="P798" s="26" t="str">
        <f t="shared" si="10"/>
        <v/>
      </c>
      <c r="Q798" s="26" t="str">
        <f t="shared" si="11"/>
        <v/>
      </c>
      <c r="R798" s="26" t="str">
        <f t="shared" si="12"/>
        <v/>
      </c>
      <c r="S798" s="26" t="str">
        <f t="shared" si="13"/>
        <v/>
      </c>
      <c r="T798" s="26" t="str">
        <f t="shared" si="14"/>
        <v/>
      </c>
      <c r="U798" s="26" t="str">
        <f t="shared" si="15"/>
        <v/>
      </c>
      <c r="V798" s="26" t="str">
        <f t="shared" si="16"/>
        <v/>
      </c>
      <c r="W798" s="26" t="str">
        <f t="shared" si="17"/>
        <v/>
      </c>
      <c r="X798" s="26" t="str">
        <f t="shared" si="18"/>
        <v/>
      </c>
      <c r="Y798" s="26" t="str">
        <f t="shared" si="19"/>
        <v/>
      </c>
      <c r="Z798" s="31" t="str">
        <f t="shared" si="20"/>
        <v/>
      </c>
      <c r="AA798" s="31" t="str">
        <f>IF(D798="","",IF(H798&lt;=$B$16,1,IF(H798&gt;=$B$17,$B$21,MATCH(H798,Aux_CAV!$A$2:$A$121,1))))</f>
        <v/>
      </c>
      <c r="AB798" s="31" t="str">
        <f>IF(D798="","",IF(L798&lt;=$B$16,1,IF(L798&gt;=$B$17,$B$21,MATCH(L798,Aux_CAV!$A$2:$A$121,1))))</f>
        <v/>
      </c>
      <c r="AC798" s="3" t="str">
        <f t="shared" si="21"/>
        <v/>
      </c>
    </row>
    <row r="799" ht="12.75" customHeight="1">
      <c r="A799" s="25" t="str">
        <f t="shared" si="1"/>
        <v/>
      </c>
      <c r="B799" s="29" t="str">
        <f t="array" ref="B799">IF(D799="","",IFERROR(VALUE(INDEX(Vazoes_COLAR!$A$2:$A$200,INT((ROW()-24)/12)+1)),""))</f>
        <v/>
      </c>
      <c r="C799" s="29" t="str">
        <f t="shared" si="2"/>
        <v/>
      </c>
      <c r="D799" s="26" t="str">
        <f t="array" ref="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799" s="26" t="str">
        <f t="shared" si="3"/>
        <v/>
      </c>
      <c r="F799" s="26" t="str">
        <f t="array" ref="F799">IF(D799="","",IFERROR(INDEX(Dados_Evap!$C$2:$N$15,MATCH($B$9,Dados_Evap!$A$2:$A$15,0),C799),0))</f>
        <v/>
      </c>
      <c r="G799" s="26" t="str">
        <f t="shared" si="4"/>
        <v/>
      </c>
      <c r="H799" s="26" t="str">
        <f t="shared" si="22"/>
        <v/>
      </c>
      <c r="I799" s="26" t="str">
        <f t="array" ref="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/>
      </c>
      <c r="J799" s="26" t="str">
        <f t="shared" si="5"/>
        <v/>
      </c>
      <c r="K799" s="26" t="str">
        <f t="shared" si="6"/>
        <v/>
      </c>
      <c r="L799" s="26" t="str">
        <f t="shared" si="7"/>
        <v/>
      </c>
      <c r="M799" s="26" t="str">
        <f t="array" ref="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/>
      </c>
      <c r="N799" s="26" t="str">
        <f t="shared" si="8"/>
        <v/>
      </c>
      <c r="O799" s="26" t="str">
        <f t="shared" si="9"/>
        <v/>
      </c>
      <c r="P799" s="26" t="str">
        <f t="shared" si="10"/>
        <v/>
      </c>
      <c r="Q799" s="26" t="str">
        <f t="shared" si="11"/>
        <v/>
      </c>
      <c r="R799" s="26" t="str">
        <f t="shared" si="12"/>
        <v/>
      </c>
      <c r="S799" s="26" t="str">
        <f t="shared" si="13"/>
        <v/>
      </c>
      <c r="T799" s="26" t="str">
        <f t="shared" si="14"/>
        <v/>
      </c>
      <c r="U799" s="26" t="str">
        <f t="shared" si="15"/>
        <v/>
      </c>
      <c r="V799" s="26" t="str">
        <f t="shared" si="16"/>
        <v/>
      </c>
      <c r="W799" s="26" t="str">
        <f t="shared" si="17"/>
        <v/>
      </c>
      <c r="X799" s="26" t="str">
        <f t="shared" si="18"/>
        <v/>
      </c>
      <c r="Y799" s="26" t="str">
        <f t="shared" si="19"/>
        <v/>
      </c>
      <c r="Z799" s="31" t="str">
        <f t="shared" si="20"/>
        <v/>
      </c>
      <c r="AA799" s="31" t="str">
        <f>IF(D799="","",IF(H799&lt;=$B$16,1,IF(H799&gt;=$B$17,$B$21,MATCH(H799,Aux_CAV!$A$2:$A$121,1))))</f>
        <v/>
      </c>
      <c r="AB799" s="31" t="str">
        <f>IF(D799="","",IF(L799&lt;=$B$16,1,IF(L799&gt;=$B$17,$B$21,MATCH(L799,Aux_CAV!$A$2:$A$121,1))))</f>
        <v/>
      </c>
      <c r="AC799" s="3" t="str">
        <f t="shared" si="21"/>
        <v/>
      </c>
    </row>
    <row r="800" ht="12.75" customHeight="1">
      <c r="A800" s="25" t="str">
        <f t="shared" si="1"/>
        <v/>
      </c>
      <c r="B800" s="29" t="str">
        <f t="array" ref="B800">IF(D800="","",IFERROR(VALUE(INDEX(Vazoes_COLAR!$A$2:$A$200,INT((ROW()-24)/12)+1)),""))</f>
        <v/>
      </c>
      <c r="C800" s="29" t="str">
        <f t="shared" si="2"/>
        <v/>
      </c>
      <c r="D800" s="26" t="str">
        <f t="array" ref="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00" s="26" t="str">
        <f t="shared" si="3"/>
        <v/>
      </c>
      <c r="F800" s="26" t="str">
        <f t="array" ref="F800">IF(D800="","",IFERROR(INDEX(Dados_Evap!$C$2:$N$15,MATCH($B$9,Dados_Evap!$A$2:$A$15,0),C800),0))</f>
        <v/>
      </c>
      <c r="G800" s="26" t="str">
        <f t="shared" si="4"/>
        <v/>
      </c>
      <c r="H800" s="26" t="str">
        <f t="shared" si="22"/>
        <v/>
      </c>
      <c r="I800" s="26" t="str">
        <f t="array" ref="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/>
      </c>
      <c r="J800" s="26" t="str">
        <f t="shared" si="5"/>
        <v/>
      </c>
      <c r="K800" s="26" t="str">
        <f t="shared" si="6"/>
        <v/>
      </c>
      <c r="L800" s="26" t="str">
        <f t="shared" si="7"/>
        <v/>
      </c>
      <c r="M800" s="26" t="str">
        <f t="array" ref="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/>
      </c>
      <c r="N800" s="26" t="str">
        <f t="shared" si="8"/>
        <v/>
      </c>
      <c r="O800" s="26" t="str">
        <f t="shared" si="9"/>
        <v/>
      </c>
      <c r="P800" s="26" t="str">
        <f t="shared" si="10"/>
        <v/>
      </c>
      <c r="Q800" s="26" t="str">
        <f t="shared" si="11"/>
        <v/>
      </c>
      <c r="R800" s="26" t="str">
        <f t="shared" si="12"/>
        <v/>
      </c>
      <c r="S800" s="26" t="str">
        <f t="shared" si="13"/>
        <v/>
      </c>
      <c r="T800" s="26" t="str">
        <f t="shared" si="14"/>
        <v/>
      </c>
      <c r="U800" s="26" t="str">
        <f t="shared" si="15"/>
        <v/>
      </c>
      <c r="V800" s="26" t="str">
        <f t="shared" si="16"/>
        <v/>
      </c>
      <c r="W800" s="26" t="str">
        <f t="shared" si="17"/>
        <v/>
      </c>
      <c r="X800" s="26" t="str">
        <f t="shared" si="18"/>
        <v/>
      </c>
      <c r="Y800" s="26" t="str">
        <f t="shared" si="19"/>
        <v/>
      </c>
      <c r="Z800" s="31" t="str">
        <f t="shared" si="20"/>
        <v/>
      </c>
      <c r="AA800" s="31" t="str">
        <f>IF(D800="","",IF(H800&lt;=$B$16,1,IF(H800&gt;=$B$17,$B$21,MATCH(H800,Aux_CAV!$A$2:$A$121,1))))</f>
        <v/>
      </c>
      <c r="AB800" s="31" t="str">
        <f>IF(D800="","",IF(L800&lt;=$B$16,1,IF(L800&gt;=$B$17,$B$21,MATCH(L800,Aux_CAV!$A$2:$A$121,1))))</f>
        <v/>
      </c>
      <c r="AC800" s="3" t="str">
        <f t="shared" si="21"/>
        <v/>
      </c>
    </row>
    <row r="801" ht="12.75" customHeight="1">
      <c r="A801" s="25" t="str">
        <f t="shared" si="1"/>
        <v/>
      </c>
      <c r="B801" s="29" t="str">
        <f t="array" ref="B801">IF(D801="","",IFERROR(VALUE(INDEX(Vazoes_COLAR!$A$2:$A$200,INT((ROW()-24)/12)+1)),""))</f>
        <v/>
      </c>
      <c r="C801" s="29" t="str">
        <f t="shared" si="2"/>
        <v/>
      </c>
      <c r="D801" s="26" t="str">
        <f t="array" ref="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01" s="26" t="str">
        <f t="shared" si="3"/>
        <v/>
      </c>
      <c r="F801" s="26" t="str">
        <f t="array" ref="F801">IF(D801="","",IFERROR(INDEX(Dados_Evap!$C$2:$N$15,MATCH($B$9,Dados_Evap!$A$2:$A$15,0),C801),0))</f>
        <v/>
      </c>
      <c r="G801" s="26" t="str">
        <f t="shared" si="4"/>
        <v/>
      </c>
      <c r="H801" s="26" t="str">
        <f t="shared" si="22"/>
        <v/>
      </c>
      <c r="I801" s="26" t="str">
        <f t="array" ref="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/>
      </c>
      <c r="J801" s="26" t="str">
        <f t="shared" si="5"/>
        <v/>
      </c>
      <c r="K801" s="26" t="str">
        <f t="shared" si="6"/>
        <v/>
      </c>
      <c r="L801" s="26" t="str">
        <f t="shared" si="7"/>
        <v/>
      </c>
      <c r="M801" s="26" t="str">
        <f t="array" ref="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/>
      </c>
      <c r="N801" s="26" t="str">
        <f t="shared" si="8"/>
        <v/>
      </c>
      <c r="O801" s="26" t="str">
        <f t="shared" si="9"/>
        <v/>
      </c>
      <c r="P801" s="26" t="str">
        <f t="shared" si="10"/>
        <v/>
      </c>
      <c r="Q801" s="26" t="str">
        <f t="shared" si="11"/>
        <v/>
      </c>
      <c r="R801" s="26" t="str">
        <f t="shared" si="12"/>
        <v/>
      </c>
      <c r="S801" s="26" t="str">
        <f t="shared" si="13"/>
        <v/>
      </c>
      <c r="T801" s="26" t="str">
        <f t="shared" si="14"/>
        <v/>
      </c>
      <c r="U801" s="26" t="str">
        <f t="shared" si="15"/>
        <v/>
      </c>
      <c r="V801" s="26" t="str">
        <f t="shared" si="16"/>
        <v/>
      </c>
      <c r="W801" s="26" t="str">
        <f t="shared" si="17"/>
        <v/>
      </c>
      <c r="X801" s="26" t="str">
        <f t="shared" si="18"/>
        <v/>
      </c>
      <c r="Y801" s="26" t="str">
        <f t="shared" si="19"/>
        <v/>
      </c>
      <c r="Z801" s="31" t="str">
        <f t="shared" si="20"/>
        <v/>
      </c>
      <c r="AA801" s="31" t="str">
        <f>IF(D801="","",IF(H801&lt;=$B$16,1,IF(H801&gt;=$B$17,$B$21,MATCH(H801,Aux_CAV!$A$2:$A$121,1))))</f>
        <v/>
      </c>
      <c r="AB801" s="31" t="str">
        <f>IF(D801="","",IF(L801&lt;=$B$16,1,IF(L801&gt;=$B$17,$B$21,MATCH(L801,Aux_CAV!$A$2:$A$121,1))))</f>
        <v/>
      </c>
      <c r="AC801" s="3" t="str">
        <f t="shared" si="21"/>
        <v/>
      </c>
    </row>
    <row r="802" ht="12.75" customHeight="1">
      <c r="A802" s="25" t="str">
        <f t="shared" si="1"/>
        <v/>
      </c>
      <c r="B802" s="29" t="str">
        <f t="array" ref="B802">IF(D802="","",IFERROR(VALUE(INDEX(Vazoes_COLAR!$A$2:$A$200,INT((ROW()-24)/12)+1)),""))</f>
        <v/>
      </c>
      <c r="C802" s="29" t="str">
        <f t="shared" si="2"/>
        <v/>
      </c>
      <c r="D802" s="26" t="str">
        <f t="array" ref="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02" s="26" t="str">
        <f t="shared" si="3"/>
        <v/>
      </c>
      <c r="F802" s="26" t="str">
        <f t="array" ref="F802">IF(D802="","",IFERROR(INDEX(Dados_Evap!$C$2:$N$15,MATCH($B$9,Dados_Evap!$A$2:$A$15,0),C802),0))</f>
        <v/>
      </c>
      <c r="G802" s="26" t="str">
        <f t="shared" si="4"/>
        <v/>
      </c>
      <c r="H802" s="26" t="str">
        <f t="shared" si="22"/>
        <v/>
      </c>
      <c r="I802" s="26" t="str">
        <f t="array" ref="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/>
      </c>
      <c r="J802" s="26" t="str">
        <f t="shared" si="5"/>
        <v/>
      </c>
      <c r="K802" s="26" t="str">
        <f t="shared" si="6"/>
        <v/>
      </c>
      <c r="L802" s="26" t="str">
        <f t="shared" si="7"/>
        <v/>
      </c>
      <c r="M802" s="26" t="str">
        <f t="array" ref="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/>
      </c>
      <c r="N802" s="26" t="str">
        <f t="shared" si="8"/>
        <v/>
      </c>
      <c r="O802" s="26" t="str">
        <f t="shared" si="9"/>
        <v/>
      </c>
      <c r="P802" s="26" t="str">
        <f t="shared" si="10"/>
        <v/>
      </c>
      <c r="Q802" s="26" t="str">
        <f t="shared" si="11"/>
        <v/>
      </c>
      <c r="R802" s="26" t="str">
        <f t="shared" si="12"/>
        <v/>
      </c>
      <c r="S802" s="26" t="str">
        <f t="shared" si="13"/>
        <v/>
      </c>
      <c r="T802" s="26" t="str">
        <f t="shared" si="14"/>
        <v/>
      </c>
      <c r="U802" s="26" t="str">
        <f t="shared" si="15"/>
        <v/>
      </c>
      <c r="V802" s="26" t="str">
        <f t="shared" si="16"/>
        <v/>
      </c>
      <c r="W802" s="26" t="str">
        <f t="shared" si="17"/>
        <v/>
      </c>
      <c r="X802" s="26" t="str">
        <f t="shared" si="18"/>
        <v/>
      </c>
      <c r="Y802" s="26" t="str">
        <f t="shared" si="19"/>
        <v/>
      </c>
      <c r="Z802" s="31" t="str">
        <f t="shared" si="20"/>
        <v/>
      </c>
      <c r="AA802" s="31" t="str">
        <f>IF(D802="","",IF(H802&lt;=$B$16,1,IF(H802&gt;=$B$17,$B$21,MATCH(H802,Aux_CAV!$A$2:$A$121,1))))</f>
        <v/>
      </c>
      <c r="AB802" s="31" t="str">
        <f>IF(D802="","",IF(L802&lt;=$B$16,1,IF(L802&gt;=$B$17,$B$21,MATCH(L802,Aux_CAV!$A$2:$A$121,1))))</f>
        <v/>
      </c>
      <c r="AC802" s="3" t="str">
        <f t="shared" si="21"/>
        <v/>
      </c>
    </row>
    <row r="803" ht="12.75" customHeight="1">
      <c r="A803" s="25" t="str">
        <f t="shared" si="1"/>
        <v/>
      </c>
      <c r="B803" s="29" t="str">
        <f t="array" ref="B803">IF(D803="","",IFERROR(VALUE(INDEX(Vazoes_COLAR!$A$2:$A$200,INT((ROW()-24)/12)+1)),""))</f>
        <v/>
      </c>
      <c r="C803" s="29" t="str">
        <f t="shared" si="2"/>
        <v/>
      </c>
      <c r="D803" s="26" t="str">
        <f t="array" ref="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03" s="26" t="str">
        <f t="shared" si="3"/>
        <v/>
      </c>
      <c r="F803" s="26" t="str">
        <f t="array" ref="F803">IF(D803="","",IFERROR(INDEX(Dados_Evap!$C$2:$N$15,MATCH($B$9,Dados_Evap!$A$2:$A$15,0),C803),0))</f>
        <v/>
      </c>
      <c r="G803" s="26" t="str">
        <f t="shared" si="4"/>
        <v/>
      </c>
      <c r="H803" s="26" t="str">
        <f t="shared" si="22"/>
        <v/>
      </c>
      <c r="I803" s="26" t="str">
        <f t="array" ref="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/>
      </c>
      <c r="J803" s="26" t="str">
        <f t="shared" si="5"/>
        <v/>
      </c>
      <c r="K803" s="26" t="str">
        <f t="shared" si="6"/>
        <v/>
      </c>
      <c r="L803" s="26" t="str">
        <f t="shared" si="7"/>
        <v/>
      </c>
      <c r="M803" s="26" t="str">
        <f t="array" ref="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/>
      </c>
      <c r="N803" s="26" t="str">
        <f t="shared" si="8"/>
        <v/>
      </c>
      <c r="O803" s="26" t="str">
        <f t="shared" si="9"/>
        <v/>
      </c>
      <c r="P803" s="26" t="str">
        <f t="shared" si="10"/>
        <v/>
      </c>
      <c r="Q803" s="26" t="str">
        <f t="shared" si="11"/>
        <v/>
      </c>
      <c r="R803" s="26" t="str">
        <f t="shared" si="12"/>
        <v/>
      </c>
      <c r="S803" s="26" t="str">
        <f t="shared" si="13"/>
        <v/>
      </c>
      <c r="T803" s="26" t="str">
        <f t="shared" si="14"/>
        <v/>
      </c>
      <c r="U803" s="26" t="str">
        <f t="shared" si="15"/>
        <v/>
      </c>
      <c r="V803" s="26" t="str">
        <f t="shared" si="16"/>
        <v/>
      </c>
      <c r="W803" s="26" t="str">
        <f t="shared" si="17"/>
        <v/>
      </c>
      <c r="X803" s="26" t="str">
        <f t="shared" si="18"/>
        <v/>
      </c>
      <c r="Y803" s="26" t="str">
        <f t="shared" si="19"/>
        <v/>
      </c>
      <c r="Z803" s="31" t="str">
        <f t="shared" si="20"/>
        <v/>
      </c>
      <c r="AA803" s="31" t="str">
        <f>IF(D803="","",IF(H803&lt;=$B$16,1,IF(H803&gt;=$B$17,$B$21,MATCH(H803,Aux_CAV!$A$2:$A$121,1))))</f>
        <v/>
      </c>
      <c r="AB803" s="31" t="str">
        <f>IF(D803="","",IF(L803&lt;=$B$16,1,IF(L803&gt;=$B$17,$B$21,MATCH(L803,Aux_CAV!$A$2:$A$121,1))))</f>
        <v/>
      </c>
      <c r="AC803" s="3" t="str">
        <f t="shared" si="21"/>
        <v/>
      </c>
    </row>
    <row r="804" ht="12.75" customHeight="1">
      <c r="A804" s="25" t="str">
        <f t="shared" si="1"/>
        <v/>
      </c>
      <c r="B804" s="29" t="str">
        <f t="array" ref="B804">IF(D804="","",IFERROR(VALUE(INDEX(Vazoes_COLAR!$A$2:$A$200,INT((ROW()-24)/12)+1)),""))</f>
        <v/>
      </c>
      <c r="C804" s="29" t="str">
        <f t="shared" si="2"/>
        <v/>
      </c>
      <c r="D804" s="26" t="str">
        <f t="array" ref="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04" s="26" t="str">
        <f t="shared" si="3"/>
        <v/>
      </c>
      <c r="F804" s="26" t="str">
        <f t="array" ref="F804">IF(D804="","",IFERROR(INDEX(Dados_Evap!$C$2:$N$15,MATCH($B$9,Dados_Evap!$A$2:$A$15,0),C804),0))</f>
        <v/>
      </c>
      <c r="G804" s="26" t="str">
        <f t="shared" si="4"/>
        <v/>
      </c>
      <c r="H804" s="26" t="str">
        <f t="shared" si="22"/>
        <v/>
      </c>
      <c r="I804" s="26" t="str">
        <f t="array" ref="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/>
      </c>
      <c r="J804" s="26" t="str">
        <f t="shared" si="5"/>
        <v/>
      </c>
      <c r="K804" s="26" t="str">
        <f t="shared" si="6"/>
        <v/>
      </c>
      <c r="L804" s="26" t="str">
        <f t="shared" si="7"/>
        <v/>
      </c>
      <c r="M804" s="26" t="str">
        <f t="array" ref="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/>
      </c>
      <c r="N804" s="26" t="str">
        <f t="shared" si="8"/>
        <v/>
      </c>
      <c r="O804" s="26" t="str">
        <f t="shared" si="9"/>
        <v/>
      </c>
      <c r="P804" s="26" t="str">
        <f t="shared" si="10"/>
        <v/>
      </c>
      <c r="Q804" s="26" t="str">
        <f t="shared" si="11"/>
        <v/>
      </c>
      <c r="R804" s="26" t="str">
        <f t="shared" si="12"/>
        <v/>
      </c>
      <c r="S804" s="26" t="str">
        <f t="shared" si="13"/>
        <v/>
      </c>
      <c r="T804" s="26" t="str">
        <f t="shared" si="14"/>
        <v/>
      </c>
      <c r="U804" s="26" t="str">
        <f t="shared" si="15"/>
        <v/>
      </c>
      <c r="V804" s="26" t="str">
        <f t="shared" si="16"/>
        <v/>
      </c>
      <c r="W804" s="26" t="str">
        <f t="shared" si="17"/>
        <v/>
      </c>
      <c r="X804" s="26" t="str">
        <f t="shared" si="18"/>
        <v/>
      </c>
      <c r="Y804" s="26" t="str">
        <f t="shared" si="19"/>
        <v/>
      </c>
      <c r="Z804" s="31" t="str">
        <f t="shared" si="20"/>
        <v/>
      </c>
      <c r="AA804" s="31" t="str">
        <f>IF(D804="","",IF(H804&lt;=$B$16,1,IF(H804&gt;=$B$17,$B$21,MATCH(H804,Aux_CAV!$A$2:$A$121,1))))</f>
        <v/>
      </c>
      <c r="AB804" s="31" t="str">
        <f>IF(D804="","",IF(L804&lt;=$B$16,1,IF(L804&gt;=$B$17,$B$21,MATCH(L804,Aux_CAV!$A$2:$A$121,1))))</f>
        <v/>
      </c>
      <c r="AC804" s="3" t="str">
        <f t="shared" si="21"/>
        <v/>
      </c>
    </row>
    <row r="805" ht="12.75" customHeight="1">
      <c r="A805" s="25" t="str">
        <f t="shared" si="1"/>
        <v/>
      </c>
      <c r="B805" s="29" t="str">
        <f t="array" ref="B805">IF(D805="","",IFERROR(VALUE(INDEX(Vazoes_COLAR!$A$2:$A$200,INT((ROW()-24)/12)+1)),""))</f>
        <v/>
      </c>
      <c r="C805" s="29" t="str">
        <f t="shared" si="2"/>
        <v/>
      </c>
      <c r="D805" s="26" t="str">
        <f t="array" ref="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05" s="26" t="str">
        <f t="shared" si="3"/>
        <v/>
      </c>
      <c r="F805" s="26" t="str">
        <f t="array" ref="F805">IF(D805="","",IFERROR(INDEX(Dados_Evap!$C$2:$N$15,MATCH($B$9,Dados_Evap!$A$2:$A$15,0),C805),0))</f>
        <v/>
      </c>
      <c r="G805" s="26" t="str">
        <f t="shared" si="4"/>
        <v/>
      </c>
      <c r="H805" s="26" t="str">
        <f t="shared" si="22"/>
        <v/>
      </c>
      <c r="I805" s="26" t="str">
        <f t="array" ref="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/>
      </c>
      <c r="J805" s="26" t="str">
        <f t="shared" si="5"/>
        <v/>
      </c>
      <c r="K805" s="26" t="str">
        <f t="shared" si="6"/>
        <v/>
      </c>
      <c r="L805" s="26" t="str">
        <f t="shared" si="7"/>
        <v/>
      </c>
      <c r="M805" s="26" t="str">
        <f t="array" ref="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/>
      </c>
      <c r="N805" s="26" t="str">
        <f t="shared" si="8"/>
        <v/>
      </c>
      <c r="O805" s="26" t="str">
        <f t="shared" si="9"/>
        <v/>
      </c>
      <c r="P805" s="26" t="str">
        <f t="shared" si="10"/>
        <v/>
      </c>
      <c r="Q805" s="26" t="str">
        <f t="shared" si="11"/>
        <v/>
      </c>
      <c r="R805" s="26" t="str">
        <f t="shared" si="12"/>
        <v/>
      </c>
      <c r="S805" s="26" t="str">
        <f t="shared" si="13"/>
        <v/>
      </c>
      <c r="T805" s="26" t="str">
        <f t="shared" si="14"/>
        <v/>
      </c>
      <c r="U805" s="26" t="str">
        <f t="shared" si="15"/>
        <v/>
      </c>
      <c r="V805" s="26" t="str">
        <f t="shared" si="16"/>
        <v/>
      </c>
      <c r="W805" s="26" t="str">
        <f t="shared" si="17"/>
        <v/>
      </c>
      <c r="X805" s="26" t="str">
        <f t="shared" si="18"/>
        <v/>
      </c>
      <c r="Y805" s="26" t="str">
        <f t="shared" si="19"/>
        <v/>
      </c>
      <c r="Z805" s="31" t="str">
        <f t="shared" si="20"/>
        <v/>
      </c>
      <c r="AA805" s="31" t="str">
        <f>IF(D805="","",IF(H805&lt;=$B$16,1,IF(H805&gt;=$B$17,$B$21,MATCH(H805,Aux_CAV!$A$2:$A$121,1))))</f>
        <v/>
      </c>
      <c r="AB805" s="31" t="str">
        <f>IF(D805="","",IF(L805&lt;=$B$16,1,IF(L805&gt;=$B$17,$B$21,MATCH(L805,Aux_CAV!$A$2:$A$121,1))))</f>
        <v/>
      </c>
      <c r="AC805" s="3" t="str">
        <f t="shared" si="21"/>
        <v/>
      </c>
    </row>
    <row r="806" ht="12.75" customHeight="1">
      <c r="A806" s="25" t="str">
        <f t="shared" si="1"/>
        <v/>
      </c>
      <c r="B806" s="29" t="str">
        <f t="array" ref="B806">IF(D806="","",IFERROR(VALUE(INDEX(Vazoes_COLAR!$A$2:$A$200,INT((ROW()-24)/12)+1)),""))</f>
        <v/>
      </c>
      <c r="C806" s="29" t="str">
        <f t="shared" si="2"/>
        <v/>
      </c>
      <c r="D806" s="26" t="str">
        <f t="array" ref="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06" s="26" t="str">
        <f t="shared" si="3"/>
        <v/>
      </c>
      <c r="F806" s="26" t="str">
        <f t="array" ref="F806">IF(D806="","",IFERROR(INDEX(Dados_Evap!$C$2:$N$15,MATCH($B$9,Dados_Evap!$A$2:$A$15,0),C806),0))</f>
        <v/>
      </c>
      <c r="G806" s="26" t="str">
        <f t="shared" si="4"/>
        <v/>
      </c>
      <c r="H806" s="26" t="str">
        <f t="shared" si="22"/>
        <v/>
      </c>
      <c r="I806" s="26" t="str">
        <f t="array" ref="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/>
      </c>
      <c r="J806" s="26" t="str">
        <f t="shared" si="5"/>
        <v/>
      </c>
      <c r="K806" s="26" t="str">
        <f t="shared" si="6"/>
        <v/>
      </c>
      <c r="L806" s="26" t="str">
        <f t="shared" si="7"/>
        <v/>
      </c>
      <c r="M806" s="26" t="str">
        <f t="array" ref="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/>
      </c>
      <c r="N806" s="26" t="str">
        <f t="shared" si="8"/>
        <v/>
      </c>
      <c r="O806" s="26" t="str">
        <f t="shared" si="9"/>
        <v/>
      </c>
      <c r="P806" s="26" t="str">
        <f t="shared" si="10"/>
        <v/>
      </c>
      <c r="Q806" s="26" t="str">
        <f t="shared" si="11"/>
        <v/>
      </c>
      <c r="R806" s="26" t="str">
        <f t="shared" si="12"/>
        <v/>
      </c>
      <c r="S806" s="26" t="str">
        <f t="shared" si="13"/>
        <v/>
      </c>
      <c r="T806" s="26" t="str">
        <f t="shared" si="14"/>
        <v/>
      </c>
      <c r="U806" s="26" t="str">
        <f t="shared" si="15"/>
        <v/>
      </c>
      <c r="V806" s="26" t="str">
        <f t="shared" si="16"/>
        <v/>
      </c>
      <c r="W806" s="26" t="str">
        <f t="shared" si="17"/>
        <v/>
      </c>
      <c r="X806" s="26" t="str">
        <f t="shared" si="18"/>
        <v/>
      </c>
      <c r="Y806" s="26" t="str">
        <f t="shared" si="19"/>
        <v/>
      </c>
      <c r="Z806" s="31" t="str">
        <f t="shared" si="20"/>
        <v/>
      </c>
      <c r="AA806" s="31" t="str">
        <f>IF(D806="","",IF(H806&lt;=$B$16,1,IF(H806&gt;=$B$17,$B$21,MATCH(H806,Aux_CAV!$A$2:$A$121,1))))</f>
        <v/>
      </c>
      <c r="AB806" s="31" t="str">
        <f>IF(D806="","",IF(L806&lt;=$B$16,1,IF(L806&gt;=$B$17,$B$21,MATCH(L806,Aux_CAV!$A$2:$A$121,1))))</f>
        <v/>
      </c>
      <c r="AC806" s="3" t="str">
        <f t="shared" si="21"/>
        <v/>
      </c>
    </row>
    <row r="807" ht="12.75" customHeight="1">
      <c r="A807" s="25" t="str">
        <f t="shared" si="1"/>
        <v/>
      </c>
      <c r="B807" s="29" t="str">
        <f t="array" ref="B807">IF(D807="","",IFERROR(VALUE(INDEX(Vazoes_COLAR!$A$2:$A$200,INT((ROW()-24)/12)+1)),""))</f>
        <v/>
      </c>
      <c r="C807" s="29" t="str">
        <f t="shared" si="2"/>
        <v/>
      </c>
      <c r="D807" s="26" t="str">
        <f t="array" ref="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07" s="26" t="str">
        <f t="shared" si="3"/>
        <v/>
      </c>
      <c r="F807" s="26" t="str">
        <f t="array" ref="F807">IF(D807="","",IFERROR(INDEX(Dados_Evap!$C$2:$N$15,MATCH($B$9,Dados_Evap!$A$2:$A$15,0),C807),0))</f>
        <v/>
      </c>
      <c r="G807" s="26" t="str">
        <f t="shared" si="4"/>
        <v/>
      </c>
      <c r="H807" s="26" t="str">
        <f t="shared" si="22"/>
        <v/>
      </c>
      <c r="I807" s="26" t="str">
        <f t="array" ref="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/>
      </c>
      <c r="J807" s="26" t="str">
        <f t="shared" si="5"/>
        <v/>
      </c>
      <c r="K807" s="26" t="str">
        <f t="shared" si="6"/>
        <v/>
      </c>
      <c r="L807" s="26" t="str">
        <f t="shared" si="7"/>
        <v/>
      </c>
      <c r="M807" s="26" t="str">
        <f t="array" ref="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/>
      </c>
      <c r="N807" s="26" t="str">
        <f t="shared" si="8"/>
        <v/>
      </c>
      <c r="O807" s="26" t="str">
        <f t="shared" si="9"/>
        <v/>
      </c>
      <c r="P807" s="26" t="str">
        <f t="shared" si="10"/>
        <v/>
      </c>
      <c r="Q807" s="26" t="str">
        <f t="shared" si="11"/>
        <v/>
      </c>
      <c r="R807" s="26" t="str">
        <f t="shared" si="12"/>
        <v/>
      </c>
      <c r="S807" s="26" t="str">
        <f t="shared" si="13"/>
        <v/>
      </c>
      <c r="T807" s="26" t="str">
        <f t="shared" si="14"/>
        <v/>
      </c>
      <c r="U807" s="26" t="str">
        <f t="shared" si="15"/>
        <v/>
      </c>
      <c r="V807" s="26" t="str">
        <f t="shared" si="16"/>
        <v/>
      </c>
      <c r="W807" s="26" t="str">
        <f t="shared" si="17"/>
        <v/>
      </c>
      <c r="X807" s="26" t="str">
        <f t="shared" si="18"/>
        <v/>
      </c>
      <c r="Y807" s="26" t="str">
        <f t="shared" si="19"/>
        <v/>
      </c>
      <c r="Z807" s="31" t="str">
        <f t="shared" si="20"/>
        <v/>
      </c>
      <c r="AA807" s="31" t="str">
        <f>IF(D807="","",IF(H807&lt;=$B$16,1,IF(H807&gt;=$B$17,$B$21,MATCH(H807,Aux_CAV!$A$2:$A$121,1))))</f>
        <v/>
      </c>
      <c r="AB807" s="31" t="str">
        <f>IF(D807="","",IF(L807&lt;=$B$16,1,IF(L807&gt;=$B$17,$B$21,MATCH(L807,Aux_CAV!$A$2:$A$121,1))))</f>
        <v/>
      </c>
      <c r="AC807" s="3" t="str">
        <f t="shared" si="21"/>
        <v/>
      </c>
    </row>
    <row r="808" ht="12.75" customHeight="1">
      <c r="A808" s="25" t="str">
        <f t="shared" si="1"/>
        <v/>
      </c>
      <c r="B808" s="29" t="str">
        <f t="array" ref="B808">IF(D808="","",IFERROR(VALUE(INDEX(Vazoes_COLAR!$A$2:$A$200,INT((ROW()-24)/12)+1)),""))</f>
        <v/>
      </c>
      <c r="C808" s="29" t="str">
        <f t="shared" si="2"/>
        <v/>
      </c>
      <c r="D808" s="26" t="str">
        <f t="array" ref="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08" s="26" t="str">
        <f t="shared" si="3"/>
        <v/>
      </c>
      <c r="F808" s="26" t="str">
        <f t="array" ref="F808">IF(D808="","",IFERROR(INDEX(Dados_Evap!$C$2:$N$15,MATCH($B$9,Dados_Evap!$A$2:$A$15,0),C808),0))</f>
        <v/>
      </c>
      <c r="G808" s="26" t="str">
        <f t="shared" si="4"/>
        <v/>
      </c>
      <c r="H808" s="26" t="str">
        <f t="shared" si="22"/>
        <v/>
      </c>
      <c r="I808" s="26" t="str">
        <f t="array" ref="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/>
      </c>
      <c r="J808" s="26" t="str">
        <f t="shared" si="5"/>
        <v/>
      </c>
      <c r="K808" s="26" t="str">
        <f t="shared" si="6"/>
        <v/>
      </c>
      <c r="L808" s="26" t="str">
        <f t="shared" si="7"/>
        <v/>
      </c>
      <c r="M808" s="26" t="str">
        <f t="array" ref="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/>
      </c>
      <c r="N808" s="26" t="str">
        <f t="shared" si="8"/>
        <v/>
      </c>
      <c r="O808" s="26" t="str">
        <f t="shared" si="9"/>
        <v/>
      </c>
      <c r="P808" s="26" t="str">
        <f t="shared" si="10"/>
        <v/>
      </c>
      <c r="Q808" s="26" t="str">
        <f t="shared" si="11"/>
        <v/>
      </c>
      <c r="R808" s="26" t="str">
        <f t="shared" si="12"/>
        <v/>
      </c>
      <c r="S808" s="26" t="str">
        <f t="shared" si="13"/>
        <v/>
      </c>
      <c r="T808" s="26" t="str">
        <f t="shared" si="14"/>
        <v/>
      </c>
      <c r="U808" s="26" t="str">
        <f t="shared" si="15"/>
        <v/>
      </c>
      <c r="V808" s="26" t="str">
        <f t="shared" si="16"/>
        <v/>
      </c>
      <c r="W808" s="26" t="str">
        <f t="shared" si="17"/>
        <v/>
      </c>
      <c r="X808" s="26" t="str">
        <f t="shared" si="18"/>
        <v/>
      </c>
      <c r="Y808" s="26" t="str">
        <f t="shared" si="19"/>
        <v/>
      </c>
      <c r="Z808" s="31" t="str">
        <f t="shared" si="20"/>
        <v/>
      </c>
      <c r="AA808" s="31" t="str">
        <f>IF(D808="","",IF(H808&lt;=$B$16,1,IF(H808&gt;=$B$17,$B$21,MATCH(H808,Aux_CAV!$A$2:$A$121,1))))</f>
        <v/>
      </c>
      <c r="AB808" s="31" t="str">
        <f>IF(D808="","",IF(L808&lt;=$B$16,1,IF(L808&gt;=$B$17,$B$21,MATCH(L808,Aux_CAV!$A$2:$A$121,1))))</f>
        <v/>
      </c>
      <c r="AC808" s="3" t="str">
        <f t="shared" si="21"/>
        <v/>
      </c>
    </row>
    <row r="809" ht="12.75" customHeight="1">
      <c r="A809" s="25" t="str">
        <f t="shared" si="1"/>
        <v/>
      </c>
      <c r="B809" s="29" t="str">
        <f t="array" ref="B809">IF(D809="","",IFERROR(VALUE(INDEX(Vazoes_COLAR!$A$2:$A$200,INT((ROW()-24)/12)+1)),""))</f>
        <v/>
      </c>
      <c r="C809" s="29" t="str">
        <f t="shared" si="2"/>
        <v/>
      </c>
      <c r="D809" s="26" t="str">
        <f t="array" ref="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09" s="26" t="str">
        <f t="shared" si="3"/>
        <v/>
      </c>
      <c r="F809" s="26" t="str">
        <f t="array" ref="F809">IF(D809="","",IFERROR(INDEX(Dados_Evap!$C$2:$N$15,MATCH($B$9,Dados_Evap!$A$2:$A$15,0),C809),0))</f>
        <v/>
      </c>
      <c r="G809" s="26" t="str">
        <f t="shared" si="4"/>
        <v/>
      </c>
      <c r="H809" s="26" t="str">
        <f t="shared" si="22"/>
        <v/>
      </c>
      <c r="I809" s="26" t="str">
        <f t="array" ref="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/>
      </c>
      <c r="J809" s="26" t="str">
        <f t="shared" si="5"/>
        <v/>
      </c>
      <c r="K809" s="26" t="str">
        <f t="shared" si="6"/>
        <v/>
      </c>
      <c r="L809" s="26" t="str">
        <f t="shared" si="7"/>
        <v/>
      </c>
      <c r="M809" s="26" t="str">
        <f t="array" ref="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/>
      </c>
      <c r="N809" s="26" t="str">
        <f t="shared" si="8"/>
        <v/>
      </c>
      <c r="O809" s="26" t="str">
        <f t="shared" si="9"/>
        <v/>
      </c>
      <c r="P809" s="26" t="str">
        <f t="shared" si="10"/>
        <v/>
      </c>
      <c r="Q809" s="26" t="str">
        <f t="shared" si="11"/>
        <v/>
      </c>
      <c r="R809" s="26" t="str">
        <f t="shared" si="12"/>
        <v/>
      </c>
      <c r="S809" s="26" t="str">
        <f t="shared" si="13"/>
        <v/>
      </c>
      <c r="T809" s="26" t="str">
        <f t="shared" si="14"/>
        <v/>
      </c>
      <c r="U809" s="26" t="str">
        <f t="shared" si="15"/>
        <v/>
      </c>
      <c r="V809" s="26" t="str">
        <f t="shared" si="16"/>
        <v/>
      </c>
      <c r="W809" s="26" t="str">
        <f t="shared" si="17"/>
        <v/>
      </c>
      <c r="X809" s="26" t="str">
        <f t="shared" si="18"/>
        <v/>
      </c>
      <c r="Y809" s="26" t="str">
        <f t="shared" si="19"/>
        <v/>
      </c>
      <c r="Z809" s="31" t="str">
        <f t="shared" si="20"/>
        <v/>
      </c>
      <c r="AA809" s="31" t="str">
        <f>IF(D809="","",IF(H809&lt;=$B$16,1,IF(H809&gt;=$B$17,$B$21,MATCH(H809,Aux_CAV!$A$2:$A$121,1))))</f>
        <v/>
      </c>
      <c r="AB809" s="31" t="str">
        <f>IF(D809="","",IF(L809&lt;=$B$16,1,IF(L809&gt;=$B$17,$B$21,MATCH(L809,Aux_CAV!$A$2:$A$121,1))))</f>
        <v/>
      </c>
      <c r="AC809" s="3" t="str">
        <f t="shared" si="21"/>
        <v/>
      </c>
    </row>
    <row r="810" ht="12.75" customHeight="1">
      <c r="A810" s="25" t="str">
        <f t="shared" si="1"/>
        <v/>
      </c>
      <c r="B810" s="29" t="str">
        <f t="array" ref="B810">IF(D810="","",IFERROR(VALUE(INDEX(Vazoes_COLAR!$A$2:$A$200,INT((ROW()-24)/12)+1)),""))</f>
        <v/>
      </c>
      <c r="C810" s="29" t="str">
        <f t="shared" si="2"/>
        <v/>
      </c>
      <c r="D810" s="26" t="str">
        <f t="array" ref="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10" s="26" t="str">
        <f t="shared" si="3"/>
        <v/>
      </c>
      <c r="F810" s="26" t="str">
        <f t="array" ref="F810">IF(D810="","",IFERROR(INDEX(Dados_Evap!$C$2:$N$15,MATCH($B$9,Dados_Evap!$A$2:$A$15,0),C810),0))</f>
        <v/>
      </c>
      <c r="G810" s="26" t="str">
        <f t="shared" si="4"/>
        <v/>
      </c>
      <c r="H810" s="26" t="str">
        <f t="shared" si="22"/>
        <v/>
      </c>
      <c r="I810" s="26" t="str">
        <f t="array" ref="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/>
      </c>
      <c r="J810" s="26" t="str">
        <f t="shared" si="5"/>
        <v/>
      </c>
      <c r="K810" s="26" t="str">
        <f t="shared" si="6"/>
        <v/>
      </c>
      <c r="L810" s="26" t="str">
        <f t="shared" si="7"/>
        <v/>
      </c>
      <c r="M810" s="26" t="str">
        <f t="array" ref="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/>
      </c>
      <c r="N810" s="26" t="str">
        <f t="shared" si="8"/>
        <v/>
      </c>
      <c r="O810" s="26" t="str">
        <f t="shared" si="9"/>
        <v/>
      </c>
      <c r="P810" s="26" t="str">
        <f t="shared" si="10"/>
        <v/>
      </c>
      <c r="Q810" s="26" t="str">
        <f t="shared" si="11"/>
        <v/>
      </c>
      <c r="R810" s="26" t="str">
        <f t="shared" si="12"/>
        <v/>
      </c>
      <c r="S810" s="26" t="str">
        <f t="shared" si="13"/>
        <v/>
      </c>
      <c r="T810" s="26" t="str">
        <f t="shared" si="14"/>
        <v/>
      </c>
      <c r="U810" s="26" t="str">
        <f t="shared" si="15"/>
        <v/>
      </c>
      <c r="V810" s="26" t="str">
        <f t="shared" si="16"/>
        <v/>
      </c>
      <c r="W810" s="26" t="str">
        <f t="shared" si="17"/>
        <v/>
      </c>
      <c r="X810" s="26" t="str">
        <f t="shared" si="18"/>
        <v/>
      </c>
      <c r="Y810" s="26" t="str">
        <f t="shared" si="19"/>
        <v/>
      </c>
      <c r="Z810" s="31" t="str">
        <f t="shared" si="20"/>
        <v/>
      </c>
      <c r="AA810" s="31" t="str">
        <f>IF(D810="","",IF(H810&lt;=$B$16,1,IF(H810&gt;=$B$17,$B$21,MATCH(H810,Aux_CAV!$A$2:$A$121,1))))</f>
        <v/>
      </c>
      <c r="AB810" s="31" t="str">
        <f>IF(D810="","",IF(L810&lt;=$B$16,1,IF(L810&gt;=$B$17,$B$21,MATCH(L810,Aux_CAV!$A$2:$A$121,1))))</f>
        <v/>
      </c>
      <c r="AC810" s="3" t="str">
        <f t="shared" si="21"/>
        <v/>
      </c>
    </row>
    <row r="811" ht="12.75" customHeight="1">
      <c r="A811" s="25" t="str">
        <f t="shared" si="1"/>
        <v/>
      </c>
      <c r="B811" s="29" t="str">
        <f t="array" ref="B811">IF(D811="","",IFERROR(VALUE(INDEX(Vazoes_COLAR!$A$2:$A$200,INT((ROW()-24)/12)+1)),""))</f>
        <v/>
      </c>
      <c r="C811" s="29" t="str">
        <f t="shared" si="2"/>
        <v/>
      </c>
      <c r="D811" s="26" t="str">
        <f t="array" ref="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11" s="26" t="str">
        <f t="shared" si="3"/>
        <v/>
      </c>
      <c r="F811" s="26" t="str">
        <f t="array" ref="F811">IF(D811="","",IFERROR(INDEX(Dados_Evap!$C$2:$N$15,MATCH($B$9,Dados_Evap!$A$2:$A$15,0),C811),0))</f>
        <v/>
      </c>
      <c r="G811" s="26" t="str">
        <f t="shared" si="4"/>
        <v/>
      </c>
      <c r="H811" s="26" t="str">
        <f t="shared" si="22"/>
        <v/>
      </c>
      <c r="I811" s="26" t="str">
        <f t="array" ref="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/>
      </c>
      <c r="J811" s="26" t="str">
        <f t="shared" si="5"/>
        <v/>
      </c>
      <c r="K811" s="26" t="str">
        <f t="shared" si="6"/>
        <v/>
      </c>
      <c r="L811" s="26" t="str">
        <f t="shared" si="7"/>
        <v/>
      </c>
      <c r="M811" s="26" t="str">
        <f t="array" ref="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/>
      </c>
      <c r="N811" s="26" t="str">
        <f t="shared" si="8"/>
        <v/>
      </c>
      <c r="O811" s="26" t="str">
        <f t="shared" si="9"/>
        <v/>
      </c>
      <c r="P811" s="26" t="str">
        <f t="shared" si="10"/>
        <v/>
      </c>
      <c r="Q811" s="26" t="str">
        <f t="shared" si="11"/>
        <v/>
      </c>
      <c r="R811" s="26" t="str">
        <f t="shared" si="12"/>
        <v/>
      </c>
      <c r="S811" s="26" t="str">
        <f t="shared" si="13"/>
        <v/>
      </c>
      <c r="T811" s="26" t="str">
        <f t="shared" si="14"/>
        <v/>
      </c>
      <c r="U811" s="26" t="str">
        <f t="shared" si="15"/>
        <v/>
      </c>
      <c r="V811" s="26" t="str">
        <f t="shared" si="16"/>
        <v/>
      </c>
      <c r="W811" s="26" t="str">
        <f t="shared" si="17"/>
        <v/>
      </c>
      <c r="X811" s="26" t="str">
        <f t="shared" si="18"/>
        <v/>
      </c>
      <c r="Y811" s="26" t="str">
        <f t="shared" si="19"/>
        <v/>
      </c>
      <c r="Z811" s="31" t="str">
        <f t="shared" si="20"/>
        <v/>
      </c>
      <c r="AA811" s="31" t="str">
        <f>IF(D811="","",IF(H811&lt;=$B$16,1,IF(H811&gt;=$B$17,$B$21,MATCH(H811,Aux_CAV!$A$2:$A$121,1))))</f>
        <v/>
      </c>
      <c r="AB811" s="31" t="str">
        <f>IF(D811="","",IF(L811&lt;=$B$16,1,IF(L811&gt;=$B$17,$B$21,MATCH(L811,Aux_CAV!$A$2:$A$121,1))))</f>
        <v/>
      </c>
      <c r="AC811" s="3" t="str">
        <f t="shared" si="21"/>
        <v/>
      </c>
    </row>
    <row r="812" ht="12.75" customHeight="1">
      <c r="A812" s="25" t="str">
        <f t="shared" si="1"/>
        <v/>
      </c>
      <c r="B812" s="29" t="str">
        <f t="array" ref="B812">IF(D812="","",IFERROR(VALUE(INDEX(Vazoes_COLAR!$A$2:$A$200,INT((ROW()-24)/12)+1)),""))</f>
        <v/>
      </c>
      <c r="C812" s="29" t="str">
        <f t="shared" si="2"/>
        <v/>
      </c>
      <c r="D812" s="26" t="str">
        <f t="array" ref="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12" s="26" t="str">
        <f t="shared" si="3"/>
        <v/>
      </c>
      <c r="F812" s="26" t="str">
        <f t="array" ref="F812">IF(D812="","",IFERROR(INDEX(Dados_Evap!$C$2:$N$15,MATCH($B$9,Dados_Evap!$A$2:$A$15,0),C812),0))</f>
        <v/>
      </c>
      <c r="G812" s="26" t="str">
        <f t="shared" si="4"/>
        <v/>
      </c>
      <c r="H812" s="26" t="str">
        <f t="shared" si="22"/>
        <v/>
      </c>
      <c r="I812" s="26" t="str">
        <f t="array" ref="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/>
      </c>
      <c r="J812" s="26" t="str">
        <f t="shared" si="5"/>
        <v/>
      </c>
      <c r="K812" s="26" t="str">
        <f t="shared" si="6"/>
        <v/>
      </c>
      <c r="L812" s="26" t="str">
        <f t="shared" si="7"/>
        <v/>
      </c>
      <c r="M812" s="26" t="str">
        <f t="array" ref="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/>
      </c>
      <c r="N812" s="26" t="str">
        <f t="shared" si="8"/>
        <v/>
      </c>
      <c r="O812" s="26" t="str">
        <f t="shared" si="9"/>
        <v/>
      </c>
      <c r="P812" s="26" t="str">
        <f t="shared" si="10"/>
        <v/>
      </c>
      <c r="Q812" s="26" t="str">
        <f t="shared" si="11"/>
        <v/>
      </c>
      <c r="R812" s="26" t="str">
        <f t="shared" si="12"/>
        <v/>
      </c>
      <c r="S812" s="26" t="str">
        <f t="shared" si="13"/>
        <v/>
      </c>
      <c r="T812" s="26" t="str">
        <f t="shared" si="14"/>
        <v/>
      </c>
      <c r="U812" s="26" t="str">
        <f t="shared" si="15"/>
        <v/>
      </c>
      <c r="V812" s="26" t="str">
        <f t="shared" si="16"/>
        <v/>
      </c>
      <c r="W812" s="26" t="str">
        <f t="shared" si="17"/>
        <v/>
      </c>
      <c r="X812" s="26" t="str">
        <f t="shared" si="18"/>
        <v/>
      </c>
      <c r="Y812" s="26" t="str">
        <f t="shared" si="19"/>
        <v/>
      </c>
      <c r="Z812" s="31" t="str">
        <f t="shared" si="20"/>
        <v/>
      </c>
      <c r="AA812" s="31" t="str">
        <f>IF(D812="","",IF(H812&lt;=$B$16,1,IF(H812&gt;=$B$17,$B$21,MATCH(H812,Aux_CAV!$A$2:$A$121,1))))</f>
        <v/>
      </c>
      <c r="AB812" s="31" t="str">
        <f>IF(D812="","",IF(L812&lt;=$B$16,1,IF(L812&gt;=$B$17,$B$21,MATCH(L812,Aux_CAV!$A$2:$A$121,1))))</f>
        <v/>
      </c>
      <c r="AC812" s="3" t="str">
        <f t="shared" si="21"/>
        <v/>
      </c>
    </row>
    <row r="813" ht="12.75" customHeight="1">
      <c r="A813" s="25" t="str">
        <f t="shared" si="1"/>
        <v/>
      </c>
      <c r="B813" s="29" t="str">
        <f t="array" ref="B813">IF(D813="","",IFERROR(VALUE(INDEX(Vazoes_COLAR!$A$2:$A$200,INT((ROW()-24)/12)+1)),""))</f>
        <v/>
      </c>
      <c r="C813" s="29" t="str">
        <f t="shared" si="2"/>
        <v/>
      </c>
      <c r="D813" s="26" t="str">
        <f t="array" ref="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13" s="26" t="str">
        <f t="shared" si="3"/>
        <v/>
      </c>
      <c r="F813" s="26" t="str">
        <f t="array" ref="F813">IF(D813="","",IFERROR(INDEX(Dados_Evap!$C$2:$N$15,MATCH($B$9,Dados_Evap!$A$2:$A$15,0),C813),0))</f>
        <v/>
      </c>
      <c r="G813" s="26" t="str">
        <f t="shared" si="4"/>
        <v/>
      </c>
      <c r="H813" s="26" t="str">
        <f t="shared" si="22"/>
        <v/>
      </c>
      <c r="I813" s="26" t="str">
        <f t="array" ref="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/>
      </c>
      <c r="J813" s="26" t="str">
        <f t="shared" si="5"/>
        <v/>
      </c>
      <c r="K813" s="26" t="str">
        <f t="shared" si="6"/>
        <v/>
      </c>
      <c r="L813" s="26" t="str">
        <f t="shared" si="7"/>
        <v/>
      </c>
      <c r="M813" s="26" t="str">
        <f t="array" ref="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/>
      </c>
      <c r="N813" s="26" t="str">
        <f t="shared" si="8"/>
        <v/>
      </c>
      <c r="O813" s="26" t="str">
        <f t="shared" si="9"/>
        <v/>
      </c>
      <c r="P813" s="26" t="str">
        <f t="shared" si="10"/>
        <v/>
      </c>
      <c r="Q813" s="26" t="str">
        <f t="shared" si="11"/>
        <v/>
      </c>
      <c r="R813" s="26" t="str">
        <f t="shared" si="12"/>
        <v/>
      </c>
      <c r="S813" s="26" t="str">
        <f t="shared" si="13"/>
        <v/>
      </c>
      <c r="T813" s="26" t="str">
        <f t="shared" si="14"/>
        <v/>
      </c>
      <c r="U813" s="26" t="str">
        <f t="shared" si="15"/>
        <v/>
      </c>
      <c r="V813" s="26" t="str">
        <f t="shared" si="16"/>
        <v/>
      </c>
      <c r="W813" s="26" t="str">
        <f t="shared" si="17"/>
        <v/>
      </c>
      <c r="X813" s="26" t="str">
        <f t="shared" si="18"/>
        <v/>
      </c>
      <c r="Y813" s="26" t="str">
        <f t="shared" si="19"/>
        <v/>
      </c>
      <c r="Z813" s="31" t="str">
        <f t="shared" si="20"/>
        <v/>
      </c>
      <c r="AA813" s="31" t="str">
        <f>IF(D813="","",IF(H813&lt;=$B$16,1,IF(H813&gt;=$B$17,$B$21,MATCH(H813,Aux_CAV!$A$2:$A$121,1))))</f>
        <v/>
      </c>
      <c r="AB813" s="31" t="str">
        <f>IF(D813="","",IF(L813&lt;=$B$16,1,IF(L813&gt;=$B$17,$B$21,MATCH(L813,Aux_CAV!$A$2:$A$121,1))))</f>
        <v/>
      </c>
      <c r="AC813" s="3" t="str">
        <f t="shared" si="21"/>
        <v/>
      </c>
    </row>
    <row r="814" ht="12.75" customHeight="1">
      <c r="A814" s="25" t="str">
        <f t="shared" si="1"/>
        <v/>
      </c>
      <c r="B814" s="29" t="str">
        <f t="array" ref="B814">IF(D814="","",IFERROR(VALUE(INDEX(Vazoes_COLAR!$A$2:$A$200,INT((ROW()-24)/12)+1)),""))</f>
        <v/>
      </c>
      <c r="C814" s="29" t="str">
        <f t="shared" si="2"/>
        <v/>
      </c>
      <c r="D814" s="26" t="str">
        <f t="array" ref="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14" s="26" t="str">
        <f t="shared" si="3"/>
        <v/>
      </c>
      <c r="F814" s="26" t="str">
        <f t="array" ref="F814">IF(D814="","",IFERROR(INDEX(Dados_Evap!$C$2:$N$15,MATCH($B$9,Dados_Evap!$A$2:$A$15,0),C814),0))</f>
        <v/>
      </c>
      <c r="G814" s="26" t="str">
        <f t="shared" si="4"/>
        <v/>
      </c>
      <c r="H814" s="26" t="str">
        <f t="shared" si="22"/>
        <v/>
      </c>
      <c r="I814" s="26" t="str">
        <f t="array" ref="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/>
      </c>
      <c r="J814" s="26" t="str">
        <f t="shared" si="5"/>
        <v/>
      </c>
      <c r="K814" s="26" t="str">
        <f t="shared" si="6"/>
        <v/>
      </c>
      <c r="L814" s="26" t="str">
        <f t="shared" si="7"/>
        <v/>
      </c>
      <c r="M814" s="26" t="str">
        <f t="array" ref="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/>
      </c>
      <c r="N814" s="26" t="str">
        <f t="shared" si="8"/>
        <v/>
      </c>
      <c r="O814" s="26" t="str">
        <f t="shared" si="9"/>
        <v/>
      </c>
      <c r="P814" s="26" t="str">
        <f t="shared" si="10"/>
        <v/>
      </c>
      <c r="Q814" s="26" t="str">
        <f t="shared" si="11"/>
        <v/>
      </c>
      <c r="R814" s="26" t="str">
        <f t="shared" si="12"/>
        <v/>
      </c>
      <c r="S814" s="26" t="str">
        <f t="shared" si="13"/>
        <v/>
      </c>
      <c r="T814" s="26" t="str">
        <f t="shared" si="14"/>
        <v/>
      </c>
      <c r="U814" s="26" t="str">
        <f t="shared" si="15"/>
        <v/>
      </c>
      <c r="V814" s="26" t="str">
        <f t="shared" si="16"/>
        <v/>
      </c>
      <c r="W814" s="26" t="str">
        <f t="shared" si="17"/>
        <v/>
      </c>
      <c r="X814" s="26" t="str">
        <f t="shared" si="18"/>
        <v/>
      </c>
      <c r="Y814" s="26" t="str">
        <f t="shared" si="19"/>
        <v/>
      </c>
      <c r="Z814" s="31" t="str">
        <f t="shared" si="20"/>
        <v/>
      </c>
      <c r="AA814" s="31" t="str">
        <f>IF(D814="","",IF(H814&lt;=$B$16,1,IF(H814&gt;=$B$17,$B$21,MATCH(H814,Aux_CAV!$A$2:$A$121,1))))</f>
        <v/>
      </c>
      <c r="AB814" s="31" t="str">
        <f>IF(D814="","",IF(L814&lt;=$B$16,1,IF(L814&gt;=$B$17,$B$21,MATCH(L814,Aux_CAV!$A$2:$A$121,1))))</f>
        <v/>
      </c>
      <c r="AC814" s="3" t="str">
        <f t="shared" si="21"/>
        <v/>
      </c>
    </row>
    <row r="815" ht="12.75" customHeight="1">
      <c r="A815" s="25" t="str">
        <f t="shared" si="1"/>
        <v/>
      </c>
      <c r="B815" s="29" t="str">
        <f t="array" ref="B815">IF(D815="","",IFERROR(VALUE(INDEX(Vazoes_COLAR!$A$2:$A$200,INT((ROW()-24)/12)+1)),""))</f>
        <v/>
      </c>
      <c r="C815" s="29" t="str">
        <f t="shared" si="2"/>
        <v/>
      </c>
      <c r="D815" s="26" t="str">
        <f t="array" ref="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15" s="26" t="str">
        <f t="shared" si="3"/>
        <v/>
      </c>
      <c r="F815" s="26" t="str">
        <f t="array" ref="F815">IF(D815="","",IFERROR(INDEX(Dados_Evap!$C$2:$N$15,MATCH($B$9,Dados_Evap!$A$2:$A$15,0),C815),0))</f>
        <v/>
      </c>
      <c r="G815" s="26" t="str">
        <f t="shared" si="4"/>
        <v/>
      </c>
      <c r="H815" s="26" t="str">
        <f t="shared" si="22"/>
        <v/>
      </c>
      <c r="I815" s="26" t="str">
        <f t="array" ref="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/>
      </c>
      <c r="J815" s="26" t="str">
        <f t="shared" si="5"/>
        <v/>
      </c>
      <c r="K815" s="26" t="str">
        <f t="shared" si="6"/>
        <v/>
      </c>
      <c r="L815" s="26" t="str">
        <f t="shared" si="7"/>
        <v/>
      </c>
      <c r="M815" s="26" t="str">
        <f t="array" ref="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/>
      </c>
      <c r="N815" s="26" t="str">
        <f t="shared" si="8"/>
        <v/>
      </c>
      <c r="O815" s="26" t="str">
        <f t="shared" si="9"/>
        <v/>
      </c>
      <c r="P815" s="26" t="str">
        <f t="shared" si="10"/>
        <v/>
      </c>
      <c r="Q815" s="26" t="str">
        <f t="shared" si="11"/>
        <v/>
      </c>
      <c r="R815" s="26" t="str">
        <f t="shared" si="12"/>
        <v/>
      </c>
      <c r="S815" s="26" t="str">
        <f t="shared" si="13"/>
        <v/>
      </c>
      <c r="T815" s="26" t="str">
        <f t="shared" si="14"/>
        <v/>
      </c>
      <c r="U815" s="26" t="str">
        <f t="shared" si="15"/>
        <v/>
      </c>
      <c r="V815" s="26" t="str">
        <f t="shared" si="16"/>
        <v/>
      </c>
      <c r="W815" s="26" t="str">
        <f t="shared" si="17"/>
        <v/>
      </c>
      <c r="X815" s="26" t="str">
        <f t="shared" si="18"/>
        <v/>
      </c>
      <c r="Y815" s="26" t="str">
        <f t="shared" si="19"/>
        <v/>
      </c>
      <c r="Z815" s="31" t="str">
        <f t="shared" si="20"/>
        <v/>
      </c>
      <c r="AA815" s="31" t="str">
        <f>IF(D815="","",IF(H815&lt;=$B$16,1,IF(H815&gt;=$B$17,$B$21,MATCH(H815,Aux_CAV!$A$2:$A$121,1))))</f>
        <v/>
      </c>
      <c r="AB815" s="31" t="str">
        <f>IF(D815="","",IF(L815&lt;=$B$16,1,IF(L815&gt;=$B$17,$B$21,MATCH(L815,Aux_CAV!$A$2:$A$121,1))))</f>
        <v/>
      </c>
      <c r="AC815" s="3" t="str">
        <f t="shared" si="21"/>
        <v/>
      </c>
    </row>
    <row r="816" ht="12.75" customHeight="1">
      <c r="A816" s="25" t="str">
        <f t="shared" si="1"/>
        <v/>
      </c>
      <c r="B816" s="29" t="str">
        <f t="array" ref="B816">IF(D816="","",IFERROR(VALUE(INDEX(Vazoes_COLAR!$A$2:$A$200,INT((ROW()-24)/12)+1)),""))</f>
        <v/>
      </c>
      <c r="C816" s="29" t="str">
        <f t="shared" si="2"/>
        <v/>
      </c>
      <c r="D816" s="26" t="str">
        <f t="array" ref="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16" s="26" t="str">
        <f t="shared" si="3"/>
        <v/>
      </c>
      <c r="F816" s="26" t="str">
        <f t="array" ref="F816">IF(D816="","",IFERROR(INDEX(Dados_Evap!$C$2:$N$15,MATCH($B$9,Dados_Evap!$A$2:$A$15,0),C816),0))</f>
        <v/>
      </c>
      <c r="G816" s="26" t="str">
        <f t="shared" si="4"/>
        <v/>
      </c>
      <c r="H816" s="26" t="str">
        <f t="shared" si="22"/>
        <v/>
      </c>
      <c r="I816" s="26" t="str">
        <f t="array" ref="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/>
      </c>
      <c r="J816" s="26" t="str">
        <f t="shared" si="5"/>
        <v/>
      </c>
      <c r="K816" s="26" t="str">
        <f t="shared" si="6"/>
        <v/>
      </c>
      <c r="L816" s="26" t="str">
        <f t="shared" si="7"/>
        <v/>
      </c>
      <c r="M816" s="26" t="str">
        <f t="array" ref="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/>
      </c>
      <c r="N816" s="26" t="str">
        <f t="shared" si="8"/>
        <v/>
      </c>
      <c r="O816" s="26" t="str">
        <f t="shared" si="9"/>
        <v/>
      </c>
      <c r="P816" s="26" t="str">
        <f t="shared" si="10"/>
        <v/>
      </c>
      <c r="Q816" s="26" t="str">
        <f t="shared" si="11"/>
        <v/>
      </c>
      <c r="R816" s="26" t="str">
        <f t="shared" si="12"/>
        <v/>
      </c>
      <c r="S816" s="26" t="str">
        <f t="shared" si="13"/>
        <v/>
      </c>
      <c r="T816" s="26" t="str">
        <f t="shared" si="14"/>
        <v/>
      </c>
      <c r="U816" s="26" t="str">
        <f t="shared" si="15"/>
        <v/>
      </c>
      <c r="V816" s="26" t="str">
        <f t="shared" si="16"/>
        <v/>
      </c>
      <c r="W816" s="26" t="str">
        <f t="shared" si="17"/>
        <v/>
      </c>
      <c r="X816" s="26" t="str">
        <f t="shared" si="18"/>
        <v/>
      </c>
      <c r="Y816" s="26" t="str">
        <f t="shared" si="19"/>
        <v/>
      </c>
      <c r="Z816" s="31" t="str">
        <f t="shared" si="20"/>
        <v/>
      </c>
      <c r="AA816" s="31" t="str">
        <f>IF(D816="","",IF(H816&lt;=$B$16,1,IF(H816&gt;=$B$17,$B$21,MATCH(H816,Aux_CAV!$A$2:$A$121,1))))</f>
        <v/>
      </c>
      <c r="AB816" s="31" t="str">
        <f>IF(D816="","",IF(L816&lt;=$B$16,1,IF(L816&gt;=$B$17,$B$21,MATCH(L816,Aux_CAV!$A$2:$A$121,1))))</f>
        <v/>
      </c>
      <c r="AC816" s="3" t="str">
        <f t="shared" si="21"/>
        <v/>
      </c>
    </row>
    <row r="817" ht="12.75" customHeight="1">
      <c r="A817" s="25" t="str">
        <f t="shared" si="1"/>
        <v/>
      </c>
      <c r="B817" s="29" t="str">
        <f t="array" ref="B817">IF(D817="","",IFERROR(VALUE(INDEX(Vazoes_COLAR!$A$2:$A$200,INT((ROW()-24)/12)+1)),""))</f>
        <v/>
      </c>
      <c r="C817" s="29" t="str">
        <f t="shared" si="2"/>
        <v/>
      </c>
      <c r="D817" s="26" t="str">
        <f t="array" ref="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17" s="26" t="str">
        <f t="shared" si="3"/>
        <v/>
      </c>
      <c r="F817" s="26" t="str">
        <f t="array" ref="F817">IF(D817="","",IFERROR(INDEX(Dados_Evap!$C$2:$N$15,MATCH($B$9,Dados_Evap!$A$2:$A$15,0),C817),0))</f>
        <v/>
      </c>
      <c r="G817" s="26" t="str">
        <f t="shared" si="4"/>
        <v/>
      </c>
      <c r="H817" s="26" t="str">
        <f t="shared" si="22"/>
        <v/>
      </c>
      <c r="I817" s="26" t="str">
        <f t="array" ref="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/>
      </c>
      <c r="J817" s="26" t="str">
        <f t="shared" si="5"/>
        <v/>
      </c>
      <c r="K817" s="26" t="str">
        <f t="shared" si="6"/>
        <v/>
      </c>
      <c r="L817" s="26" t="str">
        <f t="shared" si="7"/>
        <v/>
      </c>
      <c r="M817" s="26" t="str">
        <f t="array" ref="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/>
      </c>
      <c r="N817" s="26" t="str">
        <f t="shared" si="8"/>
        <v/>
      </c>
      <c r="O817" s="26" t="str">
        <f t="shared" si="9"/>
        <v/>
      </c>
      <c r="P817" s="26" t="str">
        <f t="shared" si="10"/>
        <v/>
      </c>
      <c r="Q817" s="26" t="str">
        <f t="shared" si="11"/>
        <v/>
      </c>
      <c r="R817" s="26" t="str">
        <f t="shared" si="12"/>
        <v/>
      </c>
      <c r="S817" s="26" t="str">
        <f t="shared" si="13"/>
        <v/>
      </c>
      <c r="T817" s="26" t="str">
        <f t="shared" si="14"/>
        <v/>
      </c>
      <c r="U817" s="26" t="str">
        <f t="shared" si="15"/>
        <v/>
      </c>
      <c r="V817" s="26" t="str">
        <f t="shared" si="16"/>
        <v/>
      </c>
      <c r="W817" s="26" t="str">
        <f t="shared" si="17"/>
        <v/>
      </c>
      <c r="X817" s="26" t="str">
        <f t="shared" si="18"/>
        <v/>
      </c>
      <c r="Y817" s="26" t="str">
        <f t="shared" si="19"/>
        <v/>
      </c>
      <c r="Z817" s="31" t="str">
        <f t="shared" si="20"/>
        <v/>
      </c>
      <c r="AA817" s="31" t="str">
        <f>IF(D817="","",IF(H817&lt;=$B$16,1,IF(H817&gt;=$B$17,$B$21,MATCH(H817,Aux_CAV!$A$2:$A$121,1))))</f>
        <v/>
      </c>
      <c r="AB817" s="31" t="str">
        <f>IF(D817="","",IF(L817&lt;=$B$16,1,IF(L817&gt;=$B$17,$B$21,MATCH(L817,Aux_CAV!$A$2:$A$121,1))))</f>
        <v/>
      </c>
      <c r="AC817" s="3" t="str">
        <f t="shared" si="21"/>
        <v/>
      </c>
    </row>
    <row r="818" ht="12.75" customHeight="1">
      <c r="A818" s="25" t="str">
        <f t="shared" si="1"/>
        <v/>
      </c>
      <c r="B818" s="29" t="str">
        <f t="array" ref="B818">IF(D818="","",IFERROR(VALUE(INDEX(Vazoes_COLAR!$A$2:$A$200,INT((ROW()-24)/12)+1)),""))</f>
        <v/>
      </c>
      <c r="C818" s="29" t="str">
        <f t="shared" si="2"/>
        <v/>
      </c>
      <c r="D818" s="26" t="str">
        <f t="array" ref="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18" s="26" t="str">
        <f t="shared" si="3"/>
        <v/>
      </c>
      <c r="F818" s="26" t="str">
        <f t="array" ref="F818">IF(D818="","",IFERROR(INDEX(Dados_Evap!$C$2:$N$15,MATCH($B$9,Dados_Evap!$A$2:$A$15,0),C818),0))</f>
        <v/>
      </c>
      <c r="G818" s="26" t="str">
        <f t="shared" si="4"/>
        <v/>
      </c>
      <c r="H818" s="26" t="str">
        <f t="shared" si="22"/>
        <v/>
      </c>
      <c r="I818" s="26" t="str">
        <f t="array" ref="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/>
      </c>
      <c r="J818" s="26" t="str">
        <f t="shared" si="5"/>
        <v/>
      </c>
      <c r="K818" s="26" t="str">
        <f t="shared" si="6"/>
        <v/>
      </c>
      <c r="L818" s="26" t="str">
        <f t="shared" si="7"/>
        <v/>
      </c>
      <c r="M818" s="26" t="str">
        <f t="array" ref="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/>
      </c>
      <c r="N818" s="26" t="str">
        <f t="shared" si="8"/>
        <v/>
      </c>
      <c r="O818" s="26" t="str">
        <f t="shared" si="9"/>
        <v/>
      </c>
      <c r="P818" s="26" t="str">
        <f t="shared" si="10"/>
        <v/>
      </c>
      <c r="Q818" s="26" t="str">
        <f t="shared" si="11"/>
        <v/>
      </c>
      <c r="R818" s="26" t="str">
        <f t="shared" si="12"/>
        <v/>
      </c>
      <c r="S818" s="26" t="str">
        <f t="shared" si="13"/>
        <v/>
      </c>
      <c r="T818" s="26" t="str">
        <f t="shared" si="14"/>
        <v/>
      </c>
      <c r="U818" s="26" t="str">
        <f t="shared" si="15"/>
        <v/>
      </c>
      <c r="V818" s="26" t="str">
        <f t="shared" si="16"/>
        <v/>
      </c>
      <c r="W818" s="26" t="str">
        <f t="shared" si="17"/>
        <v/>
      </c>
      <c r="X818" s="26" t="str">
        <f t="shared" si="18"/>
        <v/>
      </c>
      <c r="Y818" s="26" t="str">
        <f t="shared" si="19"/>
        <v/>
      </c>
      <c r="Z818" s="31" t="str">
        <f t="shared" si="20"/>
        <v/>
      </c>
      <c r="AA818" s="31" t="str">
        <f>IF(D818="","",IF(H818&lt;=$B$16,1,IF(H818&gt;=$B$17,$B$21,MATCH(H818,Aux_CAV!$A$2:$A$121,1))))</f>
        <v/>
      </c>
      <c r="AB818" s="31" t="str">
        <f>IF(D818="","",IF(L818&lt;=$B$16,1,IF(L818&gt;=$B$17,$B$21,MATCH(L818,Aux_CAV!$A$2:$A$121,1))))</f>
        <v/>
      </c>
      <c r="AC818" s="3" t="str">
        <f t="shared" si="21"/>
        <v/>
      </c>
    </row>
    <row r="819" ht="12.75" customHeight="1">
      <c r="A819" s="25" t="str">
        <f t="shared" si="1"/>
        <v/>
      </c>
      <c r="B819" s="29" t="str">
        <f t="array" ref="B819">IF(D819="","",IFERROR(VALUE(INDEX(Vazoes_COLAR!$A$2:$A$200,INT((ROW()-24)/12)+1)),""))</f>
        <v/>
      </c>
      <c r="C819" s="29" t="str">
        <f t="shared" si="2"/>
        <v/>
      </c>
      <c r="D819" s="26" t="str">
        <f t="array" ref="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19" s="26" t="str">
        <f t="shared" si="3"/>
        <v/>
      </c>
      <c r="F819" s="26" t="str">
        <f t="array" ref="F819">IF(D819="","",IFERROR(INDEX(Dados_Evap!$C$2:$N$15,MATCH($B$9,Dados_Evap!$A$2:$A$15,0),C819),0))</f>
        <v/>
      </c>
      <c r="G819" s="26" t="str">
        <f t="shared" si="4"/>
        <v/>
      </c>
      <c r="H819" s="26" t="str">
        <f t="shared" si="22"/>
        <v/>
      </c>
      <c r="I819" s="26" t="str">
        <f t="array" ref="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/>
      </c>
      <c r="J819" s="26" t="str">
        <f t="shared" si="5"/>
        <v/>
      </c>
      <c r="K819" s="26" t="str">
        <f t="shared" si="6"/>
        <v/>
      </c>
      <c r="L819" s="26" t="str">
        <f t="shared" si="7"/>
        <v/>
      </c>
      <c r="M819" s="26" t="str">
        <f t="array" ref="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/>
      </c>
      <c r="N819" s="26" t="str">
        <f t="shared" si="8"/>
        <v/>
      </c>
      <c r="O819" s="26" t="str">
        <f t="shared" si="9"/>
        <v/>
      </c>
      <c r="P819" s="26" t="str">
        <f t="shared" si="10"/>
        <v/>
      </c>
      <c r="Q819" s="26" t="str">
        <f t="shared" si="11"/>
        <v/>
      </c>
      <c r="R819" s="26" t="str">
        <f t="shared" si="12"/>
        <v/>
      </c>
      <c r="S819" s="26" t="str">
        <f t="shared" si="13"/>
        <v/>
      </c>
      <c r="T819" s="26" t="str">
        <f t="shared" si="14"/>
        <v/>
      </c>
      <c r="U819" s="26" t="str">
        <f t="shared" si="15"/>
        <v/>
      </c>
      <c r="V819" s="26" t="str">
        <f t="shared" si="16"/>
        <v/>
      </c>
      <c r="W819" s="26" t="str">
        <f t="shared" si="17"/>
        <v/>
      </c>
      <c r="X819" s="26" t="str">
        <f t="shared" si="18"/>
        <v/>
      </c>
      <c r="Y819" s="26" t="str">
        <f t="shared" si="19"/>
        <v/>
      </c>
      <c r="Z819" s="31" t="str">
        <f t="shared" si="20"/>
        <v/>
      </c>
      <c r="AA819" s="31" t="str">
        <f>IF(D819="","",IF(H819&lt;=$B$16,1,IF(H819&gt;=$B$17,$B$21,MATCH(H819,Aux_CAV!$A$2:$A$121,1))))</f>
        <v/>
      </c>
      <c r="AB819" s="31" t="str">
        <f>IF(D819="","",IF(L819&lt;=$B$16,1,IF(L819&gt;=$B$17,$B$21,MATCH(L819,Aux_CAV!$A$2:$A$121,1))))</f>
        <v/>
      </c>
      <c r="AC819" s="3" t="str">
        <f t="shared" si="21"/>
        <v/>
      </c>
    </row>
    <row r="820" ht="12.75" customHeight="1">
      <c r="A820" s="25" t="str">
        <f t="shared" si="1"/>
        <v/>
      </c>
      <c r="B820" s="29" t="str">
        <f t="array" ref="B820">IF(D820="","",IFERROR(VALUE(INDEX(Vazoes_COLAR!$A$2:$A$200,INT((ROW()-24)/12)+1)),""))</f>
        <v/>
      </c>
      <c r="C820" s="29" t="str">
        <f t="shared" si="2"/>
        <v/>
      </c>
      <c r="D820" s="26" t="str">
        <f t="array" ref="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20" s="26" t="str">
        <f t="shared" si="3"/>
        <v/>
      </c>
      <c r="F820" s="26" t="str">
        <f t="array" ref="F820">IF(D820="","",IFERROR(INDEX(Dados_Evap!$C$2:$N$15,MATCH($B$9,Dados_Evap!$A$2:$A$15,0),C820),0))</f>
        <v/>
      </c>
      <c r="G820" s="26" t="str">
        <f t="shared" si="4"/>
        <v/>
      </c>
      <c r="H820" s="26" t="str">
        <f t="shared" si="22"/>
        <v/>
      </c>
      <c r="I820" s="26" t="str">
        <f t="array" ref="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/>
      </c>
      <c r="J820" s="26" t="str">
        <f t="shared" si="5"/>
        <v/>
      </c>
      <c r="K820" s="26" t="str">
        <f t="shared" si="6"/>
        <v/>
      </c>
      <c r="L820" s="26" t="str">
        <f t="shared" si="7"/>
        <v/>
      </c>
      <c r="M820" s="26" t="str">
        <f t="array" ref="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/>
      </c>
      <c r="N820" s="26" t="str">
        <f t="shared" si="8"/>
        <v/>
      </c>
      <c r="O820" s="26" t="str">
        <f t="shared" si="9"/>
        <v/>
      </c>
      <c r="P820" s="26" t="str">
        <f t="shared" si="10"/>
        <v/>
      </c>
      <c r="Q820" s="26" t="str">
        <f t="shared" si="11"/>
        <v/>
      </c>
      <c r="R820" s="26" t="str">
        <f t="shared" si="12"/>
        <v/>
      </c>
      <c r="S820" s="26" t="str">
        <f t="shared" si="13"/>
        <v/>
      </c>
      <c r="T820" s="26" t="str">
        <f t="shared" si="14"/>
        <v/>
      </c>
      <c r="U820" s="26" t="str">
        <f t="shared" si="15"/>
        <v/>
      </c>
      <c r="V820" s="26" t="str">
        <f t="shared" si="16"/>
        <v/>
      </c>
      <c r="W820" s="26" t="str">
        <f t="shared" si="17"/>
        <v/>
      </c>
      <c r="X820" s="26" t="str">
        <f t="shared" si="18"/>
        <v/>
      </c>
      <c r="Y820" s="26" t="str">
        <f t="shared" si="19"/>
        <v/>
      </c>
      <c r="Z820" s="31" t="str">
        <f t="shared" si="20"/>
        <v/>
      </c>
      <c r="AA820" s="31" t="str">
        <f>IF(D820="","",IF(H820&lt;=$B$16,1,IF(H820&gt;=$B$17,$B$21,MATCH(H820,Aux_CAV!$A$2:$A$121,1))))</f>
        <v/>
      </c>
      <c r="AB820" s="31" t="str">
        <f>IF(D820="","",IF(L820&lt;=$B$16,1,IF(L820&gt;=$B$17,$B$21,MATCH(L820,Aux_CAV!$A$2:$A$121,1))))</f>
        <v/>
      </c>
      <c r="AC820" s="3" t="str">
        <f t="shared" si="21"/>
        <v/>
      </c>
    </row>
    <row r="821" ht="12.75" customHeight="1">
      <c r="A821" s="25" t="str">
        <f t="shared" si="1"/>
        <v/>
      </c>
      <c r="B821" s="29" t="str">
        <f t="array" ref="B821">IF(D821="","",IFERROR(VALUE(INDEX(Vazoes_COLAR!$A$2:$A$200,INT((ROW()-24)/12)+1)),""))</f>
        <v/>
      </c>
      <c r="C821" s="29" t="str">
        <f t="shared" si="2"/>
        <v/>
      </c>
      <c r="D821" s="26" t="str">
        <f t="array" ref="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21" s="26" t="str">
        <f t="shared" si="3"/>
        <v/>
      </c>
      <c r="F821" s="26" t="str">
        <f t="array" ref="F821">IF(D821="","",IFERROR(INDEX(Dados_Evap!$C$2:$N$15,MATCH($B$9,Dados_Evap!$A$2:$A$15,0),C821),0))</f>
        <v/>
      </c>
      <c r="G821" s="26" t="str">
        <f t="shared" si="4"/>
        <v/>
      </c>
      <c r="H821" s="26" t="str">
        <f t="shared" si="22"/>
        <v/>
      </c>
      <c r="I821" s="26" t="str">
        <f t="array" ref="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/>
      </c>
      <c r="J821" s="26" t="str">
        <f t="shared" si="5"/>
        <v/>
      </c>
      <c r="K821" s="26" t="str">
        <f t="shared" si="6"/>
        <v/>
      </c>
      <c r="L821" s="26" t="str">
        <f t="shared" si="7"/>
        <v/>
      </c>
      <c r="M821" s="26" t="str">
        <f t="array" ref="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/>
      </c>
      <c r="N821" s="26" t="str">
        <f t="shared" si="8"/>
        <v/>
      </c>
      <c r="O821" s="26" t="str">
        <f t="shared" si="9"/>
        <v/>
      </c>
      <c r="P821" s="26" t="str">
        <f t="shared" si="10"/>
        <v/>
      </c>
      <c r="Q821" s="26" t="str">
        <f t="shared" si="11"/>
        <v/>
      </c>
      <c r="R821" s="26" t="str">
        <f t="shared" si="12"/>
        <v/>
      </c>
      <c r="S821" s="26" t="str">
        <f t="shared" si="13"/>
        <v/>
      </c>
      <c r="T821" s="26" t="str">
        <f t="shared" si="14"/>
        <v/>
      </c>
      <c r="U821" s="26" t="str">
        <f t="shared" si="15"/>
        <v/>
      </c>
      <c r="V821" s="26" t="str">
        <f t="shared" si="16"/>
        <v/>
      </c>
      <c r="W821" s="26" t="str">
        <f t="shared" si="17"/>
        <v/>
      </c>
      <c r="X821" s="26" t="str">
        <f t="shared" si="18"/>
        <v/>
      </c>
      <c r="Y821" s="26" t="str">
        <f t="shared" si="19"/>
        <v/>
      </c>
      <c r="Z821" s="31" t="str">
        <f t="shared" si="20"/>
        <v/>
      </c>
      <c r="AA821" s="31" t="str">
        <f>IF(D821="","",IF(H821&lt;=$B$16,1,IF(H821&gt;=$B$17,$B$21,MATCH(H821,Aux_CAV!$A$2:$A$121,1))))</f>
        <v/>
      </c>
      <c r="AB821" s="31" t="str">
        <f>IF(D821="","",IF(L821&lt;=$B$16,1,IF(L821&gt;=$B$17,$B$21,MATCH(L821,Aux_CAV!$A$2:$A$121,1))))</f>
        <v/>
      </c>
      <c r="AC821" s="3" t="str">
        <f t="shared" si="21"/>
        <v/>
      </c>
    </row>
    <row r="822" ht="12.75" customHeight="1">
      <c r="A822" s="25" t="str">
        <f t="shared" si="1"/>
        <v/>
      </c>
      <c r="B822" s="29" t="str">
        <f t="array" ref="B822">IF(D822="","",IFERROR(VALUE(INDEX(Vazoes_COLAR!$A$2:$A$200,INT((ROW()-24)/12)+1)),""))</f>
        <v/>
      </c>
      <c r="C822" s="29" t="str">
        <f t="shared" si="2"/>
        <v/>
      </c>
      <c r="D822" s="26" t="str">
        <f t="array" ref="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22" s="26" t="str">
        <f t="shared" si="3"/>
        <v/>
      </c>
      <c r="F822" s="26" t="str">
        <f t="array" ref="F822">IF(D822="","",IFERROR(INDEX(Dados_Evap!$C$2:$N$15,MATCH($B$9,Dados_Evap!$A$2:$A$15,0),C822),0))</f>
        <v/>
      </c>
      <c r="G822" s="26" t="str">
        <f t="shared" si="4"/>
        <v/>
      </c>
      <c r="H822" s="26" t="str">
        <f t="shared" si="22"/>
        <v/>
      </c>
      <c r="I822" s="26" t="str">
        <f t="array" ref="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/>
      </c>
      <c r="J822" s="26" t="str">
        <f t="shared" si="5"/>
        <v/>
      </c>
      <c r="K822" s="26" t="str">
        <f t="shared" si="6"/>
        <v/>
      </c>
      <c r="L822" s="26" t="str">
        <f t="shared" si="7"/>
        <v/>
      </c>
      <c r="M822" s="26" t="str">
        <f t="array" ref="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/>
      </c>
      <c r="N822" s="26" t="str">
        <f t="shared" si="8"/>
        <v/>
      </c>
      <c r="O822" s="26" t="str">
        <f t="shared" si="9"/>
        <v/>
      </c>
      <c r="P822" s="26" t="str">
        <f t="shared" si="10"/>
        <v/>
      </c>
      <c r="Q822" s="26" t="str">
        <f t="shared" si="11"/>
        <v/>
      </c>
      <c r="R822" s="26" t="str">
        <f t="shared" si="12"/>
        <v/>
      </c>
      <c r="S822" s="26" t="str">
        <f t="shared" si="13"/>
        <v/>
      </c>
      <c r="T822" s="26" t="str">
        <f t="shared" si="14"/>
        <v/>
      </c>
      <c r="U822" s="26" t="str">
        <f t="shared" si="15"/>
        <v/>
      </c>
      <c r="V822" s="26" t="str">
        <f t="shared" si="16"/>
        <v/>
      </c>
      <c r="W822" s="26" t="str">
        <f t="shared" si="17"/>
        <v/>
      </c>
      <c r="X822" s="26" t="str">
        <f t="shared" si="18"/>
        <v/>
      </c>
      <c r="Y822" s="26" t="str">
        <f t="shared" si="19"/>
        <v/>
      </c>
      <c r="Z822" s="31" t="str">
        <f t="shared" si="20"/>
        <v/>
      </c>
      <c r="AA822" s="31" t="str">
        <f>IF(D822="","",IF(H822&lt;=$B$16,1,IF(H822&gt;=$B$17,$B$21,MATCH(H822,Aux_CAV!$A$2:$A$121,1))))</f>
        <v/>
      </c>
      <c r="AB822" s="31" t="str">
        <f>IF(D822="","",IF(L822&lt;=$B$16,1,IF(L822&gt;=$B$17,$B$21,MATCH(L822,Aux_CAV!$A$2:$A$121,1))))</f>
        <v/>
      </c>
      <c r="AC822" s="3" t="str">
        <f t="shared" si="21"/>
        <v/>
      </c>
    </row>
    <row r="823" ht="12.75" customHeight="1">
      <c r="A823" s="25" t="str">
        <f t="shared" si="1"/>
        <v/>
      </c>
      <c r="B823" s="29" t="str">
        <f t="array" ref="B823">IF(D823="","",IFERROR(VALUE(INDEX(Vazoes_COLAR!$A$2:$A$200,INT((ROW()-24)/12)+1)),""))</f>
        <v/>
      </c>
      <c r="C823" s="29" t="str">
        <f t="shared" si="2"/>
        <v/>
      </c>
      <c r="D823" s="26" t="str">
        <f t="array" ref="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23" s="26" t="str">
        <f t="shared" si="3"/>
        <v/>
      </c>
      <c r="F823" s="26" t="str">
        <f t="array" ref="F823">IF(D823="","",IFERROR(INDEX(Dados_Evap!$C$2:$N$15,MATCH($B$9,Dados_Evap!$A$2:$A$15,0),C823),0))</f>
        <v/>
      </c>
      <c r="G823" s="26" t="str">
        <f t="shared" si="4"/>
        <v/>
      </c>
      <c r="H823" s="26" t="str">
        <f t="shared" si="22"/>
        <v/>
      </c>
      <c r="I823" s="26" t="str">
        <f t="array" ref="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/>
      </c>
      <c r="J823" s="26" t="str">
        <f t="shared" si="5"/>
        <v/>
      </c>
      <c r="K823" s="26" t="str">
        <f t="shared" si="6"/>
        <v/>
      </c>
      <c r="L823" s="26" t="str">
        <f t="shared" si="7"/>
        <v/>
      </c>
      <c r="M823" s="26" t="str">
        <f t="array" ref="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/>
      </c>
      <c r="N823" s="26" t="str">
        <f t="shared" si="8"/>
        <v/>
      </c>
      <c r="O823" s="26" t="str">
        <f t="shared" si="9"/>
        <v/>
      </c>
      <c r="P823" s="26" t="str">
        <f t="shared" si="10"/>
        <v/>
      </c>
      <c r="Q823" s="26" t="str">
        <f t="shared" si="11"/>
        <v/>
      </c>
      <c r="R823" s="26" t="str">
        <f t="shared" si="12"/>
        <v/>
      </c>
      <c r="S823" s="26" t="str">
        <f t="shared" si="13"/>
        <v/>
      </c>
      <c r="T823" s="26" t="str">
        <f t="shared" si="14"/>
        <v/>
      </c>
      <c r="U823" s="26" t="str">
        <f t="shared" si="15"/>
        <v/>
      </c>
      <c r="V823" s="26" t="str">
        <f t="shared" si="16"/>
        <v/>
      </c>
      <c r="W823" s="26" t="str">
        <f t="shared" si="17"/>
        <v/>
      </c>
      <c r="X823" s="26" t="str">
        <f t="shared" si="18"/>
        <v/>
      </c>
      <c r="Y823" s="26" t="str">
        <f t="shared" si="19"/>
        <v/>
      </c>
      <c r="Z823" s="31" t="str">
        <f t="shared" si="20"/>
        <v/>
      </c>
      <c r="AA823" s="31" t="str">
        <f>IF(D823="","",IF(H823&lt;=$B$16,1,IF(H823&gt;=$B$17,$B$21,MATCH(H823,Aux_CAV!$A$2:$A$121,1))))</f>
        <v/>
      </c>
      <c r="AB823" s="31" t="str">
        <f>IF(D823="","",IF(L823&lt;=$B$16,1,IF(L823&gt;=$B$17,$B$21,MATCH(L823,Aux_CAV!$A$2:$A$121,1))))</f>
        <v/>
      </c>
      <c r="AC823" s="3" t="str">
        <f t="shared" si="21"/>
        <v/>
      </c>
    </row>
    <row r="824" ht="12.75" customHeight="1">
      <c r="A824" s="25" t="str">
        <f t="shared" si="1"/>
        <v/>
      </c>
      <c r="B824" s="29" t="str">
        <f t="array" ref="B824">IF(D824="","",IFERROR(VALUE(INDEX(Vazoes_COLAR!$A$2:$A$200,INT((ROW()-24)/12)+1)),""))</f>
        <v/>
      </c>
      <c r="C824" s="29" t="str">
        <f t="shared" si="2"/>
        <v/>
      </c>
      <c r="D824" s="26" t="str">
        <f t="array" ref="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24" s="26" t="str">
        <f t="shared" si="3"/>
        <v/>
      </c>
      <c r="F824" s="26" t="str">
        <f t="array" ref="F824">IF(D824="","",IFERROR(INDEX(Dados_Evap!$C$2:$N$15,MATCH($B$9,Dados_Evap!$A$2:$A$15,0),C824),0))</f>
        <v/>
      </c>
      <c r="G824" s="26" t="str">
        <f t="shared" si="4"/>
        <v/>
      </c>
      <c r="H824" s="26" t="str">
        <f t="shared" si="22"/>
        <v/>
      </c>
      <c r="I824" s="26" t="str">
        <f t="array" ref="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/>
      </c>
      <c r="J824" s="26" t="str">
        <f t="shared" si="5"/>
        <v/>
      </c>
      <c r="K824" s="26" t="str">
        <f t="shared" si="6"/>
        <v/>
      </c>
      <c r="L824" s="26" t="str">
        <f t="shared" si="7"/>
        <v/>
      </c>
      <c r="M824" s="26" t="str">
        <f t="array" ref="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/>
      </c>
      <c r="N824" s="26" t="str">
        <f t="shared" si="8"/>
        <v/>
      </c>
      <c r="O824" s="26" t="str">
        <f t="shared" si="9"/>
        <v/>
      </c>
      <c r="P824" s="26" t="str">
        <f t="shared" si="10"/>
        <v/>
      </c>
      <c r="Q824" s="26" t="str">
        <f t="shared" si="11"/>
        <v/>
      </c>
      <c r="R824" s="26" t="str">
        <f t="shared" si="12"/>
        <v/>
      </c>
      <c r="S824" s="26" t="str">
        <f t="shared" si="13"/>
        <v/>
      </c>
      <c r="T824" s="26" t="str">
        <f t="shared" si="14"/>
        <v/>
      </c>
      <c r="U824" s="26" t="str">
        <f t="shared" si="15"/>
        <v/>
      </c>
      <c r="V824" s="26" t="str">
        <f t="shared" si="16"/>
        <v/>
      </c>
      <c r="W824" s="26" t="str">
        <f t="shared" si="17"/>
        <v/>
      </c>
      <c r="X824" s="26" t="str">
        <f t="shared" si="18"/>
        <v/>
      </c>
      <c r="Y824" s="26" t="str">
        <f t="shared" si="19"/>
        <v/>
      </c>
      <c r="Z824" s="31" t="str">
        <f t="shared" si="20"/>
        <v/>
      </c>
      <c r="AA824" s="31" t="str">
        <f>IF(D824="","",IF(H824&lt;=$B$16,1,IF(H824&gt;=$B$17,$B$21,MATCH(H824,Aux_CAV!$A$2:$A$121,1))))</f>
        <v/>
      </c>
      <c r="AB824" s="31" t="str">
        <f>IF(D824="","",IF(L824&lt;=$B$16,1,IF(L824&gt;=$B$17,$B$21,MATCH(L824,Aux_CAV!$A$2:$A$121,1))))</f>
        <v/>
      </c>
      <c r="AC824" s="3" t="str">
        <f t="shared" si="21"/>
        <v/>
      </c>
    </row>
    <row r="825" ht="12.75" customHeight="1">
      <c r="A825" s="25" t="str">
        <f t="shared" si="1"/>
        <v/>
      </c>
      <c r="B825" s="29" t="str">
        <f t="array" ref="B825">IF(D825="","",IFERROR(VALUE(INDEX(Vazoes_COLAR!$A$2:$A$200,INT((ROW()-24)/12)+1)),""))</f>
        <v/>
      </c>
      <c r="C825" s="29" t="str">
        <f t="shared" si="2"/>
        <v/>
      </c>
      <c r="D825" s="26" t="str">
        <f t="array" ref="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25" s="26" t="str">
        <f t="shared" si="3"/>
        <v/>
      </c>
      <c r="F825" s="26" t="str">
        <f t="array" ref="F825">IF(D825="","",IFERROR(INDEX(Dados_Evap!$C$2:$N$15,MATCH($B$9,Dados_Evap!$A$2:$A$15,0),C825),0))</f>
        <v/>
      </c>
      <c r="G825" s="26" t="str">
        <f t="shared" si="4"/>
        <v/>
      </c>
      <c r="H825" s="26" t="str">
        <f t="shared" si="22"/>
        <v/>
      </c>
      <c r="I825" s="26" t="str">
        <f t="array" ref="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/>
      </c>
      <c r="J825" s="26" t="str">
        <f t="shared" si="5"/>
        <v/>
      </c>
      <c r="K825" s="26" t="str">
        <f t="shared" si="6"/>
        <v/>
      </c>
      <c r="L825" s="26" t="str">
        <f t="shared" si="7"/>
        <v/>
      </c>
      <c r="M825" s="26" t="str">
        <f t="array" ref="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/>
      </c>
      <c r="N825" s="26" t="str">
        <f t="shared" si="8"/>
        <v/>
      </c>
      <c r="O825" s="26" t="str">
        <f t="shared" si="9"/>
        <v/>
      </c>
      <c r="P825" s="26" t="str">
        <f t="shared" si="10"/>
        <v/>
      </c>
      <c r="Q825" s="26" t="str">
        <f t="shared" si="11"/>
        <v/>
      </c>
      <c r="R825" s="26" t="str">
        <f t="shared" si="12"/>
        <v/>
      </c>
      <c r="S825" s="26" t="str">
        <f t="shared" si="13"/>
        <v/>
      </c>
      <c r="T825" s="26" t="str">
        <f t="shared" si="14"/>
        <v/>
      </c>
      <c r="U825" s="26" t="str">
        <f t="shared" si="15"/>
        <v/>
      </c>
      <c r="V825" s="26" t="str">
        <f t="shared" si="16"/>
        <v/>
      </c>
      <c r="W825" s="26" t="str">
        <f t="shared" si="17"/>
        <v/>
      </c>
      <c r="X825" s="26" t="str">
        <f t="shared" si="18"/>
        <v/>
      </c>
      <c r="Y825" s="26" t="str">
        <f t="shared" si="19"/>
        <v/>
      </c>
      <c r="Z825" s="31" t="str">
        <f t="shared" si="20"/>
        <v/>
      </c>
      <c r="AA825" s="31" t="str">
        <f>IF(D825="","",IF(H825&lt;=$B$16,1,IF(H825&gt;=$B$17,$B$21,MATCH(H825,Aux_CAV!$A$2:$A$121,1))))</f>
        <v/>
      </c>
      <c r="AB825" s="31" t="str">
        <f>IF(D825="","",IF(L825&lt;=$B$16,1,IF(L825&gt;=$B$17,$B$21,MATCH(L825,Aux_CAV!$A$2:$A$121,1))))</f>
        <v/>
      </c>
      <c r="AC825" s="3" t="str">
        <f t="shared" si="21"/>
        <v/>
      </c>
    </row>
    <row r="826" ht="12.75" customHeight="1">
      <c r="A826" s="25" t="str">
        <f t="shared" si="1"/>
        <v/>
      </c>
      <c r="B826" s="29" t="str">
        <f t="array" ref="B826">IF(D826="","",IFERROR(VALUE(INDEX(Vazoes_COLAR!$A$2:$A$200,INT((ROW()-24)/12)+1)),""))</f>
        <v/>
      </c>
      <c r="C826" s="29" t="str">
        <f t="shared" si="2"/>
        <v/>
      </c>
      <c r="D826" s="26" t="str">
        <f t="array" ref="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26" s="26" t="str">
        <f t="shared" si="3"/>
        <v/>
      </c>
      <c r="F826" s="26" t="str">
        <f t="array" ref="F826">IF(D826="","",IFERROR(INDEX(Dados_Evap!$C$2:$N$15,MATCH($B$9,Dados_Evap!$A$2:$A$15,0),C826),0))</f>
        <v/>
      </c>
      <c r="G826" s="26" t="str">
        <f t="shared" si="4"/>
        <v/>
      </c>
      <c r="H826" s="26" t="str">
        <f t="shared" si="22"/>
        <v/>
      </c>
      <c r="I826" s="26" t="str">
        <f t="array" ref="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/>
      </c>
      <c r="J826" s="26" t="str">
        <f t="shared" si="5"/>
        <v/>
      </c>
      <c r="K826" s="26" t="str">
        <f t="shared" si="6"/>
        <v/>
      </c>
      <c r="L826" s="26" t="str">
        <f t="shared" si="7"/>
        <v/>
      </c>
      <c r="M826" s="26" t="str">
        <f t="array" ref="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/>
      </c>
      <c r="N826" s="26" t="str">
        <f t="shared" si="8"/>
        <v/>
      </c>
      <c r="O826" s="26" t="str">
        <f t="shared" si="9"/>
        <v/>
      </c>
      <c r="P826" s="26" t="str">
        <f t="shared" si="10"/>
        <v/>
      </c>
      <c r="Q826" s="26" t="str">
        <f t="shared" si="11"/>
        <v/>
      </c>
      <c r="R826" s="26" t="str">
        <f t="shared" si="12"/>
        <v/>
      </c>
      <c r="S826" s="26" t="str">
        <f t="shared" si="13"/>
        <v/>
      </c>
      <c r="T826" s="26" t="str">
        <f t="shared" si="14"/>
        <v/>
      </c>
      <c r="U826" s="26" t="str">
        <f t="shared" si="15"/>
        <v/>
      </c>
      <c r="V826" s="26" t="str">
        <f t="shared" si="16"/>
        <v/>
      </c>
      <c r="W826" s="26" t="str">
        <f t="shared" si="17"/>
        <v/>
      </c>
      <c r="X826" s="26" t="str">
        <f t="shared" si="18"/>
        <v/>
      </c>
      <c r="Y826" s="26" t="str">
        <f t="shared" si="19"/>
        <v/>
      </c>
      <c r="Z826" s="31" t="str">
        <f t="shared" si="20"/>
        <v/>
      </c>
      <c r="AA826" s="31" t="str">
        <f>IF(D826="","",IF(H826&lt;=$B$16,1,IF(H826&gt;=$B$17,$B$21,MATCH(H826,Aux_CAV!$A$2:$A$121,1))))</f>
        <v/>
      </c>
      <c r="AB826" s="31" t="str">
        <f>IF(D826="","",IF(L826&lt;=$B$16,1,IF(L826&gt;=$B$17,$B$21,MATCH(L826,Aux_CAV!$A$2:$A$121,1))))</f>
        <v/>
      </c>
      <c r="AC826" s="3" t="str">
        <f t="shared" si="21"/>
        <v/>
      </c>
    </row>
    <row r="827" ht="12.75" customHeight="1">
      <c r="A827" s="25" t="str">
        <f t="shared" si="1"/>
        <v/>
      </c>
      <c r="B827" s="29" t="str">
        <f t="array" ref="B827">IF(D827="","",IFERROR(VALUE(INDEX(Vazoes_COLAR!$A$2:$A$200,INT((ROW()-24)/12)+1)),""))</f>
        <v/>
      </c>
      <c r="C827" s="29" t="str">
        <f t="shared" si="2"/>
        <v/>
      </c>
      <c r="D827" s="26" t="str">
        <f t="array" ref="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27" s="26" t="str">
        <f t="shared" si="3"/>
        <v/>
      </c>
      <c r="F827" s="26" t="str">
        <f t="array" ref="F827">IF(D827="","",IFERROR(INDEX(Dados_Evap!$C$2:$N$15,MATCH($B$9,Dados_Evap!$A$2:$A$15,0),C827),0))</f>
        <v/>
      </c>
      <c r="G827" s="26" t="str">
        <f t="shared" si="4"/>
        <v/>
      </c>
      <c r="H827" s="26" t="str">
        <f t="shared" si="22"/>
        <v/>
      </c>
      <c r="I827" s="26" t="str">
        <f t="array" ref="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/>
      </c>
      <c r="J827" s="26" t="str">
        <f t="shared" si="5"/>
        <v/>
      </c>
      <c r="K827" s="26" t="str">
        <f t="shared" si="6"/>
        <v/>
      </c>
      <c r="L827" s="26" t="str">
        <f t="shared" si="7"/>
        <v/>
      </c>
      <c r="M827" s="26" t="str">
        <f t="array" ref="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/>
      </c>
      <c r="N827" s="26" t="str">
        <f t="shared" si="8"/>
        <v/>
      </c>
      <c r="O827" s="26" t="str">
        <f t="shared" si="9"/>
        <v/>
      </c>
      <c r="P827" s="26" t="str">
        <f t="shared" si="10"/>
        <v/>
      </c>
      <c r="Q827" s="26" t="str">
        <f t="shared" si="11"/>
        <v/>
      </c>
      <c r="R827" s="26" t="str">
        <f t="shared" si="12"/>
        <v/>
      </c>
      <c r="S827" s="26" t="str">
        <f t="shared" si="13"/>
        <v/>
      </c>
      <c r="T827" s="26" t="str">
        <f t="shared" si="14"/>
        <v/>
      </c>
      <c r="U827" s="26" t="str">
        <f t="shared" si="15"/>
        <v/>
      </c>
      <c r="V827" s="26" t="str">
        <f t="shared" si="16"/>
        <v/>
      </c>
      <c r="W827" s="26" t="str">
        <f t="shared" si="17"/>
        <v/>
      </c>
      <c r="X827" s="26" t="str">
        <f t="shared" si="18"/>
        <v/>
      </c>
      <c r="Y827" s="26" t="str">
        <f t="shared" si="19"/>
        <v/>
      </c>
      <c r="Z827" s="31" t="str">
        <f t="shared" si="20"/>
        <v/>
      </c>
      <c r="AA827" s="31" t="str">
        <f>IF(D827="","",IF(H827&lt;=$B$16,1,IF(H827&gt;=$B$17,$B$21,MATCH(H827,Aux_CAV!$A$2:$A$121,1))))</f>
        <v/>
      </c>
      <c r="AB827" s="31" t="str">
        <f>IF(D827="","",IF(L827&lt;=$B$16,1,IF(L827&gt;=$B$17,$B$21,MATCH(L827,Aux_CAV!$A$2:$A$121,1))))</f>
        <v/>
      </c>
      <c r="AC827" s="3" t="str">
        <f t="shared" si="21"/>
        <v/>
      </c>
    </row>
    <row r="828" ht="12.75" customHeight="1">
      <c r="A828" s="25" t="str">
        <f t="shared" si="1"/>
        <v/>
      </c>
      <c r="B828" s="29" t="str">
        <f t="array" ref="B828">IF(D828="","",IFERROR(VALUE(INDEX(Vazoes_COLAR!$A$2:$A$200,INT((ROW()-24)/12)+1)),""))</f>
        <v/>
      </c>
      <c r="C828" s="29" t="str">
        <f t="shared" si="2"/>
        <v/>
      </c>
      <c r="D828" s="26" t="str">
        <f t="array" ref="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28" s="26" t="str">
        <f t="shared" si="3"/>
        <v/>
      </c>
      <c r="F828" s="26" t="str">
        <f t="array" ref="F828">IF(D828="","",IFERROR(INDEX(Dados_Evap!$C$2:$N$15,MATCH($B$9,Dados_Evap!$A$2:$A$15,0),C828),0))</f>
        <v/>
      </c>
      <c r="G828" s="26" t="str">
        <f t="shared" si="4"/>
        <v/>
      </c>
      <c r="H828" s="26" t="str">
        <f t="shared" si="22"/>
        <v/>
      </c>
      <c r="I828" s="26" t="str">
        <f t="array" ref="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/>
      </c>
      <c r="J828" s="26" t="str">
        <f t="shared" si="5"/>
        <v/>
      </c>
      <c r="K828" s="26" t="str">
        <f t="shared" si="6"/>
        <v/>
      </c>
      <c r="L828" s="26" t="str">
        <f t="shared" si="7"/>
        <v/>
      </c>
      <c r="M828" s="26" t="str">
        <f t="array" ref="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/>
      </c>
      <c r="N828" s="26" t="str">
        <f t="shared" si="8"/>
        <v/>
      </c>
      <c r="O828" s="26" t="str">
        <f t="shared" si="9"/>
        <v/>
      </c>
      <c r="P828" s="26" t="str">
        <f t="shared" si="10"/>
        <v/>
      </c>
      <c r="Q828" s="26" t="str">
        <f t="shared" si="11"/>
        <v/>
      </c>
      <c r="R828" s="26" t="str">
        <f t="shared" si="12"/>
        <v/>
      </c>
      <c r="S828" s="26" t="str">
        <f t="shared" si="13"/>
        <v/>
      </c>
      <c r="T828" s="26" t="str">
        <f t="shared" si="14"/>
        <v/>
      </c>
      <c r="U828" s="26" t="str">
        <f t="shared" si="15"/>
        <v/>
      </c>
      <c r="V828" s="26" t="str">
        <f t="shared" si="16"/>
        <v/>
      </c>
      <c r="W828" s="26" t="str">
        <f t="shared" si="17"/>
        <v/>
      </c>
      <c r="X828" s="26" t="str">
        <f t="shared" si="18"/>
        <v/>
      </c>
      <c r="Y828" s="26" t="str">
        <f t="shared" si="19"/>
        <v/>
      </c>
      <c r="Z828" s="31" t="str">
        <f t="shared" si="20"/>
        <v/>
      </c>
      <c r="AA828" s="31" t="str">
        <f>IF(D828="","",IF(H828&lt;=$B$16,1,IF(H828&gt;=$B$17,$B$21,MATCH(H828,Aux_CAV!$A$2:$A$121,1))))</f>
        <v/>
      </c>
      <c r="AB828" s="31" t="str">
        <f>IF(D828="","",IF(L828&lt;=$B$16,1,IF(L828&gt;=$B$17,$B$21,MATCH(L828,Aux_CAV!$A$2:$A$121,1))))</f>
        <v/>
      </c>
      <c r="AC828" s="3" t="str">
        <f t="shared" si="21"/>
        <v/>
      </c>
    </row>
    <row r="829" ht="12.75" customHeight="1">
      <c r="A829" s="25" t="str">
        <f t="shared" si="1"/>
        <v/>
      </c>
      <c r="B829" s="29" t="str">
        <f t="array" ref="B829">IF(D829="","",IFERROR(VALUE(INDEX(Vazoes_COLAR!$A$2:$A$200,INT((ROW()-24)/12)+1)),""))</f>
        <v/>
      </c>
      <c r="C829" s="29" t="str">
        <f t="shared" si="2"/>
        <v/>
      </c>
      <c r="D829" s="26" t="str">
        <f t="array" ref="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29" s="26" t="str">
        <f t="shared" si="3"/>
        <v/>
      </c>
      <c r="F829" s="26" t="str">
        <f t="array" ref="F829">IF(D829="","",IFERROR(INDEX(Dados_Evap!$C$2:$N$15,MATCH($B$9,Dados_Evap!$A$2:$A$15,0),C829),0))</f>
        <v/>
      </c>
      <c r="G829" s="26" t="str">
        <f t="shared" si="4"/>
        <v/>
      </c>
      <c r="H829" s="26" t="str">
        <f t="shared" si="22"/>
        <v/>
      </c>
      <c r="I829" s="26" t="str">
        <f t="array" ref="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/>
      </c>
      <c r="J829" s="26" t="str">
        <f t="shared" si="5"/>
        <v/>
      </c>
      <c r="K829" s="26" t="str">
        <f t="shared" si="6"/>
        <v/>
      </c>
      <c r="L829" s="26" t="str">
        <f t="shared" si="7"/>
        <v/>
      </c>
      <c r="M829" s="26" t="str">
        <f t="array" ref="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/>
      </c>
      <c r="N829" s="26" t="str">
        <f t="shared" si="8"/>
        <v/>
      </c>
      <c r="O829" s="26" t="str">
        <f t="shared" si="9"/>
        <v/>
      </c>
      <c r="P829" s="26" t="str">
        <f t="shared" si="10"/>
        <v/>
      </c>
      <c r="Q829" s="26" t="str">
        <f t="shared" si="11"/>
        <v/>
      </c>
      <c r="R829" s="26" t="str">
        <f t="shared" si="12"/>
        <v/>
      </c>
      <c r="S829" s="26" t="str">
        <f t="shared" si="13"/>
        <v/>
      </c>
      <c r="T829" s="26" t="str">
        <f t="shared" si="14"/>
        <v/>
      </c>
      <c r="U829" s="26" t="str">
        <f t="shared" si="15"/>
        <v/>
      </c>
      <c r="V829" s="26" t="str">
        <f t="shared" si="16"/>
        <v/>
      </c>
      <c r="W829" s="26" t="str">
        <f t="shared" si="17"/>
        <v/>
      </c>
      <c r="X829" s="26" t="str">
        <f t="shared" si="18"/>
        <v/>
      </c>
      <c r="Y829" s="26" t="str">
        <f t="shared" si="19"/>
        <v/>
      </c>
      <c r="Z829" s="31" t="str">
        <f t="shared" si="20"/>
        <v/>
      </c>
      <c r="AA829" s="31" t="str">
        <f>IF(D829="","",IF(H829&lt;=$B$16,1,IF(H829&gt;=$B$17,$B$21,MATCH(H829,Aux_CAV!$A$2:$A$121,1))))</f>
        <v/>
      </c>
      <c r="AB829" s="31" t="str">
        <f>IF(D829="","",IF(L829&lt;=$B$16,1,IF(L829&gt;=$B$17,$B$21,MATCH(L829,Aux_CAV!$A$2:$A$121,1))))</f>
        <v/>
      </c>
      <c r="AC829" s="3" t="str">
        <f t="shared" si="21"/>
        <v/>
      </c>
    </row>
    <row r="830" ht="12.75" customHeight="1">
      <c r="A830" s="25" t="str">
        <f t="shared" si="1"/>
        <v/>
      </c>
      <c r="B830" s="29" t="str">
        <f t="array" ref="B830">IF(D830="","",IFERROR(VALUE(INDEX(Vazoes_COLAR!$A$2:$A$200,INT((ROW()-24)/12)+1)),""))</f>
        <v/>
      </c>
      <c r="C830" s="29" t="str">
        <f t="shared" si="2"/>
        <v/>
      </c>
      <c r="D830" s="26" t="str">
        <f t="array" ref="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30" s="26" t="str">
        <f t="shared" si="3"/>
        <v/>
      </c>
      <c r="F830" s="26" t="str">
        <f t="array" ref="F830">IF(D830="","",IFERROR(INDEX(Dados_Evap!$C$2:$N$15,MATCH($B$9,Dados_Evap!$A$2:$A$15,0),C830),0))</f>
        <v/>
      </c>
      <c r="G830" s="26" t="str">
        <f t="shared" si="4"/>
        <v/>
      </c>
      <c r="H830" s="26" t="str">
        <f t="shared" si="22"/>
        <v/>
      </c>
      <c r="I830" s="26" t="str">
        <f t="array" ref="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/>
      </c>
      <c r="J830" s="26" t="str">
        <f t="shared" si="5"/>
        <v/>
      </c>
      <c r="K830" s="26" t="str">
        <f t="shared" si="6"/>
        <v/>
      </c>
      <c r="L830" s="26" t="str">
        <f t="shared" si="7"/>
        <v/>
      </c>
      <c r="M830" s="26" t="str">
        <f t="array" ref="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/>
      </c>
      <c r="N830" s="26" t="str">
        <f t="shared" si="8"/>
        <v/>
      </c>
      <c r="O830" s="26" t="str">
        <f t="shared" si="9"/>
        <v/>
      </c>
      <c r="P830" s="26" t="str">
        <f t="shared" si="10"/>
        <v/>
      </c>
      <c r="Q830" s="26" t="str">
        <f t="shared" si="11"/>
        <v/>
      </c>
      <c r="R830" s="26" t="str">
        <f t="shared" si="12"/>
        <v/>
      </c>
      <c r="S830" s="26" t="str">
        <f t="shared" si="13"/>
        <v/>
      </c>
      <c r="T830" s="26" t="str">
        <f t="shared" si="14"/>
        <v/>
      </c>
      <c r="U830" s="26" t="str">
        <f t="shared" si="15"/>
        <v/>
      </c>
      <c r="V830" s="26" t="str">
        <f t="shared" si="16"/>
        <v/>
      </c>
      <c r="W830" s="26" t="str">
        <f t="shared" si="17"/>
        <v/>
      </c>
      <c r="X830" s="26" t="str">
        <f t="shared" si="18"/>
        <v/>
      </c>
      <c r="Y830" s="26" t="str">
        <f t="shared" si="19"/>
        <v/>
      </c>
      <c r="Z830" s="31" t="str">
        <f t="shared" si="20"/>
        <v/>
      </c>
      <c r="AA830" s="31" t="str">
        <f>IF(D830="","",IF(H830&lt;=$B$16,1,IF(H830&gt;=$B$17,$B$21,MATCH(H830,Aux_CAV!$A$2:$A$121,1))))</f>
        <v/>
      </c>
      <c r="AB830" s="31" t="str">
        <f>IF(D830="","",IF(L830&lt;=$B$16,1,IF(L830&gt;=$B$17,$B$21,MATCH(L830,Aux_CAV!$A$2:$A$121,1))))</f>
        <v/>
      </c>
      <c r="AC830" s="3" t="str">
        <f t="shared" si="21"/>
        <v/>
      </c>
    </row>
    <row r="831" ht="12.75" customHeight="1">
      <c r="A831" s="25" t="str">
        <f t="shared" si="1"/>
        <v/>
      </c>
      <c r="B831" s="29" t="str">
        <f t="array" ref="B831">IF(D831="","",IFERROR(VALUE(INDEX(Vazoes_COLAR!$A$2:$A$200,INT((ROW()-24)/12)+1)),""))</f>
        <v/>
      </c>
      <c r="C831" s="29" t="str">
        <f t="shared" si="2"/>
        <v/>
      </c>
      <c r="D831" s="26" t="str">
        <f t="array" ref="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31" s="26" t="str">
        <f t="shared" si="3"/>
        <v/>
      </c>
      <c r="F831" s="26" t="str">
        <f t="array" ref="F831">IF(D831="","",IFERROR(INDEX(Dados_Evap!$C$2:$N$15,MATCH($B$9,Dados_Evap!$A$2:$A$15,0),C831),0))</f>
        <v/>
      </c>
      <c r="G831" s="26" t="str">
        <f t="shared" si="4"/>
        <v/>
      </c>
      <c r="H831" s="26" t="str">
        <f t="shared" si="22"/>
        <v/>
      </c>
      <c r="I831" s="26" t="str">
        <f t="array" ref="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/>
      </c>
      <c r="J831" s="26" t="str">
        <f t="shared" si="5"/>
        <v/>
      </c>
      <c r="K831" s="26" t="str">
        <f t="shared" si="6"/>
        <v/>
      </c>
      <c r="L831" s="26" t="str">
        <f t="shared" si="7"/>
        <v/>
      </c>
      <c r="M831" s="26" t="str">
        <f t="array" ref="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/>
      </c>
      <c r="N831" s="26" t="str">
        <f t="shared" si="8"/>
        <v/>
      </c>
      <c r="O831" s="26" t="str">
        <f t="shared" si="9"/>
        <v/>
      </c>
      <c r="P831" s="26" t="str">
        <f t="shared" si="10"/>
        <v/>
      </c>
      <c r="Q831" s="26" t="str">
        <f t="shared" si="11"/>
        <v/>
      </c>
      <c r="R831" s="26" t="str">
        <f t="shared" si="12"/>
        <v/>
      </c>
      <c r="S831" s="26" t="str">
        <f t="shared" si="13"/>
        <v/>
      </c>
      <c r="T831" s="26" t="str">
        <f t="shared" si="14"/>
        <v/>
      </c>
      <c r="U831" s="26" t="str">
        <f t="shared" si="15"/>
        <v/>
      </c>
      <c r="V831" s="26" t="str">
        <f t="shared" si="16"/>
        <v/>
      </c>
      <c r="W831" s="26" t="str">
        <f t="shared" si="17"/>
        <v/>
      </c>
      <c r="X831" s="26" t="str">
        <f t="shared" si="18"/>
        <v/>
      </c>
      <c r="Y831" s="26" t="str">
        <f t="shared" si="19"/>
        <v/>
      </c>
      <c r="Z831" s="31" t="str">
        <f t="shared" si="20"/>
        <v/>
      </c>
      <c r="AA831" s="31" t="str">
        <f>IF(D831="","",IF(H831&lt;=$B$16,1,IF(H831&gt;=$B$17,$B$21,MATCH(H831,Aux_CAV!$A$2:$A$121,1))))</f>
        <v/>
      </c>
      <c r="AB831" s="31" t="str">
        <f>IF(D831="","",IF(L831&lt;=$B$16,1,IF(L831&gt;=$B$17,$B$21,MATCH(L831,Aux_CAV!$A$2:$A$121,1))))</f>
        <v/>
      </c>
      <c r="AC831" s="3" t="str">
        <f t="shared" si="21"/>
        <v/>
      </c>
    </row>
    <row r="832" ht="12.75" customHeight="1">
      <c r="A832" s="25" t="str">
        <f t="shared" si="1"/>
        <v/>
      </c>
      <c r="B832" s="29" t="str">
        <f t="array" ref="B832">IF(D832="","",IFERROR(VALUE(INDEX(Vazoes_COLAR!$A$2:$A$200,INT((ROW()-24)/12)+1)),""))</f>
        <v/>
      </c>
      <c r="C832" s="29" t="str">
        <f t="shared" si="2"/>
        <v/>
      </c>
      <c r="D832" s="26" t="str">
        <f t="array" ref="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32" s="26" t="str">
        <f t="shared" si="3"/>
        <v/>
      </c>
      <c r="F832" s="26" t="str">
        <f t="array" ref="F832">IF(D832="","",IFERROR(INDEX(Dados_Evap!$C$2:$N$15,MATCH($B$9,Dados_Evap!$A$2:$A$15,0),C832),0))</f>
        <v/>
      </c>
      <c r="G832" s="26" t="str">
        <f t="shared" si="4"/>
        <v/>
      </c>
      <c r="H832" s="26" t="str">
        <f t="shared" si="22"/>
        <v/>
      </c>
      <c r="I832" s="26" t="str">
        <f t="array" ref="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/>
      </c>
      <c r="J832" s="26" t="str">
        <f t="shared" si="5"/>
        <v/>
      </c>
      <c r="K832" s="26" t="str">
        <f t="shared" si="6"/>
        <v/>
      </c>
      <c r="L832" s="26" t="str">
        <f t="shared" si="7"/>
        <v/>
      </c>
      <c r="M832" s="26" t="str">
        <f t="array" ref="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/>
      </c>
      <c r="N832" s="26" t="str">
        <f t="shared" si="8"/>
        <v/>
      </c>
      <c r="O832" s="26" t="str">
        <f t="shared" si="9"/>
        <v/>
      </c>
      <c r="P832" s="26" t="str">
        <f t="shared" si="10"/>
        <v/>
      </c>
      <c r="Q832" s="26" t="str">
        <f t="shared" si="11"/>
        <v/>
      </c>
      <c r="R832" s="26" t="str">
        <f t="shared" si="12"/>
        <v/>
      </c>
      <c r="S832" s="26" t="str">
        <f t="shared" si="13"/>
        <v/>
      </c>
      <c r="T832" s="26" t="str">
        <f t="shared" si="14"/>
        <v/>
      </c>
      <c r="U832" s="26" t="str">
        <f t="shared" si="15"/>
        <v/>
      </c>
      <c r="V832" s="26" t="str">
        <f t="shared" si="16"/>
        <v/>
      </c>
      <c r="W832" s="26" t="str">
        <f t="shared" si="17"/>
        <v/>
      </c>
      <c r="X832" s="26" t="str">
        <f t="shared" si="18"/>
        <v/>
      </c>
      <c r="Y832" s="26" t="str">
        <f t="shared" si="19"/>
        <v/>
      </c>
      <c r="Z832" s="31" t="str">
        <f t="shared" si="20"/>
        <v/>
      </c>
      <c r="AA832" s="31" t="str">
        <f>IF(D832="","",IF(H832&lt;=$B$16,1,IF(H832&gt;=$B$17,$B$21,MATCH(H832,Aux_CAV!$A$2:$A$121,1))))</f>
        <v/>
      </c>
      <c r="AB832" s="31" t="str">
        <f>IF(D832="","",IF(L832&lt;=$B$16,1,IF(L832&gt;=$B$17,$B$21,MATCH(L832,Aux_CAV!$A$2:$A$121,1))))</f>
        <v/>
      </c>
      <c r="AC832" s="3" t="str">
        <f t="shared" si="21"/>
        <v/>
      </c>
    </row>
    <row r="833" ht="12.75" customHeight="1">
      <c r="A833" s="25" t="str">
        <f t="shared" si="1"/>
        <v/>
      </c>
      <c r="B833" s="29" t="str">
        <f t="array" ref="B833">IF(D833="","",IFERROR(VALUE(INDEX(Vazoes_COLAR!$A$2:$A$200,INT((ROW()-24)/12)+1)),""))</f>
        <v/>
      </c>
      <c r="C833" s="29" t="str">
        <f t="shared" si="2"/>
        <v/>
      </c>
      <c r="D833" s="26" t="str">
        <f t="array" ref="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33" s="26" t="str">
        <f t="shared" si="3"/>
        <v/>
      </c>
      <c r="F833" s="26" t="str">
        <f t="array" ref="F833">IF(D833="","",IFERROR(INDEX(Dados_Evap!$C$2:$N$15,MATCH($B$9,Dados_Evap!$A$2:$A$15,0),C833),0))</f>
        <v/>
      </c>
      <c r="G833" s="26" t="str">
        <f t="shared" si="4"/>
        <v/>
      </c>
      <c r="H833" s="26" t="str">
        <f t="shared" si="22"/>
        <v/>
      </c>
      <c r="I833" s="26" t="str">
        <f t="array" ref="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/>
      </c>
      <c r="J833" s="26" t="str">
        <f t="shared" si="5"/>
        <v/>
      </c>
      <c r="K833" s="26" t="str">
        <f t="shared" si="6"/>
        <v/>
      </c>
      <c r="L833" s="26" t="str">
        <f t="shared" si="7"/>
        <v/>
      </c>
      <c r="M833" s="26" t="str">
        <f t="array" ref="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/>
      </c>
      <c r="N833" s="26" t="str">
        <f t="shared" si="8"/>
        <v/>
      </c>
      <c r="O833" s="26" t="str">
        <f t="shared" si="9"/>
        <v/>
      </c>
      <c r="P833" s="26" t="str">
        <f t="shared" si="10"/>
        <v/>
      </c>
      <c r="Q833" s="26" t="str">
        <f t="shared" si="11"/>
        <v/>
      </c>
      <c r="R833" s="26" t="str">
        <f t="shared" si="12"/>
        <v/>
      </c>
      <c r="S833" s="26" t="str">
        <f t="shared" si="13"/>
        <v/>
      </c>
      <c r="T833" s="26" t="str">
        <f t="shared" si="14"/>
        <v/>
      </c>
      <c r="U833" s="26" t="str">
        <f t="shared" si="15"/>
        <v/>
      </c>
      <c r="V833" s="26" t="str">
        <f t="shared" si="16"/>
        <v/>
      </c>
      <c r="W833" s="26" t="str">
        <f t="shared" si="17"/>
        <v/>
      </c>
      <c r="X833" s="26" t="str">
        <f t="shared" si="18"/>
        <v/>
      </c>
      <c r="Y833" s="26" t="str">
        <f t="shared" si="19"/>
        <v/>
      </c>
      <c r="Z833" s="31" t="str">
        <f t="shared" si="20"/>
        <v/>
      </c>
      <c r="AA833" s="31" t="str">
        <f>IF(D833="","",IF(H833&lt;=$B$16,1,IF(H833&gt;=$B$17,$B$21,MATCH(H833,Aux_CAV!$A$2:$A$121,1))))</f>
        <v/>
      </c>
      <c r="AB833" s="31" t="str">
        <f>IF(D833="","",IF(L833&lt;=$B$16,1,IF(L833&gt;=$B$17,$B$21,MATCH(L833,Aux_CAV!$A$2:$A$121,1))))</f>
        <v/>
      </c>
      <c r="AC833" s="3" t="str">
        <f t="shared" si="21"/>
        <v/>
      </c>
    </row>
    <row r="834" ht="12.75" customHeight="1">
      <c r="A834" s="25" t="str">
        <f t="shared" si="1"/>
        <v/>
      </c>
      <c r="B834" s="29" t="str">
        <f t="array" ref="B834">IF(D834="","",IFERROR(VALUE(INDEX(Vazoes_COLAR!$A$2:$A$200,INT((ROW()-24)/12)+1)),""))</f>
        <v/>
      </c>
      <c r="C834" s="29" t="str">
        <f t="shared" si="2"/>
        <v/>
      </c>
      <c r="D834" s="26" t="str">
        <f t="array" ref="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34" s="26" t="str">
        <f t="shared" si="3"/>
        <v/>
      </c>
      <c r="F834" s="26" t="str">
        <f t="array" ref="F834">IF(D834="","",IFERROR(INDEX(Dados_Evap!$C$2:$N$15,MATCH($B$9,Dados_Evap!$A$2:$A$15,0),C834),0))</f>
        <v/>
      </c>
      <c r="G834" s="26" t="str">
        <f t="shared" si="4"/>
        <v/>
      </c>
      <c r="H834" s="26" t="str">
        <f t="shared" si="22"/>
        <v/>
      </c>
      <c r="I834" s="26" t="str">
        <f t="array" ref="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/>
      </c>
      <c r="J834" s="26" t="str">
        <f t="shared" si="5"/>
        <v/>
      </c>
      <c r="K834" s="26" t="str">
        <f t="shared" si="6"/>
        <v/>
      </c>
      <c r="L834" s="26" t="str">
        <f t="shared" si="7"/>
        <v/>
      </c>
      <c r="M834" s="26" t="str">
        <f t="array" ref="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/>
      </c>
      <c r="N834" s="26" t="str">
        <f t="shared" si="8"/>
        <v/>
      </c>
      <c r="O834" s="26" t="str">
        <f t="shared" si="9"/>
        <v/>
      </c>
      <c r="P834" s="26" t="str">
        <f t="shared" si="10"/>
        <v/>
      </c>
      <c r="Q834" s="26" t="str">
        <f t="shared" si="11"/>
        <v/>
      </c>
      <c r="R834" s="26" t="str">
        <f t="shared" si="12"/>
        <v/>
      </c>
      <c r="S834" s="26" t="str">
        <f t="shared" si="13"/>
        <v/>
      </c>
      <c r="T834" s="26" t="str">
        <f t="shared" si="14"/>
        <v/>
      </c>
      <c r="U834" s="26" t="str">
        <f t="shared" si="15"/>
        <v/>
      </c>
      <c r="V834" s="26" t="str">
        <f t="shared" si="16"/>
        <v/>
      </c>
      <c r="W834" s="26" t="str">
        <f t="shared" si="17"/>
        <v/>
      </c>
      <c r="X834" s="26" t="str">
        <f t="shared" si="18"/>
        <v/>
      </c>
      <c r="Y834" s="26" t="str">
        <f t="shared" si="19"/>
        <v/>
      </c>
      <c r="Z834" s="31" t="str">
        <f t="shared" si="20"/>
        <v/>
      </c>
      <c r="AA834" s="31" t="str">
        <f>IF(D834="","",IF(H834&lt;=$B$16,1,IF(H834&gt;=$B$17,$B$21,MATCH(H834,Aux_CAV!$A$2:$A$121,1))))</f>
        <v/>
      </c>
      <c r="AB834" s="31" t="str">
        <f>IF(D834="","",IF(L834&lt;=$B$16,1,IF(L834&gt;=$B$17,$B$21,MATCH(L834,Aux_CAV!$A$2:$A$121,1))))</f>
        <v/>
      </c>
      <c r="AC834" s="3" t="str">
        <f t="shared" si="21"/>
        <v/>
      </c>
    </row>
    <row r="835" ht="12.75" customHeight="1">
      <c r="A835" s="25" t="str">
        <f t="shared" si="1"/>
        <v/>
      </c>
      <c r="B835" s="29" t="str">
        <f t="array" ref="B835">IF(D835="","",IFERROR(VALUE(INDEX(Vazoes_COLAR!$A$2:$A$200,INT((ROW()-24)/12)+1)),""))</f>
        <v/>
      </c>
      <c r="C835" s="29" t="str">
        <f t="shared" si="2"/>
        <v/>
      </c>
      <c r="D835" s="26" t="str">
        <f t="array" ref="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35" s="26" t="str">
        <f t="shared" si="3"/>
        <v/>
      </c>
      <c r="F835" s="26" t="str">
        <f t="array" ref="F835">IF(D835="","",IFERROR(INDEX(Dados_Evap!$C$2:$N$15,MATCH($B$9,Dados_Evap!$A$2:$A$15,0),C835),0))</f>
        <v/>
      </c>
      <c r="G835" s="26" t="str">
        <f t="shared" si="4"/>
        <v/>
      </c>
      <c r="H835" s="26" t="str">
        <f t="shared" si="22"/>
        <v/>
      </c>
      <c r="I835" s="26" t="str">
        <f t="array" ref="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/>
      </c>
      <c r="J835" s="26" t="str">
        <f t="shared" si="5"/>
        <v/>
      </c>
      <c r="K835" s="26" t="str">
        <f t="shared" si="6"/>
        <v/>
      </c>
      <c r="L835" s="26" t="str">
        <f t="shared" si="7"/>
        <v/>
      </c>
      <c r="M835" s="26" t="str">
        <f t="array" ref="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/>
      </c>
      <c r="N835" s="26" t="str">
        <f t="shared" si="8"/>
        <v/>
      </c>
      <c r="O835" s="26" t="str">
        <f t="shared" si="9"/>
        <v/>
      </c>
      <c r="P835" s="26" t="str">
        <f t="shared" si="10"/>
        <v/>
      </c>
      <c r="Q835" s="26" t="str">
        <f t="shared" si="11"/>
        <v/>
      </c>
      <c r="R835" s="26" t="str">
        <f t="shared" si="12"/>
        <v/>
      </c>
      <c r="S835" s="26" t="str">
        <f t="shared" si="13"/>
        <v/>
      </c>
      <c r="T835" s="26" t="str">
        <f t="shared" si="14"/>
        <v/>
      </c>
      <c r="U835" s="26" t="str">
        <f t="shared" si="15"/>
        <v/>
      </c>
      <c r="V835" s="26" t="str">
        <f t="shared" si="16"/>
        <v/>
      </c>
      <c r="W835" s="26" t="str">
        <f t="shared" si="17"/>
        <v/>
      </c>
      <c r="X835" s="26" t="str">
        <f t="shared" si="18"/>
        <v/>
      </c>
      <c r="Y835" s="26" t="str">
        <f t="shared" si="19"/>
        <v/>
      </c>
      <c r="Z835" s="31" t="str">
        <f t="shared" si="20"/>
        <v/>
      </c>
      <c r="AA835" s="31" t="str">
        <f>IF(D835="","",IF(H835&lt;=$B$16,1,IF(H835&gt;=$B$17,$B$21,MATCH(H835,Aux_CAV!$A$2:$A$121,1))))</f>
        <v/>
      </c>
      <c r="AB835" s="31" t="str">
        <f>IF(D835="","",IF(L835&lt;=$B$16,1,IF(L835&gt;=$B$17,$B$21,MATCH(L835,Aux_CAV!$A$2:$A$121,1))))</f>
        <v/>
      </c>
      <c r="AC835" s="3" t="str">
        <f t="shared" si="21"/>
        <v/>
      </c>
    </row>
    <row r="836" ht="12.75" customHeight="1">
      <c r="A836" s="25" t="str">
        <f t="shared" si="1"/>
        <v/>
      </c>
      <c r="B836" s="29" t="str">
        <f t="array" ref="B836">IF(D836="","",IFERROR(VALUE(INDEX(Vazoes_COLAR!$A$2:$A$200,INT((ROW()-24)/12)+1)),""))</f>
        <v/>
      </c>
      <c r="C836" s="29" t="str">
        <f t="shared" si="2"/>
        <v/>
      </c>
      <c r="D836" s="26" t="str">
        <f t="array" ref="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36" s="26" t="str">
        <f t="shared" si="3"/>
        <v/>
      </c>
      <c r="F836" s="26" t="str">
        <f t="array" ref="F836">IF(D836="","",IFERROR(INDEX(Dados_Evap!$C$2:$N$15,MATCH($B$9,Dados_Evap!$A$2:$A$15,0),C836),0))</f>
        <v/>
      </c>
      <c r="G836" s="26" t="str">
        <f t="shared" si="4"/>
        <v/>
      </c>
      <c r="H836" s="26" t="str">
        <f t="shared" si="22"/>
        <v/>
      </c>
      <c r="I836" s="26" t="str">
        <f t="array" ref="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/>
      </c>
      <c r="J836" s="26" t="str">
        <f t="shared" si="5"/>
        <v/>
      </c>
      <c r="K836" s="26" t="str">
        <f t="shared" si="6"/>
        <v/>
      </c>
      <c r="L836" s="26" t="str">
        <f t="shared" si="7"/>
        <v/>
      </c>
      <c r="M836" s="26" t="str">
        <f t="array" ref="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/>
      </c>
      <c r="N836" s="26" t="str">
        <f t="shared" si="8"/>
        <v/>
      </c>
      <c r="O836" s="26" t="str">
        <f t="shared" si="9"/>
        <v/>
      </c>
      <c r="P836" s="26" t="str">
        <f t="shared" si="10"/>
        <v/>
      </c>
      <c r="Q836" s="26" t="str">
        <f t="shared" si="11"/>
        <v/>
      </c>
      <c r="R836" s="26" t="str">
        <f t="shared" si="12"/>
        <v/>
      </c>
      <c r="S836" s="26" t="str">
        <f t="shared" si="13"/>
        <v/>
      </c>
      <c r="T836" s="26" t="str">
        <f t="shared" si="14"/>
        <v/>
      </c>
      <c r="U836" s="26" t="str">
        <f t="shared" si="15"/>
        <v/>
      </c>
      <c r="V836" s="26" t="str">
        <f t="shared" si="16"/>
        <v/>
      </c>
      <c r="W836" s="26" t="str">
        <f t="shared" si="17"/>
        <v/>
      </c>
      <c r="X836" s="26" t="str">
        <f t="shared" si="18"/>
        <v/>
      </c>
      <c r="Y836" s="26" t="str">
        <f t="shared" si="19"/>
        <v/>
      </c>
      <c r="Z836" s="31" t="str">
        <f t="shared" si="20"/>
        <v/>
      </c>
      <c r="AA836" s="31" t="str">
        <f>IF(D836="","",IF(H836&lt;=$B$16,1,IF(H836&gt;=$B$17,$B$21,MATCH(H836,Aux_CAV!$A$2:$A$121,1))))</f>
        <v/>
      </c>
      <c r="AB836" s="31" t="str">
        <f>IF(D836="","",IF(L836&lt;=$B$16,1,IF(L836&gt;=$B$17,$B$21,MATCH(L836,Aux_CAV!$A$2:$A$121,1))))</f>
        <v/>
      </c>
      <c r="AC836" s="3" t="str">
        <f t="shared" si="21"/>
        <v/>
      </c>
    </row>
    <row r="837" ht="12.75" customHeight="1">
      <c r="A837" s="25" t="str">
        <f t="shared" si="1"/>
        <v/>
      </c>
      <c r="B837" s="29" t="str">
        <f t="array" ref="B837">IF(D837="","",IFERROR(VALUE(INDEX(Vazoes_COLAR!$A$2:$A$200,INT((ROW()-24)/12)+1)),""))</f>
        <v/>
      </c>
      <c r="C837" s="29" t="str">
        <f t="shared" si="2"/>
        <v/>
      </c>
      <c r="D837" s="26" t="str">
        <f t="array" ref="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37" s="26" t="str">
        <f t="shared" si="3"/>
        <v/>
      </c>
      <c r="F837" s="26" t="str">
        <f t="array" ref="F837">IF(D837="","",IFERROR(INDEX(Dados_Evap!$C$2:$N$15,MATCH($B$9,Dados_Evap!$A$2:$A$15,0),C837),0))</f>
        <v/>
      </c>
      <c r="G837" s="26" t="str">
        <f t="shared" si="4"/>
        <v/>
      </c>
      <c r="H837" s="26" t="str">
        <f t="shared" si="22"/>
        <v/>
      </c>
      <c r="I837" s="26" t="str">
        <f t="array" ref="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/>
      </c>
      <c r="J837" s="26" t="str">
        <f t="shared" si="5"/>
        <v/>
      </c>
      <c r="K837" s="26" t="str">
        <f t="shared" si="6"/>
        <v/>
      </c>
      <c r="L837" s="26" t="str">
        <f t="shared" si="7"/>
        <v/>
      </c>
      <c r="M837" s="26" t="str">
        <f t="array" ref="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/>
      </c>
      <c r="N837" s="26" t="str">
        <f t="shared" si="8"/>
        <v/>
      </c>
      <c r="O837" s="26" t="str">
        <f t="shared" si="9"/>
        <v/>
      </c>
      <c r="P837" s="26" t="str">
        <f t="shared" si="10"/>
        <v/>
      </c>
      <c r="Q837" s="26" t="str">
        <f t="shared" si="11"/>
        <v/>
      </c>
      <c r="R837" s="26" t="str">
        <f t="shared" si="12"/>
        <v/>
      </c>
      <c r="S837" s="26" t="str">
        <f t="shared" si="13"/>
        <v/>
      </c>
      <c r="T837" s="26" t="str">
        <f t="shared" si="14"/>
        <v/>
      </c>
      <c r="U837" s="26" t="str">
        <f t="shared" si="15"/>
        <v/>
      </c>
      <c r="V837" s="26" t="str">
        <f t="shared" si="16"/>
        <v/>
      </c>
      <c r="W837" s="26" t="str">
        <f t="shared" si="17"/>
        <v/>
      </c>
      <c r="X837" s="26" t="str">
        <f t="shared" si="18"/>
        <v/>
      </c>
      <c r="Y837" s="26" t="str">
        <f t="shared" si="19"/>
        <v/>
      </c>
      <c r="Z837" s="31" t="str">
        <f t="shared" si="20"/>
        <v/>
      </c>
      <c r="AA837" s="31" t="str">
        <f>IF(D837="","",IF(H837&lt;=$B$16,1,IF(H837&gt;=$B$17,$B$21,MATCH(H837,Aux_CAV!$A$2:$A$121,1))))</f>
        <v/>
      </c>
      <c r="AB837" s="31" t="str">
        <f>IF(D837="","",IF(L837&lt;=$B$16,1,IF(L837&gt;=$B$17,$B$21,MATCH(L837,Aux_CAV!$A$2:$A$121,1))))</f>
        <v/>
      </c>
      <c r="AC837" s="3" t="str">
        <f t="shared" si="21"/>
        <v/>
      </c>
    </row>
    <row r="838" ht="12.75" customHeight="1">
      <c r="A838" s="25" t="str">
        <f t="shared" si="1"/>
        <v/>
      </c>
      <c r="B838" s="29" t="str">
        <f t="array" ref="B838">IF(D838="","",IFERROR(VALUE(INDEX(Vazoes_COLAR!$A$2:$A$200,INT((ROW()-24)/12)+1)),""))</f>
        <v/>
      </c>
      <c r="C838" s="29" t="str">
        <f t="shared" si="2"/>
        <v/>
      </c>
      <c r="D838" s="26" t="str">
        <f t="array" ref="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38" s="26" t="str">
        <f t="shared" si="3"/>
        <v/>
      </c>
      <c r="F838" s="26" t="str">
        <f t="array" ref="F838">IF(D838="","",IFERROR(INDEX(Dados_Evap!$C$2:$N$15,MATCH($B$9,Dados_Evap!$A$2:$A$15,0),C838),0))</f>
        <v/>
      </c>
      <c r="G838" s="26" t="str">
        <f t="shared" si="4"/>
        <v/>
      </c>
      <c r="H838" s="26" t="str">
        <f t="shared" si="22"/>
        <v/>
      </c>
      <c r="I838" s="26" t="str">
        <f t="array" ref="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/>
      </c>
      <c r="J838" s="26" t="str">
        <f t="shared" si="5"/>
        <v/>
      </c>
      <c r="K838" s="26" t="str">
        <f t="shared" si="6"/>
        <v/>
      </c>
      <c r="L838" s="26" t="str">
        <f t="shared" si="7"/>
        <v/>
      </c>
      <c r="M838" s="26" t="str">
        <f t="array" ref="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/>
      </c>
      <c r="N838" s="26" t="str">
        <f t="shared" si="8"/>
        <v/>
      </c>
      <c r="O838" s="26" t="str">
        <f t="shared" si="9"/>
        <v/>
      </c>
      <c r="P838" s="26" t="str">
        <f t="shared" si="10"/>
        <v/>
      </c>
      <c r="Q838" s="26" t="str">
        <f t="shared" si="11"/>
        <v/>
      </c>
      <c r="R838" s="26" t="str">
        <f t="shared" si="12"/>
        <v/>
      </c>
      <c r="S838" s="26" t="str">
        <f t="shared" si="13"/>
        <v/>
      </c>
      <c r="T838" s="26" t="str">
        <f t="shared" si="14"/>
        <v/>
      </c>
      <c r="U838" s="26" t="str">
        <f t="shared" si="15"/>
        <v/>
      </c>
      <c r="V838" s="26" t="str">
        <f t="shared" si="16"/>
        <v/>
      </c>
      <c r="W838" s="26" t="str">
        <f t="shared" si="17"/>
        <v/>
      </c>
      <c r="X838" s="26" t="str">
        <f t="shared" si="18"/>
        <v/>
      </c>
      <c r="Y838" s="26" t="str">
        <f t="shared" si="19"/>
        <v/>
      </c>
      <c r="Z838" s="31" t="str">
        <f t="shared" si="20"/>
        <v/>
      </c>
      <c r="AA838" s="31" t="str">
        <f>IF(D838="","",IF(H838&lt;=$B$16,1,IF(H838&gt;=$B$17,$B$21,MATCH(H838,Aux_CAV!$A$2:$A$121,1))))</f>
        <v/>
      </c>
      <c r="AB838" s="31" t="str">
        <f>IF(D838="","",IF(L838&lt;=$B$16,1,IF(L838&gt;=$B$17,$B$21,MATCH(L838,Aux_CAV!$A$2:$A$121,1))))</f>
        <v/>
      </c>
      <c r="AC838" s="3" t="str">
        <f t="shared" si="21"/>
        <v/>
      </c>
    </row>
    <row r="839" ht="12.75" customHeight="1">
      <c r="A839" s="25" t="str">
        <f t="shared" si="1"/>
        <v/>
      </c>
      <c r="B839" s="29" t="str">
        <f t="array" ref="B839">IF(D839="","",IFERROR(VALUE(INDEX(Vazoes_COLAR!$A$2:$A$200,INT((ROW()-24)/12)+1)),""))</f>
        <v/>
      </c>
      <c r="C839" s="29" t="str">
        <f t="shared" si="2"/>
        <v/>
      </c>
      <c r="D839" s="26" t="str">
        <f t="array" ref="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39" s="26" t="str">
        <f t="shared" si="3"/>
        <v/>
      </c>
      <c r="F839" s="26" t="str">
        <f t="array" ref="F839">IF(D839="","",IFERROR(INDEX(Dados_Evap!$C$2:$N$15,MATCH($B$9,Dados_Evap!$A$2:$A$15,0),C839),0))</f>
        <v/>
      </c>
      <c r="G839" s="26" t="str">
        <f t="shared" si="4"/>
        <v/>
      </c>
      <c r="H839" s="26" t="str">
        <f t="shared" si="22"/>
        <v/>
      </c>
      <c r="I839" s="26" t="str">
        <f t="array" ref="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/>
      </c>
      <c r="J839" s="26" t="str">
        <f t="shared" si="5"/>
        <v/>
      </c>
      <c r="K839" s="26" t="str">
        <f t="shared" si="6"/>
        <v/>
      </c>
      <c r="L839" s="26" t="str">
        <f t="shared" si="7"/>
        <v/>
      </c>
      <c r="M839" s="26" t="str">
        <f t="array" ref="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/>
      </c>
      <c r="N839" s="26" t="str">
        <f t="shared" si="8"/>
        <v/>
      </c>
      <c r="O839" s="26" t="str">
        <f t="shared" si="9"/>
        <v/>
      </c>
      <c r="P839" s="26" t="str">
        <f t="shared" si="10"/>
        <v/>
      </c>
      <c r="Q839" s="26" t="str">
        <f t="shared" si="11"/>
        <v/>
      </c>
      <c r="R839" s="26" t="str">
        <f t="shared" si="12"/>
        <v/>
      </c>
      <c r="S839" s="26" t="str">
        <f t="shared" si="13"/>
        <v/>
      </c>
      <c r="T839" s="26" t="str">
        <f t="shared" si="14"/>
        <v/>
      </c>
      <c r="U839" s="26" t="str">
        <f t="shared" si="15"/>
        <v/>
      </c>
      <c r="V839" s="26" t="str">
        <f t="shared" si="16"/>
        <v/>
      </c>
      <c r="W839" s="26" t="str">
        <f t="shared" si="17"/>
        <v/>
      </c>
      <c r="X839" s="26" t="str">
        <f t="shared" si="18"/>
        <v/>
      </c>
      <c r="Y839" s="26" t="str">
        <f t="shared" si="19"/>
        <v/>
      </c>
      <c r="Z839" s="31" t="str">
        <f t="shared" si="20"/>
        <v/>
      </c>
      <c r="AA839" s="31" t="str">
        <f>IF(D839="","",IF(H839&lt;=$B$16,1,IF(H839&gt;=$B$17,$B$21,MATCH(H839,Aux_CAV!$A$2:$A$121,1))))</f>
        <v/>
      </c>
      <c r="AB839" s="31" t="str">
        <f>IF(D839="","",IF(L839&lt;=$B$16,1,IF(L839&gt;=$B$17,$B$21,MATCH(L839,Aux_CAV!$A$2:$A$121,1))))</f>
        <v/>
      </c>
      <c r="AC839" s="3" t="str">
        <f t="shared" si="21"/>
        <v/>
      </c>
    </row>
    <row r="840" ht="12.75" customHeight="1">
      <c r="A840" s="25" t="str">
        <f t="shared" si="1"/>
        <v/>
      </c>
      <c r="B840" s="29" t="str">
        <f t="array" ref="B840">IF(D840="","",IFERROR(VALUE(INDEX(Vazoes_COLAR!$A$2:$A$200,INT((ROW()-24)/12)+1)),""))</f>
        <v/>
      </c>
      <c r="C840" s="29" t="str">
        <f t="shared" si="2"/>
        <v/>
      </c>
      <c r="D840" s="26" t="str">
        <f t="array" ref="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40" s="26" t="str">
        <f t="shared" si="3"/>
        <v/>
      </c>
      <c r="F840" s="26" t="str">
        <f t="array" ref="F840">IF(D840="","",IFERROR(INDEX(Dados_Evap!$C$2:$N$15,MATCH($B$9,Dados_Evap!$A$2:$A$15,0),C840),0))</f>
        <v/>
      </c>
      <c r="G840" s="26" t="str">
        <f t="shared" si="4"/>
        <v/>
      </c>
      <c r="H840" s="26" t="str">
        <f t="shared" si="22"/>
        <v/>
      </c>
      <c r="I840" s="26" t="str">
        <f t="array" ref="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/>
      </c>
      <c r="J840" s="26" t="str">
        <f t="shared" si="5"/>
        <v/>
      </c>
      <c r="K840" s="26" t="str">
        <f t="shared" si="6"/>
        <v/>
      </c>
      <c r="L840" s="26" t="str">
        <f t="shared" si="7"/>
        <v/>
      </c>
      <c r="M840" s="26" t="str">
        <f t="array" ref="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/>
      </c>
      <c r="N840" s="26" t="str">
        <f t="shared" si="8"/>
        <v/>
      </c>
      <c r="O840" s="26" t="str">
        <f t="shared" si="9"/>
        <v/>
      </c>
      <c r="P840" s="26" t="str">
        <f t="shared" si="10"/>
        <v/>
      </c>
      <c r="Q840" s="26" t="str">
        <f t="shared" si="11"/>
        <v/>
      </c>
      <c r="R840" s="26" t="str">
        <f t="shared" si="12"/>
        <v/>
      </c>
      <c r="S840" s="26" t="str">
        <f t="shared" si="13"/>
        <v/>
      </c>
      <c r="T840" s="26" t="str">
        <f t="shared" si="14"/>
        <v/>
      </c>
      <c r="U840" s="26" t="str">
        <f t="shared" si="15"/>
        <v/>
      </c>
      <c r="V840" s="26" t="str">
        <f t="shared" si="16"/>
        <v/>
      </c>
      <c r="W840" s="26" t="str">
        <f t="shared" si="17"/>
        <v/>
      </c>
      <c r="X840" s="26" t="str">
        <f t="shared" si="18"/>
        <v/>
      </c>
      <c r="Y840" s="26" t="str">
        <f t="shared" si="19"/>
        <v/>
      </c>
      <c r="Z840" s="31" t="str">
        <f t="shared" si="20"/>
        <v/>
      </c>
      <c r="AA840" s="31" t="str">
        <f>IF(D840="","",IF(H840&lt;=$B$16,1,IF(H840&gt;=$B$17,$B$21,MATCH(H840,Aux_CAV!$A$2:$A$121,1))))</f>
        <v/>
      </c>
      <c r="AB840" s="31" t="str">
        <f>IF(D840="","",IF(L840&lt;=$B$16,1,IF(L840&gt;=$B$17,$B$21,MATCH(L840,Aux_CAV!$A$2:$A$121,1))))</f>
        <v/>
      </c>
      <c r="AC840" s="3" t="str">
        <f t="shared" si="21"/>
        <v/>
      </c>
    </row>
    <row r="841" ht="12.75" customHeight="1">
      <c r="A841" s="25" t="str">
        <f t="shared" si="1"/>
        <v/>
      </c>
      <c r="B841" s="29" t="str">
        <f t="array" ref="B841">IF(D841="","",IFERROR(VALUE(INDEX(Vazoes_COLAR!$A$2:$A$200,INT((ROW()-24)/12)+1)),""))</f>
        <v/>
      </c>
      <c r="C841" s="29" t="str">
        <f t="shared" si="2"/>
        <v/>
      </c>
      <c r="D841" s="26" t="str">
        <f t="array" ref="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41" s="26" t="str">
        <f t="shared" si="3"/>
        <v/>
      </c>
      <c r="F841" s="26" t="str">
        <f t="array" ref="F841">IF(D841="","",IFERROR(INDEX(Dados_Evap!$C$2:$N$15,MATCH($B$9,Dados_Evap!$A$2:$A$15,0),C841),0))</f>
        <v/>
      </c>
      <c r="G841" s="26" t="str">
        <f t="shared" si="4"/>
        <v/>
      </c>
      <c r="H841" s="26" t="str">
        <f t="shared" si="22"/>
        <v/>
      </c>
      <c r="I841" s="26" t="str">
        <f t="array" ref="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/>
      </c>
      <c r="J841" s="26" t="str">
        <f t="shared" si="5"/>
        <v/>
      </c>
      <c r="K841" s="26" t="str">
        <f t="shared" si="6"/>
        <v/>
      </c>
      <c r="L841" s="26" t="str">
        <f t="shared" si="7"/>
        <v/>
      </c>
      <c r="M841" s="26" t="str">
        <f t="array" ref="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/>
      </c>
      <c r="N841" s="26" t="str">
        <f t="shared" si="8"/>
        <v/>
      </c>
      <c r="O841" s="26" t="str">
        <f t="shared" si="9"/>
        <v/>
      </c>
      <c r="P841" s="26" t="str">
        <f t="shared" si="10"/>
        <v/>
      </c>
      <c r="Q841" s="26" t="str">
        <f t="shared" si="11"/>
        <v/>
      </c>
      <c r="R841" s="26" t="str">
        <f t="shared" si="12"/>
        <v/>
      </c>
      <c r="S841" s="26" t="str">
        <f t="shared" si="13"/>
        <v/>
      </c>
      <c r="T841" s="26" t="str">
        <f t="shared" si="14"/>
        <v/>
      </c>
      <c r="U841" s="26" t="str">
        <f t="shared" si="15"/>
        <v/>
      </c>
      <c r="V841" s="26" t="str">
        <f t="shared" si="16"/>
        <v/>
      </c>
      <c r="W841" s="26" t="str">
        <f t="shared" si="17"/>
        <v/>
      </c>
      <c r="X841" s="26" t="str">
        <f t="shared" si="18"/>
        <v/>
      </c>
      <c r="Y841" s="26" t="str">
        <f t="shared" si="19"/>
        <v/>
      </c>
      <c r="Z841" s="31" t="str">
        <f t="shared" si="20"/>
        <v/>
      </c>
      <c r="AA841" s="31" t="str">
        <f>IF(D841="","",IF(H841&lt;=$B$16,1,IF(H841&gt;=$B$17,$B$21,MATCH(H841,Aux_CAV!$A$2:$A$121,1))))</f>
        <v/>
      </c>
      <c r="AB841" s="31" t="str">
        <f>IF(D841="","",IF(L841&lt;=$B$16,1,IF(L841&gt;=$B$17,$B$21,MATCH(L841,Aux_CAV!$A$2:$A$121,1))))</f>
        <v/>
      </c>
      <c r="AC841" s="3" t="str">
        <f t="shared" si="21"/>
        <v/>
      </c>
    </row>
    <row r="842" ht="12.75" customHeight="1">
      <c r="A842" s="25" t="str">
        <f t="shared" si="1"/>
        <v/>
      </c>
      <c r="B842" s="29" t="str">
        <f t="array" ref="B842">IF(D842="","",IFERROR(VALUE(INDEX(Vazoes_COLAR!$A$2:$A$200,INT((ROW()-24)/12)+1)),""))</f>
        <v/>
      </c>
      <c r="C842" s="29" t="str">
        <f t="shared" si="2"/>
        <v/>
      </c>
      <c r="D842" s="26" t="str">
        <f t="array" ref="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42" s="26" t="str">
        <f t="shared" si="3"/>
        <v/>
      </c>
      <c r="F842" s="26" t="str">
        <f t="array" ref="F842">IF(D842="","",IFERROR(INDEX(Dados_Evap!$C$2:$N$15,MATCH($B$9,Dados_Evap!$A$2:$A$15,0),C842),0))</f>
        <v/>
      </c>
      <c r="G842" s="26" t="str">
        <f t="shared" si="4"/>
        <v/>
      </c>
      <c r="H842" s="26" t="str">
        <f t="shared" si="22"/>
        <v/>
      </c>
      <c r="I842" s="26" t="str">
        <f t="array" ref="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/>
      </c>
      <c r="J842" s="26" t="str">
        <f t="shared" si="5"/>
        <v/>
      </c>
      <c r="K842" s="26" t="str">
        <f t="shared" si="6"/>
        <v/>
      </c>
      <c r="L842" s="26" t="str">
        <f t="shared" si="7"/>
        <v/>
      </c>
      <c r="M842" s="26" t="str">
        <f t="array" ref="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/>
      </c>
      <c r="N842" s="26" t="str">
        <f t="shared" si="8"/>
        <v/>
      </c>
      <c r="O842" s="26" t="str">
        <f t="shared" si="9"/>
        <v/>
      </c>
      <c r="P842" s="26" t="str">
        <f t="shared" si="10"/>
        <v/>
      </c>
      <c r="Q842" s="26" t="str">
        <f t="shared" si="11"/>
        <v/>
      </c>
      <c r="R842" s="26" t="str">
        <f t="shared" si="12"/>
        <v/>
      </c>
      <c r="S842" s="26" t="str">
        <f t="shared" si="13"/>
        <v/>
      </c>
      <c r="T842" s="26" t="str">
        <f t="shared" si="14"/>
        <v/>
      </c>
      <c r="U842" s="26" t="str">
        <f t="shared" si="15"/>
        <v/>
      </c>
      <c r="V842" s="26" t="str">
        <f t="shared" si="16"/>
        <v/>
      </c>
      <c r="W842" s="26" t="str">
        <f t="shared" si="17"/>
        <v/>
      </c>
      <c r="X842" s="26" t="str">
        <f t="shared" si="18"/>
        <v/>
      </c>
      <c r="Y842" s="26" t="str">
        <f t="shared" si="19"/>
        <v/>
      </c>
      <c r="Z842" s="31" t="str">
        <f t="shared" si="20"/>
        <v/>
      </c>
      <c r="AA842" s="31" t="str">
        <f>IF(D842="","",IF(H842&lt;=$B$16,1,IF(H842&gt;=$B$17,$B$21,MATCH(H842,Aux_CAV!$A$2:$A$121,1))))</f>
        <v/>
      </c>
      <c r="AB842" s="31" t="str">
        <f>IF(D842="","",IF(L842&lt;=$B$16,1,IF(L842&gt;=$B$17,$B$21,MATCH(L842,Aux_CAV!$A$2:$A$121,1))))</f>
        <v/>
      </c>
      <c r="AC842" s="3" t="str">
        <f t="shared" si="21"/>
        <v/>
      </c>
    </row>
    <row r="843" ht="12.75" customHeight="1">
      <c r="A843" s="25" t="str">
        <f t="shared" si="1"/>
        <v/>
      </c>
      <c r="B843" s="29" t="str">
        <f t="array" ref="B843">IF(D843="","",IFERROR(VALUE(INDEX(Vazoes_COLAR!$A$2:$A$200,INT((ROW()-24)/12)+1)),""))</f>
        <v/>
      </c>
      <c r="C843" s="29" t="str">
        <f t="shared" si="2"/>
        <v/>
      </c>
      <c r="D843" s="26" t="str">
        <f t="array" ref="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43" s="26" t="str">
        <f t="shared" si="3"/>
        <v/>
      </c>
      <c r="F843" s="26" t="str">
        <f t="array" ref="F843">IF(D843="","",IFERROR(INDEX(Dados_Evap!$C$2:$N$15,MATCH($B$9,Dados_Evap!$A$2:$A$15,0),C843),0))</f>
        <v/>
      </c>
      <c r="G843" s="26" t="str">
        <f t="shared" si="4"/>
        <v/>
      </c>
      <c r="H843" s="26" t="str">
        <f t="shared" si="22"/>
        <v/>
      </c>
      <c r="I843" s="26" t="str">
        <f t="array" ref="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/>
      </c>
      <c r="J843" s="26" t="str">
        <f t="shared" si="5"/>
        <v/>
      </c>
      <c r="K843" s="26" t="str">
        <f t="shared" si="6"/>
        <v/>
      </c>
      <c r="L843" s="26" t="str">
        <f t="shared" si="7"/>
        <v/>
      </c>
      <c r="M843" s="26" t="str">
        <f t="array" ref="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/>
      </c>
      <c r="N843" s="26" t="str">
        <f t="shared" si="8"/>
        <v/>
      </c>
      <c r="O843" s="26" t="str">
        <f t="shared" si="9"/>
        <v/>
      </c>
      <c r="P843" s="26" t="str">
        <f t="shared" si="10"/>
        <v/>
      </c>
      <c r="Q843" s="26" t="str">
        <f t="shared" si="11"/>
        <v/>
      </c>
      <c r="R843" s="26" t="str">
        <f t="shared" si="12"/>
        <v/>
      </c>
      <c r="S843" s="26" t="str">
        <f t="shared" si="13"/>
        <v/>
      </c>
      <c r="T843" s="26" t="str">
        <f t="shared" si="14"/>
        <v/>
      </c>
      <c r="U843" s="26" t="str">
        <f t="shared" si="15"/>
        <v/>
      </c>
      <c r="V843" s="26" t="str">
        <f t="shared" si="16"/>
        <v/>
      </c>
      <c r="W843" s="26" t="str">
        <f t="shared" si="17"/>
        <v/>
      </c>
      <c r="X843" s="26" t="str">
        <f t="shared" si="18"/>
        <v/>
      </c>
      <c r="Y843" s="26" t="str">
        <f t="shared" si="19"/>
        <v/>
      </c>
      <c r="Z843" s="31" t="str">
        <f t="shared" si="20"/>
        <v/>
      </c>
      <c r="AA843" s="31" t="str">
        <f>IF(D843="","",IF(H843&lt;=$B$16,1,IF(H843&gt;=$B$17,$B$21,MATCH(H843,Aux_CAV!$A$2:$A$121,1))))</f>
        <v/>
      </c>
      <c r="AB843" s="31" t="str">
        <f>IF(D843="","",IF(L843&lt;=$B$16,1,IF(L843&gt;=$B$17,$B$21,MATCH(L843,Aux_CAV!$A$2:$A$121,1))))</f>
        <v/>
      </c>
      <c r="AC843" s="3" t="str">
        <f t="shared" si="21"/>
        <v/>
      </c>
    </row>
    <row r="844" ht="12.75" customHeight="1">
      <c r="A844" s="25" t="str">
        <f t="shared" si="1"/>
        <v/>
      </c>
      <c r="B844" s="29" t="str">
        <f t="array" ref="B844">IF(D844="","",IFERROR(VALUE(INDEX(Vazoes_COLAR!$A$2:$A$200,INT((ROW()-24)/12)+1)),""))</f>
        <v/>
      </c>
      <c r="C844" s="29" t="str">
        <f t="shared" si="2"/>
        <v/>
      </c>
      <c r="D844" s="26" t="str">
        <f t="array" ref="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44" s="26" t="str">
        <f t="shared" si="3"/>
        <v/>
      </c>
      <c r="F844" s="26" t="str">
        <f t="array" ref="F844">IF(D844="","",IFERROR(INDEX(Dados_Evap!$C$2:$N$15,MATCH($B$9,Dados_Evap!$A$2:$A$15,0),C844),0))</f>
        <v/>
      </c>
      <c r="G844" s="26" t="str">
        <f t="shared" si="4"/>
        <v/>
      </c>
      <c r="H844" s="26" t="str">
        <f t="shared" si="22"/>
        <v/>
      </c>
      <c r="I844" s="26" t="str">
        <f t="array" ref="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/>
      </c>
      <c r="J844" s="26" t="str">
        <f t="shared" si="5"/>
        <v/>
      </c>
      <c r="K844" s="26" t="str">
        <f t="shared" si="6"/>
        <v/>
      </c>
      <c r="L844" s="26" t="str">
        <f t="shared" si="7"/>
        <v/>
      </c>
      <c r="M844" s="26" t="str">
        <f t="array" ref="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/>
      </c>
      <c r="N844" s="26" t="str">
        <f t="shared" si="8"/>
        <v/>
      </c>
      <c r="O844" s="26" t="str">
        <f t="shared" si="9"/>
        <v/>
      </c>
      <c r="P844" s="26" t="str">
        <f t="shared" si="10"/>
        <v/>
      </c>
      <c r="Q844" s="26" t="str">
        <f t="shared" si="11"/>
        <v/>
      </c>
      <c r="R844" s="26" t="str">
        <f t="shared" si="12"/>
        <v/>
      </c>
      <c r="S844" s="26" t="str">
        <f t="shared" si="13"/>
        <v/>
      </c>
      <c r="T844" s="26" t="str">
        <f t="shared" si="14"/>
        <v/>
      </c>
      <c r="U844" s="26" t="str">
        <f t="shared" si="15"/>
        <v/>
      </c>
      <c r="V844" s="26" t="str">
        <f t="shared" si="16"/>
        <v/>
      </c>
      <c r="W844" s="26" t="str">
        <f t="shared" si="17"/>
        <v/>
      </c>
      <c r="X844" s="26" t="str">
        <f t="shared" si="18"/>
        <v/>
      </c>
      <c r="Y844" s="26" t="str">
        <f t="shared" si="19"/>
        <v/>
      </c>
      <c r="Z844" s="31" t="str">
        <f t="shared" si="20"/>
        <v/>
      </c>
      <c r="AA844" s="31" t="str">
        <f>IF(D844="","",IF(H844&lt;=$B$16,1,IF(H844&gt;=$B$17,$B$21,MATCH(H844,Aux_CAV!$A$2:$A$121,1))))</f>
        <v/>
      </c>
      <c r="AB844" s="31" t="str">
        <f>IF(D844="","",IF(L844&lt;=$B$16,1,IF(L844&gt;=$B$17,$B$21,MATCH(L844,Aux_CAV!$A$2:$A$121,1))))</f>
        <v/>
      </c>
      <c r="AC844" s="3" t="str">
        <f t="shared" si="21"/>
        <v/>
      </c>
    </row>
    <row r="845" ht="12.75" customHeight="1">
      <c r="A845" s="25" t="str">
        <f t="shared" si="1"/>
        <v/>
      </c>
      <c r="B845" s="29" t="str">
        <f t="array" ref="B845">IF(D845="","",IFERROR(VALUE(INDEX(Vazoes_COLAR!$A$2:$A$200,INT((ROW()-24)/12)+1)),""))</f>
        <v/>
      </c>
      <c r="C845" s="29" t="str">
        <f t="shared" si="2"/>
        <v/>
      </c>
      <c r="D845" s="26" t="str">
        <f t="array" ref="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45" s="26" t="str">
        <f t="shared" si="3"/>
        <v/>
      </c>
      <c r="F845" s="26" t="str">
        <f t="array" ref="F845">IF(D845="","",IFERROR(INDEX(Dados_Evap!$C$2:$N$15,MATCH($B$9,Dados_Evap!$A$2:$A$15,0),C845),0))</f>
        <v/>
      </c>
      <c r="G845" s="26" t="str">
        <f t="shared" si="4"/>
        <v/>
      </c>
      <c r="H845" s="26" t="str">
        <f t="shared" si="22"/>
        <v/>
      </c>
      <c r="I845" s="26" t="str">
        <f t="array" ref="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/>
      </c>
      <c r="J845" s="26" t="str">
        <f t="shared" si="5"/>
        <v/>
      </c>
      <c r="K845" s="26" t="str">
        <f t="shared" si="6"/>
        <v/>
      </c>
      <c r="L845" s="26" t="str">
        <f t="shared" si="7"/>
        <v/>
      </c>
      <c r="M845" s="26" t="str">
        <f t="array" ref="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/>
      </c>
      <c r="N845" s="26" t="str">
        <f t="shared" si="8"/>
        <v/>
      </c>
      <c r="O845" s="26" t="str">
        <f t="shared" si="9"/>
        <v/>
      </c>
      <c r="P845" s="26" t="str">
        <f t="shared" si="10"/>
        <v/>
      </c>
      <c r="Q845" s="26" t="str">
        <f t="shared" si="11"/>
        <v/>
      </c>
      <c r="R845" s="26" t="str">
        <f t="shared" si="12"/>
        <v/>
      </c>
      <c r="S845" s="26" t="str">
        <f t="shared" si="13"/>
        <v/>
      </c>
      <c r="T845" s="26" t="str">
        <f t="shared" si="14"/>
        <v/>
      </c>
      <c r="U845" s="26" t="str">
        <f t="shared" si="15"/>
        <v/>
      </c>
      <c r="V845" s="26" t="str">
        <f t="shared" si="16"/>
        <v/>
      </c>
      <c r="W845" s="26" t="str">
        <f t="shared" si="17"/>
        <v/>
      </c>
      <c r="X845" s="26" t="str">
        <f t="shared" si="18"/>
        <v/>
      </c>
      <c r="Y845" s="26" t="str">
        <f t="shared" si="19"/>
        <v/>
      </c>
      <c r="Z845" s="31" t="str">
        <f t="shared" si="20"/>
        <v/>
      </c>
      <c r="AA845" s="31" t="str">
        <f>IF(D845="","",IF(H845&lt;=$B$16,1,IF(H845&gt;=$B$17,$B$21,MATCH(H845,Aux_CAV!$A$2:$A$121,1))))</f>
        <v/>
      </c>
      <c r="AB845" s="31" t="str">
        <f>IF(D845="","",IF(L845&lt;=$B$16,1,IF(L845&gt;=$B$17,$B$21,MATCH(L845,Aux_CAV!$A$2:$A$121,1))))</f>
        <v/>
      </c>
      <c r="AC845" s="3" t="str">
        <f t="shared" si="21"/>
        <v/>
      </c>
    </row>
    <row r="846" ht="12.75" customHeight="1">
      <c r="A846" s="25" t="str">
        <f t="shared" si="1"/>
        <v/>
      </c>
      <c r="B846" s="29" t="str">
        <f t="array" ref="B846">IF(D846="","",IFERROR(VALUE(INDEX(Vazoes_COLAR!$A$2:$A$200,INT((ROW()-24)/12)+1)),""))</f>
        <v/>
      </c>
      <c r="C846" s="29" t="str">
        <f t="shared" si="2"/>
        <v/>
      </c>
      <c r="D846" s="26" t="str">
        <f t="array" ref="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46" s="26" t="str">
        <f t="shared" si="3"/>
        <v/>
      </c>
      <c r="F846" s="26" t="str">
        <f t="array" ref="F846">IF(D846="","",IFERROR(INDEX(Dados_Evap!$C$2:$N$15,MATCH($B$9,Dados_Evap!$A$2:$A$15,0),C846),0))</f>
        <v/>
      </c>
      <c r="G846" s="26" t="str">
        <f t="shared" si="4"/>
        <v/>
      </c>
      <c r="H846" s="26" t="str">
        <f t="shared" si="22"/>
        <v/>
      </c>
      <c r="I846" s="26" t="str">
        <f t="array" ref="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/>
      </c>
      <c r="J846" s="26" t="str">
        <f t="shared" si="5"/>
        <v/>
      </c>
      <c r="K846" s="26" t="str">
        <f t="shared" si="6"/>
        <v/>
      </c>
      <c r="L846" s="26" t="str">
        <f t="shared" si="7"/>
        <v/>
      </c>
      <c r="M846" s="26" t="str">
        <f t="array" ref="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/>
      </c>
      <c r="N846" s="26" t="str">
        <f t="shared" si="8"/>
        <v/>
      </c>
      <c r="O846" s="26" t="str">
        <f t="shared" si="9"/>
        <v/>
      </c>
      <c r="P846" s="26" t="str">
        <f t="shared" si="10"/>
        <v/>
      </c>
      <c r="Q846" s="26" t="str">
        <f t="shared" si="11"/>
        <v/>
      </c>
      <c r="R846" s="26" t="str">
        <f t="shared" si="12"/>
        <v/>
      </c>
      <c r="S846" s="26" t="str">
        <f t="shared" si="13"/>
        <v/>
      </c>
      <c r="T846" s="26" t="str">
        <f t="shared" si="14"/>
        <v/>
      </c>
      <c r="U846" s="26" t="str">
        <f t="shared" si="15"/>
        <v/>
      </c>
      <c r="V846" s="26" t="str">
        <f t="shared" si="16"/>
        <v/>
      </c>
      <c r="W846" s="26" t="str">
        <f t="shared" si="17"/>
        <v/>
      </c>
      <c r="X846" s="26" t="str">
        <f t="shared" si="18"/>
        <v/>
      </c>
      <c r="Y846" s="26" t="str">
        <f t="shared" si="19"/>
        <v/>
      </c>
      <c r="Z846" s="31" t="str">
        <f t="shared" si="20"/>
        <v/>
      </c>
      <c r="AA846" s="31" t="str">
        <f>IF(D846="","",IF(H846&lt;=$B$16,1,IF(H846&gt;=$B$17,$B$21,MATCH(H846,Aux_CAV!$A$2:$A$121,1))))</f>
        <v/>
      </c>
      <c r="AB846" s="31" t="str">
        <f>IF(D846="","",IF(L846&lt;=$B$16,1,IF(L846&gt;=$B$17,$B$21,MATCH(L846,Aux_CAV!$A$2:$A$121,1))))</f>
        <v/>
      </c>
      <c r="AC846" s="3" t="str">
        <f t="shared" si="21"/>
        <v/>
      </c>
    </row>
    <row r="847" ht="12.75" customHeight="1">
      <c r="A847" s="25" t="str">
        <f t="shared" si="1"/>
        <v/>
      </c>
      <c r="B847" s="29" t="str">
        <f t="array" ref="B847">IF(D847="","",IFERROR(VALUE(INDEX(Vazoes_COLAR!$A$2:$A$200,INT((ROW()-24)/12)+1)),""))</f>
        <v/>
      </c>
      <c r="C847" s="29" t="str">
        <f t="shared" si="2"/>
        <v/>
      </c>
      <c r="D847" s="26" t="str">
        <f t="array" ref="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47" s="26" t="str">
        <f t="shared" si="3"/>
        <v/>
      </c>
      <c r="F847" s="26" t="str">
        <f t="array" ref="F847">IF(D847="","",IFERROR(INDEX(Dados_Evap!$C$2:$N$15,MATCH($B$9,Dados_Evap!$A$2:$A$15,0),C847),0))</f>
        <v/>
      </c>
      <c r="G847" s="26" t="str">
        <f t="shared" si="4"/>
        <v/>
      </c>
      <c r="H847" s="26" t="str">
        <f t="shared" si="22"/>
        <v/>
      </c>
      <c r="I847" s="26" t="str">
        <f t="array" ref="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/>
      </c>
      <c r="J847" s="26" t="str">
        <f t="shared" si="5"/>
        <v/>
      </c>
      <c r="K847" s="26" t="str">
        <f t="shared" si="6"/>
        <v/>
      </c>
      <c r="L847" s="26" t="str">
        <f t="shared" si="7"/>
        <v/>
      </c>
      <c r="M847" s="26" t="str">
        <f t="array" ref="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/>
      </c>
      <c r="N847" s="26" t="str">
        <f t="shared" si="8"/>
        <v/>
      </c>
      <c r="O847" s="26" t="str">
        <f t="shared" si="9"/>
        <v/>
      </c>
      <c r="P847" s="26" t="str">
        <f t="shared" si="10"/>
        <v/>
      </c>
      <c r="Q847" s="26" t="str">
        <f t="shared" si="11"/>
        <v/>
      </c>
      <c r="R847" s="26" t="str">
        <f t="shared" si="12"/>
        <v/>
      </c>
      <c r="S847" s="26" t="str">
        <f t="shared" si="13"/>
        <v/>
      </c>
      <c r="T847" s="26" t="str">
        <f t="shared" si="14"/>
        <v/>
      </c>
      <c r="U847" s="26" t="str">
        <f t="shared" si="15"/>
        <v/>
      </c>
      <c r="V847" s="26" t="str">
        <f t="shared" si="16"/>
        <v/>
      </c>
      <c r="W847" s="26" t="str">
        <f t="shared" si="17"/>
        <v/>
      </c>
      <c r="X847" s="26" t="str">
        <f t="shared" si="18"/>
        <v/>
      </c>
      <c r="Y847" s="26" t="str">
        <f t="shared" si="19"/>
        <v/>
      </c>
      <c r="Z847" s="31" t="str">
        <f t="shared" si="20"/>
        <v/>
      </c>
      <c r="AA847" s="31" t="str">
        <f>IF(D847="","",IF(H847&lt;=$B$16,1,IF(H847&gt;=$B$17,$B$21,MATCH(H847,Aux_CAV!$A$2:$A$121,1))))</f>
        <v/>
      </c>
      <c r="AB847" s="31" t="str">
        <f>IF(D847="","",IF(L847&lt;=$B$16,1,IF(L847&gt;=$B$17,$B$21,MATCH(L847,Aux_CAV!$A$2:$A$121,1))))</f>
        <v/>
      </c>
      <c r="AC847" s="3" t="str">
        <f t="shared" si="21"/>
        <v/>
      </c>
    </row>
    <row r="848" ht="12.75" customHeight="1">
      <c r="A848" s="25" t="str">
        <f t="shared" si="1"/>
        <v/>
      </c>
      <c r="B848" s="29" t="str">
        <f t="array" ref="B848">IF(D848="","",IFERROR(VALUE(INDEX(Vazoes_COLAR!$A$2:$A$200,INT((ROW()-24)/12)+1)),""))</f>
        <v/>
      </c>
      <c r="C848" s="29" t="str">
        <f t="shared" si="2"/>
        <v/>
      </c>
      <c r="D848" s="26" t="str">
        <f t="array" ref="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48" s="26" t="str">
        <f t="shared" si="3"/>
        <v/>
      </c>
      <c r="F848" s="26" t="str">
        <f t="array" ref="F848">IF(D848="","",IFERROR(INDEX(Dados_Evap!$C$2:$N$15,MATCH($B$9,Dados_Evap!$A$2:$A$15,0),C848),0))</f>
        <v/>
      </c>
      <c r="G848" s="26" t="str">
        <f t="shared" si="4"/>
        <v/>
      </c>
      <c r="H848" s="26" t="str">
        <f t="shared" si="22"/>
        <v/>
      </c>
      <c r="I848" s="26" t="str">
        <f t="array" ref="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/>
      </c>
      <c r="J848" s="26" t="str">
        <f t="shared" si="5"/>
        <v/>
      </c>
      <c r="K848" s="26" t="str">
        <f t="shared" si="6"/>
        <v/>
      </c>
      <c r="L848" s="26" t="str">
        <f t="shared" si="7"/>
        <v/>
      </c>
      <c r="M848" s="26" t="str">
        <f t="array" ref="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/>
      </c>
      <c r="N848" s="26" t="str">
        <f t="shared" si="8"/>
        <v/>
      </c>
      <c r="O848" s="26" t="str">
        <f t="shared" si="9"/>
        <v/>
      </c>
      <c r="P848" s="26" t="str">
        <f t="shared" si="10"/>
        <v/>
      </c>
      <c r="Q848" s="26" t="str">
        <f t="shared" si="11"/>
        <v/>
      </c>
      <c r="R848" s="26" t="str">
        <f t="shared" si="12"/>
        <v/>
      </c>
      <c r="S848" s="26" t="str">
        <f t="shared" si="13"/>
        <v/>
      </c>
      <c r="T848" s="26" t="str">
        <f t="shared" si="14"/>
        <v/>
      </c>
      <c r="U848" s="26" t="str">
        <f t="shared" si="15"/>
        <v/>
      </c>
      <c r="V848" s="26" t="str">
        <f t="shared" si="16"/>
        <v/>
      </c>
      <c r="W848" s="26" t="str">
        <f t="shared" si="17"/>
        <v/>
      </c>
      <c r="X848" s="26" t="str">
        <f t="shared" si="18"/>
        <v/>
      </c>
      <c r="Y848" s="26" t="str">
        <f t="shared" si="19"/>
        <v/>
      </c>
      <c r="Z848" s="31" t="str">
        <f t="shared" si="20"/>
        <v/>
      </c>
      <c r="AA848" s="31" t="str">
        <f>IF(D848="","",IF(H848&lt;=$B$16,1,IF(H848&gt;=$B$17,$B$21,MATCH(H848,Aux_CAV!$A$2:$A$121,1))))</f>
        <v/>
      </c>
      <c r="AB848" s="31" t="str">
        <f>IF(D848="","",IF(L848&lt;=$B$16,1,IF(L848&gt;=$B$17,$B$21,MATCH(L848,Aux_CAV!$A$2:$A$121,1))))</f>
        <v/>
      </c>
      <c r="AC848" s="3" t="str">
        <f t="shared" si="21"/>
        <v/>
      </c>
    </row>
    <row r="849" ht="12.75" customHeight="1">
      <c r="A849" s="25" t="str">
        <f t="shared" si="1"/>
        <v/>
      </c>
      <c r="B849" s="29" t="str">
        <f t="array" ref="B849">IF(D849="","",IFERROR(VALUE(INDEX(Vazoes_COLAR!$A$2:$A$200,INT((ROW()-24)/12)+1)),""))</f>
        <v/>
      </c>
      <c r="C849" s="29" t="str">
        <f t="shared" si="2"/>
        <v/>
      </c>
      <c r="D849" s="26" t="str">
        <f t="array" ref="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49" s="26" t="str">
        <f t="shared" si="3"/>
        <v/>
      </c>
      <c r="F849" s="26" t="str">
        <f t="array" ref="F849">IF(D849="","",IFERROR(INDEX(Dados_Evap!$C$2:$N$15,MATCH($B$9,Dados_Evap!$A$2:$A$15,0),C849),0))</f>
        <v/>
      </c>
      <c r="G849" s="26" t="str">
        <f t="shared" si="4"/>
        <v/>
      </c>
      <c r="H849" s="26" t="str">
        <f t="shared" si="22"/>
        <v/>
      </c>
      <c r="I849" s="26" t="str">
        <f t="array" ref="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/>
      </c>
      <c r="J849" s="26" t="str">
        <f t="shared" si="5"/>
        <v/>
      </c>
      <c r="K849" s="26" t="str">
        <f t="shared" si="6"/>
        <v/>
      </c>
      <c r="L849" s="26" t="str">
        <f t="shared" si="7"/>
        <v/>
      </c>
      <c r="M849" s="26" t="str">
        <f t="array" ref="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/>
      </c>
      <c r="N849" s="26" t="str">
        <f t="shared" si="8"/>
        <v/>
      </c>
      <c r="O849" s="26" t="str">
        <f t="shared" si="9"/>
        <v/>
      </c>
      <c r="P849" s="26" t="str">
        <f t="shared" si="10"/>
        <v/>
      </c>
      <c r="Q849" s="26" t="str">
        <f t="shared" si="11"/>
        <v/>
      </c>
      <c r="R849" s="26" t="str">
        <f t="shared" si="12"/>
        <v/>
      </c>
      <c r="S849" s="26" t="str">
        <f t="shared" si="13"/>
        <v/>
      </c>
      <c r="T849" s="26" t="str">
        <f t="shared" si="14"/>
        <v/>
      </c>
      <c r="U849" s="26" t="str">
        <f t="shared" si="15"/>
        <v/>
      </c>
      <c r="V849" s="26" t="str">
        <f t="shared" si="16"/>
        <v/>
      </c>
      <c r="W849" s="26" t="str">
        <f t="shared" si="17"/>
        <v/>
      </c>
      <c r="X849" s="26" t="str">
        <f t="shared" si="18"/>
        <v/>
      </c>
      <c r="Y849" s="26" t="str">
        <f t="shared" si="19"/>
        <v/>
      </c>
      <c r="Z849" s="31" t="str">
        <f t="shared" si="20"/>
        <v/>
      </c>
      <c r="AA849" s="31" t="str">
        <f>IF(D849="","",IF(H849&lt;=$B$16,1,IF(H849&gt;=$B$17,$B$21,MATCH(H849,Aux_CAV!$A$2:$A$121,1))))</f>
        <v/>
      </c>
      <c r="AB849" s="31" t="str">
        <f>IF(D849="","",IF(L849&lt;=$B$16,1,IF(L849&gt;=$B$17,$B$21,MATCH(L849,Aux_CAV!$A$2:$A$121,1))))</f>
        <v/>
      </c>
      <c r="AC849" s="3" t="str">
        <f t="shared" si="21"/>
        <v/>
      </c>
    </row>
    <row r="850" ht="12.75" customHeight="1">
      <c r="A850" s="25" t="str">
        <f t="shared" si="1"/>
        <v/>
      </c>
      <c r="B850" s="29" t="str">
        <f t="array" ref="B850">IF(D850="","",IFERROR(VALUE(INDEX(Vazoes_COLAR!$A$2:$A$200,INT((ROW()-24)/12)+1)),""))</f>
        <v/>
      </c>
      <c r="C850" s="29" t="str">
        <f t="shared" si="2"/>
        <v/>
      </c>
      <c r="D850" s="26" t="str">
        <f t="array" ref="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50" s="26" t="str">
        <f t="shared" si="3"/>
        <v/>
      </c>
      <c r="F850" s="26" t="str">
        <f t="array" ref="F850">IF(D850="","",IFERROR(INDEX(Dados_Evap!$C$2:$N$15,MATCH($B$9,Dados_Evap!$A$2:$A$15,0),C850),0))</f>
        <v/>
      </c>
      <c r="G850" s="26" t="str">
        <f t="shared" si="4"/>
        <v/>
      </c>
      <c r="H850" s="26" t="str">
        <f t="shared" si="22"/>
        <v/>
      </c>
      <c r="I850" s="26" t="str">
        <f t="array" ref="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/>
      </c>
      <c r="J850" s="26" t="str">
        <f t="shared" si="5"/>
        <v/>
      </c>
      <c r="K850" s="26" t="str">
        <f t="shared" si="6"/>
        <v/>
      </c>
      <c r="L850" s="26" t="str">
        <f t="shared" si="7"/>
        <v/>
      </c>
      <c r="M850" s="26" t="str">
        <f t="array" ref="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/>
      </c>
      <c r="N850" s="26" t="str">
        <f t="shared" si="8"/>
        <v/>
      </c>
      <c r="O850" s="26" t="str">
        <f t="shared" si="9"/>
        <v/>
      </c>
      <c r="P850" s="26" t="str">
        <f t="shared" si="10"/>
        <v/>
      </c>
      <c r="Q850" s="26" t="str">
        <f t="shared" si="11"/>
        <v/>
      </c>
      <c r="R850" s="26" t="str">
        <f t="shared" si="12"/>
        <v/>
      </c>
      <c r="S850" s="26" t="str">
        <f t="shared" si="13"/>
        <v/>
      </c>
      <c r="T850" s="26" t="str">
        <f t="shared" si="14"/>
        <v/>
      </c>
      <c r="U850" s="26" t="str">
        <f t="shared" si="15"/>
        <v/>
      </c>
      <c r="V850" s="26" t="str">
        <f t="shared" si="16"/>
        <v/>
      </c>
      <c r="W850" s="26" t="str">
        <f t="shared" si="17"/>
        <v/>
      </c>
      <c r="X850" s="26" t="str">
        <f t="shared" si="18"/>
        <v/>
      </c>
      <c r="Y850" s="26" t="str">
        <f t="shared" si="19"/>
        <v/>
      </c>
      <c r="Z850" s="31" t="str">
        <f t="shared" si="20"/>
        <v/>
      </c>
      <c r="AA850" s="31" t="str">
        <f>IF(D850="","",IF(H850&lt;=$B$16,1,IF(H850&gt;=$B$17,$B$21,MATCH(H850,Aux_CAV!$A$2:$A$121,1))))</f>
        <v/>
      </c>
      <c r="AB850" s="31" t="str">
        <f>IF(D850="","",IF(L850&lt;=$B$16,1,IF(L850&gt;=$B$17,$B$21,MATCH(L850,Aux_CAV!$A$2:$A$121,1))))</f>
        <v/>
      </c>
      <c r="AC850" s="3" t="str">
        <f t="shared" si="21"/>
        <v/>
      </c>
    </row>
    <row r="851" ht="12.75" customHeight="1">
      <c r="A851" s="25" t="str">
        <f t="shared" si="1"/>
        <v/>
      </c>
      <c r="B851" s="29" t="str">
        <f t="array" ref="B851">IF(D851="","",IFERROR(VALUE(INDEX(Vazoes_COLAR!$A$2:$A$200,INT((ROW()-24)/12)+1)),""))</f>
        <v/>
      </c>
      <c r="C851" s="29" t="str">
        <f t="shared" si="2"/>
        <v/>
      </c>
      <c r="D851" s="26" t="str">
        <f t="array" ref="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51" s="26" t="str">
        <f t="shared" si="3"/>
        <v/>
      </c>
      <c r="F851" s="26" t="str">
        <f t="array" ref="F851">IF(D851="","",IFERROR(INDEX(Dados_Evap!$C$2:$N$15,MATCH($B$9,Dados_Evap!$A$2:$A$15,0),C851),0))</f>
        <v/>
      </c>
      <c r="G851" s="26" t="str">
        <f t="shared" si="4"/>
        <v/>
      </c>
      <c r="H851" s="26" t="str">
        <f t="shared" si="22"/>
        <v/>
      </c>
      <c r="I851" s="26" t="str">
        <f t="array" ref="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/>
      </c>
      <c r="J851" s="26" t="str">
        <f t="shared" si="5"/>
        <v/>
      </c>
      <c r="K851" s="26" t="str">
        <f t="shared" si="6"/>
        <v/>
      </c>
      <c r="L851" s="26" t="str">
        <f t="shared" si="7"/>
        <v/>
      </c>
      <c r="M851" s="26" t="str">
        <f t="array" ref="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/>
      </c>
      <c r="N851" s="26" t="str">
        <f t="shared" si="8"/>
        <v/>
      </c>
      <c r="O851" s="26" t="str">
        <f t="shared" si="9"/>
        <v/>
      </c>
      <c r="P851" s="26" t="str">
        <f t="shared" si="10"/>
        <v/>
      </c>
      <c r="Q851" s="26" t="str">
        <f t="shared" si="11"/>
        <v/>
      </c>
      <c r="R851" s="26" t="str">
        <f t="shared" si="12"/>
        <v/>
      </c>
      <c r="S851" s="26" t="str">
        <f t="shared" si="13"/>
        <v/>
      </c>
      <c r="T851" s="26" t="str">
        <f t="shared" si="14"/>
        <v/>
      </c>
      <c r="U851" s="26" t="str">
        <f t="shared" si="15"/>
        <v/>
      </c>
      <c r="V851" s="26" t="str">
        <f t="shared" si="16"/>
        <v/>
      </c>
      <c r="W851" s="26" t="str">
        <f t="shared" si="17"/>
        <v/>
      </c>
      <c r="X851" s="26" t="str">
        <f t="shared" si="18"/>
        <v/>
      </c>
      <c r="Y851" s="26" t="str">
        <f t="shared" si="19"/>
        <v/>
      </c>
      <c r="Z851" s="31" t="str">
        <f t="shared" si="20"/>
        <v/>
      </c>
      <c r="AA851" s="31" t="str">
        <f>IF(D851="","",IF(H851&lt;=$B$16,1,IF(H851&gt;=$B$17,$B$21,MATCH(H851,Aux_CAV!$A$2:$A$121,1))))</f>
        <v/>
      </c>
      <c r="AB851" s="31" t="str">
        <f>IF(D851="","",IF(L851&lt;=$B$16,1,IF(L851&gt;=$B$17,$B$21,MATCH(L851,Aux_CAV!$A$2:$A$121,1))))</f>
        <v/>
      </c>
      <c r="AC851" s="3" t="str">
        <f t="shared" si="21"/>
        <v/>
      </c>
    </row>
    <row r="852" ht="12.75" customHeight="1">
      <c r="A852" s="25" t="str">
        <f t="shared" si="1"/>
        <v/>
      </c>
      <c r="B852" s="29" t="str">
        <f t="array" ref="B852">IF(D852="","",IFERROR(VALUE(INDEX(Vazoes_COLAR!$A$2:$A$200,INT((ROW()-24)/12)+1)),""))</f>
        <v/>
      </c>
      <c r="C852" s="29" t="str">
        <f t="shared" si="2"/>
        <v/>
      </c>
      <c r="D852" s="26" t="str">
        <f t="array" ref="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52" s="26" t="str">
        <f t="shared" si="3"/>
        <v/>
      </c>
      <c r="F852" s="26" t="str">
        <f t="array" ref="F852">IF(D852="","",IFERROR(INDEX(Dados_Evap!$C$2:$N$15,MATCH($B$9,Dados_Evap!$A$2:$A$15,0),C852),0))</f>
        <v/>
      </c>
      <c r="G852" s="26" t="str">
        <f t="shared" si="4"/>
        <v/>
      </c>
      <c r="H852" s="26" t="str">
        <f t="shared" si="22"/>
        <v/>
      </c>
      <c r="I852" s="26" t="str">
        <f t="array" ref="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/>
      </c>
      <c r="J852" s="26" t="str">
        <f t="shared" si="5"/>
        <v/>
      </c>
      <c r="K852" s="26" t="str">
        <f t="shared" si="6"/>
        <v/>
      </c>
      <c r="L852" s="26" t="str">
        <f t="shared" si="7"/>
        <v/>
      </c>
      <c r="M852" s="26" t="str">
        <f t="array" ref="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/>
      </c>
      <c r="N852" s="26" t="str">
        <f t="shared" si="8"/>
        <v/>
      </c>
      <c r="O852" s="26" t="str">
        <f t="shared" si="9"/>
        <v/>
      </c>
      <c r="P852" s="26" t="str">
        <f t="shared" si="10"/>
        <v/>
      </c>
      <c r="Q852" s="26" t="str">
        <f t="shared" si="11"/>
        <v/>
      </c>
      <c r="R852" s="26" t="str">
        <f t="shared" si="12"/>
        <v/>
      </c>
      <c r="S852" s="26" t="str">
        <f t="shared" si="13"/>
        <v/>
      </c>
      <c r="T852" s="26" t="str">
        <f t="shared" si="14"/>
        <v/>
      </c>
      <c r="U852" s="26" t="str">
        <f t="shared" si="15"/>
        <v/>
      </c>
      <c r="V852" s="26" t="str">
        <f t="shared" si="16"/>
        <v/>
      </c>
      <c r="W852" s="26" t="str">
        <f t="shared" si="17"/>
        <v/>
      </c>
      <c r="X852" s="26" t="str">
        <f t="shared" si="18"/>
        <v/>
      </c>
      <c r="Y852" s="26" t="str">
        <f t="shared" si="19"/>
        <v/>
      </c>
      <c r="Z852" s="31" t="str">
        <f t="shared" si="20"/>
        <v/>
      </c>
      <c r="AA852" s="31" t="str">
        <f>IF(D852="","",IF(H852&lt;=$B$16,1,IF(H852&gt;=$B$17,$B$21,MATCH(H852,Aux_CAV!$A$2:$A$121,1))))</f>
        <v/>
      </c>
      <c r="AB852" s="31" t="str">
        <f>IF(D852="","",IF(L852&lt;=$B$16,1,IF(L852&gt;=$B$17,$B$21,MATCH(L852,Aux_CAV!$A$2:$A$121,1))))</f>
        <v/>
      </c>
      <c r="AC852" s="3" t="str">
        <f t="shared" si="21"/>
        <v/>
      </c>
    </row>
    <row r="853" ht="12.75" customHeight="1">
      <c r="A853" s="25" t="str">
        <f t="shared" si="1"/>
        <v/>
      </c>
      <c r="B853" s="29" t="str">
        <f t="array" ref="B853">IF(D853="","",IFERROR(VALUE(INDEX(Vazoes_COLAR!$A$2:$A$200,INT((ROW()-24)/12)+1)),""))</f>
        <v/>
      </c>
      <c r="C853" s="29" t="str">
        <f t="shared" si="2"/>
        <v/>
      </c>
      <c r="D853" s="26" t="str">
        <f t="array" ref="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53" s="26" t="str">
        <f t="shared" si="3"/>
        <v/>
      </c>
      <c r="F853" s="26" t="str">
        <f t="array" ref="F853">IF(D853="","",IFERROR(INDEX(Dados_Evap!$C$2:$N$15,MATCH($B$9,Dados_Evap!$A$2:$A$15,0),C853),0))</f>
        <v/>
      </c>
      <c r="G853" s="26" t="str">
        <f t="shared" si="4"/>
        <v/>
      </c>
      <c r="H853" s="26" t="str">
        <f t="shared" si="22"/>
        <v/>
      </c>
      <c r="I853" s="26" t="str">
        <f t="array" ref="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/>
      </c>
      <c r="J853" s="26" t="str">
        <f t="shared" si="5"/>
        <v/>
      </c>
      <c r="K853" s="26" t="str">
        <f t="shared" si="6"/>
        <v/>
      </c>
      <c r="L853" s="26" t="str">
        <f t="shared" si="7"/>
        <v/>
      </c>
      <c r="M853" s="26" t="str">
        <f t="array" ref="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/>
      </c>
      <c r="N853" s="26" t="str">
        <f t="shared" si="8"/>
        <v/>
      </c>
      <c r="O853" s="26" t="str">
        <f t="shared" si="9"/>
        <v/>
      </c>
      <c r="P853" s="26" t="str">
        <f t="shared" si="10"/>
        <v/>
      </c>
      <c r="Q853" s="26" t="str">
        <f t="shared" si="11"/>
        <v/>
      </c>
      <c r="R853" s="26" t="str">
        <f t="shared" si="12"/>
        <v/>
      </c>
      <c r="S853" s="26" t="str">
        <f t="shared" si="13"/>
        <v/>
      </c>
      <c r="T853" s="26" t="str">
        <f t="shared" si="14"/>
        <v/>
      </c>
      <c r="U853" s="26" t="str">
        <f t="shared" si="15"/>
        <v/>
      </c>
      <c r="V853" s="26" t="str">
        <f t="shared" si="16"/>
        <v/>
      </c>
      <c r="W853" s="26" t="str">
        <f t="shared" si="17"/>
        <v/>
      </c>
      <c r="X853" s="26" t="str">
        <f t="shared" si="18"/>
        <v/>
      </c>
      <c r="Y853" s="26" t="str">
        <f t="shared" si="19"/>
        <v/>
      </c>
      <c r="Z853" s="31" t="str">
        <f t="shared" si="20"/>
        <v/>
      </c>
      <c r="AA853" s="31" t="str">
        <f>IF(D853="","",IF(H853&lt;=$B$16,1,IF(H853&gt;=$B$17,$B$21,MATCH(H853,Aux_CAV!$A$2:$A$121,1))))</f>
        <v/>
      </c>
      <c r="AB853" s="31" t="str">
        <f>IF(D853="","",IF(L853&lt;=$B$16,1,IF(L853&gt;=$B$17,$B$21,MATCH(L853,Aux_CAV!$A$2:$A$121,1))))</f>
        <v/>
      </c>
      <c r="AC853" s="3" t="str">
        <f t="shared" si="21"/>
        <v/>
      </c>
    </row>
    <row r="854" ht="12.75" customHeight="1">
      <c r="A854" s="25" t="str">
        <f t="shared" si="1"/>
        <v/>
      </c>
      <c r="B854" s="29" t="str">
        <f t="array" ref="B854">IF(D854="","",IFERROR(VALUE(INDEX(Vazoes_COLAR!$A$2:$A$200,INT((ROW()-24)/12)+1)),""))</f>
        <v/>
      </c>
      <c r="C854" s="29" t="str">
        <f t="shared" si="2"/>
        <v/>
      </c>
      <c r="D854" s="26" t="str">
        <f t="array" ref="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54" s="26" t="str">
        <f t="shared" si="3"/>
        <v/>
      </c>
      <c r="F854" s="26" t="str">
        <f t="array" ref="F854">IF(D854="","",IFERROR(INDEX(Dados_Evap!$C$2:$N$15,MATCH($B$9,Dados_Evap!$A$2:$A$15,0),C854),0))</f>
        <v/>
      </c>
      <c r="G854" s="26" t="str">
        <f t="shared" si="4"/>
        <v/>
      </c>
      <c r="H854" s="26" t="str">
        <f t="shared" si="22"/>
        <v/>
      </c>
      <c r="I854" s="26" t="str">
        <f t="array" ref="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/>
      </c>
      <c r="J854" s="26" t="str">
        <f t="shared" si="5"/>
        <v/>
      </c>
      <c r="K854" s="26" t="str">
        <f t="shared" si="6"/>
        <v/>
      </c>
      <c r="L854" s="26" t="str">
        <f t="shared" si="7"/>
        <v/>
      </c>
      <c r="M854" s="26" t="str">
        <f t="array" ref="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/>
      </c>
      <c r="N854" s="26" t="str">
        <f t="shared" si="8"/>
        <v/>
      </c>
      <c r="O854" s="26" t="str">
        <f t="shared" si="9"/>
        <v/>
      </c>
      <c r="P854" s="26" t="str">
        <f t="shared" si="10"/>
        <v/>
      </c>
      <c r="Q854" s="26" t="str">
        <f t="shared" si="11"/>
        <v/>
      </c>
      <c r="R854" s="26" t="str">
        <f t="shared" si="12"/>
        <v/>
      </c>
      <c r="S854" s="26" t="str">
        <f t="shared" si="13"/>
        <v/>
      </c>
      <c r="T854" s="26" t="str">
        <f t="shared" si="14"/>
        <v/>
      </c>
      <c r="U854" s="26" t="str">
        <f t="shared" si="15"/>
        <v/>
      </c>
      <c r="V854" s="26" t="str">
        <f t="shared" si="16"/>
        <v/>
      </c>
      <c r="W854" s="26" t="str">
        <f t="shared" si="17"/>
        <v/>
      </c>
      <c r="X854" s="26" t="str">
        <f t="shared" si="18"/>
        <v/>
      </c>
      <c r="Y854" s="26" t="str">
        <f t="shared" si="19"/>
        <v/>
      </c>
      <c r="Z854" s="31" t="str">
        <f t="shared" si="20"/>
        <v/>
      </c>
      <c r="AA854" s="31" t="str">
        <f>IF(D854="","",IF(H854&lt;=$B$16,1,IF(H854&gt;=$B$17,$B$21,MATCH(H854,Aux_CAV!$A$2:$A$121,1))))</f>
        <v/>
      </c>
      <c r="AB854" s="31" t="str">
        <f>IF(D854="","",IF(L854&lt;=$B$16,1,IF(L854&gt;=$B$17,$B$21,MATCH(L854,Aux_CAV!$A$2:$A$121,1))))</f>
        <v/>
      </c>
      <c r="AC854" s="3" t="str">
        <f t="shared" si="21"/>
        <v/>
      </c>
    </row>
    <row r="855" ht="12.75" customHeight="1">
      <c r="A855" s="25" t="str">
        <f t="shared" si="1"/>
        <v/>
      </c>
      <c r="B855" s="29" t="str">
        <f t="array" ref="B855">IF(D855="","",IFERROR(VALUE(INDEX(Vazoes_COLAR!$A$2:$A$200,INT((ROW()-24)/12)+1)),""))</f>
        <v/>
      </c>
      <c r="C855" s="29" t="str">
        <f t="shared" si="2"/>
        <v/>
      </c>
      <c r="D855" s="26" t="str">
        <f t="array" ref="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55" s="26" t="str">
        <f t="shared" si="3"/>
        <v/>
      </c>
      <c r="F855" s="26" t="str">
        <f t="array" ref="F855">IF(D855="","",IFERROR(INDEX(Dados_Evap!$C$2:$N$15,MATCH($B$9,Dados_Evap!$A$2:$A$15,0),C855),0))</f>
        <v/>
      </c>
      <c r="G855" s="26" t="str">
        <f t="shared" si="4"/>
        <v/>
      </c>
      <c r="H855" s="26" t="str">
        <f t="shared" si="22"/>
        <v/>
      </c>
      <c r="I855" s="26" t="str">
        <f t="array" ref="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/>
      </c>
      <c r="J855" s="26" t="str">
        <f t="shared" si="5"/>
        <v/>
      </c>
      <c r="K855" s="26" t="str">
        <f t="shared" si="6"/>
        <v/>
      </c>
      <c r="L855" s="26" t="str">
        <f t="shared" si="7"/>
        <v/>
      </c>
      <c r="M855" s="26" t="str">
        <f t="array" ref="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/>
      </c>
      <c r="N855" s="26" t="str">
        <f t="shared" si="8"/>
        <v/>
      </c>
      <c r="O855" s="26" t="str">
        <f t="shared" si="9"/>
        <v/>
      </c>
      <c r="P855" s="26" t="str">
        <f t="shared" si="10"/>
        <v/>
      </c>
      <c r="Q855" s="26" t="str">
        <f t="shared" si="11"/>
        <v/>
      </c>
      <c r="R855" s="26" t="str">
        <f t="shared" si="12"/>
        <v/>
      </c>
      <c r="S855" s="26" t="str">
        <f t="shared" si="13"/>
        <v/>
      </c>
      <c r="T855" s="26" t="str">
        <f t="shared" si="14"/>
        <v/>
      </c>
      <c r="U855" s="26" t="str">
        <f t="shared" si="15"/>
        <v/>
      </c>
      <c r="V855" s="26" t="str">
        <f t="shared" si="16"/>
        <v/>
      </c>
      <c r="W855" s="26" t="str">
        <f t="shared" si="17"/>
        <v/>
      </c>
      <c r="X855" s="26" t="str">
        <f t="shared" si="18"/>
        <v/>
      </c>
      <c r="Y855" s="26" t="str">
        <f t="shared" si="19"/>
        <v/>
      </c>
      <c r="Z855" s="31" t="str">
        <f t="shared" si="20"/>
        <v/>
      </c>
      <c r="AA855" s="31" t="str">
        <f>IF(D855="","",IF(H855&lt;=$B$16,1,IF(H855&gt;=$B$17,$B$21,MATCH(H855,Aux_CAV!$A$2:$A$121,1))))</f>
        <v/>
      </c>
      <c r="AB855" s="31" t="str">
        <f>IF(D855="","",IF(L855&lt;=$B$16,1,IF(L855&gt;=$B$17,$B$21,MATCH(L855,Aux_CAV!$A$2:$A$121,1))))</f>
        <v/>
      </c>
      <c r="AC855" s="3" t="str">
        <f t="shared" si="21"/>
        <v/>
      </c>
    </row>
    <row r="856" ht="12.75" customHeight="1">
      <c r="A856" s="25" t="str">
        <f t="shared" si="1"/>
        <v/>
      </c>
      <c r="B856" s="29" t="str">
        <f t="array" ref="B856">IF(D856="","",IFERROR(VALUE(INDEX(Vazoes_COLAR!$A$2:$A$200,INT((ROW()-24)/12)+1)),""))</f>
        <v/>
      </c>
      <c r="C856" s="29" t="str">
        <f t="shared" si="2"/>
        <v/>
      </c>
      <c r="D856" s="26" t="str">
        <f t="array" ref="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56" s="26" t="str">
        <f t="shared" si="3"/>
        <v/>
      </c>
      <c r="F856" s="26" t="str">
        <f t="array" ref="F856">IF(D856="","",IFERROR(INDEX(Dados_Evap!$C$2:$N$15,MATCH($B$9,Dados_Evap!$A$2:$A$15,0),C856),0))</f>
        <v/>
      </c>
      <c r="G856" s="26" t="str">
        <f t="shared" si="4"/>
        <v/>
      </c>
      <c r="H856" s="26" t="str">
        <f t="shared" si="22"/>
        <v/>
      </c>
      <c r="I856" s="26" t="str">
        <f t="array" ref="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/>
      </c>
      <c r="J856" s="26" t="str">
        <f t="shared" si="5"/>
        <v/>
      </c>
      <c r="K856" s="26" t="str">
        <f t="shared" si="6"/>
        <v/>
      </c>
      <c r="L856" s="26" t="str">
        <f t="shared" si="7"/>
        <v/>
      </c>
      <c r="M856" s="26" t="str">
        <f t="array" ref="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/>
      </c>
      <c r="N856" s="26" t="str">
        <f t="shared" si="8"/>
        <v/>
      </c>
      <c r="O856" s="26" t="str">
        <f t="shared" si="9"/>
        <v/>
      </c>
      <c r="P856" s="26" t="str">
        <f t="shared" si="10"/>
        <v/>
      </c>
      <c r="Q856" s="26" t="str">
        <f t="shared" si="11"/>
        <v/>
      </c>
      <c r="R856" s="26" t="str">
        <f t="shared" si="12"/>
        <v/>
      </c>
      <c r="S856" s="26" t="str">
        <f t="shared" si="13"/>
        <v/>
      </c>
      <c r="T856" s="26" t="str">
        <f t="shared" si="14"/>
        <v/>
      </c>
      <c r="U856" s="26" t="str">
        <f t="shared" si="15"/>
        <v/>
      </c>
      <c r="V856" s="26" t="str">
        <f t="shared" si="16"/>
        <v/>
      </c>
      <c r="W856" s="26" t="str">
        <f t="shared" si="17"/>
        <v/>
      </c>
      <c r="X856" s="26" t="str">
        <f t="shared" si="18"/>
        <v/>
      </c>
      <c r="Y856" s="26" t="str">
        <f t="shared" si="19"/>
        <v/>
      </c>
      <c r="Z856" s="31" t="str">
        <f t="shared" si="20"/>
        <v/>
      </c>
      <c r="AA856" s="31" t="str">
        <f>IF(D856="","",IF(H856&lt;=$B$16,1,IF(H856&gt;=$B$17,$B$21,MATCH(H856,Aux_CAV!$A$2:$A$121,1))))</f>
        <v/>
      </c>
      <c r="AB856" s="31" t="str">
        <f>IF(D856="","",IF(L856&lt;=$B$16,1,IF(L856&gt;=$B$17,$B$21,MATCH(L856,Aux_CAV!$A$2:$A$121,1))))</f>
        <v/>
      </c>
      <c r="AC856" s="3" t="str">
        <f t="shared" si="21"/>
        <v/>
      </c>
    </row>
    <row r="857" ht="12.75" customHeight="1">
      <c r="A857" s="25" t="str">
        <f t="shared" si="1"/>
        <v/>
      </c>
      <c r="B857" s="29" t="str">
        <f t="array" ref="B857">IF(D857="","",IFERROR(VALUE(INDEX(Vazoes_COLAR!$A$2:$A$200,INT((ROW()-24)/12)+1)),""))</f>
        <v/>
      </c>
      <c r="C857" s="29" t="str">
        <f t="shared" si="2"/>
        <v/>
      </c>
      <c r="D857" s="26" t="str">
        <f t="array" ref="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57" s="26" t="str">
        <f t="shared" si="3"/>
        <v/>
      </c>
      <c r="F857" s="26" t="str">
        <f t="array" ref="F857">IF(D857="","",IFERROR(INDEX(Dados_Evap!$C$2:$N$15,MATCH($B$9,Dados_Evap!$A$2:$A$15,0),C857),0))</f>
        <v/>
      </c>
      <c r="G857" s="26" t="str">
        <f t="shared" si="4"/>
        <v/>
      </c>
      <c r="H857" s="26" t="str">
        <f t="shared" si="22"/>
        <v/>
      </c>
      <c r="I857" s="26" t="str">
        <f t="array" ref="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/>
      </c>
      <c r="J857" s="26" t="str">
        <f t="shared" si="5"/>
        <v/>
      </c>
      <c r="K857" s="26" t="str">
        <f t="shared" si="6"/>
        <v/>
      </c>
      <c r="L857" s="26" t="str">
        <f t="shared" si="7"/>
        <v/>
      </c>
      <c r="M857" s="26" t="str">
        <f t="array" ref="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/>
      </c>
      <c r="N857" s="26" t="str">
        <f t="shared" si="8"/>
        <v/>
      </c>
      <c r="O857" s="26" t="str">
        <f t="shared" si="9"/>
        <v/>
      </c>
      <c r="P857" s="26" t="str">
        <f t="shared" si="10"/>
        <v/>
      </c>
      <c r="Q857" s="26" t="str">
        <f t="shared" si="11"/>
        <v/>
      </c>
      <c r="R857" s="26" t="str">
        <f t="shared" si="12"/>
        <v/>
      </c>
      <c r="S857" s="26" t="str">
        <f t="shared" si="13"/>
        <v/>
      </c>
      <c r="T857" s="26" t="str">
        <f t="shared" si="14"/>
        <v/>
      </c>
      <c r="U857" s="26" t="str">
        <f t="shared" si="15"/>
        <v/>
      </c>
      <c r="V857" s="26" t="str">
        <f t="shared" si="16"/>
        <v/>
      </c>
      <c r="W857" s="26" t="str">
        <f t="shared" si="17"/>
        <v/>
      </c>
      <c r="X857" s="26" t="str">
        <f t="shared" si="18"/>
        <v/>
      </c>
      <c r="Y857" s="26" t="str">
        <f t="shared" si="19"/>
        <v/>
      </c>
      <c r="Z857" s="31" t="str">
        <f t="shared" si="20"/>
        <v/>
      </c>
      <c r="AA857" s="31" t="str">
        <f>IF(D857="","",IF(H857&lt;=$B$16,1,IF(H857&gt;=$B$17,$B$21,MATCH(H857,Aux_CAV!$A$2:$A$121,1))))</f>
        <v/>
      </c>
      <c r="AB857" s="31" t="str">
        <f>IF(D857="","",IF(L857&lt;=$B$16,1,IF(L857&gt;=$B$17,$B$21,MATCH(L857,Aux_CAV!$A$2:$A$121,1))))</f>
        <v/>
      </c>
      <c r="AC857" s="3" t="str">
        <f t="shared" si="21"/>
        <v/>
      </c>
    </row>
    <row r="858" ht="12.75" customHeight="1">
      <c r="A858" s="25" t="str">
        <f t="shared" si="1"/>
        <v/>
      </c>
      <c r="B858" s="29" t="str">
        <f t="array" ref="B858">IF(D858="","",IFERROR(VALUE(INDEX(Vazoes_COLAR!$A$2:$A$200,INT((ROW()-24)/12)+1)),""))</f>
        <v/>
      </c>
      <c r="C858" s="29" t="str">
        <f t="shared" si="2"/>
        <v/>
      </c>
      <c r="D858" s="26" t="str">
        <f t="array" ref="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58" s="26" t="str">
        <f t="shared" si="3"/>
        <v/>
      </c>
      <c r="F858" s="26" t="str">
        <f t="array" ref="F858">IF(D858="","",IFERROR(INDEX(Dados_Evap!$C$2:$N$15,MATCH($B$9,Dados_Evap!$A$2:$A$15,0),C858),0))</f>
        <v/>
      </c>
      <c r="G858" s="26" t="str">
        <f t="shared" si="4"/>
        <v/>
      </c>
      <c r="H858" s="26" t="str">
        <f t="shared" si="22"/>
        <v/>
      </c>
      <c r="I858" s="26" t="str">
        <f t="array" ref="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/>
      </c>
      <c r="J858" s="26" t="str">
        <f t="shared" si="5"/>
        <v/>
      </c>
      <c r="K858" s="26" t="str">
        <f t="shared" si="6"/>
        <v/>
      </c>
      <c r="L858" s="26" t="str">
        <f t="shared" si="7"/>
        <v/>
      </c>
      <c r="M858" s="26" t="str">
        <f t="array" ref="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/>
      </c>
      <c r="N858" s="26" t="str">
        <f t="shared" si="8"/>
        <v/>
      </c>
      <c r="O858" s="26" t="str">
        <f t="shared" si="9"/>
        <v/>
      </c>
      <c r="P858" s="26" t="str">
        <f t="shared" si="10"/>
        <v/>
      </c>
      <c r="Q858" s="26" t="str">
        <f t="shared" si="11"/>
        <v/>
      </c>
      <c r="R858" s="26" t="str">
        <f t="shared" si="12"/>
        <v/>
      </c>
      <c r="S858" s="26" t="str">
        <f t="shared" si="13"/>
        <v/>
      </c>
      <c r="T858" s="26" t="str">
        <f t="shared" si="14"/>
        <v/>
      </c>
      <c r="U858" s="26" t="str">
        <f t="shared" si="15"/>
        <v/>
      </c>
      <c r="V858" s="26" t="str">
        <f t="shared" si="16"/>
        <v/>
      </c>
      <c r="W858" s="26" t="str">
        <f t="shared" si="17"/>
        <v/>
      </c>
      <c r="X858" s="26" t="str">
        <f t="shared" si="18"/>
        <v/>
      </c>
      <c r="Y858" s="26" t="str">
        <f t="shared" si="19"/>
        <v/>
      </c>
      <c r="Z858" s="31" t="str">
        <f t="shared" si="20"/>
        <v/>
      </c>
      <c r="AA858" s="31" t="str">
        <f>IF(D858="","",IF(H858&lt;=$B$16,1,IF(H858&gt;=$B$17,$B$21,MATCH(H858,Aux_CAV!$A$2:$A$121,1))))</f>
        <v/>
      </c>
      <c r="AB858" s="31" t="str">
        <f>IF(D858="","",IF(L858&lt;=$B$16,1,IF(L858&gt;=$B$17,$B$21,MATCH(L858,Aux_CAV!$A$2:$A$121,1))))</f>
        <v/>
      </c>
      <c r="AC858" s="3" t="str">
        <f t="shared" si="21"/>
        <v/>
      </c>
    </row>
    <row r="859" ht="12.75" customHeight="1">
      <c r="A859" s="25" t="str">
        <f t="shared" si="1"/>
        <v/>
      </c>
      <c r="B859" s="29" t="str">
        <f t="array" ref="B859">IF(D859="","",IFERROR(VALUE(INDEX(Vazoes_COLAR!$A$2:$A$200,INT((ROW()-24)/12)+1)),""))</f>
        <v/>
      </c>
      <c r="C859" s="29" t="str">
        <f t="shared" si="2"/>
        <v/>
      </c>
      <c r="D859" s="26" t="str">
        <f t="array" ref="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59" s="26" t="str">
        <f t="shared" si="3"/>
        <v/>
      </c>
      <c r="F859" s="26" t="str">
        <f t="array" ref="F859">IF(D859="","",IFERROR(INDEX(Dados_Evap!$C$2:$N$15,MATCH($B$9,Dados_Evap!$A$2:$A$15,0),C859),0))</f>
        <v/>
      </c>
      <c r="G859" s="26" t="str">
        <f t="shared" si="4"/>
        <v/>
      </c>
      <c r="H859" s="26" t="str">
        <f t="shared" si="22"/>
        <v/>
      </c>
      <c r="I859" s="26" t="str">
        <f t="array" ref="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/>
      </c>
      <c r="J859" s="26" t="str">
        <f t="shared" si="5"/>
        <v/>
      </c>
      <c r="K859" s="26" t="str">
        <f t="shared" si="6"/>
        <v/>
      </c>
      <c r="L859" s="26" t="str">
        <f t="shared" si="7"/>
        <v/>
      </c>
      <c r="M859" s="26" t="str">
        <f t="array" ref="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/>
      </c>
      <c r="N859" s="26" t="str">
        <f t="shared" si="8"/>
        <v/>
      </c>
      <c r="O859" s="26" t="str">
        <f t="shared" si="9"/>
        <v/>
      </c>
      <c r="P859" s="26" t="str">
        <f t="shared" si="10"/>
        <v/>
      </c>
      <c r="Q859" s="26" t="str">
        <f t="shared" si="11"/>
        <v/>
      </c>
      <c r="R859" s="26" t="str">
        <f t="shared" si="12"/>
        <v/>
      </c>
      <c r="S859" s="26" t="str">
        <f t="shared" si="13"/>
        <v/>
      </c>
      <c r="T859" s="26" t="str">
        <f t="shared" si="14"/>
        <v/>
      </c>
      <c r="U859" s="26" t="str">
        <f t="shared" si="15"/>
        <v/>
      </c>
      <c r="V859" s="26" t="str">
        <f t="shared" si="16"/>
        <v/>
      </c>
      <c r="W859" s="26" t="str">
        <f t="shared" si="17"/>
        <v/>
      </c>
      <c r="X859" s="26" t="str">
        <f t="shared" si="18"/>
        <v/>
      </c>
      <c r="Y859" s="26" t="str">
        <f t="shared" si="19"/>
        <v/>
      </c>
      <c r="Z859" s="31" t="str">
        <f t="shared" si="20"/>
        <v/>
      </c>
      <c r="AA859" s="31" t="str">
        <f>IF(D859="","",IF(H859&lt;=$B$16,1,IF(H859&gt;=$B$17,$B$21,MATCH(H859,Aux_CAV!$A$2:$A$121,1))))</f>
        <v/>
      </c>
      <c r="AB859" s="31" t="str">
        <f>IF(D859="","",IF(L859&lt;=$B$16,1,IF(L859&gt;=$B$17,$B$21,MATCH(L859,Aux_CAV!$A$2:$A$121,1))))</f>
        <v/>
      </c>
      <c r="AC859" s="3" t="str">
        <f t="shared" si="21"/>
        <v/>
      </c>
    </row>
    <row r="860" ht="12.75" customHeight="1">
      <c r="A860" s="25" t="str">
        <f t="shared" si="1"/>
        <v/>
      </c>
      <c r="B860" s="29" t="str">
        <f t="array" ref="B860">IF(D860="","",IFERROR(VALUE(INDEX(Vazoes_COLAR!$A$2:$A$200,INT((ROW()-24)/12)+1)),""))</f>
        <v/>
      </c>
      <c r="C860" s="29" t="str">
        <f t="shared" si="2"/>
        <v/>
      </c>
      <c r="D860" s="26" t="str">
        <f t="array" ref="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60" s="26" t="str">
        <f t="shared" si="3"/>
        <v/>
      </c>
      <c r="F860" s="26" t="str">
        <f t="array" ref="F860">IF(D860="","",IFERROR(INDEX(Dados_Evap!$C$2:$N$15,MATCH($B$9,Dados_Evap!$A$2:$A$15,0),C860),0))</f>
        <v/>
      </c>
      <c r="G860" s="26" t="str">
        <f t="shared" si="4"/>
        <v/>
      </c>
      <c r="H860" s="26" t="str">
        <f t="shared" si="22"/>
        <v/>
      </c>
      <c r="I860" s="26" t="str">
        <f t="array" ref="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/>
      </c>
      <c r="J860" s="26" t="str">
        <f t="shared" si="5"/>
        <v/>
      </c>
      <c r="K860" s="26" t="str">
        <f t="shared" si="6"/>
        <v/>
      </c>
      <c r="L860" s="26" t="str">
        <f t="shared" si="7"/>
        <v/>
      </c>
      <c r="M860" s="26" t="str">
        <f t="array" ref="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/>
      </c>
      <c r="N860" s="26" t="str">
        <f t="shared" si="8"/>
        <v/>
      </c>
      <c r="O860" s="26" t="str">
        <f t="shared" si="9"/>
        <v/>
      </c>
      <c r="P860" s="26" t="str">
        <f t="shared" si="10"/>
        <v/>
      </c>
      <c r="Q860" s="26" t="str">
        <f t="shared" si="11"/>
        <v/>
      </c>
      <c r="R860" s="26" t="str">
        <f t="shared" si="12"/>
        <v/>
      </c>
      <c r="S860" s="26" t="str">
        <f t="shared" si="13"/>
        <v/>
      </c>
      <c r="T860" s="26" t="str">
        <f t="shared" si="14"/>
        <v/>
      </c>
      <c r="U860" s="26" t="str">
        <f t="shared" si="15"/>
        <v/>
      </c>
      <c r="V860" s="26" t="str">
        <f t="shared" si="16"/>
        <v/>
      </c>
      <c r="W860" s="26" t="str">
        <f t="shared" si="17"/>
        <v/>
      </c>
      <c r="X860" s="26" t="str">
        <f t="shared" si="18"/>
        <v/>
      </c>
      <c r="Y860" s="26" t="str">
        <f t="shared" si="19"/>
        <v/>
      </c>
      <c r="Z860" s="31" t="str">
        <f t="shared" si="20"/>
        <v/>
      </c>
      <c r="AA860" s="31" t="str">
        <f>IF(D860="","",IF(H860&lt;=$B$16,1,IF(H860&gt;=$B$17,$B$21,MATCH(H860,Aux_CAV!$A$2:$A$121,1))))</f>
        <v/>
      </c>
      <c r="AB860" s="31" t="str">
        <f>IF(D860="","",IF(L860&lt;=$B$16,1,IF(L860&gt;=$B$17,$B$21,MATCH(L860,Aux_CAV!$A$2:$A$121,1))))</f>
        <v/>
      </c>
      <c r="AC860" s="3" t="str">
        <f t="shared" si="21"/>
        <v/>
      </c>
    </row>
    <row r="861" ht="12.75" customHeight="1">
      <c r="A861" s="25" t="str">
        <f t="shared" si="1"/>
        <v/>
      </c>
      <c r="B861" s="29" t="str">
        <f t="array" ref="B861">IF(D861="","",IFERROR(VALUE(INDEX(Vazoes_COLAR!$A$2:$A$200,INT((ROW()-24)/12)+1)),""))</f>
        <v/>
      </c>
      <c r="C861" s="29" t="str">
        <f t="shared" si="2"/>
        <v/>
      </c>
      <c r="D861" s="26" t="str">
        <f t="array" ref="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61" s="26" t="str">
        <f t="shared" si="3"/>
        <v/>
      </c>
      <c r="F861" s="26" t="str">
        <f t="array" ref="F861">IF(D861="","",IFERROR(INDEX(Dados_Evap!$C$2:$N$15,MATCH($B$9,Dados_Evap!$A$2:$A$15,0),C861),0))</f>
        <v/>
      </c>
      <c r="G861" s="26" t="str">
        <f t="shared" si="4"/>
        <v/>
      </c>
      <c r="H861" s="26" t="str">
        <f t="shared" si="22"/>
        <v/>
      </c>
      <c r="I861" s="26" t="str">
        <f t="array" ref="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/>
      </c>
      <c r="J861" s="26" t="str">
        <f t="shared" si="5"/>
        <v/>
      </c>
      <c r="K861" s="26" t="str">
        <f t="shared" si="6"/>
        <v/>
      </c>
      <c r="L861" s="26" t="str">
        <f t="shared" si="7"/>
        <v/>
      </c>
      <c r="M861" s="26" t="str">
        <f t="array" ref="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/>
      </c>
      <c r="N861" s="26" t="str">
        <f t="shared" si="8"/>
        <v/>
      </c>
      <c r="O861" s="26" t="str">
        <f t="shared" si="9"/>
        <v/>
      </c>
      <c r="P861" s="26" t="str">
        <f t="shared" si="10"/>
        <v/>
      </c>
      <c r="Q861" s="26" t="str">
        <f t="shared" si="11"/>
        <v/>
      </c>
      <c r="R861" s="26" t="str">
        <f t="shared" si="12"/>
        <v/>
      </c>
      <c r="S861" s="26" t="str">
        <f t="shared" si="13"/>
        <v/>
      </c>
      <c r="T861" s="26" t="str">
        <f t="shared" si="14"/>
        <v/>
      </c>
      <c r="U861" s="26" t="str">
        <f t="shared" si="15"/>
        <v/>
      </c>
      <c r="V861" s="26" t="str">
        <f t="shared" si="16"/>
        <v/>
      </c>
      <c r="W861" s="26" t="str">
        <f t="shared" si="17"/>
        <v/>
      </c>
      <c r="X861" s="26" t="str">
        <f t="shared" si="18"/>
        <v/>
      </c>
      <c r="Y861" s="26" t="str">
        <f t="shared" si="19"/>
        <v/>
      </c>
      <c r="Z861" s="31" t="str">
        <f t="shared" si="20"/>
        <v/>
      </c>
      <c r="AA861" s="31" t="str">
        <f>IF(D861="","",IF(H861&lt;=$B$16,1,IF(H861&gt;=$B$17,$B$21,MATCH(H861,Aux_CAV!$A$2:$A$121,1))))</f>
        <v/>
      </c>
      <c r="AB861" s="31" t="str">
        <f>IF(D861="","",IF(L861&lt;=$B$16,1,IF(L861&gt;=$B$17,$B$21,MATCH(L861,Aux_CAV!$A$2:$A$121,1))))</f>
        <v/>
      </c>
      <c r="AC861" s="3" t="str">
        <f t="shared" si="21"/>
        <v/>
      </c>
    </row>
    <row r="862" ht="12.75" customHeight="1">
      <c r="A862" s="25" t="str">
        <f t="shared" si="1"/>
        <v/>
      </c>
      <c r="B862" s="29" t="str">
        <f t="array" ref="B862">IF(D862="","",IFERROR(VALUE(INDEX(Vazoes_COLAR!$A$2:$A$200,INT((ROW()-24)/12)+1)),""))</f>
        <v/>
      </c>
      <c r="C862" s="29" t="str">
        <f t="shared" si="2"/>
        <v/>
      </c>
      <c r="D862" s="26" t="str">
        <f t="array" ref="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62" s="26" t="str">
        <f t="shared" si="3"/>
        <v/>
      </c>
      <c r="F862" s="26" t="str">
        <f t="array" ref="F862">IF(D862="","",IFERROR(INDEX(Dados_Evap!$C$2:$N$15,MATCH($B$9,Dados_Evap!$A$2:$A$15,0),C862),0))</f>
        <v/>
      </c>
      <c r="G862" s="26" t="str">
        <f t="shared" si="4"/>
        <v/>
      </c>
      <c r="H862" s="26" t="str">
        <f t="shared" si="22"/>
        <v/>
      </c>
      <c r="I862" s="26" t="str">
        <f t="array" ref="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/>
      </c>
      <c r="J862" s="26" t="str">
        <f t="shared" si="5"/>
        <v/>
      </c>
      <c r="K862" s="26" t="str">
        <f t="shared" si="6"/>
        <v/>
      </c>
      <c r="L862" s="26" t="str">
        <f t="shared" si="7"/>
        <v/>
      </c>
      <c r="M862" s="26" t="str">
        <f t="array" ref="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/>
      </c>
      <c r="N862" s="26" t="str">
        <f t="shared" si="8"/>
        <v/>
      </c>
      <c r="O862" s="26" t="str">
        <f t="shared" si="9"/>
        <v/>
      </c>
      <c r="P862" s="26" t="str">
        <f t="shared" si="10"/>
        <v/>
      </c>
      <c r="Q862" s="26" t="str">
        <f t="shared" si="11"/>
        <v/>
      </c>
      <c r="R862" s="26" t="str">
        <f t="shared" si="12"/>
        <v/>
      </c>
      <c r="S862" s="26" t="str">
        <f t="shared" si="13"/>
        <v/>
      </c>
      <c r="T862" s="26" t="str">
        <f t="shared" si="14"/>
        <v/>
      </c>
      <c r="U862" s="26" t="str">
        <f t="shared" si="15"/>
        <v/>
      </c>
      <c r="V862" s="26" t="str">
        <f t="shared" si="16"/>
        <v/>
      </c>
      <c r="W862" s="26" t="str">
        <f t="shared" si="17"/>
        <v/>
      </c>
      <c r="X862" s="26" t="str">
        <f t="shared" si="18"/>
        <v/>
      </c>
      <c r="Y862" s="26" t="str">
        <f t="shared" si="19"/>
        <v/>
      </c>
      <c r="Z862" s="31" t="str">
        <f t="shared" si="20"/>
        <v/>
      </c>
      <c r="AA862" s="31" t="str">
        <f>IF(D862="","",IF(H862&lt;=$B$16,1,IF(H862&gt;=$B$17,$B$21,MATCH(H862,Aux_CAV!$A$2:$A$121,1))))</f>
        <v/>
      </c>
      <c r="AB862" s="31" t="str">
        <f>IF(D862="","",IF(L862&lt;=$B$16,1,IF(L862&gt;=$B$17,$B$21,MATCH(L862,Aux_CAV!$A$2:$A$121,1))))</f>
        <v/>
      </c>
      <c r="AC862" s="3" t="str">
        <f t="shared" si="21"/>
        <v/>
      </c>
    </row>
    <row r="863" ht="12.75" customHeight="1">
      <c r="A863" s="25" t="str">
        <f t="shared" si="1"/>
        <v/>
      </c>
      <c r="B863" s="29" t="str">
        <f t="array" ref="B863">IF(D863="","",IFERROR(VALUE(INDEX(Vazoes_COLAR!$A$2:$A$200,INT((ROW()-24)/12)+1)),""))</f>
        <v/>
      </c>
      <c r="C863" s="29" t="str">
        <f t="shared" si="2"/>
        <v/>
      </c>
      <c r="D863" s="26" t="str">
        <f t="array" ref="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63" s="26" t="str">
        <f t="shared" si="3"/>
        <v/>
      </c>
      <c r="F863" s="26" t="str">
        <f t="array" ref="F863">IF(D863="","",IFERROR(INDEX(Dados_Evap!$C$2:$N$15,MATCH($B$9,Dados_Evap!$A$2:$A$15,0),C863),0))</f>
        <v/>
      </c>
      <c r="G863" s="26" t="str">
        <f t="shared" si="4"/>
        <v/>
      </c>
      <c r="H863" s="26" t="str">
        <f t="shared" si="22"/>
        <v/>
      </c>
      <c r="I863" s="26" t="str">
        <f t="array" ref="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/>
      </c>
      <c r="J863" s="26" t="str">
        <f t="shared" si="5"/>
        <v/>
      </c>
      <c r="K863" s="26" t="str">
        <f t="shared" si="6"/>
        <v/>
      </c>
      <c r="L863" s="26" t="str">
        <f t="shared" si="7"/>
        <v/>
      </c>
      <c r="M863" s="26" t="str">
        <f t="array" ref="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/>
      </c>
      <c r="N863" s="26" t="str">
        <f t="shared" si="8"/>
        <v/>
      </c>
      <c r="O863" s="26" t="str">
        <f t="shared" si="9"/>
        <v/>
      </c>
      <c r="P863" s="26" t="str">
        <f t="shared" si="10"/>
        <v/>
      </c>
      <c r="Q863" s="26" t="str">
        <f t="shared" si="11"/>
        <v/>
      </c>
      <c r="R863" s="26" t="str">
        <f t="shared" si="12"/>
        <v/>
      </c>
      <c r="S863" s="26" t="str">
        <f t="shared" si="13"/>
        <v/>
      </c>
      <c r="T863" s="26" t="str">
        <f t="shared" si="14"/>
        <v/>
      </c>
      <c r="U863" s="26" t="str">
        <f t="shared" si="15"/>
        <v/>
      </c>
      <c r="V863" s="26" t="str">
        <f t="shared" si="16"/>
        <v/>
      </c>
      <c r="W863" s="26" t="str">
        <f t="shared" si="17"/>
        <v/>
      </c>
      <c r="X863" s="26" t="str">
        <f t="shared" si="18"/>
        <v/>
      </c>
      <c r="Y863" s="26" t="str">
        <f t="shared" si="19"/>
        <v/>
      </c>
      <c r="Z863" s="31" t="str">
        <f t="shared" si="20"/>
        <v/>
      </c>
      <c r="AA863" s="31" t="str">
        <f>IF(D863="","",IF(H863&lt;=$B$16,1,IF(H863&gt;=$B$17,$B$21,MATCH(H863,Aux_CAV!$A$2:$A$121,1))))</f>
        <v/>
      </c>
      <c r="AB863" s="31" t="str">
        <f>IF(D863="","",IF(L863&lt;=$B$16,1,IF(L863&gt;=$B$17,$B$21,MATCH(L863,Aux_CAV!$A$2:$A$121,1))))</f>
        <v/>
      </c>
      <c r="AC863" s="3" t="str">
        <f t="shared" si="21"/>
        <v/>
      </c>
    </row>
    <row r="864" ht="12.75" customHeight="1">
      <c r="A864" s="25" t="str">
        <f t="shared" si="1"/>
        <v/>
      </c>
      <c r="B864" s="29" t="str">
        <f t="array" ref="B864">IF(D864="","",IFERROR(VALUE(INDEX(Vazoes_COLAR!$A$2:$A$200,INT((ROW()-24)/12)+1)),""))</f>
        <v/>
      </c>
      <c r="C864" s="29" t="str">
        <f t="shared" si="2"/>
        <v/>
      </c>
      <c r="D864" s="26" t="str">
        <f t="array" ref="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64" s="26" t="str">
        <f t="shared" si="3"/>
        <v/>
      </c>
      <c r="F864" s="26" t="str">
        <f t="array" ref="F864">IF(D864="","",IFERROR(INDEX(Dados_Evap!$C$2:$N$15,MATCH($B$9,Dados_Evap!$A$2:$A$15,0),C864),0))</f>
        <v/>
      </c>
      <c r="G864" s="26" t="str">
        <f t="shared" si="4"/>
        <v/>
      </c>
      <c r="H864" s="26" t="str">
        <f t="shared" si="22"/>
        <v/>
      </c>
      <c r="I864" s="26" t="str">
        <f t="array" ref="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/>
      </c>
      <c r="J864" s="26" t="str">
        <f t="shared" si="5"/>
        <v/>
      </c>
      <c r="K864" s="26" t="str">
        <f t="shared" si="6"/>
        <v/>
      </c>
      <c r="L864" s="26" t="str">
        <f t="shared" si="7"/>
        <v/>
      </c>
      <c r="M864" s="26" t="str">
        <f t="array" ref="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/>
      </c>
      <c r="N864" s="26" t="str">
        <f t="shared" si="8"/>
        <v/>
      </c>
      <c r="O864" s="26" t="str">
        <f t="shared" si="9"/>
        <v/>
      </c>
      <c r="P864" s="26" t="str">
        <f t="shared" si="10"/>
        <v/>
      </c>
      <c r="Q864" s="26" t="str">
        <f t="shared" si="11"/>
        <v/>
      </c>
      <c r="R864" s="26" t="str">
        <f t="shared" si="12"/>
        <v/>
      </c>
      <c r="S864" s="26" t="str">
        <f t="shared" si="13"/>
        <v/>
      </c>
      <c r="T864" s="26" t="str">
        <f t="shared" si="14"/>
        <v/>
      </c>
      <c r="U864" s="26" t="str">
        <f t="shared" si="15"/>
        <v/>
      </c>
      <c r="V864" s="26" t="str">
        <f t="shared" si="16"/>
        <v/>
      </c>
      <c r="W864" s="26" t="str">
        <f t="shared" si="17"/>
        <v/>
      </c>
      <c r="X864" s="26" t="str">
        <f t="shared" si="18"/>
        <v/>
      </c>
      <c r="Y864" s="26" t="str">
        <f t="shared" si="19"/>
        <v/>
      </c>
      <c r="Z864" s="31" t="str">
        <f t="shared" si="20"/>
        <v/>
      </c>
      <c r="AA864" s="31" t="str">
        <f>IF(D864="","",IF(H864&lt;=$B$16,1,IF(H864&gt;=$B$17,$B$21,MATCH(H864,Aux_CAV!$A$2:$A$121,1))))</f>
        <v/>
      </c>
      <c r="AB864" s="31" t="str">
        <f>IF(D864="","",IF(L864&lt;=$B$16,1,IF(L864&gt;=$B$17,$B$21,MATCH(L864,Aux_CAV!$A$2:$A$121,1))))</f>
        <v/>
      </c>
      <c r="AC864" s="3" t="str">
        <f t="shared" si="21"/>
        <v/>
      </c>
    </row>
    <row r="865" ht="12.75" customHeight="1">
      <c r="A865" s="25" t="str">
        <f t="shared" si="1"/>
        <v/>
      </c>
      <c r="B865" s="29" t="str">
        <f t="array" ref="B865">IF(D865="","",IFERROR(VALUE(INDEX(Vazoes_COLAR!$A$2:$A$200,INT((ROW()-24)/12)+1)),""))</f>
        <v/>
      </c>
      <c r="C865" s="29" t="str">
        <f t="shared" si="2"/>
        <v/>
      </c>
      <c r="D865" s="26" t="str">
        <f t="array" ref="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65" s="26" t="str">
        <f t="shared" si="3"/>
        <v/>
      </c>
      <c r="F865" s="26" t="str">
        <f t="array" ref="F865">IF(D865="","",IFERROR(INDEX(Dados_Evap!$C$2:$N$15,MATCH($B$9,Dados_Evap!$A$2:$A$15,0),C865),0))</f>
        <v/>
      </c>
      <c r="G865" s="26" t="str">
        <f t="shared" si="4"/>
        <v/>
      </c>
      <c r="H865" s="26" t="str">
        <f t="shared" si="22"/>
        <v/>
      </c>
      <c r="I865" s="26" t="str">
        <f t="array" ref="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/>
      </c>
      <c r="J865" s="26" t="str">
        <f t="shared" si="5"/>
        <v/>
      </c>
      <c r="K865" s="26" t="str">
        <f t="shared" si="6"/>
        <v/>
      </c>
      <c r="L865" s="26" t="str">
        <f t="shared" si="7"/>
        <v/>
      </c>
      <c r="M865" s="26" t="str">
        <f t="array" ref="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/>
      </c>
      <c r="N865" s="26" t="str">
        <f t="shared" si="8"/>
        <v/>
      </c>
      <c r="O865" s="26" t="str">
        <f t="shared" si="9"/>
        <v/>
      </c>
      <c r="P865" s="26" t="str">
        <f t="shared" si="10"/>
        <v/>
      </c>
      <c r="Q865" s="26" t="str">
        <f t="shared" si="11"/>
        <v/>
      </c>
      <c r="R865" s="26" t="str">
        <f t="shared" si="12"/>
        <v/>
      </c>
      <c r="S865" s="26" t="str">
        <f t="shared" si="13"/>
        <v/>
      </c>
      <c r="T865" s="26" t="str">
        <f t="shared" si="14"/>
        <v/>
      </c>
      <c r="U865" s="26" t="str">
        <f t="shared" si="15"/>
        <v/>
      </c>
      <c r="V865" s="26" t="str">
        <f t="shared" si="16"/>
        <v/>
      </c>
      <c r="W865" s="26" t="str">
        <f t="shared" si="17"/>
        <v/>
      </c>
      <c r="X865" s="26" t="str">
        <f t="shared" si="18"/>
        <v/>
      </c>
      <c r="Y865" s="26" t="str">
        <f t="shared" si="19"/>
        <v/>
      </c>
      <c r="Z865" s="31" t="str">
        <f t="shared" si="20"/>
        <v/>
      </c>
      <c r="AA865" s="31" t="str">
        <f>IF(D865="","",IF(H865&lt;=$B$16,1,IF(H865&gt;=$B$17,$B$21,MATCH(H865,Aux_CAV!$A$2:$A$121,1))))</f>
        <v/>
      </c>
      <c r="AB865" s="31" t="str">
        <f>IF(D865="","",IF(L865&lt;=$B$16,1,IF(L865&gt;=$B$17,$B$21,MATCH(L865,Aux_CAV!$A$2:$A$121,1))))</f>
        <v/>
      </c>
      <c r="AC865" s="3" t="str">
        <f t="shared" si="21"/>
        <v/>
      </c>
    </row>
    <row r="866" ht="12.75" customHeight="1">
      <c r="A866" s="25" t="str">
        <f t="shared" si="1"/>
        <v/>
      </c>
      <c r="B866" s="29" t="str">
        <f t="array" ref="B866">IF(D866="","",IFERROR(VALUE(INDEX(Vazoes_COLAR!$A$2:$A$200,INT((ROW()-24)/12)+1)),""))</f>
        <v/>
      </c>
      <c r="C866" s="29" t="str">
        <f t="shared" si="2"/>
        <v/>
      </c>
      <c r="D866" s="26" t="str">
        <f t="array" ref="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66" s="26" t="str">
        <f t="shared" si="3"/>
        <v/>
      </c>
      <c r="F866" s="26" t="str">
        <f t="array" ref="F866">IF(D866="","",IFERROR(INDEX(Dados_Evap!$C$2:$N$15,MATCH($B$9,Dados_Evap!$A$2:$A$15,0),C866),0))</f>
        <v/>
      </c>
      <c r="G866" s="26" t="str">
        <f t="shared" si="4"/>
        <v/>
      </c>
      <c r="H866" s="26" t="str">
        <f t="shared" si="22"/>
        <v/>
      </c>
      <c r="I866" s="26" t="str">
        <f t="array" ref="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/>
      </c>
      <c r="J866" s="26" t="str">
        <f t="shared" si="5"/>
        <v/>
      </c>
      <c r="K866" s="26" t="str">
        <f t="shared" si="6"/>
        <v/>
      </c>
      <c r="L866" s="26" t="str">
        <f t="shared" si="7"/>
        <v/>
      </c>
      <c r="M866" s="26" t="str">
        <f t="array" ref="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/>
      </c>
      <c r="N866" s="26" t="str">
        <f t="shared" si="8"/>
        <v/>
      </c>
      <c r="O866" s="26" t="str">
        <f t="shared" si="9"/>
        <v/>
      </c>
      <c r="P866" s="26" t="str">
        <f t="shared" si="10"/>
        <v/>
      </c>
      <c r="Q866" s="26" t="str">
        <f t="shared" si="11"/>
        <v/>
      </c>
      <c r="R866" s="26" t="str">
        <f t="shared" si="12"/>
        <v/>
      </c>
      <c r="S866" s="26" t="str">
        <f t="shared" si="13"/>
        <v/>
      </c>
      <c r="T866" s="26" t="str">
        <f t="shared" si="14"/>
        <v/>
      </c>
      <c r="U866" s="26" t="str">
        <f t="shared" si="15"/>
        <v/>
      </c>
      <c r="V866" s="26" t="str">
        <f t="shared" si="16"/>
        <v/>
      </c>
      <c r="W866" s="26" t="str">
        <f t="shared" si="17"/>
        <v/>
      </c>
      <c r="X866" s="26" t="str">
        <f t="shared" si="18"/>
        <v/>
      </c>
      <c r="Y866" s="26" t="str">
        <f t="shared" si="19"/>
        <v/>
      </c>
      <c r="Z866" s="31" t="str">
        <f t="shared" si="20"/>
        <v/>
      </c>
      <c r="AA866" s="31" t="str">
        <f>IF(D866="","",IF(H866&lt;=$B$16,1,IF(H866&gt;=$B$17,$B$21,MATCH(H866,Aux_CAV!$A$2:$A$121,1))))</f>
        <v/>
      </c>
      <c r="AB866" s="31" t="str">
        <f>IF(D866="","",IF(L866&lt;=$B$16,1,IF(L866&gt;=$B$17,$B$21,MATCH(L866,Aux_CAV!$A$2:$A$121,1))))</f>
        <v/>
      </c>
      <c r="AC866" s="3" t="str">
        <f t="shared" si="21"/>
        <v/>
      </c>
    </row>
    <row r="867" ht="12.75" customHeight="1">
      <c r="A867" s="25" t="str">
        <f t="shared" si="1"/>
        <v/>
      </c>
      <c r="B867" s="29" t="str">
        <f t="array" ref="B867">IF(D867="","",IFERROR(VALUE(INDEX(Vazoes_COLAR!$A$2:$A$200,INT((ROW()-24)/12)+1)),""))</f>
        <v/>
      </c>
      <c r="C867" s="29" t="str">
        <f t="shared" si="2"/>
        <v/>
      </c>
      <c r="D867" s="26" t="str">
        <f t="array" ref="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67" s="26" t="str">
        <f t="shared" si="3"/>
        <v/>
      </c>
      <c r="F867" s="26" t="str">
        <f t="array" ref="F867">IF(D867="","",IFERROR(INDEX(Dados_Evap!$C$2:$N$15,MATCH($B$9,Dados_Evap!$A$2:$A$15,0),C867),0))</f>
        <v/>
      </c>
      <c r="G867" s="26" t="str">
        <f t="shared" si="4"/>
        <v/>
      </c>
      <c r="H867" s="26" t="str">
        <f t="shared" si="22"/>
        <v/>
      </c>
      <c r="I867" s="26" t="str">
        <f t="array" ref="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/>
      </c>
      <c r="J867" s="26" t="str">
        <f t="shared" si="5"/>
        <v/>
      </c>
      <c r="K867" s="26" t="str">
        <f t="shared" si="6"/>
        <v/>
      </c>
      <c r="L867" s="26" t="str">
        <f t="shared" si="7"/>
        <v/>
      </c>
      <c r="M867" s="26" t="str">
        <f t="array" ref="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/>
      </c>
      <c r="N867" s="26" t="str">
        <f t="shared" si="8"/>
        <v/>
      </c>
      <c r="O867" s="26" t="str">
        <f t="shared" si="9"/>
        <v/>
      </c>
      <c r="P867" s="26" t="str">
        <f t="shared" si="10"/>
        <v/>
      </c>
      <c r="Q867" s="26" t="str">
        <f t="shared" si="11"/>
        <v/>
      </c>
      <c r="R867" s="26" t="str">
        <f t="shared" si="12"/>
        <v/>
      </c>
      <c r="S867" s="26" t="str">
        <f t="shared" si="13"/>
        <v/>
      </c>
      <c r="T867" s="26" t="str">
        <f t="shared" si="14"/>
        <v/>
      </c>
      <c r="U867" s="26" t="str">
        <f t="shared" si="15"/>
        <v/>
      </c>
      <c r="V867" s="26" t="str">
        <f t="shared" si="16"/>
        <v/>
      </c>
      <c r="W867" s="26" t="str">
        <f t="shared" si="17"/>
        <v/>
      </c>
      <c r="X867" s="26" t="str">
        <f t="shared" si="18"/>
        <v/>
      </c>
      <c r="Y867" s="26" t="str">
        <f t="shared" si="19"/>
        <v/>
      </c>
      <c r="Z867" s="31" t="str">
        <f t="shared" si="20"/>
        <v/>
      </c>
      <c r="AA867" s="31" t="str">
        <f>IF(D867="","",IF(H867&lt;=$B$16,1,IF(H867&gt;=$B$17,$B$21,MATCH(H867,Aux_CAV!$A$2:$A$121,1))))</f>
        <v/>
      </c>
      <c r="AB867" s="31" t="str">
        <f>IF(D867="","",IF(L867&lt;=$B$16,1,IF(L867&gt;=$B$17,$B$21,MATCH(L867,Aux_CAV!$A$2:$A$121,1))))</f>
        <v/>
      </c>
      <c r="AC867" s="3" t="str">
        <f t="shared" si="21"/>
        <v/>
      </c>
    </row>
    <row r="868" ht="12.75" customHeight="1">
      <c r="A868" s="25" t="str">
        <f t="shared" si="1"/>
        <v/>
      </c>
      <c r="B868" s="29" t="str">
        <f t="array" ref="B868">IF(D868="","",IFERROR(VALUE(INDEX(Vazoes_COLAR!$A$2:$A$200,INT((ROW()-24)/12)+1)),""))</f>
        <v/>
      </c>
      <c r="C868" s="29" t="str">
        <f t="shared" si="2"/>
        <v/>
      </c>
      <c r="D868" s="26" t="str">
        <f t="array" ref="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68" s="26" t="str">
        <f t="shared" si="3"/>
        <v/>
      </c>
      <c r="F868" s="26" t="str">
        <f t="array" ref="F868">IF(D868="","",IFERROR(INDEX(Dados_Evap!$C$2:$N$15,MATCH($B$9,Dados_Evap!$A$2:$A$15,0),C868),0))</f>
        <v/>
      </c>
      <c r="G868" s="26" t="str">
        <f t="shared" si="4"/>
        <v/>
      </c>
      <c r="H868" s="26" t="str">
        <f t="shared" si="22"/>
        <v/>
      </c>
      <c r="I868" s="26" t="str">
        <f t="array" ref="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/>
      </c>
      <c r="J868" s="26" t="str">
        <f t="shared" si="5"/>
        <v/>
      </c>
      <c r="K868" s="26" t="str">
        <f t="shared" si="6"/>
        <v/>
      </c>
      <c r="L868" s="26" t="str">
        <f t="shared" si="7"/>
        <v/>
      </c>
      <c r="M868" s="26" t="str">
        <f t="array" ref="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/>
      </c>
      <c r="N868" s="26" t="str">
        <f t="shared" si="8"/>
        <v/>
      </c>
      <c r="O868" s="26" t="str">
        <f t="shared" si="9"/>
        <v/>
      </c>
      <c r="P868" s="26" t="str">
        <f t="shared" si="10"/>
        <v/>
      </c>
      <c r="Q868" s="26" t="str">
        <f t="shared" si="11"/>
        <v/>
      </c>
      <c r="R868" s="26" t="str">
        <f t="shared" si="12"/>
        <v/>
      </c>
      <c r="S868" s="26" t="str">
        <f t="shared" si="13"/>
        <v/>
      </c>
      <c r="T868" s="26" t="str">
        <f t="shared" si="14"/>
        <v/>
      </c>
      <c r="U868" s="26" t="str">
        <f t="shared" si="15"/>
        <v/>
      </c>
      <c r="V868" s="26" t="str">
        <f t="shared" si="16"/>
        <v/>
      </c>
      <c r="W868" s="26" t="str">
        <f t="shared" si="17"/>
        <v/>
      </c>
      <c r="X868" s="26" t="str">
        <f t="shared" si="18"/>
        <v/>
      </c>
      <c r="Y868" s="26" t="str">
        <f t="shared" si="19"/>
        <v/>
      </c>
      <c r="Z868" s="31" t="str">
        <f t="shared" si="20"/>
        <v/>
      </c>
      <c r="AA868" s="31" t="str">
        <f>IF(D868="","",IF(H868&lt;=$B$16,1,IF(H868&gt;=$B$17,$B$21,MATCH(H868,Aux_CAV!$A$2:$A$121,1))))</f>
        <v/>
      </c>
      <c r="AB868" s="31" t="str">
        <f>IF(D868="","",IF(L868&lt;=$B$16,1,IF(L868&gt;=$B$17,$B$21,MATCH(L868,Aux_CAV!$A$2:$A$121,1))))</f>
        <v/>
      </c>
      <c r="AC868" s="3" t="str">
        <f t="shared" si="21"/>
        <v/>
      </c>
    </row>
    <row r="869" ht="12.75" customHeight="1">
      <c r="A869" s="25" t="str">
        <f t="shared" si="1"/>
        <v/>
      </c>
      <c r="B869" s="29" t="str">
        <f t="array" ref="B869">IF(D869="","",IFERROR(VALUE(INDEX(Vazoes_COLAR!$A$2:$A$200,INT((ROW()-24)/12)+1)),""))</f>
        <v/>
      </c>
      <c r="C869" s="29" t="str">
        <f t="shared" si="2"/>
        <v/>
      </c>
      <c r="D869" s="26" t="str">
        <f t="array" ref="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69" s="26" t="str">
        <f t="shared" si="3"/>
        <v/>
      </c>
      <c r="F869" s="26" t="str">
        <f t="array" ref="F869">IF(D869="","",IFERROR(INDEX(Dados_Evap!$C$2:$N$15,MATCH($B$9,Dados_Evap!$A$2:$A$15,0),C869),0))</f>
        <v/>
      </c>
      <c r="G869" s="26" t="str">
        <f t="shared" si="4"/>
        <v/>
      </c>
      <c r="H869" s="26" t="str">
        <f t="shared" si="22"/>
        <v/>
      </c>
      <c r="I869" s="26" t="str">
        <f t="array" ref="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/>
      </c>
      <c r="J869" s="26" t="str">
        <f t="shared" si="5"/>
        <v/>
      </c>
      <c r="K869" s="26" t="str">
        <f t="shared" si="6"/>
        <v/>
      </c>
      <c r="L869" s="26" t="str">
        <f t="shared" si="7"/>
        <v/>
      </c>
      <c r="M869" s="26" t="str">
        <f t="array" ref="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/>
      </c>
      <c r="N869" s="26" t="str">
        <f t="shared" si="8"/>
        <v/>
      </c>
      <c r="O869" s="26" t="str">
        <f t="shared" si="9"/>
        <v/>
      </c>
      <c r="P869" s="26" t="str">
        <f t="shared" si="10"/>
        <v/>
      </c>
      <c r="Q869" s="26" t="str">
        <f t="shared" si="11"/>
        <v/>
      </c>
      <c r="R869" s="26" t="str">
        <f t="shared" si="12"/>
        <v/>
      </c>
      <c r="S869" s="26" t="str">
        <f t="shared" si="13"/>
        <v/>
      </c>
      <c r="T869" s="26" t="str">
        <f t="shared" si="14"/>
        <v/>
      </c>
      <c r="U869" s="26" t="str">
        <f t="shared" si="15"/>
        <v/>
      </c>
      <c r="V869" s="26" t="str">
        <f t="shared" si="16"/>
        <v/>
      </c>
      <c r="W869" s="26" t="str">
        <f t="shared" si="17"/>
        <v/>
      </c>
      <c r="X869" s="26" t="str">
        <f t="shared" si="18"/>
        <v/>
      </c>
      <c r="Y869" s="26" t="str">
        <f t="shared" si="19"/>
        <v/>
      </c>
      <c r="Z869" s="31" t="str">
        <f t="shared" si="20"/>
        <v/>
      </c>
      <c r="AA869" s="31" t="str">
        <f>IF(D869="","",IF(H869&lt;=$B$16,1,IF(H869&gt;=$B$17,$B$21,MATCH(H869,Aux_CAV!$A$2:$A$121,1))))</f>
        <v/>
      </c>
      <c r="AB869" s="31" t="str">
        <f>IF(D869="","",IF(L869&lt;=$B$16,1,IF(L869&gt;=$B$17,$B$21,MATCH(L869,Aux_CAV!$A$2:$A$121,1))))</f>
        <v/>
      </c>
      <c r="AC869" s="3" t="str">
        <f t="shared" si="21"/>
        <v/>
      </c>
    </row>
    <row r="870" ht="12.75" customHeight="1">
      <c r="A870" s="25" t="str">
        <f t="shared" si="1"/>
        <v/>
      </c>
      <c r="B870" s="29" t="str">
        <f t="array" ref="B870">IF(D870="","",IFERROR(VALUE(INDEX(Vazoes_COLAR!$A$2:$A$200,INT((ROW()-24)/12)+1)),""))</f>
        <v/>
      </c>
      <c r="C870" s="29" t="str">
        <f t="shared" si="2"/>
        <v/>
      </c>
      <c r="D870" s="26" t="str">
        <f t="array" ref="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70" s="26" t="str">
        <f t="shared" si="3"/>
        <v/>
      </c>
      <c r="F870" s="26" t="str">
        <f t="array" ref="F870">IF(D870="","",IFERROR(INDEX(Dados_Evap!$C$2:$N$15,MATCH($B$9,Dados_Evap!$A$2:$A$15,0),C870),0))</f>
        <v/>
      </c>
      <c r="G870" s="26" t="str">
        <f t="shared" si="4"/>
        <v/>
      </c>
      <c r="H870" s="26" t="str">
        <f t="shared" si="22"/>
        <v/>
      </c>
      <c r="I870" s="26" t="str">
        <f t="array" ref="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/>
      </c>
      <c r="J870" s="26" t="str">
        <f t="shared" si="5"/>
        <v/>
      </c>
      <c r="K870" s="26" t="str">
        <f t="shared" si="6"/>
        <v/>
      </c>
      <c r="L870" s="26" t="str">
        <f t="shared" si="7"/>
        <v/>
      </c>
      <c r="M870" s="26" t="str">
        <f t="array" ref="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/>
      </c>
      <c r="N870" s="26" t="str">
        <f t="shared" si="8"/>
        <v/>
      </c>
      <c r="O870" s="26" t="str">
        <f t="shared" si="9"/>
        <v/>
      </c>
      <c r="P870" s="26" t="str">
        <f t="shared" si="10"/>
        <v/>
      </c>
      <c r="Q870" s="26" t="str">
        <f t="shared" si="11"/>
        <v/>
      </c>
      <c r="R870" s="26" t="str">
        <f t="shared" si="12"/>
        <v/>
      </c>
      <c r="S870" s="26" t="str">
        <f t="shared" si="13"/>
        <v/>
      </c>
      <c r="T870" s="26" t="str">
        <f t="shared" si="14"/>
        <v/>
      </c>
      <c r="U870" s="26" t="str">
        <f t="shared" si="15"/>
        <v/>
      </c>
      <c r="V870" s="26" t="str">
        <f t="shared" si="16"/>
        <v/>
      </c>
      <c r="W870" s="26" t="str">
        <f t="shared" si="17"/>
        <v/>
      </c>
      <c r="X870" s="26" t="str">
        <f t="shared" si="18"/>
        <v/>
      </c>
      <c r="Y870" s="26" t="str">
        <f t="shared" si="19"/>
        <v/>
      </c>
      <c r="Z870" s="31" t="str">
        <f t="shared" si="20"/>
        <v/>
      </c>
      <c r="AA870" s="31" t="str">
        <f>IF(D870="","",IF(H870&lt;=$B$16,1,IF(H870&gt;=$B$17,$B$21,MATCH(H870,Aux_CAV!$A$2:$A$121,1))))</f>
        <v/>
      </c>
      <c r="AB870" s="31" t="str">
        <f>IF(D870="","",IF(L870&lt;=$B$16,1,IF(L870&gt;=$B$17,$B$21,MATCH(L870,Aux_CAV!$A$2:$A$121,1))))</f>
        <v/>
      </c>
      <c r="AC870" s="3" t="str">
        <f t="shared" si="21"/>
        <v/>
      </c>
    </row>
    <row r="871" ht="12.75" customHeight="1">
      <c r="A871" s="25" t="str">
        <f t="shared" si="1"/>
        <v/>
      </c>
      <c r="B871" s="29" t="str">
        <f t="array" ref="B871">IF(D871="","",IFERROR(VALUE(INDEX(Vazoes_COLAR!$A$2:$A$200,INT((ROW()-24)/12)+1)),""))</f>
        <v/>
      </c>
      <c r="C871" s="29" t="str">
        <f t="shared" si="2"/>
        <v/>
      </c>
      <c r="D871" s="26" t="str">
        <f t="array" ref="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71" s="26" t="str">
        <f t="shared" si="3"/>
        <v/>
      </c>
      <c r="F871" s="26" t="str">
        <f t="array" ref="F871">IF(D871="","",IFERROR(INDEX(Dados_Evap!$C$2:$N$15,MATCH($B$9,Dados_Evap!$A$2:$A$15,0),C871),0))</f>
        <v/>
      </c>
      <c r="G871" s="26" t="str">
        <f t="shared" si="4"/>
        <v/>
      </c>
      <c r="H871" s="26" t="str">
        <f t="shared" si="22"/>
        <v/>
      </c>
      <c r="I871" s="26" t="str">
        <f t="array" ref="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/>
      </c>
      <c r="J871" s="26" t="str">
        <f t="shared" si="5"/>
        <v/>
      </c>
      <c r="K871" s="26" t="str">
        <f t="shared" si="6"/>
        <v/>
      </c>
      <c r="L871" s="26" t="str">
        <f t="shared" si="7"/>
        <v/>
      </c>
      <c r="M871" s="26" t="str">
        <f t="array" ref="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/>
      </c>
      <c r="N871" s="26" t="str">
        <f t="shared" si="8"/>
        <v/>
      </c>
      <c r="O871" s="26" t="str">
        <f t="shared" si="9"/>
        <v/>
      </c>
      <c r="P871" s="26" t="str">
        <f t="shared" si="10"/>
        <v/>
      </c>
      <c r="Q871" s="26" t="str">
        <f t="shared" si="11"/>
        <v/>
      </c>
      <c r="R871" s="26" t="str">
        <f t="shared" si="12"/>
        <v/>
      </c>
      <c r="S871" s="26" t="str">
        <f t="shared" si="13"/>
        <v/>
      </c>
      <c r="T871" s="26" t="str">
        <f t="shared" si="14"/>
        <v/>
      </c>
      <c r="U871" s="26" t="str">
        <f t="shared" si="15"/>
        <v/>
      </c>
      <c r="V871" s="26" t="str">
        <f t="shared" si="16"/>
        <v/>
      </c>
      <c r="W871" s="26" t="str">
        <f t="shared" si="17"/>
        <v/>
      </c>
      <c r="X871" s="26" t="str">
        <f t="shared" si="18"/>
        <v/>
      </c>
      <c r="Y871" s="26" t="str">
        <f t="shared" si="19"/>
        <v/>
      </c>
      <c r="Z871" s="31" t="str">
        <f t="shared" si="20"/>
        <v/>
      </c>
      <c r="AA871" s="31" t="str">
        <f>IF(D871="","",IF(H871&lt;=$B$16,1,IF(H871&gt;=$B$17,$B$21,MATCH(H871,Aux_CAV!$A$2:$A$121,1))))</f>
        <v/>
      </c>
      <c r="AB871" s="31" t="str">
        <f>IF(D871="","",IF(L871&lt;=$B$16,1,IF(L871&gt;=$B$17,$B$21,MATCH(L871,Aux_CAV!$A$2:$A$121,1))))</f>
        <v/>
      </c>
      <c r="AC871" s="3" t="str">
        <f t="shared" si="21"/>
        <v/>
      </c>
    </row>
    <row r="872" ht="12.75" customHeight="1">
      <c r="A872" s="25" t="str">
        <f t="shared" si="1"/>
        <v/>
      </c>
      <c r="B872" s="29" t="str">
        <f t="array" ref="B872">IF(D872="","",IFERROR(VALUE(INDEX(Vazoes_COLAR!$A$2:$A$200,INT((ROW()-24)/12)+1)),""))</f>
        <v/>
      </c>
      <c r="C872" s="29" t="str">
        <f t="shared" si="2"/>
        <v/>
      </c>
      <c r="D872" s="26" t="str">
        <f t="array" ref="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72" s="26" t="str">
        <f t="shared" si="3"/>
        <v/>
      </c>
      <c r="F872" s="26" t="str">
        <f t="array" ref="F872">IF(D872="","",IFERROR(INDEX(Dados_Evap!$C$2:$N$15,MATCH($B$9,Dados_Evap!$A$2:$A$15,0),C872),0))</f>
        <v/>
      </c>
      <c r="G872" s="26" t="str">
        <f t="shared" si="4"/>
        <v/>
      </c>
      <c r="H872" s="26" t="str">
        <f t="shared" si="22"/>
        <v/>
      </c>
      <c r="I872" s="26" t="str">
        <f t="array" ref="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/>
      </c>
      <c r="J872" s="26" t="str">
        <f t="shared" si="5"/>
        <v/>
      </c>
      <c r="K872" s="26" t="str">
        <f t="shared" si="6"/>
        <v/>
      </c>
      <c r="L872" s="26" t="str">
        <f t="shared" si="7"/>
        <v/>
      </c>
      <c r="M872" s="26" t="str">
        <f t="array" ref="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/>
      </c>
      <c r="N872" s="26" t="str">
        <f t="shared" si="8"/>
        <v/>
      </c>
      <c r="O872" s="26" t="str">
        <f t="shared" si="9"/>
        <v/>
      </c>
      <c r="P872" s="26" t="str">
        <f t="shared" si="10"/>
        <v/>
      </c>
      <c r="Q872" s="26" t="str">
        <f t="shared" si="11"/>
        <v/>
      </c>
      <c r="R872" s="26" t="str">
        <f t="shared" si="12"/>
        <v/>
      </c>
      <c r="S872" s="26" t="str">
        <f t="shared" si="13"/>
        <v/>
      </c>
      <c r="T872" s="26" t="str">
        <f t="shared" si="14"/>
        <v/>
      </c>
      <c r="U872" s="26" t="str">
        <f t="shared" si="15"/>
        <v/>
      </c>
      <c r="V872" s="26" t="str">
        <f t="shared" si="16"/>
        <v/>
      </c>
      <c r="W872" s="26" t="str">
        <f t="shared" si="17"/>
        <v/>
      </c>
      <c r="X872" s="26" t="str">
        <f t="shared" si="18"/>
        <v/>
      </c>
      <c r="Y872" s="26" t="str">
        <f t="shared" si="19"/>
        <v/>
      </c>
      <c r="Z872" s="31" t="str">
        <f t="shared" si="20"/>
        <v/>
      </c>
      <c r="AA872" s="31" t="str">
        <f>IF(D872="","",IF(H872&lt;=$B$16,1,IF(H872&gt;=$B$17,$B$21,MATCH(H872,Aux_CAV!$A$2:$A$121,1))))</f>
        <v/>
      </c>
      <c r="AB872" s="31" t="str">
        <f>IF(D872="","",IF(L872&lt;=$B$16,1,IF(L872&gt;=$B$17,$B$21,MATCH(L872,Aux_CAV!$A$2:$A$121,1))))</f>
        <v/>
      </c>
      <c r="AC872" s="3" t="str">
        <f t="shared" si="21"/>
        <v/>
      </c>
    </row>
    <row r="873" ht="12.75" customHeight="1">
      <c r="A873" s="25" t="str">
        <f t="shared" si="1"/>
        <v/>
      </c>
      <c r="B873" s="29" t="str">
        <f t="array" ref="B873">IF(D873="","",IFERROR(VALUE(INDEX(Vazoes_COLAR!$A$2:$A$200,INT((ROW()-24)/12)+1)),""))</f>
        <v/>
      </c>
      <c r="C873" s="29" t="str">
        <f t="shared" si="2"/>
        <v/>
      </c>
      <c r="D873" s="26" t="str">
        <f t="array" ref="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73" s="26" t="str">
        <f t="shared" si="3"/>
        <v/>
      </c>
      <c r="F873" s="26" t="str">
        <f t="array" ref="F873">IF(D873="","",IFERROR(INDEX(Dados_Evap!$C$2:$N$15,MATCH($B$9,Dados_Evap!$A$2:$A$15,0),C873),0))</f>
        <v/>
      </c>
      <c r="G873" s="26" t="str">
        <f t="shared" si="4"/>
        <v/>
      </c>
      <c r="H873" s="26" t="str">
        <f t="shared" si="22"/>
        <v/>
      </c>
      <c r="I873" s="26" t="str">
        <f t="array" ref="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/>
      </c>
      <c r="J873" s="26" t="str">
        <f t="shared" si="5"/>
        <v/>
      </c>
      <c r="K873" s="26" t="str">
        <f t="shared" si="6"/>
        <v/>
      </c>
      <c r="L873" s="26" t="str">
        <f t="shared" si="7"/>
        <v/>
      </c>
      <c r="M873" s="26" t="str">
        <f t="array" ref="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/>
      </c>
      <c r="N873" s="26" t="str">
        <f t="shared" si="8"/>
        <v/>
      </c>
      <c r="O873" s="26" t="str">
        <f t="shared" si="9"/>
        <v/>
      </c>
      <c r="P873" s="26" t="str">
        <f t="shared" si="10"/>
        <v/>
      </c>
      <c r="Q873" s="26" t="str">
        <f t="shared" si="11"/>
        <v/>
      </c>
      <c r="R873" s="26" t="str">
        <f t="shared" si="12"/>
        <v/>
      </c>
      <c r="S873" s="26" t="str">
        <f t="shared" si="13"/>
        <v/>
      </c>
      <c r="T873" s="26" t="str">
        <f t="shared" si="14"/>
        <v/>
      </c>
      <c r="U873" s="26" t="str">
        <f t="shared" si="15"/>
        <v/>
      </c>
      <c r="V873" s="26" t="str">
        <f t="shared" si="16"/>
        <v/>
      </c>
      <c r="W873" s="26" t="str">
        <f t="shared" si="17"/>
        <v/>
      </c>
      <c r="X873" s="26" t="str">
        <f t="shared" si="18"/>
        <v/>
      </c>
      <c r="Y873" s="26" t="str">
        <f t="shared" si="19"/>
        <v/>
      </c>
      <c r="Z873" s="31" t="str">
        <f t="shared" si="20"/>
        <v/>
      </c>
      <c r="AA873" s="31" t="str">
        <f>IF(D873="","",IF(H873&lt;=$B$16,1,IF(H873&gt;=$B$17,$B$21,MATCH(H873,Aux_CAV!$A$2:$A$121,1))))</f>
        <v/>
      </c>
      <c r="AB873" s="31" t="str">
        <f>IF(D873="","",IF(L873&lt;=$B$16,1,IF(L873&gt;=$B$17,$B$21,MATCH(L873,Aux_CAV!$A$2:$A$121,1))))</f>
        <v/>
      </c>
      <c r="AC873" s="3" t="str">
        <f t="shared" si="21"/>
        <v/>
      </c>
    </row>
    <row r="874" ht="12.75" customHeight="1">
      <c r="A874" s="25" t="str">
        <f t="shared" si="1"/>
        <v/>
      </c>
      <c r="B874" s="29" t="str">
        <f t="array" ref="B874">IF(D874="","",IFERROR(VALUE(INDEX(Vazoes_COLAR!$A$2:$A$200,INT((ROW()-24)/12)+1)),""))</f>
        <v/>
      </c>
      <c r="C874" s="29" t="str">
        <f t="shared" si="2"/>
        <v/>
      </c>
      <c r="D874" s="26" t="str">
        <f t="array" ref="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74" s="26" t="str">
        <f t="shared" si="3"/>
        <v/>
      </c>
      <c r="F874" s="26" t="str">
        <f t="array" ref="F874">IF(D874="","",IFERROR(INDEX(Dados_Evap!$C$2:$N$15,MATCH($B$9,Dados_Evap!$A$2:$A$15,0),C874),0))</f>
        <v/>
      </c>
      <c r="G874" s="26" t="str">
        <f t="shared" si="4"/>
        <v/>
      </c>
      <c r="H874" s="26" t="str">
        <f t="shared" si="22"/>
        <v/>
      </c>
      <c r="I874" s="26" t="str">
        <f t="array" ref="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/>
      </c>
      <c r="J874" s="26" t="str">
        <f t="shared" si="5"/>
        <v/>
      </c>
      <c r="K874" s="26" t="str">
        <f t="shared" si="6"/>
        <v/>
      </c>
      <c r="L874" s="26" t="str">
        <f t="shared" si="7"/>
        <v/>
      </c>
      <c r="M874" s="26" t="str">
        <f t="array" ref="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/>
      </c>
      <c r="N874" s="26" t="str">
        <f t="shared" si="8"/>
        <v/>
      </c>
      <c r="O874" s="26" t="str">
        <f t="shared" si="9"/>
        <v/>
      </c>
      <c r="P874" s="26" t="str">
        <f t="shared" si="10"/>
        <v/>
      </c>
      <c r="Q874" s="26" t="str">
        <f t="shared" si="11"/>
        <v/>
      </c>
      <c r="R874" s="26" t="str">
        <f t="shared" si="12"/>
        <v/>
      </c>
      <c r="S874" s="26" t="str">
        <f t="shared" si="13"/>
        <v/>
      </c>
      <c r="T874" s="26" t="str">
        <f t="shared" si="14"/>
        <v/>
      </c>
      <c r="U874" s="26" t="str">
        <f t="shared" si="15"/>
        <v/>
      </c>
      <c r="V874" s="26" t="str">
        <f t="shared" si="16"/>
        <v/>
      </c>
      <c r="W874" s="26" t="str">
        <f t="shared" si="17"/>
        <v/>
      </c>
      <c r="X874" s="26" t="str">
        <f t="shared" si="18"/>
        <v/>
      </c>
      <c r="Y874" s="26" t="str">
        <f t="shared" si="19"/>
        <v/>
      </c>
      <c r="Z874" s="31" t="str">
        <f t="shared" si="20"/>
        <v/>
      </c>
      <c r="AA874" s="31" t="str">
        <f>IF(D874="","",IF(H874&lt;=$B$16,1,IF(H874&gt;=$B$17,$B$21,MATCH(H874,Aux_CAV!$A$2:$A$121,1))))</f>
        <v/>
      </c>
      <c r="AB874" s="31" t="str">
        <f>IF(D874="","",IF(L874&lt;=$B$16,1,IF(L874&gt;=$B$17,$B$21,MATCH(L874,Aux_CAV!$A$2:$A$121,1))))</f>
        <v/>
      </c>
      <c r="AC874" s="3" t="str">
        <f t="shared" si="21"/>
        <v/>
      </c>
    </row>
    <row r="875" ht="12.75" customHeight="1">
      <c r="A875" s="25" t="str">
        <f t="shared" si="1"/>
        <v/>
      </c>
      <c r="B875" s="29" t="str">
        <f t="array" ref="B875">IF(D875="","",IFERROR(VALUE(INDEX(Vazoes_COLAR!$A$2:$A$200,INT((ROW()-24)/12)+1)),""))</f>
        <v/>
      </c>
      <c r="C875" s="29" t="str">
        <f t="shared" si="2"/>
        <v/>
      </c>
      <c r="D875" s="26" t="str">
        <f t="array" ref="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75" s="26" t="str">
        <f t="shared" si="3"/>
        <v/>
      </c>
      <c r="F875" s="26" t="str">
        <f t="array" ref="F875">IF(D875="","",IFERROR(INDEX(Dados_Evap!$C$2:$N$15,MATCH($B$9,Dados_Evap!$A$2:$A$15,0),C875),0))</f>
        <v/>
      </c>
      <c r="G875" s="26" t="str">
        <f t="shared" si="4"/>
        <v/>
      </c>
      <c r="H875" s="26" t="str">
        <f t="shared" si="22"/>
        <v/>
      </c>
      <c r="I875" s="26" t="str">
        <f t="array" ref="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/>
      </c>
      <c r="J875" s="26" t="str">
        <f t="shared" si="5"/>
        <v/>
      </c>
      <c r="K875" s="26" t="str">
        <f t="shared" si="6"/>
        <v/>
      </c>
      <c r="L875" s="26" t="str">
        <f t="shared" si="7"/>
        <v/>
      </c>
      <c r="M875" s="26" t="str">
        <f t="array" ref="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/>
      </c>
      <c r="N875" s="26" t="str">
        <f t="shared" si="8"/>
        <v/>
      </c>
      <c r="O875" s="26" t="str">
        <f t="shared" si="9"/>
        <v/>
      </c>
      <c r="P875" s="26" t="str">
        <f t="shared" si="10"/>
        <v/>
      </c>
      <c r="Q875" s="26" t="str">
        <f t="shared" si="11"/>
        <v/>
      </c>
      <c r="R875" s="26" t="str">
        <f t="shared" si="12"/>
        <v/>
      </c>
      <c r="S875" s="26" t="str">
        <f t="shared" si="13"/>
        <v/>
      </c>
      <c r="T875" s="26" t="str">
        <f t="shared" si="14"/>
        <v/>
      </c>
      <c r="U875" s="26" t="str">
        <f t="shared" si="15"/>
        <v/>
      </c>
      <c r="V875" s="26" t="str">
        <f t="shared" si="16"/>
        <v/>
      </c>
      <c r="W875" s="26" t="str">
        <f t="shared" si="17"/>
        <v/>
      </c>
      <c r="X875" s="26" t="str">
        <f t="shared" si="18"/>
        <v/>
      </c>
      <c r="Y875" s="26" t="str">
        <f t="shared" si="19"/>
        <v/>
      </c>
      <c r="Z875" s="31" t="str">
        <f t="shared" si="20"/>
        <v/>
      </c>
      <c r="AA875" s="31" t="str">
        <f>IF(D875="","",IF(H875&lt;=$B$16,1,IF(H875&gt;=$B$17,$B$21,MATCH(H875,Aux_CAV!$A$2:$A$121,1))))</f>
        <v/>
      </c>
      <c r="AB875" s="31" t="str">
        <f>IF(D875="","",IF(L875&lt;=$B$16,1,IF(L875&gt;=$B$17,$B$21,MATCH(L875,Aux_CAV!$A$2:$A$121,1))))</f>
        <v/>
      </c>
      <c r="AC875" s="3" t="str">
        <f t="shared" si="21"/>
        <v/>
      </c>
    </row>
    <row r="876" ht="12.75" customHeight="1">
      <c r="A876" s="25" t="str">
        <f t="shared" si="1"/>
        <v/>
      </c>
      <c r="B876" s="29" t="str">
        <f t="array" ref="B876">IF(D876="","",IFERROR(VALUE(INDEX(Vazoes_COLAR!$A$2:$A$200,INT((ROW()-24)/12)+1)),""))</f>
        <v/>
      </c>
      <c r="C876" s="29" t="str">
        <f t="shared" si="2"/>
        <v/>
      </c>
      <c r="D876" s="26" t="str">
        <f t="array" ref="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76" s="26" t="str">
        <f t="shared" si="3"/>
        <v/>
      </c>
      <c r="F876" s="26" t="str">
        <f t="array" ref="F876">IF(D876="","",IFERROR(INDEX(Dados_Evap!$C$2:$N$15,MATCH($B$9,Dados_Evap!$A$2:$A$15,0),C876),0))</f>
        <v/>
      </c>
      <c r="G876" s="26" t="str">
        <f t="shared" si="4"/>
        <v/>
      </c>
      <c r="H876" s="26" t="str">
        <f t="shared" si="22"/>
        <v/>
      </c>
      <c r="I876" s="26" t="str">
        <f t="array" ref="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/>
      </c>
      <c r="J876" s="26" t="str">
        <f t="shared" si="5"/>
        <v/>
      </c>
      <c r="K876" s="26" t="str">
        <f t="shared" si="6"/>
        <v/>
      </c>
      <c r="L876" s="26" t="str">
        <f t="shared" si="7"/>
        <v/>
      </c>
      <c r="M876" s="26" t="str">
        <f t="array" ref="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/>
      </c>
      <c r="N876" s="26" t="str">
        <f t="shared" si="8"/>
        <v/>
      </c>
      <c r="O876" s="26" t="str">
        <f t="shared" si="9"/>
        <v/>
      </c>
      <c r="P876" s="26" t="str">
        <f t="shared" si="10"/>
        <v/>
      </c>
      <c r="Q876" s="26" t="str">
        <f t="shared" si="11"/>
        <v/>
      </c>
      <c r="R876" s="26" t="str">
        <f t="shared" si="12"/>
        <v/>
      </c>
      <c r="S876" s="26" t="str">
        <f t="shared" si="13"/>
        <v/>
      </c>
      <c r="T876" s="26" t="str">
        <f t="shared" si="14"/>
        <v/>
      </c>
      <c r="U876" s="26" t="str">
        <f t="shared" si="15"/>
        <v/>
      </c>
      <c r="V876" s="26" t="str">
        <f t="shared" si="16"/>
        <v/>
      </c>
      <c r="W876" s="26" t="str">
        <f t="shared" si="17"/>
        <v/>
      </c>
      <c r="X876" s="26" t="str">
        <f t="shared" si="18"/>
        <v/>
      </c>
      <c r="Y876" s="26" t="str">
        <f t="shared" si="19"/>
        <v/>
      </c>
      <c r="Z876" s="31" t="str">
        <f t="shared" si="20"/>
        <v/>
      </c>
      <c r="AA876" s="31" t="str">
        <f>IF(D876="","",IF(H876&lt;=$B$16,1,IF(H876&gt;=$B$17,$B$21,MATCH(H876,Aux_CAV!$A$2:$A$121,1))))</f>
        <v/>
      </c>
      <c r="AB876" s="31" t="str">
        <f>IF(D876="","",IF(L876&lt;=$B$16,1,IF(L876&gt;=$B$17,$B$21,MATCH(L876,Aux_CAV!$A$2:$A$121,1))))</f>
        <v/>
      </c>
      <c r="AC876" s="3" t="str">
        <f t="shared" si="21"/>
        <v/>
      </c>
    </row>
    <row r="877" ht="12.75" customHeight="1">
      <c r="A877" s="25" t="str">
        <f t="shared" si="1"/>
        <v/>
      </c>
      <c r="B877" s="29" t="str">
        <f t="array" ref="B877">IF(D877="","",IFERROR(VALUE(INDEX(Vazoes_COLAR!$A$2:$A$200,INT((ROW()-24)/12)+1)),""))</f>
        <v/>
      </c>
      <c r="C877" s="29" t="str">
        <f t="shared" si="2"/>
        <v/>
      </c>
      <c r="D877" s="26" t="str">
        <f t="array" ref="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77" s="26" t="str">
        <f t="shared" si="3"/>
        <v/>
      </c>
      <c r="F877" s="26" t="str">
        <f t="array" ref="F877">IF(D877="","",IFERROR(INDEX(Dados_Evap!$C$2:$N$15,MATCH($B$9,Dados_Evap!$A$2:$A$15,0),C877),0))</f>
        <v/>
      </c>
      <c r="G877" s="26" t="str">
        <f t="shared" si="4"/>
        <v/>
      </c>
      <c r="H877" s="26" t="str">
        <f t="shared" si="22"/>
        <v/>
      </c>
      <c r="I877" s="26" t="str">
        <f t="array" ref="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/>
      </c>
      <c r="J877" s="26" t="str">
        <f t="shared" si="5"/>
        <v/>
      </c>
      <c r="K877" s="26" t="str">
        <f t="shared" si="6"/>
        <v/>
      </c>
      <c r="L877" s="26" t="str">
        <f t="shared" si="7"/>
        <v/>
      </c>
      <c r="M877" s="26" t="str">
        <f t="array" ref="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/>
      </c>
      <c r="N877" s="26" t="str">
        <f t="shared" si="8"/>
        <v/>
      </c>
      <c r="O877" s="26" t="str">
        <f t="shared" si="9"/>
        <v/>
      </c>
      <c r="P877" s="26" t="str">
        <f t="shared" si="10"/>
        <v/>
      </c>
      <c r="Q877" s="26" t="str">
        <f t="shared" si="11"/>
        <v/>
      </c>
      <c r="R877" s="26" t="str">
        <f t="shared" si="12"/>
        <v/>
      </c>
      <c r="S877" s="26" t="str">
        <f t="shared" si="13"/>
        <v/>
      </c>
      <c r="T877" s="26" t="str">
        <f t="shared" si="14"/>
        <v/>
      </c>
      <c r="U877" s="26" t="str">
        <f t="shared" si="15"/>
        <v/>
      </c>
      <c r="V877" s="26" t="str">
        <f t="shared" si="16"/>
        <v/>
      </c>
      <c r="W877" s="26" t="str">
        <f t="shared" si="17"/>
        <v/>
      </c>
      <c r="X877" s="26" t="str">
        <f t="shared" si="18"/>
        <v/>
      </c>
      <c r="Y877" s="26" t="str">
        <f t="shared" si="19"/>
        <v/>
      </c>
      <c r="Z877" s="31" t="str">
        <f t="shared" si="20"/>
        <v/>
      </c>
      <c r="AA877" s="31" t="str">
        <f>IF(D877="","",IF(H877&lt;=$B$16,1,IF(H877&gt;=$B$17,$B$21,MATCH(H877,Aux_CAV!$A$2:$A$121,1))))</f>
        <v/>
      </c>
      <c r="AB877" s="31" t="str">
        <f>IF(D877="","",IF(L877&lt;=$B$16,1,IF(L877&gt;=$B$17,$B$21,MATCH(L877,Aux_CAV!$A$2:$A$121,1))))</f>
        <v/>
      </c>
      <c r="AC877" s="3" t="str">
        <f t="shared" si="21"/>
        <v/>
      </c>
    </row>
    <row r="878" ht="12.75" customHeight="1">
      <c r="A878" s="25" t="str">
        <f t="shared" si="1"/>
        <v/>
      </c>
      <c r="B878" s="29" t="str">
        <f t="array" ref="B878">IF(D878="","",IFERROR(VALUE(INDEX(Vazoes_COLAR!$A$2:$A$200,INT((ROW()-24)/12)+1)),""))</f>
        <v/>
      </c>
      <c r="C878" s="29" t="str">
        <f t="shared" si="2"/>
        <v/>
      </c>
      <c r="D878" s="26" t="str">
        <f t="array" ref="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78" s="26" t="str">
        <f t="shared" si="3"/>
        <v/>
      </c>
      <c r="F878" s="26" t="str">
        <f t="array" ref="F878">IF(D878="","",IFERROR(INDEX(Dados_Evap!$C$2:$N$15,MATCH($B$9,Dados_Evap!$A$2:$A$15,0),C878),0))</f>
        <v/>
      </c>
      <c r="G878" s="26" t="str">
        <f t="shared" si="4"/>
        <v/>
      </c>
      <c r="H878" s="26" t="str">
        <f t="shared" si="22"/>
        <v/>
      </c>
      <c r="I878" s="26" t="str">
        <f t="array" ref="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/>
      </c>
      <c r="J878" s="26" t="str">
        <f t="shared" si="5"/>
        <v/>
      </c>
      <c r="K878" s="26" t="str">
        <f t="shared" si="6"/>
        <v/>
      </c>
      <c r="L878" s="26" t="str">
        <f t="shared" si="7"/>
        <v/>
      </c>
      <c r="M878" s="26" t="str">
        <f t="array" ref="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/>
      </c>
      <c r="N878" s="26" t="str">
        <f t="shared" si="8"/>
        <v/>
      </c>
      <c r="O878" s="26" t="str">
        <f t="shared" si="9"/>
        <v/>
      </c>
      <c r="P878" s="26" t="str">
        <f t="shared" si="10"/>
        <v/>
      </c>
      <c r="Q878" s="26" t="str">
        <f t="shared" si="11"/>
        <v/>
      </c>
      <c r="R878" s="26" t="str">
        <f t="shared" si="12"/>
        <v/>
      </c>
      <c r="S878" s="26" t="str">
        <f t="shared" si="13"/>
        <v/>
      </c>
      <c r="T878" s="26" t="str">
        <f t="shared" si="14"/>
        <v/>
      </c>
      <c r="U878" s="26" t="str">
        <f t="shared" si="15"/>
        <v/>
      </c>
      <c r="V878" s="26" t="str">
        <f t="shared" si="16"/>
        <v/>
      </c>
      <c r="W878" s="26" t="str">
        <f t="shared" si="17"/>
        <v/>
      </c>
      <c r="X878" s="26" t="str">
        <f t="shared" si="18"/>
        <v/>
      </c>
      <c r="Y878" s="26" t="str">
        <f t="shared" si="19"/>
        <v/>
      </c>
      <c r="Z878" s="31" t="str">
        <f t="shared" si="20"/>
        <v/>
      </c>
      <c r="AA878" s="31" t="str">
        <f>IF(D878="","",IF(H878&lt;=$B$16,1,IF(H878&gt;=$B$17,$B$21,MATCH(H878,Aux_CAV!$A$2:$A$121,1))))</f>
        <v/>
      </c>
      <c r="AB878" s="31" t="str">
        <f>IF(D878="","",IF(L878&lt;=$B$16,1,IF(L878&gt;=$B$17,$B$21,MATCH(L878,Aux_CAV!$A$2:$A$121,1))))</f>
        <v/>
      </c>
      <c r="AC878" s="3" t="str">
        <f t="shared" si="21"/>
        <v/>
      </c>
    </row>
    <row r="879" ht="12.75" customHeight="1">
      <c r="A879" s="25" t="str">
        <f t="shared" si="1"/>
        <v/>
      </c>
      <c r="B879" s="29" t="str">
        <f t="array" ref="B879">IF(D879="","",IFERROR(VALUE(INDEX(Vazoes_COLAR!$A$2:$A$200,INT((ROW()-24)/12)+1)),""))</f>
        <v/>
      </c>
      <c r="C879" s="29" t="str">
        <f t="shared" si="2"/>
        <v/>
      </c>
      <c r="D879" s="26" t="str">
        <f t="array" ref="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79" s="26" t="str">
        <f t="shared" si="3"/>
        <v/>
      </c>
      <c r="F879" s="26" t="str">
        <f t="array" ref="F879">IF(D879="","",IFERROR(INDEX(Dados_Evap!$C$2:$N$15,MATCH($B$9,Dados_Evap!$A$2:$A$15,0),C879),0))</f>
        <v/>
      </c>
      <c r="G879" s="26" t="str">
        <f t="shared" si="4"/>
        <v/>
      </c>
      <c r="H879" s="26" t="str">
        <f t="shared" si="22"/>
        <v/>
      </c>
      <c r="I879" s="26" t="str">
        <f t="array" ref="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/>
      </c>
      <c r="J879" s="26" t="str">
        <f t="shared" si="5"/>
        <v/>
      </c>
      <c r="K879" s="26" t="str">
        <f t="shared" si="6"/>
        <v/>
      </c>
      <c r="L879" s="26" t="str">
        <f t="shared" si="7"/>
        <v/>
      </c>
      <c r="M879" s="26" t="str">
        <f t="array" ref="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/>
      </c>
      <c r="N879" s="26" t="str">
        <f t="shared" si="8"/>
        <v/>
      </c>
      <c r="O879" s="26" t="str">
        <f t="shared" si="9"/>
        <v/>
      </c>
      <c r="P879" s="26" t="str">
        <f t="shared" si="10"/>
        <v/>
      </c>
      <c r="Q879" s="26" t="str">
        <f t="shared" si="11"/>
        <v/>
      </c>
      <c r="R879" s="26" t="str">
        <f t="shared" si="12"/>
        <v/>
      </c>
      <c r="S879" s="26" t="str">
        <f t="shared" si="13"/>
        <v/>
      </c>
      <c r="T879" s="26" t="str">
        <f t="shared" si="14"/>
        <v/>
      </c>
      <c r="U879" s="26" t="str">
        <f t="shared" si="15"/>
        <v/>
      </c>
      <c r="V879" s="26" t="str">
        <f t="shared" si="16"/>
        <v/>
      </c>
      <c r="W879" s="26" t="str">
        <f t="shared" si="17"/>
        <v/>
      </c>
      <c r="X879" s="26" t="str">
        <f t="shared" si="18"/>
        <v/>
      </c>
      <c r="Y879" s="26" t="str">
        <f t="shared" si="19"/>
        <v/>
      </c>
      <c r="Z879" s="31" t="str">
        <f t="shared" si="20"/>
        <v/>
      </c>
      <c r="AA879" s="31" t="str">
        <f>IF(D879="","",IF(H879&lt;=$B$16,1,IF(H879&gt;=$B$17,$B$21,MATCH(H879,Aux_CAV!$A$2:$A$121,1))))</f>
        <v/>
      </c>
      <c r="AB879" s="31" t="str">
        <f>IF(D879="","",IF(L879&lt;=$B$16,1,IF(L879&gt;=$B$17,$B$21,MATCH(L879,Aux_CAV!$A$2:$A$121,1))))</f>
        <v/>
      </c>
      <c r="AC879" s="3" t="str">
        <f t="shared" si="21"/>
        <v/>
      </c>
    </row>
    <row r="880" ht="12.75" customHeight="1">
      <c r="A880" s="25" t="str">
        <f t="shared" si="1"/>
        <v/>
      </c>
      <c r="B880" s="29" t="str">
        <f t="array" ref="B880">IF(D880="","",IFERROR(VALUE(INDEX(Vazoes_COLAR!$A$2:$A$200,INT((ROW()-24)/12)+1)),""))</f>
        <v/>
      </c>
      <c r="C880" s="29" t="str">
        <f t="shared" si="2"/>
        <v/>
      </c>
      <c r="D880" s="26" t="str">
        <f t="array" ref="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80" s="26" t="str">
        <f t="shared" si="3"/>
        <v/>
      </c>
      <c r="F880" s="26" t="str">
        <f t="array" ref="F880">IF(D880="","",IFERROR(INDEX(Dados_Evap!$C$2:$N$15,MATCH($B$9,Dados_Evap!$A$2:$A$15,0),C880),0))</f>
        <v/>
      </c>
      <c r="G880" s="26" t="str">
        <f t="shared" si="4"/>
        <v/>
      </c>
      <c r="H880" s="26" t="str">
        <f t="shared" si="22"/>
        <v/>
      </c>
      <c r="I880" s="26" t="str">
        <f t="array" ref="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/>
      </c>
      <c r="J880" s="26" t="str">
        <f t="shared" si="5"/>
        <v/>
      </c>
      <c r="K880" s="26" t="str">
        <f t="shared" si="6"/>
        <v/>
      </c>
      <c r="L880" s="26" t="str">
        <f t="shared" si="7"/>
        <v/>
      </c>
      <c r="M880" s="26" t="str">
        <f t="array" ref="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/>
      </c>
      <c r="N880" s="26" t="str">
        <f t="shared" si="8"/>
        <v/>
      </c>
      <c r="O880" s="26" t="str">
        <f t="shared" si="9"/>
        <v/>
      </c>
      <c r="P880" s="26" t="str">
        <f t="shared" si="10"/>
        <v/>
      </c>
      <c r="Q880" s="26" t="str">
        <f t="shared" si="11"/>
        <v/>
      </c>
      <c r="R880" s="26" t="str">
        <f t="shared" si="12"/>
        <v/>
      </c>
      <c r="S880" s="26" t="str">
        <f t="shared" si="13"/>
        <v/>
      </c>
      <c r="T880" s="26" t="str">
        <f t="shared" si="14"/>
        <v/>
      </c>
      <c r="U880" s="26" t="str">
        <f t="shared" si="15"/>
        <v/>
      </c>
      <c r="V880" s="26" t="str">
        <f t="shared" si="16"/>
        <v/>
      </c>
      <c r="W880" s="26" t="str">
        <f t="shared" si="17"/>
        <v/>
      </c>
      <c r="X880" s="26" t="str">
        <f t="shared" si="18"/>
        <v/>
      </c>
      <c r="Y880" s="26" t="str">
        <f t="shared" si="19"/>
        <v/>
      </c>
      <c r="Z880" s="31" t="str">
        <f t="shared" si="20"/>
        <v/>
      </c>
      <c r="AA880" s="31" t="str">
        <f>IF(D880="","",IF(H880&lt;=$B$16,1,IF(H880&gt;=$B$17,$B$21,MATCH(H880,Aux_CAV!$A$2:$A$121,1))))</f>
        <v/>
      </c>
      <c r="AB880" s="31" t="str">
        <f>IF(D880="","",IF(L880&lt;=$B$16,1,IF(L880&gt;=$B$17,$B$21,MATCH(L880,Aux_CAV!$A$2:$A$121,1))))</f>
        <v/>
      </c>
      <c r="AC880" s="3" t="str">
        <f t="shared" si="21"/>
        <v/>
      </c>
    </row>
    <row r="881" ht="12.75" customHeight="1">
      <c r="A881" s="25" t="str">
        <f t="shared" si="1"/>
        <v/>
      </c>
      <c r="B881" s="29" t="str">
        <f t="array" ref="B881">IF(D881="","",IFERROR(VALUE(INDEX(Vazoes_COLAR!$A$2:$A$200,INT((ROW()-24)/12)+1)),""))</f>
        <v/>
      </c>
      <c r="C881" s="29" t="str">
        <f t="shared" si="2"/>
        <v/>
      </c>
      <c r="D881" s="26" t="str">
        <f t="array" ref="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81" s="26" t="str">
        <f t="shared" si="3"/>
        <v/>
      </c>
      <c r="F881" s="26" t="str">
        <f t="array" ref="F881">IF(D881="","",IFERROR(INDEX(Dados_Evap!$C$2:$N$15,MATCH($B$9,Dados_Evap!$A$2:$A$15,0),C881),0))</f>
        <v/>
      </c>
      <c r="G881" s="26" t="str">
        <f t="shared" si="4"/>
        <v/>
      </c>
      <c r="H881" s="26" t="str">
        <f t="shared" si="22"/>
        <v/>
      </c>
      <c r="I881" s="26" t="str">
        <f t="array" ref="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/>
      </c>
      <c r="J881" s="26" t="str">
        <f t="shared" si="5"/>
        <v/>
      </c>
      <c r="K881" s="26" t="str">
        <f t="shared" si="6"/>
        <v/>
      </c>
      <c r="L881" s="26" t="str">
        <f t="shared" si="7"/>
        <v/>
      </c>
      <c r="M881" s="26" t="str">
        <f t="array" ref="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/>
      </c>
      <c r="N881" s="26" t="str">
        <f t="shared" si="8"/>
        <v/>
      </c>
      <c r="O881" s="26" t="str">
        <f t="shared" si="9"/>
        <v/>
      </c>
      <c r="P881" s="26" t="str">
        <f t="shared" si="10"/>
        <v/>
      </c>
      <c r="Q881" s="26" t="str">
        <f t="shared" si="11"/>
        <v/>
      </c>
      <c r="R881" s="26" t="str">
        <f t="shared" si="12"/>
        <v/>
      </c>
      <c r="S881" s="26" t="str">
        <f t="shared" si="13"/>
        <v/>
      </c>
      <c r="T881" s="26" t="str">
        <f t="shared" si="14"/>
        <v/>
      </c>
      <c r="U881" s="26" t="str">
        <f t="shared" si="15"/>
        <v/>
      </c>
      <c r="V881" s="26" t="str">
        <f t="shared" si="16"/>
        <v/>
      </c>
      <c r="W881" s="26" t="str">
        <f t="shared" si="17"/>
        <v/>
      </c>
      <c r="X881" s="26" t="str">
        <f t="shared" si="18"/>
        <v/>
      </c>
      <c r="Y881" s="26" t="str">
        <f t="shared" si="19"/>
        <v/>
      </c>
      <c r="Z881" s="31" t="str">
        <f t="shared" si="20"/>
        <v/>
      </c>
      <c r="AA881" s="31" t="str">
        <f>IF(D881="","",IF(H881&lt;=$B$16,1,IF(H881&gt;=$B$17,$B$21,MATCH(H881,Aux_CAV!$A$2:$A$121,1))))</f>
        <v/>
      </c>
      <c r="AB881" s="31" t="str">
        <f>IF(D881="","",IF(L881&lt;=$B$16,1,IF(L881&gt;=$B$17,$B$21,MATCH(L881,Aux_CAV!$A$2:$A$121,1))))</f>
        <v/>
      </c>
      <c r="AC881" s="3" t="str">
        <f t="shared" si="21"/>
        <v/>
      </c>
    </row>
    <row r="882" ht="12.75" customHeight="1">
      <c r="A882" s="25" t="str">
        <f t="shared" si="1"/>
        <v/>
      </c>
      <c r="B882" s="29" t="str">
        <f t="array" ref="B882">IF(D882="","",IFERROR(VALUE(INDEX(Vazoes_COLAR!$A$2:$A$200,INT((ROW()-24)/12)+1)),""))</f>
        <v/>
      </c>
      <c r="C882" s="29" t="str">
        <f t="shared" si="2"/>
        <v/>
      </c>
      <c r="D882" s="26" t="str">
        <f t="array" ref="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82" s="26" t="str">
        <f t="shared" si="3"/>
        <v/>
      </c>
      <c r="F882" s="26" t="str">
        <f t="array" ref="F882">IF(D882="","",IFERROR(INDEX(Dados_Evap!$C$2:$N$15,MATCH($B$9,Dados_Evap!$A$2:$A$15,0),C882),0))</f>
        <v/>
      </c>
      <c r="G882" s="26" t="str">
        <f t="shared" si="4"/>
        <v/>
      </c>
      <c r="H882" s="26" t="str">
        <f t="shared" si="22"/>
        <v/>
      </c>
      <c r="I882" s="26" t="str">
        <f t="array" ref="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/>
      </c>
      <c r="J882" s="26" t="str">
        <f t="shared" si="5"/>
        <v/>
      </c>
      <c r="K882" s="26" t="str">
        <f t="shared" si="6"/>
        <v/>
      </c>
      <c r="L882" s="26" t="str">
        <f t="shared" si="7"/>
        <v/>
      </c>
      <c r="M882" s="26" t="str">
        <f t="array" ref="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/>
      </c>
      <c r="N882" s="26" t="str">
        <f t="shared" si="8"/>
        <v/>
      </c>
      <c r="O882" s="26" t="str">
        <f t="shared" si="9"/>
        <v/>
      </c>
      <c r="P882" s="26" t="str">
        <f t="shared" si="10"/>
        <v/>
      </c>
      <c r="Q882" s="26" t="str">
        <f t="shared" si="11"/>
        <v/>
      </c>
      <c r="R882" s="26" t="str">
        <f t="shared" si="12"/>
        <v/>
      </c>
      <c r="S882" s="26" t="str">
        <f t="shared" si="13"/>
        <v/>
      </c>
      <c r="T882" s="26" t="str">
        <f t="shared" si="14"/>
        <v/>
      </c>
      <c r="U882" s="26" t="str">
        <f t="shared" si="15"/>
        <v/>
      </c>
      <c r="V882" s="26" t="str">
        <f t="shared" si="16"/>
        <v/>
      </c>
      <c r="W882" s="26" t="str">
        <f t="shared" si="17"/>
        <v/>
      </c>
      <c r="X882" s="26" t="str">
        <f t="shared" si="18"/>
        <v/>
      </c>
      <c r="Y882" s="26" t="str">
        <f t="shared" si="19"/>
        <v/>
      </c>
      <c r="Z882" s="31" t="str">
        <f t="shared" si="20"/>
        <v/>
      </c>
      <c r="AA882" s="31" t="str">
        <f>IF(D882="","",IF(H882&lt;=$B$16,1,IF(H882&gt;=$B$17,$B$21,MATCH(H882,Aux_CAV!$A$2:$A$121,1))))</f>
        <v/>
      </c>
      <c r="AB882" s="31" t="str">
        <f>IF(D882="","",IF(L882&lt;=$B$16,1,IF(L882&gt;=$B$17,$B$21,MATCH(L882,Aux_CAV!$A$2:$A$121,1))))</f>
        <v/>
      </c>
      <c r="AC882" s="3" t="str">
        <f t="shared" si="21"/>
        <v/>
      </c>
    </row>
    <row r="883" ht="12.75" customHeight="1">
      <c r="A883" s="25" t="str">
        <f t="shared" si="1"/>
        <v/>
      </c>
      <c r="B883" s="29" t="str">
        <f t="array" ref="B883">IF(D883="","",IFERROR(VALUE(INDEX(Vazoes_COLAR!$A$2:$A$200,INT((ROW()-24)/12)+1)),""))</f>
        <v/>
      </c>
      <c r="C883" s="29" t="str">
        <f t="shared" si="2"/>
        <v/>
      </c>
      <c r="D883" s="26" t="str">
        <f t="array" ref="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83" s="26" t="str">
        <f t="shared" si="3"/>
        <v/>
      </c>
      <c r="F883" s="26" t="str">
        <f t="array" ref="F883">IF(D883="","",IFERROR(INDEX(Dados_Evap!$C$2:$N$15,MATCH($B$9,Dados_Evap!$A$2:$A$15,0),C883),0))</f>
        <v/>
      </c>
      <c r="G883" s="26" t="str">
        <f t="shared" si="4"/>
        <v/>
      </c>
      <c r="H883" s="26" t="str">
        <f t="shared" si="22"/>
        <v/>
      </c>
      <c r="I883" s="26" t="str">
        <f t="array" ref="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/>
      </c>
      <c r="J883" s="26" t="str">
        <f t="shared" si="5"/>
        <v/>
      </c>
      <c r="K883" s="26" t="str">
        <f t="shared" si="6"/>
        <v/>
      </c>
      <c r="L883" s="26" t="str">
        <f t="shared" si="7"/>
        <v/>
      </c>
      <c r="M883" s="26" t="str">
        <f t="array" ref="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/>
      </c>
      <c r="N883" s="26" t="str">
        <f t="shared" si="8"/>
        <v/>
      </c>
      <c r="O883" s="26" t="str">
        <f t="shared" si="9"/>
        <v/>
      </c>
      <c r="P883" s="26" t="str">
        <f t="shared" si="10"/>
        <v/>
      </c>
      <c r="Q883" s="26" t="str">
        <f t="shared" si="11"/>
        <v/>
      </c>
      <c r="R883" s="26" t="str">
        <f t="shared" si="12"/>
        <v/>
      </c>
      <c r="S883" s="26" t="str">
        <f t="shared" si="13"/>
        <v/>
      </c>
      <c r="T883" s="26" t="str">
        <f t="shared" si="14"/>
        <v/>
      </c>
      <c r="U883" s="26" t="str">
        <f t="shared" si="15"/>
        <v/>
      </c>
      <c r="V883" s="26" t="str">
        <f t="shared" si="16"/>
        <v/>
      </c>
      <c r="W883" s="26" t="str">
        <f t="shared" si="17"/>
        <v/>
      </c>
      <c r="X883" s="26" t="str">
        <f t="shared" si="18"/>
        <v/>
      </c>
      <c r="Y883" s="26" t="str">
        <f t="shared" si="19"/>
        <v/>
      </c>
      <c r="Z883" s="31" t="str">
        <f t="shared" si="20"/>
        <v/>
      </c>
      <c r="AA883" s="31" t="str">
        <f>IF(D883="","",IF(H883&lt;=$B$16,1,IF(H883&gt;=$B$17,$B$21,MATCH(H883,Aux_CAV!$A$2:$A$121,1))))</f>
        <v/>
      </c>
      <c r="AB883" s="31" t="str">
        <f>IF(D883="","",IF(L883&lt;=$B$16,1,IF(L883&gt;=$B$17,$B$21,MATCH(L883,Aux_CAV!$A$2:$A$121,1))))</f>
        <v/>
      </c>
      <c r="AC883" s="3" t="str">
        <f t="shared" si="21"/>
        <v/>
      </c>
    </row>
    <row r="884" ht="12.75" customHeight="1">
      <c r="A884" s="25" t="str">
        <f t="shared" si="1"/>
        <v/>
      </c>
      <c r="B884" s="29" t="str">
        <f t="array" ref="B884">IF(D884="","",IFERROR(VALUE(INDEX(Vazoes_COLAR!$A$2:$A$200,INT((ROW()-24)/12)+1)),""))</f>
        <v/>
      </c>
      <c r="C884" s="29" t="str">
        <f t="shared" si="2"/>
        <v/>
      </c>
      <c r="D884" s="26" t="str">
        <f t="array" ref="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84" s="26" t="str">
        <f t="shared" si="3"/>
        <v/>
      </c>
      <c r="F884" s="26" t="str">
        <f t="array" ref="F884">IF(D884="","",IFERROR(INDEX(Dados_Evap!$C$2:$N$15,MATCH($B$9,Dados_Evap!$A$2:$A$15,0),C884),0))</f>
        <v/>
      </c>
      <c r="G884" s="26" t="str">
        <f t="shared" si="4"/>
        <v/>
      </c>
      <c r="H884" s="26" t="str">
        <f t="shared" si="22"/>
        <v/>
      </c>
      <c r="I884" s="26" t="str">
        <f t="array" ref="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/>
      </c>
      <c r="J884" s="26" t="str">
        <f t="shared" si="5"/>
        <v/>
      </c>
      <c r="K884" s="26" t="str">
        <f t="shared" si="6"/>
        <v/>
      </c>
      <c r="L884" s="26" t="str">
        <f t="shared" si="7"/>
        <v/>
      </c>
      <c r="M884" s="26" t="str">
        <f t="array" ref="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/>
      </c>
      <c r="N884" s="26" t="str">
        <f t="shared" si="8"/>
        <v/>
      </c>
      <c r="O884" s="26" t="str">
        <f t="shared" si="9"/>
        <v/>
      </c>
      <c r="P884" s="26" t="str">
        <f t="shared" si="10"/>
        <v/>
      </c>
      <c r="Q884" s="26" t="str">
        <f t="shared" si="11"/>
        <v/>
      </c>
      <c r="R884" s="26" t="str">
        <f t="shared" si="12"/>
        <v/>
      </c>
      <c r="S884" s="26" t="str">
        <f t="shared" si="13"/>
        <v/>
      </c>
      <c r="T884" s="26" t="str">
        <f t="shared" si="14"/>
        <v/>
      </c>
      <c r="U884" s="26" t="str">
        <f t="shared" si="15"/>
        <v/>
      </c>
      <c r="V884" s="26" t="str">
        <f t="shared" si="16"/>
        <v/>
      </c>
      <c r="W884" s="26" t="str">
        <f t="shared" si="17"/>
        <v/>
      </c>
      <c r="X884" s="26" t="str">
        <f t="shared" si="18"/>
        <v/>
      </c>
      <c r="Y884" s="26" t="str">
        <f t="shared" si="19"/>
        <v/>
      </c>
      <c r="Z884" s="31" t="str">
        <f t="shared" si="20"/>
        <v/>
      </c>
      <c r="AA884" s="31" t="str">
        <f>IF(D884="","",IF(H884&lt;=$B$16,1,IF(H884&gt;=$B$17,$B$21,MATCH(H884,Aux_CAV!$A$2:$A$121,1))))</f>
        <v/>
      </c>
      <c r="AB884" s="31" t="str">
        <f>IF(D884="","",IF(L884&lt;=$B$16,1,IF(L884&gt;=$B$17,$B$21,MATCH(L884,Aux_CAV!$A$2:$A$121,1))))</f>
        <v/>
      </c>
      <c r="AC884" s="3" t="str">
        <f t="shared" si="21"/>
        <v/>
      </c>
    </row>
    <row r="885" ht="12.75" customHeight="1">
      <c r="A885" s="25" t="str">
        <f t="shared" si="1"/>
        <v/>
      </c>
      <c r="B885" s="29" t="str">
        <f t="array" ref="B885">IF(D885="","",IFERROR(VALUE(INDEX(Vazoes_COLAR!$A$2:$A$200,INT((ROW()-24)/12)+1)),""))</f>
        <v/>
      </c>
      <c r="C885" s="29" t="str">
        <f t="shared" si="2"/>
        <v/>
      </c>
      <c r="D885" s="26" t="str">
        <f t="array" ref="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85" s="26" t="str">
        <f t="shared" si="3"/>
        <v/>
      </c>
      <c r="F885" s="26" t="str">
        <f t="array" ref="F885">IF(D885="","",IFERROR(INDEX(Dados_Evap!$C$2:$N$15,MATCH($B$9,Dados_Evap!$A$2:$A$15,0),C885),0))</f>
        <v/>
      </c>
      <c r="G885" s="26" t="str">
        <f t="shared" si="4"/>
        <v/>
      </c>
      <c r="H885" s="26" t="str">
        <f t="shared" si="22"/>
        <v/>
      </c>
      <c r="I885" s="26" t="str">
        <f t="array" ref="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/>
      </c>
      <c r="J885" s="26" t="str">
        <f t="shared" si="5"/>
        <v/>
      </c>
      <c r="K885" s="26" t="str">
        <f t="shared" si="6"/>
        <v/>
      </c>
      <c r="L885" s="26" t="str">
        <f t="shared" si="7"/>
        <v/>
      </c>
      <c r="M885" s="26" t="str">
        <f t="array" ref="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/>
      </c>
      <c r="N885" s="26" t="str">
        <f t="shared" si="8"/>
        <v/>
      </c>
      <c r="O885" s="26" t="str">
        <f t="shared" si="9"/>
        <v/>
      </c>
      <c r="P885" s="26" t="str">
        <f t="shared" si="10"/>
        <v/>
      </c>
      <c r="Q885" s="26" t="str">
        <f t="shared" si="11"/>
        <v/>
      </c>
      <c r="R885" s="26" t="str">
        <f t="shared" si="12"/>
        <v/>
      </c>
      <c r="S885" s="26" t="str">
        <f t="shared" si="13"/>
        <v/>
      </c>
      <c r="T885" s="26" t="str">
        <f t="shared" si="14"/>
        <v/>
      </c>
      <c r="U885" s="26" t="str">
        <f t="shared" si="15"/>
        <v/>
      </c>
      <c r="V885" s="26" t="str">
        <f t="shared" si="16"/>
        <v/>
      </c>
      <c r="W885" s="26" t="str">
        <f t="shared" si="17"/>
        <v/>
      </c>
      <c r="X885" s="26" t="str">
        <f t="shared" si="18"/>
        <v/>
      </c>
      <c r="Y885" s="26" t="str">
        <f t="shared" si="19"/>
        <v/>
      </c>
      <c r="Z885" s="31" t="str">
        <f t="shared" si="20"/>
        <v/>
      </c>
      <c r="AA885" s="31" t="str">
        <f>IF(D885="","",IF(H885&lt;=$B$16,1,IF(H885&gt;=$B$17,$B$21,MATCH(H885,Aux_CAV!$A$2:$A$121,1))))</f>
        <v/>
      </c>
      <c r="AB885" s="31" t="str">
        <f>IF(D885="","",IF(L885&lt;=$B$16,1,IF(L885&gt;=$B$17,$B$21,MATCH(L885,Aux_CAV!$A$2:$A$121,1))))</f>
        <v/>
      </c>
      <c r="AC885" s="3" t="str">
        <f t="shared" si="21"/>
        <v/>
      </c>
    </row>
    <row r="886" ht="12.75" customHeight="1">
      <c r="A886" s="25" t="str">
        <f t="shared" si="1"/>
        <v/>
      </c>
      <c r="B886" s="29" t="str">
        <f t="array" ref="B886">IF(D886="","",IFERROR(VALUE(INDEX(Vazoes_COLAR!$A$2:$A$200,INT((ROW()-24)/12)+1)),""))</f>
        <v/>
      </c>
      <c r="C886" s="29" t="str">
        <f t="shared" si="2"/>
        <v/>
      </c>
      <c r="D886" s="26" t="str">
        <f t="array" ref="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86" s="26" t="str">
        <f t="shared" si="3"/>
        <v/>
      </c>
      <c r="F886" s="26" t="str">
        <f t="array" ref="F886">IF(D886="","",IFERROR(INDEX(Dados_Evap!$C$2:$N$15,MATCH($B$9,Dados_Evap!$A$2:$A$15,0),C886),0))</f>
        <v/>
      </c>
      <c r="G886" s="26" t="str">
        <f t="shared" si="4"/>
        <v/>
      </c>
      <c r="H886" s="26" t="str">
        <f t="shared" si="22"/>
        <v/>
      </c>
      <c r="I886" s="26" t="str">
        <f t="array" ref="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/>
      </c>
      <c r="J886" s="26" t="str">
        <f t="shared" si="5"/>
        <v/>
      </c>
      <c r="K886" s="26" t="str">
        <f t="shared" si="6"/>
        <v/>
      </c>
      <c r="L886" s="26" t="str">
        <f t="shared" si="7"/>
        <v/>
      </c>
      <c r="M886" s="26" t="str">
        <f t="array" ref="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/>
      </c>
      <c r="N886" s="26" t="str">
        <f t="shared" si="8"/>
        <v/>
      </c>
      <c r="O886" s="26" t="str">
        <f t="shared" si="9"/>
        <v/>
      </c>
      <c r="P886" s="26" t="str">
        <f t="shared" si="10"/>
        <v/>
      </c>
      <c r="Q886" s="26" t="str">
        <f t="shared" si="11"/>
        <v/>
      </c>
      <c r="R886" s="26" t="str">
        <f t="shared" si="12"/>
        <v/>
      </c>
      <c r="S886" s="26" t="str">
        <f t="shared" si="13"/>
        <v/>
      </c>
      <c r="T886" s="26" t="str">
        <f t="shared" si="14"/>
        <v/>
      </c>
      <c r="U886" s="26" t="str">
        <f t="shared" si="15"/>
        <v/>
      </c>
      <c r="V886" s="26" t="str">
        <f t="shared" si="16"/>
        <v/>
      </c>
      <c r="W886" s="26" t="str">
        <f t="shared" si="17"/>
        <v/>
      </c>
      <c r="X886" s="26" t="str">
        <f t="shared" si="18"/>
        <v/>
      </c>
      <c r="Y886" s="26" t="str">
        <f t="shared" si="19"/>
        <v/>
      </c>
      <c r="Z886" s="31" t="str">
        <f t="shared" si="20"/>
        <v/>
      </c>
      <c r="AA886" s="31" t="str">
        <f>IF(D886="","",IF(H886&lt;=$B$16,1,IF(H886&gt;=$B$17,$B$21,MATCH(H886,Aux_CAV!$A$2:$A$121,1))))</f>
        <v/>
      </c>
      <c r="AB886" s="31" t="str">
        <f>IF(D886="","",IF(L886&lt;=$B$16,1,IF(L886&gt;=$B$17,$B$21,MATCH(L886,Aux_CAV!$A$2:$A$121,1))))</f>
        <v/>
      </c>
      <c r="AC886" s="3" t="str">
        <f t="shared" si="21"/>
        <v/>
      </c>
    </row>
    <row r="887" ht="12.75" customHeight="1">
      <c r="A887" s="25" t="str">
        <f t="shared" si="1"/>
        <v/>
      </c>
      <c r="B887" s="29" t="str">
        <f t="array" ref="B887">IF(D887="","",IFERROR(VALUE(INDEX(Vazoes_COLAR!$A$2:$A$200,INT((ROW()-24)/12)+1)),""))</f>
        <v/>
      </c>
      <c r="C887" s="29" t="str">
        <f t="shared" si="2"/>
        <v/>
      </c>
      <c r="D887" s="26" t="str">
        <f t="array" ref="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87" s="26" t="str">
        <f t="shared" si="3"/>
        <v/>
      </c>
      <c r="F887" s="26" t="str">
        <f t="array" ref="F887">IF(D887="","",IFERROR(INDEX(Dados_Evap!$C$2:$N$15,MATCH($B$9,Dados_Evap!$A$2:$A$15,0),C887),0))</f>
        <v/>
      </c>
      <c r="G887" s="26" t="str">
        <f t="shared" si="4"/>
        <v/>
      </c>
      <c r="H887" s="26" t="str">
        <f t="shared" si="22"/>
        <v/>
      </c>
      <c r="I887" s="26" t="str">
        <f t="array" ref="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/>
      </c>
      <c r="J887" s="26" t="str">
        <f t="shared" si="5"/>
        <v/>
      </c>
      <c r="K887" s="26" t="str">
        <f t="shared" si="6"/>
        <v/>
      </c>
      <c r="L887" s="26" t="str">
        <f t="shared" si="7"/>
        <v/>
      </c>
      <c r="M887" s="26" t="str">
        <f t="array" ref="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/>
      </c>
      <c r="N887" s="26" t="str">
        <f t="shared" si="8"/>
        <v/>
      </c>
      <c r="O887" s="26" t="str">
        <f t="shared" si="9"/>
        <v/>
      </c>
      <c r="P887" s="26" t="str">
        <f t="shared" si="10"/>
        <v/>
      </c>
      <c r="Q887" s="26" t="str">
        <f t="shared" si="11"/>
        <v/>
      </c>
      <c r="R887" s="26" t="str">
        <f t="shared" si="12"/>
        <v/>
      </c>
      <c r="S887" s="26" t="str">
        <f t="shared" si="13"/>
        <v/>
      </c>
      <c r="T887" s="26" t="str">
        <f t="shared" si="14"/>
        <v/>
      </c>
      <c r="U887" s="26" t="str">
        <f t="shared" si="15"/>
        <v/>
      </c>
      <c r="V887" s="26" t="str">
        <f t="shared" si="16"/>
        <v/>
      </c>
      <c r="W887" s="26" t="str">
        <f t="shared" si="17"/>
        <v/>
      </c>
      <c r="X887" s="26" t="str">
        <f t="shared" si="18"/>
        <v/>
      </c>
      <c r="Y887" s="26" t="str">
        <f t="shared" si="19"/>
        <v/>
      </c>
      <c r="Z887" s="31" t="str">
        <f t="shared" si="20"/>
        <v/>
      </c>
      <c r="AA887" s="31" t="str">
        <f>IF(D887="","",IF(H887&lt;=$B$16,1,IF(H887&gt;=$B$17,$B$21,MATCH(H887,Aux_CAV!$A$2:$A$121,1))))</f>
        <v/>
      </c>
      <c r="AB887" s="31" t="str">
        <f>IF(D887="","",IF(L887&lt;=$B$16,1,IF(L887&gt;=$B$17,$B$21,MATCH(L887,Aux_CAV!$A$2:$A$121,1))))</f>
        <v/>
      </c>
      <c r="AC887" s="3" t="str">
        <f t="shared" si="21"/>
        <v/>
      </c>
    </row>
    <row r="888" ht="12.75" customHeight="1">
      <c r="A888" s="25" t="str">
        <f t="shared" si="1"/>
        <v/>
      </c>
      <c r="B888" s="29" t="str">
        <f t="array" ref="B888">IF(D888="","",IFERROR(VALUE(INDEX(Vazoes_COLAR!$A$2:$A$200,INT((ROW()-24)/12)+1)),""))</f>
        <v/>
      </c>
      <c r="C888" s="29" t="str">
        <f t="shared" si="2"/>
        <v/>
      </c>
      <c r="D888" s="26" t="str">
        <f t="array" ref="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88" s="26" t="str">
        <f t="shared" si="3"/>
        <v/>
      </c>
      <c r="F888" s="26" t="str">
        <f t="array" ref="F888">IF(D888="","",IFERROR(INDEX(Dados_Evap!$C$2:$N$15,MATCH($B$9,Dados_Evap!$A$2:$A$15,0),C888),0))</f>
        <v/>
      </c>
      <c r="G888" s="26" t="str">
        <f t="shared" si="4"/>
        <v/>
      </c>
      <c r="H888" s="26" t="str">
        <f t="shared" si="22"/>
        <v/>
      </c>
      <c r="I888" s="26" t="str">
        <f t="array" ref="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/>
      </c>
      <c r="J888" s="26" t="str">
        <f t="shared" si="5"/>
        <v/>
      </c>
      <c r="K888" s="26" t="str">
        <f t="shared" si="6"/>
        <v/>
      </c>
      <c r="L888" s="26" t="str">
        <f t="shared" si="7"/>
        <v/>
      </c>
      <c r="M888" s="26" t="str">
        <f t="array" ref="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/>
      </c>
      <c r="N888" s="26" t="str">
        <f t="shared" si="8"/>
        <v/>
      </c>
      <c r="O888" s="26" t="str">
        <f t="shared" si="9"/>
        <v/>
      </c>
      <c r="P888" s="26" t="str">
        <f t="shared" si="10"/>
        <v/>
      </c>
      <c r="Q888" s="26" t="str">
        <f t="shared" si="11"/>
        <v/>
      </c>
      <c r="R888" s="26" t="str">
        <f t="shared" si="12"/>
        <v/>
      </c>
      <c r="S888" s="26" t="str">
        <f t="shared" si="13"/>
        <v/>
      </c>
      <c r="T888" s="26" t="str">
        <f t="shared" si="14"/>
        <v/>
      </c>
      <c r="U888" s="26" t="str">
        <f t="shared" si="15"/>
        <v/>
      </c>
      <c r="V888" s="26" t="str">
        <f t="shared" si="16"/>
        <v/>
      </c>
      <c r="W888" s="26" t="str">
        <f t="shared" si="17"/>
        <v/>
      </c>
      <c r="X888" s="26" t="str">
        <f t="shared" si="18"/>
        <v/>
      </c>
      <c r="Y888" s="26" t="str">
        <f t="shared" si="19"/>
        <v/>
      </c>
      <c r="Z888" s="31" t="str">
        <f t="shared" si="20"/>
        <v/>
      </c>
      <c r="AA888" s="31" t="str">
        <f>IF(D888="","",IF(H888&lt;=$B$16,1,IF(H888&gt;=$B$17,$B$21,MATCH(H888,Aux_CAV!$A$2:$A$121,1))))</f>
        <v/>
      </c>
      <c r="AB888" s="31" t="str">
        <f>IF(D888="","",IF(L888&lt;=$B$16,1,IF(L888&gt;=$B$17,$B$21,MATCH(L888,Aux_CAV!$A$2:$A$121,1))))</f>
        <v/>
      </c>
      <c r="AC888" s="3" t="str">
        <f t="shared" si="21"/>
        <v/>
      </c>
    </row>
    <row r="889" ht="12.75" customHeight="1">
      <c r="A889" s="25" t="str">
        <f t="shared" si="1"/>
        <v/>
      </c>
      <c r="B889" s="29" t="str">
        <f t="array" ref="B889">IF(D889="","",IFERROR(VALUE(INDEX(Vazoes_COLAR!$A$2:$A$200,INT((ROW()-24)/12)+1)),""))</f>
        <v/>
      </c>
      <c r="C889" s="29" t="str">
        <f t="shared" si="2"/>
        <v/>
      </c>
      <c r="D889" s="26" t="str">
        <f t="array" ref="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89" s="26" t="str">
        <f t="shared" si="3"/>
        <v/>
      </c>
      <c r="F889" s="26" t="str">
        <f t="array" ref="F889">IF(D889="","",IFERROR(INDEX(Dados_Evap!$C$2:$N$15,MATCH($B$9,Dados_Evap!$A$2:$A$15,0),C889),0))</f>
        <v/>
      </c>
      <c r="G889" s="26" t="str">
        <f t="shared" si="4"/>
        <v/>
      </c>
      <c r="H889" s="26" t="str">
        <f t="shared" si="22"/>
        <v/>
      </c>
      <c r="I889" s="26" t="str">
        <f t="array" ref="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/>
      </c>
      <c r="J889" s="26" t="str">
        <f t="shared" si="5"/>
        <v/>
      </c>
      <c r="K889" s="26" t="str">
        <f t="shared" si="6"/>
        <v/>
      </c>
      <c r="L889" s="26" t="str">
        <f t="shared" si="7"/>
        <v/>
      </c>
      <c r="M889" s="26" t="str">
        <f t="array" ref="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/>
      </c>
      <c r="N889" s="26" t="str">
        <f t="shared" si="8"/>
        <v/>
      </c>
      <c r="O889" s="26" t="str">
        <f t="shared" si="9"/>
        <v/>
      </c>
      <c r="P889" s="26" t="str">
        <f t="shared" si="10"/>
        <v/>
      </c>
      <c r="Q889" s="26" t="str">
        <f t="shared" si="11"/>
        <v/>
      </c>
      <c r="R889" s="26" t="str">
        <f t="shared" si="12"/>
        <v/>
      </c>
      <c r="S889" s="26" t="str">
        <f t="shared" si="13"/>
        <v/>
      </c>
      <c r="T889" s="26" t="str">
        <f t="shared" si="14"/>
        <v/>
      </c>
      <c r="U889" s="26" t="str">
        <f t="shared" si="15"/>
        <v/>
      </c>
      <c r="V889" s="26" t="str">
        <f t="shared" si="16"/>
        <v/>
      </c>
      <c r="W889" s="26" t="str">
        <f t="shared" si="17"/>
        <v/>
      </c>
      <c r="X889" s="26" t="str">
        <f t="shared" si="18"/>
        <v/>
      </c>
      <c r="Y889" s="26" t="str">
        <f t="shared" si="19"/>
        <v/>
      </c>
      <c r="Z889" s="31" t="str">
        <f t="shared" si="20"/>
        <v/>
      </c>
      <c r="AA889" s="31" t="str">
        <f>IF(D889="","",IF(H889&lt;=$B$16,1,IF(H889&gt;=$B$17,$B$21,MATCH(H889,Aux_CAV!$A$2:$A$121,1))))</f>
        <v/>
      </c>
      <c r="AB889" s="31" t="str">
        <f>IF(D889="","",IF(L889&lt;=$B$16,1,IF(L889&gt;=$B$17,$B$21,MATCH(L889,Aux_CAV!$A$2:$A$121,1))))</f>
        <v/>
      </c>
      <c r="AC889" s="3" t="str">
        <f t="shared" si="21"/>
        <v/>
      </c>
    </row>
    <row r="890" ht="12.75" customHeight="1">
      <c r="A890" s="25" t="str">
        <f t="shared" si="1"/>
        <v/>
      </c>
      <c r="B890" s="29" t="str">
        <f t="array" ref="B890">IF(D890="","",IFERROR(VALUE(INDEX(Vazoes_COLAR!$A$2:$A$200,INT((ROW()-24)/12)+1)),""))</f>
        <v/>
      </c>
      <c r="C890" s="29" t="str">
        <f t="shared" si="2"/>
        <v/>
      </c>
      <c r="D890" s="26" t="str">
        <f t="array" ref="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90" s="26" t="str">
        <f t="shared" si="3"/>
        <v/>
      </c>
      <c r="F890" s="26" t="str">
        <f t="array" ref="F890">IF(D890="","",IFERROR(INDEX(Dados_Evap!$C$2:$N$15,MATCH($B$9,Dados_Evap!$A$2:$A$15,0),C890),0))</f>
        <v/>
      </c>
      <c r="G890" s="26" t="str">
        <f t="shared" si="4"/>
        <v/>
      </c>
      <c r="H890" s="26" t="str">
        <f t="shared" si="22"/>
        <v/>
      </c>
      <c r="I890" s="26" t="str">
        <f t="array" ref="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/>
      </c>
      <c r="J890" s="26" t="str">
        <f t="shared" si="5"/>
        <v/>
      </c>
      <c r="K890" s="26" t="str">
        <f t="shared" si="6"/>
        <v/>
      </c>
      <c r="L890" s="26" t="str">
        <f t="shared" si="7"/>
        <v/>
      </c>
      <c r="M890" s="26" t="str">
        <f t="array" ref="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/>
      </c>
      <c r="N890" s="26" t="str">
        <f t="shared" si="8"/>
        <v/>
      </c>
      <c r="O890" s="26" t="str">
        <f t="shared" si="9"/>
        <v/>
      </c>
      <c r="P890" s="26" t="str">
        <f t="shared" si="10"/>
        <v/>
      </c>
      <c r="Q890" s="26" t="str">
        <f t="shared" si="11"/>
        <v/>
      </c>
      <c r="R890" s="26" t="str">
        <f t="shared" si="12"/>
        <v/>
      </c>
      <c r="S890" s="26" t="str">
        <f t="shared" si="13"/>
        <v/>
      </c>
      <c r="T890" s="26" t="str">
        <f t="shared" si="14"/>
        <v/>
      </c>
      <c r="U890" s="26" t="str">
        <f t="shared" si="15"/>
        <v/>
      </c>
      <c r="V890" s="26" t="str">
        <f t="shared" si="16"/>
        <v/>
      </c>
      <c r="W890" s="26" t="str">
        <f t="shared" si="17"/>
        <v/>
      </c>
      <c r="X890" s="26" t="str">
        <f t="shared" si="18"/>
        <v/>
      </c>
      <c r="Y890" s="26" t="str">
        <f t="shared" si="19"/>
        <v/>
      </c>
      <c r="Z890" s="31" t="str">
        <f t="shared" si="20"/>
        <v/>
      </c>
      <c r="AA890" s="31" t="str">
        <f>IF(D890="","",IF(H890&lt;=$B$16,1,IF(H890&gt;=$B$17,$B$21,MATCH(H890,Aux_CAV!$A$2:$A$121,1))))</f>
        <v/>
      </c>
      <c r="AB890" s="31" t="str">
        <f>IF(D890="","",IF(L890&lt;=$B$16,1,IF(L890&gt;=$B$17,$B$21,MATCH(L890,Aux_CAV!$A$2:$A$121,1))))</f>
        <v/>
      </c>
      <c r="AC890" s="3" t="str">
        <f t="shared" si="21"/>
        <v/>
      </c>
    </row>
    <row r="891" ht="12.75" customHeight="1">
      <c r="A891" s="25" t="str">
        <f t="shared" si="1"/>
        <v/>
      </c>
      <c r="B891" s="29" t="str">
        <f t="array" ref="B891">IF(D891="","",IFERROR(VALUE(INDEX(Vazoes_COLAR!$A$2:$A$200,INT((ROW()-24)/12)+1)),""))</f>
        <v/>
      </c>
      <c r="C891" s="29" t="str">
        <f t="shared" si="2"/>
        <v/>
      </c>
      <c r="D891" s="26" t="str">
        <f t="array" ref="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91" s="26" t="str">
        <f t="shared" si="3"/>
        <v/>
      </c>
      <c r="F891" s="26" t="str">
        <f t="array" ref="F891">IF(D891="","",IFERROR(INDEX(Dados_Evap!$C$2:$N$15,MATCH($B$9,Dados_Evap!$A$2:$A$15,0),C891),0))</f>
        <v/>
      </c>
      <c r="G891" s="26" t="str">
        <f t="shared" si="4"/>
        <v/>
      </c>
      <c r="H891" s="26" t="str">
        <f t="shared" si="22"/>
        <v/>
      </c>
      <c r="I891" s="26" t="str">
        <f t="array" ref="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/>
      </c>
      <c r="J891" s="26" t="str">
        <f t="shared" si="5"/>
        <v/>
      </c>
      <c r="K891" s="26" t="str">
        <f t="shared" si="6"/>
        <v/>
      </c>
      <c r="L891" s="26" t="str">
        <f t="shared" si="7"/>
        <v/>
      </c>
      <c r="M891" s="26" t="str">
        <f t="array" ref="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/>
      </c>
      <c r="N891" s="26" t="str">
        <f t="shared" si="8"/>
        <v/>
      </c>
      <c r="O891" s="26" t="str">
        <f t="shared" si="9"/>
        <v/>
      </c>
      <c r="P891" s="26" t="str">
        <f t="shared" si="10"/>
        <v/>
      </c>
      <c r="Q891" s="26" t="str">
        <f t="shared" si="11"/>
        <v/>
      </c>
      <c r="R891" s="26" t="str">
        <f t="shared" si="12"/>
        <v/>
      </c>
      <c r="S891" s="26" t="str">
        <f t="shared" si="13"/>
        <v/>
      </c>
      <c r="T891" s="26" t="str">
        <f t="shared" si="14"/>
        <v/>
      </c>
      <c r="U891" s="26" t="str">
        <f t="shared" si="15"/>
        <v/>
      </c>
      <c r="V891" s="26" t="str">
        <f t="shared" si="16"/>
        <v/>
      </c>
      <c r="W891" s="26" t="str">
        <f t="shared" si="17"/>
        <v/>
      </c>
      <c r="X891" s="26" t="str">
        <f t="shared" si="18"/>
        <v/>
      </c>
      <c r="Y891" s="26" t="str">
        <f t="shared" si="19"/>
        <v/>
      </c>
      <c r="Z891" s="31" t="str">
        <f t="shared" si="20"/>
        <v/>
      </c>
      <c r="AA891" s="31" t="str">
        <f>IF(D891="","",IF(H891&lt;=$B$16,1,IF(H891&gt;=$B$17,$B$21,MATCH(H891,Aux_CAV!$A$2:$A$121,1))))</f>
        <v/>
      </c>
      <c r="AB891" s="31" t="str">
        <f>IF(D891="","",IF(L891&lt;=$B$16,1,IF(L891&gt;=$B$17,$B$21,MATCH(L891,Aux_CAV!$A$2:$A$121,1))))</f>
        <v/>
      </c>
      <c r="AC891" s="3" t="str">
        <f t="shared" si="21"/>
        <v/>
      </c>
    </row>
    <row r="892" ht="12.75" customHeight="1">
      <c r="A892" s="25" t="str">
        <f t="shared" si="1"/>
        <v/>
      </c>
      <c r="B892" s="29" t="str">
        <f t="array" ref="B892">IF(D892="","",IFERROR(VALUE(INDEX(Vazoes_COLAR!$A$2:$A$200,INT((ROW()-24)/12)+1)),""))</f>
        <v/>
      </c>
      <c r="C892" s="29" t="str">
        <f t="shared" si="2"/>
        <v/>
      </c>
      <c r="D892" s="26" t="str">
        <f t="array" ref="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92" s="26" t="str">
        <f t="shared" si="3"/>
        <v/>
      </c>
      <c r="F892" s="26" t="str">
        <f t="array" ref="F892">IF(D892="","",IFERROR(INDEX(Dados_Evap!$C$2:$N$15,MATCH($B$9,Dados_Evap!$A$2:$A$15,0),C892),0))</f>
        <v/>
      </c>
      <c r="G892" s="26" t="str">
        <f t="shared" si="4"/>
        <v/>
      </c>
      <c r="H892" s="26" t="str">
        <f t="shared" si="22"/>
        <v/>
      </c>
      <c r="I892" s="26" t="str">
        <f t="array" ref="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/>
      </c>
      <c r="J892" s="26" t="str">
        <f t="shared" si="5"/>
        <v/>
      </c>
      <c r="K892" s="26" t="str">
        <f t="shared" si="6"/>
        <v/>
      </c>
      <c r="L892" s="26" t="str">
        <f t="shared" si="7"/>
        <v/>
      </c>
      <c r="M892" s="26" t="str">
        <f t="array" ref="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/>
      </c>
      <c r="N892" s="26" t="str">
        <f t="shared" si="8"/>
        <v/>
      </c>
      <c r="O892" s="26" t="str">
        <f t="shared" si="9"/>
        <v/>
      </c>
      <c r="P892" s="26" t="str">
        <f t="shared" si="10"/>
        <v/>
      </c>
      <c r="Q892" s="26" t="str">
        <f t="shared" si="11"/>
        <v/>
      </c>
      <c r="R892" s="26" t="str">
        <f t="shared" si="12"/>
        <v/>
      </c>
      <c r="S892" s="26" t="str">
        <f t="shared" si="13"/>
        <v/>
      </c>
      <c r="T892" s="26" t="str">
        <f t="shared" si="14"/>
        <v/>
      </c>
      <c r="U892" s="26" t="str">
        <f t="shared" si="15"/>
        <v/>
      </c>
      <c r="V892" s="26" t="str">
        <f t="shared" si="16"/>
        <v/>
      </c>
      <c r="W892" s="26" t="str">
        <f t="shared" si="17"/>
        <v/>
      </c>
      <c r="X892" s="26" t="str">
        <f t="shared" si="18"/>
        <v/>
      </c>
      <c r="Y892" s="26" t="str">
        <f t="shared" si="19"/>
        <v/>
      </c>
      <c r="Z892" s="31" t="str">
        <f t="shared" si="20"/>
        <v/>
      </c>
      <c r="AA892" s="31" t="str">
        <f>IF(D892="","",IF(H892&lt;=$B$16,1,IF(H892&gt;=$B$17,$B$21,MATCH(H892,Aux_CAV!$A$2:$A$121,1))))</f>
        <v/>
      </c>
      <c r="AB892" s="31" t="str">
        <f>IF(D892="","",IF(L892&lt;=$B$16,1,IF(L892&gt;=$B$17,$B$21,MATCH(L892,Aux_CAV!$A$2:$A$121,1))))</f>
        <v/>
      </c>
      <c r="AC892" s="3" t="str">
        <f t="shared" si="21"/>
        <v/>
      </c>
    </row>
    <row r="893" ht="12.75" customHeight="1">
      <c r="A893" s="25" t="str">
        <f t="shared" si="1"/>
        <v/>
      </c>
      <c r="B893" s="29" t="str">
        <f t="array" ref="B893">IF(D893="","",IFERROR(VALUE(INDEX(Vazoes_COLAR!$A$2:$A$200,INT((ROW()-24)/12)+1)),""))</f>
        <v/>
      </c>
      <c r="C893" s="29" t="str">
        <f t="shared" si="2"/>
        <v/>
      </c>
      <c r="D893" s="26" t="str">
        <f t="array" ref="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93" s="26" t="str">
        <f t="shared" si="3"/>
        <v/>
      </c>
      <c r="F893" s="26" t="str">
        <f t="array" ref="F893">IF(D893="","",IFERROR(INDEX(Dados_Evap!$C$2:$N$15,MATCH($B$9,Dados_Evap!$A$2:$A$15,0),C893),0))</f>
        <v/>
      </c>
      <c r="G893" s="26" t="str">
        <f t="shared" si="4"/>
        <v/>
      </c>
      <c r="H893" s="26" t="str">
        <f t="shared" si="22"/>
        <v/>
      </c>
      <c r="I893" s="26" t="str">
        <f t="array" ref="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/>
      </c>
      <c r="J893" s="26" t="str">
        <f t="shared" si="5"/>
        <v/>
      </c>
      <c r="K893" s="26" t="str">
        <f t="shared" si="6"/>
        <v/>
      </c>
      <c r="L893" s="26" t="str">
        <f t="shared" si="7"/>
        <v/>
      </c>
      <c r="M893" s="26" t="str">
        <f t="array" ref="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/>
      </c>
      <c r="N893" s="26" t="str">
        <f t="shared" si="8"/>
        <v/>
      </c>
      <c r="O893" s="26" t="str">
        <f t="shared" si="9"/>
        <v/>
      </c>
      <c r="P893" s="26" t="str">
        <f t="shared" si="10"/>
        <v/>
      </c>
      <c r="Q893" s="26" t="str">
        <f t="shared" si="11"/>
        <v/>
      </c>
      <c r="R893" s="26" t="str">
        <f t="shared" si="12"/>
        <v/>
      </c>
      <c r="S893" s="26" t="str">
        <f t="shared" si="13"/>
        <v/>
      </c>
      <c r="T893" s="26" t="str">
        <f t="shared" si="14"/>
        <v/>
      </c>
      <c r="U893" s="26" t="str">
        <f t="shared" si="15"/>
        <v/>
      </c>
      <c r="V893" s="26" t="str">
        <f t="shared" si="16"/>
        <v/>
      </c>
      <c r="W893" s="26" t="str">
        <f t="shared" si="17"/>
        <v/>
      </c>
      <c r="X893" s="26" t="str">
        <f t="shared" si="18"/>
        <v/>
      </c>
      <c r="Y893" s="26" t="str">
        <f t="shared" si="19"/>
        <v/>
      </c>
      <c r="Z893" s="31" t="str">
        <f t="shared" si="20"/>
        <v/>
      </c>
      <c r="AA893" s="31" t="str">
        <f>IF(D893="","",IF(H893&lt;=$B$16,1,IF(H893&gt;=$B$17,$B$21,MATCH(H893,Aux_CAV!$A$2:$A$121,1))))</f>
        <v/>
      </c>
      <c r="AB893" s="31" t="str">
        <f>IF(D893="","",IF(L893&lt;=$B$16,1,IF(L893&gt;=$B$17,$B$21,MATCH(L893,Aux_CAV!$A$2:$A$121,1))))</f>
        <v/>
      </c>
      <c r="AC893" s="3" t="str">
        <f t="shared" si="21"/>
        <v/>
      </c>
    </row>
    <row r="894" ht="12.75" customHeight="1">
      <c r="A894" s="25" t="str">
        <f t="shared" si="1"/>
        <v/>
      </c>
      <c r="B894" s="29" t="str">
        <f t="array" ref="B894">IF(D894="","",IFERROR(VALUE(INDEX(Vazoes_COLAR!$A$2:$A$200,INT((ROW()-24)/12)+1)),""))</f>
        <v/>
      </c>
      <c r="C894" s="29" t="str">
        <f t="shared" si="2"/>
        <v/>
      </c>
      <c r="D894" s="26" t="str">
        <f t="array" ref="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94" s="26" t="str">
        <f t="shared" si="3"/>
        <v/>
      </c>
      <c r="F894" s="26" t="str">
        <f t="array" ref="F894">IF(D894="","",IFERROR(INDEX(Dados_Evap!$C$2:$N$15,MATCH($B$9,Dados_Evap!$A$2:$A$15,0),C894),0))</f>
        <v/>
      </c>
      <c r="G894" s="26" t="str">
        <f t="shared" si="4"/>
        <v/>
      </c>
      <c r="H894" s="26" t="str">
        <f t="shared" si="22"/>
        <v/>
      </c>
      <c r="I894" s="26" t="str">
        <f t="array" ref="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/>
      </c>
      <c r="J894" s="26" t="str">
        <f t="shared" si="5"/>
        <v/>
      </c>
      <c r="K894" s="26" t="str">
        <f t="shared" si="6"/>
        <v/>
      </c>
      <c r="L894" s="26" t="str">
        <f t="shared" si="7"/>
        <v/>
      </c>
      <c r="M894" s="26" t="str">
        <f t="array" ref="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/>
      </c>
      <c r="N894" s="26" t="str">
        <f t="shared" si="8"/>
        <v/>
      </c>
      <c r="O894" s="26" t="str">
        <f t="shared" si="9"/>
        <v/>
      </c>
      <c r="P894" s="26" t="str">
        <f t="shared" si="10"/>
        <v/>
      </c>
      <c r="Q894" s="26" t="str">
        <f t="shared" si="11"/>
        <v/>
      </c>
      <c r="R894" s="26" t="str">
        <f t="shared" si="12"/>
        <v/>
      </c>
      <c r="S894" s="26" t="str">
        <f t="shared" si="13"/>
        <v/>
      </c>
      <c r="T894" s="26" t="str">
        <f t="shared" si="14"/>
        <v/>
      </c>
      <c r="U894" s="26" t="str">
        <f t="shared" si="15"/>
        <v/>
      </c>
      <c r="V894" s="26" t="str">
        <f t="shared" si="16"/>
        <v/>
      </c>
      <c r="W894" s="26" t="str">
        <f t="shared" si="17"/>
        <v/>
      </c>
      <c r="X894" s="26" t="str">
        <f t="shared" si="18"/>
        <v/>
      </c>
      <c r="Y894" s="26" t="str">
        <f t="shared" si="19"/>
        <v/>
      </c>
      <c r="Z894" s="31" t="str">
        <f t="shared" si="20"/>
        <v/>
      </c>
      <c r="AA894" s="31" t="str">
        <f>IF(D894="","",IF(H894&lt;=$B$16,1,IF(H894&gt;=$B$17,$B$21,MATCH(H894,Aux_CAV!$A$2:$A$121,1))))</f>
        <v/>
      </c>
      <c r="AB894" s="31" t="str">
        <f>IF(D894="","",IF(L894&lt;=$B$16,1,IF(L894&gt;=$B$17,$B$21,MATCH(L894,Aux_CAV!$A$2:$A$121,1))))</f>
        <v/>
      </c>
      <c r="AC894" s="3" t="str">
        <f t="shared" si="21"/>
        <v/>
      </c>
    </row>
    <row r="895" ht="12.75" customHeight="1">
      <c r="A895" s="25" t="str">
        <f t="shared" si="1"/>
        <v/>
      </c>
      <c r="B895" s="29" t="str">
        <f t="array" ref="B895">IF(D895="","",IFERROR(VALUE(INDEX(Vazoes_COLAR!$A$2:$A$200,INT((ROW()-24)/12)+1)),""))</f>
        <v/>
      </c>
      <c r="C895" s="29" t="str">
        <f t="shared" si="2"/>
        <v/>
      </c>
      <c r="D895" s="26" t="str">
        <f t="array" ref="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95" s="26" t="str">
        <f t="shared" si="3"/>
        <v/>
      </c>
      <c r="F895" s="26" t="str">
        <f t="array" ref="F895">IF(D895="","",IFERROR(INDEX(Dados_Evap!$C$2:$N$15,MATCH($B$9,Dados_Evap!$A$2:$A$15,0),C895),0))</f>
        <v/>
      </c>
      <c r="G895" s="26" t="str">
        <f t="shared" si="4"/>
        <v/>
      </c>
      <c r="H895" s="26" t="str">
        <f t="shared" si="22"/>
        <v/>
      </c>
      <c r="I895" s="26" t="str">
        <f t="array" ref="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/>
      </c>
      <c r="J895" s="26" t="str">
        <f t="shared" si="5"/>
        <v/>
      </c>
      <c r="K895" s="26" t="str">
        <f t="shared" si="6"/>
        <v/>
      </c>
      <c r="L895" s="26" t="str">
        <f t="shared" si="7"/>
        <v/>
      </c>
      <c r="M895" s="26" t="str">
        <f t="array" ref="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/>
      </c>
      <c r="N895" s="26" t="str">
        <f t="shared" si="8"/>
        <v/>
      </c>
      <c r="O895" s="26" t="str">
        <f t="shared" si="9"/>
        <v/>
      </c>
      <c r="P895" s="26" t="str">
        <f t="shared" si="10"/>
        <v/>
      </c>
      <c r="Q895" s="26" t="str">
        <f t="shared" si="11"/>
        <v/>
      </c>
      <c r="R895" s="26" t="str">
        <f t="shared" si="12"/>
        <v/>
      </c>
      <c r="S895" s="26" t="str">
        <f t="shared" si="13"/>
        <v/>
      </c>
      <c r="T895" s="26" t="str">
        <f t="shared" si="14"/>
        <v/>
      </c>
      <c r="U895" s="26" t="str">
        <f t="shared" si="15"/>
        <v/>
      </c>
      <c r="V895" s="26" t="str">
        <f t="shared" si="16"/>
        <v/>
      </c>
      <c r="W895" s="26" t="str">
        <f t="shared" si="17"/>
        <v/>
      </c>
      <c r="X895" s="26" t="str">
        <f t="shared" si="18"/>
        <v/>
      </c>
      <c r="Y895" s="26" t="str">
        <f t="shared" si="19"/>
        <v/>
      </c>
      <c r="Z895" s="31" t="str">
        <f t="shared" si="20"/>
        <v/>
      </c>
      <c r="AA895" s="31" t="str">
        <f>IF(D895="","",IF(H895&lt;=$B$16,1,IF(H895&gt;=$B$17,$B$21,MATCH(H895,Aux_CAV!$A$2:$A$121,1))))</f>
        <v/>
      </c>
      <c r="AB895" s="31" t="str">
        <f>IF(D895="","",IF(L895&lt;=$B$16,1,IF(L895&gt;=$B$17,$B$21,MATCH(L895,Aux_CAV!$A$2:$A$121,1))))</f>
        <v/>
      </c>
      <c r="AC895" s="3" t="str">
        <f t="shared" si="21"/>
        <v/>
      </c>
    </row>
    <row r="896" ht="12.75" customHeight="1">
      <c r="A896" s="25" t="str">
        <f t="shared" si="1"/>
        <v/>
      </c>
      <c r="B896" s="29" t="str">
        <f t="array" ref="B896">IF(D896="","",IFERROR(VALUE(INDEX(Vazoes_COLAR!$A$2:$A$200,INT((ROW()-24)/12)+1)),""))</f>
        <v/>
      </c>
      <c r="C896" s="29" t="str">
        <f t="shared" si="2"/>
        <v/>
      </c>
      <c r="D896" s="26" t="str">
        <f t="array" ref="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96" s="26" t="str">
        <f t="shared" si="3"/>
        <v/>
      </c>
      <c r="F896" s="26" t="str">
        <f t="array" ref="F896">IF(D896="","",IFERROR(INDEX(Dados_Evap!$C$2:$N$15,MATCH($B$9,Dados_Evap!$A$2:$A$15,0),C896),0))</f>
        <v/>
      </c>
      <c r="G896" s="26" t="str">
        <f t="shared" si="4"/>
        <v/>
      </c>
      <c r="H896" s="26" t="str">
        <f t="shared" si="22"/>
        <v/>
      </c>
      <c r="I896" s="26" t="str">
        <f t="array" ref="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/>
      </c>
      <c r="J896" s="26" t="str">
        <f t="shared" si="5"/>
        <v/>
      </c>
      <c r="K896" s="26" t="str">
        <f t="shared" si="6"/>
        <v/>
      </c>
      <c r="L896" s="26" t="str">
        <f t="shared" si="7"/>
        <v/>
      </c>
      <c r="M896" s="26" t="str">
        <f t="array" ref="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/>
      </c>
      <c r="N896" s="26" t="str">
        <f t="shared" si="8"/>
        <v/>
      </c>
      <c r="O896" s="26" t="str">
        <f t="shared" si="9"/>
        <v/>
      </c>
      <c r="P896" s="26" t="str">
        <f t="shared" si="10"/>
        <v/>
      </c>
      <c r="Q896" s="26" t="str">
        <f t="shared" si="11"/>
        <v/>
      </c>
      <c r="R896" s="26" t="str">
        <f t="shared" si="12"/>
        <v/>
      </c>
      <c r="S896" s="26" t="str">
        <f t="shared" si="13"/>
        <v/>
      </c>
      <c r="T896" s="26" t="str">
        <f t="shared" si="14"/>
        <v/>
      </c>
      <c r="U896" s="26" t="str">
        <f t="shared" si="15"/>
        <v/>
      </c>
      <c r="V896" s="26" t="str">
        <f t="shared" si="16"/>
        <v/>
      </c>
      <c r="W896" s="26" t="str">
        <f t="shared" si="17"/>
        <v/>
      </c>
      <c r="X896" s="26" t="str">
        <f t="shared" si="18"/>
        <v/>
      </c>
      <c r="Y896" s="26" t="str">
        <f t="shared" si="19"/>
        <v/>
      </c>
      <c r="Z896" s="31" t="str">
        <f t="shared" si="20"/>
        <v/>
      </c>
      <c r="AA896" s="31" t="str">
        <f>IF(D896="","",IF(H896&lt;=$B$16,1,IF(H896&gt;=$B$17,$B$21,MATCH(H896,Aux_CAV!$A$2:$A$121,1))))</f>
        <v/>
      </c>
      <c r="AB896" s="31" t="str">
        <f>IF(D896="","",IF(L896&lt;=$B$16,1,IF(L896&gt;=$B$17,$B$21,MATCH(L896,Aux_CAV!$A$2:$A$121,1))))</f>
        <v/>
      </c>
      <c r="AC896" s="3" t="str">
        <f t="shared" si="21"/>
        <v/>
      </c>
    </row>
    <row r="897" ht="12.75" customHeight="1">
      <c r="A897" s="25" t="str">
        <f t="shared" si="1"/>
        <v/>
      </c>
      <c r="B897" s="29" t="str">
        <f t="array" ref="B897">IF(D897="","",IFERROR(VALUE(INDEX(Vazoes_COLAR!$A$2:$A$200,INT((ROW()-24)/12)+1)),""))</f>
        <v/>
      </c>
      <c r="C897" s="29" t="str">
        <f t="shared" si="2"/>
        <v/>
      </c>
      <c r="D897" s="26" t="str">
        <f t="array" ref="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97" s="26" t="str">
        <f t="shared" si="3"/>
        <v/>
      </c>
      <c r="F897" s="26" t="str">
        <f t="array" ref="F897">IF(D897="","",IFERROR(INDEX(Dados_Evap!$C$2:$N$15,MATCH($B$9,Dados_Evap!$A$2:$A$15,0),C897),0))</f>
        <v/>
      </c>
      <c r="G897" s="26" t="str">
        <f t="shared" si="4"/>
        <v/>
      </c>
      <c r="H897" s="26" t="str">
        <f t="shared" si="22"/>
        <v/>
      </c>
      <c r="I897" s="26" t="str">
        <f t="array" ref="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/>
      </c>
      <c r="J897" s="26" t="str">
        <f t="shared" si="5"/>
        <v/>
      </c>
      <c r="K897" s="26" t="str">
        <f t="shared" si="6"/>
        <v/>
      </c>
      <c r="L897" s="26" t="str">
        <f t="shared" si="7"/>
        <v/>
      </c>
      <c r="M897" s="26" t="str">
        <f t="array" ref="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/>
      </c>
      <c r="N897" s="26" t="str">
        <f t="shared" si="8"/>
        <v/>
      </c>
      <c r="O897" s="26" t="str">
        <f t="shared" si="9"/>
        <v/>
      </c>
      <c r="P897" s="26" t="str">
        <f t="shared" si="10"/>
        <v/>
      </c>
      <c r="Q897" s="26" t="str">
        <f t="shared" si="11"/>
        <v/>
      </c>
      <c r="R897" s="26" t="str">
        <f t="shared" si="12"/>
        <v/>
      </c>
      <c r="S897" s="26" t="str">
        <f t="shared" si="13"/>
        <v/>
      </c>
      <c r="T897" s="26" t="str">
        <f t="shared" si="14"/>
        <v/>
      </c>
      <c r="U897" s="26" t="str">
        <f t="shared" si="15"/>
        <v/>
      </c>
      <c r="V897" s="26" t="str">
        <f t="shared" si="16"/>
        <v/>
      </c>
      <c r="W897" s="26" t="str">
        <f t="shared" si="17"/>
        <v/>
      </c>
      <c r="X897" s="26" t="str">
        <f t="shared" si="18"/>
        <v/>
      </c>
      <c r="Y897" s="26" t="str">
        <f t="shared" si="19"/>
        <v/>
      </c>
      <c r="Z897" s="31" t="str">
        <f t="shared" si="20"/>
        <v/>
      </c>
      <c r="AA897" s="31" t="str">
        <f>IF(D897="","",IF(H897&lt;=$B$16,1,IF(H897&gt;=$B$17,$B$21,MATCH(H897,Aux_CAV!$A$2:$A$121,1))))</f>
        <v/>
      </c>
      <c r="AB897" s="31" t="str">
        <f>IF(D897="","",IF(L897&lt;=$B$16,1,IF(L897&gt;=$B$17,$B$21,MATCH(L897,Aux_CAV!$A$2:$A$121,1))))</f>
        <v/>
      </c>
      <c r="AC897" s="3" t="str">
        <f t="shared" si="21"/>
        <v/>
      </c>
    </row>
    <row r="898" ht="12.75" customHeight="1">
      <c r="A898" s="25" t="str">
        <f t="shared" si="1"/>
        <v/>
      </c>
      <c r="B898" s="29" t="str">
        <f t="array" ref="B898">IF(D898="","",IFERROR(VALUE(INDEX(Vazoes_COLAR!$A$2:$A$200,INT((ROW()-24)/12)+1)),""))</f>
        <v/>
      </c>
      <c r="C898" s="29" t="str">
        <f t="shared" si="2"/>
        <v/>
      </c>
      <c r="D898" s="26" t="str">
        <f t="array" ref="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98" s="26" t="str">
        <f t="shared" si="3"/>
        <v/>
      </c>
      <c r="F898" s="26" t="str">
        <f t="array" ref="F898">IF(D898="","",IFERROR(INDEX(Dados_Evap!$C$2:$N$15,MATCH($B$9,Dados_Evap!$A$2:$A$15,0),C898),0))</f>
        <v/>
      </c>
      <c r="G898" s="26" t="str">
        <f t="shared" si="4"/>
        <v/>
      </c>
      <c r="H898" s="26" t="str">
        <f t="shared" si="22"/>
        <v/>
      </c>
      <c r="I898" s="26" t="str">
        <f t="array" ref="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/>
      </c>
      <c r="J898" s="26" t="str">
        <f t="shared" si="5"/>
        <v/>
      </c>
      <c r="K898" s="26" t="str">
        <f t="shared" si="6"/>
        <v/>
      </c>
      <c r="L898" s="26" t="str">
        <f t="shared" si="7"/>
        <v/>
      </c>
      <c r="M898" s="26" t="str">
        <f t="array" ref="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/>
      </c>
      <c r="N898" s="26" t="str">
        <f t="shared" si="8"/>
        <v/>
      </c>
      <c r="O898" s="26" t="str">
        <f t="shared" si="9"/>
        <v/>
      </c>
      <c r="P898" s="26" t="str">
        <f t="shared" si="10"/>
        <v/>
      </c>
      <c r="Q898" s="26" t="str">
        <f t="shared" si="11"/>
        <v/>
      </c>
      <c r="R898" s="26" t="str">
        <f t="shared" si="12"/>
        <v/>
      </c>
      <c r="S898" s="26" t="str">
        <f t="shared" si="13"/>
        <v/>
      </c>
      <c r="T898" s="26" t="str">
        <f t="shared" si="14"/>
        <v/>
      </c>
      <c r="U898" s="26" t="str">
        <f t="shared" si="15"/>
        <v/>
      </c>
      <c r="V898" s="26" t="str">
        <f t="shared" si="16"/>
        <v/>
      </c>
      <c r="W898" s="26" t="str">
        <f t="shared" si="17"/>
        <v/>
      </c>
      <c r="X898" s="26" t="str">
        <f t="shared" si="18"/>
        <v/>
      </c>
      <c r="Y898" s="26" t="str">
        <f t="shared" si="19"/>
        <v/>
      </c>
      <c r="Z898" s="31" t="str">
        <f t="shared" si="20"/>
        <v/>
      </c>
      <c r="AA898" s="31" t="str">
        <f>IF(D898="","",IF(H898&lt;=$B$16,1,IF(H898&gt;=$B$17,$B$21,MATCH(H898,Aux_CAV!$A$2:$A$121,1))))</f>
        <v/>
      </c>
      <c r="AB898" s="31" t="str">
        <f>IF(D898="","",IF(L898&lt;=$B$16,1,IF(L898&gt;=$B$17,$B$21,MATCH(L898,Aux_CAV!$A$2:$A$121,1))))</f>
        <v/>
      </c>
      <c r="AC898" s="3" t="str">
        <f t="shared" si="21"/>
        <v/>
      </c>
    </row>
    <row r="899" ht="12.75" customHeight="1">
      <c r="A899" s="25" t="str">
        <f t="shared" si="1"/>
        <v/>
      </c>
      <c r="B899" s="29" t="str">
        <f t="array" ref="B899">IF(D899="","",IFERROR(VALUE(INDEX(Vazoes_COLAR!$A$2:$A$200,INT((ROW()-24)/12)+1)),""))</f>
        <v/>
      </c>
      <c r="C899" s="29" t="str">
        <f t="shared" si="2"/>
        <v/>
      </c>
      <c r="D899" s="26" t="str">
        <f t="array" ref="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899" s="26" t="str">
        <f t="shared" si="3"/>
        <v/>
      </c>
      <c r="F899" s="26" t="str">
        <f t="array" ref="F899">IF(D899="","",IFERROR(INDEX(Dados_Evap!$C$2:$N$15,MATCH($B$9,Dados_Evap!$A$2:$A$15,0),C899),0))</f>
        <v/>
      </c>
      <c r="G899" s="26" t="str">
        <f t="shared" si="4"/>
        <v/>
      </c>
      <c r="H899" s="26" t="str">
        <f t="shared" si="22"/>
        <v/>
      </c>
      <c r="I899" s="26" t="str">
        <f t="array" ref="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/>
      </c>
      <c r="J899" s="26" t="str">
        <f t="shared" si="5"/>
        <v/>
      </c>
      <c r="K899" s="26" t="str">
        <f t="shared" si="6"/>
        <v/>
      </c>
      <c r="L899" s="26" t="str">
        <f t="shared" si="7"/>
        <v/>
      </c>
      <c r="M899" s="26" t="str">
        <f t="array" ref="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/>
      </c>
      <c r="N899" s="26" t="str">
        <f t="shared" si="8"/>
        <v/>
      </c>
      <c r="O899" s="26" t="str">
        <f t="shared" si="9"/>
        <v/>
      </c>
      <c r="P899" s="26" t="str">
        <f t="shared" si="10"/>
        <v/>
      </c>
      <c r="Q899" s="26" t="str">
        <f t="shared" si="11"/>
        <v/>
      </c>
      <c r="R899" s="26" t="str">
        <f t="shared" si="12"/>
        <v/>
      </c>
      <c r="S899" s="26" t="str">
        <f t="shared" si="13"/>
        <v/>
      </c>
      <c r="T899" s="26" t="str">
        <f t="shared" si="14"/>
        <v/>
      </c>
      <c r="U899" s="26" t="str">
        <f t="shared" si="15"/>
        <v/>
      </c>
      <c r="V899" s="26" t="str">
        <f t="shared" si="16"/>
        <v/>
      </c>
      <c r="W899" s="26" t="str">
        <f t="shared" si="17"/>
        <v/>
      </c>
      <c r="X899" s="26" t="str">
        <f t="shared" si="18"/>
        <v/>
      </c>
      <c r="Y899" s="26" t="str">
        <f t="shared" si="19"/>
        <v/>
      </c>
      <c r="Z899" s="31" t="str">
        <f t="shared" si="20"/>
        <v/>
      </c>
      <c r="AA899" s="31" t="str">
        <f>IF(D899="","",IF(H899&lt;=$B$16,1,IF(H899&gt;=$B$17,$B$21,MATCH(H899,Aux_CAV!$A$2:$A$121,1))))</f>
        <v/>
      </c>
      <c r="AB899" s="31" t="str">
        <f>IF(D899="","",IF(L899&lt;=$B$16,1,IF(L899&gt;=$B$17,$B$21,MATCH(L899,Aux_CAV!$A$2:$A$121,1))))</f>
        <v/>
      </c>
      <c r="AC899" s="3" t="str">
        <f t="shared" si="21"/>
        <v/>
      </c>
    </row>
    <row r="900" ht="12.75" customHeight="1">
      <c r="A900" s="25" t="str">
        <f t="shared" si="1"/>
        <v/>
      </c>
      <c r="B900" s="29" t="str">
        <f t="array" ref="B900">IF(D900="","",IFERROR(VALUE(INDEX(Vazoes_COLAR!$A$2:$A$200,INT((ROW()-24)/12)+1)),""))</f>
        <v/>
      </c>
      <c r="C900" s="29" t="str">
        <f t="shared" si="2"/>
        <v/>
      </c>
      <c r="D900" s="26" t="str">
        <f t="array" ref="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00" s="26" t="str">
        <f t="shared" si="3"/>
        <v/>
      </c>
      <c r="F900" s="26" t="str">
        <f t="array" ref="F900">IF(D900="","",IFERROR(INDEX(Dados_Evap!$C$2:$N$15,MATCH($B$9,Dados_Evap!$A$2:$A$15,0),C900),0))</f>
        <v/>
      </c>
      <c r="G900" s="26" t="str">
        <f t="shared" si="4"/>
        <v/>
      </c>
      <c r="H900" s="26" t="str">
        <f t="shared" si="22"/>
        <v/>
      </c>
      <c r="I900" s="26" t="str">
        <f t="array" ref="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/>
      </c>
      <c r="J900" s="26" t="str">
        <f t="shared" si="5"/>
        <v/>
      </c>
      <c r="K900" s="26" t="str">
        <f t="shared" si="6"/>
        <v/>
      </c>
      <c r="L900" s="26" t="str">
        <f t="shared" si="7"/>
        <v/>
      </c>
      <c r="M900" s="26" t="str">
        <f t="array" ref="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/>
      </c>
      <c r="N900" s="26" t="str">
        <f t="shared" si="8"/>
        <v/>
      </c>
      <c r="O900" s="26" t="str">
        <f t="shared" si="9"/>
        <v/>
      </c>
      <c r="P900" s="26" t="str">
        <f t="shared" si="10"/>
        <v/>
      </c>
      <c r="Q900" s="26" t="str">
        <f t="shared" si="11"/>
        <v/>
      </c>
      <c r="R900" s="26" t="str">
        <f t="shared" si="12"/>
        <v/>
      </c>
      <c r="S900" s="26" t="str">
        <f t="shared" si="13"/>
        <v/>
      </c>
      <c r="T900" s="26" t="str">
        <f t="shared" si="14"/>
        <v/>
      </c>
      <c r="U900" s="26" t="str">
        <f t="shared" si="15"/>
        <v/>
      </c>
      <c r="V900" s="26" t="str">
        <f t="shared" si="16"/>
        <v/>
      </c>
      <c r="W900" s="26" t="str">
        <f t="shared" si="17"/>
        <v/>
      </c>
      <c r="X900" s="26" t="str">
        <f t="shared" si="18"/>
        <v/>
      </c>
      <c r="Y900" s="26" t="str">
        <f t="shared" si="19"/>
        <v/>
      </c>
      <c r="Z900" s="31" t="str">
        <f t="shared" si="20"/>
        <v/>
      </c>
      <c r="AA900" s="31" t="str">
        <f>IF(D900="","",IF(H900&lt;=$B$16,1,IF(H900&gt;=$B$17,$B$21,MATCH(H900,Aux_CAV!$A$2:$A$121,1))))</f>
        <v/>
      </c>
      <c r="AB900" s="31" t="str">
        <f>IF(D900="","",IF(L900&lt;=$B$16,1,IF(L900&gt;=$B$17,$B$21,MATCH(L900,Aux_CAV!$A$2:$A$121,1))))</f>
        <v/>
      </c>
      <c r="AC900" s="3" t="str">
        <f t="shared" si="21"/>
        <v/>
      </c>
    </row>
    <row r="901" ht="12.75" customHeight="1">
      <c r="A901" s="25" t="str">
        <f t="shared" si="1"/>
        <v/>
      </c>
      <c r="B901" s="29" t="str">
        <f t="array" ref="B901">IF(D901="","",IFERROR(VALUE(INDEX(Vazoes_COLAR!$A$2:$A$200,INT((ROW()-24)/12)+1)),""))</f>
        <v/>
      </c>
      <c r="C901" s="29" t="str">
        <f t="shared" si="2"/>
        <v/>
      </c>
      <c r="D901" s="26" t="str">
        <f t="array" ref="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01" s="26" t="str">
        <f t="shared" si="3"/>
        <v/>
      </c>
      <c r="F901" s="26" t="str">
        <f t="array" ref="F901">IF(D901="","",IFERROR(INDEX(Dados_Evap!$C$2:$N$15,MATCH($B$9,Dados_Evap!$A$2:$A$15,0),C901),0))</f>
        <v/>
      </c>
      <c r="G901" s="26" t="str">
        <f t="shared" si="4"/>
        <v/>
      </c>
      <c r="H901" s="26" t="str">
        <f t="shared" si="22"/>
        <v/>
      </c>
      <c r="I901" s="26" t="str">
        <f t="array" ref="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/>
      </c>
      <c r="J901" s="26" t="str">
        <f t="shared" si="5"/>
        <v/>
      </c>
      <c r="K901" s="26" t="str">
        <f t="shared" si="6"/>
        <v/>
      </c>
      <c r="L901" s="26" t="str">
        <f t="shared" si="7"/>
        <v/>
      </c>
      <c r="M901" s="26" t="str">
        <f t="array" ref="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/>
      </c>
      <c r="N901" s="26" t="str">
        <f t="shared" si="8"/>
        <v/>
      </c>
      <c r="O901" s="26" t="str">
        <f t="shared" si="9"/>
        <v/>
      </c>
      <c r="P901" s="26" t="str">
        <f t="shared" si="10"/>
        <v/>
      </c>
      <c r="Q901" s="26" t="str">
        <f t="shared" si="11"/>
        <v/>
      </c>
      <c r="R901" s="26" t="str">
        <f t="shared" si="12"/>
        <v/>
      </c>
      <c r="S901" s="26" t="str">
        <f t="shared" si="13"/>
        <v/>
      </c>
      <c r="T901" s="26" t="str">
        <f t="shared" si="14"/>
        <v/>
      </c>
      <c r="U901" s="26" t="str">
        <f t="shared" si="15"/>
        <v/>
      </c>
      <c r="V901" s="26" t="str">
        <f t="shared" si="16"/>
        <v/>
      </c>
      <c r="W901" s="26" t="str">
        <f t="shared" si="17"/>
        <v/>
      </c>
      <c r="X901" s="26" t="str">
        <f t="shared" si="18"/>
        <v/>
      </c>
      <c r="Y901" s="26" t="str">
        <f t="shared" si="19"/>
        <v/>
      </c>
      <c r="Z901" s="31" t="str">
        <f t="shared" si="20"/>
        <v/>
      </c>
      <c r="AA901" s="31" t="str">
        <f>IF(D901="","",IF(H901&lt;=$B$16,1,IF(H901&gt;=$B$17,$B$21,MATCH(H901,Aux_CAV!$A$2:$A$121,1))))</f>
        <v/>
      </c>
      <c r="AB901" s="31" t="str">
        <f>IF(D901="","",IF(L901&lt;=$B$16,1,IF(L901&gt;=$B$17,$B$21,MATCH(L901,Aux_CAV!$A$2:$A$121,1))))</f>
        <v/>
      </c>
      <c r="AC901" s="3" t="str">
        <f t="shared" si="21"/>
        <v/>
      </c>
    </row>
    <row r="902" ht="12.75" customHeight="1">
      <c r="A902" s="25" t="str">
        <f t="shared" si="1"/>
        <v/>
      </c>
      <c r="B902" s="29" t="str">
        <f t="array" ref="B902">IF(D902="","",IFERROR(VALUE(INDEX(Vazoes_COLAR!$A$2:$A$200,INT((ROW()-24)/12)+1)),""))</f>
        <v/>
      </c>
      <c r="C902" s="29" t="str">
        <f t="shared" si="2"/>
        <v/>
      </c>
      <c r="D902" s="26" t="str">
        <f t="array" ref="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02" s="26" t="str">
        <f t="shared" si="3"/>
        <v/>
      </c>
      <c r="F902" s="26" t="str">
        <f t="array" ref="F902">IF(D902="","",IFERROR(INDEX(Dados_Evap!$C$2:$N$15,MATCH($B$9,Dados_Evap!$A$2:$A$15,0),C902),0))</f>
        <v/>
      </c>
      <c r="G902" s="26" t="str">
        <f t="shared" si="4"/>
        <v/>
      </c>
      <c r="H902" s="26" t="str">
        <f t="shared" si="22"/>
        <v/>
      </c>
      <c r="I902" s="26" t="str">
        <f t="array" ref="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/>
      </c>
      <c r="J902" s="26" t="str">
        <f t="shared" si="5"/>
        <v/>
      </c>
      <c r="K902" s="26" t="str">
        <f t="shared" si="6"/>
        <v/>
      </c>
      <c r="L902" s="26" t="str">
        <f t="shared" si="7"/>
        <v/>
      </c>
      <c r="M902" s="26" t="str">
        <f t="array" ref="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/>
      </c>
      <c r="N902" s="26" t="str">
        <f t="shared" si="8"/>
        <v/>
      </c>
      <c r="O902" s="26" t="str">
        <f t="shared" si="9"/>
        <v/>
      </c>
      <c r="P902" s="26" t="str">
        <f t="shared" si="10"/>
        <v/>
      </c>
      <c r="Q902" s="26" t="str">
        <f t="shared" si="11"/>
        <v/>
      </c>
      <c r="R902" s="26" t="str">
        <f t="shared" si="12"/>
        <v/>
      </c>
      <c r="S902" s="26" t="str">
        <f t="shared" si="13"/>
        <v/>
      </c>
      <c r="T902" s="26" t="str">
        <f t="shared" si="14"/>
        <v/>
      </c>
      <c r="U902" s="26" t="str">
        <f t="shared" si="15"/>
        <v/>
      </c>
      <c r="V902" s="26" t="str">
        <f t="shared" si="16"/>
        <v/>
      </c>
      <c r="W902" s="26" t="str">
        <f t="shared" si="17"/>
        <v/>
      </c>
      <c r="X902" s="26" t="str">
        <f t="shared" si="18"/>
        <v/>
      </c>
      <c r="Y902" s="26" t="str">
        <f t="shared" si="19"/>
        <v/>
      </c>
      <c r="Z902" s="31" t="str">
        <f t="shared" si="20"/>
        <v/>
      </c>
      <c r="AA902" s="31" t="str">
        <f>IF(D902="","",IF(H902&lt;=$B$16,1,IF(H902&gt;=$B$17,$B$21,MATCH(H902,Aux_CAV!$A$2:$A$121,1))))</f>
        <v/>
      </c>
      <c r="AB902" s="31" t="str">
        <f>IF(D902="","",IF(L902&lt;=$B$16,1,IF(L902&gt;=$B$17,$B$21,MATCH(L902,Aux_CAV!$A$2:$A$121,1))))</f>
        <v/>
      </c>
      <c r="AC902" s="3" t="str">
        <f t="shared" si="21"/>
        <v/>
      </c>
    </row>
    <row r="903" ht="12.75" customHeight="1">
      <c r="A903" s="25" t="str">
        <f t="shared" si="1"/>
        <v/>
      </c>
      <c r="B903" s="29" t="str">
        <f t="array" ref="B903">IF(D903="","",IFERROR(VALUE(INDEX(Vazoes_COLAR!$A$2:$A$200,INT((ROW()-24)/12)+1)),""))</f>
        <v/>
      </c>
      <c r="C903" s="29" t="str">
        <f t="shared" si="2"/>
        <v/>
      </c>
      <c r="D903" s="26" t="str">
        <f t="array" ref="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03" s="26" t="str">
        <f t="shared" si="3"/>
        <v/>
      </c>
      <c r="F903" s="26" t="str">
        <f t="array" ref="F903">IF(D903="","",IFERROR(INDEX(Dados_Evap!$C$2:$N$15,MATCH($B$9,Dados_Evap!$A$2:$A$15,0),C903),0))</f>
        <v/>
      </c>
      <c r="G903" s="26" t="str">
        <f t="shared" si="4"/>
        <v/>
      </c>
      <c r="H903" s="26" t="str">
        <f t="shared" si="22"/>
        <v/>
      </c>
      <c r="I903" s="26" t="str">
        <f t="array" ref="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/>
      </c>
      <c r="J903" s="26" t="str">
        <f t="shared" si="5"/>
        <v/>
      </c>
      <c r="K903" s="26" t="str">
        <f t="shared" si="6"/>
        <v/>
      </c>
      <c r="L903" s="26" t="str">
        <f t="shared" si="7"/>
        <v/>
      </c>
      <c r="M903" s="26" t="str">
        <f t="array" ref="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/>
      </c>
      <c r="N903" s="26" t="str">
        <f t="shared" si="8"/>
        <v/>
      </c>
      <c r="O903" s="26" t="str">
        <f t="shared" si="9"/>
        <v/>
      </c>
      <c r="P903" s="26" t="str">
        <f t="shared" si="10"/>
        <v/>
      </c>
      <c r="Q903" s="26" t="str">
        <f t="shared" si="11"/>
        <v/>
      </c>
      <c r="R903" s="26" t="str">
        <f t="shared" si="12"/>
        <v/>
      </c>
      <c r="S903" s="26" t="str">
        <f t="shared" si="13"/>
        <v/>
      </c>
      <c r="T903" s="26" t="str">
        <f t="shared" si="14"/>
        <v/>
      </c>
      <c r="U903" s="26" t="str">
        <f t="shared" si="15"/>
        <v/>
      </c>
      <c r="V903" s="26" t="str">
        <f t="shared" si="16"/>
        <v/>
      </c>
      <c r="W903" s="26" t="str">
        <f t="shared" si="17"/>
        <v/>
      </c>
      <c r="X903" s="26" t="str">
        <f t="shared" si="18"/>
        <v/>
      </c>
      <c r="Y903" s="26" t="str">
        <f t="shared" si="19"/>
        <v/>
      </c>
      <c r="Z903" s="31" t="str">
        <f t="shared" si="20"/>
        <v/>
      </c>
      <c r="AA903" s="31" t="str">
        <f>IF(D903="","",IF(H903&lt;=$B$16,1,IF(H903&gt;=$B$17,$B$21,MATCH(H903,Aux_CAV!$A$2:$A$121,1))))</f>
        <v/>
      </c>
      <c r="AB903" s="31" t="str">
        <f>IF(D903="","",IF(L903&lt;=$B$16,1,IF(L903&gt;=$B$17,$B$21,MATCH(L903,Aux_CAV!$A$2:$A$121,1))))</f>
        <v/>
      </c>
      <c r="AC903" s="3" t="str">
        <f t="shared" si="21"/>
        <v/>
      </c>
    </row>
    <row r="904" ht="12.75" customHeight="1">
      <c r="A904" s="25" t="str">
        <f t="shared" si="1"/>
        <v/>
      </c>
      <c r="B904" s="29" t="str">
        <f t="array" ref="B904">IF(D904="","",IFERROR(VALUE(INDEX(Vazoes_COLAR!$A$2:$A$200,INT((ROW()-24)/12)+1)),""))</f>
        <v/>
      </c>
      <c r="C904" s="29" t="str">
        <f t="shared" si="2"/>
        <v/>
      </c>
      <c r="D904" s="26" t="str">
        <f t="array" ref="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04" s="26" t="str">
        <f t="shared" si="3"/>
        <v/>
      </c>
      <c r="F904" s="26" t="str">
        <f t="array" ref="F904">IF(D904="","",IFERROR(INDEX(Dados_Evap!$C$2:$N$15,MATCH($B$9,Dados_Evap!$A$2:$A$15,0),C904),0))</f>
        <v/>
      </c>
      <c r="G904" s="26" t="str">
        <f t="shared" si="4"/>
        <v/>
      </c>
      <c r="H904" s="26" t="str">
        <f t="shared" si="22"/>
        <v/>
      </c>
      <c r="I904" s="26" t="str">
        <f t="array" ref="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/>
      </c>
      <c r="J904" s="26" t="str">
        <f t="shared" si="5"/>
        <v/>
      </c>
      <c r="K904" s="26" t="str">
        <f t="shared" si="6"/>
        <v/>
      </c>
      <c r="L904" s="26" t="str">
        <f t="shared" si="7"/>
        <v/>
      </c>
      <c r="M904" s="26" t="str">
        <f t="array" ref="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/>
      </c>
      <c r="N904" s="26" t="str">
        <f t="shared" si="8"/>
        <v/>
      </c>
      <c r="O904" s="26" t="str">
        <f t="shared" si="9"/>
        <v/>
      </c>
      <c r="P904" s="26" t="str">
        <f t="shared" si="10"/>
        <v/>
      </c>
      <c r="Q904" s="26" t="str">
        <f t="shared" si="11"/>
        <v/>
      </c>
      <c r="R904" s="26" t="str">
        <f t="shared" si="12"/>
        <v/>
      </c>
      <c r="S904" s="26" t="str">
        <f t="shared" si="13"/>
        <v/>
      </c>
      <c r="T904" s="26" t="str">
        <f t="shared" si="14"/>
        <v/>
      </c>
      <c r="U904" s="26" t="str">
        <f t="shared" si="15"/>
        <v/>
      </c>
      <c r="V904" s="26" t="str">
        <f t="shared" si="16"/>
        <v/>
      </c>
      <c r="W904" s="26" t="str">
        <f t="shared" si="17"/>
        <v/>
      </c>
      <c r="X904" s="26" t="str">
        <f t="shared" si="18"/>
        <v/>
      </c>
      <c r="Y904" s="26" t="str">
        <f t="shared" si="19"/>
        <v/>
      </c>
      <c r="Z904" s="31" t="str">
        <f t="shared" si="20"/>
        <v/>
      </c>
      <c r="AA904" s="31" t="str">
        <f>IF(D904="","",IF(H904&lt;=$B$16,1,IF(H904&gt;=$B$17,$B$21,MATCH(H904,Aux_CAV!$A$2:$A$121,1))))</f>
        <v/>
      </c>
      <c r="AB904" s="31" t="str">
        <f>IF(D904="","",IF(L904&lt;=$B$16,1,IF(L904&gt;=$B$17,$B$21,MATCH(L904,Aux_CAV!$A$2:$A$121,1))))</f>
        <v/>
      </c>
      <c r="AC904" s="3" t="str">
        <f t="shared" si="21"/>
        <v/>
      </c>
    </row>
    <row r="905" ht="12.75" customHeight="1">
      <c r="A905" s="25" t="str">
        <f t="shared" si="1"/>
        <v/>
      </c>
      <c r="B905" s="29" t="str">
        <f t="array" ref="B905">IF(D905="","",IFERROR(VALUE(INDEX(Vazoes_COLAR!$A$2:$A$200,INT((ROW()-24)/12)+1)),""))</f>
        <v/>
      </c>
      <c r="C905" s="29" t="str">
        <f t="shared" si="2"/>
        <v/>
      </c>
      <c r="D905" s="26" t="str">
        <f t="array" ref="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05" s="26" t="str">
        <f t="shared" si="3"/>
        <v/>
      </c>
      <c r="F905" s="26" t="str">
        <f t="array" ref="F905">IF(D905="","",IFERROR(INDEX(Dados_Evap!$C$2:$N$15,MATCH($B$9,Dados_Evap!$A$2:$A$15,0),C905),0))</f>
        <v/>
      </c>
      <c r="G905" s="26" t="str">
        <f t="shared" si="4"/>
        <v/>
      </c>
      <c r="H905" s="26" t="str">
        <f t="shared" si="22"/>
        <v/>
      </c>
      <c r="I905" s="26" t="str">
        <f t="array" ref="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/>
      </c>
      <c r="J905" s="26" t="str">
        <f t="shared" si="5"/>
        <v/>
      </c>
      <c r="K905" s="26" t="str">
        <f t="shared" si="6"/>
        <v/>
      </c>
      <c r="L905" s="26" t="str">
        <f t="shared" si="7"/>
        <v/>
      </c>
      <c r="M905" s="26" t="str">
        <f t="array" ref="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/>
      </c>
      <c r="N905" s="26" t="str">
        <f t="shared" si="8"/>
        <v/>
      </c>
      <c r="O905" s="26" t="str">
        <f t="shared" si="9"/>
        <v/>
      </c>
      <c r="P905" s="26" t="str">
        <f t="shared" si="10"/>
        <v/>
      </c>
      <c r="Q905" s="26" t="str">
        <f t="shared" si="11"/>
        <v/>
      </c>
      <c r="R905" s="26" t="str">
        <f t="shared" si="12"/>
        <v/>
      </c>
      <c r="S905" s="26" t="str">
        <f t="shared" si="13"/>
        <v/>
      </c>
      <c r="T905" s="26" t="str">
        <f t="shared" si="14"/>
        <v/>
      </c>
      <c r="U905" s="26" t="str">
        <f t="shared" si="15"/>
        <v/>
      </c>
      <c r="V905" s="26" t="str">
        <f t="shared" si="16"/>
        <v/>
      </c>
      <c r="W905" s="26" t="str">
        <f t="shared" si="17"/>
        <v/>
      </c>
      <c r="X905" s="26" t="str">
        <f t="shared" si="18"/>
        <v/>
      </c>
      <c r="Y905" s="26" t="str">
        <f t="shared" si="19"/>
        <v/>
      </c>
      <c r="Z905" s="31" t="str">
        <f t="shared" si="20"/>
        <v/>
      </c>
      <c r="AA905" s="31" t="str">
        <f>IF(D905="","",IF(H905&lt;=$B$16,1,IF(H905&gt;=$B$17,$B$21,MATCH(H905,Aux_CAV!$A$2:$A$121,1))))</f>
        <v/>
      </c>
      <c r="AB905" s="31" t="str">
        <f>IF(D905="","",IF(L905&lt;=$B$16,1,IF(L905&gt;=$B$17,$B$21,MATCH(L905,Aux_CAV!$A$2:$A$121,1))))</f>
        <v/>
      </c>
      <c r="AC905" s="3" t="str">
        <f t="shared" si="21"/>
        <v/>
      </c>
    </row>
    <row r="906" ht="12.75" customHeight="1">
      <c r="A906" s="25" t="str">
        <f t="shared" si="1"/>
        <v/>
      </c>
      <c r="B906" s="29" t="str">
        <f t="array" ref="B906">IF(D906="","",IFERROR(VALUE(INDEX(Vazoes_COLAR!$A$2:$A$200,INT((ROW()-24)/12)+1)),""))</f>
        <v/>
      </c>
      <c r="C906" s="29" t="str">
        <f t="shared" si="2"/>
        <v/>
      </c>
      <c r="D906" s="26" t="str">
        <f t="array" ref="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06" s="26" t="str">
        <f t="shared" si="3"/>
        <v/>
      </c>
      <c r="F906" s="26" t="str">
        <f t="array" ref="F906">IF(D906="","",IFERROR(INDEX(Dados_Evap!$C$2:$N$15,MATCH($B$9,Dados_Evap!$A$2:$A$15,0),C906),0))</f>
        <v/>
      </c>
      <c r="G906" s="26" t="str">
        <f t="shared" si="4"/>
        <v/>
      </c>
      <c r="H906" s="26" t="str">
        <f t="shared" si="22"/>
        <v/>
      </c>
      <c r="I906" s="26" t="str">
        <f t="array" ref="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/>
      </c>
      <c r="J906" s="26" t="str">
        <f t="shared" si="5"/>
        <v/>
      </c>
      <c r="K906" s="26" t="str">
        <f t="shared" si="6"/>
        <v/>
      </c>
      <c r="L906" s="26" t="str">
        <f t="shared" si="7"/>
        <v/>
      </c>
      <c r="M906" s="26" t="str">
        <f t="array" ref="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/>
      </c>
      <c r="N906" s="26" t="str">
        <f t="shared" si="8"/>
        <v/>
      </c>
      <c r="O906" s="26" t="str">
        <f t="shared" si="9"/>
        <v/>
      </c>
      <c r="P906" s="26" t="str">
        <f t="shared" si="10"/>
        <v/>
      </c>
      <c r="Q906" s="26" t="str">
        <f t="shared" si="11"/>
        <v/>
      </c>
      <c r="R906" s="26" t="str">
        <f t="shared" si="12"/>
        <v/>
      </c>
      <c r="S906" s="26" t="str">
        <f t="shared" si="13"/>
        <v/>
      </c>
      <c r="T906" s="26" t="str">
        <f t="shared" si="14"/>
        <v/>
      </c>
      <c r="U906" s="26" t="str">
        <f t="shared" si="15"/>
        <v/>
      </c>
      <c r="V906" s="26" t="str">
        <f t="shared" si="16"/>
        <v/>
      </c>
      <c r="W906" s="26" t="str">
        <f t="shared" si="17"/>
        <v/>
      </c>
      <c r="X906" s="26" t="str">
        <f t="shared" si="18"/>
        <v/>
      </c>
      <c r="Y906" s="26" t="str">
        <f t="shared" si="19"/>
        <v/>
      </c>
      <c r="Z906" s="31" t="str">
        <f t="shared" si="20"/>
        <v/>
      </c>
      <c r="AA906" s="31" t="str">
        <f>IF(D906="","",IF(H906&lt;=$B$16,1,IF(H906&gt;=$B$17,$B$21,MATCH(H906,Aux_CAV!$A$2:$A$121,1))))</f>
        <v/>
      </c>
      <c r="AB906" s="31" t="str">
        <f>IF(D906="","",IF(L906&lt;=$B$16,1,IF(L906&gt;=$B$17,$B$21,MATCH(L906,Aux_CAV!$A$2:$A$121,1))))</f>
        <v/>
      </c>
      <c r="AC906" s="3" t="str">
        <f t="shared" si="21"/>
        <v/>
      </c>
    </row>
    <row r="907" ht="12.75" customHeight="1">
      <c r="A907" s="25" t="str">
        <f t="shared" si="1"/>
        <v/>
      </c>
      <c r="B907" s="29" t="str">
        <f t="array" ref="B907">IF(D907="","",IFERROR(VALUE(INDEX(Vazoes_COLAR!$A$2:$A$200,INT((ROW()-24)/12)+1)),""))</f>
        <v/>
      </c>
      <c r="C907" s="29" t="str">
        <f t="shared" si="2"/>
        <v/>
      </c>
      <c r="D907" s="26" t="str">
        <f t="array" ref="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07" s="26" t="str">
        <f t="shared" si="3"/>
        <v/>
      </c>
      <c r="F907" s="26" t="str">
        <f t="array" ref="F907">IF(D907="","",IFERROR(INDEX(Dados_Evap!$C$2:$N$15,MATCH($B$9,Dados_Evap!$A$2:$A$15,0),C907),0))</f>
        <v/>
      </c>
      <c r="G907" s="26" t="str">
        <f t="shared" si="4"/>
        <v/>
      </c>
      <c r="H907" s="26" t="str">
        <f t="shared" si="22"/>
        <v/>
      </c>
      <c r="I907" s="26" t="str">
        <f t="array" ref="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/>
      </c>
      <c r="J907" s="26" t="str">
        <f t="shared" si="5"/>
        <v/>
      </c>
      <c r="K907" s="26" t="str">
        <f t="shared" si="6"/>
        <v/>
      </c>
      <c r="L907" s="26" t="str">
        <f t="shared" si="7"/>
        <v/>
      </c>
      <c r="M907" s="26" t="str">
        <f t="array" ref="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/>
      </c>
      <c r="N907" s="26" t="str">
        <f t="shared" si="8"/>
        <v/>
      </c>
      <c r="O907" s="26" t="str">
        <f t="shared" si="9"/>
        <v/>
      </c>
      <c r="P907" s="26" t="str">
        <f t="shared" si="10"/>
        <v/>
      </c>
      <c r="Q907" s="26" t="str">
        <f t="shared" si="11"/>
        <v/>
      </c>
      <c r="R907" s="26" t="str">
        <f t="shared" si="12"/>
        <v/>
      </c>
      <c r="S907" s="26" t="str">
        <f t="shared" si="13"/>
        <v/>
      </c>
      <c r="T907" s="26" t="str">
        <f t="shared" si="14"/>
        <v/>
      </c>
      <c r="U907" s="26" t="str">
        <f t="shared" si="15"/>
        <v/>
      </c>
      <c r="V907" s="26" t="str">
        <f t="shared" si="16"/>
        <v/>
      </c>
      <c r="W907" s="26" t="str">
        <f t="shared" si="17"/>
        <v/>
      </c>
      <c r="X907" s="26" t="str">
        <f t="shared" si="18"/>
        <v/>
      </c>
      <c r="Y907" s="26" t="str">
        <f t="shared" si="19"/>
        <v/>
      </c>
      <c r="Z907" s="31" t="str">
        <f t="shared" si="20"/>
        <v/>
      </c>
      <c r="AA907" s="31" t="str">
        <f>IF(D907="","",IF(H907&lt;=$B$16,1,IF(H907&gt;=$B$17,$B$21,MATCH(H907,Aux_CAV!$A$2:$A$121,1))))</f>
        <v/>
      </c>
      <c r="AB907" s="31" t="str">
        <f>IF(D907="","",IF(L907&lt;=$B$16,1,IF(L907&gt;=$B$17,$B$21,MATCH(L907,Aux_CAV!$A$2:$A$121,1))))</f>
        <v/>
      </c>
      <c r="AC907" s="3" t="str">
        <f t="shared" si="21"/>
        <v/>
      </c>
    </row>
    <row r="908" ht="12.75" customHeight="1">
      <c r="A908" s="25" t="str">
        <f t="shared" si="1"/>
        <v/>
      </c>
      <c r="B908" s="29" t="str">
        <f t="array" ref="B908">IF(D908="","",IFERROR(VALUE(INDEX(Vazoes_COLAR!$A$2:$A$200,INT((ROW()-24)/12)+1)),""))</f>
        <v/>
      </c>
      <c r="C908" s="29" t="str">
        <f t="shared" si="2"/>
        <v/>
      </c>
      <c r="D908" s="26" t="str">
        <f t="array" ref="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08" s="26" t="str">
        <f t="shared" si="3"/>
        <v/>
      </c>
      <c r="F908" s="26" t="str">
        <f t="array" ref="F908">IF(D908="","",IFERROR(INDEX(Dados_Evap!$C$2:$N$15,MATCH($B$9,Dados_Evap!$A$2:$A$15,0),C908),0))</f>
        <v/>
      </c>
      <c r="G908" s="26" t="str">
        <f t="shared" si="4"/>
        <v/>
      </c>
      <c r="H908" s="26" t="str">
        <f t="shared" si="22"/>
        <v/>
      </c>
      <c r="I908" s="26" t="str">
        <f t="array" ref="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/>
      </c>
      <c r="J908" s="26" t="str">
        <f t="shared" si="5"/>
        <v/>
      </c>
      <c r="K908" s="26" t="str">
        <f t="shared" si="6"/>
        <v/>
      </c>
      <c r="L908" s="26" t="str">
        <f t="shared" si="7"/>
        <v/>
      </c>
      <c r="M908" s="26" t="str">
        <f t="array" ref="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/>
      </c>
      <c r="N908" s="26" t="str">
        <f t="shared" si="8"/>
        <v/>
      </c>
      <c r="O908" s="26" t="str">
        <f t="shared" si="9"/>
        <v/>
      </c>
      <c r="P908" s="26" t="str">
        <f t="shared" si="10"/>
        <v/>
      </c>
      <c r="Q908" s="26" t="str">
        <f t="shared" si="11"/>
        <v/>
      </c>
      <c r="R908" s="26" t="str">
        <f t="shared" si="12"/>
        <v/>
      </c>
      <c r="S908" s="26" t="str">
        <f t="shared" si="13"/>
        <v/>
      </c>
      <c r="T908" s="26" t="str">
        <f t="shared" si="14"/>
        <v/>
      </c>
      <c r="U908" s="26" t="str">
        <f t="shared" si="15"/>
        <v/>
      </c>
      <c r="V908" s="26" t="str">
        <f t="shared" si="16"/>
        <v/>
      </c>
      <c r="W908" s="26" t="str">
        <f t="shared" si="17"/>
        <v/>
      </c>
      <c r="X908" s="26" t="str">
        <f t="shared" si="18"/>
        <v/>
      </c>
      <c r="Y908" s="26" t="str">
        <f t="shared" si="19"/>
        <v/>
      </c>
      <c r="Z908" s="31" t="str">
        <f t="shared" si="20"/>
        <v/>
      </c>
      <c r="AA908" s="31" t="str">
        <f>IF(D908="","",IF(H908&lt;=$B$16,1,IF(H908&gt;=$B$17,$B$21,MATCH(H908,Aux_CAV!$A$2:$A$121,1))))</f>
        <v/>
      </c>
      <c r="AB908" s="31" t="str">
        <f>IF(D908="","",IF(L908&lt;=$B$16,1,IF(L908&gt;=$B$17,$B$21,MATCH(L908,Aux_CAV!$A$2:$A$121,1))))</f>
        <v/>
      </c>
      <c r="AC908" s="3" t="str">
        <f t="shared" si="21"/>
        <v/>
      </c>
    </row>
    <row r="909" ht="12.75" customHeight="1">
      <c r="A909" s="25" t="str">
        <f t="shared" si="1"/>
        <v/>
      </c>
      <c r="B909" s="29" t="str">
        <f t="array" ref="B909">IF(D909="","",IFERROR(VALUE(INDEX(Vazoes_COLAR!$A$2:$A$200,INT((ROW()-24)/12)+1)),""))</f>
        <v/>
      </c>
      <c r="C909" s="29" t="str">
        <f t="shared" si="2"/>
        <v/>
      </c>
      <c r="D909" s="26" t="str">
        <f t="array" ref="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09" s="26" t="str">
        <f t="shared" si="3"/>
        <v/>
      </c>
      <c r="F909" s="26" t="str">
        <f t="array" ref="F909">IF(D909="","",IFERROR(INDEX(Dados_Evap!$C$2:$N$15,MATCH($B$9,Dados_Evap!$A$2:$A$15,0),C909),0))</f>
        <v/>
      </c>
      <c r="G909" s="26" t="str">
        <f t="shared" si="4"/>
        <v/>
      </c>
      <c r="H909" s="26" t="str">
        <f t="shared" si="22"/>
        <v/>
      </c>
      <c r="I909" s="26" t="str">
        <f t="array" ref="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/>
      </c>
      <c r="J909" s="26" t="str">
        <f t="shared" si="5"/>
        <v/>
      </c>
      <c r="K909" s="26" t="str">
        <f t="shared" si="6"/>
        <v/>
      </c>
      <c r="L909" s="26" t="str">
        <f t="shared" si="7"/>
        <v/>
      </c>
      <c r="M909" s="26" t="str">
        <f t="array" ref="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/>
      </c>
      <c r="N909" s="26" t="str">
        <f t="shared" si="8"/>
        <v/>
      </c>
      <c r="O909" s="26" t="str">
        <f t="shared" si="9"/>
        <v/>
      </c>
      <c r="P909" s="26" t="str">
        <f t="shared" si="10"/>
        <v/>
      </c>
      <c r="Q909" s="26" t="str">
        <f t="shared" si="11"/>
        <v/>
      </c>
      <c r="R909" s="26" t="str">
        <f t="shared" si="12"/>
        <v/>
      </c>
      <c r="S909" s="26" t="str">
        <f t="shared" si="13"/>
        <v/>
      </c>
      <c r="T909" s="26" t="str">
        <f t="shared" si="14"/>
        <v/>
      </c>
      <c r="U909" s="26" t="str">
        <f t="shared" si="15"/>
        <v/>
      </c>
      <c r="V909" s="26" t="str">
        <f t="shared" si="16"/>
        <v/>
      </c>
      <c r="W909" s="26" t="str">
        <f t="shared" si="17"/>
        <v/>
      </c>
      <c r="X909" s="26" t="str">
        <f t="shared" si="18"/>
        <v/>
      </c>
      <c r="Y909" s="26" t="str">
        <f t="shared" si="19"/>
        <v/>
      </c>
      <c r="Z909" s="31" t="str">
        <f t="shared" si="20"/>
        <v/>
      </c>
      <c r="AA909" s="31" t="str">
        <f>IF(D909="","",IF(H909&lt;=$B$16,1,IF(H909&gt;=$B$17,$B$21,MATCH(H909,Aux_CAV!$A$2:$A$121,1))))</f>
        <v/>
      </c>
      <c r="AB909" s="31" t="str">
        <f>IF(D909="","",IF(L909&lt;=$B$16,1,IF(L909&gt;=$B$17,$B$21,MATCH(L909,Aux_CAV!$A$2:$A$121,1))))</f>
        <v/>
      </c>
      <c r="AC909" s="3" t="str">
        <f t="shared" si="21"/>
        <v/>
      </c>
    </row>
    <row r="910" ht="12.75" customHeight="1">
      <c r="A910" s="25" t="str">
        <f t="shared" si="1"/>
        <v/>
      </c>
      <c r="B910" s="29" t="str">
        <f t="array" ref="B910">IF(D910="","",IFERROR(VALUE(INDEX(Vazoes_COLAR!$A$2:$A$200,INT((ROW()-24)/12)+1)),""))</f>
        <v/>
      </c>
      <c r="C910" s="29" t="str">
        <f t="shared" si="2"/>
        <v/>
      </c>
      <c r="D910" s="26" t="str">
        <f t="array" ref="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10" s="26" t="str">
        <f t="shared" si="3"/>
        <v/>
      </c>
      <c r="F910" s="26" t="str">
        <f t="array" ref="F910">IF(D910="","",IFERROR(INDEX(Dados_Evap!$C$2:$N$15,MATCH($B$9,Dados_Evap!$A$2:$A$15,0),C910),0))</f>
        <v/>
      </c>
      <c r="G910" s="26" t="str">
        <f t="shared" si="4"/>
        <v/>
      </c>
      <c r="H910" s="26" t="str">
        <f t="shared" si="22"/>
        <v/>
      </c>
      <c r="I910" s="26" t="str">
        <f t="array" ref="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/>
      </c>
      <c r="J910" s="26" t="str">
        <f t="shared" si="5"/>
        <v/>
      </c>
      <c r="K910" s="26" t="str">
        <f t="shared" si="6"/>
        <v/>
      </c>
      <c r="L910" s="26" t="str">
        <f t="shared" si="7"/>
        <v/>
      </c>
      <c r="M910" s="26" t="str">
        <f t="array" ref="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/>
      </c>
      <c r="N910" s="26" t="str">
        <f t="shared" si="8"/>
        <v/>
      </c>
      <c r="O910" s="26" t="str">
        <f t="shared" si="9"/>
        <v/>
      </c>
      <c r="P910" s="26" t="str">
        <f t="shared" si="10"/>
        <v/>
      </c>
      <c r="Q910" s="26" t="str">
        <f t="shared" si="11"/>
        <v/>
      </c>
      <c r="R910" s="26" t="str">
        <f t="shared" si="12"/>
        <v/>
      </c>
      <c r="S910" s="26" t="str">
        <f t="shared" si="13"/>
        <v/>
      </c>
      <c r="T910" s="26" t="str">
        <f t="shared" si="14"/>
        <v/>
      </c>
      <c r="U910" s="26" t="str">
        <f t="shared" si="15"/>
        <v/>
      </c>
      <c r="V910" s="26" t="str">
        <f t="shared" si="16"/>
        <v/>
      </c>
      <c r="W910" s="26" t="str">
        <f t="shared" si="17"/>
        <v/>
      </c>
      <c r="X910" s="26" t="str">
        <f t="shared" si="18"/>
        <v/>
      </c>
      <c r="Y910" s="26" t="str">
        <f t="shared" si="19"/>
        <v/>
      </c>
      <c r="Z910" s="31" t="str">
        <f t="shared" si="20"/>
        <v/>
      </c>
      <c r="AA910" s="31" t="str">
        <f>IF(D910="","",IF(H910&lt;=$B$16,1,IF(H910&gt;=$B$17,$B$21,MATCH(H910,Aux_CAV!$A$2:$A$121,1))))</f>
        <v/>
      </c>
      <c r="AB910" s="31" t="str">
        <f>IF(D910="","",IF(L910&lt;=$B$16,1,IF(L910&gt;=$B$17,$B$21,MATCH(L910,Aux_CAV!$A$2:$A$121,1))))</f>
        <v/>
      </c>
      <c r="AC910" s="3" t="str">
        <f t="shared" si="21"/>
        <v/>
      </c>
    </row>
    <row r="911" ht="12.75" customHeight="1">
      <c r="A911" s="25" t="str">
        <f t="shared" si="1"/>
        <v/>
      </c>
      <c r="B911" s="29" t="str">
        <f t="array" ref="B911">IF(D911="","",IFERROR(VALUE(INDEX(Vazoes_COLAR!$A$2:$A$200,INT((ROW()-24)/12)+1)),""))</f>
        <v/>
      </c>
      <c r="C911" s="29" t="str">
        <f t="shared" si="2"/>
        <v/>
      </c>
      <c r="D911" s="26" t="str">
        <f t="array" ref="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11" s="26" t="str">
        <f t="shared" si="3"/>
        <v/>
      </c>
      <c r="F911" s="26" t="str">
        <f t="array" ref="F911">IF(D911="","",IFERROR(INDEX(Dados_Evap!$C$2:$N$15,MATCH($B$9,Dados_Evap!$A$2:$A$15,0),C911),0))</f>
        <v/>
      </c>
      <c r="G911" s="26" t="str">
        <f t="shared" si="4"/>
        <v/>
      </c>
      <c r="H911" s="26" t="str">
        <f t="shared" si="22"/>
        <v/>
      </c>
      <c r="I911" s="26" t="str">
        <f t="array" ref="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/>
      </c>
      <c r="J911" s="26" t="str">
        <f t="shared" si="5"/>
        <v/>
      </c>
      <c r="K911" s="26" t="str">
        <f t="shared" si="6"/>
        <v/>
      </c>
      <c r="L911" s="26" t="str">
        <f t="shared" si="7"/>
        <v/>
      </c>
      <c r="M911" s="26" t="str">
        <f t="array" ref="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/>
      </c>
      <c r="N911" s="26" t="str">
        <f t="shared" si="8"/>
        <v/>
      </c>
      <c r="O911" s="26" t="str">
        <f t="shared" si="9"/>
        <v/>
      </c>
      <c r="P911" s="26" t="str">
        <f t="shared" si="10"/>
        <v/>
      </c>
      <c r="Q911" s="26" t="str">
        <f t="shared" si="11"/>
        <v/>
      </c>
      <c r="R911" s="26" t="str">
        <f t="shared" si="12"/>
        <v/>
      </c>
      <c r="S911" s="26" t="str">
        <f t="shared" si="13"/>
        <v/>
      </c>
      <c r="T911" s="26" t="str">
        <f t="shared" si="14"/>
        <v/>
      </c>
      <c r="U911" s="26" t="str">
        <f t="shared" si="15"/>
        <v/>
      </c>
      <c r="V911" s="26" t="str">
        <f t="shared" si="16"/>
        <v/>
      </c>
      <c r="W911" s="26" t="str">
        <f t="shared" si="17"/>
        <v/>
      </c>
      <c r="X911" s="26" t="str">
        <f t="shared" si="18"/>
        <v/>
      </c>
      <c r="Y911" s="26" t="str">
        <f t="shared" si="19"/>
        <v/>
      </c>
      <c r="Z911" s="31" t="str">
        <f t="shared" si="20"/>
        <v/>
      </c>
      <c r="AA911" s="31" t="str">
        <f>IF(D911="","",IF(H911&lt;=$B$16,1,IF(H911&gt;=$B$17,$B$21,MATCH(H911,Aux_CAV!$A$2:$A$121,1))))</f>
        <v/>
      </c>
      <c r="AB911" s="31" t="str">
        <f>IF(D911="","",IF(L911&lt;=$B$16,1,IF(L911&gt;=$B$17,$B$21,MATCH(L911,Aux_CAV!$A$2:$A$121,1))))</f>
        <v/>
      </c>
      <c r="AC911" s="3" t="str">
        <f t="shared" si="21"/>
        <v/>
      </c>
    </row>
    <row r="912" ht="12.75" customHeight="1">
      <c r="A912" s="25" t="str">
        <f t="shared" si="1"/>
        <v/>
      </c>
      <c r="B912" s="29" t="str">
        <f t="array" ref="B912">IF(D912="","",IFERROR(VALUE(INDEX(Vazoes_COLAR!$A$2:$A$200,INT((ROW()-24)/12)+1)),""))</f>
        <v/>
      </c>
      <c r="C912" s="29" t="str">
        <f t="shared" si="2"/>
        <v/>
      </c>
      <c r="D912" s="26" t="str">
        <f t="array" ref="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12" s="26" t="str">
        <f t="shared" si="3"/>
        <v/>
      </c>
      <c r="F912" s="26" t="str">
        <f t="array" ref="F912">IF(D912="","",IFERROR(INDEX(Dados_Evap!$C$2:$N$15,MATCH($B$9,Dados_Evap!$A$2:$A$15,0),C912),0))</f>
        <v/>
      </c>
      <c r="G912" s="26" t="str">
        <f t="shared" si="4"/>
        <v/>
      </c>
      <c r="H912" s="26" t="str">
        <f t="shared" si="22"/>
        <v/>
      </c>
      <c r="I912" s="26" t="str">
        <f t="array" ref="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/>
      </c>
      <c r="J912" s="26" t="str">
        <f t="shared" si="5"/>
        <v/>
      </c>
      <c r="K912" s="26" t="str">
        <f t="shared" si="6"/>
        <v/>
      </c>
      <c r="L912" s="26" t="str">
        <f t="shared" si="7"/>
        <v/>
      </c>
      <c r="M912" s="26" t="str">
        <f t="array" ref="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/>
      </c>
      <c r="N912" s="26" t="str">
        <f t="shared" si="8"/>
        <v/>
      </c>
      <c r="O912" s="26" t="str">
        <f t="shared" si="9"/>
        <v/>
      </c>
      <c r="P912" s="26" t="str">
        <f t="shared" si="10"/>
        <v/>
      </c>
      <c r="Q912" s="26" t="str">
        <f t="shared" si="11"/>
        <v/>
      </c>
      <c r="R912" s="26" t="str">
        <f t="shared" si="12"/>
        <v/>
      </c>
      <c r="S912" s="26" t="str">
        <f t="shared" si="13"/>
        <v/>
      </c>
      <c r="T912" s="26" t="str">
        <f t="shared" si="14"/>
        <v/>
      </c>
      <c r="U912" s="26" t="str">
        <f t="shared" si="15"/>
        <v/>
      </c>
      <c r="V912" s="26" t="str">
        <f t="shared" si="16"/>
        <v/>
      </c>
      <c r="W912" s="26" t="str">
        <f t="shared" si="17"/>
        <v/>
      </c>
      <c r="X912" s="26" t="str">
        <f t="shared" si="18"/>
        <v/>
      </c>
      <c r="Y912" s="26" t="str">
        <f t="shared" si="19"/>
        <v/>
      </c>
      <c r="Z912" s="31" t="str">
        <f t="shared" si="20"/>
        <v/>
      </c>
      <c r="AA912" s="31" t="str">
        <f>IF(D912="","",IF(H912&lt;=$B$16,1,IF(H912&gt;=$B$17,$B$21,MATCH(H912,Aux_CAV!$A$2:$A$121,1))))</f>
        <v/>
      </c>
      <c r="AB912" s="31" t="str">
        <f>IF(D912="","",IF(L912&lt;=$B$16,1,IF(L912&gt;=$B$17,$B$21,MATCH(L912,Aux_CAV!$A$2:$A$121,1))))</f>
        <v/>
      </c>
      <c r="AC912" s="3" t="str">
        <f t="shared" si="21"/>
        <v/>
      </c>
    </row>
    <row r="913" ht="12.75" customHeight="1">
      <c r="A913" s="25" t="str">
        <f t="shared" si="1"/>
        <v/>
      </c>
      <c r="B913" s="29" t="str">
        <f t="array" ref="B913">IF(D913="","",IFERROR(VALUE(INDEX(Vazoes_COLAR!$A$2:$A$200,INT((ROW()-24)/12)+1)),""))</f>
        <v/>
      </c>
      <c r="C913" s="29" t="str">
        <f t="shared" si="2"/>
        <v/>
      </c>
      <c r="D913" s="26" t="str">
        <f t="array" ref="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13" s="26" t="str">
        <f t="shared" si="3"/>
        <v/>
      </c>
      <c r="F913" s="26" t="str">
        <f t="array" ref="F913">IF(D913="","",IFERROR(INDEX(Dados_Evap!$C$2:$N$15,MATCH($B$9,Dados_Evap!$A$2:$A$15,0),C913),0))</f>
        <v/>
      </c>
      <c r="G913" s="26" t="str">
        <f t="shared" si="4"/>
        <v/>
      </c>
      <c r="H913" s="26" t="str">
        <f t="shared" si="22"/>
        <v/>
      </c>
      <c r="I913" s="26" t="str">
        <f t="array" ref="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/>
      </c>
      <c r="J913" s="26" t="str">
        <f t="shared" si="5"/>
        <v/>
      </c>
      <c r="K913" s="26" t="str">
        <f t="shared" si="6"/>
        <v/>
      </c>
      <c r="L913" s="26" t="str">
        <f t="shared" si="7"/>
        <v/>
      </c>
      <c r="M913" s="26" t="str">
        <f t="array" ref="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/>
      </c>
      <c r="N913" s="26" t="str">
        <f t="shared" si="8"/>
        <v/>
      </c>
      <c r="O913" s="26" t="str">
        <f t="shared" si="9"/>
        <v/>
      </c>
      <c r="P913" s="26" t="str">
        <f t="shared" si="10"/>
        <v/>
      </c>
      <c r="Q913" s="26" t="str">
        <f t="shared" si="11"/>
        <v/>
      </c>
      <c r="R913" s="26" t="str">
        <f t="shared" si="12"/>
        <v/>
      </c>
      <c r="S913" s="26" t="str">
        <f t="shared" si="13"/>
        <v/>
      </c>
      <c r="T913" s="26" t="str">
        <f t="shared" si="14"/>
        <v/>
      </c>
      <c r="U913" s="26" t="str">
        <f t="shared" si="15"/>
        <v/>
      </c>
      <c r="V913" s="26" t="str">
        <f t="shared" si="16"/>
        <v/>
      </c>
      <c r="W913" s="26" t="str">
        <f t="shared" si="17"/>
        <v/>
      </c>
      <c r="X913" s="26" t="str">
        <f t="shared" si="18"/>
        <v/>
      </c>
      <c r="Y913" s="26" t="str">
        <f t="shared" si="19"/>
        <v/>
      </c>
      <c r="Z913" s="31" t="str">
        <f t="shared" si="20"/>
        <v/>
      </c>
      <c r="AA913" s="31" t="str">
        <f>IF(D913="","",IF(H913&lt;=$B$16,1,IF(H913&gt;=$B$17,$B$21,MATCH(H913,Aux_CAV!$A$2:$A$121,1))))</f>
        <v/>
      </c>
      <c r="AB913" s="31" t="str">
        <f>IF(D913="","",IF(L913&lt;=$B$16,1,IF(L913&gt;=$B$17,$B$21,MATCH(L913,Aux_CAV!$A$2:$A$121,1))))</f>
        <v/>
      </c>
      <c r="AC913" s="3" t="str">
        <f t="shared" si="21"/>
        <v/>
      </c>
    </row>
    <row r="914" ht="12.75" customHeight="1">
      <c r="A914" s="25" t="str">
        <f t="shared" si="1"/>
        <v/>
      </c>
      <c r="B914" s="29" t="str">
        <f t="array" ref="B914">IF(D914="","",IFERROR(VALUE(INDEX(Vazoes_COLAR!$A$2:$A$200,INT((ROW()-24)/12)+1)),""))</f>
        <v/>
      </c>
      <c r="C914" s="29" t="str">
        <f t="shared" si="2"/>
        <v/>
      </c>
      <c r="D914" s="26" t="str">
        <f t="array" ref="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14" s="26" t="str">
        <f t="shared" si="3"/>
        <v/>
      </c>
      <c r="F914" s="26" t="str">
        <f t="array" ref="F914">IF(D914="","",IFERROR(INDEX(Dados_Evap!$C$2:$N$15,MATCH($B$9,Dados_Evap!$A$2:$A$15,0),C914),0))</f>
        <v/>
      </c>
      <c r="G914" s="26" t="str">
        <f t="shared" si="4"/>
        <v/>
      </c>
      <c r="H914" s="26" t="str">
        <f t="shared" si="22"/>
        <v/>
      </c>
      <c r="I914" s="26" t="str">
        <f t="array" ref="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/>
      </c>
      <c r="J914" s="26" t="str">
        <f t="shared" si="5"/>
        <v/>
      </c>
      <c r="K914" s="26" t="str">
        <f t="shared" si="6"/>
        <v/>
      </c>
      <c r="L914" s="26" t="str">
        <f t="shared" si="7"/>
        <v/>
      </c>
      <c r="M914" s="26" t="str">
        <f t="array" ref="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/>
      </c>
      <c r="N914" s="26" t="str">
        <f t="shared" si="8"/>
        <v/>
      </c>
      <c r="O914" s="26" t="str">
        <f t="shared" si="9"/>
        <v/>
      </c>
      <c r="P914" s="26" t="str">
        <f t="shared" si="10"/>
        <v/>
      </c>
      <c r="Q914" s="26" t="str">
        <f t="shared" si="11"/>
        <v/>
      </c>
      <c r="R914" s="26" t="str">
        <f t="shared" si="12"/>
        <v/>
      </c>
      <c r="S914" s="26" t="str">
        <f t="shared" si="13"/>
        <v/>
      </c>
      <c r="T914" s="26" t="str">
        <f t="shared" si="14"/>
        <v/>
      </c>
      <c r="U914" s="26" t="str">
        <f t="shared" si="15"/>
        <v/>
      </c>
      <c r="V914" s="26" t="str">
        <f t="shared" si="16"/>
        <v/>
      </c>
      <c r="W914" s="26" t="str">
        <f t="shared" si="17"/>
        <v/>
      </c>
      <c r="X914" s="26" t="str">
        <f t="shared" si="18"/>
        <v/>
      </c>
      <c r="Y914" s="26" t="str">
        <f t="shared" si="19"/>
        <v/>
      </c>
      <c r="Z914" s="31" t="str">
        <f t="shared" si="20"/>
        <v/>
      </c>
      <c r="AA914" s="31" t="str">
        <f>IF(D914="","",IF(H914&lt;=$B$16,1,IF(H914&gt;=$B$17,$B$21,MATCH(H914,Aux_CAV!$A$2:$A$121,1))))</f>
        <v/>
      </c>
      <c r="AB914" s="31" t="str">
        <f>IF(D914="","",IF(L914&lt;=$B$16,1,IF(L914&gt;=$B$17,$B$21,MATCH(L914,Aux_CAV!$A$2:$A$121,1))))</f>
        <v/>
      </c>
      <c r="AC914" s="3" t="str">
        <f t="shared" si="21"/>
        <v/>
      </c>
    </row>
    <row r="915" ht="12.75" customHeight="1">
      <c r="A915" s="25" t="str">
        <f t="shared" si="1"/>
        <v/>
      </c>
      <c r="B915" s="29" t="str">
        <f t="array" ref="B915">IF(D915="","",IFERROR(VALUE(INDEX(Vazoes_COLAR!$A$2:$A$200,INT((ROW()-24)/12)+1)),""))</f>
        <v/>
      </c>
      <c r="C915" s="29" t="str">
        <f t="shared" si="2"/>
        <v/>
      </c>
      <c r="D915" s="26" t="str">
        <f t="array" ref="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15" s="26" t="str">
        <f t="shared" si="3"/>
        <v/>
      </c>
      <c r="F915" s="26" t="str">
        <f t="array" ref="F915">IF(D915="","",IFERROR(INDEX(Dados_Evap!$C$2:$N$15,MATCH($B$9,Dados_Evap!$A$2:$A$15,0),C915),0))</f>
        <v/>
      </c>
      <c r="G915" s="26" t="str">
        <f t="shared" si="4"/>
        <v/>
      </c>
      <c r="H915" s="26" t="str">
        <f t="shared" si="22"/>
        <v/>
      </c>
      <c r="I915" s="26" t="str">
        <f t="array" ref="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/>
      </c>
      <c r="J915" s="26" t="str">
        <f t="shared" si="5"/>
        <v/>
      </c>
      <c r="K915" s="26" t="str">
        <f t="shared" si="6"/>
        <v/>
      </c>
      <c r="L915" s="26" t="str">
        <f t="shared" si="7"/>
        <v/>
      </c>
      <c r="M915" s="26" t="str">
        <f t="array" ref="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/>
      </c>
      <c r="N915" s="26" t="str">
        <f t="shared" si="8"/>
        <v/>
      </c>
      <c r="O915" s="26" t="str">
        <f t="shared" si="9"/>
        <v/>
      </c>
      <c r="P915" s="26" t="str">
        <f t="shared" si="10"/>
        <v/>
      </c>
      <c r="Q915" s="26" t="str">
        <f t="shared" si="11"/>
        <v/>
      </c>
      <c r="R915" s="26" t="str">
        <f t="shared" si="12"/>
        <v/>
      </c>
      <c r="S915" s="26" t="str">
        <f t="shared" si="13"/>
        <v/>
      </c>
      <c r="T915" s="26" t="str">
        <f t="shared" si="14"/>
        <v/>
      </c>
      <c r="U915" s="26" t="str">
        <f t="shared" si="15"/>
        <v/>
      </c>
      <c r="V915" s="26" t="str">
        <f t="shared" si="16"/>
        <v/>
      </c>
      <c r="W915" s="26" t="str">
        <f t="shared" si="17"/>
        <v/>
      </c>
      <c r="X915" s="26" t="str">
        <f t="shared" si="18"/>
        <v/>
      </c>
      <c r="Y915" s="26" t="str">
        <f t="shared" si="19"/>
        <v/>
      </c>
      <c r="Z915" s="31" t="str">
        <f t="shared" si="20"/>
        <v/>
      </c>
      <c r="AA915" s="31" t="str">
        <f>IF(D915="","",IF(H915&lt;=$B$16,1,IF(H915&gt;=$B$17,$B$21,MATCH(H915,Aux_CAV!$A$2:$A$121,1))))</f>
        <v/>
      </c>
      <c r="AB915" s="31" t="str">
        <f>IF(D915="","",IF(L915&lt;=$B$16,1,IF(L915&gt;=$B$17,$B$21,MATCH(L915,Aux_CAV!$A$2:$A$121,1))))</f>
        <v/>
      </c>
      <c r="AC915" s="3" t="str">
        <f t="shared" si="21"/>
        <v/>
      </c>
    </row>
    <row r="916" ht="12.75" customHeight="1">
      <c r="A916" s="25" t="str">
        <f t="shared" si="1"/>
        <v/>
      </c>
      <c r="B916" s="29" t="str">
        <f t="array" ref="B916">IF(D916="","",IFERROR(VALUE(INDEX(Vazoes_COLAR!$A$2:$A$200,INT((ROW()-24)/12)+1)),""))</f>
        <v/>
      </c>
      <c r="C916" s="29" t="str">
        <f t="shared" si="2"/>
        <v/>
      </c>
      <c r="D916" s="26" t="str">
        <f t="array" ref="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16" s="26" t="str">
        <f t="shared" si="3"/>
        <v/>
      </c>
      <c r="F916" s="26" t="str">
        <f t="array" ref="F916">IF(D916="","",IFERROR(INDEX(Dados_Evap!$C$2:$N$15,MATCH($B$9,Dados_Evap!$A$2:$A$15,0),C916),0))</f>
        <v/>
      </c>
      <c r="G916" s="26" t="str">
        <f t="shared" si="4"/>
        <v/>
      </c>
      <c r="H916" s="26" t="str">
        <f t="shared" si="22"/>
        <v/>
      </c>
      <c r="I916" s="26" t="str">
        <f t="array" ref="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/>
      </c>
      <c r="J916" s="26" t="str">
        <f t="shared" si="5"/>
        <v/>
      </c>
      <c r="K916" s="26" t="str">
        <f t="shared" si="6"/>
        <v/>
      </c>
      <c r="L916" s="26" t="str">
        <f t="shared" si="7"/>
        <v/>
      </c>
      <c r="M916" s="26" t="str">
        <f t="array" ref="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/>
      </c>
      <c r="N916" s="26" t="str">
        <f t="shared" si="8"/>
        <v/>
      </c>
      <c r="O916" s="26" t="str">
        <f t="shared" si="9"/>
        <v/>
      </c>
      <c r="P916" s="26" t="str">
        <f t="shared" si="10"/>
        <v/>
      </c>
      <c r="Q916" s="26" t="str">
        <f t="shared" si="11"/>
        <v/>
      </c>
      <c r="R916" s="26" t="str">
        <f t="shared" si="12"/>
        <v/>
      </c>
      <c r="S916" s="26" t="str">
        <f t="shared" si="13"/>
        <v/>
      </c>
      <c r="T916" s="26" t="str">
        <f t="shared" si="14"/>
        <v/>
      </c>
      <c r="U916" s="26" t="str">
        <f t="shared" si="15"/>
        <v/>
      </c>
      <c r="V916" s="26" t="str">
        <f t="shared" si="16"/>
        <v/>
      </c>
      <c r="W916" s="26" t="str">
        <f t="shared" si="17"/>
        <v/>
      </c>
      <c r="X916" s="26" t="str">
        <f t="shared" si="18"/>
        <v/>
      </c>
      <c r="Y916" s="26" t="str">
        <f t="shared" si="19"/>
        <v/>
      </c>
      <c r="Z916" s="31" t="str">
        <f t="shared" si="20"/>
        <v/>
      </c>
      <c r="AA916" s="31" t="str">
        <f>IF(D916="","",IF(H916&lt;=$B$16,1,IF(H916&gt;=$B$17,$B$21,MATCH(H916,Aux_CAV!$A$2:$A$121,1))))</f>
        <v/>
      </c>
      <c r="AB916" s="31" t="str">
        <f>IF(D916="","",IF(L916&lt;=$B$16,1,IF(L916&gt;=$B$17,$B$21,MATCH(L916,Aux_CAV!$A$2:$A$121,1))))</f>
        <v/>
      </c>
      <c r="AC916" s="3" t="str">
        <f t="shared" si="21"/>
        <v/>
      </c>
    </row>
    <row r="917" ht="12.75" customHeight="1">
      <c r="A917" s="25" t="str">
        <f t="shared" si="1"/>
        <v/>
      </c>
      <c r="B917" s="29" t="str">
        <f t="array" ref="B917">IF(D917="","",IFERROR(VALUE(INDEX(Vazoes_COLAR!$A$2:$A$200,INT((ROW()-24)/12)+1)),""))</f>
        <v/>
      </c>
      <c r="C917" s="29" t="str">
        <f t="shared" si="2"/>
        <v/>
      </c>
      <c r="D917" s="26" t="str">
        <f t="array" ref="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17" s="26" t="str">
        <f t="shared" si="3"/>
        <v/>
      </c>
      <c r="F917" s="26" t="str">
        <f t="array" ref="F917">IF(D917="","",IFERROR(INDEX(Dados_Evap!$C$2:$N$15,MATCH($B$9,Dados_Evap!$A$2:$A$15,0),C917),0))</f>
        <v/>
      </c>
      <c r="G917" s="26" t="str">
        <f t="shared" si="4"/>
        <v/>
      </c>
      <c r="H917" s="26" t="str">
        <f t="shared" si="22"/>
        <v/>
      </c>
      <c r="I917" s="26" t="str">
        <f t="array" ref="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/>
      </c>
      <c r="J917" s="26" t="str">
        <f t="shared" si="5"/>
        <v/>
      </c>
      <c r="K917" s="26" t="str">
        <f t="shared" si="6"/>
        <v/>
      </c>
      <c r="L917" s="26" t="str">
        <f t="shared" si="7"/>
        <v/>
      </c>
      <c r="M917" s="26" t="str">
        <f t="array" ref="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/>
      </c>
      <c r="N917" s="26" t="str">
        <f t="shared" si="8"/>
        <v/>
      </c>
      <c r="O917" s="26" t="str">
        <f t="shared" si="9"/>
        <v/>
      </c>
      <c r="P917" s="26" t="str">
        <f t="shared" si="10"/>
        <v/>
      </c>
      <c r="Q917" s="26" t="str">
        <f t="shared" si="11"/>
        <v/>
      </c>
      <c r="R917" s="26" t="str">
        <f t="shared" si="12"/>
        <v/>
      </c>
      <c r="S917" s="26" t="str">
        <f t="shared" si="13"/>
        <v/>
      </c>
      <c r="T917" s="26" t="str">
        <f t="shared" si="14"/>
        <v/>
      </c>
      <c r="U917" s="26" t="str">
        <f t="shared" si="15"/>
        <v/>
      </c>
      <c r="V917" s="26" t="str">
        <f t="shared" si="16"/>
        <v/>
      </c>
      <c r="W917" s="26" t="str">
        <f t="shared" si="17"/>
        <v/>
      </c>
      <c r="X917" s="26" t="str">
        <f t="shared" si="18"/>
        <v/>
      </c>
      <c r="Y917" s="26" t="str">
        <f t="shared" si="19"/>
        <v/>
      </c>
      <c r="Z917" s="31" t="str">
        <f t="shared" si="20"/>
        <v/>
      </c>
      <c r="AA917" s="31" t="str">
        <f>IF(D917="","",IF(H917&lt;=$B$16,1,IF(H917&gt;=$B$17,$B$21,MATCH(H917,Aux_CAV!$A$2:$A$121,1))))</f>
        <v/>
      </c>
      <c r="AB917" s="31" t="str">
        <f>IF(D917="","",IF(L917&lt;=$B$16,1,IF(L917&gt;=$B$17,$B$21,MATCH(L917,Aux_CAV!$A$2:$A$121,1))))</f>
        <v/>
      </c>
      <c r="AC917" s="3" t="str">
        <f t="shared" si="21"/>
        <v/>
      </c>
    </row>
    <row r="918" ht="12.75" customHeight="1">
      <c r="A918" s="25" t="str">
        <f t="shared" si="1"/>
        <v/>
      </c>
      <c r="B918" s="29" t="str">
        <f t="array" ref="B918">IF(D918="","",IFERROR(VALUE(INDEX(Vazoes_COLAR!$A$2:$A$200,INT((ROW()-24)/12)+1)),""))</f>
        <v/>
      </c>
      <c r="C918" s="29" t="str">
        <f t="shared" si="2"/>
        <v/>
      </c>
      <c r="D918" s="26" t="str">
        <f t="array" ref="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18" s="26" t="str">
        <f t="shared" si="3"/>
        <v/>
      </c>
      <c r="F918" s="26" t="str">
        <f t="array" ref="F918">IF(D918="","",IFERROR(INDEX(Dados_Evap!$C$2:$N$15,MATCH($B$9,Dados_Evap!$A$2:$A$15,0),C918),0))</f>
        <v/>
      </c>
      <c r="G918" s="26" t="str">
        <f t="shared" si="4"/>
        <v/>
      </c>
      <c r="H918" s="26" t="str">
        <f t="shared" si="22"/>
        <v/>
      </c>
      <c r="I918" s="26" t="str">
        <f t="array" ref="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/>
      </c>
      <c r="J918" s="26" t="str">
        <f t="shared" si="5"/>
        <v/>
      </c>
      <c r="K918" s="26" t="str">
        <f t="shared" si="6"/>
        <v/>
      </c>
      <c r="L918" s="26" t="str">
        <f t="shared" si="7"/>
        <v/>
      </c>
      <c r="M918" s="26" t="str">
        <f t="array" ref="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/>
      </c>
      <c r="N918" s="26" t="str">
        <f t="shared" si="8"/>
        <v/>
      </c>
      <c r="O918" s="26" t="str">
        <f t="shared" si="9"/>
        <v/>
      </c>
      <c r="P918" s="26" t="str">
        <f t="shared" si="10"/>
        <v/>
      </c>
      <c r="Q918" s="26" t="str">
        <f t="shared" si="11"/>
        <v/>
      </c>
      <c r="R918" s="26" t="str">
        <f t="shared" si="12"/>
        <v/>
      </c>
      <c r="S918" s="26" t="str">
        <f t="shared" si="13"/>
        <v/>
      </c>
      <c r="T918" s="26" t="str">
        <f t="shared" si="14"/>
        <v/>
      </c>
      <c r="U918" s="26" t="str">
        <f t="shared" si="15"/>
        <v/>
      </c>
      <c r="V918" s="26" t="str">
        <f t="shared" si="16"/>
        <v/>
      </c>
      <c r="W918" s="26" t="str">
        <f t="shared" si="17"/>
        <v/>
      </c>
      <c r="X918" s="26" t="str">
        <f t="shared" si="18"/>
        <v/>
      </c>
      <c r="Y918" s="26" t="str">
        <f t="shared" si="19"/>
        <v/>
      </c>
      <c r="Z918" s="31" t="str">
        <f t="shared" si="20"/>
        <v/>
      </c>
      <c r="AA918" s="31" t="str">
        <f>IF(D918="","",IF(H918&lt;=$B$16,1,IF(H918&gt;=$B$17,$B$21,MATCH(H918,Aux_CAV!$A$2:$A$121,1))))</f>
        <v/>
      </c>
      <c r="AB918" s="31" t="str">
        <f>IF(D918="","",IF(L918&lt;=$B$16,1,IF(L918&gt;=$B$17,$B$21,MATCH(L918,Aux_CAV!$A$2:$A$121,1))))</f>
        <v/>
      </c>
      <c r="AC918" s="3" t="str">
        <f t="shared" si="21"/>
        <v/>
      </c>
    </row>
    <row r="919" ht="12.75" customHeight="1">
      <c r="A919" s="25" t="str">
        <f t="shared" si="1"/>
        <v/>
      </c>
      <c r="B919" s="29" t="str">
        <f t="array" ref="B919">IF(D919="","",IFERROR(VALUE(INDEX(Vazoes_COLAR!$A$2:$A$200,INT((ROW()-24)/12)+1)),""))</f>
        <v/>
      </c>
      <c r="C919" s="29" t="str">
        <f t="shared" si="2"/>
        <v/>
      </c>
      <c r="D919" s="26" t="str">
        <f t="array" ref="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19" s="26" t="str">
        <f t="shared" si="3"/>
        <v/>
      </c>
      <c r="F919" s="26" t="str">
        <f t="array" ref="F919">IF(D919="","",IFERROR(INDEX(Dados_Evap!$C$2:$N$15,MATCH($B$9,Dados_Evap!$A$2:$A$15,0),C919),0))</f>
        <v/>
      </c>
      <c r="G919" s="26" t="str">
        <f t="shared" si="4"/>
        <v/>
      </c>
      <c r="H919" s="26" t="str">
        <f t="shared" si="22"/>
        <v/>
      </c>
      <c r="I919" s="26" t="str">
        <f t="array" ref="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/>
      </c>
      <c r="J919" s="26" t="str">
        <f t="shared" si="5"/>
        <v/>
      </c>
      <c r="K919" s="26" t="str">
        <f t="shared" si="6"/>
        <v/>
      </c>
      <c r="L919" s="26" t="str">
        <f t="shared" si="7"/>
        <v/>
      </c>
      <c r="M919" s="26" t="str">
        <f t="array" ref="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/>
      </c>
      <c r="N919" s="26" t="str">
        <f t="shared" si="8"/>
        <v/>
      </c>
      <c r="O919" s="26" t="str">
        <f t="shared" si="9"/>
        <v/>
      </c>
      <c r="P919" s="26" t="str">
        <f t="shared" si="10"/>
        <v/>
      </c>
      <c r="Q919" s="26" t="str">
        <f t="shared" si="11"/>
        <v/>
      </c>
      <c r="R919" s="26" t="str">
        <f t="shared" si="12"/>
        <v/>
      </c>
      <c r="S919" s="26" t="str">
        <f t="shared" si="13"/>
        <v/>
      </c>
      <c r="T919" s="26" t="str">
        <f t="shared" si="14"/>
        <v/>
      </c>
      <c r="U919" s="26" t="str">
        <f t="shared" si="15"/>
        <v/>
      </c>
      <c r="V919" s="26" t="str">
        <f t="shared" si="16"/>
        <v/>
      </c>
      <c r="W919" s="26" t="str">
        <f t="shared" si="17"/>
        <v/>
      </c>
      <c r="X919" s="26" t="str">
        <f t="shared" si="18"/>
        <v/>
      </c>
      <c r="Y919" s="26" t="str">
        <f t="shared" si="19"/>
        <v/>
      </c>
      <c r="Z919" s="31" t="str">
        <f t="shared" si="20"/>
        <v/>
      </c>
      <c r="AA919" s="31" t="str">
        <f>IF(D919="","",IF(H919&lt;=$B$16,1,IF(H919&gt;=$B$17,$B$21,MATCH(H919,Aux_CAV!$A$2:$A$121,1))))</f>
        <v/>
      </c>
      <c r="AB919" s="31" t="str">
        <f>IF(D919="","",IF(L919&lt;=$B$16,1,IF(L919&gt;=$B$17,$B$21,MATCH(L919,Aux_CAV!$A$2:$A$121,1))))</f>
        <v/>
      </c>
      <c r="AC919" s="3" t="str">
        <f t="shared" si="21"/>
        <v/>
      </c>
    </row>
    <row r="920" ht="12.75" customHeight="1">
      <c r="A920" s="25" t="str">
        <f t="shared" si="1"/>
        <v/>
      </c>
      <c r="B920" s="29" t="str">
        <f t="array" ref="B920">IF(D920="","",IFERROR(VALUE(INDEX(Vazoes_COLAR!$A$2:$A$200,INT((ROW()-24)/12)+1)),""))</f>
        <v/>
      </c>
      <c r="C920" s="29" t="str">
        <f t="shared" si="2"/>
        <v/>
      </c>
      <c r="D920" s="26" t="str">
        <f t="array" ref="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20" s="26" t="str">
        <f t="shared" si="3"/>
        <v/>
      </c>
      <c r="F920" s="26" t="str">
        <f t="array" ref="F920">IF(D920="","",IFERROR(INDEX(Dados_Evap!$C$2:$N$15,MATCH($B$9,Dados_Evap!$A$2:$A$15,0),C920),0))</f>
        <v/>
      </c>
      <c r="G920" s="26" t="str">
        <f t="shared" si="4"/>
        <v/>
      </c>
      <c r="H920" s="26" t="str">
        <f t="shared" si="22"/>
        <v/>
      </c>
      <c r="I920" s="26" t="str">
        <f t="array" ref="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/>
      </c>
      <c r="J920" s="26" t="str">
        <f t="shared" si="5"/>
        <v/>
      </c>
      <c r="K920" s="26" t="str">
        <f t="shared" si="6"/>
        <v/>
      </c>
      <c r="L920" s="26" t="str">
        <f t="shared" si="7"/>
        <v/>
      </c>
      <c r="M920" s="26" t="str">
        <f t="array" ref="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/>
      </c>
      <c r="N920" s="26" t="str">
        <f t="shared" si="8"/>
        <v/>
      </c>
      <c r="O920" s="26" t="str">
        <f t="shared" si="9"/>
        <v/>
      </c>
      <c r="P920" s="26" t="str">
        <f t="shared" si="10"/>
        <v/>
      </c>
      <c r="Q920" s="26" t="str">
        <f t="shared" si="11"/>
        <v/>
      </c>
      <c r="R920" s="26" t="str">
        <f t="shared" si="12"/>
        <v/>
      </c>
      <c r="S920" s="26" t="str">
        <f t="shared" si="13"/>
        <v/>
      </c>
      <c r="T920" s="26" t="str">
        <f t="shared" si="14"/>
        <v/>
      </c>
      <c r="U920" s="26" t="str">
        <f t="shared" si="15"/>
        <v/>
      </c>
      <c r="V920" s="26" t="str">
        <f t="shared" si="16"/>
        <v/>
      </c>
      <c r="W920" s="26" t="str">
        <f t="shared" si="17"/>
        <v/>
      </c>
      <c r="X920" s="26" t="str">
        <f t="shared" si="18"/>
        <v/>
      </c>
      <c r="Y920" s="26" t="str">
        <f t="shared" si="19"/>
        <v/>
      </c>
      <c r="Z920" s="31" t="str">
        <f t="shared" si="20"/>
        <v/>
      </c>
      <c r="AA920" s="31" t="str">
        <f>IF(D920="","",IF(H920&lt;=$B$16,1,IF(H920&gt;=$B$17,$B$21,MATCH(H920,Aux_CAV!$A$2:$A$121,1))))</f>
        <v/>
      </c>
      <c r="AB920" s="31" t="str">
        <f>IF(D920="","",IF(L920&lt;=$B$16,1,IF(L920&gt;=$B$17,$B$21,MATCH(L920,Aux_CAV!$A$2:$A$121,1))))</f>
        <v/>
      </c>
      <c r="AC920" s="3" t="str">
        <f t="shared" si="21"/>
        <v/>
      </c>
    </row>
    <row r="921" ht="12.75" customHeight="1">
      <c r="A921" s="25" t="str">
        <f t="shared" si="1"/>
        <v/>
      </c>
      <c r="B921" s="29" t="str">
        <f t="array" ref="B921">IF(D921="","",IFERROR(VALUE(INDEX(Vazoes_COLAR!$A$2:$A$200,INT((ROW()-24)/12)+1)),""))</f>
        <v/>
      </c>
      <c r="C921" s="29" t="str">
        <f t="shared" si="2"/>
        <v/>
      </c>
      <c r="D921" s="26" t="str">
        <f t="array" ref="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21" s="26" t="str">
        <f t="shared" si="3"/>
        <v/>
      </c>
      <c r="F921" s="26" t="str">
        <f t="array" ref="F921">IF(D921="","",IFERROR(INDEX(Dados_Evap!$C$2:$N$15,MATCH($B$9,Dados_Evap!$A$2:$A$15,0),C921),0))</f>
        <v/>
      </c>
      <c r="G921" s="26" t="str">
        <f t="shared" si="4"/>
        <v/>
      </c>
      <c r="H921" s="26" t="str">
        <f t="shared" si="22"/>
        <v/>
      </c>
      <c r="I921" s="26" t="str">
        <f t="array" ref="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/>
      </c>
      <c r="J921" s="26" t="str">
        <f t="shared" si="5"/>
        <v/>
      </c>
      <c r="K921" s="26" t="str">
        <f t="shared" si="6"/>
        <v/>
      </c>
      <c r="L921" s="26" t="str">
        <f t="shared" si="7"/>
        <v/>
      </c>
      <c r="M921" s="26" t="str">
        <f t="array" ref="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/>
      </c>
      <c r="N921" s="26" t="str">
        <f t="shared" si="8"/>
        <v/>
      </c>
      <c r="O921" s="26" t="str">
        <f t="shared" si="9"/>
        <v/>
      </c>
      <c r="P921" s="26" t="str">
        <f t="shared" si="10"/>
        <v/>
      </c>
      <c r="Q921" s="26" t="str">
        <f t="shared" si="11"/>
        <v/>
      </c>
      <c r="R921" s="26" t="str">
        <f t="shared" si="12"/>
        <v/>
      </c>
      <c r="S921" s="26" t="str">
        <f t="shared" si="13"/>
        <v/>
      </c>
      <c r="T921" s="26" t="str">
        <f t="shared" si="14"/>
        <v/>
      </c>
      <c r="U921" s="26" t="str">
        <f t="shared" si="15"/>
        <v/>
      </c>
      <c r="V921" s="26" t="str">
        <f t="shared" si="16"/>
        <v/>
      </c>
      <c r="W921" s="26" t="str">
        <f t="shared" si="17"/>
        <v/>
      </c>
      <c r="X921" s="26" t="str">
        <f t="shared" si="18"/>
        <v/>
      </c>
      <c r="Y921" s="26" t="str">
        <f t="shared" si="19"/>
        <v/>
      </c>
      <c r="Z921" s="31" t="str">
        <f t="shared" si="20"/>
        <v/>
      </c>
      <c r="AA921" s="31" t="str">
        <f>IF(D921="","",IF(H921&lt;=$B$16,1,IF(H921&gt;=$B$17,$B$21,MATCH(H921,Aux_CAV!$A$2:$A$121,1))))</f>
        <v/>
      </c>
      <c r="AB921" s="31" t="str">
        <f>IF(D921="","",IF(L921&lt;=$B$16,1,IF(L921&gt;=$B$17,$B$21,MATCH(L921,Aux_CAV!$A$2:$A$121,1))))</f>
        <v/>
      </c>
      <c r="AC921" s="3" t="str">
        <f t="shared" si="21"/>
        <v/>
      </c>
    </row>
    <row r="922" ht="12.75" customHeight="1">
      <c r="A922" s="25" t="str">
        <f t="shared" si="1"/>
        <v/>
      </c>
      <c r="B922" s="29" t="str">
        <f t="array" ref="B922">IF(D922="","",IFERROR(VALUE(INDEX(Vazoes_COLAR!$A$2:$A$200,INT((ROW()-24)/12)+1)),""))</f>
        <v/>
      </c>
      <c r="C922" s="29" t="str">
        <f t="shared" si="2"/>
        <v/>
      </c>
      <c r="D922" s="26" t="str">
        <f t="array" ref="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22" s="26" t="str">
        <f t="shared" si="3"/>
        <v/>
      </c>
      <c r="F922" s="26" t="str">
        <f t="array" ref="F922">IF(D922="","",IFERROR(INDEX(Dados_Evap!$C$2:$N$15,MATCH($B$9,Dados_Evap!$A$2:$A$15,0),C922),0))</f>
        <v/>
      </c>
      <c r="G922" s="26" t="str">
        <f t="shared" si="4"/>
        <v/>
      </c>
      <c r="H922" s="26" t="str">
        <f t="shared" si="22"/>
        <v/>
      </c>
      <c r="I922" s="26" t="str">
        <f t="array" ref="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/>
      </c>
      <c r="J922" s="26" t="str">
        <f t="shared" si="5"/>
        <v/>
      </c>
      <c r="K922" s="26" t="str">
        <f t="shared" si="6"/>
        <v/>
      </c>
      <c r="L922" s="26" t="str">
        <f t="shared" si="7"/>
        <v/>
      </c>
      <c r="M922" s="26" t="str">
        <f t="array" ref="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/>
      </c>
      <c r="N922" s="26" t="str">
        <f t="shared" si="8"/>
        <v/>
      </c>
      <c r="O922" s="26" t="str">
        <f t="shared" si="9"/>
        <v/>
      </c>
      <c r="P922" s="26" t="str">
        <f t="shared" si="10"/>
        <v/>
      </c>
      <c r="Q922" s="26" t="str">
        <f t="shared" si="11"/>
        <v/>
      </c>
      <c r="R922" s="26" t="str">
        <f t="shared" si="12"/>
        <v/>
      </c>
      <c r="S922" s="26" t="str">
        <f t="shared" si="13"/>
        <v/>
      </c>
      <c r="T922" s="26" t="str">
        <f t="shared" si="14"/>
        <v/>
      </c>
      <c r="U922" s="26" t="str">
        <f t="shared" si="15"/>
        <v/>
      </c>
      <c r="V922" s="26" t="str">
        <f t="shared" si="16"/>
        <v/>
      </c>
      <c r="W922" s="26" t="str">
        <f t="shared" si="17"/>
        <v/>
      </c>
      <c r="X922" s="26" t="str">
        <f t="shared" si="18"/>
        <v/>
      </c>
      <c r="Y922" s="26" t="str">
        <f t="shared" si="19"/>
        <v/>
      </c>
      <c r="Z922" s="31" t="str">
        <f t="shared" si="20"/>
        <v/>
      </c>
      <c r="AA922" s="31" t="str">
        <f>IF(D922="","",IF(H922&lt;=$B$16,1,IF(H922&gt;=$B$17,$B$21,MATCH(H922,Aux_CAV!$A$2:$A$121,1))))</f>
        <v/>
      </c>
      <c r="AB922" s="31" t="str">
        <f>IF(D922="","",IF(L922&lt;=$B$16,1,IF(L922&gt;=$B$17,$B$21,MATCH(L922,Aux_CAV!$A$2:$A$121,1))))</f>
        <v/>
      </c>
      <c r="AC922" s="3" t="str">
        <f t="shared" si="21"/>
        <v/>
      </c>
    </row>
    <row r="923" ht="12.75" customHeight="1">
      <c r="A923" s="25" t="str">
        <f t="shared" si="1"/>
        <v/>
      </c>
      <c r="B923" s="29" t="str">
        <f t="array" ref="B923">IF(D923="","",IFERROR(VALUE(INDEX(Vazoes_COLAR!$A$2:$A$200,INT((ROW()-24)/12)+1)),""))</f>
        <v/>
      </c>
      <c r="C923" s="29" t="str">
        <f t="shared" si="2"/>
        <v/>
      </c>
      <c r="D923" s="26" t="str">
        <f t="array" ref="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23" s="26" t="str">
        <f t="shared" si="3"/>
        <v/>
      </c>
      <c r="F923" s="26" t="str">
        <f t="array" ref="F923">IF(D923="","",IFERROR(INDEX(Dados_Evap!$C$2:$N$15,MATCH($B$9,Dados_Evap!$A$2:$A$15,0),C923),0))</f>
        <v/>
      </c>
      <c r="G923" s="26" t="str">
        <f t="shared" si="4"/>
        <v/>
      </c>
      <c r="H923" s="26" t="str">
        <f t="shared" si="22"/>
        <v/>
      </c>
      <c r="I923" s="26" t="str">
        <f t="array" ref="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/>
      </c>
      <c r="J923" s="26" t="str">
        <f t="shared" si="5"/>
        <v/>
      </c>
      <c r="K923" s="26" t="str">
        <f t="shared" si="6"/>
        <v/>
      </c>
      <c r="L923" s="26" t="str">
        <f t="shared" si="7"/>
        <v/>
      </c>
      <c r="M923" s="26" t="str">
        <f t="array" ref="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/>
      </c>
      <c r="N923" s="26" t="str">
        <f t="shared" si="8"/>
        <v/>
      </c>
      <c r="O923" s="26" t="str">
        <f t="shared" si="9"/>
        <v/>
      </c>
      <c r="P923" s="26" t="str">
        <f t="shared" si="10"/>
        <v/>
      </c>
      <c r="Q923" s="26" t="str">
        <f t="shared" si="11"/>
        <v/>
      </c>
      <c r="R923" s="26" t="str">
        <f t="shared" si="12"/>
        <v/>
      </c>
      <c r="S923" s="26" t="str">
        <f t="shared" si="13"/>
        <v/>
      </c>
      <c r="T923" s="26" t="str">
        <f t="shared" si="14"/>
        <v/>
      </c>
      <c r="U923" s="26" t="str">
        <f t="shared" si="15"/>
        <v/>
      </c>
      <c r="V923" s="26" t="str">
        <f t="shared" si="16"/>
        <v/>
      </c>
      <c r="W923" s="26" t="str">
        <f t="shared" si="17"/>
        <v/>
      </c>
      <c r="X923" s="26" t="str">
        <f t="shared" si="18"/>
        <v/>
      </c>
      <c r="Y923" s="26" t="str">
        <f t="shared" si="19"/>
        <v/>
      </c>
      <c r="Z923" s="31" t="str">
        <f t="shared" si="20"/>
        <v/>
      </c>
      <c r="AA923" s="31" t="str">
        <f>IF(D923="","",IF(H923&lt;=$B$16,1,IF(H923&gt;=$B$17,$B$21,MATCH(H923,Aux_CAV!$A$2:$A$121,1))))</f>
        <v/>
      </c>
      <c r="AB923" s="31" t="str">
        <f>IF(D923="","",IF(L923&lt;=$B$16,1,IF(L923&gt;=$B$17,$B$21,MATCH(L923,Aux_CAV!$A$2:$A$121,1))))</f>
        <v/>
      </c>
      <c r="AC923" s="3" t="str">
        <f t="shared" si="21"/>
        <v/>
      </c>
    </row>
    <row r="924" ht="12.75" customHeight="1">
      <c r="A924" s="25" t="str">
        <f t="shared" si="1"/>
        <v/>
      </c>
      <c r="B924" s="29" t="str">
        <f t="array" ref="B924">IF(D924="","",IFERROR(VALUE(INDEX(Vazoes_COLAR!$A$2:$A$200,INT((ROW()-24)/12)+1)),""))</f>
        <v/>
      </c>
      <c r="C924" s="29" t="str">
        <f t="shared" si="2"/>
        <v/>
      </c>
      <c r="D924" s="26" t="str">
        <f t="array" ref="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24" s="26" t="str">
        <f t="shared" si="3"/>
        <v/>
      </c>
      <c r="F924" s="26" t="str">
        <f t="array" ref="F924">IF(D924="","",IFERROR(INDEX(Dados_Evap!$C$2:$N$15,MATCH($B$9,Dados_Evap!$A$2:$A$15,0),C924),0))</f>
        <v/>
      </c>
      <c r="G924" s="26" t="str">
        <f t="shared" si="4"/>
        <v/>
      </c>
      <c r="H924" s="26" t="str">
        <f t="shared" si="22"/>
        <v/>
      </c>
      <c r="I924" s="26" t="str">
        <f t="array" ref="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/>
      </c>
      <c r="J924" s="26" t="str">
        <f t="shared" si="5"/>
        <v/>
      </c>
      <c r="K924" s="26" t="str">
        <f t="shared" si="6"/>
        <v/>
      </c>
      <c r="L924" s="26" t="str">
        <f t="shared" si="7"/>
        <v/>
      </c>
      <c r="M924" s="26" t="str">
        <f t="array" ref="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/>
      </c>
      <c r="N924" s="26" t="str">
        <f t="shared" si="8"/>
        <v/>
      </c>
      <c r="O924" s="26" t="str">
        <f t="shared" si="9"/>
        <v/>
      </c>
      <c r="P924" s="26" t="str">
        <f t="shared" si="10"/>
        <v/>
      </c>
      <c r="Q924" s="26" t="str">
        <f t="shared" si="11"/>
        <v/>
      </c>
      <c r="R924" s="26" t="str">
        <f t="shared" si="12"/>
        <v/>
      </c>
      <c r="S924" s="26" t="str">
        <f t="shared" si="13"/>
        <v/>
      </c>
      <c r="T924" s="26" t="str">
        <f t="shared" si="14"/>
        <v/>
      </c>
      <c r="U924" s="26" t="str">
        <f t="shared" si="15"/>
        <v/>
      </c>
      <c r="V924" s="26" t="str">
        <f t="shared" si="16"/>
        <v/>
      </c>
      <c r="W924" s="26" t="str">
        <f t="shared" si="17"/>
        <v/>
      </c>
      <c r="X924" s="26" t="str">
        <f t="shared" si="18"/>
        <v/>
      </c>
      <c r="Y924" s="26" t="str">
        <f t="shared" si="19"/>
        <v/>
      </c>
      <c r="Z924" s="31" t="str">
        <f t="shared" si="20"/>
        <v/>
      </c>
      <c r="AA924" s="31" t="str">
        <f>IF(D924="","",IF(H924&lt;=$B$16,1,IF(H924&gt;=$B$17,$B$21,MATCH(H924,Aux_CAV!$A$2:$A$121,1))))</f>
        <v/>
      </c>
      <c r="AB924" s="31" t="str">
        <f>IF(D924="","",IF(L924&lt;=$B$16,1,IF(L924&gt;=$B$17,$B$21,MATCH(L924,Aux_CAV!$A$2:$A$121,1))))</f>
        <v/>
      </c>
      <c r="AC924" s="3" t="str">
        <f t="shared" si="21"/>
        <v/>
      </c>
    </row>
    <row r="925" ht="12.75" customHeight="1">
      <c r="A925" s="25" t="str">
        <f t="shared" si="1"/>
        <v/>
      </c>
      <c r="B925" s="29" t="str">
        <f t="array" ref="B925">IF(D925="","",IFERROR(VALUE(INDEX(Vazoes_COLAR!$A$2:$A$200,INT((ROW()-24)/12)+1)),""))</f>
        <v/>
      </c>
      <c r="C925" s="29" t="str">
        <f t="shared" si="2"/>
        <v/>
      </c>
      <c r="D925" s="26" t="str">
        <f t="array" ref="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25" s="26" t="str">
        <f t="shared" si="3"/>
        <v/>
      </c>
      <c r="F925" s="26" t="str">
        <f t="array" ref="F925">IF(D925="","",IFERROR(INDEX(Dados_Evap!$C$2:$N$15,MATCH($B$9,Dados_Evap!$A$2:$A$15,0),C925),0))</f>
        <v/>
      </c>
      <c r="G925" s="26" t="str">
        <f t="shared" si="4"/>
        <v/>
      </c>
      <c r="H925" s="26" t="str">
        <f t="shared" si="22"/>
        <v/>
      </c>
      <c r="I925" s="26" t="str">
        <f t="array" ref="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/>
      </c>
      <c r="J925" s="26" t="str">
        <f t="shared" si="5"/>
        <v/>
      </c>
      <c r="K925" s="26" t="str">
        <f t="shared" si="6"/>
        <v/>
      </c>
      <c r="L925" s="26" t="str">
        <f t="shared" si="7"/>
        <v/>
      </c>
      <c r="M925" s="26" t="str">
        <f t="array" ref="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/>
      </c>
      <c r="N925" s="26" t="str">
        <f t="shared" si="8"/>
        <v/>
      </c>
      <c r="O925" s="26" t="str">
        <f t="shared" si="9"/>
        <v/>
      </c>
      <c r="P925" s="26" t="str">
        <f t="shared" si="10"/>
        <v/>
      </c>
      <c r="Q925" s="26" t="str">
        <f t="shared" si="11"/>
        <v/>
      </c>
      <c r="R925" s="26" t="str">
        <f t="shared" si="12"/>
        <v/>
      </c>
      <c r="S925" s="26" t="str">
        <f t="shared" si="13"/>
        <v/>
      </c>
      <c r="T925" s="26" t="str">
        <f t="shared" si="14"/>
        <v/>
      </c>
      <c r="U925" s="26" t="str">
        <f t="shared" si="15"/>
        <v/>
      </c>
      <c r="V925" s="26" t="str">
        <f t="shared" si="16"/>
        <v/>
      </c>
      <c r="W925" s="26" t="str">
        <f t="shared" si="17"/>
        <v/>
      </c>
      <c r="X925" s="26" t="str">
        <f t="shared" si="18"/>
        <v/>
      </c>
      <c r="Y925" s="26" t="str">
        <f t="shared" si="19"/>
        <v/>
      </c>
      <c r="Z925" s="31" t="str">
        <f t="shared" si="20"/>
        <v/>
      </c>
      <c r="AA925" s="31" t="str">
        <f>IF(D925="","",IF(H925&lt;=$B$16,1,IF(H925&gt;=$B$17,$B$21,MATCH(H925,Aux_CAV!$A$2:$A$121,1))))</f>
        <v/>
      </c>
      <c r="AB925" s="31" t="str">
        <f>IF(D925="","",IF(L925&lt;=$B$16,1,IF(L925&gt;=$B$17,$B$21,MATCH(L925,Aux_CAV!$A$2:$A$121,1))))</f>
        <v/>
      </c>
      <c r="AC925" s="3" t="str">
        <f t="shared" si="21"/>
        <v/>
      </c>
    </row>
    <row r="926" ht="12.75" customHeight="1">
      <c r="A926" s="25" t="str">
        <f t="shared" si="1"/>
        <v/>
      </c>
      <c r="B926" s="29" t="str">
        <f t="array" ref="B926">IF(D926="","",IFERROR(VALUE(INDEX(Vazoes_COLAR!$A$2:$A$200,INT((ROW()-24)/12)+1)),""))</f>
        <v/>
      </c>
      <c r="C926" s="29" t="str">
        <f t="shared" si="2"/>
        <v/>
      </c>
      <c r="D926" s="26" t="str">
        <f t="array" ref="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26" s="26" t="str">
        <f t="shared" si="3"/>
        <v/>
      </c>
      <c r="F926" s="26" t="str">
        <f t="array" ref="F926">IF(D926="","",IFERROR(INDEX(Dados_Evap!$C$2:$N$15,MATCH($B$9,Dados_Evap!$A$2:$A$15,0),C926),0))</f>
        <v/>
      </c>
      <c r="G926" s="26" t="str">
        <f t="shared" si="4"/>
        <v/>
      </c>
      <c r="H926" s="26" t="str">
        <f t="shared" si="22"/>
        <v/>
      </c>
      <c r="I926" s="26" t="str">
        <f t="array" ref="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/>
      </c>
      <c r="J926" s="26" t="str">
        <f t="shared" si="5"/>
        <v/>
      </c>
      <c r="K926" s="26" t="str">
        <f t="shared" si="6"/>
        <v/>
      </c>
      <c r="L926" s="26" t="str">
        <f t="shared" si="7"/>
        <v/>
      </c>
      <c r="M926" s="26" t="str">
        <f t="array" ref="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/>
      </c>
      <c r="N926" s="26" t="str">
        <f t="shared" si="8"/>
        <v/>
      </c>
      <c r="O926" s="26" t="str">
        <f t="shared" si="9"/>
        <v/>
      </c>
      <c r="P926" s="26" t="str">
        <f t="shared" si="10"/>
        <v/>
      </c>
      <c r="Q926" s="26" t="str">
        <f t="shared" si="11"/>
        <v/>
      </c>
      <c r="R926" s="26" t="str">
        <f t="shared" si="12"/>
        <v/>
      </c>
      <c r="S926" s="26" t="str">
        <f t="shared" si="13"/>
        <v/>
      </c>
      <c r="T926" s="26" t="str">
        <f t="shared" si="14"/>
        <v/>
      </c>
      <c r="U926" s="26" t="str">
        <f t="shared" si="15"/>
        <v/>
      </c>
      <c r="V926" s="26" t="str">
        <f t="shared" si="16"/>
        <v/>
      </c>
      <c r="W926" s="26" t="str">
        <f t="shared" si="17"/>
        <v/>
      </c>
      <c r="X926" s="26" t="str">
        <f t="shared" si="18"/>
        <v/>
      </c>
      <c r="Y926" s="26" t="str">
        <f t="shared" si="19"/>
        <v/>
      </c>
      <c r="Z926" s="31" t="str">
        <f t="shared" si="20"/>
        <v/>
      </c>
      <c r="AA926" s="31" t="str">
        <f>IF(D926="","",IF(H926&lt;=$B$16,1,IF(H926&gt;=$B$17,$B$21,MATCH(H926,Aux_CAV!$A$2:$A$121,1))))</f>
        <v/>
      </c>
      <c r="AB926" s="31" t="str">
        <f>IF(D926="","",IF(L926&lt;=$B$16,1,IF(L926&gt;=$B$17,$B$21,MATCH(L926,Aux_CAV!$A$2:$A$121,1))))</f>
        <v/>
      </c>
      <c r="AC926" s="3" t="str">
        <f t="shared" si="21"/>
        <v/>
      </c>
    </row>
    <row r="927" ht="12.75" customHeight="1">
      <c r="A927" s="25" t="str">
        <f t="shared" si="1"/>
        <v/>
      </c>
      <c r="B927" s="29" t="str">
        <f t="array" ref="B927">IF(D927="","",IFERROR(VALUE(INDEX(Vazoes_COLAR!$A$2:$A$200,INT((ROW()-24)/12)+1)),""))</f>
        <v/>
      </c>
      <c r="C927" s="29" t="str">
        <f t="shared" si="2"/>
        <v/>
      </c>
      <c r="D927" s="26" t="str">
        <f t="array" ref="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27" s="26" t="str">
        <f t="shared" si="3"/>
        <v/>
      </c>
      <c r="F927" s="26" t="str">
        <f t="array" ref="F927">IF(D927="","",IFERROR(INDEX(Dados_Evap!$C$2:$N$15,MATCH($B$9,Dados_Evap!$A$2:$A$15,0),C927),0))</f>
        <v/>
      </c>
      <c r="G927" s="26" t="str">
        <f t="shared" si="4"/>
        <v/>
      </c>
      <c r="H927" s="26" t="str">
        <f t="shared" si="22"/>
        <v/>
      </c>
      <c r="I927" s="26" t="str">
        <f t="array" ref="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/>
      </c>
      <c r="J927" s="26" t="str">
        <f t="shared" si="5"/>
        <v/>
      </c>
      <c r="K927" s="26" t="str">
        <f t="shared" si="6"/>
        <v/>
      </c>
      <c r="L927" s="26" t="str">
        <f t="shared" si="7"/>
        <v/>
      </c>
      <c r="M927" s="26" t="str">
        <f t="array" ref="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/>
      </c>
      <c r="N927" s="26" t="str">
        <f t="shared" si="8"/>
        <v/>
      </c>
      <c r="O927" s="26" t="str">
        <f t="shared" si="9"/>
        <v/>
      </c>
      <c r="P927" s="26" t="str">
        <f t="shared" si="10"/>
        <v/>
      </c>
      <c r="Q927" s="26" t="str">
        <f t="shared" si="11"/>
        <v/>
      </c>
      <c r="R927" s="26" t="str">
        <f t="shared" si="12"/>
        <v/>
      </c>
      <c r="S927" s="26" t="str">
        <f t="shared" si="13"/>
        <v/>
      </c>
      <c r="T927" s="26" t="str">
        <f t="shared" si="14"/>
        <v/>
      </c>
      <c r="U927" s="26" t="str">
        <f t="shared" si="15"/>
        <v/>
      </c>
      <c r="V927" s="26" t="str">
        <f t="shared" si="16"/>
        <v/>
      </c>
      <c r="W927" s="26" t="str">
        <f t="shared" si="17"/>
        <v/>
      </c>
      <c r="X927" s="26" t="str">
        <f t="shared" si="18"/>
        <v/>
      </c>
      <c r="Y927" s="26" t="str">
        <f t="shared" si="19"/>
        <v/>
      </c>
      <c r="Z927" s="31" t="str">
        <f t="shared" si="20"/>
        <v/>
      </c>
      <c r="AA927" s="31" t="str">
        <f>IF(D927="","",IF(H927&lt;=$B$16,1,IF(H927&gt;=$B$17,$B$21,MATCH(H927,Aux_CAV!$A$2:$A$121,1))))</f>
        <v/>
      </c>
      <c r="AB927" s="31" t="str">
        <f>IF(D927="","",IF(L927&lt;=$B$16,1,IF(L927&gt;=$B$17,$B$21,MATCH(L927,Aux_CAV!$A$2:$A$121,1))))</f>
        <v/>
      </c>
      <c r="AC927" s="3" t="str">
        <f t="shared" si="21"/>
        <v/>
      </c>
    </row>
    <row r="928" ht="12.75" customHeight="1">
      <c r="A928" s="25" t="str">
        <f t="shared" si="1"/>
        <v/>
      </c>
      <c r="B928" s="29" t="str">
        <f t="array" ref="B928">IF(D928="","",IFERROR(VALUE(INDEX(Vazoes_COLAR!$A$2:$A$200,INT((ROW()-24)/12)+1)),""))</f>
        <v/>
      </c>
      <c r="C928" s="29" t="str">
        <f t="shared" si="2"/>
        <v/>
      </c>
      <c r="D928" s="26" t="str">
        <f t="array" ref="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28" s="26" t="str">
        <f t="shared" si="3"/>
        <v/>
      </c>
      <c r="F928" s="26" t="str">
        <f t="array" ref="F928">IF(D928="","",IFERROR(INDEX(Dados_Evap!$C$2:$N$15,MATCH($B$9,Dados_Evap!$A$2:$A$15,0),C928),0))</f>
        <v/>
      </c>
      <c r="G928" s="26" t="str">
        <f t="shared" si="4"/>
        <v/>
      </c>
      <c r="H928" s="26" t="str">
        <f t="shared" si="22"/>
        <v/>
      </c>
      <c r="I928" s="26" t="str">
        <f t="array" ref="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/>
      </c>
      <c r="J928" s="26" t="str">
        <f t="shared" si="5"/>
        <v/>
      </c>
      <c r="K928" s="26" t="str">
        <f t="shared" si="6"/>
        <v/>
      </c>
      <c r="L928" s="26" t="str">
        <f t="shared" si="7"/>
        <v/>
      </c>
      <c r="M928" s="26" t="str">
        <f t="array" ref="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/>
      </c>
      <c r="N928" s="26" t="str">
        <f t="shared" si="8"/>
        <v/>
      </c>
      <c r="O928" s="26" t="str">
        <f t="shared" si="9"/>
        <v/>
      </c>
      <c r="P928" s="26" t="str">
        <f t="shared" si="10"/>
        <v/>
      </c>
      <c r="Q928" s="26" t="str">
        <f t="shared" si="11"/>
        <v/>
      </c>
      <c r="R928" s="26" t="str">
        <f t="shared" si="12"/>
        <v/>
      </c>
      <c r="S928" s="26" t="str">
        <f t="shared" si="13"/>
        <v/>
      </c>
      <c r="T928" s="26" t="str">
        <f t="shared" si="14"/>
        <v/>
      </c>
      <c r="U928" s="26" t="str">
        <f t="shared" si="15"/>
        <v/>
      </c>
      <c r="V928" s="26" t="str">
        <f t="shared" si="16"/>
        <v/>
      </c>
      <c r="W928" s="26" t="str">
        <f t="shared" si="17"/>
        <v/>
      </c>
      <c r="X928" s="26" t="str">
        <f t="shared" si="18"/>
        <v/>
      </c>
      <c r="Y928" s="26" t="str">
        <f t="shared" si="19"/>
        <v/>
      </c>
      <c r="Z928" s="31" t="str">
        <f t="shared" si="20"/>
        <v/>
      </c>
      <c r="AA928" s="31" t="str">
        <f>IF(D928="","",IF(H928&lt;=$B$16,1,IF(H928&gt;=$B$17,$B$21,MATCH(H928,Aux_CAV!$A$2:$A$121,1))))</f>
        <v/>
      </c>
      <c r="AB928" s="31" t="str">
        <f>IF(D928="","",IF(L928&lt;=$B$16,1,IF(L928&gt;=$B$17,$B$21,MATCH(L928,Aux_CAV!$A$2:$A$121,1))))</f>
        <v/>
      </c>
      <c r="AC928" s="3" t="str">
        <f t="shared" si="21"/>
        <v/>
      </c>
    </row>
    <row r="929" ht="12.75" customHeight="1">
      <c r="A929" s="25" t="str">
        <f t="shared" si="1"/>
        <v/>
      </c>
      <c r="B929" s="29" t="str">
        <f t="array" ref="B929">IF(D929="","",IFERROR(VALUE(INDEX(Vazoes_COLAR!$A$2:$A$200,INT((ROW()-24)/12)+1)),""))</f>
        <v/>
      </c>
      <c r="C929" s="29" t="str">
        <f t="shared" si="2"/>
        <v/>
      </c>
      <c r="D929" s="26" t="str">
        <f t="array" ref="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29" s="26" t="str">
        <f t="shared" si="3"/>
        <v/>
      </c>
      <c r="F929" s="26" t="str">
        <f t="array" ref="F929">IF(D929="","",IFERROR(INDEX(Dados_Evap!$C$2:$N$15,MATCH($B$9,Dados_Evap!$A$2:$A$15,0),C929),0))</f>
        <v/>
      </c>
      <c r="G929" s="26" t="str">
        <f t="shared" si="4"/>
        <v/>
      </c>
      <c r="H929" s="26" t="str">
        <f t="shared" si="22"/>
        <v/>
      </c>
      <c r="I929" s="26" t="str">
        <f t="array" ref="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/>
      </c>
      <c r="J929" s="26" t="str">
        <f t="shared" si="5"/>
        <v/>
      </c>
      <c r="K929" s="26" t="str">
        <f t="shared" si="6"/>
        <v/>
      </c>
      <c r="L929" s="26" t="str">
        <f t="shared" si="7"/>
        <v/>
      </c>
      <c r="M929" s="26" t="str">
        <f t="array" ref="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/>
      </c>
      <c r="N929" s="26" t="str">
        <f t="shared" si="8"/>
        <v/>
      </c>
      <c r="O929" s="26" t="str">
        <f t="shared" si="9"/>
        <v/>
      </c>
      <c r="P929" s="26" t="str">
        <f t="shared" si="10"/>
        <v/>
      </c>
      <c r="Q929" s="26" t="str">
        <f t="shared" si="11"/>
        <v/>
      </c>
      <c r="R929" s="26" t="str">
        <f t="shared" si="12"/>
        <v/>
      </c>
      <c r="S929" s="26" t="str">
        <f t="shared" si="13"/>
        <v/>
      </c>
      <c r="T929" s="26" t="str">
        <f t="shared" si="14"/>
        <v/>
      </c>
      <c r="U929" s="26" t="str">
        <f t="shared" si="15"/>
        <v/>
      </c>
      <c r="V929" s="26" t="str">
        <f t="shared" si="16"/>
        <v/>
      </c>
      <c r="W929" s="26" t="str">
        <f t="shared" si="17"/>
        <v/>
      </c>
      <c r="X929" s="26" t="str">
        <f t="shared" si="18"/>
        <v/>
      </c>
      <c r="Y929" s="26" t="str">
        <f t="shared" si="19"/>
        <v/>
      </c>
      <c r="Z929" s="31" t="str">
        <f t="shared" si="20"/>
        <v/>
      </c>
      <c r="AA929" s="31" t="str">
        <f>IF(D929="","",IF(H929&lt;=$B$16,1,IF(H929&gt;=$B$17,$B$21,MATCH(H929,Aux_CAV!$A$2:$A$121,1))))</f>
        <v/>
      </c>
      <c r="AB929" s="31" t="str">
        <f>IF(D929="","",IF(L929&lt;=$B$16,1,IF(L929&gt;=$B$17,$B$21,MATCH(L929,Aux_CAV!$A$2:$A$121,1))))</f>
        <v/>
      </c>
      <c r="AC929" s="3" t="str">
        <f t="shared" si="21"/>
        <v/>
      </c>
    </row>
    <row r="930" ht="12.75" customHeight="1">
      <c r="A930" s="25" t="str">
        <f t="shared" si="1"/>
        <v/>
      </c>
      <c r="B930" s="29" t="str">
        <f t="array" ref="B930">IF(D930="","",IFERROR(VALUE(INDEX(Vazoes_COLAR!$A$2:$A$200,INT((ROW()-24)/12)+1)),""))</f>
        <v/>
      </c>
      <c r="C930" s="29" t="str">
        <f t="shared" si="2"/>
        <v/>
      </c>
      <c r="D930" s="26" t="str">
        <f t="array" ref="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30" s="26" t="str">
        <f t="shared" si="3"/>
        <v/>
      </c>
      <c r="F930" s="26" t="str">
        <f t="array" ref="F930">IF(D930="","",IFERROR(INDEX(Dados_Evap!$C$2:$N$15,MATCH($B$9,Dados_Evap!$A$2:$A$15,0),C930),0))</f>
        <v/>
      </c>
      <c r="G930" s="26" t="str">
        <f t="shared" si="4"/>
        <v/>
      </c>
      <c r="H930" s="26" t="str">
        <f t="shared" si="22"/>
        <v/>
      </c>
      <c r="I930" s="26" t="str">
        <f t="array" ref="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/>
      </c>
      <c r="J930" s="26" t="str">
        <f t="shared" si="5"/>
        <v/>
      </c>
      <c r="K930" s="26" t="str">
        <f t="shared" si="6"/>
        <v/>
      </c>
      <c r="L930" s="26" t="str">
        <f t="shared" si="7"/>
        <v/>
      </c>
      <c r="M930" s="26" t="str">
        <f t="array" ref="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/>
      </c>
      <c r="N930" s="26" t="str">
        <f t="shared" si="8"/>
        <v/>
      </c>
      <c r="O930" s="26" t="str">
        <f t="shared" si="9"/>
        <v/>
      </c>
      <c r="P930" s="26" t="str">
        <f t="shared" si="10"/>
        <v/>
      </c>
      <c r="Q930" s="26" t="str">
        <f t="shared" si="11"/>
        <v/>
      </c>
      <c r="R930" s="26" t="str">
        <f t="shared" si="12"/>
        <v/>
      </c>
      <c r="S930" s="26" t="str">
        <f t="shared" si="13"/>
        <v/>
      </c>
      <c r="T930" s="26" t="str">
        <f t="shared" si="14"/>
        <v/>
      </c>
      <c r="U930" s="26" t="str">
        <f t="shared" si="15"/>
        <v/>
      </c>
      <c r="V930" s="26" t="str">
        <f t="shared" si="16"/>
        <v/>
      </c>
      <c r="W930" s="26" t="str">
        <f t="shared" si="17"/>
        <v/>
      </c>
      <c r="X930" s="26" t="str">
        <f t="shared" si="18"/>
        <v/>
      </c>
      <c r="Y930" s="26" t="str">
        <f t="shared" si="19"/>
        <v/>
      </c>
      <c r="Z930" s="31" t="str">
        <f t="shared" si="20"/>
        <v/>
      </c>
      <c r="AA930" s="31" t="str">
        <f>IF(D930="","",IF(H930&lt;=$B$16,1,IF(H930&gt;=$B$17,$B$21,MATCH(H930,Aux_CAV!$A$2:$A$121,1))))</f>
        <v/>
      </c>
      <c r="AB930" s="31" t="str">
        <f>IF(D930="","",IF(L930&lt;=$B$16,1,IF(L930&gt;=$B$17,$B$21,MATCH(L930,Aux_CAV!$A$2:$A$121,1))))</f>
        <v/>
      </c>
      <c r="AC930" s="3" t="str">
        <f t="shared" si="21"/>
        <v/>
      </c>
    </row>
    <row r="931" ht="12.75" customHeight="1">
      <c r="A931" s="25" t="str">
        <f t="shared" si="1"/>
        <v/>
      </c>
      <c r="B931" s="29" t="str">
        <f t="array" ref="B931">IF(D931="","",IFERROR(VALUE(INDEX(Vazoes_COLAR!$A$2:$A$200,INT((ROW()-24)/12)+1)),""))</f>
        <v/>
      </c>
      <c r="C931" s="29" t="str">
        <f t="shared" si="2"/>
        <v/>
      </c>
      <c r="D931" s="26" t="str">
        <f t="array" ref="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31" s="26" t="str">
        <f t="shared" si="3"/>
        <v/>
      </c>
      <c r="F931" s="26" t="str">
        <f t="array" ref="F931">IF(D931="","",IFERROR(INDEX(Dados_Evap!$C$2:$N$15,MATCH($B$9,Dados_Evap!$A$2:$A$15,0),C931),0))</f>
        <v/>
      </c>
      <c r="G931" s="26" t="str">
        <f t="shared" si="4"/>
        <v/>
      </c>
      <c r="H931" s="26" t="str">
        <f t="shared" si="22"/>
        <v/>
      </c>
      <c r="I931" s="26" t="str">
        <f t="array" ref="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/>
      </c>
      <c r="J931" s="26" t="str">
        <f t="shared" si="5"/>
        <v/>
      </c>
      <c r="K931" s="26" t="str">
        <f t="shared" si="6"/>
        <v/>
      </c>
      <c r="L931" s="26" t="str">
        <f t="shared" si="7"/>
        <v/>
      </c>
      <c r="M931" s="26" t="str">
        <f t="array" ref="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/>
      </c>
      <c r="N931" s="26" t="str">
        <f t="shared" si="8"/>
        <v/>
      </c>
      <c r="O931" s="26" t="str">
        <f t="shared" si="9"/>
        <v/>
      </c>
      <c r="P931" s="26" t="str">
        <f t="shared" si="10"/>
        <v/>
      </c>
      <c r="Q931" s="26" t="str">
        <f t="shared" si="11"/>
        <v/>
      </c>
      <c r="R931" s="26" t="str">
        <f t="shared" si="12"/>
        <v/>
      </c>
      <c r="S931" s="26" t="str">
        <f t="shared" si="13"/>
        <v/>
      </c>
      <c r="T931" s="26" t="str">
        <f t="shared" si="14"/>
        <v/>
      </c>
      <c r="U931" s="26" t="str">
        <f t="shared" si="15"/>
        <v/>
      </c>
      <c r="V931" s="26" t="str">
        <f t="shared" si="16"/>
        <v/>
      </c>
      <c r="W931" s="26" t="str">
        <f t="shared" si="17"/>
        <v/>
      </c>
      <c r="X931" s="26" t="str">
        <f t="shared" si="18"/>
        <v/>
      </c>
      <c r="Y931" s="26" t="str">
        <f t="shared" si="19"/>
        <v/>
      </c>
      <c r="Z931" s="31" t="str">
        <f t="shared" si="20"/>
        <v/>
      </c>
      <c r="AA931" s="31" t="str">
        <f>IF(D931="","",IF(H931&lt;=$B$16,1,IF(H931&gt;=$B$17,$B$21,MATCH(H931,Aux_CAV!$A$2:$A$121,1))))</f>
        <v/>
      </c>
      <c r="AB931" s="31" t="str">
        <f>IF(D931="","",IF(L931&lt;=$B$16,1,IF(L931&gt;=$B$17,$B$21,MATCH(L931,Aux_CAV!$A$2:$A$121,1))))</f>
        <v/>
      </c>
      <c r="AC931" s="3" t="str">
        <f t="shared" si="21"/>
        <v/>
      </c>
    </row>
    <row r="932" ht="12.75" customHeight="1">
      <c r="A932" s="25" t="str">
        <f t="shared" si="1"/>
        <v/>
      </c>
      <c r="B932" s="29" t="str">
        <f t="array" ref="B932">IF(D932="","",IFERROR(VALUE(INDEX(Vazoes_COLAR!$A$2:$A$200,INT((ROW()-24)/12)+1)),""))</f>
        <v/>
      </c>
      <c r="C932" s="29" t="str">
        <f t="shared" si="2"/>
        <v/>
      </c>
      <c r="D932" s="26" t="str">
        <f t="array" ref="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32" s="26" t="str">
        <f t="shared" si="3"/>
        <v/>
      </c>
      <c r="F932" s="26" t="str">
        <f t="array" ref="F932">IF(D932="","",IFERROR(INDEX(Dados_Evap!$C$2:$N$15,MATCH($B$9,Dados_Evap!$A$2:$A$15,0),C932),0))</f>
        <v/>
      </c>
      <c r="G932" s="26" t="str">
        <f t="shared" si="4"/>
        <v/>
      </c>
      <c r="H932" s="26" t="str">
        <f t="shared" si="22"/>
        <v/>
      </c>
      <c r="I932" s="26" t="str">
        <f t="array" ref="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/>
      </c>
      <c r="J932" s="26" t="str">
        <f t="shared" si="5"/>
        <v/>
      </c>
      <c r="K932" s="26" t="str">
        <f t="shared" si="6"/>
        <v/>
      </c>
      <c r="L932" s="26" t="str">
        <f t="shared" si="7"/>
        <v/>
      </c>
      <c r="M932" s="26" t="str">
        <f t="array" ref="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/>
      </c>
      <c r="N932" s="26" t="str">
        <f t="shared" si="8"/>
        <v/>
      </c>
      <c r="O932" s="26" t="str">
        <f t="shared" si="9"/>
        <v/>
      </c>
      <c r="P932" s="26" t="str">
        <f t="shared" si="10"/>
        <v/>
      </c>
      <c r="Q932" s="26" t="str">
        <f t="shared" si="11"/>
        <v/>
      </c>
      <c r="R932" s="26" t="str">
        <f t="shared" si="12"/>
        <v/>
      </c>
      <c r="S932" s="26" t="str">
        <f t="shared" si="13"/>
        <v/>
      </c>
      <c r="T932" s="26" t="str">
        <f t="shared" si="14"/>
        <v/>
      </c>
      <c r="U932" s="26" t="str">
        <f t="shared" si="15"/>
        <v/>
      </c>
      <c r="V932" s="26" t="str">
        <f t="shared" si="16"/>
        <v/>
      </c>
      <c r="W932" s="26" t="str">
        <f t="shared" si="17"/>
        <v/>
      </c>
      <c r="X932" s="26" t="str">
        <f t="shared" si="18"/>
        <v/>
      </c>
      <c r="Y932" s="26" t="str">
        <f t="shared" si="19"/>
        <v/>
      </c>
      <c r="Z932" s="31" t="str">
        <f t="shared" si="20"/>
        <v/>
      </c>
      <c r="AA932" s="31" t="str">
        <f>IF(D932="","",IF(H932&lt;=$B$16,1,IF(H932&gt;=$B$17,$B$21,MATCH(H932,Aux_CAV!$A$2:$A$121,1))))</f>
        <v/>
      </c>
      <c r="AB932" s="31" t="str">
        <f>IF(D932="","",IF(L932&lt;=$B$16,1,IF(L932&gt;=$B$17,$B$21,MATCH(L932,Aux_CAV!$A$2:$A$121,1))))</f>
        <v/>
      </c>
      <c r="AC932" s="3" t="str">
        <f t="shared" si="21"/>
        <v/>
      </c>
    </row>
    <row r="933" ht="12.75" customHeight="1">
      <c r="A933" s="25" t="str">
        <f t="shared" si="1"/>
        <v/>
      </c>
      <c r="B933" s="29" t="str">
        <f t="array" ref="B933">IF(D933="","",IFERROR(VALUE(INDEX(Vazoes_COLAR!$A$2:$A$200,INT((ROW()-24)/12)+1)),""))</f>
        <v/>
      </c>
      <c r="C933" s="29" t="str">
        <f t="shared" si="2"/>
        <v/>
      </c>
      <c r="D933" s="26" t="str">
        <f t="array" ref="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33" s="26" t="str">
        <f t="shared" si="3"/>
        <v/>
      </c>
      <c r="F933" s="26" t="str">
        <f t="array" ref="F933">IF(D933="","",IFERROR(INDEX(Dados_Evap!$C$2:$N$15,MATCH($B$9,Dados_Evap!$A$2:$A$15,0),C933),0))</f>
        <v/>
      </c>
      <c r="G933" s="26" t="str">
        <f t="shared" si="4"/>
        <v/>
      </c>
      <c r="H933" s="26" t="str">
        <f t="shared" si="22"/>
        <v/>
      </c>
      <c r="I933" s="26" t="str">
        <f t="array" ref="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/>
      </c>
      <c r="J933" s="26" t="str">
        <f t="shared" si="5"/>
        <v/>
      </c>
      <c r="K933" s="26" t="str">
        <f t="shared" si="6"/>
        <v/>
      </c>
      <c r="L933" s="26" t="str">
        <f t="shared" si="7"/>
        <v/>
      </c>
      <c r="M933" s="26" t="str">
        <f t="array" ref="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/>
      </c>
      <c r="N933" s="26" t="str">
        <f t="shared" si="8"/>
        <v/>
      </c>
      <c r="O933" s="26" t="str">
        <f t="shared" si="9"/>
        <v/>
      </c>
      <c r="P933" s="26" t="str">
        <f t="shared" si="10"/>
        <v/>
      </c>
      <c r="Q933" s="26" t="str">
        <f t="shared" si="11"/>
        <v/>
      </c>
      <c r="R933" s="26" t="str">
        <f t="shared" si="12"/>
        <v/>
      </c>
      <c r="S933" s="26" t="str">
        <f t="shared" si="13"/>
        <v/>
      </c>
      <c r="T933" s="26" t="str">
        <f t="shared" si="14"/>
        <v/>
      </c>
      <c r="U933" s="26" t="str">
        <f t="shared" si="15"/>
        <v/>
      </c>
      <c r="V933" s="26" t="str">
        <f t="shared" si="16"/>
        <v/>
      </c>
      <c r="W933" s="26" t="str">
        <f t="shared" si="17"/>
        <v/>
      </c>
      <c r="X933" s="26" t="str">
        <f t="shared" si="18"/>
        <v/>
      </c>
      <c r="Y933" s="26" t="str">
        <f t="shared" si="19"/>
        <v/>
      </c>
      <c r="Z933" s="31" t="str">
        <f t="shared" si="20"/>
        <v/>
      </c>
      <c r="AA933" s="31" t="str">
        <f>IF(D933="","",IF(H933&lt;=$B$16,1,IF(H933&gt;=$B$17,$B$21,MATCH(H933,Aux_CAV!$A$2:$A$121,1))))</f>
        <v/>
      </c>
      <c r="AB933" s="31" t="str">
        <f>IF(D933="","",IF(L933&lt;=$B$16,1,IF(L933&gt;=$B$17,$B$21,MATCH(L933,Aux_CAV!$A$2:$A$121,1))))</f>
        <v/>
      </c>
      <c r="AC933" s="3" t="str">
        <f t="shared" si="21"/>
        <v/>
      </c>
    </row>
    <row r="934" ht="12.75" customHeight="1">
      <c r="A934" s="25" t="str">
        <f t="shared" si="1"/>
        <v/>
      </c>
      <c r="B934" s="29" t="str">
        <f t="array" ref="B934">IF(D934="","",IFERROR(VALUE(INDEX(Vazoes_COLAR!$A$2:$A$200,INT((ROW()-24)/12)+1)),""))</f>
        <v/>
      </c>
      <c r="C934" s="29" t="str">
        <f t="shared" si="2"/>
        <v/>
      </c>
      <c r="D934" s="26" t="str">
        <f t="array" ref="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34" s="26" t="str">
        <f t="shared" si="3"/>
        <v/>
      </c>
      <c r="F934" s="26" t="str">
        <f t="array" ref="F934">IF(D934="","",IFERROR(INDEX(Dados_Evap!$C$2:$N$15,MATCH($B$9,Dados_Evap!$A$2:$A$15,0),C934),0))</f>
        <v/>
      </c>
      <c r="G934" s="26" t="str">
        <f t="shared" si="4"/>
        <v/>
      </c>
      <c r="H934" s="26" t="str">
        <f t="shared" si="22"/>
        <v/>
      </c>
      <c r="I934" s="26" t="str">
        <f t="array" ref="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/>
      </c>
      <c r="J934" s="26" t="str">
        <f t="shared" si="5"/>
        <v/>
      </c>
      <c r="K934" s="26" t="str">
        <f t="shared" si="6"/>
        <v/>
      </c>
      <c r="L934" s="26" t="str">
        <f t="shared" si="7"/>
        <v/>
      </c>
      <c r="M934" s="26" t="str">
        <f t="array" ref="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/>
      </c>
      <c r="N934" s="26" t="str">
        <f t="shared" si="8"/>
        <v/>
      </c>
      <c r="O934" s="26" t="str">
        <f t="shared" si="9"/>
        <v/>
      </c>
      <c r="P934" s="26" t="str">
        <f t="shared" si="10"/>
        <v/>
      </c>
      <c r="Q934" s="26" t="str">
        <f t="shared" si="11"/>
        <v/>
      </c>
      <c r="R934" s="26" t="str">
        <f t="shared" si="12"/>
        <v/>
      </c>
      <c r="S934" s="26" t="str">
        <f t="shared" si="13"/>
        <v/>
      </c>
      <c r="T934" s="26" t="str">
        <f t="shared" si="14"/>
        <v/>
      </c>
      <c r="U934" s="26" t="str">
        <f t="shared" si="15"/>
        <v/>
      </c>
      <c r="V934" s="26" t="str">
        <f t="shared" si="16"/>
        <v/>
      </c>
      <c r="W934" s="26" t="str">
        <f t="shared" si="17"/>
        <v/>
      </c>
      <c r="X934" s="26" t="str">
        <f t="shared" si="18"/>
        <v/>
      </c>
      <c r="Y934" s="26" t="str">
        <f t="shared" si="19"/>
        <v/>
      </c>
      <c r="Z934" s="31" t="str">
        <f t="shared" si="20"/>
        <v/>
      </c>
      <c r="AA934" s="31" t="str">
        <f>IF(D934="","",IF(H934&lt;=$B$16,1,IF(H934&gt;=$B$17,$B$21,MATCH(H934,Aux_CAV!$A$2:$A$121,1))))</f>
        <v/>
      </c>
      <c r="AB934" s="31" t="str">
        <f>IF(D934="","",IF(L934&lt;=$B$16,1,IF(L934&gt;=$B$17,$B$21,MATCH(L934,Aux_CAV!$A$2:$A$121,1))))</f>
        <v/>
      </c>
      <c r="AC934" s="3" t="str">
        <f t="shared" si="21"/>
        <v/>
      </c>
    </row>
    <row r="935" ht="12.75" customHeight="1">
      <c r="A935" s="25" t="str">
        <f t="shared" si="1"/>
        <v/>
      </c>
      <c r="B935" s="29" t="str">
        <f t="array" ref="B935">IF(D935="","",IFERROR(VALUE(INDEX(Vazoes_COLAR!$A$2:$A$200,INT((ROW()-24)/12)+1)),""))</f>
        <v/>
      </c>
      <c r="C935" s="29" t="str">
        <f t="shared" si="2"/>
        <v/>
      </c>
      <c r="D935" s="26" t="str">
        <f t="array" ref="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35" s="26" t="str">
        <f t="shared" si="3"/>
        <v/>
      </c>
      <c r="F935" s="26" t="str">
        <f t="array" ref="F935">IF(D935="","",IFERROR(INDEX(Dados_Evap!$C$2:$N$15,MATCH($B$9,Dados_Evap!$A$2:$A$15,0),C935),0))</f>
        <v/>
      </c>
      <c r="G935" s="26" t="str">
        <f t="shared" si="4"/>
        <v/>
      </c>
      <c r="H935" s="26" t="str">
        <f t="shared" si="22"/>
        <v/>
      </c>
      <c r="I935" s="26" t="str">
        <f t="array" ref="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/>
      </c>
      <c r="J935" s="26" t="str">
        <f t="shared" si="5"/>
        <v/>
      </c>
      <c r="K935" s="26" t="str">
        <f t="shared" si="6"/>
        <v/>
      </c>
      <c r="L935" s="26" t="str">
        <f t="shared" si="7"/>
        <v/>
      </c>
      <c r="M935" s="26" t="str">
        <f t="array" ref="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/>
      </c>
      <c r="N935" s="26" t="str">
        <f t="shared" si="8"/>
        <v/>
      </c>
      <c r="O935" s="26" t="str">
        <f t="shared" si="9"/>
        <v/>
      </c>
      <c r="P935" s="26" t="str">
        <f t="shared" si="10"/>
        <v/>
      </c>
      <c r="Q935" s="26" t="str">
        <f t="shared" si="11"/>
        <v/>
      </c>
      <c r="R935" s="26" t="str">
        <f t="shared" si="12"/>
        <v/>
      </c>
      <c r="S935" s="26" t="str">
        <f t="shared" si="13"/>
        <v/>
      </c>
      <c r="T935" s="26" t="str">
        <f t="shared" si="14"/>
        <v/>
      </c>
      <c r="U935" s="26" t="str">
        <f t="shared" si="15"/>
        <v/>
      </c>
      <c r="V935" s="26" t="str">
        <f t="shared" si="16"/>
        <v/>
      </c>
      <c r="W935" s="26" t="str">
        <f t="shared" si="17"/>
        <v/>
      </c>
      <c r="X935" s="26" t="str">
        <f t="shared" si="18"/>
        <v/>
      </c>
      <c r="Y935" s="26" t="str">
        <f t="shared" si="19"/>
        <v/>
      </c>
      <c r="Z935" s="31" t="str">
        <f t="shared" si="20"/>
        <v/>
      </c>
      <c r="AA935" s="31" t="str">
        <f>IF(D935="","",IF(H935&lt;=$B$16,1,IF(H935&gt;=$B$17,$B$21,MATCH(H935,Aux_CAV!$A$2:$A$121,1))))</f>
        <v/>
      </c>
      <c r="AB935" s="31" t="str">
        <f>IF(D935="","",IF(L935&lt;=$B$16,1,IF(L935&gt;=$B$17,$B$21,MATCH(L935,Aux_CAV!$A$2:$A$121,1))))</f>
        <v/>
      </c>
      <c r="AC935" s="3" t="str">
        <f t="shared" si="21"/>
        <v/>
      </c>
    </row>
    <row r="936" ht="12.75" customHeight="1">
      <c r="A936" s="25" t="str">
        <f t="shared" si="1"/>
        <v/>
      </c>
      <c r="B936" s="29" t="str">
        <f t="array" ref="B936">IF(D936="","",IFERROR(VALUE(INDEX(Vazoes_COLAR!$A$2:$A$200,INT((ROW()-24)/12)+1)),""))</f>
        <v/>
      </c>
      <c r="C936" s="29" t="str">
        <f t="shared" si="2"/>
        <v/>
      </c>
      <c r="D936" s="26" t="str">
        <f t="array" ref="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36" s="26" t="str">
        <f t="shared" si="3"/>
        <v/>
      </c>
      <c r="F936" s="26" t="str">
        <f t="array" ref="F936">IF(D936="","",IFERROR(INDEX(Dados_Evap!$C$2:$N$15,MATCH($B$9,Dados_Evap!$A$2:$A$15,0),C936),0))</f>
        <v/>
      </c>
      <c r="G936" s="26" t="str">
        <f t="shared" si="4"/>
        <v/>
      </c>
      <c r="H936" s="26" t="str">
        <f t="shared" si="22"/>
        <v/>
      </c>
      <c r="I936" s="26" t="str">
        <f t="array" ref="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/>
      </c>
      <c r="J936" s="26" t="str">
        <f t="shared" si="5"/>
        <v/>
      </c>
      <c r="K936" s="26" t="str">
        <f t="shared" si="6"/>
        <v/>
      </c>
      <c r="L936" s="26" t="str">
        <f t="shared" si="7"/>
        <v/>
      </c>
      <c r="M936" s="26" t="str">
        <f t="array" ref="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/>
      </c>
      <c r="N936" s="26" t="str">
        <f t="shared" si="8"/>
        <v/>
      </c>
      <c r="O936" s="26" t="str">
        <f t="shared" si="9"/>
        <v/>
      </c>
      <c r="P936" s="26" t="str">
        <f t="shared" si="10"/>
        <v/>
      </c>
      <c r="Q936" s="26" t="str">
        <f t="shared" si="11"/>
        <v/>
      </c>
      <c r="R936" s="26" t="str">
        <f t="shared" si="12"/>
        <v/>
      </c>
      <c r="S936" s="26" t="str">
        <f t="shared" si="13"/>
        <v/>
      </c>
      <c r="T936" s="26" t="str">
        <f t="shared" si="14"/>
        <v/>
      </c>
      <c r="U936" s="26" t="str">
        <f t="shared" si="15"/>
        <v/>
      </c>
      <c r="V936" s="26" t="str">
        <f t="shared" si="16"/>
        <v/>
      </c>
      <c r="W936" s="26" t="str">
        <f t="shared" si="17"/>
        <v/>
      </c>
      <c r="X936" s="26" t="str">
        <f t="shared" si="18"/>
        <v/>
      </c>
      <c r="Y936" s="26" t="str">
        <f t="shared" si="19"/>
        <v/>
      </c>
      <c r="Z936" s="31" t="str">
        <f t="shared" si="20"/>
        <v/>
      </c>
      <c r="AA936" s="31" t="str">
        <f>IF(D936="","",IF(H936&lt;=$B$16,1,IF(H936&gt;=$B$17,$B$21,MATCH(H936,Aux_CAV!$A$2:$A$121,1))))</f>
        <v/>
      </c>
      <c r="AB936" s="31" t="str">
        <f>IF(D936="","",IF(L936&lt;=$B$16,1,IF(L936&gt;=$B$17,$B$21,MATCH(L936,Aux_CAV!$A$2:$A$121,1))))</f>
        <v/>
      </c>
      <c r="AC936" s="3" t="str">
        <f t="shared" si="21"/>
        <v/>
      </c>
    </row>
    <row r="937" ht="12.75" customHeight="1">
      <c r="A937" s="25" t="str">
        <f t="shared" si="1"/>
        <v/>
      </c>
      <c r="B937" s="29" t="str">
        <f t="array" ref="B937">IF(D937="","",IFERROR(VALUE(INDEX(Vazoes_COLAR!$A$2:$A$200,INT((ROW()-24)/12)+1)),""))</f>
        <v/>
      </c>
      <c r="C937" s="29" t="str">
        <f t="shared" si="2"/>
        <v/>
      </c>
      <c r="D937" s="26" t="str">
        <f t="array" ref="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37" s="26" t="str">
        <f t="shared" si="3"/>
        <v/>
      </c>
      <c r="F937" s="26" t="str">
        <f t="array" ref="F937">IF(D937="","",IFERROR(INDEX(Dados_Evap!$C$2:$N$15,MATCH($B$9,Dados_Evap!$A$2:$A$15,0),C937),0))</f>
        <v/>
      </c>
      <c r="G937" s="26" t="str">
        <f t="shared" si="4"/>
        <v/>
      </c>
      <c r="H937" s="26" t="str">
        <f t="shared" si="22"/>
        <v/>
      </c>
      <c r="I937" s="26" t="str">
        <f t="array" ref="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/>
      </c>
      <c r="J937" s="26" t="str">
        <f t="shared" si="5"/>
        <v/>
      </c>
      <c r="K937" s="26" t="str">
        <f t="shared" si="6"/>
        <v/>
      </c>
      <c r="L937" s="26" t="str">
        <f t="shared" si="7"/>
        <v/>
      </c>
      <c r="M937" s="26" t="str">
        <f t="array" ref="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/>
      </c>
      <c r="N937" s="26" t="str">
        <f t="shared" si="8"/>
        <v/>
      </c>
      <c r="O937" s="26" t="str">
        <f t="shared" si="9"/>
        <v/>
      </c>
      <c r="P937" s="26" t="str">
        <f t="shared" si="10"/>
        <v/>
      </c>
      <c r="Q937" s="26" t="str">
        <f t="shared" si="11"/>
        <v/>
      </c>
      <c r="R937" s="26" t="str">
        <f t="shared" si="12"/>
        <v/>
      </c>
      <c r="S937" s="26" t="str">
        <f t="shared" si="13"/>
        <v/>
      </c>
      <c r="T937" s="26" t="str">
        <f t="shared" si="14"/>
        <v/>
      </c>
      <c r="U937" s="26" t="str">
        <f t="shared" si="15"/>
        <v/>
      </c>
      <c r="V937" s="26" t="str">
        <f t="shared" si="16"/>
        <v/>
      </c>
      <c r="W937" s="26" t="str">
        <f t="shared" si="17"/>
        <v/>
      </c>
      <c r="X937" s="26" t="str">
        <f t="shared" si="18"/>
        <v/>
      </c>
      <c r="Y937" s="26" t="str">
        <f t="shared" si="19"/>
        <v/>
      </c>
      <c r="Z937" s="31" t="str">
        <f t="shared" si="20"/>
        <v/>
      </c>
      <c r="AA937" s="31" t="str">
        <f>IF(D937="","",IF(H937&lt;=$B$16,1,IF(H937&gt;=$B$17,$B$21,MATCH(H937,Aux_CAV!$A$2:$A$121,1))))</f>
        <v/>
      </c>
      <c r="AB937" s="31" t="str">
        <f>IF(D937="","",IF(L937&lt;=$B$16,1,IF(L937&gt;=$B$17,$B$21,MATCH(L937,Aux_CAV!$A$2:$A$121,1))))</f>
        <v/>
      </c>
      <c r="AC937" s="3" t="str">
        <f t="shared" si="21"/>
        <v/>
      </c>
    </row>
    <row r="938" ht="12.75" customHeight="1">
      <c r="A938" s="25" t="str">
        <f t="shared" si="1"/>
        <v/>
      </c>
      <c r="B938" s="29" t="str">
        <f t="array" ref="B938">IF(D938="","",IFERROR(VALUE(INDEX(Vazoes_COLAR!$A$2:$A$200,INT((ROW()-24)/12)+1)),""))</f>
        <v/>
      </c>
      <c r="C938" s="29" t="str">
        <f t="shared" si="2"/>
        <v/>
      </c>
      <c r="D938" s="26" t="str">
        <f t="array" ref="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38" s="26" t="str">
        <f t="shared" si="3"/>
        <v/>
      </c>
      <c r="F938" s="26" t="str">
        <f t="array" ref="F938">IF(D938="","",IFERROR(INDEX(Dados_Evap!$C$2:$N$15,MATCH($B$9,Dados_Evap!$A$2:$A$15,0),C938),0))</f>
        <v/>
      </c>
      <c r="G938" s="26" t="str">
        <f t="shared" si="4"/>
        <v/>
      </c>
      <c r="H938" s="26" t="str">
        <f t="shared" si="22"/>
        <v/>
      </c>
      <c r="I938" s="26" t="str">
        <f t="array" ref="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/>
      </c>
      <c r="J938" s="26" t="str">
        <f t="shared" si="5"/>
        <v/>
      </c>
      <c r="K938" s="26" t="str">
        <f t="shared" si="6"/>
        <v/>
      </c>
      <c r="L938" s="26" t="str">
        <f t="shared" si="7"/>
        <v/>
      </c>
      <c r="M938" s="26" t="str">
        <f t="array" ref="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/>
      </c>
      <c r="N938" s="26" t="str">
        <f t="shared" si="8"/>
        <v/>
      </c>
      <c r="O938" s="26" t="str">
        <f t="shared" si="9"/>
        <v/>
      </c>
      <c r="P938" s="26" t="str">
        <f t="shared" si="10"/>
        <v/>
      </c>
      <c r="Q938" s="26" t="str">
        <f t="shared" si="11"/>
        <v/>
      </c>
      <c r="R938" s="26" t="str">
        <f t="shared" si="12"/>
        <v/>
      </c>
      <c r="S938" s="26" t="str">
        <f t="shared" si="13"/>
        <v/>
      </c>
      <c r="T938" s="26" t="str">
        <f t="shared" si="14"/>
        <v/>
      </c>
      <c r="U938" s="26" t="str">
        <f t="shared" si="15"/>
        <v/>
      </c>
      <c r="V938" s="26" t="str">
        <f t="shared" si="16"/>
        <v/>
      </c>
      <c r="W938" s="26" t="str">
        <f t="shared" si="17"/>
        <v/>
      </c>
      <c r="X938" s="26" t="str">
        <f t="shared" si="18"/>
        <v/>
      </c>
      <c r="Y938" s="26" t="str">
        <f t="shared" si="19"/>
        <v/>
      </c>
      <c r="Z938" s="31" t="str">
        <f t="shared" si="20"/>
        <v/>
      </c>
      <c r="AA938" s="31" t="str">
        <f>IF(D938="","",IF(H938&lt;=$B$16,1,IF(H938&gt;=$B$17,$B$21,MATCH(H938,Aux_CAV!$A$2:$A$121,1))))</f>
        <v/>
      </c>
      <c r="AB938" s="31" t="str">
        <f>IF(D938="","",IF(L938&lt;=$B$16,1,IF(L938&gt;=$B$17,$B$21,MATCH(L938,Aux_CAV!$A$2:$A$121,1))))</f>
        <v/>
      </c>
      <c r="AC938" s="3" t="str">
        <f t="shared" si="21"/>
        <v/>
      </c>
    </row>
    <row r="939" ht="12.75" customHeight="1">
      <c r="A939" s="25" t="str">
        <f t="shared" si="1"/>
        <v/>
      </c>
      <c r="B939" s="29" t="str">
        <f t="array" ref="B939">IF(D939="","",IFERROR(VALUE(INDEX(Vazoes_COLAR!$A$2:$A$200,INT((ROW()-24)/12)+1)),""))</f>
        <v/>
      </c>
      <c r="C939" s="29" t="str">
        <f t="shared" si="2"/>
        <v/>
      </c>
      <c r="D939" s="26" t="str">
        <f t="array" ref="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39" s="26" t="str">
        <f t="shared" si="3"/>
        <v/>
      </c>
      <c r="F939" s="26" t="str">
        <f t="array" ref="F939">IF(D939="","",IFERROR(INDEX(Dados_Evap!$C$2:$N$15,MATCH($B$9,Dados_Evap!$A$2:$A$15,0),C939),0))</f>
        <v/>
      </c>
      <c r="G939" s="26" t="str">
        <f t="shared" si="4"/>
        <v/>
      </c>
      <c r="H939" s="26" t="str">
        <f t="shared" si="22"/>
        <v/>
      </c>
      <c r="I939" s="26" t="str">
        <f t="array" ref="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/>
      </c>
      <c r="J939" s="26" t="str">
        <f t="shared" si="5"/>
        <v/>
      </c>
      <c r="K939" s="26" t="str">
        <f t="shared" si="6"/>
        <v/>
      </c>
      <c r="L939" s="26" t="str">
        <f t="shared" si="7"/>
        <v/>
      </c>
      <c r="M939" s="26" t="str">
        <f t="array" ref="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/>
      </c>
      <c r="N939" s="26" t="str">
        <f t="shared" si="8"/>
        <v/>
      </c>
      <c r="O939" s="26" t="str">
        <f t="shared" si="9"/>
        <v/>
      </c>
      <c r="P939" s="26" t="str">
        <f t="shared" si="10"/>
        <v/>
      </c>
      <c r="Q939" s="26" t="str">
        <f t="shared" si="11"/>
        <v/>
      </c>
      <c r="R939" s="26" t="str">
        <f t="shared" si="12"/>
        <v/>
      </c>
      <c r="S939" s="26" t="str">
        <f t="shared" si="13"/>
        <v/>
      </c>
      <c r="T939" s="26" t="str">
        <f t="shared" si="14"/>
        <v/>
      </c>
      <c r="U939" s="26" t="str">
        <f t="shared" si="15"/>
        <v/>
      </c>
      <c r="V939" s="26" t="str">
        <f t="shared" si="16"/>
        <v/>
      </c>
      <c r="W939" s="26" t="str">
        <f t="shared" si="17"/>
        <v/>
      </c>
      <c r="X939" s="26" t="str">
        <f t="shared" si="18"/>
        <v/>
      </c>
      <c r="Y939" s="26" t="str">
        <f t="shared" si="19"/>
        <v/>
      </c>
      <c r="Z939" s="31" t="str">
        <f t="shared" si="20"/>
        <v/>
      </c>
      <c r="AA939" s="31" t="str">
        <f>IF(D939="","",IF(H939&lt;=$B$16,1,IF(H939&gt;=$B$17,$B$21,MATCH(H939,Aux_CAV!$A$2:$A$121,1))))</f>
        <v/>
      </c>
      <c r="AB939" s="31" t="str">
        <f>IF(D939="","",IF(L939&lt;=$B$16,1,IF(L939&gt;=$B$17,$B$21,MATCH(L939,Aux_CAV!$A$2:$A$121,1))))</f>
        <v/>
      </c>
      <c r="AC939" s="3" t="str">
        <f t="shared" si="21"/>
        <v/>
      </c>
    </row>
    <row r="940" ht="12.75" customHeight="1">
      <c r="A940" s="25" t="str">
        <f t="shared" si="1"/>
        <v/>
      </c>
      <c r="B940" s="29" t="str">
        <f t="array" ref="B940">IF(D940="","",IFERROR(VALUE(INDEX(Vazoes_COLAR!$A$2:$A$200,INT((ROW()-24)/12)+1)),""))</f>
        <v/>
      </c>
      <c r="C940" s="29" t="str">
        <f t="shared" si="2"/>
        <v/>
      </c>
      <c r="D940" s="26" t="str">
        <f t="array" ref="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40" s="26" t="str">
        <f t="shared" si="3"/>
        <v/>
      </c>
      <c r="F940" s="26" t="str">
        <f t="array" ref="F940">IF(D940="","",IFERROR(INDEX(Dados_Evap!$C$2:$N$15,MATCH($B$9,Dados_Evap!$A$2:$A$15,0),C940),0))</f>
        <v/>
      </c>
      <c r="G940" s="26" t="str">
        <f t="shared" si="4"/>
        <v/>
      </c>
      <c r="H940" s="26" t="str">
        <f t="shared" si="22"/>
        <v/>
      </c>
      <c r="I940" s="26" t="str">
        <f t="array" ref="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/>
      </c>
      <c r="J940" s="26" t="str">
        <f t="shared" si="5"/>
        <v/>
      </c>
      <c r="K940" s="26" t="str">
        <f t="shared" si="6"/>
        <v/>
      </c>
      <c r="L940" s="26" t="str">
        <f t="shared" si="7"/>
        <v/>
      </c>
      <c r="M940" s="26" t="str">
        <f t="array" ref="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/>
      </c>
      <c r="N940" s="26" t="str">
        <f t="shared" si="8"/>
        <v/>
      </c>
      <c r="O940" s="26" t="str">
        <f t="shared" si="9"/>
        <v/>
      </c>
      <c r="P940" s="26" t="str">
        <f t="shared" si="10"/>
        <v/>
      </c>
      <c r="Q940" s="26" t="str">
        <f t="shared" si="11"/>
        <v/>
      </c>
      <c r="R940" s="26" t="str">
        <f t="shared" si="12"/>
        <v/>
      </c>
      <c r="S940" s="26" t="str">
        <f t="shared" si="13"/>
        <v/>
      </c>
      <c r="T940" s="26" t="str">
        <f t="shared" si="14"/>
        <v/>
      </c>
      <c r="U940" s="26" t="str">
        <f t="shared" si="15"/>
        <v/>
      </c>
      <c r="V940" s="26" t="str">
        <f t="shared" si="16"/>
        <v/>
      </c>
      <c r="W940" s="26" t="str">
        <f t="shared" si="17"/>
        <v/>
      </c>
      <c r="X940" s="26" t="str">
        <f t="shared" si="18"/>
        <v/>
      </c>
      <c r="Y940" s="26" t="str">
        <f t="shared" si="19"/>
        <v/>
      </c>
      <c r="Z940" s="31" t="str">
        <f t="shared" si="20"/>
        <v/>
      </c>
      <c r="AA940" s="31" t="str">
        <f>IF(D940="","",IF(H940&lt;=$B$16,1,IF(H940&gt;=$B$17,$B$21,MATCH(H940,Aux_CAV!$A$2:$A$121,1))))</f>
        <v/>
      </c>
      <c r="AB940" s="31" t="str">
        <f>IF(D940="","",IF(L940&lt;=$B$16,1,IF(L940&gt;=$B$17,$B$21,MATCH(L940,Aux_CAV!$A$2:$A$121,1))))</f>
        <v/>
      </c>
      <c r="AC940" s="3" t="str">
        <f t="shared" si="21"/>
        <v/>
      </c>
    </row>
    <row r="941" ht="12.75" customHeight="1">
      <c r="A941" s="25" t="str">
        <f t="shared" si="1"/>
        <v/>
      </c>
      <c r="B941" s="29" t="str">
        <f t="array" ref="B941">IF(D941="","",IFERROR(VALUE(INDEX(Vazoes_COLAR!$A$2:$A$200,INT((ROW()-24)/12)+1)),""))</f>
        <v/>
      </c>
      <c r="C941" s="29" t="str">
        <f t="shared" si="2"/>
        <v/>
      </c>
      <c r="D941" s="26" t="str">
        <f t="array" ref="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41" s="26" t="str">
        <f t="shared" si="3"/>
        <v/>
      </c>
      <c r="F941" s="26" t="str">
        <f t="array" ref="F941">IF(D941="","",IFERROR(INDEX(Dados_Evap!$C$2:$N$15,MATCH($B$9,Dados_Evap!$A$2:$A$15,0),C941),0))</f>
        <v/>
      </c>
      <c r="G941" s="26" t="str">
        <f t="shared" si="4"/>
        <v/>
      </c>
      <c r="H941" s="26" t="str">
        <f t="shared" si="22"/>
        <v/>
      </c>
      <c r="I941" s="26" t="str">
        <f t="array" ref="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/>
      </c>
      <c r="J941" s="26" t="str">
        <f t="shared" si="5"/>
        <v/>
      </c>
      <c r="K941" s="26" t="str">
        <f t="shared" si="6"/>
        <v/>
      </c>
      <c r="L941" s="26" t="str">
        <f t="shared" si="7"/>
        <v/>
      </c>
      <c r="M941" s="26" t="str">
        <f t="array" ref="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/>
      </c>
      <c r="N941" s="26" t="str">
        <f t="shared" si="8"/>
        <v/>
      </c>
      <c r="O941" s="26" t="str">
        <f t="shared" si="9"/>
        <v/>
      </c>
      <c r="P941" s="26" t="str">
        <f t="shared" si="10"/>
        <v/>
      </c>
      <c r="Q941" s="26" t="str">
        <f t="shared" si="11"/>
        <v/>
      </c>
      <c r="R941" s="26" t="str">
        <f t="shared" si="12"/>
        <v/>
      </c>
      <c r="S941" s="26" t="str">
        <f t="shared" si="13"/>
        <v/>
      </c>
      <c r="T941" s="26" t="str">
        <f t="shared" si="14"/>
        <v/>
      </c>
      <c r="U941" s="26" t="str">
        <f t="shared" si="15"/>
        <v/>
      </c>
      <c r="V941" s="26" t="str">
        <f t="shared" si="16"/>
        <v/>
      </c>
      <c r="W941" s="26" t="str">
        <f t="shared" si="17"/>
        <v/>
      </c>
      <c r="X941" s="26" t="str">
        <f t="shared" si="18"/>
        <v/>
      </c>
      <c r="Y941" s="26" t="str">
        <f t="shared" si="19"/>
        <v/>
      </c>
      <c r="Z941" s="31" t="str">
        <f t="shared" si="20"/>
        <v/>
      </c>
      <c r="AA941" s="31" t="str">
        <f>IF(D941="","",IF(H941&lt;=$B$16,1,IF(H941&gt;=$B$17,$B$21,MATCH(H941,Aux_CAV!$A$2:$A$121,1))))</f>
        <v/>
      </c>
      <c r="AB941" s="31" t="str">
        <f>IF(D941="","",IF(L941&lt;=$B$16,1,IF(L941&gt;=$B$17,$B$21,MATCH(L941,Aux_CAV!$A$2:$A$121,1))))</f>
        <v/>
      </c>
      <c r="AC941" s="3" t="str">
        <f t="shared" si="21"/>
        <v/>
      </c>
    </row>
    <row r="942" ht="12.75" customHeight="1">
      <c r="A942" s="25" t="str">
        <f t="shared" si="1"/>
        <v/>
      </c>
      <c r="B942" s="29" t="str">
        <f t="array" ref="B942">IF(D942="","",IFERROR(VALUE(INDEX(Vazoes_COLAR!$A$2:$A$200,INT((ROW()-24)/12)+1)),""))</f>
        <v/>
      </c>
      <c r="C942" s="29" t="str">
        <f t="shared" si="2"/>
        <v/>
      </c>
      <c r="D942" s="26" t="str">
        <f t="array" ref="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42" s="26" t="str">
        <f t="shared" si="3"/>
        <v/>
      </c>
      <c r="F942" s="26" t="str">
        <f t="array" ref="F942">IF(D942="","",IFERROR(INDEX(Dados_Evap!$C$2:$N$15,MATCH($B$9,Dados_Evap!$A$2:$A$15,0),C942),0))</f>
        <v/>
      </c>
      <c r="G942" s="26" t="str">
        <f t="shared" si="4"/>
        <v/>
      </c>
      <c r="H942" s="26" t="str">
        <f t="shared" si="22"/>
        <v/>
      </c>
      <c r="I942" s="26" t="str">
        <f t="array" ref="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/>
      </c>
      <c r="J942" s="26" t="str">
        <f t="shared" si="5"/>
        <v/>
      </c>
      <c r="K942" s="26" t="str">
        <f t="shared" si="6"/>
        <v/>
      </c>
      <c r="L942" s="26" t="str">
        <f t="shared" si="7"/>
        <v/>
      </c>
      <c r="M942" s="26" t="str">
        <f t="array" ref="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/>
      </c>
      <c r="N942" s="26" t="str">
        <f t="shared" si="8"/>
        <v/>
      </c>
      <c r="O942" s="26" t="str">
        <f t="shared" si="9"/>
        <v/>
      </c>
      <c r="P942" s="26" t="str">
        <f t="shared" si="10"/>
        <v/>
      </c>
      <c r="Q942" s="26" t="str">
        <f t="shared" si="11"/>
        <v/>
      </c>
      <c r="R942" s="26" t="str">
        <f t="shared" si="12"/>
        <v/>
      </c>
      <c r="S942" s="26" t="str">
        <f t="shared" si="13"/>
        <v/>
      </c>
      <c r="T942" s="26" t="str">
        <f t="shared" si="14"/>
        <v/>
      </c>
      <c r="U942" s="26" t="str">
        <f t="shared" si="15"/>
        <v/>
      </c>
      <c r="V942" s="26" t="str">
        <f t="shared" si="16"/>
        <v/>
      </c>
      <c r="W942" s="26" t="str">
        <f t="shared" si="17"/>
        <v/>
      </c>
      <c r="X942" s="26" t="str">
        <f t="shared" si="18"/>
        <v/>
      </c>
      <c r="Y942" s="26" t="str">
        <f t="shared" si="19"/>
        <v/>
      </c>
      <c r="Z942" s="31" t="str">
        <f t="shared" si="20"/>
        <v/>
      </c>
      <c r="AA942" s="31" t="str">
        <f>IF(D942="","",IF(H942&lt;=$B$16,1,IF(H942&gt;=$B$17,$B$21,MATCH(H942,Aux_CAV!$A$2:$A$121,1))))</f>
        <v/>
      </c>
      <c r="AB942" s="31" t="str">
        <f>IF(D942="","",IF(L942&lt;=$B$16,1,IF(L942&gt;=$B$17,$B$21,MATCH(L942,Aux_CAV!$A$2:$A$121,1))))</f>
        <v/>
      </c>
      <c r="AC942" s="3" t="str">
        <f t="shared" si="21"/>
        <v/>
      </c>
    </row>
    <row r="943" ht="12.75" customHeight="1">
      <c r="A943" s="25" t="str">
        <f t="shared" si="1"/>
        <v/>
      </c>
      <c r="B943" s="29" t="str">
        <f t="array" ref="B943">IF(D943="","",IFERROR(VALUE(INDEX(Vazoes_COLAR!$A$2:$A$200,INT((ROW()-24)/12)+1)),""))</f>
        <v/>
      </c>
      <c r="C943" s="29" t="str">
        <f t="shared" si="2"/>
        <v/>
      </c>
      <c r="D943" s="26" t="str">
        <f t="array" ref="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43" s="26" t="str">
        <f t="shared" si="3"/>
        <v/>
      </c>
      <c r="F943" s="26" t="str">
        <f t="array" ref="F943">IF(D943="","",IFERROR(INDEX(Dados_Evap!$C$2:$N$15,MATCH($B$9,Dados_Evap!$A$2:$A$15,0),C943),0))</f>
        <v/>
      </c>
      <c r="G943" s="26" t="str">
        <f t="shared" si="4"/>
        <v/>
      </c>
      <c r="H943" s="26" t="str">
        <f t="shared" si="22"/>
        <v/>
      </c>
      <c r="I943" s="26" t="str">
        <f t="array" ref="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/>
      </c>
      <c r="J943" s="26" t="str">
        <f t="shared" si="5"/>
        <v/>
      </c>
      <c r="K943" s="26" t="str">
        <f t="shared" si="6"/>
        <v/>
      </c>
      <c r="L943" s="26" t="str">
        <f t="shared" si="7"/>
        <v/>
      </c>
      <c r="M943" s="26" t="str">
        <f t="array" ref="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/>
      </c>
      <c r="N943" s="26" t="str">
        <f t="shared" si="8"/>
        <v/>
      </c>
      <c r="O943" s="26" t="str">
        <f t="shared" si="9"/>
        <v/>
      </c>
      <c r="P943" s="26" t="str">
        <f t="shared" si="10"/>
        <v/>
      </c>
      <c r="Q943" s="26" t="str">
        <f t="shared" si="11"/>
        <v/>
      </c>
      <c r="R943" s="26" t="str">
        <f t="shared" si="12"/>
        <v/>
      </c>
      <c r="S943" s="26" t="str">
        <f t="shared" si="13"/>
        <v/>
      </c>
      <c r="T943" s="26" t="str">
        <f t="shared" si="14"/>
        <v/>
      </c>
      <c r="U943" s="26" t="str">
        <f t="shared" si="15"/>
        <v/>
      </c>
      <c r="V943" s="26" t="str">
        <f t="shared" si="16"/>
        <v/>
      </c>
      <c r="W943" s="26" t="str">
        <f t="shared" si="17"/>
        <v/>
      </c>
      <c r="X943" s="26" t="str">
        <f t="shared" si="18"/>
        <v/>
      </c>
      <c r="Y943" s="26" t="str">
        <f t="shared" si="19"/>
        <v/>
      </c>
      <c r="Z943" s="31" t="str">
        <f t="shared" si="20"/>
        <v/>
      </c>
      <c r="AA943" s="31" t="str">
        <f>IF(D943="","",IF(H943&lt;=$B$16,1,IF(H943&gt;=$B$17,$B$21,MATCH(H943,Aux_CAV!$A$2:$A$121,1))))</f>
        <v/>
      </c>
      <c r="AB943" s="31" t="str">
        <f>IF(D943="","",IF(L943&lt;=$B$16,1,IF(L943&gt;=$B$17,$B$21,MATCH(L943,Aux_CAV!$A$2:$A$121,1))))</f>
        <v/>
      </c>
      <c r="AC943" s="3" t="str">
        <f t="shared" si="21"/>
        <v/>
      </c>
    </row>
    <row r="944" ht="12.75" customHeight="1">
      <c r="A944" s="25" t="str">
        <f t="shared" si="1"/>
        <v/>
      </c>
      <c r="B944" s="29" t="str">
        <f t="array" ref="B944">IF(D944="","",IFERROR(VALUE(INDEX(Vazoes_COLAR!$A$2:$A$200,INT((ROW()-24)/12)+1)),""))</f>
        <v/>
      </c>
      <c r="C944" s="29" t="str">
        <f t="shared" si="2"/>
        <v/>
      </c>
      <c r="D944" s="26" t="str">
        <f t="array" ref="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44" s="26" t="str">
        <f t="shared" si="3"/>
        <v/>
      </c>
      <c r="F944" s="26" t="str">
        <f t="array" ref="F944">IF(D944="","",IFERROR(INDEX(Dados_Evap!$C$2:$N$15,MATCH($B$9,Dados_Evap!$A$2:$A$15,0),C944),0))</f>
        <v/>
      </c>
      <c r="G944" s="26" t="str">
        <f t="shared" si="4"/>
        <v/>
      </c>
      <c r="H944" s="26" t="str">
        <f t="shared" si="22"/>
        <v/>
      </c>
      <c r="I944" s="26" t="str">
        <f t="array" ref="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/>
      </c>
      <c r="J944" s="26" t="str">
        <f t="shared" si="5"/>
        <v/>
      </c>
      <c r="K944" s="26" t="str">
        <f t="shared" si="6"/>
        <v/>
      </c>
      <c r="L944" s="26" t="str">
        <f t="shared" si="7"/>
        <v/>
      </c>
      <c r="M944" s="26" t="str">
        <f t="array" ref="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/>
      </c>
      <c r="N944" s="26" t="str">
        <f t="shared" si="8"/>
        <v/>
      </c>
      <c r="O944" s="26" t="str">
        <f t="shared" si="9"/>
        <v/>
      </c>
      <c r="P944" s="26" t="str">
        <f t="shared" si="10"/>
        <v/>
      </c>
      <c r="Q944" s="26" t="str">
        <f t="shared" si="11"/>
        <v/>
      </c>
      <c r="R944" s="26" t="str">
        <f t="shared" si="12"/>
        <v/>
      </c>
      <c r="S944" s="26" t="str">
        <f t="shared" si="13"/>
        <v/>
      </c>
      <c r="T944" s="26" t="str">
        <f t="shared" si="14"/>
        <v/>
      </c>
      <c r="U944" s="26" t="str">
        <f t="shared" si="15"/>
        <v/>
      </c>
      <c r="V944" s="26" t="str">
        <f t="shared" si="16"/>
        <v/>
      </c>
      <c r="W944" s="26" t="str">
        <f t="shared" si="17"/>
        <v/>
      </c>
      <c r="X944" s="26" t="str">
        <f t="shared" si="18"/>
        <v/>
      </c>
      <c r="Y944" s="26" t="str">
        <f t="shared" si="19"/>
        <v/>
      </c>
      <c r="Z944" s="31" t="str">
        <f t="shared" si="20"/>
        <v/>
      </c>
      <c r="AA944" s="31" t="str">
        <f>IF(D944="","",IF(H944&lt;=$B$16,1,IF(H944&gt;=$B$17,$B$21,MATCH(H944,Aux_CAV!$A$2:$A$121,1))))</f>
        <v/>
      </c>
      <c r="AB944" s="31" t="str">
        <f>IF(D944="","",IF(L944&lt;=$B$16,1,IF(L944&gt;=$B$17,$B$21,MATCH(L944,Aux_CAV!$A$2:$A$121,1))))</f>
        <v/>
      </c>
      <c r="AC944" s="3" t="str">
        <f t="shared" si="21"/>
        <v/>
      </c>
    </row>
    <row r="945" ht="12.75" customHeight="1">
      <c r="A945" s="25" t="str">
        <f t="shared" si="1"/>
        <v/>
      </c>
      <c r="B945" s="29" t="str">
        <f t="array" ref="B945">IF(D945="","",IFERROR(VALUE(INDEX(Vazoes_COLAR!$A$2:$A$200,INT((ROW()-24)/12)+1)),""))</f>
        <v/>
      </c>
      <c r="C945" s="29" t="str">
        <f t="shared" si="2"/>
        <v/>
      </c>
      <c r="D945" s="26" t="str">
        <f t="array" ref="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45" s="26" t="str">
        <f t="shared" si="3"/>
        <v/>
      </c>
      <c r="F945" s="26" t="str">
        <f t="array" ref="F945">IF(D945="","",IFERROR(INDEX(Dados_Evap!$C$2:$N$15,MATCH($B$9,Dados_Evap!$A$2:$A$15,0),C945),0))</f>
        <v/>
      </c>
      <c r="G945" s="26" t="str">
        <f t="shared" si="4"/>
        <v/>
      </c>
      <c r="H945" s="26" t="str">
        <f t="shared" si="22"/>
        <v/>
      </c>
      <c r="I945" s="26" t="str">
        <f t="array" ref="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/>
      </c>
      <c r="J945" s="26" t="str">
        <f t="shared" si="5"/>
        <v/>
      </c>
      <c r="K945" s="26" t="str">
        <f t="shared" si="6"/>
        <v/>
      </c>
      <c r="L945" s="26" t="str">
        <f t="shared" si="7"/>
        <v/>
      </c>
      <c r="M945" s="26" t="str">
        <f t="array" ref="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/>
      </c>
      <c r="N945" s="26" t="str">
        <f t="shared" si="8"/>
        <v/>
      </c>
      <c r="O945" s="26" t="str">
        <f t="shared" si="9"/>
        <v/>
      </c>
      <c r="P945" s="26" t="str">
        <f t="shared" si="10"/>
        <v/>
      </c>
      <c r="Q945" s="26" t="str">
        <f t="shared" si="11"/>
        <v/>
      </c>
      <c r="R945" s="26" t="str">
        <f t="shared" si="12"/>
        <v/>
      </c>
      <c r="S945" s="26" t="str">
        <f t="shared" si="13"/>
        <v/>
      </c>
      <c r="T945" s="26" t="str">
        <f t="shared" si="14"/>
        <v/>
      </c>
      <c r="U945" s="26" t="str">
        <f t="shared" si="15"/>
        <v/>
      </c>
      <c r="V945" s="26" t="str">
        <f t="shared" si="16"/>
        <v/>
      </c>
      <c r="W945" s="26" t="str">
        <f t="shared" si="17"/>
        <v/>
      </c>
      <c r="X945" s="26" t="str">
        <f t="shared" si="18"/>
        <v/>
      </c>
      <c r="Y945" s="26" t="str">
        <f t="shared" si="19"/>
        <v/>
      </c>
      <c r="Z945" s="31" t="str">
        <f t="shared" si="20"/>
        <v/>
      </c>
      <c r="AA945" s="31" t="str">
        <f>IF(D945="","",IF(H945&lt;=$B$16,1,IF(H945&gt;=$B$17,$B$21,MATCH(H945,Aux_CAV!$A$2:$A$121,1))))</f>
        <v/>
      </c>
      <c r="AB945" s="31" t="str">
        <f>IF(D945="","",IF(L945&lt;=$B$16,1,IF(L945&gt;=$B$17,$B$21,MATCH(L945,Aux_CAV!$A$2:$A$121,1))))</f>
        <v/>
      </c>
      <c r="AC945" s="3" t="str">
        <f t="shared" si="21"/>
        <v/>
      </c>
    </row>
    <row r="946" ht="12.75" customHeight="1">
      <c r="A946" s="25" t="str">
        <f t="shared" si="1"/>
        <v/>
      </c>
      <c r="B946" s="29" t="str">
        <f t="array" ref="B946">IF(D946="","",IFERROR(VALUE(INDEX(Vazoes_COLAR!$A$2:$A$200,INT((ROW()-24)/12)+1)),""))</f>
        <v/>
      </c>
      <c r="C946" s="29" t="str">
        <f t="shared" si="2"/>
        <v/>
      </c>
      <c r="D946" s="26" t="str">
        <f t="array" ref="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46" s="26" t="str">
        <f t="shared" si="3"/>
        <v/>
      </c>
      <c r="F946" s="26" t="str">
        <f t="array" ref="F946">IF(D946="","",IFERROR(INDEX(Dados_Evap!$C$2:$N$15,MATCH($B$9,Dados_Evap!$A$2:$A$15,0),C946),0))</f>
        <v/>
      </c>
      <c r="G946" s="26" t="str">
        <f t="shared" si="4"/>
        <v/>
      </c>
      <c r="H946" s="26" t="str">
        <f t="shared" si="22"/>
        <v/>
      </c>
      <c r="I946" s="26" t="str">
        <f t="array" ref="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/>
      </c>
      <c r="J946" s="26" t="str">
        <f t="shared" si="5"/>
        <v/>
      </c>
      <c r="K946" s="26" t="str">
        <f t="shared" si="6"/>
        <v/>
      </c>
      <c r="L946" s="26" t="str">
        <f t="shared" si="7"/>
        <v/>
      </c>
      <c r="M946" s="26" t="str">
        <f t="array" ref="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/>
      </c>
      <c r="N946" s="26" t="str">
        <f t="shared" si="8"/>
        <v/>
      </c>
      <c r="O946" s="26" t="str">
        <f t="shared" si="9"/>
        <v/>
      </c>
      <c r="P946" s="26" t="str">
        <f t="shared" si="10"/>
        <v/>
      </c>
      <c r="Q946" s="26" t="str">
        <f t="shared" si="11"/>
        <v/>
      </c>
      <c r="R946" s="26" t="str">
        <f t="shared" si="12"/>
        <v/>
      </c>
      <c r="S946" s="26" t="str">
        <f t="shared" si="13"/>
        <v/>
      </c>
      <c r="T946" s="26" t="str">
        <f t="shared" si="14"/>
        <v/>
      </c>
      <c r="U946" s="26" t="str">
        <f t="shared" si="15"/>
        <v/>
      </c>
      <c r="V946" s="26" t="str">
        <f t="shared" si="16"/>
        <v/>
      </c>
      <c r="W946" s="26" t="str">
        <f t="shared" si="17"/>
        <v/>
      </c>
      <c r="X946" s="26" t="str">
        <f t="shared" si="18"/>
        <v/>
      </c>
      <c r="Y946" s="26" t="str">
        <f t="shared" si="19"/>
        <v/>
      </c>
      <c r="Z946" s="31" t="str">
        <f t="shared" si="20"/>
        <v/>
      </c>
      <c r="AA946" s="31" t="str">
        <f>IF(D946="","",IF(H946&lt;=$B$16,1,IF(H946&gt;=$B$17,$B$21,MATCH(H946,Aux_CAV!$A$2:$A$121,1))))</f>
        <v/>
      </c>
      <c r="AB946" s="31" t="str">
        <f>IF(D946="","",IF(L946&lt;=$B$16,1,IF(L946&gt;=$B$17,$B$21,MATCH(L946,Aux_CAV!$A$2:$A$121,1))))</f>
        <v/>
      </c>
      <c r="AC946" s="3" t="str">
        <f t="shared" si="21"/>
        <v/>
      </c>
    </row>
    <row r="947" ht="12.75" customHeight="1">
      <c r="A947" s="25" t="str">
        <f t="shared" si="1"/>
        <v/>
      </c>
      <c r="B947" s="29" t="str">
        <f t="array" ref="B947">IF(D947="","",IFERROR(VALUE(INDEX(Vazoes_COLAR!$A$2:$A$200,INT((ROW()-24)/12)+1)),""))</f>
        <v/>
      </c>
      <c r="C947" s="29" t="str">
        <f t="shared" si="2"/>
        <v/>
      </c>
      <c r="D947" s="26" t="str">
        <f t="array" ref="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47" s="26" t="str">
        <f t="shared" si="3"/>
        <v/>
      </c>
      <c r="F947" s="26" t="str">
        <f t="array" ref="F947">IF(D947="","",IFERROR(INDEX(Dados_Evap!$C$2:$N$15,MATCH($B$9,Dados_Evap!$A$2:$A$15,0),C947),0))</f>
        <v/>
      </c>
      <c r="G947" s="26" t="str">
        <f t="shared" si="4"/>
        <v/>
      </c>
      <c r="H947" s="26" t="str">
        <f t="shared" si="22"/>
        <v/>
      </c>
      <c r="I947" s="26" t="str">
        <f t="array" ref="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/>
      </c>
      <c r="J947" s="26" t="str">
        <f t="shared" si="5"/>
        <v/>
      </c>
      <c r="K947" s="26" t="str">
        <f t="shared" si="6"/>
        <v/>
      </c>
      <c r="L947" s="26" t="str">
        <f t="shared" si="7"/>
        <v/>
      </c>
      <c r="M947" s="26" t="str">
        <f t="array" ref="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/>
      </c>
      <c r="N947" s="26" t="str">
        <f t="shared" si="8"/>
        <v/>
      </c>
      <c r="O947" s="26" t="str">
        <f t="shared" si="9"/>
        <v/>
      </c>
      <c r="P947" s="26" t="str">
        <f t="shared" si="10"/>
        <v/>
      </c>
      <c r="Q947" s="26" t="str">
        <f t="shared" si="11"/>
        <v/>
      </c>
      <c r="R947" s="26" t="str">
        <f t="shared" si="12"/>
        <v/>
      </c>
      <c r="S947" s="26" t="str">
        <f t="shared" si="13"/>
        <v/>
      </c>
      <c r="T947" s="26" t="str">
        <f t="shared" si="14"/>
        <v/>
      </c>
      <c r="U947" s="26" t="str">
        <f t="shared" si="15"/>
        <v/>
      </c>
      <c r="V947" s="26" t="str">
        <f t="shared" si="16"/>
        <v/>
      </c>
      <c r="W947" s="26" t="str">
        <f t="shared" si="17"/>
        <v/>
      </c>
      <c r="X947" s="26" t="str">
        <f t="shared" si="18"/>
        <v/>
      </c>
      <c r="Y947" s="26" t="str">
        <f t="shared" si="19"/>
        <v/>
      </c>
      <c r="Z947" s="31" t="str">
        <f t="shared" si="20"/>
        <v/>
      </c>
      <c r="AA947" s="31" t="str">
        <f>IF(D947="","",IF(H947&lt;=$B$16,1,IF(H947&gt;=$B$17,$B$21,MATCH(H947,Aux_CAV!$A$2:$A$121,1))))</f>
        <v/>
      </c>
      <c r="AB947" s="31" t="str">
        <f>IF(D947="","",IF(L947&lt;=$B$16,1,IF(L947&gt;=$B$17,$B$21,MATCH(L947,Aux_CAV!$A$2:$A$121,1))))</f>
        <v/>
      </c>
      <c r="AC947" s="3" t="str">
        <f t="shared" si="21"/>
        <v/>
      </c>
    </row>
    <row r="948" ht="12.75" customHeight="1">
      <c r="A948" s="25" t="str">
        <f t="shared" si="1"/>
        <v/>
      </c>
      <c r="B948" s="29" t="str">
        <f t="array" ref="B948">IF(D948="","",IFERROR(VALUE(INDEX(Vazoes_COLAR!$A$2:$A$200,INT((ROW()-24)/12)+1)),""))</f>
        <v/>
      </c>
      <c r="C948" s="29" t="str">
        <f t="shared" si="2"/>
        <v/>
      </c>
      <c r="D948" s="26" t="str">
        <f t="array" ref="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48" s="26" t="str">
        <f t="shared" si="3"/>
        <v/>
      </c>
      <c r="F948" s="26" t="str">
        <f t="array" ref="F948">IF(D948="","",IFERROR(INDEX(Dados_Evap!$C$2:$N$15,MATCH($B$9,Dados_Evap!$A$2:$A$15,0),C948),0))</f>
        <v/>
      </c>
      <c r="G948" s="26" t="str">
        <f t="shared" si="4"/>
        <v/>
      </c>
      <c r="H948" s="26" t="str">
        <f t="shared" si="22"/>
        <v/>
      </c>
      <c r="I948" s="26" t="str">
        <f t="array" ref="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/>
      </c>
      <c r="J948" s="26" t="str">
        <f t="shared" si="5"/>
        <v/>
      </c>
      <c r="K948" s="26" t="str">
        <f t="shared" si="6"/>
        <v/>
      </c>
      <c r="L948" s="26" t="str">
        <f t="shared" si="7"/>
        <v/>
      </c>
      <c r="M948" s="26" t="str">
        <f t="array" ref="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/>
      </c>
      <c r="N948" s="26" t="str">
        <f t="shared" si="8"/>
        <v/>
      </c>
      <c r="O948" s="26" t="str">
        <f t="shared" si="9"/>
        <v/>
      </c>
      <c r="P948" s="26" t="str">
        <f t="shared" si="10"/>
        <v/>
      </c>
      <c r="Q948" s="26" t="str">
        <f t="shared" si="11"/>
        <v/>
      </c>
      <c r="R948" s="26" t="str">
        <f t="shared" si="12"/>
        <v/>
      </c>
      <c r="S948" s="26" t="str">
        <f t="shared" si="13"/>
        <v/>
      </c>
      <c r="T948" s="26" t="str">
        <f t="shared" si="14"/>
        <v/>
      </c>
      <c r="U948" s="26" t="str">
        <f t="shared" si="15"/>
        <v/>
      </c>
      <c r="V948" s="26" t="str">
        <f t="shared" si="16"/>
        <v/>
      </c>
      <c r="W948" s="26" t="str">
        <f t="shared" si="17"/>
        <v/>
      </c>
      <c r="X948" s="26" t="str">
        <f t="shared" si="18"/>
        <v/>
      </c>
      <c r="Y948" s="26" t="str">
        <f t="shared" si="19"/>
        <v/>
      </c>
      <c r="Z948" s="31" t="str">
        <f t="shared" si="20"/>
        <v/>
      </c>
      <c r="AA948" s="31" t="str">
        <f>IF(D948="","",IF(H948&lt;=$B$16,1,IF(H948&gt;=$B$17,$B$21,MATCH(H948,Aux_CAV!$A$2:$A$121,1))))</f>
        <v/>
      </c>
      <c r="AB948" s="31" t="str">
        <f>IF(D948="","",IF(L948&lt;=$B$16,1,IF(L948&gt;=$B$17,$B$21,MATCH(L948,Aux_CAV!$A$2:$A$121,1))))</f>
        <v/>
      </c>
      <c r="AC948" s="3" t="str">
        <f t="shared" si="21"/>
        <v/>
      </c>
    </row>
    <row r="949" ht="12.75" customHeight="1">
      <c r="A949" s="25" t="str">
        <f t="shared" si="1"/>
        <v/>
      </c>
      <c r="B949" s="29" t="str">
        <f t="array" ref="B949">IF(D949="","",IFERROR(VALUE(INDEX(Vazoes_COLAR!$A$2:$A$200,INT((ROW()-24)/12)+1)),""))</f>
        <v/>
      </c>
      <c r="C949" s="29" t="str">
        <f t="shared" si="2"/>
        <v/>
      </c>
      <c r="D949" s="26" t="str">
        <f t="array" ref="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49" s="26" t="str">
        <f t="shared" si="3"/>
        <v/>
      </c>
      <c r="F949" s="26" t="str">
        <f t="array" ref="F949">IF(D949="","",IFERROR(INDEX(Dados_Evap!$C$2:$N$15,MATCH($B$9,Dados_Evap!$A$2:$A$15,0),C949),0))</f>
        <v/>
      </c>
      <c r="G949" s="26" t="str">
        <f t="shared" si="4"/>
        <v/>
      </c>
      <c r="H949" s="26" t="str">
        <f t="shared" si="22"/>
        <v/>
      </c>
      <c r="I949" s="26" t="str">
        <f t="array" ref="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/>
      </c>
      <c r="J949" s="26" t="str">
        <f t="shared" si="5"/>
        <v/>
      </c>
      <c r="K949" s="26" t="str">
        <f t="shared" si="6"/>
        <v/>
      </c>
      <c r="L949" s="26" t="str">
        <f t="shared" si="7"/>
        <v/>
      </c>
      <c r="M949" s="26" t="str">
        <f t="array" ref="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/>
      </c>
      <c r="N949" s="26" t="str">
        <f t="shared" si="8"/>
        <v/>
      </c>
      <c r="O949" s="26" t="str">
        <f t="shared" si="9"/>
        <v/>
      </c>
      <c r="P949" s="26" t="str">
        <f t="shared" si="10"/>
        <v/>
      </c>
      <c r="Q949" s="26" t="str">
        <f t="shared" si="11"/>
        <v/>
      </c>
      <c r="R949" s="26" t="str">
        <f t="shared" si="12"/>
        <v/>
      </c>
      <c r="S949" s="26" t="str">
        <f t="shared" si="13"/>
        <v/>
      </c>
      <c r="T949" s="26" t="str">
        <f t="shared" si="14"/>
        <v/>
      </c>
      <c r="U949" s="26" t="str">
        <f t="shared" si="15"/>
        <v/>
      </c>
      <c r="V949" s="26" t="str">
        <f t="shared" si="16"/>
        <v/>
      </c>
      <c r="W949" s="26" t="str">
        <f t="shared" si="17"/>
        <v/>
      </c>
      <c r="X949" s="26" t="str">
        <f t="shared" si="18"/>
        <v/>
      </c>
      <c r="Y949" s="26" t="str">
        <f t="shared" si="19"/>
        <v/>
      </c>
      <c r="Z949" s="31" t="str">
        <f t="shared" si="20"/>
        <v/>
      </c>
      <c r="AA949" s="31" t="str">
        <f>IF(D949="","",IF(H949&lt;=$B$16,1,IF(H949&gt;=$B$17,$B$21,MATCH(H949,Aux_CAV!$A$2:$A$121,1))))</f>
        <v/>
      </c>
      <c r="AB949" s="31" t="str">
        <f>IF(D949="","",IF(L949&lt;=$B$16,1,IF(L949&gt;=$B$17,$B$21,MATCH(L949,Aux_CAV!$A$2:$A$121,1))))</f>
        <v/>
      </c>
      <c r="AC949" s="3" t="str">
        <f t="shared" si="21"/>
        <v/>
      </c>
    </row>
    <row r="950" ht="12.75" customHeight="1">
      <c r="A950" s="25" t="str">
        <f t="shared" si="1"/>
        <v/>
      </c>
      <c r="B950" s="29" t="str">
        <f t="array" ref="B950">IF(D950="","",IFERROR(VALUE(INDEX(Vazoes_COLAR!$A$2:$A$200,INT((ROW()-24)/12)+1)),""))</f>
        <v/>
      </c>
      <c r="C950" s="29" t="str">
        <f t="shared" si="2"/>
        <v/>
      </c>
      <c r="D950" s="26" t="str">
        <f t="array" ref="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50" s="26" t="str">
        <f t="shared" si="3"/>
        <v/>
      </c>
      <c r="F950" s="26" t="str">
        <f t="array" ref="F950">IF(D950="","",IFERROR(INDEX(Dados_Evap!$C$2:$N$15,MATCH($B$9,Dados_Evap!$A$2:$A$15,0),C950),0))</f>
        <v/>
      </c>
      <c r="G950" s="26" t="str">
        <f t="shared" si="4"/>
        <v/>
      </c>
      <c r="H950" s="26" t="str">
        <f t="shared" si="22"/>
        <v/>
      </c>
      <c r="I950" s="26" t="str">
        <f t="array" ref="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/>
      </c>
      <c r="J950" s="26" t="str">
        <f t="shared" si="5"/>
        <v/>
      </c>
      <c r="K950" s="26" t="str">
        <f t="shared" si="6"/>
        <v/>
      </c>
      <c r="L950" s="26" t="str">
        <f t="shared" si="7"/>
        <v/>
      </c>
      <c r="M950" s="26" t="str">
        <f t="array" ref="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/>
      </c>
      <c r="N950" s="26" t="str">
        <f t="shared" si="8"/>
        <v/>
      </c>
      <c r="O950" s="26" t="str">
        <f t="shared" si="9"/>
        <v/>
      </c>
      <c r="P950" s="26" t="str">
        <f t="shared" si="10"/>
        <v/>
      </c>
      <c r="Q950" s="26" t="str">
        <f t="shared" si="11"/>
        <v/>
      </c>
      <c r="R950" s="26" t="str">
        <f t="shared" si="12"/>
        <v/>
      </c>
      <c r="S950" s="26" t="str">
        <f t="shared" si="13"/>
        <v/>
      </c>
      <c r="T950" s="26" t="str">
        <f t="shared" si="14"/>
        <v/>
      </c>
      <c r="U950" s="26" t="str">
        <f t="shared" si="15"/>
        <v/>
      </c>
      <c r="V950" s="26" t="str">
        <f t="shared" si="16"/>
        <v/>
      </c>
      <c r="W950" s="26" t="str">
        <f t="shared" si="17"/>
        <v/>
      </c>
      <c r="X950" s="26" t="str">
        <f t="shared" si="18"/>
        <v/>
      </c>
      <c r="Y950" s="26" t="str">
        <f t="shared" si="19"/>
        <v/>
      </c>
      <c r="Z950" s="31" t="str">
        <f t="shared" si="20"/>
        <v/>
      </c>
      <c r="AA950" s="31" t="str">
        <f>IF(D950="","",IF(H950&lt;=$B$16,1,IF(H950&gt;=$B$17,$B$21,MATCH(H950,Aux_CAV!$A$2:$A$121,1))))</f>
        <v/>
      </c>
      <c r="AB950" s="31" t="str">
        <f>IF(D950="","",IF(L950&lt;=$B$16,1,IF(L950&gt;=$B$17,$B$21,MATCH(L950,Aux_CAV!$A$2:$A$121,1))))</f>
        <v/>
      </c>
      <c r="AC950" s="3" t="str">
        <f t="shared" si="21"/>
        <v/>
      </c>
    </row>
    <row r="951" ht="12.75" customHeight="1">
      <c r="A951" s="25" t="str">
        <f t="shared" si="1"/>
        <v/>
      </c>
      <c r="B951" s="29" t="str">
        <f t="array" ref="B951">IF(D951="","",IFERROR(VALUE(INDEX(Vazoes_COLAR!$A$2:$A$200,INT((ROW()-24)/12)+1)),""))</f>
        <v/>
      </c>
      <c r="C951" s="29" t="str">
        <f t="shared" si="2"/>
        <v/>
      </c>
      <c r="D951" s="26" t="str">
        <f t="array" ref="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51" s="26" t="str">
        <f t="shared" si="3"/>
        <v/>
      </c>
      <c r="F951" s="26" t="str">
        <f t="array" ref="F951">IF(D951="","",IFERROR(INDEX(Dados_Evap!$C$2:$N$15,MATCH($B$9,Dados_Evap!$A$2:$A$15,0),C951),0))</f>
        <v/>
      </c>
      <c r="G951" s="26" t="str">
        <f t="shared" si="4"/>
        <v/>
      </c>
      <c r="H951" s="26" t="str">
        <f t="shared" si="22"/>
        <v/>
      </c>
      <c r="I951" s="26" t="str">
        <f t="array" ref="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/>
      </c>
      <c r="J951" s="26" t="str">
        <f t="shared" si="5"/>
        <v/>
      </c>
      <c r="K951" s="26" t="str">
        <f t="shared" si="6"/>
        <v/>
      </c>
      <c r="L951" s="26" t="str">
        <f t="shared" si="7"/>
        <v/>
      </c>
      <c r="M951" s="26" t="str">
        <f t="array" ref="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/>
      </c>
      <c r="N951" s="26" t="str">
        <f t="shared" si="8"/>
        <v/>
      </c>
      <c r="O951" s="26" t="str">
        <f t="shared" si="9"/>
        <v/>
      </c>
      <c r="P951" s="26" t="str">
        <f t="shared" si="10"/>
        <v/>
      </c>
      <c r="Q951" s="26" t="str">
        <f t="shared" si="11"/>
        <v/>
      </c>
      <c r="R951" s="26" t="str">
        <f t="shared" si="12"/>
        <v/>
      </c>
      <c r="S951" s="26" t="str">
        <f t="shared" si="13"/>
        <v/>
      </c>
      <c r="T951" s="26" t="str">
        <f t="shared" si="14"/>
        <v/>
      </c>
      <c r="U951" s="26" t="str">
        <f t="shared" si="15"/>
        <v/>
      </c>
      <c r="V951" s="26" t="str">
        <f t="shared" si="16"/>
        <v/>
      </c>
      <c r="W951" s="26" t="str">
        <f t="shared" si="17"/>
        <v/>
      </c>
      <c r="X951" s="26" t="str">
        <f t="shared" si="18"/>
        <v/>
      </c>
      <c r="Y951" s="26" t="str">
        <f t="shared" si="19"/>
        <v/>
      </c>
      <c r="Z951" s="31" t="str">
        <f t="shared" si="20"/>
        <v/>
      </c>
      <c r="AA951" s="31" t="str">
        <f>IF(D951="","",IF(H951&lt;=$B$16,1,IF(H951&gt;=$B$17,$B$21,MATCH(H951,Aux_CAV!$A$2:$A$121,1))))</f>
        <v/>
      </c>
      <c r="AB951" s="31" t="str">
        <f>IF(D951="","",IF(L951&lt;=$B$16,1,IF(L951&gt;=$B$17,$B$21,MATCH(L951,Aux_CAV!$A$2:$A$121,1))))</f>
        <v/>
      </c>
      <c r="AC951" s="3" t="str">
        <f t="shared" si="21"/>
        <v/>
      </c>
    </row>
    <row r="952" ht="12.75" customHeight="1">
      <c r="A952" s="25" t="str">
        <f t="shared" si="1"/>
        <v/>
      </c>
      <c r="B952" s="29" t="str">
        <f t="array" ref="B952">IF(D952="","",IFERROR(VALUE(INDEX(Vazoes_COLAR!$A$2:$A$200,INT((ROW()-24)/12)+1)),""))</f>
        <v/>
      </c>
      <c r="C952" s="29" t="str">
        <f t="shared" si="2"/>
        <v/>
      </c>
      <c r="D952" s="26" t="str">
        <f t="array" ref="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52" s="26" t="str">
        <f t="shared" si="3"/>
        <v/>
      </c>
      <c r="F952" s="26" t="str">
        <f t="array" ref="F952">IF(D952="","",IFERROR(INDEX(Dados_Evap!$C$2:$N$15,MATCH($B$9,Dados_Evap!$A$2:$A$15,0),C952),0))</f>
        <v/>
      </c>
      <c r="G952" s="26" t="str">
        <f t="shared" si="4"/>
        <v/>
      </c>
      <c r="H952" s="26" t="str">
        <f t="shared" si="22"/>
        <v/>
      </c>
      <c r="I952" s="26" t="str">
        <f t="array" ref="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/>
      </c>
      <c r="J952" s="26" t="str">
        <f t="shared" si="5"/>
        <v/>
      </c>
      <c r="K952" s="26" t="str">
        <f t="shared" si="6"/>
        <v/>
      </c>
      <c r="L952" s="26" t="str">
        <f t="shared" si="7"/>
        <v/>
      </c>
      <c r="M952" s="26" t="str">
        <f t="array" ref="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/>
      </c>
      <c r="N952" s="26" t="str">
        <f t="shared" si="8"/>
        <v/>
      </c>
      <c r="O952" s="26" t="str">
        <f t="shared" si="9"/>
        <v/>
      </c>
      <c r="P952" s="26" t="str">
        <f t="shared" si="10"/>
        <v/>
      </c>
      <c r="Q952" s="26" t="str">
        <f t="shared" si="11"/>
        <v/>
      </c>
      <c r="R952" s="26" t="str">
        <f t="shared" si="12"/>
        <v/>
      </c>
      <c r="S952" s="26" t="str">
        <f t="shared" si="13"/>
        <v/>
      </c>
      <c r="T952" s="26" t="str">
        <f t="shared" si="14"/>
        <v/>
      </c>
      <c r="U952" s="26" t="str">
        <f t="shared" si="15"/>
        <v/>
      </c>
      <c r="V952" s="26" t="str">
        <f t="shared" si="16"/>
        <v/>
      </c>
      <c r="W952" s="26" t="str">
        <f t="shared" si="17"/>
        <v/>
      </c>
      <c r="X952" s="26" t="str">
        <f t="shared" si="18"/>
        <v/>
      </c>
      <c r="Y952" s="26" t="str">
        <f t="shared" si="19"/>
        <v/>
      </c>
      <c r="Z952" s="31" t="str">
        <f t="shared" si="20"/>
        <v/>
      </c>
      <c r="AA952" s="31" t="str">
        <f>IF(D952="","",IF(H952&lt;=$B$16,1,IF(H952&gt;=$B$17,$B$21,MATCH(H952,Aux_CAV!$A$2:$A$121,1))))</f>
        <v/>
      </c>
      <c r="AB952" s="31" t="str">
        <f>IF(D952="","",IF(L952&lt;=$B$16,1,IF(L952&gt;=$B$17,$B$21,MATCH(L952,Aux_CAV!$A$2:$A$121,1))))</f>
        <v/>
      </c>
      <c r="AC952" s="3" t="str">
        <f t="shared" si="21"/>
        <v/>
      </c>
    </row>
    <row r="953" ht="12.75" customHeight="1">
      <c r="A953" s="25" t="str">
        <f t="shared" si="1"/>
        <v/>
      </c>
      <c r="B953" s="29" t="str">
        <f t="array" ref="B953">IF(D953="","",IFERROR(VALUE(INDEX(Vazoes_COLAR!$A$2:$A$200,INT((ROW()-24)/12)+1)),""))</f>
        <v/>
      </c>
      <c r="C953" s="29" t="str">
        <f t="shared" si="2"/>
        <v/>
      </c>
      <c r="D953" s="26" t="str">
        <f t="array" ref="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53" s="26" t="str">
        <f t="shared" si="3"/>
        <v/>
      </c>
      <c r="F953" s="26" t="str">
        <f t="array" ref="F953">IF(D953="","",IFERROR(INDEX(Dados_Evap!$C$2:$N$15,MATCH($B$9,Dados_Evap!$A$2:$A$15,0),C953),0))</f>
        <v/>
      </c>
      <c r="G953" s="26" t="str">
        <f t="shared" si="4"/>
        <v/>
      </c>
      <c r="H953" s="26" t="str">
        <f t="shared" si="22"/>
        <v/>
      </c>
      <c r="I953" s="26" t="str">
        <f t="array" ref="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/>
      </c>
      <c r="J953" s="26" t="str">
        <f t="shared" si="5"/>
        <v/>
      </c>
      <c r="K953" s="26" t="str">
        <f t="shared" si="6"/>
        <v/>
      </c>
      <c r="L953" s="26" t="str">
        <f t="shared" si="7"/>
        <v/>
      </c>
      <c r="M953" s="26" t="str">
        <f t="array" ref="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/>
      </c>
      <c r="N953" s="26" t="str">
        <f t="shared" si="8"/>
        <v/>
      </c>
      <c r="O953" s="26" t="str">
        <f t="shared" si="9"/>
        <v/>
      </c>
      <c r="P953" s="26" t="str">
        <f t="shared" si="10"/>
        <v/>
      </c>
      <c r="Q953" s="26" t="str">
        <f t="shared" si="11"/>
        <v/>
      </c>
      <c r="R953" s="26" t="str">
        <f t="shared" si="12"/>
        <v/>
      </c>
      <c r="S953" s="26" t="str">
        <f t="shared" si="13"/>
        <v/>
      </c>
      <c r="T953" s="26" t="str">
        <f t="shared" si="14"/>
        <v/>
      </c>
      <c r="U953" s="26" t="str">
        <f t="shared" si="15"/>
        <v/>
      </c>
      <c r="V953" s="26" t="str">
        <f t="shared" si="16"/>
        <v/>
      </c>
      <c r="W953" s="26" t="str">
        <f t="shared" si="17"/>
        <v/>
      </c>
      <c r="X953" s="26" t="str">
        <f t="shared" si="18"/>
        <v/>
      </c>
      <c r="Y953" s="26" t="str">
        <f t="shared" si="19"/>
        <v/>
      </c>
      <c r="Z953" s="31" t="str">
        <f t="shared" si="20"/>
        <v/>
      </c>
      <c r="AA953" s="31" t="str">
        <f>IF(D953="","",IF(H953&lt;=$B$16,1,IF(H953&gt;=$B$17,$B$21,MATCH(H953,Aux_CAV!$A$2:$A$121,1))))</f>
        <v/>
      </c>
      <c r="AB953" s="31" t="str">
        <f>IF(D953="","",IF(L953&lt;=$B$16,1,IF(L953&gt;=$B$17,$B$21,MATCH(L953,Aux_CAV!$A$2:$A$121,1))))</f>
        <v/>
      </c>
      <c r="AC953" s="3" t="str">
        <f t="shared" si="21"/>
        <v/>
      </c>
    </row>
    <row r="954" ht="12.75" customHeight="1">
      <c r="A954" s="25" t="str">
        <f t="shared" si="1"/>
        <v/>
      </c>
      <c r="B954" s="29" t="str">
        <f t="array" ref="B954">IF(D954="","",IFERROR(VALUE(INDEX(Vazoes_COLAR!$A$2:$A$200,INT((ROW()-24)/12)+1)),""))</f>
        <v/>
      </c>
      <c r="C954" s="29" t="str">
        <f t="shared" si="2"/>
        <v/>
      </c>
      <c r="D954" s="26" t="str">
        <f t="array" ref="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54" s="26" t="str">
        <f t="shared" si="3"/>
        <v/>
      </c>
      <c r="F954" s="26" t="str">
        <f t="array" ref="F954">IF(D954="","",IFERROR(INDEX(Dados_Evap!$C$2:$N$15,MATCH($B$9,Dados_Evap!$A$2:$A$15,0),C954),0))</f>
        <v/>
      </c>
      <c r="G954" s="26" t="str">
        <f t="shared" si="4"/>
        <v/>
      </c>
      <c r="H954" s="26" t="str">
        <f t="shared" si="22"/>
        <v/>
      </c>
      <c r="I954" s="26" t="str">
        <f t="array" ref="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/>
      </c>
      <c r="J954" s="26" t="str">
        <f t="shared" si="5"/>
        <v/>
      </c>
      <c r="K954" s="26" t="str">
        <f t="shared" si="6"/>
        <v/>
      </c>
      <c r="L954" s="26" t="str">
        <f t="shared" si="7"/>
        <v/>
      </c>
      <c r="M954" s="26" t="str">
        <f t="array" ref="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/>
      </c>
      <c r="N954" s="26" t="str">
        <f t="shared" si="8"/>
        <v/>
      </c>
      <c r="O954" s="26" t="str">
        <f t="shared" si="9"/>
        <v/>
      </c>
      <c r="P954" s="26" t="str">
        <f t="shared" si="10"/>
        <v/>
      </c>
      <c r="Q954" s="26" t="str">
        <f t="shared" si="11"/>
        <v/>
      </c>
      <c r="R954" s="26" t="str">
        <f t="shared" si="12"/>
        <v/>
      </c>
      <c r="S954" s="26" t="str">
        <f t="shared" si="13"/>
        <v/>
      </c>
      <c r="T954" s="26" t="str">
        <f t="shared" si="14"/>
        <v/>
      </c>
      <c r="U954" s="26" t="str">
        <f t="shared" si="15"/>
        <v/>
      </c>
      <c r="V954" s="26" t="str">
        <f t="shared" si="16"/>
        <v/>
      </c>
      <c r="W954" s="26" t="str">
        <f t="shared" si="17"/>
        <v/>
      </c>
      <c r="X954" s="26" t="str">
        <f t="shared" si="18"/>
        <v/>
      </c>
      <c r="Y954" s="26" t="str">
        <f t="shared" si="19"/>
        <v/>
      </c>
      <c r="Z954" s="31" t="str">
        <f t="shared" si="20"/>
        <v/>
      </c>
      <c r="AA954" s="31" t="str">
        <f>IF(D954="","",IF(H954&lt;=$B$16,1,IF(H954&gt;=$B$17,$B$21,MATCH(H954,Aux_CAV!$A$2:$A$121,1))))</f>
        <v/>
      </c>
      <c r="AB954" s="31" t="str">
        <f>IF(D954="","",IF(L954&lt;=$B$16,1,IF(L954&gt;=$B$17,$B$21,MATCH(L954,Aux_CAV!$A$2:$A$121,1))))</f>
        <v/>
      </c>
      <c r="AC954" s="3" t="str">
        <f t="shared" si="21"/>
        <v/>
      </c>
    </row>
    <row r="955" ht="12.75" customHeight="1">
      <c r="A955" s="25" t="str">
        <f t="shared" si="1"/>
        <v/>
      </c>
      <c r="B955" s="29" t="str">
        <f t="array" ref="B955">IF(D955="","",IFERROR(VALUE(INDEX(Vazoes_COLAR!$A$2:$A$200,INT((ROW()-24)/12)+1)),""))</f>
        <v/>
      </c>
      <c r="C955" s="29" t="str">
        <f t="shared" si="2"/>
        <v/>
      </c>
      <c r="D955" s="26" t="str">
        <f t="array" ref="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55" s="26" t="str">
        <f t="shared" si="3"/>
        <v/>
      </c>
      <c r="F955" s="26" t="str">
        <f t="array" ref="F955">IF(D955="","",IFERROR(INDEX(Dados_Evap!$C$2:$N$15,MATCH($B$9,Dados_Evap!$A$2:$A$15,0),C955),0))</f>
        <v/>
      </c>
      <c r="G955" s="26" t="str">
        <f t="shared" si="4"/>
        <v/>
      </c>
      <c r="H955" s="26" t="str">
        <f t="shared" si="22"/>
        <v/>
      </c>
      <c r="I955" s="26" t="str">
        <f t="array" ref="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/>
      </c>
      <c r="J955" s="26" t="str">
        <f t="shared" si="5"/>
        <v/>
      </c>
      <c r="K955" s="26" t="str">
        <f t="shared" si="6"/>
        <v/>
      </c>
      <c r="L955" s="26" t="str">
        <f t="shared" si="7"/>
        <v/>
      </c>
      <c r="M955" s="26" t="str">
        <f t="array" ref="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/>
      </c>
      <c r="N955" s="26" t="str">
        <f t="shared" si="8"/>
        <v/>
      </c>
      <c r="O955" s="26" t="str">
        <f t="shared" si="9"/>
        <v/>
      </c>
      <c r="P955" s="26" t="str">
        <f t="shared" si="10"/>
        <v/>
      </c>
      <c r="Q955" s="26" t="str">
        <f t="shared" si="11"/>
        <v/>
      </c>
      <c r="R955" s="26" t="str">
        <f t="shared" si="12"/>
        <v/>
      </c>
      <c r="S955" s="26" t="str">
        <f t="shared" si="13"/>
        <v/>
      </c>
      <c r="T955" s="26" t="str">
        <f t="shared" si="14"/>
        <v/>
      </c>
      <c r="U955" s="26" t="str">
        <f t="shared" si="15"/>
        <v/>
      </c>
      <c r="V955" s="26" t="str">
        <f t="shared" si="16"/>
        <v/>
      </c>
      <c r="W955" s="26" t="str">
        <f t="shared" si="17"/>
        <v/>
      </c>
      <c r="X955" s="26" t="str">
        <f t="shared" si="18"/>
        <v/>
      </c>
      <c r="Y955" s="26" t="str">
        <f t="shared" si="19"/>
        <v/>
      </c>
      <c r="Z955" s="31" t="str">
        <f t="shared" si="20"/>
        <v/>
      </c>
      <c r="AA955" s="31" t="str">
        <f>IF(D955="","",IF(H955&lt;=$B$16,1,IF(H955&gt;=$B$17,$B$21,MATCH(H955,Aux_CAV!$A$2:$A$121,1))))</f>
        <v/>
      </c>
      <c r="AB955" s="31" t="str">
        <f>IF(D955="","",IF(L955&lt;=$B$16,1,IF(L955&gt;=$B$17,$B$21,MATCH(L955,Aux_CAV!$A$2:$A$121,1))))</f>
        <v/>
      </c>
      <c r="AC955" s="3" t="str">
        <f t="shared" si="21"/>
        <v/>
      </c>
    </row>
    <row r="956" ht="12.75" customHeight="1">
      <c r="A956" s="25" t="str">
        <f t="shared" si="1"/>
        <v/>
      </c>
      <c r="B956" s="29" t="str">
        <f t="array" ref="B956">IF(D956="","",IFERROR(VALUE(INDEX(Vazoes_COLAR!$A$2:$A$200,INT((ROW()-24)/12)+1)),""))</f>
        <v/>
      </c>
      <c r="C956" s="29" t="str">
        <f t="shared" si="2"/>
        <v/>
      </c>
      <c r="D956" s="26" t="str">
        <f t="array" ref="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56" s="26" t="str">
        <f t="shared" si="3"/>
        <v/>
      </c>
      <c r="F956" s="26" t="str">
        <f t="array" ref="F956">IF(D956="","",IFERROR(INDEX(Dados_Evap!$C$2:$N$15,MATCH($B$9,Dados_Evap!$A$2:$A$15,0),C956),0))</f>
        <v/>
      </c>
      <c r="G956" s="26" t="str">
        <f t="shared" si="4"/>
        <v/>
      </c>
      <c r="H956" s="26" t="str">
        <f t="shared" si="22"/>
        <v/>
      </c>
      <c r="I956" s="26" t="str">
        <f t="array" ref="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/>
      </c>
      <c r="J956" s="26" t="str">
        <f t="shared" si="5"/>
        <v/>
      </c>
      <c r="K956" s="26" t="str">
        <f t="shared" si="6"/>
        <v/>
      </c>
      <c r="L956" s="26" t="str">
        <f t="shared" si="7"/>
        <v/>
      </c>
      <c r="M956" s="26" t="str">
        <f t="array" ref="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/>
      </c>
      <c r="N956" s="26" t="str">
        <f t="shared" si="8"/>
        <v/>
      </c>
      <c r="O956" s="26" t="str">
        <f t="shared" si="9"/>
        <v/>
      </c>
      <c r="P956" s="26" t="str">
        <f t="shared" si="10"/>
        <v/>
      </c>
      <c r="Q956" s="26" t="str">
        <f t="shared" si="11"/>
        <v/>
      </c>
      <c r="R956" s="26" t="str">
        <f t="shared" si="12"/>
        <v/>
      </c>
      <c r="S956" s="26" t="str">
        <f t="shared" si="13"/>
        <v/>
      </c>
      <c r="T956" s="26" t="str">
        <f t="shared" si="14"/>
        <v/>
      </c>
      <c r="U956" s="26" t="str">
        <f t="shared" si="15"/>
        <v/>
      </c>
      <c r="V956" s="26" t="str">
        <f t="shared" si="16"/>
        <v/>
      </c>
      <c r="W956" s="26" t="str">
        <f t="shared" si="17"/>
        <v/>
      </c>
      <c r="X956" s="26" t="str">
        <f t="shared" si="18"/>
        <v/>
      </c>
      <c r="Y956" s="26" t="str">
        <f t="shared" si="19"/>
        <v/>
      </c>
      <c r="Z956" s="31" t="str">
        <f t="shared" si="20"/>
        <v/>
      </c>
      <c r="AA956" s="31" t="str">
        <f>IF(D956="","",IF(H956&lt;=$B$16,1,IF(H956&gt;=$B$17,$B$21,MATCH(H956,Aux_CAV!$A$2:$A$121,1))))</f>
        <v/>
      </c>
      <c r="AB956" s="31" t="str">
        <f>IF(D956="","",IF(L956&lt;=$B$16,1,IF(L956&gt;=$B$17,$B$21,MATCH(L956,Aux_CAV!$A$2:$A$121,1))))</f>
        <v/>
      </c>
      <c r="AC956" s="3" t="str">
        <f t="shared" si="21"/>
        <v/>
      </c>
    </row>
    <row r="957" ht="12.75" customHeight="1">
      <c r="A957" s="25" t="str">
        <f t="shared" si="1"/>
        <v/>
      </c>
      <c r="B957" s="29" t="str">
        <f t="array" ref="B957">IF(D957="","",IFERROR(VALUE(INDEX(Vazoes_COLAR!$A$2:$A$200,INT((ROW()-24)/12)+1)),""))</f>
        <v/>
      </c>
      <c r="C957" s="29" t="str">
        <f t="shared" si="2"/>
        <v/>
      </c>
      <c r="D957" s="26" t="str">
        <f t="array" ref="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57" s="26" t="str">
        <f t="shared" si="3"/>
        <v/>
      </c>
      <c r="F957" s="26" t="str">
        <f t="array" ref="F957">IF(D957="","",IFERROR(INDEX(Dados_Evap!$C$2:$N$15,MATCH($B$9,Dados_Evap!$A$2:$A$15,0),C957),0))</f>
        <v/>
      </c>
      <c r="G957" s="26" t="str">
        <f t="shared" si="4"/>
        <v/>
      </c>
      <c r="H957" s="26" t="str">
        <f t="shared" si="22"/>
        <v/>
      </c>
      <c r="I957" s="26" t="str">
        <f t="array" ref="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/>
      </c>
      <c r="J957" s="26" t="str">
        <f t="shared" si="5"/>
        <v/>
      </c>
      <c r="K957" s="26" t="str">
        <f t="shared" si="6"/>
        <v/>
      </c>
      <c r="L957" s="26" t="str">
        <f t="shared" si="7"/>
        <v/>
      </c>
      <c r="M957" s="26" t="str">
        <f t="array" ref="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/>
      </c>
      <c r="N957" s="26" t="str">
        <f t="shared" si="8"/>
        <v/>
      </c>
      <c r="O957" s="26" t="str">
        <f t="shared" si="9"/>
        <v/>
      </c>
      <c r="P957" s="26" t="str">
        <f t="shared" si="10"/>
        <v/>
      </c>
      <c r="Q957" s="26" t="str">
        <f t="shared" si="11"/>
        <v/>
      </c>
      <c r="R957" s="26" t="str">
        <f t="shared" si="12"/>
        <v/>
      </c>
      <c r="S957" s="26" t="str">
        <f t="shared" si="13"/>
        <v/>
      </c>
      <c r="T957" s="26" t="str">
        <f t="shared" si="14"/>
        <v/>
      </c>
      <c r="U957" s="26" t="str">
        <f t="shared" si="15"/>
        <v/>
      </c>
      <c r="V957" s="26" t="str">
        <f t="shared" si="16"/>
        <v/>
      </c>
      <c r="W957" s="26" t="str">
        <f t="shared" si="17"/>
        <v/>
      </c>
      <c r="X957" s="26" t="str">
        <f t="shared" si="18"/>
        <v/>
      </c>
      <c r="Y957" s="26" t="str">
        <f t="shared" si="19"/>
        <v/>
      </c>
      <c r="Z957" s="31" t="str">
        <f t="shared" si="20"/>
        <v/>
      </c>
      <c r="AA957" s="31" t="str">
        <f>IF(D957="","",IF(H957&lt;=$B$16,1,IF(H957&gt;=$B$17,$B$21,MATCH(H957,Aux_CAV!$A$2:$A$121,1))))</f>
        <v/>
      </c>
      <c r="AB957" s="31" t="str">
        <f>IF(D957="","",IF(L957&lt;=$B$16,1,IF(L957&gt;=$B$17,$B$21,MATCH(L957,Aux_CAV!$A$2:$A$121,1))))</f>
        <v/>
      </c>
      <c r="AC957" s="3" t="str">
        <f t="shared" si="21"/>
        <v/>
      </c>
    </row>
    <row r="958" ht="12.75" customHeight="1">
      <c r="A958" s="25" t="str">
        <f t="shared" si="1"/>
        <v/>
      </c>
      <c r="B958" s="29" t="str">
        <f t="array" ref="B958">IF(D958="","",IFERROR(VALUE(INDEX(Vazoes_COLAR!$A$2:$A$200,INT((ROW()-24)/12)+1)),""))</f>
        <v/>
      </c>
      <c r="C958" s="29" t="str">
        <f t="shared" si="2"/>
        <v/>
      </c>
      <c r="D958" s="26" t="str">
        <f t="array" ref="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58" s="26" t="str">
        <f t="shared" si="3"/>
        <v/>
      </c>
      <c r="F958" s="26" t="str">
        <f t="array" ref="F958">IF(D958="","",IFERROR(INDEX(Dados_Evap!$C$2:$N$15,MATCH($B$9,Dados_Evap!$A$2:$A$15,0),C958),0))</f>
        <v/>
      </c>
      <c r="G958" s="26" t="str">
        <f t="shared" si="4"/>
        <v/>
      </c>
      <c r="H958" s="26" t="str">
        <f t="shared" si="22"/>
        <v/>
      </c>
      <c r="I958" s="26" t="str">
        <f t="array" ref="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/>
      </c>
      <c r="J958" s="26" t="str">
        <f t="shared" si="5"/>
        <v/>
      </c>
      <c r="K958" s="26" t="str">
        <f t="shared" si="6"/>
        <v/>
      </c>
      <c r="L958" s="26" t="str">
        <f t="shared" si="7"/>
        <v/>
      </c>
      <c r="M958" s="26" t="str">
        <f t="array" ref="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/>
      </c>
      <c r="N958" s="26" t="str">
        <f t="shared" si="8"/>
        <v/>
      </c>
      <c r="O958" s="26" t="str">
        <f t="shared" si="9"/>
        <v/>
      </c>
      <c r="P958" s="26" t="str">
        <f t="shared" si="10"/>
        <v/>
      </c>
      <c r="Q958" s="26" t="str">
        <f t="shared" si="11"/>
        <v/>
      </c>
      <c r="R958" s="26" t="str">
        <f t="shared" si="12"/>
        <v/>
      </c>
      <c r="S958" s="26" t="str">
        <f t="shared" si="13"/>
        <v/>
      </c>
      <c r="T958" s="26" t="str">
        <f t="shared" si="14"/>
        <v/>
      </c>
      <c r="U958" s="26" t="str">
        <f t="shared" si="15"/>
        <v/>
      </c>
      <c r="V958" s="26" t="str">
        <f t="shared" si="16"/>
        <v/>
      </c>
      <c r="W958" s="26" t="str">
        <f t="shared" si="17"/>
        <v/>
      </c>
      <c r="X958" s="26" t="str">
        <f t="shared" si="18"/>
        <v/>
      </c>
      <c r="Y958" s="26" t="str">
        <f t="shared" si="19"/>
        <v/>
      </c>
      <c r="Z958" s="31" t="str">
        <f t="shared" si="20"/>
        <v/>
      </c>
      <c r="AA958" s="31" t="str">
        <f>IF(D958="","",IF(H958&lt;=$B$16,1,IF(H958&gt;=$B$17,$B$21,MATCH(H958,Aux_CAV!$A$2:$A$121,1))))</f>
        <v/>
      </c>
      <c r="AB958" s="31" t="str">
        <f>IF(D958="","",IF(L958&lt;=$B$16,1,IF(L958&gt;=$B$17,$B$21,MATCH(L958,Aux_CAV!$A$2:$A$121,1))))</f>
        <v/>
      </c>
      <c r="AC958" s="3" t="str">
        <f t="shared" si="21"/>
        <v/>
      </c>
    </row>
    <row r="959" ht="12.75" customHeight="1">
      <c r="A959" s="25" t="str">
        <f t="shared" si="1"/>
        <v/>
      </c>
      <c r="B959" s="29" t="str">
        <f t="array" ref="B959">IF(D959="","",IFERROR(VALUE(INDEX(Vazoes_COLAR!$A$2:$A$200,INT((ROW()-24)/12)+1)),""))</f>
        <v/>
      </c>
      <c r="C959" s="29" t="str">
        <f t="shared" si="2"/>
        <v/>
      </c>
      <c r="D959" s="26" t="str">
        <f t="array" ref="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59" s="26" t="str">
        <f t="shared" si="3"/>
        <v/>
      </c>
      <c r="F959" s="26" t="str">
        <f t="array" ref="F959">IF(D959="","",IFERROR(INDEX(Dados_Evap!$C$2:$N$15,MATCH($B$9,Dados_Evap!$A$2:$A$15,0),C959),0))</f>
        <v/>
      </c>
      <c r="G959" s="26" t="str">
        <f t="shared" si="4"/>
        <v/>
      </c>
      <c r="H959" s="26" t="str">
        <f t="shared" si="22"/>
        <v/>
      </c>
      <c r="I959" s="26" t="str">
        <f t="array" ref="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/>
      </c>
      <c r="J959" s="26" t="str">
        <f t="shared" si="5"/>
        <v/>
      </c>
      <c r="K959" s="26" t="str">
        <f t="shared" si="6"/>
        <v/>
      </c>
      <c r="L959" s="26" t="str">
        <f t="shared" si="7"/>
        <v/>
      </c>
      <c r="M959" s="26" t="str">
        <f t="array" ref="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/>
      </c>
      <c r="N959" s="26" t="str">
        <f t="shared" si="8"/>
        <v/>
      </c>
      <c r="O959" s="26" t="str">
        <f t="shared" si="9"/>
        <v/>
      </c>
      <c r="P959" s="26" t="str">
        <f t="shared" si="10"/>
        <v/>
      </c>
      <c r="Q959" s="26" t="str">
        <f t="shared" si="11"/>
        <v/>
      </c>
      <c r="R959" s="26" t="str">
        <f t="shared" si="12"/>
        <v/>
      </c>
      <c r="S959" s="26" t="str">
        <f t="shared" si="13"/>
        <v/>
      </c>
      <c r="T959" s="26" t="str">
        <f t="shared" si="14"/>
        <v/>
      </c>
      <c r="U959" s="26" t="str">
        <f t="shared" si="15"/>
        <v/>
      </c>
      <c r="V959" s="26" t="str">
        <f t="shared" si="16"/>
        <v/>
      </c>
      <c r="W959" s="26" t="str">
        <f t="shared" si="17"/>
        <v/>
      </c>
      <c r="X959" s="26" t="str">
        <f t="shared" si="18"/>
        <v/>
      </c>
      <c r="Y959" s="26" t="str">
        <f t="shared" si="19"/>
        <v/>
      </c>
      <c r="Z959" s="31" t="str">
        <f t="shared" si="20"/>
        <v/>
      </c>
      <c r="AA959" s="31" t="str">
        <f>IF(D959="","",IF(H959&lt;=$B$16,1,IF(H959&gt;=$B$17,$B$21,MATCH(H959,Aux_CAV!$A$2:$A$121,1))))</f>
        <v/>
      </c>
      <c r="AB959" s="31" t="str">
        <f>IF(D959="","",IF(L959&lt;=$B$16,1,IF(L959&gt;=$B$17,$B$21,MATCH(L959,Aux_CAV!$A$2:$A$121,1))))</f>
        <v/>
      </c>
      <c r="AC959" s="3" t="str">
        <f t="shared" si="21"/>
        <v/>
      </c>
    </row>
    <row r="960" ht="12.75" customHeight="1">
      <c r="A960" s="25" t="str">
        <f t="shared" si="1"/>
        <v/>
      </c>
      <c r="B960" s="29" t="str">
        <f t="array" ref="B960">IF(D960="","",IFERROR(VALUE(INDEX(Vazoes_COLAR!$A$2:$A$200,INT((ROW()-24)/12)+1)),""))</f>
        <v/>
      </c>
      <c r="C960" s="29" t="str">
        <f t="shared" si="2"/>
        <v/>
      </c>
      <c r="D960" s="26" t="str">
        <f t="array" ref="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60" s="26" t="str">
        <f t="shared" si="3"/>
        <v/>
      </c>
      <c r="F960" s="26" t="str">
        <f t="array" ref="F960">IF(D960="","",IFERROR(INDEX(Dados_Evap!$C$2:$N$15,MATCH($B$9,Dados_Evap!$A$2:$A$15,0),C960),0))</f>
        <v/>
      </c>
      <c r="G960" s="26" t="str">
        <f t="shared" si="4"/>
        <v/>
      </c>
      <c r="H960" s="26" t="str">
        <f t="shared" si="22"/>
        <v/>
      </c>
      <c r="I960" s="26" t="str">
        <f t="array" ref="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/>
      </c>
      <c r="J960" s="26" t="str">
        <f t="shared" si="5"/>
        <v/>
      </c>
      <c r="K960" s="26" t="str">
        <f t="shared" si="6"/>
        <v/>
      </c>
      <c r="L960" s="26" t="str">
        <f t="shared" si="7"/>
        <v/>
      </c>
      <c r="M960" s="26" t="str">
        <f t="array" ref="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/>
      </c>
      <c r="N960" s="26" t="str">
        <f t="shared" si="8"/>
        <v/>
      </c>
      <c r="O960" s="26" t="str">
        <f t="shared" si="9"/>
        <v/>
      </c>
      <c r="P960" s="26" t="str">
        <f t="shared" si="10"/>
        <v/>
      </c>
      <c r="Q960" s="26" t="str">
        <f t="shared" si="11"/>
        <v/>
      </c>
      <c r="R960" s="26" t="str">
        <f t="shared" si="12"/>
        <v/>
      </c>
      <c r="S960" s="26" t="str">
        <f t="shared" si="13"/>
        <v/>
      </c>
      <c r="T960" s="26" t="str">
        <f t="shared" si="14"/>
        <v/>
      </c>
      <c r="U960" s="26" t="str">
        <f t="shared" si="15"/>
        <v/>
      </c>
      <c r="V960" s="26" t="str">
        <f t="shared" si="16"/>
        <v/>
      </c>
      <c r="W960" s="26" t="str">
        <f t="shared" si="17"/>
        <v/>
      </c>
      <c r="X960" s="26" t="str">
        <f t="shared" si="18"/>
        <v/>
      </c>
      <c r="Y960" s="26" t="str">
        <f t="shared" si="19"/>
        <v/>
      </c>
      <c r="Z960" s="31" t="str">
        <f t="shared" si="20"/>
        <v/>
      </c>
      <c r="AA960" s="31" t="str">
        <f>IF(D960="","",IF(H960&lt;=$B$16,1,IF(H960&gt;=$B$17,$B$21,MATCH(H960,Aux_CAV!$A$2:$A$121,1))))</f>
        <v/>
      </c>
      <c r="AB960" s="31" t="str">
        <f>IF(D960="","",IF(L960&lt;=$B$16,1,IF(L960&gt;=$B$17,$B$21,MATCH(L960,Aux_CAV!$A$2:$A$121,1))))</f>
        <v/>
      </c>
      <c r="AC960" s="3" t="str">
        <f t="shared" si="21"/>
        <v/>
      </c>
    </row>
    <row r="961" ht="12.75" customHeight="1">
      <c r="A961" s="25" t="str">
        <f t="shared" si="1"/>
        <v/>
      </c>
      <c r="B961" s="29" t="str">
        <f t="array" ref="B961">IF(D961="","",IFERROR(VALUE(INDEX(Vazoes_COLAR!$A$2:$A$200,INT((ROW()-24)/12)+1)),""))</f>
        <v/>
      </c>
      <c r="C961" s="29" t="str">
        <f t="shared" si="2"/>
        <v/>
      </c>
      <c r="D961" s="26" t="str">
        <f t="array" ref="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61" s="26" t="str">
        <f t="shared" si="3"/>
        <v/>
      </c>
      <c r="F961" s="26" t="str">
        <f t="array" ref="F961">IF(D961="","",IFERROR(INDEX(Dados_Evap!$C$2:$N$15,MATCH($B$9,Dados_Evap!$A$2:$A$15,0),C961),0))</f>
        <v/>
      </c>
      <c r="G961" s="26" t="str">
        <f t="shared" si="4"/>
        <v/>
      </c>
      <c r="H961" s="26" t="str">
        <f t="shared" si="22"/>
        <v/>
      </c>
      <c r="I961" s="26" t="str">
        <f t="array" ref="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/>
      </c>
      <c r="J961" s="26" t="str">
        <f t="shared" si="5"/>
        <v/>
      </c>
      <c r="K961" s="26" t="str">
        <f t="shared" si="6"/>
        <v/>
      </c>
      <c r="L961" s="26" t="str">
        <f t="shared" si="7"/>
        <v/>
      </c>
      <c r="M961" s="26" t="str">
        <f t="array" ref="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/>
      </c>
      <c r="N961" s="26" t="str">
        <f t="shared" si="8"/>
        <v/>
      </c>
      <c r="O961" s="26" t="str">
        <f t="shared" si="9"/>
        <v/>
      </c>
      <c r="P961" s="26" t="str">
        <f t="shared" si="10"/>
        <v/>
      </c>
      <c r="Q961" s="26" t="str">
        <f t="shared" si="11"/>
        <v/>
      </c>
      <c r="R961" s="26" t="str">
        <f t="shared" si="12"/>
        <v/>
      </c>
      <c r="S961" s="26" t="str">
        <f t="shared" si="13"/>
        <v/>
      </c>
      <c r="T961" s="26" t="str">
        <f t="shared" si="14"/>
        <v/>
      </c>
      <c r="U961" s="26" t="str">
        <f t="shared" si="15"/>
        <v/>
      </c>
      <c r="V961" s="26" t="str">
        <f t="shared" si="16"/>
        <v/>
      </c>
      <c r="W961" s="26" t="str">
        <f t="shared" si="17"/>
        <v/>
      </c>
      <c r="X961" s="26" t="str">
        <f t="shared" si="18"/>
        <v/>
      </c>
      <c r="Y961" s="26" t="str">
        <f t="shared" si="19"/>
        <v/>
      </c>
      <c r="Z961" s="31" t="str">
        <f t="shared" si="20"/>
        <v/>
      </c>
      <c r="AA961" s="31" t="str">
        <f>IF(D961="","",IF(H961&lt;=$B$16,1,IF(H961&gt;=$B$17,$B$21,MATCH(H961,Aux_CAV!$A$2:$A$121,1))))</f>
        <v/>
      </c>
      <c r="AB961" s="31" t="str">
        <f>IF(D961="","",IF(L961&lt;=$B$16,1,IF(L961&gt;=$B$17,$B$21,MATCH(L961,Aux_CAV!$A$2:$A$121,1))))</f>
        <v/>
      </c>
      <c r="AC961" s="3" t="str">
        <f t="shared" si="21"/>
        <v/>
      </c>
    </row>
    <row r="962" ht="12.75" customHeight="1">
      <c r="A962" s="25" t="str">
        <f t="shared" si="1"/>
        <v/>
      </c>
      <c r="B962" s="29" t="str">
        <f t="array" ref="B962">IF(D962="","",IFERROR(VALUE(INDEX(Vazoes_COLAR!$A$2:$A$200,INT((ROW()-24)/12)+1)),""))</f>
        <v/>
      </c>
      <c r="C962" s="29" t="str">
        <f t="shared" si="2"/>
        <v/>
      </c>
      <c r="D962" s="26" t="str">
        <f t="array" ref="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62" s="26" t="str">
        <f t="shared" si="3"/>
        <v/>
      </c>
      <c r="F962" s="26" t="str">
        <f t="array" ref="F962">IF(D962="","",IFERROR(INDEX(Dados_Evap!$C$2:$N$15,MATCH($B$9,Dados_Evap!$A$2:$A$15,0),C962),0))</f>
        <v/>
      </c>
      <c r="G962" s="26" t="str">
        <f t="shared" si="4"/>
        <v/>
      </c>
      <c r="H962" s="26" t="str">
        <f t="shared" si="22"/>
        <v/>
      </c>
      <c r="I962" s="26" t="str">
        <f t="array" ref="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/>
      </c>
      <c r="J962" s="26" t="str">
        <f t="shared" si="5"/>
        <v/>
      </c>
      <c r="K962" s="26" t="str">
        <f t="shared" si="6"/>
        <v/>
      </c>
      <c r="L962" s="26" t="str">
        <f t="shared" si="7"/>
        <v/>
      </c>
      <c r="M962" s="26" t="str">
        <f t="array" ref="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/>
      </c>
      <c r="N962" s="26" t="str">
        <f t="shared" si="8"/>
        <v/>
      </c>
      <c r="O962" s="26" t="str">
        <f t="shared" si="9"/>
        <v/>
      </c>
      <c r="P962" s="26" t="str">
        <f t="shared" si="10"/>
        <v/>
      </c>
      <c r="Q962" s="26" t="str">
        <f t="shared" si="11"/>
        <v/>
      </c>
      <c r="R962" s="26" t="str">
        <f t="shared" si="12"/>
        <v/>
      </c>
      <c r="S962" s="26" t="str">
        <f t="shared" si="13"/>
        <v/>
      </c>
      <c r="T962" s="26" t="str">
        <f t="shared" si="14"/>
        <v/>
      </c>
      <c r="U962" s="26" t="str">
        <f t="shared" si="15"/>
        <v/>
      </c>
      <c r="V962" s="26" t="str">
        <f t="shared" si="16"/>
        <v/>
      </c>
      <c r="W962" s="26" t="str">
        <f t="shared" si="17"/>
        <v/>
      </c>
      <c r="X962" s="26" t="str">
        <f t="shared" si="18"/>
        <v/>
      </c>
      <c r="Y962" s="26" t="str">
        <f t="shared" si="19"/>
        <v/>
      </c>
      <c r="Z962" s="31" t="str">
        <f t="shared" si="20"/>
        <v/>
      </c>
      <c r="AA962" s="31" t="str">
        <f>IF(D962="","",IF(H962&lt;=$B$16,1,IF(H962&gt;=$B$17,$B$21,MATCH(H962,Aux_CAV!$A$2:$A$121,1))))</f>
        <v/>
      </c>
      <c r="AB962" s="31" t="str">
        <f>IF(D962="","",IF(L962&lt;=$B$16,1,IF(L962&gt;=$B$17,$B$21,MATCH(L962,Aux_CAV!$A$2:$A$121,1))))</f>
        <v/>
      </c>
      <c r="AC962" s="3" t="str">
        <f t="shared" si="21"/>
        <v/>
      </c>
    </row>
    <row r="963" ht="12.75" customHeight="1">
      <c r="A963" s="25" t="str">
        <f t="shared" si="1"/>
        <v/>
      </c>
      <c r="B963" s="29" t="str">
        <f t="array" ref="B963">IF(D963="","",IFERROR(VALUE(INDEX(Vazoes_COLAR!$A$2:$A$200,INT((ROW()-24)/12)+1)),""))</f>
        <v/>
      </c>
      <c r="C963" s="29" t="str">
        <f t="shared" si="2"/>
        <v/>
      </c>
      <c r="D963" s="26" t="str">
        <f t="array" ref="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63" s="26" t="str">
        <f t="shared" si="3"/>
        <v/>
      </c>
      <c r="F963" s="26" t="str">
        <f t="array" ref="F963">IF(D963="","",IFERROR(INDEX(Dados_Evap!$C$2:$N$15,MATCH($B$9,Dados_Evap!$A$2:$A$15,0),C963),0))</f>
        <v/>
      </c>
      <c r="G963" s="26" t="str">
        <f t="shared" si="4"/>
        <v/>
      </c>
      <c r="H963" s="26" t="str">
        <f t="shared" si="22"/>
        <v/>
      </c>
      <c r="I963" s="26" t="str">
        <f t="array" ref="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/>
      </c>
      <c r="J963" s="26" t="str">
        <f t="shared" si="5"/>
        <v/>
      </c>
      <c r="K963" s="26" t="str">
        <f t="shared" si="6"/>
        <v/>
      </c>
      <c r="L963" s="26" t="str">
        <f t="shared" si="7"/>
        <v/>
      </c>
      <c r="M963" s="26" t="str">
        <f t="array" ref="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/>
      </c>
      <c r="N963" s="26" t="str">
        <f t="shared" si="8"/>
        <v/>
      </c>
      <c r="O963" s="26" t="str">
        <f t="shared" si="9"/>
        <v/>
      </c>
      <c r="P963" s="26" t="str">
        <f t="shared" si="10"/>
        <v/>
      </c>
      <c r="Q963" s="26" t="str">
        <f t="shared" si="11"/>
        <v/>
      </c>
      <c r="R963" s="26" t="str">
        <f t="shared" si="12"/>
        <v/>
      </c>
      <c r="S963" s="26" t="str">
        <f t="shared" si="13"/>
        <v/>
      </c>
      <c r="T963" s="26" t="str">
        <f t="shared" si="14"/>
        <v/>
      </c>
      <c r="U963" s="26" t="str">
        <f t="shared" si="15"/>
        <v/>
      </c>
      <c r="V963" s="26" t="str">
        <f t="shared" si="16"/>
        <v/>
      </c>
      <c r="W963" s="26" t="str">
        <f t="shared" si="17"/>
        <v/>
      </c>
      <c r="X963" s="26" t="str">
        <f t="shared" si="18"/>
        <v/>
      </c>
      <c r="Y963" s="26" t="str">
        <f t="shared" si="19"/>
        <v/>
      </c>
      <c r="Z963" s="31" t="str">
        <f t="shared" si="20"/>
        <v/>
      </c>
      <c r="AA963" s="31" t="str">
        <f>IF(D963="","",IF(H963&lt;=$B$16,1,IF(H963&gt;=$B$17,$B$21,MATCH(H963,Aux_CAV!$A$2:$A$121,1))))</f>
        <v/>
      </c>
      <c r="AB963" s="31" t="str">
        <f>IF(D963="","",IF(L963&lt;=$B$16,1,IF(L963&gt;=$B$17,$B$21,MATCH(L963,Aux_CAV!$A$2:$A$121,1))))</f>
        <v/>
      </c>
      <c r="AC963" s="3" t="str">
        <f t="shared" si="21"/>
        <v/>
      </c>
    </row>
    <row r="964" ht="12.75" customHeight="1">
      <c r="A964" s="25" t="str">
        <f t="shared" si="1"/>
        <v/>
      </c>
      <c r="B964" s="29" t="str">
        <f t="array" ref="B964">IF(D964="","",IFERROR(VALUE(INDEX(Vazoes_COLAR!$A$2:$A$200,INT((ROW()-24)/12)+1)),""))</f>
        <v/>
      </c>
      <c r="C964" s="29" t="str">
        <f t="shared" si="2"/>
        <v/>
      </c>
      <c r="D964" s="26" t="str">
        <f t="array" ref="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64" s="26" t="str">
        <f t="shared" si="3"/>
        <v/>
      </c>
      <c r="F964" s="26" t="str">
        <f t="array" ref="F964">IF(D964="","",IFERROR(INDEX(Dados_Evap!$C$2:$N$15,MATCH($B$9,Dados_Evap!$A$2:$A$15,0),C964),0))</f>
        <v/>
      </c>
      <c r="G964" s="26" t="str">
        <f t="shared" si="4"/>
        <v/>
      </c>
      <c r="H964" s="26" t="str">
        <f t="shared" si="22"/>
        <v/>
      </c>
      <c r="I964" s="26" t="str">
        <f t="array" ref="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/>
      </c>
      <c r="J964" s="26" t="str">
        <f t="shared" si="5"/>
        <v/>
      </c>
      <c r="K964" s="26" t="str">
        <f t="shared" si="6"/>
        <v/>
      </c>
      <c r="L964" s="26" t="str">
        <f t="shared" si="7"/>
        <v/>
      </c>
      <c r="M964" s="26" t="str">
        <f t="array" ref="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/>
      </c>
      <c r="N964" s="26" t="str">
        <f t="shared" si="8"/>
        <v/>
      </c>
      <c r="O964" s="26" t="str">
        <f t="shared" si="9"/>
        <v/>
      </c>
      <c r="P964" s="26" t="str">
        <f t="shared" si="10"/>
        <v/>
      </c>
      <c r="Q964" s="26" t="str">
        <f t="shared" si="11"/>
        <v/>
      </c>
      <c r="R964" s="26" t="str">
        <f t="shared" si="12"/>
        <v/>
      </c>
      <c r="S964" s="26" t="str">
        <f t="shared" si="13"/>
        <v/>
      </c>
      <c r="T964" s="26" t="str">
        <f t="shared" si="14"/>
        <v/>
      </c>
      <c r="U964" s="26" t="str">
        <f t="shared" si="15"/>
        <v/>
      </c>
      <c r="V964" s="26" t="str">
        <f t="shared" si="16"/>
        <v/>
      </c>
      <c r="W964" s="26" t="str">
        <f t="shared" si="17"/>
        <v/>
      </c>
      <c r="X964" s="26" t="str">
        <f t="shared" si="18"/>
        <v/>
      </c>
      <c r="Y964" s="26" t="str">
        <f t="shared" si="19"/>
        <v/>
      </c>
      <c r="Z964" s="31" t="str">
        <f t="shared" si="20"/>
        <v/>
      </c>
      <c r="AA964" s="31" t="str">
        <f>IF(D964="","",IF(H964&lt;=$B$16,1,IF(H964&gt;=$B$17,$B$21,MATCH(H964,Aux_CAV!$A$2:$A$121,1))))</f>
        <v/>
      </c>
      <c r="AB964" s="31" t="str">
        <f>IF(D964="","",IF(L964&lt;=$B$16,1,IF(L964&gt;=$B$17,$B$21,MATCH(L964,Aux_CAV!$A$2:$A$121,1))))</f>
        <v/>
      </c>
      <c r="AC964" s="3" t="str">
        <f t="shared" si="21"/>
        <v/>
      </c>
    </row>
    <row r="965" ht="12.75" customHeight="1">
      <c r="A965" s="25" t="str">
        <f t="shared" si="1"/>
        <v/>
      </c>
      <c r="B965" s="29" t="str">
        <f t="array" ref="B965">IF(D965="","",IFERROR(VALUE(INDEX(Vazoes_COLAR!$A$2:$A$200,INT((ROW()-24)/12)+1)),""))</f>
        <v/>
      </c>
      <c r="C965" s="29" t="str">
        <f t="shared" si="2"/>
        <v/>
      </c>
      <c r="D965" s="26" t="str">
        <f t="array" ref="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65" s="26" t="str">
        <f t="shared" si="3"/>
        <v/>
      </c>
      <c r="F965" s="26" t="str">
        <f t="array" ref="F965">IF(D965="","",IFERROR(INDEX(Dados_Evap!$C$2:$N$15,MATCH($B$9,Dados_Evap!$A$2:$A$15,0),C965),0))</f>
        <v/>
      </c>
      <c r="G965" s="26" t="str">
        <f t="shared" si="4"/>
        <v/>
      </c>
      <c r="H965" s="26" t="str">
        <f t="shared" si="22"/>
        <v/>
      </c>
      <c r="I965" s="26" t="str">
        <f t="array" ref="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/>
      </c>
      <c r="J965" s="26" t="str">
        <f t="shared" si="5"/>
        <v/>
      </c>
      <c r="K965" s="26" t="str">
        <f t="shared" si="6"/>
        <v/>
      </c>
      <c r="L965" s="26" t="str">
        <f t="shared" si="7"/>
        <v/>
      </c>
      <c r="M965" s="26" t="str">
        <f t="array" ref="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/>
      </c>
      <c r="N965" s="26" t="str">
        <f t="shared" si="8"/>
        <v/>
      </c>
      <c r="O965" s="26" t="str">
        <f t="shared" si="9"/>
        <v/>
      </c>
      <c r="P965" s="26" t="str">
        <f t="shared" si="10"/>
        <v/>
      </c>
      <c r="Q965" s="26" t="str">
        <f t="shared" si="11"/>
        <v/>
      </c>
      <c r="R965" s="26" t="str">
        <f t="shared" si="12"/>
        <v/>
      </c>
      <c r="S965" s="26" t="str">
        <f t="shared" si="13"/>
        <v/>
      </c>
      <c r="T965" s="26" t="str">
        <f t="shared" si="14"/>
        <v/>
      </c>
      <c r="U965" s="26" t="str">
        <f t="shared" si="15"/>
        <v/>
      </c>
      <c r="V965" s="26" t="str">
        <f t="shared" si="16"/>
        <v/>
      </c>
      <c r="W965" s="26" t="str">
        <f t="shared" si="17"/>
        <v/>
      </c>
      <c r="X965" s="26" t="str">
        <f t="shared" si="18"/>
        <v/>
      </c>
      <c r="Y965" s="26" t="str">
        <f t="shared" si="19"/>
        <v/>
      </c>
      <c r="Z965" s="31" t="str">
        <f t="shared" si="20"/>
        <v/>
      </c>
      <c r="AA965" s="31" t="str">
        <f>IF(D965="","",IF(H965&lt;=$B$16,1,IF(H965&gt;=$B$17,$B$21,MATCH(H965,Aux_CAV!$A$2:$A$121,1))))</f>
        <v/>
      </c>
      <c r="AB965" s="31" t="str">
        <f>IF(D965="","",IF(L965&lt;=$B$16,1,IF(L965&gt;=$B$17,$B$21,MATCH(L965,Aux_CAV!$A$2:$A$121,1))))</f>
        <v/>
      </c>
      <c r="AC965" s="3" t="str">
        <f t="shared" si="21"/>
        <v/>
      </c>
    </row>
    <row r="966" ht="12.75" customHeight="1">
      <c r="A966" s="25" t="str">
        <f t="shared" si="1"/>
        <v/>
      </c>
      <c r="B966" s="29" t="str">
        <f t="array" ref="B966">IF(D966="","",IFERROR(VALUE(INDEX(Vazoes_COLAR!$A$2:$A$200,INT((ROW()-24)/12)+1)),""))</f>
        <v/>
      </c>
      <c r="C966" s="29" t="str">
        <f t="shared" si="2"/>
        <v/>
      </c>
      <c r="D966" s="26" t="str">
        <f t="array" ref="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66" s="26" t="str">
        <f t="shared" si="3"/>
        <v/>
      </c>
      <c r="F966" s="26" t="str">
        <f t="array" ref="F966">IF(D966="","",IFERROR(INDEX(Dados_Evap!$C$2:$N$15,MATCH($B$9,Dados_Evap!$A$2:$A$15,0),C966),0))</f>
        <v/>
      </c>
      <c r="G966" s="26" t="str">
        <f t="shared" si="4"/>
        <v/>
      </c>
      <c r="H966" s="26" t="str">
        <f t="shared" si="22"/>
        <v/>
      </c>
      <c r="I966" s="26" t="str">
        <f t="array" ref="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/>
      </c>
      <c r="J966" s="26" t="str">
        <f t="shared" si="5"/>
        <v/>
      </c>
      <c r="K966" s="26" t="str">
        <f t="shared" si="6"/>
        <v/>
      </c>
      <c r="L966" s="26" t="str">
        <f t="shared" si="7"/>
        <v/>
      </c>
      <c r="M966" s="26" t="str">
        <f t="array" ref="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/>
      </c>
      <c r="N966" s="26" t="str">
        <f t="shared" si="8"/>
        <v/>
      </c>
      <c r="O966" s="26" t="str">
        <f t="shared" si="9"/>
        <v/>
      </c>
      <c r="P966" s="26" t="str">
        <f t="shared" si="10"/>
        <v/>
      </c>
      <c r="Q966" s="26" t="str">
        <f t="shared" si="11"/>
        <v/>
      </c>
      <c r="R966" s="26" t="str">
        <f t="shared" si="12"/>
        <v/>
      </c>
      <c r="S966" s="26" t="str">
        <f t="shared" si="13"/>
        <v/>
      </c>
      <c r="T966" s="26" t="str">
        <f t="shared" si="14"/>
        <v/>
      </c>
      <c r="U966" s="26" t="str">
        <f t="shared" si="15"/>
        <v/>
      </c>
      <c r="V966" s="26" t="str">
        <f t="shared" si="16"/>
        <v/>
      </c>
      <c r="W966" s="26" t="str">
        <f t="shared" si="17"/>
        <v/>
      </c>
      <c r="X966" s="26" t="str">
        <f t="shared" si="18"/>
        <v/>
      </c>
      <c r="Y966" s="26" t="str">
        <f t="shared" si="19"/>
        <v/>
      </c>
      <c r="Z966" s="31" t="str">
        <f t="shared" si="20"/>
        <v/>
      </c>
      <c r="AA966" s="31" t="str">
        <f>IF(D966="","",IF(H966&lt;=$B$16,1,IF(H966&gt;=$B$17,$B$21,MATCH(H966,Aux_CAV!$A$2:$A$121,1))))</f>
        <v/>
      </c>
      <c r="AB966" s="31" t="str">
        <f>IF(D966="","",IF(L966&lt;=$B$16,1,IF(L966&gt;=$B$17,$B$21,MATCH(L966,Aux_CAV!$A$2:$A$121,1))))</f>
        <v/>
      </c>
      <c r="AC966" s="3" t="str">
        <f t="shared" si="21"/>
        <v/>
      </c>
    </row>
    <row r="967" ht="12.75" customHeight="1">
      <c r="A967" s="25" t="str">
        <f t="shared" si="1"/>
        <v/>
      </c>
      <c r="B967" s="29" t="str">
        <f t="array" ref="B967">IF(D967="","",IFERROR(VALUE(INDEX(Vazoes_COLAR!$A$2:$A$200,INT((ROW()-24)/12)+1)),""))</f>
        <v/>
      </c>
      <c r="C967" s="29" t="str">
        <f t="shared" si="2"/>
        <v/>
      </c>
      <c r="D967" s="26" t="str">
        <f t="array" ref="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67" s="26" t="str">
        <f t="shared" si="3"/>
        <v/>
      </c>
      <c r="F967" s="26" t="str">
        <f t="array" ref="F967">IF(D967="","",IFERROR(INDEX(Dados_Evap!$C$2:$N$15,MATCH($B$9,Dados_Evap!$A$2:$A$15,0),C967),0))</f>
        <v/>
      </c>
      <c r="G967" s="26" t="str">
        <f t="shared" si="4"/>
        <v/>
      </c>
      <c r="H967" s="26" t="str">
        <f t="shared" si="22"/>
        <v/>
      </c>
      <c r="I967" s="26" t="str">
        <f t="array" ref="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/>
      </c>
      <c r="J967" s="26" t="str">
        <f t="shared" si="5"/>
        <v/>
      </c>
      <c r="K967" s="26" t="str">
        <f t="shared" si="6"/>
        <v/>
      </c>
      <c r="L967" s="26" t="str">
        <f t="shared" si="7"/>
        <v/>
      </c>
      <c r="M967" s="26" t="str">
        <f t="array" ref="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/>
      </c>
      <c r="N967" s="26" t="str">
        <f t="shared" si="8"/>
        <v/>
      </c>
      <c r="O967" s="26" t="str">
        <f t="shared" si="9"/>
        <v/>
      </c>
      <c r="P967" s="26" t="str">
        <f t="shared" si="10"/>
        <v/>
      </c>
      <c r="Q967" s="26" t="str">
        <f t="shared" si="11"/>
        <v/>
      </c>
      <c r="R967" s="26" t="str">
        <f t="shared" si="12"/>
        <v/>
      </c>
      <c r="S967" s="26" t="str">
        <f t="shared" si="13"/>
        <v/>
      </c>
      <c r="T967" s="26" t="str">
        <f t="shared" si="14"/>
        <v/>
      </c>
      <c r="U967" s="26" t="str">
        <f t="shared" si="15"/>
        <v/>
      </c>
      <c r="V967" s="26" t="str">
        <f t="shared" si="16"/>
        <v/>
      </c>
      <c r="W967" s="26" t="str">
        <f t="shared" si="17"/>
        <v/>
      </c>
      <c r="X967" s="26" t="str">
        <f t="shared" si="18"/>
        <v/>
      </c>
      <c r="Y967" s="26" t="str">
        <f t="shared" si="19"/>
        <v/>
      </c>
      <c r="Z967" s="31" t="str">
        <f t="shared" si="20"/>
        <v/>
      </c>
      <c r="AA967" s="31" t="str">
        <f>IF(D967="","",IF(H967&lt;=$B$16,1,IF(H967&gt;=$B$17,$B$21,MATCH(H967,Aux_CAV!$A$2:$A$121,1))))</f>
        <v/>
      </c>
      <c r="AB967" s="31" t="str">
        <f>IF(D967="","",IF(L967&lt;=$B$16,1,IF(L967&gt;=$B$17,$B$21,MATCH(L967,Aux_CAV!$A$2:$A$121,1))))</f>
        <v/>
      </c>
      <c r="AC967" s="3" t="str">
        <f t="shared" si="21"/>
        <v/>
      </c>
    </row>
    <row r="968" ht="12.75" customHeight="1">
      <c r="A968" s="25" t="str">
        <f t="shared" si="1"/>
        <v/>
      </c>
      <c r="B968" s="29" t="str">
        <f t="array" ref="B968">IF(D968="","",IFERROR(VALUE(INDEX(Vazoes_COLAR!$A$2:$A$200,INT((ROW()-24)/12)+1)),""))</f>
        <v/>
      </c>
      <c r="C968" s="29" t="str">
        <f t="shared" si="2"/>
        <v/>
      </c>
      <c r="D968" s="26" t="str">
        <f t="array" ref="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68" s="26" t="str">
        <f t="shared" si="3"/>
        <v/>
      </c>
      <c r="F968" s="26" t="str">
        <f t="array" ref="F968">IF(D968="","",IFERROR(INDEX(Dados_Evap!$C$2:$N$15,MATCH($B$9,Dados_Evap!$A$2:$A$15,0),C968),0))</f>
        <v/>
      </c>
      <c r="G968" s="26" t="str">
        <f t="shared" si="4"/>
        <v/>
      </c>
      <c r="H968" s="26" t="str">
        <f t="shared" si="22"/>
        <v/>
      </c>
      <c r="I968" s="26" t="str">
        <f t="array" ref="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/>
      </c>
      <c r="J968" s="26" t="str">
        <f t="shared" si="5"/>
        <v/>
      </c>
      <c r="K968" s="26" t="str">
        <f t="shared" si="6"/>
        <v/>
      </c>
      <c r="L968" s="26" t="str">
        <f t="shared" si="7"/>
        <v/>
      </c>
      <c r="M968" s="26" t="str">
        <f t="array" ref="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/>
      </c>
      <c r="N968" s="26" t="str">
        <f t="shared" si="8"/>
        <v/>
      </c>
      <c r="O968" s="26" t="str">
        <f t="shared" si="9"/>
        <v/>
      </c>
      <c r="P968" s="26" t="str">
        <f t="shared" si="10"/>
        <v/>
      </c>
      <c r="Q968" s="26" t="str">
        <f t="shared" si="11"/>
        <v/>
      </c>
      <c r="R968" s="26" t="str">
        <f t="shared" si="12"/>
        <v/>
      </c>
      <c r="S968" s="26" t="str">
        <f t="shared" si="13"/>
        <v/>
      </c>
      <c r="T968" s="26" t="str">
        <f t="shared" si="14"/>
        <v/>
      </c>
      <c r="U968" s="26" t="str">
        <f t="shared" si="15"/>
        <v/>
      </c>
      <c r="V968" s="26" t="str">
        <f t="shared" si="16"/>
        <v/>
      </c>
      <c r="W968" s="26" t="str">
        <f t="shared" si="17"/>
        <v/>
      </c>
      <c r="X968" s="26" t="str">
        <f t="shared" si="18"/>
        <v/>
      </c>
      <c r="Y968" s="26" t="str">
        <f t="shared" si="19"/>
        <v/>
      </c>
      <c r="Z968" s="31" t="str">
        <f t="shared" si="20"/>
        <v/>
      </c>
      <c r="AA968" s="31" t="str">
        <f>IF(D968="","",IF(H968&lt;=$B$16,1,IF(H968&gt;=$B$17,$B$21,MATCH(H968,Aux_CAV!$A$2:$A$121,1))))</f>
        <v/>
      </c>
      <c r="AB968" s="31" t="str">
        <f>IF(D968="","",IF(L968&lt;=$B$16,1,IF(L968&gt;=$B$17,$B$21,MATCH(L968,Aux_CAV!$A$2:$A$121,1))))</f>
        <v/>
      </c>
      <c r="AC968" s="3" t="str">
        <f t="shared" si="21"/>
        <v/>
      </c>
    </row>
    <row r="969" ht="12.75" customHeight="1">
      <c r="A969" s="25" t="str">
        <f t="shared" si="1"/>
        <v/>
      </c>
      <c r="B969" s="29" t="str">
        <f t="array" ref="B969">IF(D969="","",IFERROR(VALUE(INDEX(Vazoes_COLAR!$A$2:$A$200,INT((ROW()-24)/12)+1)),""))</f>
        <v/>
      </c>
      <c r="C969" s="29" t="str">
        <f t="shared" si="2"/>
        <v/>
      </c>
      <c r="D969" s="26" t="str">
        <f t="array" ref="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69" s="26" t="str">
        <f t="shared" si="3"/>
        <v/>
      </c>
      <c r="F969" s="26" t="str">
        <f t="array" ref="F969">IF(D969="","",IFERROR(INDEX(Dados_Evap!$C$2:$N$15,MATCH($B$9,Dados_Evap!$A$2:$A$15,0),C969),0))</f>
        <v/>
      </c>
      <c r="G969" s="26" t="str">
        <f t="shared" si="4"/>
        <v/>
      </c>
      <c r="H969" s="26" t="str">
        <f t="shared" si="22"/>
        <v/>
      </c>
      <c r="I969" s="26" t="str">
        <f t="array" ref="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/>
      </c>
      <c r="J969" s="26" t="str">
        <f t="shared" si="5"/>
        <v/>
      </c>
      <c r="K969" s="26" t="str">
        <f t="shared" si="6"/>
        <v/>
      </c>
      <c r="L969" s="26" t="str">
        <f t="shared" si="7"/>
        <v/>
      </c>
      <c r="M969" s="26" t="str">
        <f t="array" ref="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/>
      </c>
      <c r="N969" s="26" t="str">
        <f t="shared" si="8"/>
        <v/>
      </c>
      <c r="O969" s="26" t="str">
        <f t="shared" si="9"/>
        <v/>
      </c>
      <c r="P969" s="26" t="str">
        <f t="shared" si="10"/>
        <v/>
      </c>
      <c r="Q969" s="26" t="str">
        <f t="shared" si="11"/>
        <v/>
      </c>
      <c r="R969" s="26" t="str">
        <f t="shared" si="12"/>
        <v/>
      </c>
      <c r="S969" s="26" t="str">
        <f t="shared" si="13"/>
        <v/>
      </c>
      <c r="T969" s="26" t="str">
        <f t="shared" si="14"/>
        <v/>
      </c>
      <c r="U969" s="26" t="str">
        <f t="shared" si="15"/>
        <v/>
      </c>
      <c r="V969" s="26" t="str">
        <f t="shared" si="16"/>
        <v/>
      </c>
      <c r="W969" s="26" t="str">
        <f t="shared" si="17"/>
        <v/>
      </c>
      <c r="X969" s="26" t="str">
        <f t="shared" si="18"/>
        <v/>
      </c>
      <c r="Y969" s="26" t="str">
        <f t="shared" si="19"/>
        <v/>
      </c>
      <c r="Z969" s="31" t="str">
        <f t="shared" si="20"/>
        <v/>
      </c>
      <c r="AA969" s="31" t="str">
        <f>IF(D969="","",IF(H969&lt;=$B$16,1,IF(H969&gt;=$B$17,$B$21,MATCH(H969,Aux_CAV!$A$2:$A$121,1))))</f>
        <v/>
      </c>
      <c r="AB969" s="31" t="str">
        <f>IF(D969="","",IF(L969&lt;=$B$16,1,IF(L969&gt;=$B$17,$B$21,MATCH(L969,Aux_CAV!$A$2:$A$121,1))))</f>
        <v/>
      </c>
      <c r="AC969" s="3" t="str">
        <f t="shared" si="21"/>
        <v/>
      </c>
    </row>
    <row r="970" ht="12.75" customHeight="1">
      <c r="A970" s="25" t="str">
        <f t="shared" si="1"/>
        <v/>
      </c>
      <c r="B970" s="29" t="str">
        <f t="array" ref="B970">IF(D970="","",IFERROR(VALUE(INDEX(Vazoes_COLAR!$A$2:$A$200,INT((ROW()-24)/12)+1)),""))</f>
        <v/>
      </c>
      <c r="C970" s="29" t="str">
        <f t="shared" si="2"/>
        <v/>
      </c>
      <c r="D970" s="26" t="str">
        <f t="array" ref="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70" s="26" t="str">
        <f t="shared" si="3"/>
        <v/>
      </c>
      <c r="F970" s="26" t="str">
        <f t="array" ref="F970">IF(D970="","",IFERROR(INDEX(Dados_Evap!$C$2:$N$15,MATCH($B$9,Dados_Evap!$A$2:$A$15,0),C970),0))</f>
        <v/>
      </c>
      <c r="G970" s="26" t="str">
        <f t="shared" si="4"/>
        <v/>
      </c>
      <c r="H970" s="26" t="str">
        <f t="shared" si="22"/>
        <v/>
      </c>
      <c r="I970" s="26" t="str">
        <f t="array" ref="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/>
      </c>
      <c r="J970" s="26" t="str">
        <f t="shared" si="5"/>
        <v/>
      </c>
      <c r="K970" s="26" t="str">
        <f t="shared" si="6"/>
        <v/>
      </c>
      <c r="L970" s="26" t="str">
        <f t="shared" si="7"/>
        <v/>
      </c>
      <c r="M970" s="26" t="str">
        <f t="array" ref="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/>
      </c>
      <c r="N970" s="26" t="str">
        <f t="shared" si="8"/>
        <v/>
      </c>
      <c r="O970" s="26" t="str">
        <f t="shared" si="9"/>
        <v/>
      </c>
      <c r="P970" s="26" t="str">
        <f t="shared" si="10"/>
        <v/>
      </c>
      <c r="Q970" s="26" t="str">
        <f t="shared" si="11"/>
        <v/>
      </c>
      <c r="R970" s="26" t="str">
        <f t="shared" si="12"/>
        <v/>
      </c>
      <c r="S970" s="26" t="str">
        <f t="shared" si="13"/>
        <v/>
      </c>
      <c r="T970" s="26" t="str">
        <f t="shared" si="14"/>
        <v/>
      </c>
      <c r="U970" s="26" t="str">
        <f t="shared" si="15"/>
        <v/>
      </c>
      <c r="V970" s="26" t="str">
        <f t="shared" si="16"/>
        <v/>
      </c>
      <c r="W970" s="26" t="str">
        <f t="shared" si="17"/>
        <v/>
      </c>
      <c r="X970" s="26" t="str">
        <f t="shared" si="18"/>
        <v/>
      </c>
      <c r="Y970" s="26" t="str">
        <f t="shared" si="19"/>
        <v/>
      </c>
      <c r="Z970" s="31" t="str">
        <f t="shared" si="20"/>
        <v/>
      </c>
      <c r="AA970" s="31" t="str">
        <f>IF(D970="","",IF(H970&lt;=$B$16,1,IF(H970&gt;=$B$17,$B$21,MATCH(H970,Aux_CAV!$A$2:$A$121,1))))</f>
        <v/>
      </c>
      <c r="AB970" s="31" t="str">
        <f>IF(D970="","",IF(L970&lt;=$B$16,1,IF(L970&gt;=$B$17,$B$21,MATCH(L970,Aux_CAV!$A$2:$A$121,1))))</f>
        <v/>
      </c>
      <c r="AC970" s="3" t="str">
        <f t="shared" si="21"/>
        <v/>
      </c>
    </row>
    <row r="971" ht="12.75" customHeight="1">
      <c r="A971" s="25" t="str">
        <f t="shared" si="1"/>
        <v/>
      </c>
      <c r="B971" s="29" t="str">
        <f t="array" ref="B971">IF(D971="","",IFERROR(VALUE(INDEX(Vazoes_COLAR!$A$2:$A$200,INT((ROW()-24)/12)+1)),""))</f>
        <v/>
      </c>
      <c r="C971" s="29" t="str">
        <f t="shared" si="2"/>
        <v/>
      </c>
      <c r="D971" s="26" t="str">
        <f t="array" ref="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71" s="26" t="str">
        <f t="shared" si="3"/>
        <v/>
      </c>
      <c r="F971" s="26" t="str">
        <f t="array" ref="F971">IF(D971="","",IFERROR(INDEX(Dados_Evap!$C$2:$N$15,MATCH($B$9,Dados_Evap!$A$2:$A$15,0),C971),0))</f>
        <v/>
      </c>
      <c r="G971" s="26" t="str">
        <f t="shared" si="4"/>
        <v/>
      </c>
      <c r="H971" s="26" t="str">
        <f t="shared" si="22"/>
        <v/>
      </c>
      <c r="I971" s="26" t="str">
        <f t="array" ref="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/>
      </c>
      <c r="J971" s="26" t="str">
        <f t="shared" si="5"/>
        <v/>
      </c>
      <c r="K971" s="26" t="str">
        <f t="shared" si="6"/>
        <v/>
      </c>
      <c r="L971" s="26" t="str">
        <f t="shared" si="7"/>
        <v/>
      </c>
      <c r="M971" s="26" t="str">
        <f t="array" ref="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/>
      </c>
      <c r="N971" s="26" t="str">
        <f t="shared" si="8"/>
        <v/>
      </c>
      <c r="O971" s="26" t="str">
        <f t="shared" si="9"/>
        <v/>
      </c>
      <c r="P971" s="26" t="str">
        <f t="shared" si="10"/>
        <v/>
      </c>
      <c r="Q971" s="26" t="str">
        <f t="shared" si="11"/>
        <v/>
      </c>
      <c r="R971" s="26" t="str">
        <f t="shared" si="12"/>
        <v/>
      </c>
      <c r="S971" s="26" t="str">
        <f t="shared" si="13"/>
        <v/>
      </c>
      <c r="T971" s="26" t="str">
        <f t="shared" si="14"/>
        <v/>
      </c>
      <c r="U971" s="26" t="str">
        <f t="shared" si="15"/>
        <v/>
      </c>
      <c r="V971" s="26" t="str">
        <f t="shared" si="16"/>
        <v/>
      </c>
      <c r="W971" s="26" t="str">
        <f t="shared" si="17"/>
        <v/>
      </c>
      <c r="X971" s="26" t="str">
        <f t="shared" si="18"/>
        <v/>
      </c>
      <c r="Y971" s="26" t="str">
        <f t="shared" si="19"/>
        <v/>
      </c>
      <c r="Z971" s="31" t="str">
        <f t="shared" si="20"/>
        <v/>
      </c>
      <c r="AA971" s="31" t="str">
        <f>IF(D971="","",IF(H971&lt;=$B$16,1,IF(H971&gt;=$B$17,$B$21,MATCH(H971,Aux_CAV!$A$2:$A$121,1))))</f>
        <v/>
      </c>
      <c r="AB971" s="31" t="str">
        <f>IF(D971="","",IF(L971&lt;=$B$16,1,IF(L971&gt;=$B$17,$B$21,MATCH(L971,Aux_CAV!$A$2:$A$121,1))))</f>
        <v/>
      </c>
      <c r="AC971" s="3" t="str">
        <f t="shared" si="21"/>
        <v/>
      </c>
    </row>
    <row r="972" ht="12.75" customHeight="1">
      <c r="A972" s="25" t="str">
        <f t="shared" si="1"/>
        <v/>
      </c>
      <c r="B972" s="29" t="str">
        <f t="array" ref="B972">IF(D972="","",IFERROR(VALUE(INDEX(Vazoes_COLAR!$A$2:$A$200,INT((ROW()-24)/12)+1)),""))</f>
        <v/>
      </c>
      <c r="C972" s="29" t="str">
        <f t="shared" si="2"/>
        <v/>
      </c>
      <c r="D972" s="26" t="str">
        <f t="array" ref="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72" s="26" t="str">
        <f t="shared" si="3"/>
        <v/>
      </c>
      <c r="F972" s="26" t="str">
        <f t="array" ref="F972">IF(D972="","",IFERROR(INDEX(Dados_Evap!$C$2:$N$15,MATCH($B$9,Dados_Evap!$A$2:$A$15,0),C972),0))</f>
        <v/>
      </c>
      <c r="G972" s="26" t="str">
        <f t="shared" si="4"/>
        <v/>
      </c>
      <c r="H972" s="26" t="str">
        <f t="shared" si="22"/>
        <v/>
      </c>
      <c r="I972" s="26" t="str">
        <f t="array" ref="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/>
      </c>
      <c r="J972" s="26" t="str">
        <f t="shared" si="5"/>
        <v/>
      </c>
      <c r="K972" s="26" t="str">
        <f t="shared" si="6"/>
        <v/>
      </c>
      <c r="L972" s="26" t="str">
        <f t="shared" si="7"/>
        <v/>
      </c>
      <c r="M972" s="26" t="str">
        <f t="array" ref="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/>
      </c>
      <c r="N972" s="26" t="str">
        <f t="shared" si="8"/>
        <v/>
      </c>
      <c r="O972" s="26" t="str">
        <f t="shared" si="9"/>
        <v/>
      </c>
      <c r="P972" s="26" t="str">
        <f t="shared" si="10"/>
        <v/>
      </c>
      <c r="Q972" s="26" t="str">
        <f t="shared" si="11"/>
        <v/>
      </c>
      <c r="R972" s="26" t="str">
        <f t="shared" si="12"/>
        <v/>
      </c>
      <c r="S972" s="26" t="str">
        <f t="shared" si="13"/>
        <v/>
      </c>
      <c r="T972" s="26" t="str">
        <f t="shared" si="14"/>
        <v/>
      </c>
      <c r="U972" s="26" t="str">
        <f t="shared" si="15"/>
        <v/>
      </c>
      <c r="V972" s="26" t="str">
        <f t="shared" si="16"/>
        <v/>
      </c>
      <c r="W972" s="26" t="str">
        <f t="shared" si="17"/>
        <v/>
      </c>
      <c r="X972" s="26" t="str">
        <f t="shared" si="18"/>
        <v/>
      </c>
      <c r="Y972" s="26" t="str">
        <f t="shared" si="19"/>
        <v/>
      </c>
      <c r="Z972" s="31" t="str">
        <f t="shared" si="20"/>
        <v/>
      </c>
      <c r="AA972" s="31" t="str">
        <f>IF(D972="","",IF(H972&lt;=$B$16,1,IF(H972&gt;=$B$17,$B$21,MATCH(H972,Aux_CAV!$A$2:$A$121,1))))</f>
        <v/>
      </c>
      <c r="AB972" s="31" t="str">
        <f>IF(D972="","",IF(L972&lt;=$B$16,1,IF(L972&gt;=$B$17,$B$21,MATCH(L972,Aux_CAV!$A$2:$A$121,1))))</f>
        <v/>
      </c>
      <c r="AC972" s="3" t="str">
        <f t="shared" si="21"/>
        <v/>
      </c>
    </row>
    <row r="973" ht="12.75" customHeight="1">
      <c r="A973" s="25" t="str">
        <f t="shared" si="1"/>
        <v/>
      </c>
      <c r="B973" s="29" t="str">
        <f t="array" ref="B973">IF(D973="","",IFERROR(VALUE(INDEX(Vazoes_COLAR!$A$2:$A$200,INT((ROW()-24)/12)+1)),""))</f>
        <v/>
      </c>
      <c r="C973" s="29" t="str">
        <f t="shared" si="2"/>
        <v/>
      </c>
      <c r="D973" s="26" t="str">
        <f t="array" ref="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73" s="26" t="str">
        <f t="shared" si="3"/>
        <v/>
      </c>
      <c r="F973" s="26" t="str">
        <f t="array" ref="F973">IF(D973="","",IFERROR(INDEX(Dados_Evap!$C$2:$N$15,MATCH($B$9,Dados_Evap!$A$2:$A$15,0),C973),0))</f>
        <v/>
      </c>
      <c r="G973" s="26" t="str">
        <f t="shared" si="4"/>
        <v/>
      </c>
      <c r="H973" s="26" t="str">
        <f t="shared" si="22"/>
        <v/>
      </c>
      <c r="I973" s="26" t="str">
        <f t="array" ref="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/>
      </c>
      <c r="J973" s="26" t="str">
        <f t="shared" si="5"/>
        <v/>
      </c>
      <c r="K973" s="26" t="str">
        <f t="shared" si="6"/>
        <v/>
      </c>
      <c r="L973" s="26" t="str">
        <f t="shared" si="7"/>
        <v/>
      </c>
      <c r="M973" s="26" t="str">
        <f t="array" ref="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/>
      </c>
      <c r="N973" s="26" t="str">
        <f t="shared" si="8"/>
        <v/>
      </c>
      <c r="O973" s="26" t="str">
        <f t="shared" si="9"/>
        <v/>
      </c>
      <c r="P973" s="26" t="str">
        <f t="shared" si="10"/>
        <v/>
      </c>
      <c r="Q973" s="26" t="str">
        <f t="shared" si="11"/>
        <v/>
      </c>
      <c r="R973" s="26" t="str">
        <f t="shared" si="12"/>
        <v/>
      </c>
      <c r="S973" s="26" t="str">
        <f t="shared" si="13"/>
        <v/>
      </c>
      <c r="T973" s="26" t="str">
        <f t="shared" si="14"/>
        <v/>
      </c>
      <c r="U973" s="26" t="str">
        <f t="shared" si="15"/>
        <v/>
      </c>
      <c r="V973" s="26" t="str">
        <f t="shared" si="16"/>
        <v/>
      </c>
      <c r="W973" s="26" t="str">
        <f t="shared" si="17"/>
        <v/>
      </c>
      <c r="X973" s="26" t="str">
        <f t="shared" si="18"/>
        <v/>
      </c>
      <c r="Y973" s="26" t="str">
        <f t="shared" si="19"/>
        <v/>
      </c>
      <c r="Z973" s="31" t="str">
        <f t="shared" si="20"/>
        <v/>
      </c>
      <c r="AA973" s="31" t="str">
        <f>IF(D973="","",IF(H973&lt;=$B$16,1,IF(H973&gt;=$B$17,$B$21,MATCH(H973,Aux_CAV!$A$2:$A$121,1))))</f>
        <v/>
      </c>
      <c r="AB973" s="31" t="str">
        <f>IF(D973="","",IF(L973&lt;=$B$16,1,IF(L973&gt;=$B$17,$B$21,MATCH(L973,Aux_CAV!$A$2:$A$121,1))))</f>
        <v/>
      </c>
      <c r="AC973" s="3" t="str">
        <f t="shared" si="21"/>
        <v/>
      </c>
    </row>
    <row r="974" ht="12.75" customHeight="1">
      <c r="A974" s="25" t="str">
        <f t="shared" si="1"/>
        <v/>
      </c>
      <c r="B974" s="29" t="str">
        <f t="array" ref="B974">IF(D974="","",IFERROR(VALUE(INDEX(Vazoes_COLAR!$A$2:$A$200,INT((ROW()-24)/12)+1)),""))</f>
        <v/>
      </c>
      <c r="C974" s="29" t="str">
        <f t="shared" si="2"/>
        <v/>
      </c>
      <c r="D974" s="26" t="str">
        <f t="array" ref="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74" s="26" t="str">
        <f t="shared" si="3"/>
        <v/>
      </c>
      <c r="F974" s="26" t="str">
        <f t="array" ref="F974">IF(D974="","",IFERROR(INDEX(Dados_Evap!$C$2:$N$15,MATCH($B$9,Dados_Evap!$A$2:$A$15,0),C974),0))</f>
        <v/>
      </c>
      <c r="G974" s="26" t="str">
        <f t="shared" si="4"/>
        <v/>
      </c>
      <c r="H974" s="26" t="str">
        <f t="shared" si="22"/>
        <v/>
      </c>
      <c r="I974" s="26" t="str">
        <f t="array" ref="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/>
      </c>
      <c r="J974" s="26" t="str">
        <f t="shared" si="5"/>
        <v/>
      </c>
      <c r="K974" s="26" t="str">
        <f t="shared" si="6"/>
        <v/>
      </c>
      <c r="L974" s="26" t="str">
        <f t="shared" si="7"/>
        <v/>
      </c>
      <c r="M974" s="26" t="str">
        <f t="array" ref="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/>
      </c>
      <c r="N974" s="26" t="str">
        <f t="shared" si="8"/>
        <v/>
      </c>
      <c r="O974" s="26" t="str">
        <f t="shared" si="9"/>
        <v/>
      </c>
      <c r="P974" s="26" t="str">
        <f t="shared" si="10"/>
        <v/>
      </c>
      <c r="Q974" s="26" t="str">
        <f t="shared" si="11"/>
        <v/>
      </c>
      <c r="R974" s="26" t="str">
        <f t="shared" si="12"/>
        <v/>
      </c>
      <c r="S974" s="26" t="str">
        <f t="shared" si="13"/>
        <v/>
      </c>
      <c r="T974" s="26" t="str">
        <f t="shared" si="14"/>
        <v/>
      </c>
      <c r="U974" s="26" t="str">
        <f t="shared" si="15"/>
        <v/>
      </c>
      <c r="V974" s="26" t="str">
        <f t="shared" si="16"/>
        <v/>
      </c>
      <c r="W974" s="26" t="str">
        <f t="shared" si="17"/>
        <v/>
      </c>
      <c r="X974" s="26" t="str">
        <f t="shared" si="18"/>
        <v/>
      </c>
      <c r="Y974" s="26" t="str">
        <f t="shared" si="19"/>
        <v/>
      </c>
      <c r="Z974" s="31" t="str">
        <f t="shared" si="20"/>
        <v/>
      </c>
      <c r="AA974" s="31" t="str">
        <f>IF(D974="","",IF(H974&lt;=$B$16,1,IF(H974&gt;=$B$17,$B$21,MATCH(H974,Aux_CAV!$A$2:$A$121,1))))</f>
        <v/>
      </c>
      <c r="AB974" s="31" t="str">
        <f>IF(D974="","",IF(L974&lt;=$B$16,1,IF(L974&gt;=$B$17,$B$21,MATCH(L974,Aux_CAV!$A$2:$A$121,1))))</f>
        <v/>
      </c>
      <c r="AC974" s="3" t="str">
        <f t="shared" si="21"/>
        <v/>
      </c>
    </row>
    <row r="975" ht="12.75" customHeight="1">
      <c r="A975" s="25" t="str">
        <f t="shared" si="1"/>
        <v/>
      </c>
      <c r="B975" s="29" t="str">
        <f t="array" ref="B975">IF(D975="","",IFERROR(VALUE(INDEX(Vazoes_COLAR!$A$2:$A$200,INT((ROW()-24)/12)+1)),""))</f>
        <v/>
      </c>
      <c r="C975" s="29" t="str">
        <f t="shared" si="2"/>
        <v/>
      </c>
      <c r="D975" s="26" t="str">
        <f t="array" ref="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75" s="26" t="str">
        <f t="shared" si="3"/>
        <v/>
      </c>
      <c r="F975" s="26" t="str">
        <f t="array" ref="F975">IF(D975="","",IFERROR(INDEX(Dados_Evap!$C$2:$N$15,MATCH($B$9,Dados_Evap!$A$2:$A$15,0),C975),0))</f>
        <v/>
      </c>
      <c r="G975" s="26" t="str">
        <f t="shared" si="4"/>
        <v/>
      </c>
      <c r="H975" s="26" t="str">
        <f t="shared" si="22"/>
        <v/>
      </c>
      <c r="I975" s="26" t="str">
        <f t="array" ref="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/>
      </c>
      <c r="J975" s="26" t="str">
        <f t="shared" si="5"/>
        <v/>
      </c>
      <c r="K975" s="26" t="str">
        <f t="shared" si="6"/>
        <v/>
      </c>
      <c r="L975" s="26" t="str">
        <f t="shared" si="7"/>
        <v/>
      </c>
      <c r="M975" s="26" t="str">
        <f t="array" ref="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/>
      </c>
      <c r="N975" s="26" t="str">
        <f t="shared" si="8"/>
        <v/>
      </c>
      <c r="O975" s="26" t="str">
        <f t="shared" si="9"/>
        <v/>
      </c>
      <c r="P975" s="26" t="str">
        <f t="shared" si="10"/>
        <v/>
      </c>
      <c r="Q975" s="26" t="str">
        <f t="shared" si="11"/>
        <v/>
      </c>
      <c r="R975" s="26" t="str">
        <f t="shared" si="12"/>
        <v/>
      </c>
      <c r="S975" s="26" t="str">
        <f t="shared" si="13"/>
        <v/>
      </c>
      <c r="T975" s="26" t="str">
        <f t="shared" si="14"/>
        <v/>
      </c>
      <c r="U975" s="26" t="str">
        <f t="shared" si="15"/>
        <v/>
      </c>
      <c r="V975" s="26" t="str">
        <f t="shared" si="16"/>
        <v/>
      </c>
      <c r="W975" s="26" t="str">
        <f t="shared" si="17"/>
        <v/>
      </c>
      <c r="X975" s="26" t="str">
        <f t="shared" si="18"/>
        <v/>
      </c>
      <c r="Y975" s="26" t="str">
        <f t="shared" si="19"/>
        <v/>
      </c>
      <c r="Z975" s="31" t="str">
        <f t="shared" si="20"/>
        <v/>
      </c>
      <c r="AA975" s="31" t="str">
        <f>IF(D975="","",IF(H975&lt;=$B$16,1,IF(H975&gt;=$B$17,$B$21,MATCH(H975,Aux_CAV!$A$2:$A$121,1))))</f>
        <v/>
      </c>
      <c r="AB975" s="31" t="str">
        <f>IF(D975="","",IF(L975&lt;=$B$16,1,IF(L975&gt;=$B$17,$B$21,MATCH(L975,Aux_CAV!$A$2:$A$121,1))))</f>
        <v/>
      </c>
      <c r="AC975" s="3" t="str">
        <f t="shared" si="21"/>
        <v/>
      </c>
    </row>
    <row r="976" ht="12.75" customHeight="1">
      <c r="A976" s="25" t="str">
        <f t="shared" si="1"/>
        <v/>
      </c>
      <c r="B976" s="29" t="str">
        <f t="array" ref="B976">IF(D976="","",IFERROR(VALUE(INDEX(Vazoes_COLAR!$A$2:$A$200,INT((ROW()-24)/12)+1)),""))</f>
        <v/>
      </c>
      <c r="C976" s="29" t="str">
        <f t="shared" si="2"/>
        <v/>
      </c>
      <c r="D976" s="26" t="str">
        <f t="array" ref="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76" s="26" t="str">
        <f t="shared" si="3"/>
        <v/>
      </c>
      <c r="F976" s="26" t="str">
        <f t="array" ref="F976">IF(D976="","",IFERROR(INDEX(Dados_Evap!$C$2:$N$15,MATCH($B$9,Dados_Evap!$A$2:$A$15,0),C976),0))</f>
        <v/>
      </c>
      <c r="G976" s="26" t="str">
        <f t="shared" si="4"/>
        <v/>
      </c>
      <c r="H976" s="26" t="str">
        <f t="shared" si="22"/>
        <v/>
      </c>
      <c r="I976" s="26" t="str">
        <f t="array" ref="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/>
      </c>
      <c r="J976" s="26" t="str">
        <f t="shared" si="5"/>
        <v/>
      </c>
      <c r="K976" s="26" t="str">
        <f t="shared" si="6"/>
        <v/>
      </c>
      <c r="L976" s="26" t="str">
        <f t="shared" si="7"/>
        <v/>
      </c>
      <c r="M976" s="26" t="str">
        <f t="array" ref="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/>
      </c>
      <c r="N976" s="26" t="str">
        <f t="shared" si="8"/>
        <v/>
      </c>
      <c r="O976" s="26" t="str">
        <f t="shared" si="9"/>
        <v/>
      </c>
      <c r="P976" s="26" t="str">
        <f t="shared" si="10"/>
        <v/>
      </c>
      <c r="Q976" s="26" t="str">
        <f t="shared" si="11"/>
        <v/>
      </c>
      <c r="R976" s="26" t="str">
        <f t="shared" si="12"/>
        <v/>
      </c>
      <c r="S976" s="26" t="str">
        <f t="shared" si="13"/>
        <v/>
      </c>
      <c r="T976" s="26" t="str">
        <f t="shared" si="14"/>
        <v/>
      </c>
      <c r="U976" s="26" t="str">
        <f t="shared" si="15"/>
        <v/>
      </c>
      <c r="V976" s="26" t="str">
        <f t="shared" si="16"/>
        <v/>
      </c>
      <c r="W976" s="26" t="str">
        <f t="shared" si="17"/>
        <v/>
      </c>
      <c r="X976" s="26" t="str">
        <f t="shared" si="18"/>
        <v/>
      </c>
      <c r="Y976" s="26" t="str">
        <f t="shared" si="19"/>
        <v/>
      </c>
      <c r="Z976" s="31" t="str">
        <f t="shared" si="20"/>
        <v/>
      </c>
      <c r="AA976" s="31" t="str">
        <f>IF(D976="","",IF(H976&lt;=$B$16,1,IF(H976&gt;=$B$17,$B$21,MATCH(H976,Aux_CAV!$A$2:$A$121,1))))</f>
        <v/>
      </c>
      <c r="AB976" s="31" t="str">
        <f>IF(D976="","",IF(L976&lt;=$B$16,1,IF(L976&gt;=$B$17,$B$21,MATCH(L976,Aux_CAV!$A$2:$A$121,1))))</f>
        <v/>
      </c>
      <c r="AC976" s="3" t="str">
        <f t="shared" si="21"/>
        <v/>
      </c>
    </row>
    <row r="977" ht="12.75" customHeight="1">
      <c r="A977" s="25" t="str">
        <f t="shared" si="1"/>
        <v/>
      </c>
      <c r="B977" s="29" t="str">
        <f t="array" ref="B977">IF(D977="","",IFERROR(VALUE(INDEX(Vazoes_COLAR!$A$2:$A$200,INT((ROW()-24)/12)+1)),""))</f>
        <v/>
      </c>
      <c r="C977" s="29" t="str">
        <f t="shared" si="2"/>
        <v/>
      </c>
      <c r="D977" s="26" t="str">
        <f t="array" ref="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77" s="26" t="str">
        <f t="shared" si="3"/>
        <v/>
      </c>
      <c r="F977" s="26" t="str">
        <f t="array" ref="F977">IF(D977="","",IFERROR(INDEX(Dados_Evap!$C$2:$N$15,MATCH($B$9,Dados_Evap!$A$2:$A$15,0),C977),0))</f>
        <v/>
      </c>
      <c r="G977" s="26" t="str">
        <f t="shared" si="4"/>
        <v/>
      </c>
      <c r="H977" s="26" t="str">
        <f t="shared" si="22"/>
        <v/>
      </c>
      <c r="I977" s="26" t="str">
        <f t="array" ref="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/>
      </c>
      <c r="J977" s="26" t="str">
        <f t="shared" si="5"/>
        <v/>
      </c>
      <c r="K977" s="26" t="str">
        <f t="shared" si="6"/>
        <v/>
      </c>
      <c r="L977" s="26" t="str">
        <f t="shared" si="7"/>
        <v/>
      </c>
      <c r="M977" s="26" t="str">
        <f t="array" ref="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/>
      </c>
      <c r="N977" s="26" t="str">
        <f t="shared" si="8"/>
        <v/>
      </c>
      <c r="O977" s="26" t="str">
        <f t="shared" si="9"/>
        <v/>
      </c>
      <c r="P977" s="26" t="str">
        <f t="shared" si="10"/>
        <v/>
      </c>
      <c r="Q977" s="26" t="str">
        <f t="shared" si="11"/>
        <v/>
      </c>
      <c r="R977" s="26" t="str">
        <f t="shared" si="12"/>
        <v/>
      </c>
      <c r="S977" s="26" t="str">
        <f t="shared" si="13"/>
        <v/>
      </c>
      <c r="T977" s="26" t="str">
        <f t="shared" si="14"/>
        <v/>
      </c>
      <c r="U977" s="26" t="str">
        <f t="shared" si="15"/>
        <v/>
      </c>
      <c r="V977" s="26" t="str">
        <f t="shared" si="16"/>
        <v/>
      </c>
      <c r="W977" s="26" t="str">
        <f t="shared" si="17"/>
        <v/>
      </c>
      <c r="X977" s="26" t="str">
        <f t="shared" si="18"/>
        <v/>
      </c>
      <c r="Y977" s="26" t="str">
        <f t="shared" si="19"/>
        <v/>
      </c>
      <c r="Z977" s="31" t="str">
        <f t="shared" si="20"/>
        <v/>
      </c>
      <c r="AA977" s="31" t="str">
        <f>IF(D977="","",IF(H977&lt;=$B$16,1,IF(H977&gt;=$B$17,$B$21,MATCH(H977,Aux_CAV!$A$2:$A$121,1))))</f>
        <v/>
      </c>
      <c r="AB977" s="31" t="str">
        <f>IF(D977="","",IF(L977&lt;=$B$16,1,IF(L977&gt;=$B$17,$B$21,MATCH(L977,Aux_CAV!$A$2:$A$121,1))))</f>
        <v/>
      </c>
      <c r="AC977" s="3" t="str">
        <f t="shared" si="21"/>
        <v/>
      </c>
    </row>
    <row r="978" ht="12.75" customHeight="1">
      <c r="A978" s="25" t="str">
        <f t="shared" si="1"/>
        <v/>
      </c>
      <c r="B978" s="29" t="str">
        <f t="array" ref="B978">IF(D978="","",IFERROR(VALUE(INDEX(Vazoes_COLAR!$A$2:$A$200,INT((ROW()-24)/12)+1)),""))</f>
        <v/>
      </c>
      <c r="C978" s="29" t="str">
        <f t="shared" si="2"/>
        <v/>
      </c>
      <c r="D978" s="26" t="str">
        <f t="array" ref="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78" s="26" t="str">
        <f t="shared" si="3"/>
        <v/>
      </c>
      <c r="F978" s="26" t="str">
        <f t="array" ref="F978">IF(D978="","",IFERROR(INDEX(Dados_Evap!$C$2:$N$15,MATCH($B$9,Dados_Evap!$A$2:$A$15,0),C978),0))</f>
        <v/>
      </c>
      <c r="G978" s="26" t="str">
        <f t="shared" si="4"/>
        <v/>
      </c>
      <c r="H978" s="26" t="str">
        <f t="shared" si="22"/>
        <v/>
      </c>
      <c r="I978" s="26" t="str">
        <f t="array" ref="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/>
      </c>
      <c r="J978" s="26" t="str">
        <f t="shared" si="5"/>
        <v/>
      </c>
      <c r="K978" s="26" t="str">
        <f t="shared" si="6"/>
        <v/>
      </c>
      <c r="L978" s="26" t="str">
        <f t="shared" si="7"/>
        <v/>
      </c>
      <c r="M978" s="26" t="str">
        <f t="array" ref="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/>
      </c>
      <c r="N978" s="26" t="str">
        <f t="shared" si="8"/>
        <v/>
      </c>
      <c r="O978" s="26" t="str">
        <f t="shared" si="9"/>
        <v/>
      </c>
      <c r="P978" s="26" t="str">
        <f t="shared" si="10"/>
        <v/>
      </c>
      <c r="Q978" s="26" t="str">
        <f t="shared" si="11"/>
        <v/>
      </c>
      <c r="R978" s="26" t="str">
        <f t="shared" si="12"/>
        <v/>
      </c>
      <c r="S978" s="26" t="str">
        <f t="shared" si="13"/>
        <v/>
      </c>
      <c r="T978" s="26" t="str">
        <f t="shared" si="14"/>
        <v/>
      </c>
      <c r="U978" s="26" t="str">
        <f t="shared" si="15"/>
        <v/>
      </c>
      <c r="V978" s="26" t="str">
        <f t="shared" si="16"/>
        <v/>
      </c>
      <c r="W978" s="26" t="str">
        <f t="shared" si="17"/>
        <v/>
      </c>
      <c r="X978" s="26" t="str">
        <f t="shared" si="18"/>
        <v/>
      </c>
      <c r="Y978" s="26" t="str">
        <f t="shared" si="19"/>
        <v/>
      </c>
      <c r="Z978" s="31" t="str">
        <f t="shared" si="20"/>
        <v/>
      </c>
      <c r="AA978" s="31" t="str">
        <f>IF(D978="","",IF(H978&lt;=$B$16,1,IF(H978&gt;=$B$17,$B$21,MATCH(H978,Aux_CAV!$A$2:$A$121,1))))</f>
        <v/>
      </c>
      <c r="AB978" s="31" t="str">
        <f>IF(D978="","",IF(L978&lt;=$B$16,1,IF(L978&gt;=$B$17,$B$21,MATCH(L978,Aux_CAV!$A$2:$A$121,1))))</f>
        <v/>
      </c>
      <c r="AC978" s="3" t="str">
        <f t="shared" si="21"/>
        <v/>
      </c>
    </row>
    <row r="979" ht="12.75" customHeight="1">
      <c r="A979" s="25" t="str">
        <f t="shared" si="1"/>
        <v/>
      </c>
      <c r="B979" s="29" t="str">
        <f t="array" ref="B979">IF(D979="","",IFERROR(VALUE(INDEX(Vazoes_COLAR!$A$2:$A$200,INT((ROW()-24)/12)+1)),""))</f>
        <v/>
      </c>
      <c r="C979" s="29" t="str">
        <f t="shared" si="2"/>
        <v/>
      </c>
      <c r="D979" s="26" t="str">
        <f t="array" ref="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79" s="26" t="str">
        <f t="shared" si="3"/>
        <v/>
      </c>
      <c r="F979" s="26" t="str">
        <f t="array" ref="F979">IF(D979="","",IFERROR(INDEX(Dados_Evap!$C$2:$N$15,MATCH($B$9,Dados_Evap!$A$2:$A$15,0),C979),0))</f>
        <v/>
      </c>
      <c r="G979" s="26" t="str">
        <f t="shared" si="4"/>
        <v/>
      </c>
      <c r="H979" s="26" t="str">
        <f t="shared" si="22"/>
        <v/>
      </c>
      <c r="I979" s="26" t="str">
        <f t="array" ref="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/>
      </c>
      <c r="J979" s="26" t="str">
        <f t="shared" si="5"/>
        <v/>
      </c>
      <c r="K979" s="26" t="str">
        <f t="shared" si="6"/>
        <v/>
      </c>
      <c r="L979" s="26" t="str">
        <f t="shared" si="7"/>
        <v/>
      </c>
      <c r="M979" s="26" t="str">
        <f t="array" ref="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/>
      </c>
      <c r="N979" s="26" t="str">
        <f t="shared" si="8"/>
        <v/>
      </c>
      <c r="O979" s="26" t="str">
        <f t="shared" si="9"/>
        <v/>
      </c>
      <c r="P979" s="26" t="str">
        <f t="shared" si="10"/>
        <v/>
      </c>
      <c r="Q979" s="26" t="str">
        <f t="shared" si="11"/>
        <v/>
      </c>
      <c r="R979" s="26" t="str">
        <f t="shared" si="12"/>
        <v/>
      </c>
      <c r="S979" s="26" t="str">
        <f t="shared" si="13"/>
        <v/>
      </c>
      <c r="T979" s="26" t="str">
        <f t="shared" si="14"/>
        <v/>
      </c>
      <c r="U979" s="26" t="str">
        <f t="shared" si="15"/>
        <v/>
      </c>
      <c r="V979" s="26" t="str">
        <f t="shared" si="16"/>
        <v/>
      </c>
      <c r="W979" s="26" t="str">
        <f t="shared" si="17"/>
        <v/>
      </c>
      <c r="X979" s="26" t="str">
        <f t="shared" si="18"/>
        <v/>
      </c>
      <c r="Y979" s="26" t="str">
        <f t="shared" si="19"/>
        <v/>
      </c>
      <c r="Z979" s="31" t="str">
        <f t="shared" si="20"/>
        <v/>
      </c>
      <c r="AA979" s="31" t="str">
        <f>IF(D979="","",IF(H979&lt;=$B$16,1,IF(H979&gt;=$B$17,$B$21,MATCH(H979,Aux_CAV!$A$2:$A$121,1))))</f>
        <v/>
      </c>
      <c r="AB979" s="31" t="str">
        <f>IF(D979="","",IF(L979&lt;=$B$16,1,IF(L979&gt;=$B$17,$B$21,MATCH(L979,Aux_CAV!$A$2:$A$121,1))))</f>
        <v/>
      </c>
      <c r="AC979" s="3" t="str">
        <f t="shared" si="21"/>
        <v/>
      </c>
    </row>
    <row r="980" ht="12.75" customHeight="1">
      <c r="A980" s="25" t="str">
        <f t="shared" si="1"/>
        <v/>
      </c>
      <c r="B980" s="29" t="str">
        <f t="array" ref="B980">IF(D980="","",IFERROR(VALUE(INDEX(Vazoes_COLAR!$A$2:$A$200,INT((ROW()-24)/12)+1)),""))</f>
        <v/>
      </c>
      <c r="C980" s="29" t="str">
        <f t="shared" si="2"/>
        <v/>
      </c>
      <c r="D980" s="26" t="str">
        <f t="array" ref="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80" s="26" t="str">
        <f t="shared" si="3"/>
        <v/>
      </c>
      <c r="F980" s="26" t="str">
        <f t="array" ref="F980">IF(D980="","",IFERROR(INDEX(Dados_Evap!$C$2:$N$15,MATCH($B$9,Dados_Evap!$A$2:$A$15,0),C980),0))</f>
        <v/>
      </c>
      <c r="G980" s="26" t="str">
        <f t="shared" si="4"/>
        <v/>
      </c>
      <c r="H980" s="26" t="str">
        <f t="shared" si="22"/>
        <v/>
      </c>
      <c r="I980" s="26" t="str">
        <f t="array" ref="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/>
      </c>
      <c r="J980" s="26" t="str">
        <f t="shared" si="5"/>
        <v/>
      </c>
      <c r="K980" s="26" t="str">
        <f t="shared" si="6"/>
        <v/>
      </c>
      <c r="L980" s="26" t="str">
        <f t="shared" si="7"/>
        <v/>
      </c>
      <c r="M980" s="26" t="str">
        <f t="array" ref="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/>
      </c>
      <c r="N980" s="26" t="str">
        <f t="shared" si="8"/>
        <v/>
      </c>
      <c r="O980" s="26" t="str">
        <f t="shared" si="9"/>
        <v/>
      </c>
      <c r="P980" s="26" t="str">
        <f t="shared" si="10"/>
        <v/>
      </c>
      <c r="Q980" s="26" t="str">
        <f t="shared" si="11"/>
        <v/>
      </c>
      <c r="R980" s="26" t="str">
        <f t="shared" si="12"/>
        <v/>
      </c>
      <c r="S980" s="26" t="str">
        <f t="shared" si="13"/>
        <v/>
      </c>
      <c r="T980" s="26" t="str">
        <f t="shared" si="14"/>
        <v/>
      </c>
      <c r="U980" s="26" t="str">
        <f t="shared" si="15"/>
        <v/>
      </c>
      <c r="V980" s="26" t="str">
        <f t="shared" si="16"/>
        <v/>
      </c>
      <c r="W980" s="26" t="str">
        <f t="shared" si="17"/>
        <v/>
      </c>
      <c r="X980" s="26" t="str">
        <f t="shared" si="18"/>
        <v/>
      </c>
      <c r="Y980" s="26" t="str">
        <f t="shared" si="19"/>
        <v/>
      </c>
      <c r="Z980" s="31" t="str">
        <f t="shared" si="20"/>
        <v/>
      </c>
      <c r="AA980" s="31" t="str">
        <f>IF(D980="","",IF(H980&lt;=$B$16,1,IF(H980&gt;=$B$17,$B$21,MATCH(H980,Aux_CAV!$A$2:$A$121,1))))</f>
        <v/>
      </c>
      <c r="AB980" s="31" t="str">
        <f>IF(D980="","",IF(L980&lt;=$B$16,1,IF(L980&gt;=$B$17,$B$21,MATCH(L980,Aux_CAV!$A$2:$A$121,1))))</f>
        <v/>
      </c>
      <c r="AC980" s="3" t="str">
        <f t="shared" si="21"/>
        <v/>
      </c>
    </row>
    <row r="981" ht="12.75" customHeight="1">
      <c r="A981" s="25" t="str">
        <f t="shared" si="1"/>
        <v/>
      </c>
      <c r="B981" s="29" t="str">
        <f t="array" ref="B981">IF(D981="","",IFERROR(VALUE(INDEX(Vazoes_COLAR!$A$2:$A$200,INT((ROW()-24)/12)+1)),""))</f>
        <v/>
      </c>
      <c r="C981" s="29" t="str">
        <f t="shared" si="2"/>
        <v/>
      </c>
      <c r="D981" s="26" t="str">
        <f t="array" ref="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81" s="26" t="str">
        <f t="shared" si="3"/>
        <v/>
      </c>
      <c r="F981" s="26" t="str">
        <f t="array" ref="F981">IF(D981="","",IFERROR(INDEX(Dados_Evap!$C$2:$N$15,MATCH($B$9,Dados_Evap!$A$2:$A$15,0),C981),0))</f>
        <v/>
      </c>
      <c r="G981" s="26" t="str">
        <f t="shared" si="4"/>
        <v/>
      </c>
      <c r="H981" s="26" t="str">
        <f t="shared" si="22"/>
        <v/>
      </c>
      <c r="I981" s="26" t="str">
        <f t="array" ref="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/>
      </c>
      <c r="J981" s="26" t="str">
        <f t="shared" si="5"/>
        <v/>
      </c>
      <c r="K981" s="26" t="str">
        <f t="shared" si="6"/>
        <v/>
      </c>
      <c r="L981" s="26" t="str">
        <f t="shared" si="7"/>
        <v/>
      </c>
      <c r="M981" s="26" t="str">
        <f t="array" ref="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/>
      </c>
      <c r="N981" s="26" t="str">
        <f t="shared" si="8"/>
        <v/>
      </c>
      <c r="O981" s="26" t="str">
        <f t="shared" si="9"/>
        <v/>
      </c>
      <c r="P981" s="26" t="str">
        <f t="shared" si="10"/>
        <v/>
      </c>
      <c r="Q981" s="26" t="str">
        <f t="shared" si="11"/>
        <v/>
      </c>
      <c r="R981" s="26" t="str">
        <f t="shared" si="12"/>
        <v/>
      </c>
      <c r="S981" s="26" t="str">
        <f t="shared" si="13"/>
        <v/>
      </c>
      <c r="T981" s="26" t="str">
        <f t="shared" si="14"/>
        <v/>
      </c>
      <c r="U981" s="26" t="str">
        <f t="shared" si="15"/>
        <v/>
      </c>
      <c r="V981" s="26" t="str">
        <f t="shared" si="16"/>
        <v/>
      </c>
      <c r="W981" s="26" t="str">
        <f t="shared" si="17"/>
        <v/>
      </c>
      <c r="X981" s="26" t="str">
        <f t="shared" si="18"/>
        <v/>
      </c>
      <c r="Y981" s="26" t="str">
        <f t="shared" si="19"/>
        <v/>
      </c>
      <c r="Z981" s="31" t="str">
        <f t="shared" si="20"/>
        <v/>
      </c>
      <c r="AA981" s="31" t="str">
        <f>IF(D981="","",IF(H981&lt;=$B$16,1,IF(H981&gt;=$B$17,$B$21,MATCH(H981,Aux_CAV!$A$2:$A$121,1))))</f>
        <v/>
      </c>
      <c r="AB981" s="31" t="str">
        <f>IF(D981="","",IF(L981&lt;=$B$16,1,IF(L981&gt;=$B$17,$B$21,MATCH(L981,Aux_CAV!$A$2:$A$121,1))))</f>
        <v/>
      </c>
      <c r="AC981" s="3" t="str">
        <f t="shared" si="21"/>
        <v/>
      </c>
    </row>
    <row r="982" ht="12.75" customHeight="1">
      <c r="A982" s="25" t="str">
        <f t="shared" si="1"/>
        <v/>
      </c>
      <c r="B982" s="29" t="str">
        <f t="array" ref="B982">IF(D982="","",IFERROR(VALUE(INDEX(Vazoes_COLAR!$A$2:$A$200,INT((ROW()-24)/12)+1)),""))</f>
        <v/>
      </c>
      <c r="C982" s="29" t="str">
        <f t="shared" si="2"/>
        <v/>
      </c>
      <c r="D982" s="26" t="str">
        <f t="array" ref="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82" s="26" t="str">
        <f t="shared" si="3"/>
        <v/>
      </c>
      <c r="F982" s="26" t="str">
        <f t="array" ref="F982">IF(D982="","",IFERROR(INDEX(Dados_Evap!$C$2:$N$15,MATCH($B$9,Dados_Evap!$A$2:$A$15,0),C982),0))</f>
        <v/>
      </c>
      <c r="G982" s="26" t="str">
        <f t="shared" si="4"/>
        <v/>
      </c>
      <c r="H982" s="26" t="str">
        <f t="shared" si="22"/>
        <v/>
      </c>
      <c r="I982" s="26" t="str">
        <f t="array" ref="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/>
      </c>
      <c r="J982" s="26" t="str">
        <f t="shared" si="5"/>
        <v/>
      </c>
      <c r="K982" s="26" t="str">
        <f t="shared" si="6"/>
        <v/>
      </c>
      <c r="L982" s="26" t="str">
        <f t="shared" si="7"/>
        <v/>
      </c>
      <c r="M982" s="26" t="str">
        <f t="array" ref="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/>
      </c>
      <c r="N982" s="26" t="str">
        <f t="shared" si="8"/>
        <v/>
      </c>
      <c r="O982" s="26" t="str">
        <f t="shared" si="9"/>
        <v/>
      </c>
      <c r="P982" s="26" t="str">
        <f t="shared" si="10"/>
        <v/>
      </c>
      <c r="Q982" s="26" t="str">
        <f t="shared" si="11"/>
        <v/>
      </c>
      <c r="R982" s="26" t="str">
        <f t="shared" si="12"/>
        <v/>
      </c>
      <c r="S982" s="26" t="str">
        <f t="shared" si="13"/>
        <v/>
      </c>
      <c r="T982" s="26" t="str">
        <f t="shared" si="14"/>
        <v/>
      </c>
      <c r="U982" s="26" t="str">
        <f t="shared" si="15"/>
        <v/>
      </c>
      <c r="V982" s="26" t="str">
        <f t="shared" si="16"/>
        <v/>
      </c>
      <c r="W982" s="26" t="str">
        <f t="shared" si="17"/>
        <v/>
      </c>
      <c r="X982" s="26" t="str">
        <f t="shared" si="18"/>
        <v/>
      </c>
      <c r="Y982" s="26" t="str">
        <f t="shared" si="19"/>
        <v/>
      </c>
      <c r="Z982" s="31" t="str">
        <f t="shared" si="20"/>
        <v/>
      </c>
      <c r="AA982" s="31" t="str">
        <f>IF(D982="","",IF(H982&lt;=$B$16,1,IF(H982&gt;=$B$17,$B$21,MATCH(H982,Aux_CAV!$A$2:$A$121,1))))</f>
        <v/>
      </c>
      <c r="AB982" s="31" t="str">
        <f>IF(D982="","",IF(L982&lt;=$B$16,1,IF(L982&gt;=$B$17,$B$21,MATCH(L982,Aux_CAV!$A$2:$A$121,1))))</f>
        <v/>
      </c>
      <c r="AC982" s="3" t="str">
        <f t="shared" si="21"/>
        <v/>
      </c>
    </row>
    <row r="983" ht="12.75" customHeight="1">
      <c r="A983" s="25" t="str">
        <f t="shared" si="1"/>
        <v/>
      </c>
      <c r="B983" s="29" t="str">
        <f t="array" ref="B983">IF(D983="","",IFERROR(VALUE(INDEX(Vazoes_COLAR!$A$2:$A$200,INT((ROW()-24)/12)+1)),""))</f>
        <v/>
      </c>
      <c r="C983" s="29" t="str">
        <f t="shared" si="2"/>
        <v/>
      </c>
      <c r="D983" s="26" t="str">
        <f t="array" ref="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83" s="26" t="str">
        <f t="shared" si="3"/>
        <v/>
      </c>
      <c r="F983" s="26" t="str">
        <f t="array" ref="F983">IF(D983="","",IFERROR(INDEX(Dados_Evap!$C$2:$N$15,MATCH($B$9,Dados_Evap!$A$2:$A$15,0),C983),0))</f>
        <v/>
      </c>
      <c r="G983" s="26" t="str">
        <f t="shared" si="4"/>
        <v/>
      </c>
      <c r="H983" s="26" t="str">
        <f t="shared" si="22"/>
        <v/>
      </c>
      <c r="I983" s="26" t="str">
        <f t="array" ref="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/>
      </c>
      <c r="J983" s="26" t="str">
        <f t="shared" si="5"/>
        <v/>
      </c>
      <c r="K983" s="26" t="str">
        <f t="shared" si="6"/>
        <v/>
      </c>
      <c r="L983" s="26" t="str">
        <f t="shared" si="7"/>
        <v/>
      </c>
      <c r="M983" s="26" t="str">
        <f t="array" ref="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/>
      </c>
      <c r="N983" s="26" t="str">
        <f t="shared" si="8"/>
        <v/>
      </c>
      <c r="O983" s="26" t="str">
        <f t="shared" si="9"/>
        <v/>
      </c>
      <c r="P983" s="26" t="str">
        <f t="shared" si="10"/>
        <v/>
      </c>
      <c r="Q983" s="26" t="str">
        <f t="shared" si="11"/>
        <v/>
      </c>
      <c r="R983" s="26" t="str">
        <f t="shared" si="12"/>
        <v/>
      </c>
      <c r="S983" s="26" t="str">
        <f t="shared" si="13"/>
        <v/>
      </c>
      <c r="T983" s="26" t="str">
        <f t="shared" si="14"/>
        <v/>
      </c>
      <c r="U983" s="26" t="str">
        <f t="shared" si="15"/>
        <v/>
      </c>
      <c r="V983" s="26" t="str">
        <f t="shared" si="16"/>
        <v/>
      </c>
      <c r="W983" s="26" t="str">
        <f t="shared" si="17"/>
        <v/>
      </c>
      <c r="X983" s="26" t="str">
        <f t="shared" si="18"/>
        <v/>
      </c>
      <c r="Y983" s="26" t="str">
        <f t="shared" si="19"/>
        <v/>
      </c>
      <c r="Z983" s="31" t="str">
        <f t="shared" si="20"/>
        <v/>
      </c>
      <c r="AA983" s="31" t="str">
        <f>IF(D983="","",IF(H983&lt;=$B$16,1,IF(H983&gt;=$B$17,$B$21,MATCH(H983,Aux_CAV!$A$2:$A$121,1))))</f>
        <v/>
      </c>
      <c r="AB983" s="31" t="str">
        <f>IF(D983="","",IF(L983&lt;=$B$16,1,IF(L983&gt;=$B$17,$B$21,MATCH(L983,Aux_CAV!$A$2:$A$121,1))))</f>
        <v/>
      </c>
      <c r="AC983" s="3" t="str">
        <f t="shared" si="21"/>
        <v/>
      </c>
    </row>
    <row r="984" ht="12.75" customHeight="1">
      <c r="A984" s="25" t="str">
        <f t="shared" si="1"/>
        <v/>
      </c>
      <c r="B984" s="29" t="str">
        <f t="array" ref="B984">IF(D984="","",IFERROR(VALUE(INDEX(Vazoes_COLAR!$A$2:$A$200,INT((ROW()-24)/12)+1)),""))</f>
        <v/>
      </c>
      <c r="C984" s="29" t="str">
        <f t="shared" si="2"/>
        <v/>
      </c>
      <c r="D984" s="26" t="str">
        <f t="array" ref="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84" s="26" t="str">
        <f t="shared" si="3"/>
        <v/>
      </c>
      <c r="F984" s="26" t="str">
        <f t="array" ref="F984">IF(D984="","",IFERROR(INDEX(Dados_Evap!$C$2:$N$15,MATCH($B$9,Dados_Evap!$A$2:$A$15,0),C984),0))</f>
        <v/>
      </c>
      <c r="G984" s="26" t="str">
        <f t="shared" si="4"/>
        <v/>
      </c>
      <c r="H984" s="26" t="str">
        <f t="shared" si="22"/>
        <v/>
      </c>
      <c r="I984" s="26" t="str">
        <f t="array" ref="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/>
      </c>
      <c r="J984" s="26" t="str">
        <f t="shared" si="5"/>
        <v/>
      </c>
      <c r="K984" s="26" t="str">
        <f t="shared" si="6"/>
        <v/>
      </c>
      <c r="L984" s="26" t="str">
        <f t="shared" si="7"/>
        <v/>
      </c>
      <c r="M984" s="26" t="str">
        <f t="array" ref="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/>
      </c>
      <c r="N984" s="26" t="str">
        <f t="shared" si="8"/>
        <v/>
      </c>
      <c r="O984" s="26" t="str">
        <f t="shared" si="9"/>
        <v/>
      </c>
      <c r="P984" s="26" t="str">
        <f t="shared" si="10"/>
        <v/>
      </c>
      <c r="Q984" s="26" t="str">
        <f t="shared" si="11"/>
        <v/>
      </c>
      <c r="R984" s="26" t="str">
        <f t="shared" si="12"/>
        <v/>
      </c>
      <c r="S984" s="26" t="str">
        <f t="shared" si="13"/>
        <v/>
      </c>
      <c r="T984" s="26" t="str">
        <f t="shared" si="14"/>
        <v/>
      </c>
      <c r="U984" s="26" t="str">
        <f t="shared" si="15"/>
        <v/>
      </c>
      <c r="V984" s="26" t="str">
        <f t="shared" si="16"/>
        <v/>
      </c>
      <c r="W984" s="26" t="str">
        <f t="shared" si="17"/>
        <v/>
      </c>
      <c r="X984" s="26" t="str">
        <f t="shared" si="18"/>
        <v/>
      </c>
      <c r="Y984" s="26" t="str">
        <f t="shared" si="19"/>
        <v/>
      </c>
      <c r="Z984" s="31" t="str">
        <f t="shared" si="20"/>
        <v/>
      </c>
      <c r="AA984" s="31" t="str">
        <f>IF(D984="","",IF(H984&lt;=$B$16,1,IF(H984&gt;=$B$17,$B$21,MATCH(H984,Aux_CAV!$A$2:$A$121,1))))</f>
        <v/>
      </c>
      <c r="AB984" s="31" t="str">
        <f>IF(D984="","",IF(L984&lt;=$B$16,1,IF(L984&gt;=$B$17,$B$21,MATCH(L984,Aux_CAV!$A$2:$A$121,1))))</f>
        <v/>
      </c>
      <c r="AC984" s="3" t="str">
        <f t="shared" si="21"/>
        <v/>
      </c>
    </row>
    <row r="985" ht="12.75" customHeight="1">
      <c r="A985" s="25" t="str">
        <f t="shared" si="1"/>
        <v/>
      </c>
      <c r="B985" s="29" t="str">
        <f t="array" ref="B985">IF(D985="","",IFERROR(VALUE(INDEX(Vazoes_COLAR!$A$2:$A$200,INT((ROW()-24)/12)+1)),""))</f>
        <v/>
      </c>
      <c r="C985" s="29" t="str">
        <f t="shared" si="2"/>
        <v/>
      </c>
      <c r="D985" s="26" t="str">
        <f t="array" ref="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85" s="26" t="str">
        <f t="shared" si="3"/>
        <v/>
      </c>
      <c r="F985" s="26" t="str">
        <f t="array" ref="F985">IF(D985="","",IFERROR(INDEX(Dados_Evap!$C$2:$N$15,MATCH($B$9,Dados_Evap!$A$2:$A$15,0),C985),0))</f>
        <v/>
      </c>
      <c r="G985" s="26" t="str">
        <f t="shared" si="4"/>
        <v/>
      </c>
      <c r="H985" s="26" t="str">
        <f t="shared" si="22"/>
        <v/>
      </c>
      <c r="I985" s="26" t="str">
        <f t="array" ref="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/>
      </c>
      <c r="J985" s="26" t="str">
        <f t="shared" si="5"/>
        <v/>
      </c>
      <c r="K985" s="26" t="str">
        <f t="shared" si="6"/>
        <v/>
      </c>
      <c r="L985" s="26" t="str">
        <f t="shared" si="7"/>
        <v/>
      </c>
      <c r="M985" s="26" t="str">
        <f t="array" ref="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/>
      </c>
      <c r="N985" s="26" t="str">
        <f t="shared" si="8"/>
        <v/>
      </c>
      <c r="O985" s="26" t="str">
        <f t="shared" si="9"/>
        <v/>
      </c>
      <c r="P985" s="26" t="str">
        <f t="shared" si="10"/>
        <v/>
      </c>
      <c r="Q985" s="26" t="str">
        <f t="shared" si="11"/>
        <v/>
      </c>
      <c r="R985" s="26" t="str">
        <f t="shared" si="12"/>
        <v/>
      </c>
      <c r="S985" s="26" t="str">
        <f t="shared" si="13"/>
        <v/>
      </c>
      <c r="T985" s="26" t="str">
        <f t="shared" si="14"/>
        <v/>
      </c>
      <c r="U985" s="26" t="str">
        <f t="shared" si="15"/>
        <v/>
      </c>
      <c r="V985" s="26" t="str">
        <f t="shared" si="16"/>
        <v/>
      </c>
      <c r="W985" s="26" t="str">
        <f t="shared" si="17"/>
        <v/>
      </c>
      <c r="X985" s="26" t="str">
        <f t="shared" si="18"/>
        <v/>
      </c>
      <c r="Y985" s="26" t="str">
        <f t="shared" si="19"/>
        <v/>
      </c>
      <c r="Z985" s="31" t="str">
        <f t="shared" si="20"/>
        <v/>
      </c>
      <c r="AA985" s="31" t="str">
        <f>IF(D985="","",IF(H985&lt;=$B$16,1,IF(H985&gt;=$B$17,$B$21,MATCH(H985,Aux_CAV!$A$2:$A$121,1))))</f>
        <v/>
      </c>
      <c r="AB985" s="31" t="str">
        <f>IF(D985="","",IF(L985&lt;=$B$16,1,IF(L985&gt;=$B$17,$B$21,MATCH(L985,Aux_CAV!$A$2:$A$121,1))))</f>
        <v/>
      </c>
      <c r="AC985" s="3" t="str">
        <f t="shared" si="21"/>
        <v/>
      </c>
    </row>
    <row r="986" ht="12.75" customHeight="1">
      <c r="A986" s="25" t="str">
        <f t="shared" si="1"/>
        <v/>
      </c>
      <c r="B986" s="29" t="str">
        <f t="array" ref="B986">IF(D986="","",IFERROR(VALUE(INDEX(Vazoes_COLAR!$A$2:$A$200,INT((ROW()-24)/12)+1)),""))</f>
        <v/>
      </c>
      <c r="C986" s="29" t="str">
        <f t="shared" si="2"/>
        <v/>
      </c>
      <c r="D986" s="26" t="str">
        <f t="array" ref="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86" s="26" t="str">
        <f t="shared" si="3"/>
        <v/>
      </c>
      <c r="F986" s="26" t="str">
        <f t="array" ref="F986">IF(D986="","",IFERROR(INDEX(Dados_Evap!$C$2:$N$15,MATCH($B$9,Dados_Evap!$A$2:$A$15,0),C986),0))</f>
        <v/>
      </c>
      <c r="G986" s="26" t="str">
        <f t="shared" si="4"/>
        <v/>
      </c>
      <c r="H986" s="26" t="str">
        <f t="shared" si="22"/>
        <v/>
      </c>
      <c r="I986" s="26" t="str">
        <f t="array" ref="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/>
      </c>
      <c r="J986" s="26" t="str">
        <f t="shared" si="5"/>
        <v/>
      </c>
      <c r="K986" s="26" t="str">
        <f t="shared" si="6"/>
        <v/>
      </c>
      <c r="L986" s="26" t="str">
        <f t="shared" si="7"/>
        <v/>
      </c>
      <c r="M986" s="26" t="str">
        <f t="array" ref="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/>
      </c>
      <c r="N986" s="26" t="str">
        <f t="shared" si="8"/>
        <v/>
      </c>
      <c r="O986" s="26" t="str">
        <f t="shared" si="9"/>
        <v/>
      </c>
      <c r="P986" s="26" t="str">
        <f t="shared" si="10"/>
        <v/>
      </c>
      <c r="Q986" s="26" t="str">
        <f t="shared" si="11"/>
        <v/>
      </c>
      <c r="R986" s="26" t="str">
        <f t="shared" si="12"/>
        <v/>
      </c>
      <c r="S986" s="26" t="str">
        <f t="shared" si="13"/>
        <v/>
      </c>
      <c r="T986" s="26" t="str">
        <f t="shared" si="14"/>
        <v/>
      </c>
      <c r="U986" s="26" t="str">
        <f t="shared" si="15"/>
        <v/>
      </c>
      <c r="V986" s="26" t="str">
        <f t="shared" si="16"/>
        <v/>
      </c>
      <c r="W986" s="26" t="str">
        <f t="shared" si="17"/>
        <v/>
      </c>
      <c r="X986" s="26" t="str">
        <f t="shared" si="18"/>
        <v/>
      </c>
      <c r="Y986" s="26" t="str">
        <f t="shared" si="19"/>
        <v/>
      </c>
      <c r="Z986" s="31" t="str">
        <f t="shared" si="20"/>
        <v/>
      </c>
      <c r="AA986" s="31" t="str">
        <f>IF(D986="","",IF(H986&lt;=$B$16,1,IF(H986&gt;=$B$17,$B$21,MATCH(H986,Aux_CAV!$A$2:$A$121,1))))</f>
        <v/>
      </c>
      <c r="AB986" s="31" t="str">
        <f>IF(D986="","",IF(L986&lt;=$B$16,1,IF(L986&gt;=$B$17,$B$21,MATCH(L986,Aux_CAV!$A$2:$A$121,1))))</f>
        <v/>
      </c>
      <c r="AC986" s="3" t="str">
        <f t="shared" si="21"/>
        <v/>
      </c>
    </row>
    <row r="987" ht="12.75" customHeight="1">
      <c r="A987" s="25" t="str">
        <f t="shared" si="1"/>
        <v/>
      </c>
      <c r="B987" s="29" t="str">
        <f t="array" ref="B987">IF(D987="","",IFERROR(VALUE(INDEX(Vazoes_COLAR!$A$2:$A$200,INT((ROW()-24)/12)+1)),""))</f>
        <v/>
      </c>
      <c r="C987" s="29" t="str">
        <f t="shared" si="2"/>
        <v/>
      </c>
      <c r="D987" s="26" t="str">
        <f t="array" ref="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87" s="26" t="str">
        <f t="shared" si="3"/>
        <v/>
      </c>
      <c r="F987" s="26" t="str">
        <f t="array" ref="F987">IF(D987="","",IFERROR(INDEX(Dados_Evap!$C$2:$N$15,MATCH($B$9,Dados_Evap!$A$2:$A$15,0),C987),0))</f>
        <v/>
      </c>
      <c r="G987" s="26" t="str">
        <f t="shared" si="4"/>
        <v/>
      </c>
      <c r="H987" s="26" t="str">
        <f t="shared" si="22"/>
        <v/>
      </c>
      <c r="I987" s="26" t="str">
        <f t="array" ref="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/>
      </c>
      <c r="J987" s="26" t="str">
        <f t="shared" si="5"/>
        <v/>
      </c>
      <c r="K987" s="26" t="str">
        <f t="shared" si="6"/>
        <v/>
      </c>
      <c r="L987" s="26" t="str">
        <f t="shared" si="7"/>
        <v/>
      </c>
      <c r="M987" s="26" t="str">
        <f t="array" ref="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/>
      </c>
      <c r="N987" s="26" t="str">
        <f t="shared" si="8"/>
        <v/>
      </c>
      <c r="O987" s="26" t="str">
        <f t="shared" si="9"/>
        <v/>
      </c>
      <c r="P987" s="26" t="str">
        <f t="shared" si="10"/>
        <v/>
      </c>
      <c r="Q987" s="26" t="str">
        <f t="shared" si="11"/>
        <v/>
      </c>
      <c r="R987" s="26" t="str">
        <f t="shared" si="12"/>
        <v/>
      </c>
      <c r="S987" s="26" t="str">
        <f t="shared" si="13"/>
        <v/>
      </c>
      <c r="T987" s="26" t="str">
        <f t="shared" si="14"/>
        <v/>
      </c>
      <c r="U987" s="26" t="str">
        <f t="shared" si="15"/>
        <v/>
      </c>
      <c r="V987" s="26" t="str">
        <f t="shared" si="16"/>
        <v/>
      </c>
      <c r="W987" s="26" t="str">
        <f t="shared" si="17"/>
        <v/>
      </c>
      <c r="X987" s="26" t="str">
        <f t="shared" si="18"/>
        <v/>
      </c>
      <c r="Y987" s="26" t="str">
        <f t="shared" si="19"/>
        <v/>
      </c>
      <c r="Z987" s="31" t="str">
        <f t="shared" si="20"/>
        <v/>
      </c>
      <c r="AA987" s="31" t="str">
        <f>IF(D987="","",IF(H987&lt;=$B$16,1,IF(H987&gt;=$B$17,$B$21,MATCH(H987,Aux_CAV!$A$2:$A$121,1))))</f>
        <v/>
      </c>
      <c r="AB987" s="31" t="str">
        <f>IF(D987="","",IF(L987&lt;=$B$16,1,IF(L987&gt;=$B$17,$B$21,MATCH(L987,Aux_CAV!$A$2:$A$121,1))))</f>
        <v/>
      </c>
      <c r="AC987" s="3" t="str">
        <f t="shared" si="21"/>
        <v/>
      </c>
    </row>
    <row r="988" ht="12.75" customHeight="1">
      <c r="A988" s="25" t="str">
        <f t="shared" si="1"/>
        <v/>
      </c>
      <c r="B988" s="29" t="str">
        <f t="array" ref="B988">IF(D988="","",IFERROR(VALUE(INDEX(Vazoes_COLAR!$A$2:$A$200,INT((ROW()-24)/12)+1)),""))</f>
        <v/>
      </c>
      <c r="C988" s="29" t="str">
        <f t="shared" si="2"/>
        <v/>
      </c>
      <c r="D988" s="26" t="str">
        <f t="array" ref="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88" s="26" t="str">
        <f t="shared" si="3"/>
        <v/>
      </c>
      <c r="F988" s="26" t="str">
        <f t="array" ref="F988">IF(D988="","",IFERROR(INDEX(Dados_Evap!$C$2:$N$15,MATCH($B$9,Dados_Evap!$A$2:$A$15,0),C988),0))</f>
        <v/>
      </c>
      <c r="G988" s="26" t="str">
        <f t="shared" si="4"/>
        <v/>
      </c>
      <c r="H988" s="26" t="str">
        <f t="shared" si="22"/>
        <v/>
      </c>
      <c r="I988" s="26" t="str">
        <f t="array" ref="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/>
      </c>
      <c r="J988" s="26" t="str">
        <f t="shared" si="5"/>
        <v/>
      </c>
      <c r="K988" s="26" t="str">
        <f t="shared" si="6"/>
        <v/>
      </c>
      <c r="L988" s="26" t="str">
        <f t="shared" si="7"/>
        <v/>
      </c>
      <c r="M988" s="26" t="str">
        <f t="array" ref="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/>
      </c>
      <c r="N988" s="26" t="str">
        <f t="shared" si="8"/>
        <v/>
      </c>
      <c r="O988" s="26" t="str">
        <f t="shared" si="9"/>
        <v/>
      </c>
      <c r="P988" s="26" t="str">
        <f t="shared" si="10"/>
        <v/>
      </c>
      <c r="Q988" s="26" t="str">
        <f t="shared" si="11"/>
        <v/>
      </c>
      <c r="R988" s="26" t="str">
        <f t="shared" si="12"/>
        <v/>
      </c>
      <c r="S988" s="26" t="str">
        <f t="shared" si="13"/>
        <v/>
      </c>
      <c r="T988" s="26" t="str">
        <f t="shared" si="14"/>
        <v/>
      </c>
      <c r="U988" s="26" t="str">
        <f t="shared" si="15"/>
        <v/>
      </c>
      <c r="V988" s="26" t="str">
        <f t="shared" si="16"/>
        <v/>
      </c>
      <c r="W988" s="26" t="str">
        <f t="shared" si="17"/>
        <v/>
      </c>
      <c r="X988" s="26" t="str">
        <f t="shared" si="18"/>
        <v/>
      </c>
      <c r="Y988" s="26" t="str">
        <f t="shared" si="19"/>
        <v/>
      </c>
      <c r="Z988" s="31" t="str">
        <f t="shared" si="20"/>
        <v/>
      </c>
      <c r="AA988" s="31" t="str">
        <f>IF(D988="","",IF(H988&lt;=$B$16,1,IF(H988&gt;=$B$17,$B$21,MATCH(H988,Aux_CAV!$A$2:$A$121,1))))</f>
        <v/>
      </c>
      <c r="AB988" s="31" t="str">
        <f>IF(D988="","",IF(L988&lt;=$B$16,1,IF(L988&gt;=$B$17,$B$21,MATCH(L988,Aux_CAV!$A$2:$A$121,1))))</f>
        <v/>
      </c>
      <c r="AC988" s="3" t="str">
        <f t="shared" si="21"/>
        <v/>
      </c>
    </row>
    <row r="989" ht="12.75" customHeight="1">
      <c r="A989" s="25" t="str">
        <f t="shared" si="1"/>
        <v/>
      </c>
      <c r="B989" s="29" t="str">
        <f t="array" ref="B989">IF(D989="","",IFERROR(VALUE(INDEX(Vazoes_COLAR!$A$2:$A$200,INT((ROW()-24)/12)+1)),""))</f>
        <v/>
      </c>
      <c r="C989" s="29" t="str">
        <f t="shared" si="2"/>
        <v/>
      </c>
      <c r="D989" s="26" t="str">
        <f t="array" ref="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89" s="26" t="str">
        <f t="shared" si="3"/>
        <v/>
      </c>
      <c r="F989" s="26" t="str">
        <f t="array" ref="F989">IF(D989="","",IFERROR(INDEX(Dados_Evap!$C$2:$N$15,MATCH($B$9,Dados_Evap!$A$2:$A$15,0),C989),0))</f>
        <v/>
      </c>
      <c r="G989" s="26" t="str">
        <f t="shared" si="4"/>
        <v/>
      </c>
      <c r="H989" s="26" t="str">
        <f t="shared" si="22"/>
        <v/>
      </c>
      <c r="I989" s="26" t="str">
        <f t="array" ref="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/>
      </c>
      <c r="J989" s="26" t="str">
        <f t="shared" si="5"/>
        <v/>
      </c>
      <c r="K989" s="26" t="str">
        <f t="shared" si="6"/>
        <v/>
      </c>
      <c r="L989" s="26" t="str">
        <f t="shared" si="7"/>
        <v/>
      </c>
      <c r="M989" s="26" t="str">
        <f t="array" ref="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/>
      </c>
      <c r="N989" s="26" t="str">
        <f t="shared" si="8"/>
        <v/>
      </c>
      <c r="O989" s="26" t="str">
        <f t="shared" si="9"/>
        <v/>
      </c>
      <c r="P989" s="26" t="str">
        <f t="shared" si="10"/>
        <v/>
      </c>
      <c r="Q989" s="26" t="str">
        <f t="shared" si="11"/>
        <v/>
      </c>
      <c r="R989" s="26" t="str">
        <f t="shared" si="12"/>
        <v/>
      </c>
      <c r="S989" s="26" t="str">
        <f t="shared" si="13"/>
        <v/>
      </c>
      <c r="T989" s="26" t="str">
        <f t="shared" si="14"/>
        <v/>
      </c>
      <c r="U989" s="26" t="str">
        <f t="shared" si="15"/>
        <v/>
      </c>
      <c r="V989" s="26" t="str">
        <f t="shared" si="16"/>
        <v/>
      </c>
      <c r="W989" s="26" t="str">
        <f t="shared" si="17"/>
        <v/>
      </c>
      <c r="X989" s="26" t="str">
        <f t="shared" si="18"/>
        <v/>
      </c>
      <c r="Y989" s="26" t="str">
        <f t="shared" si="19"/>
        <v/>
      </c>
      <c r="Z989" s="31" t="str">
        <f t="shared" si="20"/>
        <v/>
      </c>
      <c r="AA989" s="31" t="str">
        <f>IF(D989="","",IF(H989&lt;=$B$16,1,IF(H989&gt;=$B$17,$B$21,MATCH(H989,Aux_CAV!$A$2:$A$121,1))))</f>
        <v/>
      </c>
      <c r="AB989" s="31" t="str">
        <f>IF(D989="","",IF(L989&lt;=$B$16,1,IF(L989&gt;=$B$17,$B$21,MATCH(L989,Aux_CAV!$A$2:$A$121,1))))</f>
        <v/>
      </c>
      <c r="AC989" s="3" t="str">
        <f t="shared" si="21"/>
        <v/>
      </c>
    </row>
    <row r="990" ht="12.75" customHeight="1">
      <c r="A990" s="25" t="str">
        <f t="shared" si="1"/>
        <v/>
      </c>
      <c r="B990" s="29" t="str">
        <f t="array" ref="B990">IF(D990="","",IFERROR(VALUE(INDEX(Vazoes_COLAR!$A$2:$A$200,INT((ROW()-24)/12)+1)),""))</f>
        <v/>
      </c>
      <c r="C990" s="29" t="str">
        <f t="shared" si="2"/>
        <v/>
      </c>
      <c r="D990" s="26" t="str">
        <f t="array" ref="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90" s="26" t="str">
        <f t="shared" si="3"/>
        <v/>
      </c>
      <c r="F990" s="26" t="str">
        <f t="array" ref="F990">IF(D990="","",IFERROR(INDEX(Dados_Evap!$C$2:$N$15,MATCH($B$9,Dados_Evap!$A$2:$A$15,0),C990),0))</f>
        <v/>
      </c>
      <c r="G990" s="26" t="str">
        <f t="shared" si="4"/>
        <v/>
      </c>
      <c r="H990" s="26" t="str">
        <f t="shared" si="22"/>
        <v/>
      </c>
      <c r="I990" s="26" t="str">
        <f t="array" ref="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/>
      </c>
      <c r="J990" s="26" t="str">
        <f t="shared" si="5"/>
        <v/>
      </c>
      <c r="K990" s="26" t="str">
        <f t="shared" si="6"/>
        <v/>
      </c>
      <c r="L990" s="26" t="str">
        <f t="shared" si="7"/>
        <v/>
      </c>
      <c r="M990" s="26" t="str">
        <f t="array" ref="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/>
      </c>
      <c r="N990" s="26" t="str">
        <f t="shared" si="8"/>
        <v/>
      </c>
      <c r="O990" s="26" t="str">
        <f t="shared" si="9"/>
        <v/>
      </c>
      <c r="P990" s="26" t="str">
        <f t="shared" si="10"/>
        <v/>
      </c>
      <c r="Q990" s="26" t="str">
        <f t="shared" si="11"/>
        <v/>
      </c>
      <c r="R990" s="26" t="str">
        <f t="shared" si="12"/>
        <v/>
      </c>
      <c r="S990" s="26" t="str">
        <f t="shared" si="13"/>
        <v/>
      </c>
      <c r="T990" s="26" t="str">
        <f t="shared" si="14"/>
        <v/>
      </c>
      <c r="U990" s="26" t="str">
        <f t="shared" si="15"/>
        <v/>
      </c>
      <c r="V990" s="26" t="str">
        <f t="shared" si="16"/>
        <v/>
      </c>
      <c r="W990" s="26" t="str">
        <f t="shared" si="17"/>
        <v/>
      </c>
      <c r="X990" s="26" t="str">
        <f t="shared" si="18"/>
        <v/>
      </c>
      <c r="Y990" s="26" t="str">
        <f t="shared" si="19"/>
        <v/>
      </c>
      <c r="Z990" s="31" t="str">
        <f t="shared" si="20"/>
        <v/>
      </c>
      <c r="AA990" s="31" t="str">
        <f>IF(D990="","",IF(H990&lt;=$B$16,1,IF(H990&gt;=$B$17,$B$21,MATCH(H990,Aux_CAV!$A$2:$A$121,1))))</f>
        <v/>
      </c>
      <c r="AB990" s="31" t="str">
        <f>IF(D990="","",IF(L990&lt;=$B$16,1,IF(L990&gt;=$B$17,$B$21,MATCH(L990,Aux_CAV!$A$2:$A$121,1))))</f>
        <v/>
      </c>
      <c r="AC990" s="3" t="str">
        <f t="shared" si="21"/>
        <v/>
      </c>
    </row>
    <row r="991" ht="12.75" customHeight="1">
      <c r="A991" s="25" t="str">
        <f t="shared" si="1"/>
        <v/>
      </c>
      <c r="B991" s="29" t="str">
        <f t="array" ref="B991">IF(D991="","",IFERROR(VALUE(INDEX(Vazoes_COLAR!$A$2:$A$200,INT((ROW()-24)/12)+1)),""))</f>
        <v/>
      </c>
      <c r="C991" s="29" t="str">
        <f t="shared" si="2"/>
        <v/>
      </c>
      <c r="D991" s="26" t="str">
        <f t="array" ref="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91" s="26" t="str">
        <f t="shared" si="3"/>
        <v/>
      </c>
      <c r="F991" s="26" t="str">
        <f t="array" ref="F991">IF(D991="","",IFERROR(INDEX(Dados_Evap!$C$2:$N$15,MATCH($B$9,Dados_Evap!$A$2:$A$15,0),C991),0))</f>
        <v/>
      </c>
      <c r="G991" s="26" t="str">
        <f t="shared" si="4"/>
        <v/>
      </c>
      <c r="H991" s="26" t="str">
        <f t="shared" si="22"/>
        <v/>
      </c>
      <c r="I991" s="26" t="str">
        <f t="array" ref="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/>
      </c>
      <c r="J991" s="26" t="str">
        <f t="shared" si="5"/>
        <v/>
      </c>
      <c r="K991" s="26" t="str">
        <f t="shared" si="6"/>
        <v/>
      </c>
      <c r="L991" s="26" t="str">
        <f t="shared" si="7"/>
        <v/>
      </c>
      <c r="M991" s="26" t="str">
        <f t="array" ref="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/>
      </c>
      <c r="N991" s="26" t="str">
        <f t="shared" si="8"/>
        <v/>
      </c>
      <c r="O991" s="26" t="str">
        <f t="shared" si="9"/>
        <v/>
      </c>
      <c r="P991" s="26" t="str">
        <f t="shared" si="10"/>
        <v/>
      </c>
      <c r="Q991" s="26" t="str">
        <f t="shared" si="11"/>
        <v/>
      </c>
      <c r="R991" s="26" t="str">
        <f t="shared" si="12"/>
        <v/>
      </c>
      <c r="S991" s="26" t="str">
        <f t="shared" si="13"/>
        <v/>
      </c>
      <c r="T991" s="26" t="str">
        <f t="shared" si="14"/>
        <v/>
      </c>
      <c r="U991" s="26" t="str">
        <f t="shared" si="15"/>
        <v/>
      </c>
      <c r="V991" s="26" t="str">
        <f t="shared" si="16"/>
        <v/>
      </c>
      <c r="W991" s="26" t="str">
        <f t="shared" si="17"/>
        <v/>
      </c>
      <c r="X991" s="26" t="str">
        <f t="shared" si="18"/>
        <v/>
      </c>
      <c r="Y991" s="26" t="str">
        <f t="shared" si="19"/>
        <v/>
      </c>
      <c r="Z991" s="31" t="str">
        <f t="shared" si="20"/>
        <v/>
      </c>
      <c r="AA991" s="31" t="str">
        <f>IF(D991="","",IF(H991&lt;=$B$16,1,IF(H991&gt;=$B$17,$B$21,MATCH(H991,Aux_CAV!$A$2:$A$121,1))))</f>
        <v/>
      </c>
      <c r="AB991" s="31" t="str">
        <f>IF(D991="","",IF(L991&lt;=$B$16,1,IF(L991&gt;=$B$17,$B$21,MATCH(L991,Aux_CAV!$A$2:$A$121,1))))</f>
        <v/>
      </c>
      <c r="AC991" s="3" t="str">
        <f t="shared" si="21"/>
        <v/>
      </c>
    </row>
    <row r="992" ht="12.75" customHeight="1">
      <c r="A992" s="25" t="str">
        <f t="shared" si="1"/>
        <v/>
      </c>
      <c r="B992" s="29" t="str">
        <f t="array" ref="B992">IF(D992="","",IFERROR(VALUE(INDEX(Vazoes_COLAR!$A$2:$A$200,INT((ROW()-24)/12)+1)),""))</f>
        <v/>
      </c>
      <c r="C992" s="29" t="str">
        <f t="shared" si="2"/>
        <v/>
      </c>
      <c r="D992" s="26" t="str">
        <f t="array" ref="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92" s="26" t="str">
        <f t="shared" si="3"/>
        <v/>
      </c>
      <c r="F992" s="26" t="str">
        <f t="array" ref="F992">IF(D992="","",IFERROR(INDEX(Dados_Evap!$C$2:$N$15,MATCH($B$9,Dados_Evap!$A$2:$A$15,0),C992),0))</f>
        <v/>
      </c>
      <c r="G992" s="26" t="str">
        <f t="shared" si="4"/>
        <v/>
      </c>
      <c r="H992" s="26" t="str">
        <f t="shared" si="22"/>
        <v/>
      </c>
      <c r="I992" s="26" t="str">
        <f t="array" ref="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/>
      </c>
      <c r="J992" s="26" t="str">
        <f t="shared" si="5"/>
        <v/>
      </c>
      <c r="K992" s="26" t="str">
        <f t="shared" si="6"/>
        <v/>
      </c>
      <c r="L992" s="26" t="str">
        <f t="shared" si="7"/>
        <v/>
      </c>
      <c r="M992" s="26" t="str">
        <f t="array" ref="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/>
      </c>
      <c r="N992" s="26" t="str">
        <f t="shared" si="8"/>
        <v/>
      </c>
      <c r="O992" s="26" t="str">
        <f t="shared" si="9"/>
        <v/>
      </c>
      <c r="P992" s="26" t="str">
        <f t="shared" si="10"/>
        <v/>
      </c>
      <c r="Q992" s="26" t="str">
        <f t="shared" si="11"/>
        <v/>
      </c>
      <c r="R992" s="26" t="str">
        <f t="shared" si="12"/>
        <v/>
      </c>
      <c r="S992" s="26" t="str">
        <f t="shared" si="13"/>
        <v/>
      </c>
      <c r="T992" s="26" t="str">
        <f t="shared" si="14"/>
        <v/>
      </c>
      <c r="U992" s="26" t="str">
        <f t="shared" si="15"/>
        <v/>
      </c>
      <c r="V992" s="26" t="str">
        <f t="shared" si="16"/>
        <v/>
      </c>
      <c r="W992" s="26" t="str">
        <f t="shared" si="17"/>
        <v/>
      </c>
      <c r="X992" s="26" t="str">
        <f t="shared" si="18"/>
        <v/>
      </c>
      <c r="Y992" s="26" t="str">
        <f t="shared" si="19"/>
        <v/>
      </c>
      <c r="Z992" s="31" t="str">
        <f t="shared" si="20"/>
        <v/>
      </c>
      <c r="AA992" s="31" t="str">
        <f>IF(D992="","",IF(H992&lt;=$B$16,1,IF(H992&gt;=$B$17,$B$21,MATCH(H992,Aux_CAV!$A$2:$A$121,1))))</f>
        <v/>
      </c>
      <c r="AB992" s="31" t="str">
        <f>IF(D992="","",IF(L992&lt;=$B$16,1,IF(L992&gt;=$B$17,$B$21,MATCH(L992,Aux_CAV!$A$2:$A$121,1))))</f>
        <v/>
      </c>
      <c r="AC992" s="3" t="str">
        <f t="shared" si="21"/>
        <v/>
      </c>
    </row>
    <row r="993" ht="12.75" customHeight="1">
      <c r="A993" s="25" t="str">
        <f t="shared" si="1"/>
        <v/>
      </c>
      <c r="B993" s="29" t="str">
        <f t="array" ref="B993">IF(D993="","",IFERROR(VALUE(INDEX(Vazoes_COLAR!$A$2:$A$200,INT((ROW()-24)/12)+1)),""))</f>
        <v/>
      </c>
      <c r="C993" s="29" t="str">
        <f t="shared" si="2"/>
        <v/>
      </c>
      <c r="D993" s="26" t="str">
        <f t="array" ref="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93" s="26" t="str">
        <f t="shared" si="3"/>
        <v/>
      </c>
      <c r="F993" s="26" t="str">
        <f t="array" ref="F993">IF(D993="","",IFERROR(INDEX(Dados_Evap!$C$2:$N$15,MATCH($B$9,Dados_Evap!$A$2:$A$15,0),C993),0))</f>
        <v/>
      </c>
      <c r="G993" s="26" t="str">
        <f t="shared" si="4"/>
        <v/>
      </c>
      <c r="H993" s="26" t="str">
        <f t="shared" si="22"/>
        <v/>
      </c>
      <c r="I993" s="26" t="str">
        <f t="array" ref="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/>
      </c>
      <c r="J993" s="26" t="str">
        <f t="shared" si="5"/>
        <v/>
      </c>
      <c r="K993" s="26" t="str">
        <f t="shared" si="6"/>
        <v/>
      </c>
      <c r="L993" s="26" t="str">
        <f t="shared" si="7"/>
        <v/>
      </c>
      <c r="M993" s="26" t="str">
        <f t="array" ref="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/>
      </c>
      <c r="N993" s="26" t="str">
        <f t="shared" si="8"/>
        <v/>
      </c>
      <c r="O993" s="26" t="str">
        <f t="shared" si="9"/>
        <v/>
      </c>
      <c r="P993" s="26" t="str">
        <f t="shared" si="10"/>
        <v/>
      </c>
      <c r="Q993" s="26" t="str">
        <f t="shared" si="11"/>
        <v/>
      </c>
      <c r="R993" s="26" t="str">
        <f t="shared" si="12"/>
        <v/>
      </c>
      <c r="S993" s="26" t="str">
        <f t="shared" si="13"/>
        <v/>
      </c>
      <c r="T993" s="26" t="str">
        <f t="shared" si="14"/>
        <v/>
      </c>
      <c r="U993" s="26" t="str">
        <f t="shared" si="15"/>
        <v/>
      </c>
      <c r="V993" s="26" t="str">
        <f t="shared" si="16"/>
        <v/>
      </c>
      <c r="W993" s="26" t="str">
        <f t="shared" si="17"/>
        <v/>
      </c>
      <c r="X993" s="26" t="str">
        <f t="shared" si="18"/>
        <v/>
      </c>
      <c r="Y993" s="26" t="str">
        <f t="shared" si="19"/>
        <v/>
      </c>
      <c r="Z993" s="31" t="str">
        <f t="shared" si="20"/>
        <v/>
      </c>
      <c r="AA993" s="31" t="str">
        <f>IF(D993="","",IF(H993&lt;=$B$16,1,IF(H993&gt;=$B$17,$B$21,MATCH(H993,Aux_CAV!$A$2:$A$121,1))))</f>
        <v/>
      </c>
      <c r="AB993" s="31" t="str">
        <f>IF(D993="","",IF(L993&lt;=$B$16,1,IF(L993&gt;=$B$17,$B$21,MATCH(L993,Aux_CAV!$A$2:$A$121,1))))</f>
        <v/>
      </c>
      <c r="AC993" s="3" t="str">
        <f t="shared" si="21"/>
        <v/>
      </c>
    </row>
    <row r="994" ht="12.75" customHeight="1">
      <c r="A994" s="25" t="str">
        <f t="shared" si="1"/>
        <v/>
      </c>
      <c r="B994" s="29" t="str">
        <f t="array" ref="B994">IF(D994="","",IFERROR(VALUE(INDEX(Vazoes_COLAR!$A$2:$A$200,INT((ROW()-24)/12)+1)),""))</f>
        <v/>
      </c>
      <c r="C994" s="29" t="str">
        <f t="shared" si="2"/>
        <v/>
      </c>
      <c r="D994" s="26" t="str">
        <f t="array" ref="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94" s="26" t="str">
        <f t="shared" si="3"/>
        <v/>
      </c>
      <c r="F994" s="26" t="str">
        <f t="array" ref="F994">IF(D994="","",IFERROR(INDEX(Dados_Evap!$C$2:$N$15,MATCH($B$9,Dados_Evap!$A$2:$A$15,0),C994),0))</f>
        <v/>
      </c>
      <c r="G994" s="26" t="str">
        <f t="shared" si="4"/>
        <v/>
      </c>
      <c r="H994" s="26" t="str">
        <f t="shared" si="22"/>
        <v/>
      </c>
      <c r="I994" s="26" t="str">
        <f t="array" ref="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/>
      </c>
      <c r="J994" s="26" t="str">
        <f t="shared" si="5"/>
        <v/>
      </c>
      <c r="K994" s="26" t="str">
        <f t="shared" si="6"/>
        <v/>
      </c>
      <c r="L994" s="26" t="str">
        <f t="shared" si="7"/>
        <v/>
      </c>
      <c r="M994" s="26" t="str">
        <f t="array" ref="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/>
      </c>
      <c r="N994" s="26" t="str">
        <f t="shared" si="8"/>
        <v/>
      </c>
      <c r="O994" s="26" t="str">
        <f t="shared" si="9"/>
        <v/>
      </c>
      <c r="P994" s="26" t="str">
        <f t="shared" si="10"/>
        <v/>
      </c>
      <c r="Q994" s="26" t="str">
        <f t="shared" si="11"/>
        <v/>
      </c>
      <c r="R994" s="26" t="str">
        <f t="shared" si="12"/>
        <v/>
      </c>
      <c r="S994" s="26" t="str">
        <f t="shared" si="13"/>
        <v/>
      </c>
      <c r="T994" s="26" t="str">
        <f t="shared" si="14"/>
        <v/>
      </c>
      <c r="U994" s="26" t="str">
        <f t="shared" si="15"/>
        <v/>
      </c>
      <c r="V994" s="26" t="str">
        <f t="shared" si="16"/>
        <v/>
      </c>
      <c r="W994" s="26" t="str">
        <f t="shared" si="17"/>
        <v/>
      </c>
      <c r="X994" s="26" t="str">
        <f t="shared" si="18"/>
        <v/>
      </c>
      <c r="Y994" s="26" t="str">
        <f t="shared" si="19"/>
        <v/>
      </c>
      <c r="Z994" s="31" t="str">
        <f t="shared" si="20"/>
        <v/>
      </c>
      <c r="AA994" s="31" t="str">
        <f>IF(D994="","",IF(H994&lt;=$B$16,1,IF(H994&gt;=$B$17,$B$21,MATCH(H994,Aux_CAV!$A$2:$A$121,1))))</f>
        <v/>
      </c>
      <c r="AB994" s="31" t="str">
        <f>IF(D994="","",IF(L994&lt;=$B$16,1,IF(L994&gt;=$B$17,$B$21,MATCH(L994,Aux_CAV!$A$2:$A$121,1))))</f>
        <v/>
      </c>
      <c r="AC994" s="3" t="str">
        <f t="shared" si="21"/>
        <v/>
      </c>
    </row>
    <row r="995" ht="12.75" customHeight="1">
      <c r="A995" s="25" t="str">
        <f t="shared" si="1"/>
        <v/>
      </c>
      <c r="B995" s="29" t="str">
        <f t="array" ref="B995">IF(D995="","",IFERROR(VALUE(INDEX(Vazoes_COLAR!$A$2:$A$200,INT((ROW()-24)/12)+1)),""))</f>
        <v/>
      </c>
      <c r="C995" s="29" t="str">
        <f t="shared" si="2"/>
        <v/>
      </c>
      <c r="D995" s="26" t="str">
        <f t="array" ref="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95" s="26" t="str">
        <f t="shared" si="3"/>
        <v/>
      </c>
      <c r="F995" s="26" t="str">
        <f t="array" ref="F995">IF(D995="","",IFERROR(INDEX(Dados_Evap!$C$2:$N$15,MATCH($B$9,Dados_Evap!$A$2:$A$15,0),C995),0))</f>
        <v/>
      </c>
      <c r="G995" s="26" t="str">
        <f t="shared" si="4"/>
        <v/>
      </c>
      <c r="H995" s="26" t="str">
        <f t="shared" si="22"/>
        <v/>
      </c>
      <c r="I995" s="26" t="str">
        <f t="array" ref="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/>
      </c>
      <c r="J995" s="26" t="str">
        <f t="shared" si="5"/>
        <v/>
      </c>
      <c r="K995" s="26" t="str">
        <f t="shared" si="6"/>
        <v/>
      </c>
      <c r="L995" s="26" t="str">
        <f t="shared" si="7"/>
        <v/>
      </c>
      <c r="M995" s="26" t="str">
        <f t="array" ref="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/>
      </c>
      <c r="N995" s="26" t="str">
        <f t="shared" si="8"/>
        <v/>
      </c>
      <c r="O995" s="26" t="str">
        <f t="shared" si="9"/>
        <v/>
      </c>
      <c r="P995" s="26" t="str">
        <f t="shared" si="10"/>
        <v/>
      </c>
      <c r="Q995" s="26" t="str">
        <f t="shared" si="11"/>
        <v/>
      </c>
      <c r="R995" s="26" t="str">
        <f t="shared" si="12"/>
        <v/>
      </c>
      <c r="S995" s="26" t="str">
        <f t="shared" si="13"/>
        <v/>
      </c>
      <c r="T995" s="26" t="str">
        <f t="shared" si="14"/>
        <v/>
      </c>
      <c r="U995" s="26" t="str">
        <f t="shared" si="15"/>
        <v/>
      </c>
      <c r="V995" s="26" t="str">
        <f t="shared" si="16"/>
        <v/>
      </c>
      <c r="W995" s="26" t="str">
        <f t="shared" si="17"/>
        <v/>
      </c>
      <c r="X995" s="26" t="str">
        <f t="shared" si="18"/>
        <v/>
      </c>
      <c r="Y995" s="26" t="str">
        <f t="shared" si="19"/>
        <v/>
      </c>
      <c r="Z995" s="31" t="str">
        <f t="shared" si="20"/>
        <v/>
      </c>
      <c r="AA995" s="31" t="str">
        <f>IF(D995="","",IF(H995&lt;=$B$16,1,IF(H995&gt;=$B$17,$B$21,MATCH(H995,Aux_CAV!$A$2:$A$121,1))))</f>
        <v/>
      </c>
      <c r="AB995" s="31" t="str">
        <f>IF(D995="","",IF(L995&lt;=$B$16,1,IF(L995&gt;=$B$17,$B$21,MATCH(L995,Aux_CAV!$A$2:$A$121,1))))</f>
        <v/>
      </c>
      <c r="AC995" s="3" t="str">
        <f t="shared" si="21"/>
        <v/>
      </c>
    </row>
    <row r="996" ht="12.75" customHeight="1">
      <c r="A996" s="25" t="str">
        <f t="shared" si="1"/>
        <v/>
      </c>
      <c r="B996" s="29" t="str">
        <f t="array" ref="B996">IF(D996="","",IFERROR(VALUE(INDEX(Vazoes_COLAR!$A$2:$A$200,INT((ROW()-24)/12)+1)),""))</f>
        <v/>
      </c>
      <c r="C996" s="29" t="str">
        <f t="shared" si="2"/>
        <v/>
      </c>
      <c r="D996" s="26" t="str">
        <f t="array" ref="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96" s="26" t="str">
        <f t="shared" si="3"/>
        <v/>
      </c>
      <c r="F996" s="26" t="str">
        <f t="array" ref="F996">IF(D996="","",IFERROR(INDEX(Dados_Evap!$C$2:$N$15,MATCH($B$9,Dados_Evap!$A$2:$A$15,0),C996),0))</f>
        <v/>
      </c>
      <c r="G996" s="26" t="str">
        <f t="shared" si="4"/>
        <v/>
      </c>
      <c r="H996" s="26" t="str">
        <f t="shared" si="22"/>
        <v/>
      </c>
      <c r="I996" s="26" t="str">
        <f t="array" ref="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/>
      </c>
      <c r="J996" s="26" t="str">
        <f t="shared" si="5"/>
        <v/>
      </c>
      <c r="K996" s="26" t="str">
        <f t="shared" si="6"/>
        <v/>
      </c>
      <c r="L996" s="26" t="str">
        <f t="shared" si="7"/>
        <v/>
      </c>
      <c r="M996" s="26" t="str">
        <f t="array" ref="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/>
      </c>
      <c r="N996" s="26" t="str">
        <f t="shared" si="8"/>
        <v/>
      </c>
      <c r="O996" s="26" t="str">
        <f t="shared" si="9"/>
        <v/>
      </c>
      <c r="P996" s="26" t="str">
        <f t="shared" si="10"/>
        <v/>
      </c>
      <c r="Q996" s="26" t="str">
        <f t="shared" si="11"/>
        <v/>
      </c>
      <c r="R996" s="26" t="str">
        <f t="shared" si="12"/>
        <v/>
      </c>
      <c r="S996" s="26" t="str">
        <f t="shared" si="13"/>
        <v/>
      </c>
      <c r="T996" s="26" t="str">
        <f t="shared" si="14"/>
        <v/>
      </c>
      <c r="U996" s="26" t="str">
        <f t="shared" si="15"/>
        <v/>
      </c>
      <c r="V996" s="26" t="str">
        <f t="shared" si="16"/>
        <v/>
      </c>
      <c r="W996" s="26" t="str">
        <f t="shared" si="17"/>
        <v/>
      </c>
      <c r="X996" s="26" t="str">
        <f t="shared" si="18"/>
        <v/>
      </c>
      <c r="Y996" s="26" t="str">
        <f t="shared" si="19"/>
        <v/>
      </c>
      <c r="Z996" s="31" t="str">
        <f t="shared" si="20"/>
        <v/>
      </c>
      <c r="AA996" s="31" t="str">
        <f>IF(D996="","",IF(H996&lt;=$B$16,1,IF(H996&gt;=$B$17,$B$21,MATCH(H996,Aux_CAV!$A$2:$A$121,1))))</f>
        <v/>
      </c>
      <c r="AB996" s="31" t="str">
        <f>IF(D996="","",IF(L996&lt;=$B$16,1,IF(L996&gt;=$B$17,$B$21,MATCH(L996,Aux_CAV!$A$2:$A$121,1))))</f>
        <v/>
      </c>
      <c r="AC996" s="3" t="str">
        <f t="shared" si="21"/>
        <v/>
      </c>
    </row>
    <row r="997" ht="12.75" customHeight="1">
      <c r="A997" s="25" t="str">
        <f t="shared" si="1"/>
        <v/>
      </c>
      <c r="B997" s="29" t="str">
        <f t="array" ref="B997">IF(D997="","",IFERROR(VALUE(INDEX(Vazoes_COLAR!$A$2:$A$200,INT((ROW()-24)/12)+1)),""))</f>
        <v/>
      </c>
      <c r="C997" s="29" t="str">
        <f t="shared" si="2"/>
        <v/>
      </c>
      <c r="D997" s="26" t="str">
        <f t="array" ref="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97" s="26" t="str">
        <f t="shared" si="3"/>
        <v/>
      </c>
      <c r="F997" s="26" t="str">
        <f t="array" ref="F997">IF(D997="","",IFERROR(INDEX(Dados_Evap!$C$2:$N$15,MATCH($B$9,Dados_Evap!$A$2:$A$15,0),C997),0))</f>
        <v/>
      </c>
      <c r="G997" s="26" t="str">
        <f t="shared" si="4"/>
        <v/>
      </c>
      <c r="H997" s="26" t="str">
        <f t="shared" si="22"/>
        <v/>
      </c>
      <c r="I997" s="26" t="str">
        <f t="array" ref="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/>
      </c>
      <c r="J997" s="26" t="str">
        <f t="shared" si="5"/>
        <v/>
      </c>
      <c r="K997" s="26" t="str">
        <f t="shared" si="6"/>
        <v/>
      </c>
      <c r="L997" s="26" t="str">
        <f t="shared" si="7"/>
        <v/>
      </c>
      <c r="M997" s="26" t="str">
        <f t="array" ref="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/>
      </c>
      <c r="N997" s="26" t="str">
        <f t="shared" si="8"/>
        <v/>
      </c>
      <c r="O997" s="26" t="str">
        <f t="shared" si="9"/>
        <v/>
      </c>
      <c r="P997" s="26" t="str">
        <f t="shared" si="10"/>
        <v/>
      </c>
      <c r="Q997" s="26" t="str">
        <f t="shared" si="11"/>
        <v/>
      </c>
      <c r="R997" s="26" t="str">
        <f t="shared" si="12"/>
        <v/>
      </c>
      <c r="S997" s="26" t="str">
        <f t="shared" si="13"/>
        <v/>
      </c>
      <c r="T997" s="26" t="str">
        <f t="shared" si="14"/>
        <v/>
      </c>
      <c r="U997" s="26" t="str">
        <f t="shared" si="15"/>
        <v/>
      </c>
      <c r="V997" s="26" t="str">
        <f t="shared" si="16"/>
        <v/>
      </c>
      <c r="W997" s="26" t="str">
        <f t="shared" si="17"/>
        <v/>
      </c>
      <c r="X997" s="26" t="str">
        <f t="shared" si="18"/>
        <v/>
      </c>
      <c r="Y997" s="26" t="str">
        <f t="shared" si="19"/>
        <v/>
      </c>
      <c r="Z997" s="31" t="str">
        <f t="shared" si="20"/>
        <v/>
      </c>
      <c r="AA997" s="31" t="str">
        <f>IF(D997="","",IF(H997&lt;=$B$16,1,IF(H997&gt;=$B$17,$B$21,MATCH(H997,Aux_CAV!$A$2:$A$121,1))))</f>
        <v/>
      </c>
      <c r="AB997" s="31" t="str">
        <f>IF(D997="","",IF(L997&lt;=$B$16,1,IF(L997&gt;=$B$17,$B$21,MATCH(L997,Aux_CAV!$A$2:$A$121,1))))</f>
        <v/>
      </c>
      <c r="AC997" s="3" t="str">
        <f t="shared" si="21"/>
        <v/>
      </c>
    </row>
    <row r="998" ht="12.75" customHeight="1">
      <c r="A998" s="25" t="str">
        <f t="shared" si="1"/>
        <v/>
      </c>
      <c r="B998" s="29" t="str">
        <f t="array" ref="B998">IF(D998="","",IFERROR(VALUE(INDEX(Vazoes_COLAR!$A$2:$A$200,INT((ROW()-24)/12)+1)),""))</f>
        <v/>
      </c>
      <c r="C998" s="29" t="str">
        <f t="shared" si="2"/>
        <v/>
      </c>
      <c r="D998" s="26" t="str">
        <f t="array" ref="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98" s="26" t="str">
        <f t="shared" si="3"/>
        <v/>
      </c>
      <c r="F998" s="26" t="str">
        <f t="array" ref="F998">IF(D998="","",IFERROR(INDEX(Dados_Evap!$C$2:$N$15,MATCH($B$9,Dados_Evap!$A$2:$A$15,0),C998),0))</f>
        <v/>
      </c>
      <c r="G998" s="26" t="str">
        <f t="shared" si="4"/>
        <v/>
      </c>
      <c r="H998" s="26" t="str">
        <f t="shared" si="22"/>
        <v/>
      </c>
      <c r="I998" s="26" t="str">
        <f t="array" ref="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/>
      </c>
      <c r="J998" s="26" t="str">
        <f t="shared" si="5"/>
        <v/>
      </c>
      <c r="K998" s="26" t="str">
        <f t="shared" si="6"/>
        <v/>
      </c>
      <c r="L998" s="26" t="str">
        <f t="shared" si="7"/>
        <v/>
      </c>
      <c r="M998" s="26" t="str">
        <f t="array" ref="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/>
      </c>
      <c r="N998" s="26" t="str">
        <f t="shared" si="8"/>
        <v/>
      </c>
      <c r="O998" s="26" t="str">
        <f t="shared" si="9"/>
        <v/>
      </c>
      <c r="P998" s="26" t="str">
        <f t="shared" si="10"/>
        <v/>
      </c>
      <c r="Q998" s="26" t="str">
        <f t="shared" si="11"/>
        <v/>
      </c>
      <c r="R998" s="26" t="str">
        <f t="shared" si="12"/>
        <v/>
      </c>
      <c r="S998" s="26" t="str">
        <f t="shared" si="13"/>
        <v/>
      </c>
      <c r="T998" s="26" t="str">
        <f t="shared" si="14"/>
        <v/>
      </c>
      <c r="U998" s="26" t="str">
        <f t="shared" si="15"/>
        <v/>
      </c>
      <c r="V998" s="26" t="str">
        <f t="shared" si="16"/>
        <v/>
      </c>
      <c r="W998" s="26" t="str">
        <f t="shared" si="17"/>
        <v/>
      </c>
      <c r="X998" s="26" t="str">
        <f t="shared" si="18"/>
        <v/>
      </c>
      <c r="Y998" s="26" t="str">
        <f t="shared" si="19"/>
        <v/>
      </c>
      <c r="Z998" s="31" t="str">
        <f t="shared" si="20"/>
        <v/>
      </c>
      <c r="AA998" s="31" t="str">
        <f>IF(D998="","",IF(H998&lt;=$B$16,1,IF(H998&gt;=$B$17,$B$21,MATCH(H998,Aux_CAV!$A$2:$A$121,1))))</f>
        <v/>
      </c>
      <c r="AB998" s="31" t="str">
        <f>IF(D998="","",IF(L998&lt;=$B$16,1,IF(L998&gt;=$B$17,$B$21,MATCH(L998,Aux_CAV!$A$2:$A$121,1))))</f>
        <v/>
      </c>
      <c r="AC998" s="3" t="str">
        <f t="shared" si="21"/>
        <v/>
      </c>
    </row>
    <row r="999" ht="12.75" customHeight="1">
      <c r="A999" s="25" t="str">
        <f t="shared" si="1"/>
        <v/>
      </c>
      <c r="B999" s="29" t="str">
        <f t="array" ref="B999">IF(D999="","",IFERROR(VALUE(INDEX(Vazoes_COLAR!$A$2:$A$200,INT((ROW()-24)/12)+1)),""))</f>
        <v/>
      </c>
      <c r="C999" s="29" t="str">
        <f t="shared" si="2"/>
        <v/>
      </c>
      <c r="D999" s="26" t="str">
        <f t="array" ref="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999" s="26" t="str">
        <f t="shared" si="3"/>
        <v/>
      </c>
      <c r="F999" s="26" t="str">
        <f t="array" ref="F999">IF(D999="","",IFERROR(INDEX(Dados_Evap!$C$2:$N$15,MATCH($B$9,Dados_Evap!$A$2:$A$15,0),C999),0))</f>
        <v/>
      </c>
      <c r="G999" s="26" t="str">
        <f t="shared" si="4"/>
        <v/>
      </c>
      <c r="H999" s="26" t="str">
        <f t="shared" si="22"/>
        <v/>
      </c>
      <c r="I999" s="26" t="str">
        <f t="array" ref="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/>
      </c>
      <c r="J999" s="26" t="str">
        <f t="shared" si="5"/>
        <v/>
      </c>
      <c r="K999" s="26" t="str">
        <f t="shared" si="6"/>
        <v/>
      </c>
      <c r="L999" s="26" t="str">
        <f t="shared" si="7"/>
        <v/>
      </c>
      <c r="M999" s="26" t="str">
        <f t="array" ref="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/>
      </c>
      <c r="N999" s="26" t="str">
        <f t="shared" si="8"/>
        <v/>
      </c>
      <c r="O999" s="26" t="str">
        <f t="shared" si="9"/>
        <v/>
      </c>
      <c r="P999" s="26" t="str">
        <f t="shared" si="10"/>
        <v/>
      </c>
      <c r="Q999" s="26" t="str">
        <f t="shared" si="11"/>
        <v/>
      </c>
      <c r="R999" s="26" t="str">
        <f t="shared" si="12"/>
        <v/>
      </c>
      <c r="S999" s="26" t="str">
        <f t="shared" si="13"/>
        <v/>
      </c>
      <c r="T999" s="26" t="str">
        <f t="shared" si="14"/>
        <v/>
      </c>
      <c r="U999" s="26" t="str">
        <f t="shared" si="15"/>
        <v/>
      </c>
      <c r="V999" s="26" t="str">
        <f t="shared" si="16"/>
        <v/>
      </c>
      <c r="W999" s="26" t="str">
        <f t="shared" si="17"/>
        <v/>
      </c>
      <c r="X999" s="26" t="str">
        <f t="shared" si="18"/>
        <v/>
      </c>
      <c r="Y999" s="26" t="str">
        <f t="shared" si="19"/>
        <v/>
      </c>
      <c r="Z999" s="31" t="str">
        <f t="shared" si="20"/>
        <v/>
      </c>
      <c r="AA999" s="31" t="str">
        <f>IF(D999="","",IF(H999&lt;=$B$16,1,IF(H999&gt;=$B$17,$B$21,MATCH(H999,Aux_CAV!$A$2:$A$121,1))))</f>
        <v/>
      </c>
      <c r="AB999" s="31" t="str">
        <f>IF(D999="","",IF(L999&lt;=$B$16,1,IF(L999&gt;=$B$17,$B$21,MATCH(L999,Aux_CAV!$A$2:$A$121,1))))</f>
        <v/>
      </c>
      <c r="AC999" s="3" t="str">
        <f t="shared" si="21"/>
        <v/>
      </c>
    </row>
    <row r="1000" ht="12.75" customHeight="1">
      <c r="A1000" s="25" t="str">
        <f t="shared" si="1"/>
        <v/>
      </c>
      <c r="B1000" s="29" t="str">
        <f t="array" ref="B1000">IF(D1000="","",IFERROR(VALUE(INDEX(Vazoes_COLAR!$A$2:$A$200,INT((ROW()-24)/12)+1)),""))</f>
        <v/>
      </c>
      <c r="C1000" s="29" t="str">
        <f t="shared" si="2"/>
        <v/>
      </c>
      <c r="D1000" s="26" t="str">
        <f t="array" ref="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00" s="26" t="str">
        <f t="shared" si="3"/>
        <v/>
      </c>
      <c r="F1000" s="26" t="str">
        <f t="array" ref="F1000">IF(D1000="","",IFERROR(INDEX(Dados_Evap!$C$2:$N$15,MATCH($B$9,Dados_Evap!$A$2:$A$15,0),C1000),0))</f>
        <v/>
      </c>
      <c r="G1000" s="26" t="str">
        <f t="shared" si="4"/>
        <v/>
      </c>
      <c r="H1000" s="26" t="str">
        <f t="shared" si="22"/>
        <v/>
      </c>
      <c r="I1000" s="26" t="str">
        <f t="array" ref="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/>
      </c>
      <c r="J1000" s="26" t="str">
        <f t="shared" si="5"/>
        <v/>
      </c>
      <c r="K1000" s="26" t="str">
        <f t="shared" si="6"/>
        <v/>
      </c>
      <c r="L1000" s="26" t="str">
        <f t="shared" si="7"/>
        <v/>
      </c>
      <c r="M1000" s="26" t="str">
        <f t="array" ref="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/>
      </c>
      <c r="N1000" s="26" t="str">
        <f t="shared" si="8"/>
        <v/>
      </c>
      <c r="O1000" s="26" t="str">
        <f t="shared" si="9"/>
        <v/>
      </c>
      <c r="P1000" s="26" t="str">
        <f t="shared" si="10"/>
        <v/>
      </c>
      <c r="Q1000" s="26" t="str">
        <f t="shared" si="11"/>
        <v/>
      </c>
      <c r="R1000" s="26" t="str">
        <f t="shared" si="12"/>
        <v/>
      </c>
      <c r="S1000" s="26" t="str">
        <f t="shared" si="13"/>
        <v/>
      </c>
      <c r="T1000" s="26" t="str">
        <f t="shared" si="14"/>
        <v/>
      </c>
      <c r="U1000" s="26" t="str">
        <f t="shared" si="15"/>
        <v/>
      </c>
      <c r="V1000" s="26" t="str">
        <f t="shared" si="16"/>
        <v/>
      </c>
      <c r="W1000" s="26" t="str">
        <f t="shared" si="17"/>
        <v/>
      </c>
      <c r="X1000" s="26" t="str">
        <f t="shared" si="18"/>
        <v/>
      </c>
      <c r="Y1000" s="26" t="str">
        <f t="shared" si="19"/>
        <v/>
      </c>
      <c r="Z1000" s="31" t="str">
        <f t="shared" si="20"/>
        <v/>
      </c>
      <c r="AA1000" s="31" t="str">
        <f>IF(D1000="","",IF(H1000&lt;=$B$16,1,IF(H1000&gt;=$B$17,$B$21,MATCH(H1000,Aux_CAV!$A$2:$A$121,1))))</f>
        <v/>
      </c>
      <c r="AB1000" s="31" t="str">
        <f>IF(D1000="","",IF(L1000&lt;=$B$16,1,IF(L1000&gt;=$B$17,$B$21,MATCH(L1000,Aux_CAV!$A$2:$A$121,1))))</f>
        <v/>
      </c>
      <c r="AC1000" s="3" t="str">
        <f t="shared" si="21"/>
        <v/>
      </c>
    </row>
    <row r="1001" ht="12.75" customHeight="1">
      <c r="A1001" s="25" t="str">
        <f t="shared" si="1"/>
        <v/>
      </c>
      <c r="B1001" s="29" t="str">
        <f t="array" ref="B1001">IF(D1001="","",IFERROR(VALUE(INDEX(Vazoes_COLAR!$A$2:$A$200,INT((ROW()-24)/12)+1)),""))</f>
        <v/>
      </c>
      <c r="C1001" s="29" t="str">
        <f t="shared" si="2"/>
        <v/>
      </c>
      <c r="D1001" s="26" t="str">
        <f t="array" ref="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01" s="26" t="str">
        <f t="shared" si="3"/>
        <v/>
      </c>
      <c r="F1001" s="26" t="str">
        <f t="array" ref="F1001">IF(D1001="","",IFERROR(INDEX(Dados_Evap!$C$2:$N$15,MATCH($B$9,Dados_Evap!$A$2:$A$15,0),C1001),0))</f>
        <v/>
      </c>
      <c r="G1001" s="26" t="str">
        <f t="shared" si="4"/>
        <v/>
      </c>
      <c r="H1001" s="26" t="str">
        <f t="shared" si="22"/>
        <v/>
      </c>
      <c r="I1001" s="26" t="str">
        <f t="array" ref="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/>
      </c>
      <c r="J1001" s="26" t="str">
        <f t="shared" si="5"/>
        <v/>
      </c>
      <c r="K1001" s="26" t="str">
        <f t="shared" si="6"/>
        <v/>
      </c>
      <c r="L1001" s="26" t="str">
        <f t="shared" si="7"/>
        <v/>
      </c>
      <c r="M1001" s="26" t="str">
        <f t="array" ref="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/>
      </c>
      <c r="N1001" s="26" t="str">
        <f t="shared" si="8"/>
        <v/>
      </c>
      <c r="O1001" s="26" t="str">
        <f t="shared" si="9"/>
        <v/>
      </c>
      <c r="P1001" s="26" t="str">
        <f t="shared" si="10"/>
        <v/>
      </c>
      <c r="Q1001" s="26" t="str">
        <f t="shared" si="11"/>
        <v/>
      </c>
      <c r="R1001" s="26" t="str">
        <f t="shared" si="12"/>
        <v/>
      </c>
      <c r="S1001" s="26" t="str">
        <f t="shared" si="13"/>
        <v/>
      </c>
      <c r="T1001" s="26" t="str">
        <f t="shared" si="14"/>
        <v/>
      </c>
      <c r="U1001" s="26" t="str">
        <f t="shared" si="15"/>
        <v/>
      </c>
      <c r="V1001" s="26" t="str">
        <f t="shared" si="16"/>
        <v/>
      </c>
      <c r="W1001" s="26" t="str">
        <f t="shared" si="17"/>
        <v/>
      </c>
      <c r="X1001" s="26" t="str">
        <f t="shared" si="18"/>
        <v/>
      </c>
      <c r="Y1001" s="26" t="str">
        <f t="shared" si="19"/>
        <v/>
      </c>
      <c r="Z1001" s="31" t="str">
        <f t="shared" si="20"/>
        <v/>
      </c>
      <c r="AA1001" s="31" t="str">
        <f>IF(D1001="","",IF(H1001&lt;=$B$16,1,IF(H1001&gt;=$B$17,$B$21,MATCH(H1001,Aux_CAV!$A$2:$A$121,1))))</f>
        <v/>
      </c>
      <c r="AB1001" s="31" t="str">
        <f>IF(D1001="","",IF(L1001&lt;=$B$16,1,IF(L1001&gt;=$B$17,$B$21,MATCH(L1001,Aux_CAV!$A$2:$A$121,1))))</f>
        <v/>
      </c>
      <c r="AC1001" s="3" t="str">
        <f t="shared" si="21"/>
        <v/>
      </c>
    </row>
    <row r="1002" ht="12.75" customHeight="1">
      <c r="A1002" s="25" t="str">
        <f t="shared" si="1"/>
        <v/>
      </c>
      <c r="B1002" s="29" t="str">
        <f t="array" ref="B1002">IF(D1002="","",IFERROR(VALUE(INDEX(Vazoes_COLAR!$A$2:$A$200,INT((ROW()-24)/12)+1)),""))</f>
        <v/>
      </c>
      <c r="C1002" s="29" t="str">
        <f t="shared" si="2"/>
        <v/>
      </c>
      <c r="D1002" s="26" t="str">
        <f t="array" ref="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02" s="26" t="str">
        <f t="shared" si="3"/>
        <v/>
      </c>
      <c r="F1002" s="26" t="str">
        <f t="array" ref="F1002">IF(D1002="","",IFERROR(INDEX(Dados_Evap!$C$2:$N$15,MATCH($B$9,Dados_Evap!$A$2:$A$15,0),C1002),0))</f>
        <v/>
      </c>
      <c r="G1002" s="26" t="str">
        <f t="shared" si="4"/>
        <v/>
      </c>
      <c r="H1002" s="26" t="str">
        <f t="shared" si="22"/>
        <v/>
      </c>
      <c r="I1002" s="26" t="str">
        <f t="array" ref="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/>
      </c>
      <c r="J1002" s="26" t="str">
        <f t="shared" si="5"/>
        <v/>
      </c>
      <c r="K1002" s="26" t="str">
        <f t="shared" si="6"/>
        <v/>
      </c>
      <c r="L1002" s="26" t="str">
        <f t="shared" si="7"/>
        <v/>
      </c>
      <c r="M1002" s="26" t="str">
        <f t="array" ref="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/>
      </c>
      <c r="N1002" s="26" t="str">
        <f t="shared" si="8"/>
        <v/>
      </c>
      <c r="O1002" s="26" t="str">
        <f t="shared" si="9"/>
        <v/>
      </c>
      <c r="P1002" s="26" t="str">
        <f t="shared" si="10"/>
        <v/>
      </c>
      <c r="Q1002" s="26" t="str">
        <f t="shared" si="11"/>
        <v/>
      </c>
      <c r="R1002" s="26" t="str">
        <f t="shared" si="12"/>
        <v/>
      </c>
      <c r="S1002" s="26" t="str">
        <f t="shared" si="13"/>
        <v/>
      </c>
      <c r="T1002" s="26" t="str">
        <f t="shared" si="14"/>
        <v/>
      </c>
      <c r="U1002" s="26" t="str">
        <f t="shared" si="15"/>
        <v/>
      </c>
      <c r="V1002" s="26" t="str">
        <f t="shared" si="16"/>
        <v/>
      </c>
      <c r="W1002" s="26" t="str">
        <f t="shared" si="17"/>
        <v/>
      </c>
      <c r="X1002" s="26" t="str">
        <f t="shared" si="18"/>
        <v/>
      </c>
      <c r="Y1002" s="26" t="str">
        <f t="shared" si="19"/>
        <v/>
      </c>
      <c r="Z1002" s="31" t="str">
        <f t="shared" si="20"/>
        <v/>
      </c>
      <c r="AA1002" s="31" t="str">
        <f>IF(D1002="","",IF(H1002&lt;=$B$16,1,IF(H1002&gt;=$B$17,$B$21,MATCH(H1002,Aux_CAV!$A$2:$A$121,1))))</f>
        <v/>
      </c>
      <c r="AB1002" s="31" t="str">
        <f>IF(D1002="","",IF(L1002&lt;=$B$16,1,IF(L1002&gt;=$B$17,$B$21,MATCH(L1002,Aux_CAV!$A$2:$A$121,1))))</f>
        <v/>
      </c>
      <c r="AC1002" s="3" t="str">
        <f t="shared" si="21"/>
        <v/>
      </c>
    </row>
    <row r="1003" ht="12.75" customHeight="1">
      <c r="A1003" s="25" t="str">
        <f t="shared" si="1"/>
        <v/>
      </c>
      <c r="B1003" s="29" t="str">
        <f t="array" ref="B1003">IF(D1003="","",IFERROR(VALUE(INDEX(Vazoes_COLAR!$A$2:$A$200,INT((ROW()-24)/12)+1)),""))</f>
        <v/>
      </c>
      <c r="C1003" s="29" t="str">
        <f t="shared" si="2"/>
        <v/>
      </c>
      <c r="D1003" s="26" t="str">
        <f t="array" ref="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03" s="26" t="str">
        <f t="shared" si="3"/>
        <v/>
      </c>
      <c r="F1003" s="26" t="str">
        <f t="array" ref="F1003">IF(D1003="","",IFERROR(INDEX(Dados_Evap!$C$2:$N$15,MATCH($B$9,Dados_Evap!$A$2:$A$15,0),C1003),0))</f>
        <v/>
      </c>
      <c r="G1003" s="26" t="str">
        <f t="shared" si="4"/>
        <v/>
      </c>
      <c r="H1003" s="26" t="str">
        <f t="shared" si="22"/>
        <v/>
      </c>
      <c r="I1003" s="26" t="str">
        <f t="array" ref="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/>
      </c>
      <c r="J1003" s="26" t="str">
        <f t="shared" si="5"/>
        <v/>
      </c>
      <c r="K1003" s="26" t="str">
        <f t="shared" si="6"/>
        <v/>
      </c>
      <c r="L1003" s="26" t="str">
        <f t="shared" si="7"/>
        <v/>
      </c>
      <c r="M1003" s="26" t="str">
        <f t="array" ref="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/>
      </c>
      <c r="N1003" s="26" t="str">
        <f t="shared" si="8"/>
        <v/>
      </c>
      <c r="O1003" s="26" t="str">
        <f t="shared" si="9"/>
        <v/>
      </c>
      <c r="P1003" s="26" t="str">
        <f t="shared" si="10"/>
        <v/>
      </c>
      <c r="Q1003" s="26" t="str">
        <f t="shared" si="11"/>
        <v/>
      </c>
      <c r="R1003" s="26" t="str">
        <f t="shared" si="12"/>
        <v/>
      </c>
      <c r="S1003" s="26" t="str">
        <f t="shared" si="13"/>
        <v/>
      </c>
      <c r="T1003" s="26" t="str">
        <f t="shared" si="14"/>
        <v/>
      </c>
      <c r="U1003" s="26" t="str">
        <f t="shared" si="15"/>
        <v/>
      </c>
      <c r="V1003" s="26" t="str">
        <f t="shared" si="16"/>
        <v/>
      </c>
      <c r="W1003" s="26" t="str">
        <f t="shared" si="17"/>
        <v/>
      </c>
      <c r="X1003" s="26" t="str">
        <f t="shared" si="18"/>
        <v/>
      </c>
      <c r="Y1003" s="26" t="str">
        <f t="shared" si="19"/>
        <v/>
      </c>
      <c r="Z1003" s="31" t="str">
        <f t="shared" si="20"/>
        <v/>
      </c>
      <c r="AA1003" s="31" t="str">
        <f>IF(D1003="","",IF(H1003&lt;=$B$16,1,IF(H1003&gt;=$B$17,$B$21,MATCH(H1003,Aux_CAV!$A$2:$A$121,1))))</f>
        <v/>
      </c>
      <c r="AB1003" s="31" t="str">
        <f>IF(D1003="","",IF(L1003&lt;=$B$16,1,IF(L1003&gt;=$B$17,$B$21,MATCH(L1003,Aux_CAV!$A$2:$A$121,1))))</f>
        <v/>
      </c>
      <c r="AC1003" s="3" t="str">
        <f t="shared" si="21"/>
        <v/>
      </c>
    </row>
    <row r="1004" ht="12.75" customHeight="1">
      <c r="A1004" s="25" t="str">
        <f t="shared" si="1"/>
        <v/>
      </c>
      <c r="B1004" s="29" t="str">
        <f t="array" ref="B1004">IF(D1004="","",IFERROR(VALUE(INDEX(Vazoes_COLAR!$A$2:$A$200,INT((ROW()-24)/12)+1)),""))</f>
        <v/>
      </c>
      <c r="C1004" s="29" t="str">
        <f t="shared" si="2"/>
        <v/>
      </c>
      <c r="D1004" s="26" t="str">
        <f t="array" ref="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04" s="26" t="str">
        <f t="shared" si="3"/>
        <v/>
      </c>
      <c r="F1004" s="26" t="str">
        <f t="array" ref="F1004">IF(D1004="","",IFERROR(INDEX(Dados_Evap!$C$2:$N$15,MATCH($B$9,Dados_Evap!$A$2:$A$15,0),C1004),0))</f>
        <v/>
      </c>
      <c r="G1004" s="26" t="str">
        <f t="shared" si="4"/>
        <v/>
      </c>
      <c r="H1004" s="26" t="str">
        <f t="shared" si="22"/>
        <v/>
      </c>
      <c r="I1004" s="26" t="str">
        <f t="array" ref="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/>
      </c>
      <c r="J1004" s="26" t="str">
        <f t="shared" si="5"/>
        <v/>
      </c>
      <c r="K1004" s="26" t="str">
        <f t="shared" si="6"/>
        <v/>
      </c>
      <c r="L1004" s="26" t="str">
        <f t="shared" si="7"/>
        <v/>
      </c>
      <c r="M1004" s="26" t="str">
        <f t="array" ref="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/>
      </c>
      <c r="N1004" s="26" t="str">
        <f t="shared" si="8"/>
        <v/>
      </c>
      <c r="O1004" s="26" t="str">
        <f t="shared" si="9"/>
        <v/>
      </c>
      <c r="P1004" s="26" t="str">
        <f t="shared" si="10"/>
        <v/>
      </c>
      <c r="Q1004" s="26" t="str">
        <f t="shared" si="11"/>
        <v/>
      </c>
      <c r="R1004" s="26" t="str">
        <f t="shared" si="12"/>
        <v/>
      </c>
      <c r="S1004" s="26" t="str">
        <f t="shared" si="13"/>
        <v/>
      </c>
      <c r="T1004" s="26" t="str">
        <f t="shared" si="14"/>
        <v/>
      </c>
      <c r="U1004" s="26" t="str">
        <f t="shared" si="15"/>
        <v/>
      </c>
      <c r="V1004" s="26" t="str">
        <f t="shared" si="16"/>
        <v/>
      </c>
      <c r="W1004" s="26" t="str">
        <f t="shared" si="17"/>
        <v/>
      </c>
      <c r="X1004" s="26" t="str">
        <f t="shared" si="18"/>
        <v/>
      </c>
      <c r="Y1004" s="26" t="str">
        <f t="shared" si="19"/>
        <v/>
      </c>
      <c r="Z1004" s="31" t="str">
        <f t="shared" si="20"/>
        <v/>
      </c>
      <c r="AA1004" s="31" t="str">
        <f>IF(D1004="","",IF(H1004&lt;=$B$16,1,IF(H1004&gt;=$B$17,$B$21,MATCH(H1004,Aux_CAV!$A$2:$A$121,1))))</f>
        <v/>
      </c>
      <c r="AB1004" s="31" t="str">
        <f>IF(D1004="","",IF(L1004&lt;=$B$16,1,IF(L1004&gt;=$B$17,$B$21,MATCH(L1004,Aux_CAV!$A$2:$A$121,1))))</f>
        <v/>
      </c>
      <c r="AC1004" s="3" t="str">
        <f t="shared" si="21"/>
        <v/>
      </c>
    </row>
    <row r="1005" ht="12.75" customHeight="1">
      <c r="A1005" s="25" t="str">
        <f t="shared" si="1"/>
        <v/>
      </c>
      <c r="B1005" s="29" t="str">
        <f t="array" ref="B1005">IF(D1005="","",IFERROR(VALUE(INDEX(Vazoes_COLAR!$A$2:$A$200,INT((ROW()-24)/12)+1)),""))</f>
        <v/>
      </c>
      <c r="C1005" s="29" t="str">
        <f t="shared" si="2"/>
        <v/>
      </c>
      <c r="D1005" s="26" t="str">
        <f t="array" ref="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05" s="26" t="str">
        <f t="shared" si="3"/>
        <v/>
      </c>
      <c r="F1005" s="26" t="str">
        <f t="array" ref="F1005">IF(D1005="","",IFERROR(INDEX(Dados_Evap!$C$2:$N$15,MATCH($B$9,Dados_Evap!$A$2:$A$15,0),C1005),0))</f>
        <v/>
      </c>
      <c r="G1005" s="26" t="str">
        <f t="shared" si="4"/>
        <v/>
      </c>
      <c r="H1005" s="26" t="str">
        <f t="shared" si="22"/>
        <v/>
      </c>
      <c r="I1005" s="26" t="str">
        <f t="array" ref="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/>
      </c>
      <c r="J1005" s="26" t="str">
        <f t="shared" si="5"/>
        <v/>
      </c>
      <c r="K1005" s="26" t="str">
        <f t="shared" si="6"/>
        <v/>
      </c>
      <c r="L1005" s="26" t="str">
        <f t="shared" si="7"/>
        <v/>
      </c>
      <c r="M1005" s="26" t="str">
        <f t="array" ref="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/>
      </c>
      <c r="N1005" s="26" t="str">
        <f t="shared" si="8"/>
        <v/>
      </c>
      <c r="O1005" s="26" t="str">
        <f t="shared" si="9"/>
        <v/>
      </c>
      <c r="P1005" s="26" t="str">
        <f t="shared" si="10"/>
        <v/>
      </c>
      <c r="Q1005" s="26" t="str">
        <f t="shared" si="11"/>
        <v/>
      </c>
      <c r="R1005" s="26" t="str">
        <f t="shared" si="12"/>
        <v/>
      </c>
      <c r="S1005" s="26" t="str">
        <f t="shared" si="13"/>
        <v/>
      </c>
      <c r="T1005" s="26" t="str">
        <f t="shared" si="14"/>
        <v/>
      </c>
      <c r="U1005" s="26" t="str">
        <f t="shared" si="15"/>
        <v/>
      </c>
      <c r="V1005" s="26" t="str">
        <f t="shared" si="16"/>
        <v/>
      </c>
      <c r="W1005" s="26" t="str">
        <f t="shared" si="17"/>
        <v/>
      </c>
      <c r="X1005" s="26" t="str">
        <f t="shared" si="18"/>
        <v/>
      </c>
      <c r="Y1005" s="26" t="str">
        <f t="shared" si="19"/>
        <v/>
      </c>
      <c r="Z1005" s="31" t="str">
        <f t="shared" si="20"/>
        <v/>
      </c>
      <c r="AA1005" s="31" t="str">
        <f>IF(D1005="","",IF(H1005&lt;=$B$16,1,IF(H1005&gt;=$B$17,$B$21,MATCH(H1005,Aux_CAV!$A$2:$A$121,1))))</f>
        <v/>
      </c>
      <c r="AB1005" s="31" t="str">
        <f>IF(D1005="","",IF(L1005&lt;=$B$16,1,IF(L1005&gt;=$B$17,$B$21,MATCH(L1005,Aux_CAV!$A$2:$A$121,1))))</f>
        <v/>
      </c>
      <c r="AC1005" s="3" t="str">
        <f t="shared" si="21"/>
        <v/>
      </c>
    </row>
    <row r="1006" ht="12.75" customHeight="1">
      <c r="A1006" s="25" t="str">
        <f t="shared" si="1"/>
        <v/>
      </c>
      <c r="B1006" s="29" t="str">
        <f t="array" ref="B1006">IF(D1006="","",IFERROR(VALUE(INDEX(Vazoes_COLAR!$A$2:$A$200,INT((ROW()-24)/12)+1)),""))</f>
        <v/>
      </c>
      <c r="C1006" s="29" t="str">
        <f t="shared" si="2"/>
        <v/>
      </c>
      <c r="D1006" s="26" t="str">
        <f t="array" ref="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06" s="26" t="str">
        <f t="shared" si="3"/>
        <v/>
      </c>
      <c r="F1006" s="26" t="str">
        <f t="array" ref="F1006">IF(D1006="","",IFERROR(INDEX(Dados_Evap!$C$2:$N$15,MATCH($B$9,Dados_Evap!$A$2:$A$15,0),C1006),0))</f>
        <v/>
      </c>
      <c r="G1006" s="26" t="str">
        <f t="shared" si="4"/>
        <v/>
      </c>
      <c r="H1006" s="26" t="str">
        <f t="shared" si="22"/>
        <v/>
      </c>
      <c r="I1006" s="26" t="str">
        <f t="array" ref="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/>
      </c>
      <c r="J1006" s="26" t="str">
        <f t="shared" si="5"/>
        <v/>
      </c>
      <c r="K1006" s="26" t="str">
        <f t="shared" si="6"/>
        <v/>
      </c>
      <c r="L1006" s="26" t="str">
        <f t="shared" si="7"/>
        <v/>
      </c>
      <c r="M1006" s="26" t="str">
        <f t="array" ref="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/>
      </c>
      <c r="N1006" s="26" t="str">
        <f t="shared" si="8"/>
        <v/>
      </c>
      <c r="O1006" s="26" t="str">
        <f t="shared" si="9"/>
        <v/>
      </c>
      <c r="P1006" s="26" t="str">
        <f t="shared" si="10"/>
        <v/>
      </c>
      <c r="Q1006" s="26" t="str">
        <f t="shared" si="11"/>
        <v/>
      </c>
      <c r="R1006" s="26" t="str">
        <f t="shared" si="12"/>
        <v/>
      </c>
      <c r="S1006" s="26" t="str">
        <f t="shared" si="13"/>
        <v/>
      </c>
      <c r="T1006" s="26" t="str">
        <f t="shared" si="14"/>
        <v/>
      </c>
      <c r="U1006" s="26" t="str">
        <f t="shared" si="15"/>
        <v/>
      </c>
      <c r="V1006" s="26" t="str">
        <f t="shared" si="16"/>
        <v/>
      </c>
      <c r="W1006" s="26" t="str">
        <f t="shared" si="17"/>
        <v/>
      </c>
      <c r="X1006" s="26" t="str">
        <f t="shared" si="18"/>
        <v/>
      </c>
      <c r="Y1006" s="26" t="str">
        <f t="shared" si="19"/>
        <v/>
      </c>
      <c r="Z1006" s="31" t="str">
        <f t="shared" si="20"/>
        <v/>
      </c>
      <c r="AA1006" s="31" t="str">
        <f>IF(D1006="","",IF(H1006&lt;=$B$16,1,IF(H1006&gt;=$B$17,$B$21,MATCH(H1006,Aux_CAV!$A$2:$A$121,1))))</f>
        <v/>
      </c>
      <c r="AB1006" s="31" t="str">
        <f>IF(D1006="","",IF(L1006&lt;=$B$16,1,IF(L1006&gt;=$B$17,$B$21,MATCH(L1006,Aux_CAV!$A$2:$A$121,1))))</f>
        <v/>
      </c>
      <c r="AC1006" s="3" t="str">
        <f t="shared" si="21"/>
        <v/>
      </c>
    </row>
    <row r="1007" ht="12.75" customHeight="1">
      <c r="A1007" s="25" t="str">
        <f t="shared" si="1"/>
        <v/>
      </c>
      <c r="B1007" s="29" t="str">
        <f t="array" ref="B1007">IF(D1007="","",IFERROR(VALUE(INDEX(Vazoes_COLAR!$A$2:$A$200,INT((ROW()-24)/12)+1)),""))</f>
        <v/>
      </c>
      <c r="C1007" s="29" t="str">
        <f t="shared" si="2"/>
        <v/>
      </c>
      <c r="D1007" s="26" t="str">
        <f t="array" ref="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07" s="26" t="str">
        <f t="shared" si="3"/>
        <v/>
      </c>
      <c r="F1007" s="26" t="str">
        <f t="array" ref="F1007">IF(D1007="","",IFERROR(INDEX(Dados_Evap!$C$2:$N$15,MATCH($B$9,Dados_Evap!$A$2:$A$15,0),C1007),0))</f>
        <v/>
      </c>
      <c r="G1007" s="26" t="str">
        <f t="shared" si="4"/>
        <v/>
      </c>
      <c r="H1007" s="26" t="str">
        <f t="shared" si="22"/>
        <v/>
      </c>
      <c r="I1007" s="26" t="str">
        <f t="array" ref="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/>
      </c>
      <c r="J1007" s="26" t="str">
        <f t="shared" si="5"/>
        <v/>
      </c>
      <c r="K1007" s="26" t="str">
        <f t="shared" si="6"/>
        <v/>
      </c>
      <c r="L1007" s="26" t="str">
        <f t="shared" si="7"/>
        <v/>
      </c>
      <c r="M1007" s="26" t="str">
        <f t="array" ref="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/>
      </c>
      <c r="N1007" s="26" t="str">
        <f t="shared" si="8"/>
        <v/>
      </c>
      <c r="O1007" s="26" t="str">
        <f t="shared" si="9"/>
        <v/>
      </c>
      <c r="P1007" s="26" t="str">
        <f t="shared" si="10"/>
        <v/>
      </c>
      <c r="Q1007" s="26" t="str">
        <f t="shared" si="11"/>
        <v/>
      </c>
      <c r="R1007" s="26" t="str">
        <f t="shared" si="12"/>
        <v/>
      </c>
      <c r="S1007" s="26" t="str">
        <f t="shared" si="13"/>
        <v/>
      </c>
      <c r="T1007" s="26" t="str">
        <f t="shared" si="14"/>
        <v/>
      </c>
      <c r="U1007" s="26" t="str">
        <f t="shared" si="15"/>
        <v/>
      </c>
      <c r="V1007" s="26" t="str">
        <f t="shared" si="16"/>
        <v/>
      </c>
      <c r="W1007" s="26" t="str">
        <f t="shared" si="17"/>
        <v/>
      </c>
      <c r="X1007" s="26" t="str">
        <f t="shared" si="18"/>
        <v/>
      </c>
      <c r="Y1007" s="26" t="str">
        <f t="shared" si="19"/>
        <v/>
      </c>
      <c r="Z1007" s="31" t="str">
        <f t="shared" si="20"/>
        <v/>
      </c>
      <c r="AA1007" s="31" t="str">
        <f>IF(D1007="","",IF(H1007&lt;=$B$16,1,IF(H1007&gt;=$B$17,$B$21,MATCH(H1007,Aux_CAV!$A$2:$A$121,1))))</f>
        <v/>
      </c>
      <c r="AB1007" s="31" t="str">
        <f>IF(D1007="","",IF(L1007&lt;=$B$16,1,IF(L1007&gt;=$B$17,$B$21,MATCH(L1007,Aux_CAV!$A$2:$A$121,1))))</f>
        <v/>
      </c>
      <c r="AC1007" s="3" t="str">
        <f t="shared" si="21"/>
        <v/>
      </c>
    </row>
    <row r="1008" ht="12.75" customHeight="1">
      <c r="A1008" s="25" t="str">
        <f t="shared" si="1"/>
        <v/>
      </c>
      <c r="B1008" s="29" t="str">
        <f t="array" ref="B1008">IF(D1008="","",IFERROR(VALUE(INDEX(Vazoes_COLAR!$A$2:$A$200,INT((ROW()-24)/12)+1)),""))</f>
        <v/>
      </c>
      <c r="C1008" s="29" t="str">
        <f t="shared" si="2"/>
        <v/>
      </c>
      <c r="D1008" s="26" t="str">
        <f t="array" ref="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08" s="26" t="str">
        <f t="shared" si="3"/>
        <v/>
      </c>
      <c r="F1008" s="26" t="str">
        <f t="array" ref="F1008">IF(D1008="","",IFERROR(INDEX(Dados_Evap!$C$2:$N$15,MATCH($B$9,Dados_Evap!$A$2:$A$15,0),C1008),0))</f>
        <v/>
      </c>
      <c r="G1008" s="26" t="str">
        <f t="shared" si="4"/>
        <v/>
      </c>
      <c r="H1008" s="26" t="str">
        <f t="shared" si="22"/>
        <v/>
      </c>
      <c r="I1008" s="26" t="str">
        <f t="array" ref="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/>
      </c>
      <c r="J1008" s="26" t="str">
        <f t="shared" si="5"/>
        <v/>
      </c>
      <c r="K1008" s="26" t="str">
        <f t="shared" si="6"/>
        <v/>
      </c>
      <c r="L1008" s="26" t="str">
        <f t="shared" si="7"/>
        <v/>
      </c>
      <c r="M1008" s="26" t="str">
        <f t="array" ref="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/>
      </c>
      <c r="N1008" s="26" t="str">
        <f t="shared" si="8"/>
        <v/>
      </c>
      <c r="O1008" s="26" t="str">
        <f t="shared" si="9"/>
        <v/>
      </c>
      <c r="P1008" s="26" t="str">
        <f t="shared" si="10"/>
        <v/>
      </c>
      <c r="Q1008" s="26" t="str">
        <f t="shared" si="11"/>
        <v/>
      </c>
      <c r="R1008" s="26" t="str">
        <f t="shared" si="12"/>
        <v/>
      </c>
      <c r="S1008" s="26" t="str">
        <f t="shared" si="13"/>
        <v/>
      </c>
      <c r="T1008" s="26" t="str">
        <f t="shared" si="14"/>
        <v/>
      </c>
      <c r="U1008" s="26" t="str">
        <f t="shared" si="15"/>
        <v/>
      </c>
      <c r="V1008" s="26" t="str">
        <f t="shared" si="16"/>
        <v/>
      </c>
      <c r="W1008" s="26" t="str">
        <f t="shared" si="17"/>
        <v/>
      </c>
      <c r="X1008" s="26" t="str">
        <f t="shared" si="18"/>
        <v/>
      </c>
      <c r="Y1008" s="26" t="str">
        <f t="shared" si="19"/>
        <v/>
      </c>
      <c r="Z1008" s="31" t="str">
        <f t="shared" si="20"/>
        <v/>
      </c>
      <c r="AA1008" s="31" t="str">
        <f>IF(D1008="","",IF(H1008&lt;=$B$16,1,IF(H1008&gt;=$B$17,$B$21,MATCH(H1008,Aux_CAV!$A$2:$A$121,1))))</f>
        <v/>
      </c>
      <c r="AB1008" s="31" t="str">
        <f>IF(D1008="","",IF(L1008&lt;=$B$16,1,IF(L1008&gt;=$B$17,$B$21,MATCH(L1008,Aux_CAV!$A$2:$A$121,1))))</f>
        <v/>
      </c>
      <c r="AC1008" s="3" t="str">
        <f t="shared" si="21"/>
        <v/>
      </c>
    </row>
    <row r="1009" ht="12.75" customHeight="1">
      <c r="A1009" s="25" t="str">
        <f t="shared" si="1"/>
        <v/>
      </c>
      <c r="B1009" s="29" t="str">
        <f t="array" ref="B1009">IF(D1009="","",IFERROR(VALUE(INDEX(Vazoes_COLAR!$A$2:$A$200,INT((ROW()-24)/12)+1)),""))</f>
        <v/>
      </c>
      <c r="C1009" s="29" t="str">
        <f t="shared" si="2"/>
        <v/>
      </c>
      <c r="D1009" s="26" t="str">
        <f t="array" ref="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09" s="26" t="str">
        <f t="shared" si="3"/>
        <v/>
      </c>
      <c r="F1009" s="26" t="str">
        <f t="array" ref="F1009">IF(D1009="","",IFERROR(INDEX(Dados_Evap!$C$2:$N$15,MATCH($B$9,Dados_Evap!$A$2:$A$15,0),C1009),0))</f>
        <v/>
      </c>
      <c r="G1009" s="26" t="str">
        <f t="shared" si="4"/>
        <v/>
      </c>
      <c r="H1009" s="26" t="str">
        <f t="shared" si="22"/>
        <v/>
      </c>
      <c r="I1009" s="26" t="str">
        <f t="array" ref="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/>
      </c>
      <c r="J1009" s="26" t="str">
        <f t="shared" si="5"/>
        <v/>
      </c>
      <c r="K1009" s="26" t="str">
        <f t="shared" si="6"/>
        <v/>
      </c>
      <c r="L1009" s="26" t="str">
        <f t="shared" si="7"/>
        <v/>
      </c>
      <c r="M1009" s="26" t="str">
        <f t="array" ref="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/>
      </c>
      <c r="N1009" s="26" t="str">
        <f t="shared" si="8"/>
        <v/>
      </c>
      <c r="O1009" s="26" t="str">
        <f t="shared" si="9"/>
        <v/>
      </c>
      <c r="P1009" s="26" t="str">
        <f t="shared" si="10"/>
        <v/>
      </c>
      <c r="Q1009" s="26" t="str">
        <f t="shared" si="11"/>
        <v/>
      </c>
      <c r="R1009" s="26" t="str">
        <f t="shared" si="12"/>
        <v/>
      </c>
      <c r="S1009" s="26" t="str">
        <f t="shared" si="13"/>
        <v/>
      </c>
      <c r="T1009" s="26" t="str">
        <f t="shared" si="14"/>
        <v/>
      </c>
      <c r="U1009" s="26" t="str">
        <f t="shared" si="15"/>
        <v/>
      </c>
      <c r="V1009" s="26" t="str">
        <f t="shared" si="16"/>
        <v/>
      </c>
      <c r="W1009" s="26" t="str">
        <f t="shared" si="17"/>
        <v/>
      </c>
      <c r="X1009" s="26" t="str">
        <f t="shared" si="18"/>
        <v/>
      </c>
      <c r="Y1009" s="26" t="str">
        <f t="shared" si="19"/>
        <v/>
      </c>
      <c r="Z1009" s="31" t="str">
        <f t="shared" si="20"/>
        <v/>
      </c>
      <c r="AA1009" s="31" t="str">
        <f>IF(D1009="","",IF(H1009&lt;=$B$16,1,IF(H1009&gt;=$B$17,$B$21,MATCH(H1009,Aux_CAV!$A$2:$A$121,1))))</f>
        <v/>
      </c>
      <c r="AB1009" s="31" t="str">
        <f>IF(D1009="","",IF(L1009&lt;=$B$16,1,IF(L1009&gt;=$B$17,$B$21,MATCH(L1009,Aux_CAV!$A$2:$A$121,1))))</f>
        <v/>
      </c>
      <c r="AC1009" s="3" t="str">
        <f t="shared" si="21"/>
        <v/>
      </c>
    </row>
    <row r="1010" ht="12.75" customHeight="1">
      <c r="A1010" s="25" t="str">
        <f t="shared" si="1"/>
        <v/>
      </c>
      <c r="B1010" s="29" t="str">
        <f t="array" ref="B1010">IF(D1010="","",IFERROR(VALUE(INDEX(Vazoes_COLAR!$A$2:$A$200,INT((ROW()-24)/12)+1)),""))</f>
        <v/>
      </c>
      <c r="C1010" s="29" t="str">
        <f t="shared" si="2"/>
        <v/>
      </c>
      <c r="D1010" s="26" t="str">
        <f t="array" ref="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10" s="26" t="str">
        <f t="shared" si="3"/>
        <v/>
      </c>
      <c r="F1010" s="26" t="str">
        <f t="array" ref="F1010">IF(D1010="","",IFERROR(INDEX(Dados_Evap!$C$2:$N$15,MATCH($B$9,Dados_Evap!$A$2:$A$15,0),C1010),0))</f>
        <v/>
      </c>
      <c r="G1010" s="26" t="str">
        <f t="shared" si="4"/>
        <v/>
      </c>
      <c r="H1010" s="26" t="str">
        <f t="shared" si="22"/>
        <v/>
      </c>
      <c r="I1010" s="26" t="str">
        <f t="array" ref="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/>
      </c>
      <c r="J1010" s="26" t="str">
        <f t="shared" si="5"/>
        <v/>
      </c>
      <c r="K1010" s="26" t="str">
        <f t="shared" si="6"/>
        <v/>
      </c>
      <c r="L1010" s="26" t="str">
        <f t="shared" si="7"/>
        <v/>
      </c>
      <c r="M1010" s="26" t="str">
        <f t="array" ref="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/>
      </c>
      <c r="N1010" s="26" t="str">
        <f t="shared" si="8"/>
        <v/>
      </c>
      <c r="O1010" s="26" t="str">
        <f t="shared" si="9"/>
        <v/>
      </c>
      <c r="P1010" s="26" t="str">
        <f t="shared" si="10"/>
        <v/>
      </c>
      <c r="Q1010" s="26" t="str">
        <f t="shared" si="11"/>
        <v/>
      </c>
      <c r="R1010" s="26" t="str">
        <f t="shared" si="12"/>
        <v/>
      </c>
      <c r="S1010" s="26" t="str">
        <f t="shared" si="13"/>
        <v/>
      </c>
      <c r="T1010" s="26" t="str">
        <f t="shared" si="14"/>
        <v/>
      </c>
      <c r="U1010" s="26" t="str">
        <f t="shared" si="15"/>
        <v/>
      </c>
      <c r="V1010" s="26" t="str">
        <f t="shared" si="16"/>
        <v/>
      </c>
      <c r="W1010" s="26" t="str">
        <f t="shared" si="17"/>
        <v/>
      </c>
      <c r="X1010" s="26" t="str">
        <f t="shared" si="18"/>
        <v/>
      </c>
      <c r="Y1010" s="26" t="str">
        <f t="shared" si="19"/>
        <v/>
      </c>
      <c r="Z1010" s="31" t="str">
        <f t="shared" si="20"/>
        <v/>
      </c>
      <c r="AA1010" s="31" t="str">
        <f>IF(D1010="","",IF(H1010&lt;=$B$16,1,IF(H1010&gt;=$B$17,$B$21,MATCH(H1010,Aux_CAV!$A$2:$A$121,1))))</f>
        <v/>
      </c>
      <c r="AB1010" s="31" t="str">
        <f>IF(D1010="","",IF(L1010&lt;=$B$16,1,IF(L1010&gt;=$B$17,$B$21,MATCH(L1010,Aux_CAV!$A$2:$A$121,1))))</f>
        <v/>
      </c>
      <c r="AC1010" s="3" t="str">
        <f t="shared" si="21"/>
        <v/>
      </c>
    </row>
    <row r="1011" ht="12.75" customHeight="1">
      <c r="A1011" s="25" t="str">
        <f t="shared" si="1"/>
        <v/>
      </c>
      <c r="B1011" s="29" t="str">
        <f t="array" ref="B1011">IF(D1011="","",IFERROR(VALUE(INDEX(Vazoes_COLAR!$A$2:$A$200,INT((ROW()-24)/12)+1)),""))</f>
        <v/>
      </c>
      <c r="C1011" s="29" t="str">
        <f t="shared" si="2"/>
        <v/>
      </c>
      <c r="D1011" s="26" t="str">
        <f t="array" ref="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11" s="26" t="str">
        <f t="shared" si="3"/>
        <v/>
      </c>
      <c r="F1011" s="26" t="str">
        <f t="array" ref="F1011">IF(D1011="","",IFERROR(INDEX(Dados_Evap!$C$2:$N$15,MATCH($B$9,Dados_Evap!$A$2:$A$15,0),C1011),0))</f>
        <v/>
      </c>
      <c r="G1011" s="26" t="str">
        <f t="shared" si="4"/>
        <v/>
      </c>
      <c r="H1011" s="26" t="str">
        <f t="shared" si="22"/>
        <v/>
      </c>
      <c r="I1011" s="26" t="str">
        <f t="array" ref="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/>
      </c>
      <c r="J1011" s="26" t="str">
        <f t="shared" si="5"/>
        <v/>
      </c>
      <c r="K1011" s="26" t="str">
        <f t="shared" si="6"/>
        <v/>
      </c>
      <c r="L1011" s="26" t="str">
        <f t="shared" si="7"/>
        <v/>
      </c>
      <c r="M1011" s="26" t="str">
        <f t="array" ref="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/>
      </c>
      <c r="N1011" s="26" t="str">
        <f t="shared" si="8"/>
        <v/>
      </c>
      <c r="O1011" s="26" t="str">
        <f t="shared" si="9"/>
        <v/>
      </c>
      <c r="P1011" s="26" t="str">
        <f t="shared" si="10"/>
        <v/>
      </c>
      <c r="Q1011" s="26" t="str">
        <f t="shared" si="11"/>
        <v/>
      </c>
      <c r="R1011" s="26" t="str">
        <f t="shared" si="12"/>
        <v/>
      </c>
      <c r="S1011" s="26" t="str">
        <f t="shared" si="13"/>
        <v/>
      </c>
      <c r="T1011" s="26" t="str">
        <f t="shared" si="14"/>
        <v/>
      </c>
      <c r="U1011" s="26" t="str">
        <f t="shared" si="15"/>
        <v/>
      </c>
      <c r="V1011" s="26" t="str">
        <f t="shared" si="16"/>
        <v/>
      </c>
      <c r="W1011" s="26" t="str">
        <f t="shared" si="17"/>
        <v/>
      </c>
      <c r="X1011" s="26" t="str">
        <f t="shared" si="18"/>
        <v/>
      </c>
      <c r="Y1011" s="26" t="str">
        <f t="shared" si="19"/>
        <v/>
      </c>
      <c r="Z1011" s="31" t="str">
        <f t="shared" si="20"/>
        <v/>
      </c>
      <c r="AA1011" s="31" t="str">
        <f>IF(D1011="","",IF(H1011&lt;=$B$16,1,IF(H1011&gt;=$B$17,$B$21,MATCH(H1011,Aux_CAV!$A$2:$A$121,1))))</f>
        <v/>
      </c>
      <c r="AB1011" s="31" t="str">
        <f>IF(D1011="","",IF(L1011&lt;=$B$16,1,IF(L1011&gt;=$B$17,$B$21,MATCH(L1011,Aux_CAV!$A$2:$A$121,1))))</f>
        <v/>
      </c>
      <c r="AC1011" s="3" t="str">
        <f t="shared" si="21"/>
        <v/>
      </c>
    </row>
    <row r="1012" ht="12.75" customHeight="1">
      <c r="A1012" s="25" t="str">
        <f t="shared" si="1"/>
        <v/>
      </c>
      <c r="B1012" s="29" t="str">
        <f t="array" ref="B1012">IF(D1012="","",IFERROR(VALUE(INDEX(Vazoes_COLAR!$A$2:$A$200,INT((ROW()-24)/12)+1)),""))</f>
        <v/>
      </c>
      <c r="C1012" s="29" t="str">
        <f t="shared" si="2"/>
        <v/>
      </c>
      <c r="D1012" s="26" t="str">
        <f t="array" ref="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12" s="26" t="str">
        <f t="shared" si="3"/>
        <v/>
      </c>
      <c r="F1012" s="26" t="str">
        <f t="array" ref="F1012">IF(D1012="","",IFERROR(INDEX(Dados_Evap!$C$2:$N$15,MATCH($B$9,Dados_Evap!$A$2:$A$15,0),C1012),0))</f>
        <v/>
      </c>
      <c r="G1012" s="26" t="str">
        <f t="shared" si="4"/>
        <v/>
      </c>
      <c r="H1012" s="26" t="str">
        <f t="shared" si="22"/>
        <v/>
      </c>
      <c r="I1012" s="26" t="str">
        <f t="array" ref="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/>
      </c>
      <c r="J1012" s="26" t="str">
        <f t="shared" si="5"/>
        <v/>
      </c>
      <c r="K1012" s="26" t="str">
        <f t="shared" si="6"/>
        <v/>
      </c>
      <c r="L1012" s="26" t="str">
        <f t="shared" si="7"/>
        <v/>
      </c>
      <c r="M1012" s="26" t="str">
        <f t="array" ref="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/>
      </c>
      <c r="N1012" s="26" t="str">
        <f t="shared" si="8"/>
        <v/>
      </c>
      <c r="O1012" s="26" t="str">
        <f t="shared" si="9"/>
        <v/>
      </c>
      <c r="P1012" s="26" t="str">
        <f t="shared" si="10"/>
        <v/>
      </c>
      <c r="Q1012" s="26" t="str">
        <f t="shared" si="11"/>
        <v/>
      </c>
      <c r="R1012" s="26" t="str">
        <f t="shared" si="12"/>
        <v/>
      </c>
      <c r="S1012" s="26" t="str">
        <f t="shared" si="13"/>
        <v/>
      </c>
      <c r="T1012" s="26" t="str">
        <f t="shared" si="14"/>
        <v/>
      </c>
      <c r="U1012" s="26" t="str">
        <f t="shared" si="15"/>
        <v/>
      </c>
      <c r="V1012" s="26" t="str">
        <f t="shared" si="16"/>
        <v/>
      </c>
      <c r="W1012" s="26" t="str">
        <f t="shared" si="17"/>
        <v/>
      </c>
      <c r="X1012" s="26" t="str">
        <f t="shared" si="18"/>
        <v/>
      </c>
      <c r="Y1012" s="26" t="str">
        <f t="shared" si="19"/>
        <v/>
      </c>
      <c r="Z1012" s="31" t="str">
        <f t="shared" si="20"/>
        <v/>
      </c>
      <c r="AA1012" s="31" t="str">
        <f>IF(D1012="","",IF(H1012&lt;=$B$16,1,IF(H1012&gt;=$B$17,$B$21,MATCH(H1012,Aux_CAV!$A$2:$A$121,1))))</f>
        <v/>
      </c>
      <c r="AB1012" s="31" t="str">
        <f>IF(D1012="","",IF(L1012&lt;=$B$16,1,IF(L1012&gt;=$B$17,$B$21,MATCH(L1012,Aux_CAV!$A$2:$A$121,1))))</f>
        <v/>
      </c>
      <c r="AC1012" s="3" t="str">
        <f t="shared" si="21"/>
        <v/>
      </c>
    </row>
    <row r="1013" ht="12.75" customHeight="1">
      <c r="A1013" s="25" t="str">
        <f t="shared" si="1"/>
        <v/>
      </c>
      <c r="B1013" s="29" t="str">
        <f t="array" ref="B1013">IF(D1013="","",IFERROR(VALUE(INDEX(Vazoes_COLAR!$A$2:$A$200,INT((ROW()-24)/12)+1)),""))</f>
        <v/>
      </c>
      <c r="C1013" s="29" t="str">
        <f t="shared" si="2"/>
        <v/>
      </c>
      <c r="D1013" s="26" t="str">
        <f t="array" ref="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13" s="26" t="str">
        <f t="shared" si="3"/>
        <v/>
      </c>
      <c r="F1013" s="26" t="str">
        <f t="array" ref="F1013">IF(D1013="","",IFERROR(INDEX(Dados_Evap!$C$2:$N$15,MATCH($B$9,Dados_Evap!$A$2:$A$15,0),C1013),0))</f>
        <v/>
      </c>
      <c r="G1013" s="26" t="str">
        <f t="shared" si="4"/>
        <v/>
      </c>
      <c r="H1013" s="26" t="str">
        <f t="shared" si="22"/>
        <v/>
      </c>
      <c r="I1013" s="26" t="str">
        <f t="array" ref="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/>
      </c>
      <c r="J1013" s="26" t="str">
        <f t="shared" si="5"/>
        <v/>
      </c>
      <c r="K1013" s="26" t="str">
        <f t="shared" si="6"/>
        <v/>
      </c>
      <c r="L1013" s="26" t="str">
        <f t="shared" si="7"/>
        <v/>
      </c>
      <c r="M1013" s="26" t="str">
        <f t="array" ref="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/>
      </c>
      <c r="N1013" s="26" t="str">
        <f t="shared" si="8"/>
        <v/>
      </c>
      <c r="O1013" s="26" t="str">
        <f t="shared" si="9"/>
        <v/>
      </c>
      <c r="P1013" s="26" t="str">
        <f t="shared" si="10"/>
        <v/>
      </c>
      <c r="Q1013" s="26" t="str">
        <f t="shared" si="11"/>
        <v/>
      </c>
      <c r="R1013" s="26" t="str">
        <f t="shared" si="12"/>
        <v/>
      </c>
      <c r="S1013" s="26" t="str">
        <f t="shared" si="13"/>
        <v/>
      </c>
      <c r="T1013" s="26" t="str">
        <f t="shared" si="14"/>
        <v/>
      </c>
      <c r="U1013" s="26" t="str">
        <f t="shared" si="15"/>
        <v/>
      </c>
      <c r="V1013" s="26" t="str">
        <f t="shared" si="16"/>
        <v/>
      </c>
      <c r="W1013" s="26" t="str">
        <f t="shared" si="17"/>
        <v/>
      </c>
      <c r="X1013" s="26" t="str">
        <f t="shared" si="18"/>
        <v/>
      </c>
      <c r="Y1013" s="26" t="str">
        <f t="shared" si="19"/>
        <v/>
      </c>
      <c r="Z1013" s="31" t="str">
        <f t="shared" si="20"/>
        <v/>
      </c>
      <c r="AA1013" s="31" t="str">
        <f>IF(D1013="","",IF(H1013&lt;=$B$16,1,IF(H1013&gt;=$B$17,$B$21,MATCH(H1013,Aux_CAV!$A$2:$A$121,1))))</f>
        <v/>
      </c>
      <c r="AB1013" s="31" t="str">
        <f>IF(D1013="","",IF(L1013&lt;=$B$16,1,IF(L1013&gt;=$B$17,$B$21,MATCH(L1013,Aux_CAV!$A$2:$A$121,1))))</f>
        <v/>
      </c>
      <c r="AC1013" s="3" t="str">
        <f t="shared" si="21"/>
        <v/>
      </c>
    </row>
    <row r="1014" ht="12.75" customHeight="1">
      <c r="A1014" s="25" t="str">
        <f t="shared" si="1"/>
        <v/>
      </c>
      <c r="B1014" s="29" t="str">
        <f t="array" ref="B1014">IF(D1014="","",IFERROR(VALUE(INDEX(Vazoes_COLAR!$A$2:$A$200,INT((ROW()-24)/12)+1)),""))</f>
        <v/>
      </c>
      <c r="C1014" s="29" t="str">
        <f t="shared" si="2"/>
        <v/>
      </c>
      <c r="D1014" s="26" t="str">
        <f t="array" ref="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14" s="26" t="str">
        <f t="shared" si="3"/>
        <v/>
      </c>
      <c r="F1014" s="26" t="str">
        <f t="array" ref="F1014">IF(D1014="","",IFERROR(INDEX(Dados_Evap!$C$2:$N$15,MATCH($B$9,Dados_Evap!$A$2:$A$15,0),C1014),0))</f>
        <v/>
      </c>
      <c r="G1014" s="26" t="str">
        <f t="shared" si="4"/>
        <v/>
      </c>
      <c r="H1014" s="26" t="str">
        <f t="shared" si="22"/>
        <v/>
      </c>
      <c r="I1014" s="26" t="str">
        <f t="array" ref="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/>
      </c>
      <c r="J1014" s="26" t="str">
        <f t="shared" si="5"/>
        <v/>
      </c>
      <c r="K1014" s="26" t="str">
        <f t="shared" si="6"/>
        <v/>
      </c>
      <c r="L1014" s="26" t="str">
        <f t="shared" si="7"/>
        <v/>
      </c>
      <c r="M1014" s="26" t="str">
        <f t="array" ref="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/>
      </c>
      <c r="N1014" s="26" t="str">
        <f t="shared" si="8"/>
        <v/>
      </c>
      <c r="O1014" s="26" t="str">
        <f t="shared" si="9"/>
        <v/>
      </c>
      <c r="P1014" s="26" t="str">
        <f t="shared" si="10"/>
        <v/>
      </c>
      <c r="Q1014" s="26" t="str">
        <f t="shared" si="11"/>
        <v/>
      </c>
      <c r="R1014" s="26" t="str">
        <f t="shared" si="12"/>
        <v/>
      </c>
      <c r="S1014" s="26" t="str">
        <f t="shared" si="13"/>
        <v/>
      </c>
      <c r="T1014" s="26" t="str">
        <f t="shared" si="14"/>
        <v/>
      </c>
      <c r="U1014" s="26" t="str">
        <f t="shared" si="15"/>
        <v/>
      </c>
      <c r="V1014" s="26" t="str">
        <f t="shared" si="16"/>
        <v/>
      </c>
      <c r="W1014" s="26" t="str">
        <f t="shared" si="17"/>
        <v/>
      </c>
      <c r="X1014" s="26" t="str">
        <f t="shared" si="18"/>
        <v/>
      </c>
      <c r="Y1014" s="26" t="str">
        <f t="shared" si="19"/>
        <v/>
      </c>
      <c r="Z1014" s="31" t="str">
        <f t="shared" si="20"/>
        <v/>
      </c>
      <c r="AA1014" s="31" t="str">
        <f>IF(D1014="","",IF(H1014&lt;=$B$16,1,IF(H1014&gt;=$B$17,$B$21,MATCH(H1014,Aux_CAV!$A$2:$A$121,1))))</f>
        <v/>
      </c>
      <c r="AB1014" s="31" t="str">
        <f>IF(D1014="","",IF(L1014&lt;=$B$16,1,IF(L1014&gt;=$B$17,$B$21,MATCH(L1014,Aux_CAV!$A$2:$A$121,1))))</f>
        <v/>
      </c>
      <c r="AC1014" s="3" t="str">
        <f t="shared" si="21"/>
        <v/>
      </c>
    </row>
    <row r="1015" ht="12.75" customHeight="1">
      <c r="A1015" s="25" t="str">
        <f t="shared" si="1"/>
        <v/>
      </c>
      <c r="B1015" s="29" t="str">
        <f t="array" ref="B1015">IF(D1015="","",IFERROR(VALUE(INDEX(Vazoes_COLAR!$A$2:$A$200,INT((ROW()-24)/12)+1)),""))</f>
        <v/>
      </c>
      <c r="C1015" s="29" t="str">
        <f t="shared" si="2"/>
        <v/>
      </c>
      <c r="D1015" s="26" t="str">
        <f t="array" ref="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15" s="26" t="str">
        <f t="shared" si="3"/>
        <v/>
      </c>
      <c r="F1015" s="26" t="str">
        <f t="array" ref="F1015">IF(D1015="","",IFERROR(INDEX(Dados_Evap!$C$2:$N$15,MATCH($B$9,Dados_Evap!$A$2:$A$15,0),C1015),0))</f>
        <v/>
      </c>
      <c r="G1015" s="26" t="str">
        <f t="shared" si="4"/>
        <v/>
      </c>
      <c r="H1015" s="26" t="str">
        <f t="shared" si="22"/>
        <v/>
      </c>
      <c r="I1015" s="26" t="str">
        <f t="array" ref="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/>
      </c>
      <c r="J1015" s="26" t="str">
        <f t="shared" si="5"/>
        <v/>
      </c>
      <c r="K1015" s="26" t="str">
        <f t="shared" si="6"/>
        <v/>
      </c>
      <c r="L1015" s="26" t="str">
        <f t="shared" si="7"/>
        <v/>
      </c>
      <c r="M1015" s="26" t="str">
        <f t="array" ref="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/>
      </c>
      <c r="N1015" s="26" t="str">
        <f t="shared" si="8"/>
        <v/>
      </c>
      <c r="O1015" s="26" t="str">
        <f t="shared" si="9"/>
        <v/>
      </c>
      <c r="P1015" s="26" t="str">
        <f t="shared" si="10"/>
        <v/>
      </c>
      <c r="Q1015" s="26" t="str">
        <f t="shared" si="11"/>
        <v/>
      </c>
      <c r="R1015" s="26" t="str">
        <f t="shared" si="12"/>
        <v/>
      </c>
      <c r="S1015" s="26" t="str">
        <f t="shared" si="13"/>
        <v/>
      </c>
      <c r="T1015" s="26" t="str">
        <f t="shared" si="14"/>
        <v/>
      </c>
      <c r="U1015" s="26" t="str">
        <f t="shared" si="15"/>
        <v/>
      </c>
      <c r="V1015" s="26" t="str">
        <f t="shared" si="16"/>
        <v/>
      </c>
      <c r="W1015" s="26" t="str">
        <f t="shared" si="17"/>
        <v/>
      </c>
      <c r="X1015" s="26" t="str">
        <f t="shared" si="18"/>
        <v/>
      </c>
      <c r="Y1015" s="26" t="str">
        <f t="shared" si="19"/>
        <v/>
      </c>
      <c r="Z1015" s="31" t="str">
        <f t="shared" si="20"/>
        <v/>
      </c>
      <c r="AA1015" s="31" t="str">
        <f>IF(D1015="","",IF(H1015&lt;=$B$16,1,IF(H1015&gt;=$B$17,$B$21,MATCH(H1015,Aux_CAV!$A$2:$A$121,1))))</f>
        <v/>
      </c>
      <c r="AB1015" s="31" t="str">
        <f>IF(D1015="","",IF(L1015&lt;=$B$16,1,IF(L1015&gt;=$B$17,$B$21,MATCH(L1015,Aux_CAV!$A$2:$A$121,1))))</f>
        <v/>
      </c>
      <c r="AC1015" s="3" t="str">
        <f t="shared" si="21"/>
        <v/>
      </c>
    </row>
    <row r="1016" ht="12.75" customHeight="1">
      <c r="A1016" s="25" t="str">
        <f t="shared" si="1"/>
        <v/>
      </c>
      <c r="B1016" s="29" t="str">
        <f t="array" ref="B1016">IF(D1016="","",IFERROR(VALUE(INDEX(Vazoes_COLAR!$A$2:$A$200,INT((ROW()-24)/12)+1)),""))</f>
        <v/>
      </c>
      <c r="C1016" s="29" t="str">
        <f t="shared" si="2"/>
        <v/>
      </c>
      <c r="D1016" s="26" t="str">
        <f t="array" ref="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16" s="26" t="str">
        <f t="shared" si="3"/>
        <v/>
      </c>
      <c r="F1016" s="26" t="str">
        <f t="array" ref="F1016">IF(D1016="","",IFERROR(INDEX(Dados_Evap!$C$2:$N$15,MATCH($B$9,Dados_Evap!$A$2:$A$15,0),C1016),0))</f>
        <v/>
      </c>
      <c r="G1016" s="26" t="str">
        <f t="shared" si="4"/>
        <v/>
      </c>
      <c r="H1016" s="26" t="str">
        <f t="shared" si="22"/>
        <v/>
      </c>
      <c r="I1016" s="26" t="str">
        <f t="array" ref="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/>
      </c>
      <c r="J1016" s="26" t="str">
        <f t="shared" si="5"/>
        <v/>
      </c>
      <c r="K1016" s="26" t="str">
        <f t="shared" si="6"/>
        <v/>
      </c>
      <c r="L1016" s="26" t="str">
        <f t="shared" si="7"/>
        <v/>
      </c>
      <c r="M1016" s="26" t="str">
        <f t="array" ref="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/>
      </c>
      <c r="N1016" s="26" t="str">
        <f t="shared" si="8"/>
        <v/>
      </c>
      <c r="O1016" s="26" t="str">
        <f t="shared" si="9"/>
        <v/>
      </c>
      <c r="P1016" s="26" t="str">
        <f t="shared" si="10"/>
        <v/>
      </c>
      <c r="Q1016" s="26" t="str">
        <f t="shared" si="11"/>
        <v/>
      </c>
      <c r="R1016" s="26" t="str">
        <f t="shared" si="12"/>
        <v/>
      </c>
      <c r="S1016" s="26" t="str">
        <f t="shared" si="13"/>
        <v/>
      </c>
      <c r="T1016" s="26" t="str">
        <f t="shared" si="14"/>
        <v/>
      </c>
      <c r="U1016" s="26" t="str">
        <f t="shared" si="15"/>
        <v/>
      </c>
      <c r="V1016" s="26" t="str">
        <f t="shared" si="16"/>
        <v/>
      </c>
      <c r="W1016" s="26" t="str">
        <f t="shared" si="17"/>
        <v/>
      </c>
      <c r="X1016" s="26" t="str">
        <f t="shared" si="18"/>
        <v/>
      </c>
      <c r="Y1016" s="26" t="str">
        <f t="shared" si="19"/>
        <v/>
      </c>
      <c r="Z1016" s="31" t="str">
        <f t="shared" si="20"/>
        <v/>
      </c>
      <c r="AA1016" s="31" t="str">
        <f>IF(D1016="","",IF(H1016&lt;=$B$16,1,IF(H1016&gt;=$B$17,$B$21,MATCH(H1016,Aux_CAV!$A$2:$A$121,1))))</f>
        <v/>
      </c>
      <c r="AB1016" s="31" t="str">
        <f>IF(D1016="","",IF(L1016&lt;=$B$16,1,IF(L1016&gt;=$B$17,$B$21,MATCH(L1016,Aux_CAV!$A$2:$A$121,1))))</f>
        <v/>
      </c>
      <c r="AC1016" s="3" t="str">
        <f t="shared" si="21"/>
        <v/>
      </c>
    </row>
    <row r="1017" ht="12.75" customHeight="1">
      <c r="A1017" s="25" t="str">
        <f t="shared" si="1"/>
        <v/>
      </c>
      <c r="B1017" s="29" t="str">
        <f t="array" ref="B1017">IF(D1017="","",IFERROR(VALUE(INDEX(Vazoes_COLAR!$A$2:$A$200,INT((ROW()-24)/12)+1)),""))</f>
        <v/>
      </c>
      <c r="C1017" s="29" t="str">
        <f t="shared" si="2"/>
        <v/>
      </c>
      <c r="D1017" s="26" t="str">
        <f t="array" ref="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17" s="26" t="str">
        <f t="shared" si="3"/>
        <v/>
      </c>
      <c r="F1017" s="26" t="str">
        <f t="array" ref="F1017">IF(D1017="","",IFERROR(INDEX(Dados_Evap!$C$2:$N$15,MATCH($B$9,Dados_Evap!$A$2:$A$15,0),C1017),0))</f>
        <v/>
      </c>
      <c r="G1017" s="26" t="str">
        <f t="shared" si="4"/>
        <v/>
      </c>
      <c r="H1017" s="26" t="str">
        <f t="shared" si="22"/>
        <v/>
      </c>
      <c r="I1017" s="26" t="str">
        <f t="array" ref="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/>
      </c>
      <c r="J1017" s="26" t="str">
        <f t="shared" si="5"/>
        <v/>
      </c>
      <c r="K1017" s="26" t="str">
        <f t="shared" si="6"/>
        <v/>
      </c>
      <c r="L1017" s="26" t="str">
        <f t="shared" si="7"/>
        <v/>
      </c>
      <c r="M1017" s="26" t="str">
        <f t="array" ref="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/>
      </c>
      <c r="N1017" s="26" t="str">
        <f t="shared" si="8"/>
        <v/>
      </c>
      <c r="O1017" s="26" t="str">
        <f t="shared" si="9"/>
        <v/>
      </c>
      <c r="P1017" s="26" t="str">
        <f t="shared" si="10"/>
        <v/>
      </c>
      <c r="Q1017" s="26" t="str">
        <f t="shared" si="11"/>
        <v/>
      </c>
      <c r="R1017" s="26" t="str">
        <f t="shared" si="12"/>
        <v/>
      </c>
      <c r="S1017" s="26" t="str">
        <f t="shared" si="13"/>
        <v/>
      </c>
      <c r="T1017" s="26" t="str">
        <f t="shared" si="14"/>
        <v/>
      </c>
      <c r="U1017" s="26" t="str">
        <f t="shared" si="15"/>
        <v/>
      </c>
      <c r="V1017" s="26" t="str">
        <f t="shared" si="16"/>
        <v/>
      </c>
      <c r="W1017" s="26" t="str">
        <f t="shared" si="17"/>
        <v/>
      </c>
      <c r="X1017" s="26" t="str">
        <f t="shared" si="18"/>
        <v/>
      </c>
      <c r="Y1017" s="26" t="str">
        <f t="shared" si="19"/>
        <v/>
      </c>
      <c r="Z1017" s="31" t="str">
        <f t="shared" si="20"/>
        <v/>
      </c>
      <c r="AA1017" s="31" t="str">
        <f>IF(D1017="","",IF(H1017&lt;=$B$16,1,IF(H1017&gt;=$B$17,$B$21,MATCH(H1017,Aux_CAV!$A$2:$A$121,1))))</f>
        <v/>
      </c>
      <c r="AB1017" s="31" t="str">
        <f>IF(D1017="","",IF(L1017&lt;=$B$16,1,IF(L1017&gt;=$B$17,$B$21,MATCH(L1017,Aux_CAV!$A$2:$A$121,1))))</f>
        <v/>
      </c>
      <c r="AC1017" s="3" t="str">
        <f t="shared" si="21"/>
        <v/>
      </c>
    </row>
    <row r="1018" ht="12.75" customHeight="1">
      <c r="A1018" s="25" t="str">
        <f t="shared" si="1"/>
        <v/>
      </c>
      <c r="B1018" s="29" t="str">
        <f t="array" ref="B1018">IF(D1018="","",IFERROR(VALUE(INDEX(Vazoes_COLAR!$A$2:$A$200,INT((ROW()-24)/12)+1)),""))</f>
        <v/>
      </c>
      <c r="C1018" s="29" t="str">
        <f t="shared" si="2"/>
        <v/>
      </c>
      <c r="D1018" s="26" t="str">
        <f t="array" ref="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18" s="26" t="str">
        <f t="shared" si="3"/>
        <v/>
      </c>
      <c r="F1018" s="26" t="str">
        <f t="array" ref="F1018">IF(D1018="","",IFERROR(INDEX(Dados_Evap!$C$2:$N$15,MATCH($B$9,Dados_Evap!$A$2:$A$15,0),C1018),0))</f>
        <v/>
      </c>
      <c r="G1018" s="26" t="str">
        <f t="shared" si="4"/>
        <v/>
      </c>
      <c r="H1018" s="26" t="str">
        <f t="shared" si="22"/>
        <v/>
      </c>
      <c r="I1018" s="26" t="str">
        <f t="array" ref="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/>
      </c>
      <c r="J1018" s="26" t="str">
        <f t="shared" si="5"/>
        <v/>
      </c>
      <c r="K1018" s="26" t="str">
        <f t="shared" si="6"/>
        <v/>
      </c>
      <c r="L1018" s="26" t="str">
        <f t="shared" si="7"/>
        <v/>
      </c>
      <c r="M1018" s="26" t="str">
        <f t="array" ref="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/>
      </c>
      <c r="N1018" s="26" t="str">
        <f t="shared" si="8"/>
        <v/>
      </c>
      <c r="O1018" s="26" t="str">
        <f t="shared" si="9"/>
        <v/>
      </c>
      <c r="P1018" s="26" t="str">
        <f t="shared" si="10"/>
        <v/>
      </c>
      <c r="Q1018" s="26" t="str">
        <f t="shared" si="11"/>
        <v/>
      </c>
      <c r="R1018" s="26" t="str">
        <f t="shared" si="12"/>
        <v/>
      </c>
      <c r="S1018" s="26" t="str">
        <f t="shared" si="13"/>
        <v/>
      </c>
      <c r="T1018" s="26" t="str">
        <f t="shared" si="14"/>
        <v/>
      </c>
      <c r="U1018" s="26" t="str">
        <f t="shared" si="15"/>
        <v/>
      </c>
      <c r="V1018" s="26" t="str">
        <f t="shared" si="16"/>
        <v/>
      </c>
      <c r="W1018" s="26" t="str">
        <f t="shared" si="17"/>
        <v/>
      </c>
      <c r="X1018" s="26" t="str">
        <f t="shared" si="18"/>
        <v/>
      </c>
      <c r="Y1018" s="26" t="str">
        <f t="shared" si="19"/>
        <v/>
      </c>
      <c r="Z1018" s="31" t="str">
        <f t="shared" si="20"/>
        <v/>
      </c>
      <c r="AA1018" s="31" t="str">
        <f>IF(D1018="","",IF(H1018&lt;=$B$16,1,IF(H1018&gt;=$B$17,$B$21,MATCH(H1018,Aux_CAV!$A$2:$A$121,1))))</f>
        <v/>
      </c>
      <c r="AB1018" s="31" t="str">
        <f>IF(D1018="","",IF(L1018&lt;=$B$16,1,IF(L1018&gt;=$B$17,$B$21,MATCH(L1018,Aux_CAV!$A$2:$A$121,1))))</f>
        <v/>
      </c>
      <c r="AC1018" s="3" t="str">
        <f t="shared" si="21"/>
        <v/>
      </c>
    </row>
    <row r="1019" ht="12.75" customHeight="1">
      <c r="A1019" s="25" t="str">
        <f t="shared" si="1"/>
        <v/>
      </c>
      <c r="B1019" s="29" t="str">
        <f t="array" ref="B1019">IF(D1019="","",IFERROR(VALUE(INDEX(Vazoes_COLAR!$A$2:$A$200,INT((ROW()-24)/12)+1)),""))</f>
        <v/>
      </c>
      <c r="C1019" s="29" t="str">
        <f t="shared" si="2"/>
        <v/>
      </c>
      <c r="D1019" s="26" t="str">
        <f t="array" ref="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19" s="26" t="str">
        <f t="shared" si="3"/>
        <v/>
      </c>
      <c r="F1019" s="26" t="str">
        <f t="array" ref="F1019">IF(D1019="","",IFERROR(INDEX(Dados_Evap!$C$2:$N$15,MATCH($B$9,Dados_Evap!$A$2:$A$15,0),C1019),0))</f>
        <v/>
      </c>
      <c r="G1019" s="26" t="str">
        <f t="shared" si="4"/>
        <v/>
      </c>
      <c r="H1019" s="26" t="str">
        <f t="shared" si="22"/>
        <v/>
      </c>
      <c r="I1019" s="26" t="str">
        <f t="array" ref="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/>
      </c>
      <c r="J1019" s="26" t="str">
        <f t="shared" si="5"/>
        <v/>
      </c>
      <c r="K1019" s="26" t="str">
        <f t="shared" si="6"/>
        <v/>
      </c>
      <c r="L1019" s="26" t="str">
        <f t="shared" si="7"/>
        <v/>
      </c>
      <c r="M1019" s="26" t="str">
        <f t="array" ref="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/>
      </c>
      <c r="N1019" s="26" t="str">
        <f t="shared" si="8"/>
        <v/>
      </c>
      <c r="O1019" s="26" t="str">
        <f t="shared" si="9"/>
        <v/>
      </c>
      <c r="P1019" s="26" t="str">
        <f t="shared" si="10"/>
        <v/>
      </c>
      <c r="Q1019" s="26" t="str">
        <f t="shared" si="11"/>
        <v/>
      </c>
      <c r="R1019" s="26" t="str">
        <f t="shared" si="12"/>
        <v/>
      </c>
      <c r="S1019" s="26" t="str">
        <f t="shared" si="13"/>
        <v/>
      </c>
      <c r="T1019" s="26" t="str">
        <f t="shared" si="14"/>
        <v/>
      </c>
      <c r="U1019" s="26" t="str">
        <f t="shared" si="15"/>
        <v/>
      </c>
      <c r="V1019" s="26" t="str">
        <f t="shared" si="16"/>
        <v/>
      </c>
      <c r="W1019" s="26" t="str">
        <f t="shared" si="17"/>
        <v/>
      </c>
      <c r="X1019" s="26" t="str">
        <f t="shared" si="18"/>
        <v/>
      </c>
      <c r="Y1019" s="26" t="str">
        <f t="shared" si="19"/>
        <v/>
      </c>
      <c r="Z1019" s="31" t="str">
        <f t="shared" si="20"/>
        <v/>
      </c>
      <c r="AA1019" s="31" t="str">
        <f>IF(D1019="","",IF(H1019&lt;=$B$16,1,IF(H1019&gt;=$B$17,$B$21,MATCH(H1019,Aux_CAV!$A$2:$A$121,1))))</f>
        <v/>
      </c>
      <c r="AB1019" s="31" t="str">
        <f>IF(D1019="","",IF(L1019&lt;=$B$16,1,IF(L1019&gt;=$B$17,$B$21,MATCH(L1019,Aux_CAV!$A$2:$A$121,1))))</f>
        <v/>
      </c>
      <c r="AC1019" s="3" t="str">
        <f t="shared" si="21"/>
        <v/>
      </c>
    </row>
    <row r="1020" ht="12.75" customHeight="1">
      <c r="A1020" s="25" t="str">
        <f t="shared" si="1"/>
        <v/>
      </c>
      <c r="B1020" s="29" t="str">
        <f t="array" ref="B1020">IF(D1020="","",IFERROR(VALUE(INDEX(Vazoes_COLAR!$A$2:$A$200,INT((ROW()-24)/12)+1)),""))</f>
        <v/>
      </c>
      <c r="C1020" s="29" t="str">
        <f t="shared" si="2"/>
        <v/>
      </c>
      <c r="D1020" s="26" t="str">
        <f t="array" ref="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20" s="26" t="str">
        <f t="shared" si="3"/>
        <v/>
      </c>
      <c r="F1020" s="26" t="str">
        <f t="array" ref="F1020">IF(D1020="","",IFERROR(INDEX(Dados_Evap!$C$2:$N$15,MATCH($B$9,Dados_Evap!$A$2:$A$15,0),C1020),0))</f>
        <v/>
      </c>
      <c r="G1020" s="26" t="str">
        <f t="shared" si="4"/>
        <v/>
      </c>
      <c r="H1020" s="26" t="str">
        <f t="shared" si="22"/>
        <v/>
      </c>
      <c r="I1020" s="26" t="str">
        <f t="array" ref="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/>
      </c>
      <c r="J1020" s="26" t="str">
        <f t="shared" si="5"/>
        <v/>
      </c>
      <c r="K1020" s="26" t="str">
        <f t="shared" si="6"/>
        <v/>
      </c>
      <c r="L1020" s="26" t="str">
        <f t="shared" si="7"/>
        <v/>
      </c>
      <c r="M1020" s="26" t="str">
        <f t="array" ref="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/>
      </c>
      <c r="N1020" s="26" t="str">
        <f t="shared" si="8"/>
        <v/>
      </c>
      <c r="O1020" s="26" t="str">
        <f t="shared" si="9"/>
        <v/>
      </c>
      <c r="P1020" s="26" t="str">
        <f t="shared" si="10"/>
        <v/>
      </c>
      <c r="Q1020" s="26" t="str">
        <f t="shared" si="11"/>
        <v/>
      </c>
      <c r="R1020" s="26" t="str">
        <f t="shared" si="12"/>
        <v/>
      </c>
      <c r="S1020" s="26" t="str">
        <f t="shared" si="13"/>
        <v/>
      </c>
      <c r="T1020" s="26" t="str">
        <f t="shared" si="14"/>
        <v/>
      </c>
      <c r="U1020" s="26" t="str">
        <f t="shared" si="15"/>
        <v/>
      </c>
      <c r="V1020" s="26" t="str">
        <f t="shared" si="16"/>
        <v/>
      </c>
      <c r="W1020" s="26" t="str">
        <f t="shared" si="17"/>
        <v/>
      </c>
      <c r="X1020" s="26" t="str">
        <f t="shared" si="18"/>
        <v/>
      </c>
      <c r="Y1020" s="26" t="str">
        <f t="shared" si="19"/>
        <v/>
      </c>
      <c r="Z1020" s="31" t="str">
        <f t="shared" si="20"/>
        <v/>
      </c>
      <c r="AA1020" s="31" t="str">
        <f>IF(D1020="","",IF(H1020&lt;=$B$16,1,IF(H1020&gt;=$B$17,$B$21,MATCH(H1020,Aux_CAV!$A$2:$A$121,1))))</f>
        <v/>
      </c>
      <c r="AB1020" s="31" t="str">
        <f>IF(D1020="","",IF(L1020&lt;=$B$16,1,IF(L1020&gt;=$B$17,$B$21,MATCH(L1020,Aux_CAV!$A$2:$A$121,1))))</f>
        <v/>
      </c>
      <c r="AC1020" s="3" t="str">
        <f t="shared" si="21"/>
        <v/>
      </c>
    </row>
    <row r="1021" ht="12.75" customHeight="1">
      <c r="A1021" s="25" t="str">
        <f t="shared" si="1"/>
        <v/>
      </c>
      <c r="B1021" s="29" t="str">
        <f t="array" ref="B1021">IF(D1021="","",IFERROR(VALUE(INDEX(Vazoes_COLAR!$A$2:$A$200,INT((ROW()-24)/12)+1)),""))</f>
        <v/>
      </c>
      <c r="C1021" s="29" t="str">
        <f t="shared" si="2"/>
        <v/>
      </c>
      <c r="D1021" s="26" t="str">
        <f t="array" ref="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21" s="26" t="str">
        <f t="shared" si="3"/>
        <v/>
      </c>
      <c r="F1021" s="26" t="str">
        <f t="array" ref="F1021">IF(D1021="","",IFERROR(INDEX(Dados_Evap!$C$2:$N$15,MATCH($B$9,Dados_Evap!$A$2:$A$15,0),C1021),0))</f>
        <v/>
      </c>
      <c r="G1021" s="26" t="str">
        <f t="shared" si="4"/>
        <v/>
      </c>
      <c r="H1021" s="26" t="str">
        <f t="shared" si="22"/>
        <v/>
      </c>
      <c r="I1021" s="26" t="str">
        <f t="array" ref="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/>
      </c>
      <c r="J1021" s="26" t="str">
        <f t="shared" si="5"/>
        <v/>
      </c>
      <c r="K1021" s="26" t="str">
        <f t="shared" si="6"/>
        <v/>
      </c>
      <c r="L1021" s="26" t="str">
        <f t="shared" si="7"/>
        <v/>
      </c>
      <c r="M1021" s="26" t="str">
        <f t="array" ref="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/>
      </c>
      <c r="N1021" s="26" t="str">
        <f t="shared" si="8"/>
        <v/>
      </c>
      <c r="O1021" s="26" t="str">
        <f t="shared" si="9"/>
        <v/>
      </c>
      <c r="P1021" s="26" t="str">
        <f t="shared" si="10"/>
        <v/>
      </c>
      <c r="Q1021" s="26" t="str">
        <f t="shared" si="11"/>
        <v/>
      </c>
      <c r="R1021" s="26" t="str">
        <f t="shared" si="12"/>
        <v/>
      </c>
      <c r="S1021" s="26" t="str">
        <f t="shared" si="13"/>
        <v/>
      </c>
      <c r="T1021" s="26" t="str">
        <f t="shared" si="14"/>
        <v/>
      </c>
      <c r="U1021" s="26" t="str">
        <f t="shared" si="15"/>
        <v/>
      </c>
      <c r="V1021" s="26" t="str">
        <f t="shared" si="16"/>
        <v/>
      </c>
      <c r="W1021" s="26" t="str">
        <f t="shared" si="17"/>
        <v/>
      </c>
      <c r="X1021" s="26" t="str">
        <f t="shared" si="18"/>
        <v/>
      </c>
      <c r="Y1021" s="26" t="str">
        <f t="shared" si="19"/>
        <v/>
      </c>
      <c r="Z1021" s="31" t="str">
        <f t="shared" si="20"/>
        <v/>
      </c>
      <c r="AA1021" s="31" t="str">
        <f>IF(D1021="","",IF(H1021&lt;=$B$16,1,IF(H1021&gt;=$B$17,$B$21,MATCH(H1021,Aux_CAV!$A$2:$A$121,1))))</f>
        <v/>
      </c>
      <c r="AB1021" s="31" t="str">
        <f>IF(D1021="","",IF(L1021&lt;=$B$16,1,IF(L1021&gt;=$B$17,$B$21,MATCH(L1021,Aux_CAV!$A$2:$A$121,1))))</f>
        <v/>
      </c>
      <c r="AC1021" s="3" t="str">
        <f t="shared" si="21"/>
        <v/>
      </c>
    </row>
    <row r="1022" ht="12.75" customHeight="1">
      <c r="A1022" s="25" t="str">
        <f t="shared" si="1"/>
        <v/>
      </c>
      <c r="B1022" s="29" t="str">
        <f t="array" ref="B1022">IF(D1022="","",IFERROR(VALUE(INDEX(Vazoes_COLAR!$A$2:$A$200,INT((ROW()-24)/12)+1)),""))</f>
        <v/>
      </c>
      <c r="C1022" s="29" t="str">
        <f t="shared" si="2"/>
        <v/>
      </c>
      <c r="D1022" s="26" t="str">
        <f t="array" ref="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22" s="26" t="str">
        <f t="shared" si="3"/>
        <v/>
      </c>
      <c r="F1022" s="26" t="str">
        <f t="array" ref="F1022">IF(D1022="","",IFERROR(INDEX(Dados_Evap!$C$2:$N$15,MATCH($B$9,Dados_Evap!$A$2:$A$15,0),C1022),0))</f>
        <v/>
      </c>
      <c r="G1022" s="26" t="str">
        <f t="shared" si="4"/>
        <v/>
      </c>
      <c r="H1022" s="26" t="str">
        <f t="shared" si="22"/>
        <v/>
      </c>
      <c r="I1022" s="26" t="str">
        <f t="array" ref="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/>
      </c>
      <c r="J1022" s="26" t="str">
        <f t="shared" si="5"/>
        <v/>
      </c>
      <c r="K1022" s="26" t="str">
        <f t="shared" si="6"/>
        <v/>
      </c>
      <c r="L1022" s="26" t="str">
        <f t="shared" si="7"/>
        <v/>
      </c>
      <c r="M1022" s="26" t="str">
        <f t="array" ref="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/>
      </c>
      <c r="N1022" s="26" t="str">
        <f t="shared" si="8"/>
        <v/>
      </c>
      <c r="O1022" s="26" t="str">
        <f t="shared" si="9"/>
        <v/>
      </c>
      <c r="P1022" s="26" t="str">
        <f t="shared" si="10"/>
        <v/>
      </c>
      <c r="Q1022" s="26" t="str">
        <f t="shared" si="11"/>
        <v/>
      </c>
      <c r="R1022" s="26" t="str">
        <f t="shared" si="12"/>
        <v/>
      </c>
      <c r="S1022" s="26" t="str">
        <f t="shared" si="13"/>
        <v/>
      </c>
      <c r="T1022" s="26" t="str">
        <f t="shared" si="14"/>
        <v/>
      </c>
      <c r="U1022" s="26" t="str">
        <f t="shared" si="15"/>
        <v/>
      </c>
      <c r="V1022" s="26" t="str">
        <f t="shared" si="16"/>
        <v/>
      </c>
      <c r="W1022" s="26" t="str">
        <f t="shared" si="17"/>
        <v/>
      </c>
      <c r="X1022" s="26" t="str">
        <f t="shared" si="18"/>
        <v/>
      </c>
      <c r="Y1022" s="26" t="str">
        <f t="shared" si="19"/>
        <v/>
      </c>
      <c r="Z1022" s="31" t="str">
        <f t="shared" si="20"/>
        <v/>
      </c>
      <c r="AA1022" s="31" t="str">
        <f>IF(D1022="","",IF(H1022&lt;=$B$16,1,IF(H1022&gt;=$B$17,$B$21,MATCH(H1022,Aux_CAV!$A$2:$A$121,1))))</f>
        <v/>
      </c>
      <c r="AB1022" s="31" t="str">
        <f>IF(D1022="","",IF(L1022&lt;=$B$16,1,IF(L1022&gt;=$B$17,$B$21,MATCH(L1022,Aux_CAV!$A$2:$A$121,1))))</f>
        <v/>
      </c>
      <c r="AC1022" s="3" t="str">
        <f t="shared" si="21"/>
        <v/>
      </c>
    </row>
    <row r="1023" ht="12.75" customHeight="1">
      <c r="A1023" s="25" t="str">
        <f t="shared" si="1"/>
        <v/>
      </c>
      <c r="B1023" s="29" t="str">
        <f t="array" ref="B1023">IF(D1023="","",IFERROR(VALUE(INDEX(Vazoes_COLAR!$A$2:$A$200,INT((ROW()-24)/12)+1)),""))</f>
        <v/>
      </c>
      <c r="C1023" s="29" t="str">
        <f t="shared" si="2"/>
        <v/>
      </c>
      <c r="D1023" s="26" t="str">
        <f t="array" ref="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23" s="26" t="str">
        <f t="shared" si="3"/>
        <v/>
      </c>
      <c r="F1023" s="26" t="str">
        <f t="array" ref="F1023">IF(D1023="","",IFERROR(INDEX(Dados_Evap!$C$2:$N$15,MATCH($B$9,Dados_Evap!$A$2:$A$15,0),C1023),0))</f>
        <v/>
      </c>
      <c r="G1023" s="26" t="str">
        <f t="shared" si="4"/>
        <v/>
      </c>
      <c r="H1023" s="26" t="str">
        <f t="shared" si="22"/>
        <v/>
      </c>
      <c r="I1023" s="26" t="str">
        <f t="array" ref="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/>
      </c>
      <c r="J1023" s="26" t="str">
        <f t="shared" si="5"/>
        <v/>
      </c>
      <c r="K1023" s="26" t="str">
        <f t="shared" si="6"/>
        <v/>
      </c>
      <c r="L1023" s="26" t="str">
        <f t="shared" si="7"/>
        <v/>
      </c>
      <c r="M1023" s="26" t="str">
        <f t="array" ref="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/>
      </c>
      <c r="N1023" s="26" t="str">
        <f t="shared" si="8"/>
        <v/>
      </c>
      <c r="O1023" s="26" t="str">
        <f t="shared" si="9"/>
        <v/>
      </c>
      <c r="P1023" s="26" t="str">
        <f t="shared" si="10"/>
        <v/>
      </c>
      <c r="Q1023" s="26" t="str">
        <f t="shared" si="11"/>
        <v/>
      </c>
      <c r="R1023" s="26" t="str">
        <f t="shared" si="12"/>
        <v/>
      </c>
      <c r="S1023" s="26" t="str">
        <f t="shared" si="13"/>
        <v/>
      </c>
      <c r="T1023" s="26" t="str">
        <f t="shared" si="14"/>
        <v/>
      </c>
      <c r="U1023" s="26" t="str">
        <f t="shared" si="15"/>
        <v/>
      </c>
      <c r="V1023" s="26" t="str">
        <f t="shared" si="16"/>
        <v/>
      </c>
      <c r="W1023" s="26" t="str">
        <f t="shared" si="17"/>
        <v/>
      </c>
      <c r="X1023" s="26" t="str">
        <f t="shared" si="18"/>
        <v/>
      </c>
      <c r="Y1023" s="26" t="str">
        <f t="shared" si="19"/>
        <v/>
      </c>
      <c r="Z1023" s="31" t="str">
        <f t="shared" si="20"/>
        <v/>
      </c>
      <c r="AA1023" s="31" t="str">
        <f>IF(D1023="","",IF(H1023&lt;=$B$16,1,IF(H1023&gt;=$B$17,$B$21,MATCH(H1023,Aux_CAV!$A$2:$A$121,1))))</f>
        <v/>
      </c>
      <c r="AB1023" s="31" t="str">
        <f>IF(D1023="","",IF(L1023&lt;=$B$16,1,IF(L1023&gt;=$B$17,$B$21,MATCH(L1023,Aux_CAV!$A$2:$A$121,1))))</f>
        <v/>
      </c>
      <c r="AC1023" s="3" t="str">
        <f t="shared" si="21"/>
        <v/>
      </c>
    </row>
    <row r="1024" ht="12.75" customHeight="1">
      <c r="A1024" s="25" t="str">
        <f t="shared" si="1"/>
        <v/>
      </c>
      <c r="B1024" s="29" t="str">
        <f t="array" ref="B1024">IF(D1024="","",IFERROR(VALUE(INDEX(Vazoes_COLAR!$A$2:$A$200,INT((ROW()-24)/12)+1)),""))</f>
        <v/>
      </c>
      <c r="C1024" s="29" t="str">
        <f t="shared" si="2"/>
        <v/>
      </c>
      <c r="D1024" s="26" t="str">
        <f t="array" ref="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24" s="26" t="str">
        <f t="shared" si="3"/>
        <v/>
      </c>
      <c r="F1024" s="26" t="str">
        <f t="array" ref="F1024">IF(D1024="","",IFERROR(INDEX(Dados_Evap!$C$2:$N$15,MATCH($B$9,Dados_Evap!$A$2:$A$15,0),C1024),0))</f>
        <v/>
      </c>
      <c r="G1024" s="26" t="str">
        <f t="shared" si="4"/>
        <v/>
      </c>
      <c r="H1024" s="26" t="str">
        <f t="shared" si="22"/>
        <v/>
      </c>
      <c r="I1024" s="26" t="str">
        <f t="array" ref="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/>
      </c>
      <c r="J1024" s="26" t="str">
        <f t="shared" si="5"/>
        <v/>
      </c>
      <c r="K1024" s="26" t="str">
        <f t="shared" si="6"/>
        <v/>
      </c>
      <c r="L1024" s="26" t="str">
        <f t="shared" si="7"/>
        <v/>
      </c>
      <c r="M1024" s="26" t="str">
        <f t="array" ref="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/>
      </c>
      <c r="N1024" s="26" t="str">
        <f t="shared" si="8"/>
        <v/>
      </c>
      <c r="O1024" s="26" t="str">
        <f t="shared" si="9"/>
        <v/>
      </c>
      <c r="P1024" s="26" t="str">
        <f t="shared" si="10"/>
        <v/>
      </c>
      <c r="Q1024" s="26" t="str">
        <f t="shared" si="11"/>
        <v/>
      </c>
      <c r="R1024" s="26" t="str">
        <f t="shared" si="12"/>
        <v/>
      </c>
      <c r="S1024" s="26" t="str">
        <f t="shared" si="13"/>
        <v/>
      </c>
      <c r="T1024" s="26" t="str">
        <f t="shared" si="14"/>
        <v/>
      </c>
      <c r="U1024" s="26" t="str">
        <f t="shared" si="15"/>
        <v/>
      </c>
      <c r="V1024" s="26" t="str">
        <f t="shared" si="16"/>
        <v/>
      </c>
      <c r="W1024" s="26" t="str">
        <f t="shared" si="17"/>
        <v/>
      </c>
      <c r="X1024" s="26" t="str">
        <f t="shared" si="18"/>
        <v/>
      </c>
      <c r="Y1024" s="26" t="str">
        <f t="shared" si="19"/>
        <v/>
      </c>
      <c r="Z1024" s="31" t="str">
        <f t="shared" si="20"/>
        <v/>
      </c>
      <c r="AA1024" s="31" t="str">
        <f>IF(D1024="","",IF(H1024&lt;=$B$16,1,IF(H1024&gt;=$B$17,$B$21,MATCH(H1024,Aux_CAV!$A$2:$A$121,1))))</f>
        <v/>
      </c>
      <c r="AB1024" s="31" t="str">
        <f>IF(D1024="","",IF(L1024&lt;=$B$16,1,IF(L1024&gt;=$B$17,$B$21,MATCH(L1024,Aux_CAV!$A$2:$A$121,1))))</f>
        <v/>
      </c>
      <c r="AC1024" s="3" t="str">
        <f t="shared" si="21"/>
        <v/>
      </c>
    </row>
    <row r="1025" ht="12.75" customHeight="1">
      <c r="A1025" s="25" t="str">
        <f t="shared" si="1"/>
        <v/>
      </c>
      <c r="B1025" s="29" t="str">
        <f t="array" ref="B1025">IF(D1025="","",IFERROR(VALUE(INDEX(Vazoes_COLAR!$A$2:$A$200,INT((ROW()-24)/12)+1)),""))</f>
        <v/>
      </c>
      <c r="C1025" s="29" t="str">
        <f t="shared" si="2"/>
        <v/>
      </c>
      <c r="D1025" s="26" t="str">
        <f t="array" ref="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25" s="26" t="str">
        <f t="shared" si="3"/>
        <v/>
      </c>
      <c r="F1025" s="26" t="str">
        <f t="array" ref="F1025">IF(D1025="","",IFERROR(INDEX(Dados_Evap!$C$2:$N$15,MATCH($B$9,Dados_Evap!$A$2:$A$15,0),C1025),0))</f>
        <v/>
      </c>
      <c r="G1025" s="26" t="str">
        <f t="shared" si="4"/>
        <v/>
      </c>
      <c r="H1025" s="26" t="str">
        <f t="shared" si="22"/>
        <v/>
      </c>
      <c r="I1025" s="26" t="str">
        <f t="array" ref="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/>
      </c>
      <c r="J1025" s="26" t="str">
        <f t="shared" si="5"/>
        <v/>
      </c>
      <c r="K1025" s="26" t="str">
        <f t="shared" si="6"/>
        <v/>
      </c>
      <c r="L1025" s="26" t="str">
        <f t="shared" si="7"/>
        <v/>
      </c>
      <c r="M1025" s="26" t="str">
        <f t="array" ref="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/>
      </c>
      <c r="N1025" s="26" t="str">
        <f t="shared" si="8"/>
        <v/>
      </c>
      <c r="O1025" s="26" t="str">
        <f t="shared" si="9"/>
        <v/>
      </c>
      <c r="P1025" s="26" t="str">
        <f t="shared" si="10"/>
        <v/>
      </c>
      <c r="Q1025" s="26" t="str">
        <f t="shared" si="11"/>
        <v/>
      </c>
      <c r="R1025" s="26" t="str">
        <f t="shared" si="12"/>
        <v/>
      </c>
      <c r="S1025" s="26" t="str">
        <f t="shared" si="13"/>
        <v/>
      </c>
      <c r="T1025" s="26" t="str">
        <f t="shared" si="14"/>
        <v/>
      </c>
      <c r="U1025" s="26" t="str">
        <f t="shared" si="15"/>
        <v/>
      </c>
      <c r="V1025" s="26" t="str">
        <f t="shared" si="16"/>
        <v/>
      </c>
      <c r="W1025" s="26" t="str">
        <f t="shared" si="17"/>
        <v/>
      </c>
      <c r="X1025" s="26" t="str">
        <f t="shared" si="18"/>
        <v/>
      </c>
      <c r="Y1025" s="26" t="str">
        <f t="shared" si="19"/>
        <v/>
      </c>
      <c r="Z1025" s="31" t="str">
        <f t="shared" si="20"/>
        <v/>
      </c>
      <c r="AA1025" s="31" t="str">
        <f>IF(D1025="","",IF(H1025&lt;=$B$16,1,IF(H1025&gt;=$B$17,$B$21,MATCH(H1025,Aux_CAV!$A$2:$A$121,1))))</f>
        <v/>
      </c>
      <c r="AB1025" s="31" t="str">
        <f>IF(D1025="","",IF(L1025&lt;=$B$16,1,IF(L1025&gt;=$B$17,$B$21,MATCH(L1025,Aux_CAV!$A$2:$A$121,1))))</f>
        <v/>
      </c>
      <c r="AC1025" s="3" t="str">
        <f t="shared" si="21"/>
        <v/>
      </c>
    </row>
    <row r="1026" ht="12.75" customHeight="1">
      <c r="A1026" s="25" t="str">
        <f t="shared" si="1"/>
        <v/>
      </c>
      <c r="B1026" s="29" t="str">
        <f t="array" ref="B1026">IF(D1026="","",IFERROR(VALUE(INDEX(Vazoes_COLAR!$A$2:$A$200,INT((ROW()-24)/12)+1)),""))</f>
        <v/>
      </c>
      <c r="C1026" s="29" t="str">
        <f t="shared" si="2"/>
        <v/>
      </c>
      <c r="D1026" s="26" t="str">
        <f t="array" ref="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26" s="26" t="str">
        <f t="shared" si="3"/>
        <v/>
      </c>
      <c r="F1026" s="26" t="str">
        <f t="array" ref="F1026">IF(D1026="","",IFERROR(INDEX(Dados_Evap!$C$2:$N$15,MATCH($B$9,Dados_Evap!$A$2:$A$15,0),C1026),0))</f>
        <v/>
      </c>
      <c r="G1026" s="26" t="str">
        <f t="shared" si="4"/>
        <v/>
      </c>
      <c r="H1026" s="26" t="str">
        <f t="shared" si="22"/>
        <v/>
      </c>
      <c r="I1026" s="26" t="str">
        <f t="array" ref="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/>
      </c>
      <c r="J1026" s="26" t="str">
        <f t="shared" si="5"/>
        <v/>
      </c>
      <c r="K1026" s="26" t="str">
        <f t="shared" si="6"/>
        <v/>
      </c>
      <c r="L1026" s="26" t="str">
        <f t="shared" si="7"/>
        <v/>
      </c>
      <c r="M1026" s="26" t="str">
        <f t="array" ref="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/>
      </c>
      <c r="N1026" s="26" t="str">
        <f t="shared" si="8"/>
        <v/>
      </c>
      <c r="O1026" s="26" t="str">
        <f t="shared" si="9"/>
        <v/>
      </c>
      <c r="P1026" s="26" t="str">
        <f t="shared" si="10"/>
        <v/>
      </c>
      <c r="Q1026" s="26" t="str">
        <f t="shared" si="11"/>
        <v/>
      </c>
      <c r="R1026" s="26" t="str">
        <f t="shared" si="12"/>
        <v/>
      </c>
      <c r="S1026" s="26" t="str">
        <f t="shared" si="13"/>
        <v/>
      </c>
      <c r="T1026" s="26" t="str">
        <f t="shared" si="14"/>
        <v/>
      </c>
      <c r="U1026" s="26" t="str">
        <f t="shared" si="15"/>
        <v/>
      </c>
      <c r="V1026" s="26" t="str">
        <f t="shared" si="16"/>
        <v/>
      </c>
      <c r="W1026" s="26" t="str">
        <f t="shared" si="17"/>
        <v/>
      </c>
      <c r="X1026" s="26" t="str">
        <f t="shared" si="18"/>
        <v/>
      </c>
      <c r="Y1026" s="26" t="str">
        <f t="shared" si="19"/>
        <v/>
      </c>
      <c r="Z1026" s="31" t="str">
        <f t="shared" si="20"/>
        <v/>
      </c>
      <c r="AA1026" s="31" t="str">
        <f>IF(D1026="","",IF(H1026&lt;=$B$16,1,IF(H1026&gt;=$B$17,$B$21,MATCH(H1026,Aux_CAV!$A$2:$A$121,1))))</f>
        <v/>
      </c>
      <c r="AB1026" s="31" t="str">
        <f>IF(D1026="","",IF(L1026&lt;=$B$16,1,IF(L1026&gt;=$B$17,$B$21,MATCH(L1026,Aux_CAV!$A$2:$A$121,1))))</f>
        <v/>
      </c>
      <c r="AC1026" s="3" t="str">
        <f t="shared" si="21"/>
        <v/>
      </c>
    </row>
    <row r="1027" ht="12.75" customHeight="1">
      <c r="A1027" s="25" t="str">
        <f t="shared" si="1"/>
        <v/>
      </c>
      <c r="B1027" s="29" t="str">
        <f t="array" ref="B1027">IF(D1027="","",IFERROR(VALUE(INDEX(Vazoes_COLAR!$A$2:$A$200,INT((ROW()-24)/12)+1)),""))</f>
        <v/>
      </c>
      <c r="C1027" s="29" t="str">
        <f t="shared" si="2"/>
        <v/>
      </c>
      <c r="D1027" s="26" t="str">
        <f t="array" ref="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27" s="26" t="str">
        <f t="shared" si="3"/>
        <v/>
      </c>
      <c r="F1027" s="26" t="str">
        <f t="array" ref="F1027">IF(D1027="","",IFERROR(INDEX(Dados_Evap!$C$2:$N$15,MATCH($B$9,Dados_Evap!$A$2:$A$15,0),C1027),0))</f>
        <v/>
      </c>
      <c r="G1027" s="26" t="str">
        <f t="shared" si="4"/>
        <v/>
      </c>
      <c r="H1027" s="26" t="str">
        <f t="shared" si="22"/>
        <v/>
      </c>
      <c r="I1027" s="26" t="str">
        <f t="array" ref="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/>
      </c>
      <c r="J1027" s="26" t="str">
        <f t="shared" si="5"/>
        <v/>
      </c>
      <c r="K1027" s="26" t="str">
        <f t="shared" si="6"/>
        <v/>
      </c>
      <c r="L1027" s="26" t="str">
        <f t="shared" si="7"/>
        <v/>
      </c>
      <c r="M1027" s="26" t="str">
        <f t="array" ref="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/>
      </c>
      <c r="N1027" s="26" t="str">
        <f t="shared" si="8"/>
        <v/>
      </c>
      <c r="O1027" s="26" t="str">
        <f t="shared" si="9"/>
        <v/>
      </c>
      <c r="P1027" s="26" t="str">
        <f t="shared" si="10"/>
        <v/>
      </c>
      <c r="Q1027" s="26" t="str">
        <f t="shared" si="11"/>
        <v/>
      </c>
      <c r="R1027" s="26" t="str">
        <f t="shared" si="12"/>
        <v/>
      </c>
      <c r="S1027" s="26" t="str">
        <f t="shared" si="13"/>
        <v/>
      </c>
      <c r="T1027" s="26" t="str">
        <f t="shared" si="14"/>
        <v/>
      </c>
      <c r="U1027" s="26" t="str">
        <f t="shared" si="15"/>
        <v/>
      </c>
      <c r="V1027" s="26" t="str">
        <f t="shared" si="16"/>
        <v/>
      </c>
      <c r="W1027" s="26" t="str">
        <f t="shared" si="17"/>
        <v/>
      </c>
      <c r="X1027" s="26" t="str">
        <f t="shared" si="18"/>
        <v/>
      </c>
      <c r="Y1027" s="26" t="str">
        <f t="shared" si="19"/>
        <v/>
      </c>
      <c r="Z1027" s="31" t="str">
        <f t="shared" si="20"/>
        <v/>
      </c>
      <c r="AA1027" s="31" t="str">
        <f>IF(D1027="","",IF(H1027&lt;=$B$16,1,IF(H1027&gt;=$B$17,$B$21,MATCH(H1027,Aux_CAV!$A$2:$A$121,1))))</f>
        <v/>
      </c>
      <c r="AB1027" s="31" t="str">
        <f>IF(D1027="","",IF(L1027&lt;=$B$16,1,IF(L1027&gt;=$B$17,$B$21,MATCH(L1027,Aux_CAV!$A$2:$A$121,1))))</f>
        <v/>
      </c>
      <c r="AC1027" s="3" t="str">
        <f t="shared" si="21"/>
        <v/>
      </c>
    </row>
    <row r="1028" ht="12.75" customHeight="1">
      <c r="A1028" s="25" t="str">
        <f t="shared" si="1"/>
        <v/>
      </c>
      <c r="B1028" s="29" t="str">
        <f t="array" ref="B1028">IF(D1028="","",IFERROR(VALUE(INDEX(Vazoes_COLAR!$A$2:$A$200,INT((ROW()-24)/12)+1)),""))</f>
        <v/>
      </c>
      <c r="C1028" s="29" t="str">
        <f t="shared" si="2"/>
        <v/>
      </c>
      <c r="D1028" s="26" t="str">
        <f t="array" ref="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28" s="26" t="str">
        <f t="shared" si="3"/>
        <v/>
      </c>
      <c r="F1028" s="26" t="str">
        <f t="array" ref="F1028">IF(D1028="","",IFERROR(INDEX(Dados_Evap!$C$2:$N$15,MATCH($B$9,Dados_Evap!$A$2:$A$15,0),C1028),0))</f>
        <v/>
      </c>
      <c r="G1028" s="26" t="str">
        <f t="shared" si="4"/>
        <v/>
      </c>
      <c r="H1028" s="26" t="str">
        <f t="shared" si="22"/>
        <v/>
      </c>
      <c r="I1028" s="26" t="str">
        <f t="array" ref="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/>
      </c>
      <c r="J1028" s="26" t="str">
        <f t="shared" si="5"/>
        <v/>
      </c>
      <c r="K1028" s="26" t="str">
        <f t="shared" si="6"/>
        <v/>
      </c>
      <c r="L1028" s="26" t="str">
        <f t="shared" si="7"/>
        <v/>
      </c>
      <c r="M1028" s="26" t="str">
        <f t="array" ref="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/>
      </c>
      <c r="N1028" s="26" t="str">
        <f t="shared" si="8"/>
        <v/>
      </c>
      <c r="O1028" s="26" t="str">
        <f t="shared" si="9"/>
        <v/>
      </c>
      <c r="P1028" s="26" t="str">
        <f t="shared" si="10"/>
        <v/>
      </c>
      <c r="Q1028" s="26" t="str">
        <f t="shared" si="11"/>
        <v/>
      </c>
      <c r="R1028" s="26" t="str">
        <f t="shared" si="12"/>
        <v/>
      </c>
      <c r="S1028" s="26" t="str">
        <f t="shared" si="13"/>
        <v/>
      </c>
      <c r="T1028" s="26" t="str">
        <f t="shared" si="14"/>
        <v/>
      </c>
      <c r="U1028" s="26" t="str">
        <f t="shared" si="15"/>
        <v/>
      </c>
      <c r="V1028" s="26" t="str">
        <f t="shared" si="16"/>
        <v/>
      </c>
      <c r="W1028" s="26" t="str">
        <f t="shared" si="17"/>
        <v/>
      </c>
      <c r="X1028" s="26" t="str">
        <f t="shared" si="18"/>
        <v/>
      </c>
      <c r="Y1028" s="26" t="str">
        <f t="shared" si="19"/>
        <v/>
      </c>
      <c r="Z1028" s="31" t="str">
        <f t="shared" si="20"/>
        <v/>
      </c>
      <c r="AA1028" s="31" t="str">
        <f>IF(D1028="","",IF(H1028&lt;=$B$16,1,IF(H1028&gt;=$B$17,$B$21,MATCH(H1028,Aux_CAV!$A$2:$A$121,1))))</f>
        <v/>
      </c>
      <c r="AB1028" s="31" t="str">
        <f>IF(D1028="","",IF(L1028&lt;=$B$16,1,IF(L1028&gt;=$B$17,$B$21,MATCH(L1028,Aux_CAV!$A$2:$A$121,1))))</f>
        <v/>
      </c>
      <c r="AC1028" s="3" t="str">
        <f t="shared" si="21"/>
        <v/>
      </c>
    </row>
    <row r="1029" ht="12.75" customHeight="1">
      <c r="A1029" s="25" t="str">
        <f t="shared" si="1"/>
        <v/>
      </c>
      <c r="B1029" s="29" t="str">
        <f t="array" ref="B1029">IF(D1029="","",IFERROR(VALUE(INDEX(Vazoes_COLAR!$A$2:$A$200,INT((ROW()-24)/12)+1)),""))</f>
        <v/>
      </c>
      <c r="C1029" s="29" t="str">
        <f t="shared" si="2"/>
        <v/>
      </c>
      <c r="D1029" s="26" t="str">
        <f t="array" ref="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29" s="26" t="str">
        <f t="shared" si="3"/>
        <v/>
      </c>
      <c r="F1029" s="26" t="str">
        <f t="array" ref="F1029">IF(D1029="","",IFERROR(INDEX(Dados_Evap!$C$2:$N$15,MATCH($B$9,Dados_Evap!$A$2:$A$15,0),C1029),0))</f>
        <v/>
      </c>
      <c r="G1029" s="26" t="str">
        <f t="shared" si="4"/>
        <v/>
      </c>
      <c r="H1029" s="26" t="str">
        <f t="shared" si="22"/>
        <v/>
      </c>
      <c r="I1029" s="26" t="str">
        <f t="array" ref="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/>
      </c>
      <c r="J1029" s="26" t="str">
        <f t="shared" si="5"/>
        <v/>
      </c>
      <c r="K1029" s="26" t="str">
        <f t="shared" si="6"/>
        <v/>
      </c>
      <c r="L1029" s="26" t="str">
        <f t="shared" si="7"/>
        <v/>
      </c>
      <c r="M1029" s="26" t="str">
        <f t="array" ref="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/>
      </c>
      <c r="N1029" s="26" t="str">
        <f t="shared" si="8"/>
        <v/>
      </c>
      <c r="O1029" s="26" t="str">
        <f t="shared" si="9"/>
        <v/>
      </c>
      <c r="P1029" s="26" t="str">
        <f t="shared" si="10"/>
        <v/>
      </c>
      <c r="Q1029" s="26" t="str">
        <f t="shared" si="11"/>
        <v/>
      </c>
      <c r="R1029" s="26" t="str">
        <f t="shared" si="12"/>
        <v/>
      </c>
      <c r="S1029" s="26" t="str">
        <f t="shared" si="13"/>
        <v/>
      </c>
      <c r="T1029" s="26" t="str">
        <f t="shared" si="14"/>
        <v/>
      </c>
      <c r="U1029" s="26" t="str">
        <f t="shared" si="15"/>
        <v/>
      </c>
      <c r="V1029" s="26" t="str">
        <f t="shared" si="16"/>
        <v/>
      </c>
      <c r="W1029" s="26" t="str">
        <f t="shared" si="17"/>
        <v/>
      </c>
      <c r="X1029" s="26" t="str">
        <f t="shared" si="18"/>
        <v/>
      </c>
      <c r="Y1029" s="26" t="str">
        <f t="shared" si="19"/>
        <v/>
      </c>
      <c r="Z1029" s="31" t="str">
        <f t="shared" si="20"/>
        <v/>
      </c>
      <c r="AA1029" s="31" t="str">
        <f>IF(D1029="","",IF(H1029&lt;=$B$16,1,IF(H1029&gt;=$B$17,$B$21,MATCH(H1029,Aux_CAV!$A$2:$A$121,1))))</f>
        <v/>
      </c>
      <c r="AB1029" s="31" t="str">
        <f>IF(D1029="","",IF(L1029&lt;=$B$16,1,IF(L1029&gt;=$B$17,$B$21,MATCH(L1029,Aux_CAV!$A$2:$A$121,1))))</f>
        <v/>
      </c>
      <c r="AC1029" s="3" t="str">
        <f t="shared" si="21"/>
        <v/>
      </c>
    </row>
    <row r="1030" ht="12.75" customHeight="1">
      <c r="A1030" s="25" t="str">
        <f t="shared" si="1"/>
        <v/>
      </c>
      <c r="B1030" s="29" t="str">
        <f t="array" ref="B1030">IF(D1030="","",IFERROR(VALUE(INDEX(Vazoes_COLAR!$A$2:$A$200,INT((ROW()-24)/12)+1)),""))</f>
        <v/>
      </c>
      <c r="C1030" s="29" t="str">
        <f t="shared" si="2"/>
        <v/>
      </c>
      <c r="D1030" s="26" t="str">
        <f t="array" ref="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30" s="26" t="str">
        <f t="shared" si="3"/>
        <v/>
      </c>
      <c r="F1030" s="26" t="str">
        <f t="array" ref="F1030">IF(D1030="","",IFERROR(INDEX(Dados_Evap!$C$2:$N$15,MATCH($B$9,Dados_Evap!$A$2:$A$15,0),C1030),0))</f>
        <v/>
      </c>
      <c r="G1030" s="26" t="str">
        <f t="shared" si="4"/>
        <v/>
      </c>
      <c r="H1030" s="26" t="str">
        <f t="shared" si="22"/>
        <v/>
      </c>
      <c r="I1030" s="26" t="str">
        <f t="array" ref="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/>
      </c>
      <c r="J1030" s="26" t="str">
        <f t="shared" si="5"/>
        <v/>
      </c>
      <c r="K1030" s="26" t="str">
        <f t="shared" si="6"/>
        <v/>
      </c>
      <c r="L1030" s="26" t="str">
        <f t="shared" si="7"/>
        <v/>
      </c>
      <c r="M1030" s="26" t="str">
        <f t="array" ref="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/>
      </c>
      <c r="N1030" s="26" t="str">
        <f t="shared" si="8"/>
        <v/>
      </c>
      <c r="O1030" s="26" t="str">
        <f t="shared" si="9"/>
        <v/>
      </c>
      <c r="P1030" s="26" t="str">
        <f t="shared" si="10"/>
        <v/>
      </c>
      <c r="Q1030" s="26" t="str">
        <f t="shared" si="11"/>
        <v/>
      </c>
      <c r="R1030" s="26" t="str">
        <f t="shared" si="12"/>
        <v/>
      </c>
      <c r="S1030" s="26" t="str">
        <f t="shared" si="13"/>
        <v/>
      </c>
      <c r="T1030" s="26" t="str">
        <f t="shared" si="14"/>
        <v/>
      </c>
      <c r="U1030" s="26" t="str">
        <f t="shared" si="15"/>
        <v/>
      </c>
      <c r="V1030" s="26" t="str">
        <f t="shared" si="16"/>
        <v/>
      </c>
      <c r="W1030" s="26" t="str">
        <f t="shared" si="17"/>
        <v/>
      </c>
      <c r="X1030" s="26" t="str">
        <f t="shared" si="18"/>
        <v/>
      </c>
      <c r="Y1030" s="26" t="str">
        <f t="shared" si="19"/>
        <v/>
      </c>
      <c r="Z1030" s="31" t="str">
        <f t="shared" si="20"/>
        <v/>
      </c>
      <c r="AA1030" s="31" t="str">
        <f>IF(D1030="","",IF(H1030&lt;=$B$16,1,IF(H1030&gt;=$B$17,$B$21,MATCH(H1030,Aux_CAV!$A$2:$A$121,1))))</f>
        <v/>
      </c>
      <c r="AB1030" s="31" t="str">
        <f>IF(D1030="","",IF(L1030&lt;=$B$16,1,IF(L1030&gt;=$B$17,$B$21,MATCH(L1030,Aux_CAV!$A$2:$A$121,1))))</f>
        <v/>
      </c>
      <c r="AC1030" s="3" t="str">
        <f t="shared" si="21"/>
        <v/>
      </c>
    </row>
    <row r="1031" ht="12.75" customHeight="1">
      <c r="A1031" s="25" t="str">
        <f t="shared" si="1"/>
        <v/>
      </c>
      <c r="B1031" s="29" t="str">
        <f t="array" ref="B1031">IF(D1031="","",IFERROR(VALUE(INDEX(Vazoes_COLAR!$A$2:$A$200,INT((ROW()-24)/12)+1)),""))</f>
        <v/>
      </c>
      <c r="C1031" s="29" t="str">
        <f t="shared" si="2"/>
        <v/>
      </c>
      <c r="D1031" s="26" t="str">
        <f t="array" ref="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31" s="26" t="str">
        <f t="shared" si="3"/>
        <v/>
      </c>
      <c r="F1031" s="26" t="str">
        <f t="array" ref="F1031">IF(D1031="","",IFERROR(INDEX(Dados_Evap!$C$2:$N$15,MATCH($B$9,Dados_Evap!$A$2:$A$15,0),C1031),0))</f>
        <v/>
      </c>
      <c r="G1031" s="26" t="str">
        <f t="shared" si="4"/>
        <v/>
      </c>
      <c r="H1031" s="26" t="str">
        <f t="shared" si="22"/>
        <v/>
      </c>
      <c r="I1031" s="26" t="str">
        <f t="array" ref="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/>
      </c>
      <c r="J1031" s="26" t="str">
        <f t="shared" si="5"/>
        <v/>
      </c>
      <c r="K1031" s="26" t="str">
        <f t="shared" si="6"/>
        <v/>
      </c>
      <c r="L1031" s="26" t="str">
        <f t="shared" si="7"/>
        <v/>
      </c>
      <c r="M1031" s="26" t="str">
        <f t="array" ref="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/>
      </c>
      <c r="N1031" s="26" t="str">
        <f t="shared" si="8"/>
        <v/>
      </c>
      <c r="O1031" s="26" t="str">
        <f t="shared" si="9"/>
        <v/>
      </c>
      <c r="P1031" s="26" t="str">
        <f t="shared" si="10"/>
        <v/>
      </c>
      <c r="Q1031" s="26" t="str">
        <f t="shared" si="11"/>
        <v/>
      </c>
      <c r="R1031" s="26" t="str">
        <f t="shared" si="12"/>
        <v/>
      </c>
      <c r="S1031" s="26" t="str">
        <f t="shared" si="13"/>
        <v/>
      </c>
      <c r="T1031" s="26" t="str">
        <f t="shared" si="14"/>
        <v/>
      </c>
      <c r="U1031" s="26" t="str">
        <f t="shared" si="15"/>
        <v/>
      </c>
      <c r="V1031" s="26" t="str">
        <f t="shared" si="16"/>
        <v/>
      </c>
      <c r="W1031" s="26" t="str">
        <f t="shared" si="17"/>
        <v/>
      </c>
      <c r="X1031" s="26" t="str">
        <f t="shared" si="18"/>
        <v/>
      </c>
      <c r="Y1031" s="26" t="str">
        <f t="shared" si="19"/>
        <v/>
      </c>
      <c r="Z1031" s="31" t="str">
        <f t="shared" si="20"/>
        <v/>
      </c>
      <c r="AA1031" s="31" t="str">
        <f>IF(D1031="","",IF(H1031&lt;=$B$16,1,IF(H1031&gt;=$B$17,$B$21,MATCH(H1031,Aux_CAV!$A$2:$A$121,1))))</f>
        <v/>
      </c>
      <c r="AB1031" s="31" t="str">
        <f>IF(D1031="","",IF(L1031&lt;=$B$16,1,IF(L1031&gt;=$B$17,$B$21,MATCH(L1031,Aux_CAV!$A$2:$A$121,1))))</f>
        <v/>
      </c>
      <c r="AC1031" s="3" t="str">
        <f t="shared" si="21"/>
        <v/>
      </c>
    </row>
    <row r="1032" ht="12.75" customHeight="1">
      <c r="A1032" s="25" t="str">
        <f t="shared" si="1"/>
        <v/>
      </c>
      <c r="B1032" s="29" t="str">
        <f t="array" ref="B1032">IF(D1032="","",IFERROR(VALUE(INDEX(Vazoes_COLAR!$A$2:$A$200,INT((ROW()-24)/12)+1)),""))</f>
        <v/>
      </c>
      <c r="C1032" s="29" t="str">
        <f t="shared" si="2"/>
        <v/>
      </c>
      <c r="D1032" s="26" t="str">
        <f t="array" ref="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32" s="26" t="str">
        <f t="shared" si="3"/>
        <v/>
      </c>
      <c r="F1032" s="26" t="str">
        <f t="array" ref="F1032">IF(D1032="","",IFERROR(INDEX(Dados_Evap!$C$2:$N$15,MATCH($B$9,Dados_Evap!$A$2:$A$15,0),C1032),0))</f>
        <v/>
      </c>
      <c r="G1032" s="26" t="str">
        <f t="shared" si="4"/>
        <v/>
      </c>
      <c r="H1032" s="26" t="str">
        <f t="shared" si="22"/>
        <v/>
      </c>
      <c r="I1032" s="26" t="str">
        <f t="array" ref="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/>
      </c>
      <c r="J1032" s="26" t="str">
        <f t="shared" si="5"/>
        <v/>
      </c>
      <c r="K1032" s="26" t="str">
        <f t="shared" si="6"/>
        <v/>
      </c>
      <c r="L1032" s="26" t="str">
        <f t="shared" si="7"/>
        <v/>
      </c>
      <c r="M1032" s="26" t="str">
        <f t="array" ref="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/>
      </c>
      <c r="N1032" s="26" t="str">
        <f t="shared" si="8"/>
        <v/>
      </c>
      <c r="O1032" s="26" t="str">
        <f t="shared" si="9"/>
        <v/>
      </c>
      <c r="P1032" s="26" t="str">
        <f t="shared" si="10"/>
        <v/>
      </c>
      <c r="Q1032" s="26" t="str">
        <f t="shared" si="11"/>
        <v/>
      </c>
      <c r="R1032" s="26" t="str">
        <f t="shared" si="12"/>
        <v/>
      </c>
      <c r="S1032" s="26" t="str">
        <f t="shared" si="13"/>
        <v/>
      </c>
      <c r="T1032" s="26" t="str">
        <f t="shared" si="14"/>
        <v/>
      </c>
      <c r="U1032" s="26" t="str">
        <f t="shared" si="15"/>
        <v/>
      </c>
      <c r="V1032" s="26" t="str">
        <f t="shared" si="16"/>
        <v/>
      </c>
      <c r="W1032" s="26" t="str">
        <f t="shared" si="17"/>
        <v/>
      </c>
      <c r="X1032" s="26" t="str">
        <f t="shared" si="18"/>
        <v/>
      </c>
      <c r="Y1032" s="26" t="str">
        <f t="shared" si="19"/>
        <v/>
      </c>
      <c r="Z1032" s="31" t="str">
        <f t="shared" si="20"/>
        <v/>
      </c>
      <c r="AA1032" s="31" t="str">
        <f>IF(D1032="","",IF(H1032&lt;=$B$16,1,IF(H1032&gt;=$B$17,$B$21,MATCH(H1032,Aux_CAV!$A$2:$A$121,1))))</f>
        <v/>
      </c>
      <c r="AB1032" s="31" t="str">
        <f>IF(D1032="","",IF(L1032&lt;=$B$16,1,IF(L1032&gt;=$B$17,$B$21,MATCH(L1032,Aux_CAV!$A$2:$A$121,1))))</f>
        <v/>
      </c>
      <c r="AC1032" s="3" t="str">
        <f t="shared" si="21"/>
        <v/>
      </c>
    </row>
    <row r="1033" ht="12.75" customHeight="1">
      <c r="A1033" s="25" t="str">
        <f t="shared" si="1"/>
        <v/>
      </c>
      <c r="B1033" s="29" t="str">
        <f t="array" ref="B1033">IF(D1033="","",IFERROR(VALUE(INDEX(Vazoes_COLAR!$A$2:$A$200,INT((ROW()-24)/12)+1)),""))</f>
        <v/>
      </c>
      <c r="C1033" s="29" t="str">
        <f t="shared" si="2"/>
        <v/>
      </c>
      <c r="D1033" s="26" t="str">
        <f t="array" ref="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33" s="26" t="str">
        <f t="shared" si="3"/>
        <v/>
      </c>
      <c r="F1033" s="26" t="str">
        <f t="array" ref="F1033">IF(D1033="","",IFERROR(INDEX(Dados_Evap!$C$2:$N$15,MATCH($B$9,Dados_Evap!$A$2:$A$15,0),C1033),0))</f>
        <v/>
      </c>
      <c r="G1033" s="26" t="str">
        <f t="shared" si="4"/>
        <v/>
      </c>
      <c r="H1033" s="26" t="str">
        <f t="shared" si="22"/>
        <v/>
      </c>
      <c r="I1033" s="26" t="str">
        <f t="array" ref="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/>
      </c>
      <c r="J1033" s="26" t="str">
        <f t="shared" si="5"/>
        <v/>
      </c>
      <c r="K1033" s="26" t="str">
        <f t="shared" si="6"/>
        <v/>
      </c>
      <c r="L1033" s="26" t="str">
        <f t="shared" si="7"/>
        <v/>
      </c>
      <c r="M1033" s="26" t="str">
        <f t="array" ref="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/>
      </c>
      <c r="N1033" s="26" t="str">
        <f t="shared" si="8"/>
        <v/>
      </c>
      <c r="O1033" s="26" t="str">
        <f t="shared" si="9"/>
        <v/>
      </c>
      <c r="P1033" s="26" t="str">
        <f t="shared" si="10"/>
        <v/>
      </c>
      <c r="Q1033" s="26" t="str">
        <f t="shared" si="11"/>
        <v/>
      </c>
      <c r="R1033" s="26" t="str">
        <f t="shared" si="12"/>
        <v/>
      </c>
      <c r="S1033" s="26" t="str">
        <f t="shared" si="13"/>
        <v/>
      </c>
      <c r="T1033" s="26" t="str">
        <f t="shared" si="14"/>
        <v/>
      </c>
      <c r="U1033" s="26" t="str">
        <f t="shared" si="15"/>
        <v/>
      </c>
      <c r="V1033" s="26" t="str">
        <f t="shared" si="16"/>
        <v/>
      </c>
      <c r="W1033" s="26" t="str">
        <f t="shared" si="17"/>
        <v/>
      </c>
      <c r="X1033" s="26" t="str">
        <f t="shared" si="18"/>
        <v/>
      </c>
      <c r="Y1033" s="26" t="str">
        <f t="shared" si="19"/>
        <v/>
      </c>
      <c r="Z1033" s="31" t="str">
        <f t="shared" si="20"/>
        <v/>
      </c>
      <c r="AA1033" s="31" t="str">
        <f>IF(D1033="","",IF(H1033&lt;=$B$16,1,IF(H1033&gt;=$B$17,$B$21,MATCH(H1033,Aux_CAV!$A$2:$A$121,1))))</f>
        <v/>
      </c>
      <c r="AB1033" s="31" t="str">
        <f>IF(D1033="","",IF(L1033&lt;=$B$16,1,IF(L1033&gt;=$B$17,$B$21,MATCH(L1033,Aux_CAV!$A$2:$A$121,1))))</f>
        <v/>
      </c>
      <c r="AC1033" s="3" t="str">
        <f t="shared" si="21"/>
        <v/>
      </c>
    </row>
    <row r="1034" ht="12.75" customHeight="1">
      <c r="A1034" s="25" t="str">
        <f t="shared" si="1"/>
        <v/>
      </c>
      <c r="B1034" s="29" t="str">
        <f t="array" ref="B1034">IF(D1034="","",IFERROR(VALUE(INDEX(Vazoes_COLAR!$A$2:$A$200,INT((ROW()-24)/12)+1)),""))</f>
        <v/>
      </c>
      <c r="C1034" s="29" t="str">
        <f t="shared" si="2"/>
        <v/>
      </c>
      <c r="D1034" s="26" t="str">
        <f t="array" ref="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34" s="26" t="str">
        <f t="shared" si="3"/>
        <v/>
      </c>
      <c r="F1034" s="26" t="str">
        <f t="array" ref="F1034">IF(D1034="","",IFERROR(INDEX(Dados_Evap!$C$2:$N$15,MATCH($B$9,Dados_Evap!$A$2:$A$15,0),C1034),0))</f>
        <v/>
      </c>
      <c r="G1034" s="26" t="str">
        <f t="shared" si="4"/>
        <v/>
      </c>
      <c r="H1034" s="26" t="str">
        <f t="shared" si="22"/>
        <v/>
      </c>
      <c r="I1034" s="26" t="str">
        <f t="array" ref="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/>
      </c>
      <c r="J1034" s="26" t="str">
        <f t="shared" si="5"/>
        <v/>
      </c>
      <c r="K1034" s="26" t="str">
        <f t="shared" si="6"/>
        <v/>
      </c>
      <c r="L1034" s="26" t="str">
        <f t="shared" si="7"/>
        <v/>
      </c>
      <c r="M1034" s="26" t="str">
        <f t="array" ref="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/>
      </c>
      <c r="N1034" s="26" t="str">
        <f t="shared" si="8"/>
        <v/>
      </c>
      <c r="O1034" s="26" t="str">
        <f t="shared" si="9"/>
        <v/>
      </c>
      <c r="P1034" s="26" t="str">
        <f t="shared" si="10"/>
        <v/>
      </c>
      <c r="Q1034" s="26" t="str">
        <f t="shared" si="11"/>
        <v/>
      </c>
      <c r="R1034" s="26" t="str">
        <f t="shared" si="12"/>
        <v/>
      </c>
      <c r="S1034" s="26" t="str">
        <f t="shared" si="13"/>
        <v/>
      </c>
      <c r="T1034" s="26" t="str">
        <f t="shared" si="14"/>
        <v/>
      </c>
      <c r="U1034" s="26" t="str">
        <f t="shared" si="15"/>
        <v/>
      </c>
      <c r="V1034" s="26" t="str">
        <f t="shared" si="16"/>
        <v/>
      </c>
      <c r="W1034" s="26" t="str">
        <f t="shared" si="17"/>
        <v/>
      </c>
      <c r="X1034" s="26" t="str">
        <f t="shared" si="18"/>
        <v/>
      </c>
      <c r="Y1034" s="26" t="str">
        <f t="shared" si="19"/>
        <v/>
      </c>
      <c r="Z1034" s="31" t="str">
        <f t="shared" si="20"/>
        <v/>
      </c>
      <c r="AA1034" s="31" t="str">
        <f>IF(D1034="","",IF(H1034&lt;=$B$16,1,IF(H1034&gt;=$B$17,$B$21,MATCH(H1034,Aux_CAV!$A$2:$A$121,1))))</f>
        <v/>
      </c>
      <c r="AB1034" s="31" t="str">
        <f>IF(D1034="","",IF(L1034&lt;=$B$16,1,IF(L1034&gt;=$B$17,$B$21,MATCH(L1034,Aux_CAV!$A$2:$A$121,1))))</f>
        <v/>
      </c>
      <c r="AC1034" s="3" t="str">
        <f t="shared" si="21"/>
        <v/>
      </c>
    </row>
    <row r="1035" ht="12.75" customHeight="1">
      <c r="A1035" s="25" t="str">
        <f t="shared" si="1"/>
        <v/>
      </c>
      <c r="B1035" s="29" t="str">
        <f t="array" ref="B1035">IF(D1035="","",IFERROR(VALUE(INDEX(Vazoes_COLAR!$A$2:$A$200,INT((ROW()-24)/12)+1)),""))</f>
        <v/>
      </c>
      <c r="C1035" s="29" t="str">
        <f t="shared" si="2"/>
        <v/>
      </c>
      <c r="D1035" s="26" t="str">
        <f t="array" ref="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35" s="26" t="str">
        <f t="shared" si="3"/>
        <v/>
      </c>
      <c r="F1035" s="26" t="str">
        <f t="array" ref="F1035">IF(D1035="","",IFERROR(INDEX(Dados_Evap!$C$2:$N$15,MATCH($B$9,Dados_Evap!$A$2:$A$15,0),C1035),0))</f>
        <v/>
      </c>
      <c r="G1035" s="26" t="str">
        <f t="shared" si="4"/>
        <v/>
      </c>
      <c r="H1035" s="26" t="str">
        <f t="shared" si="22"/>
        <v/>
      </c>
      <c r="I1035" s="26" t="str">
        <f t="array" ref="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/>
      </c>
      <c r="J1035" s="26" t="str">
        <f t="shared" si="5"/>
        <v/>
      </c>
      <c r="K1035" s="26" t="str">
        <f t="shared" si="6"/>
        <v/>
      </c>
      <c r="L1035" s="26" t="str">
        <f t="shared" si="7"/>
        <v/>
      </c>
      <c r="M1035" s="26" t="str">
        <f t="array" ref="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/>
      </c>
      <c r="N1035" s="26" t="str">
        <f t="shared" si="8"/>
        <v/>
      </c>
      <c r="O1035" s="26" t="str">
        <f t="shared" si="9"/>
        <v/>
      </c>
      <c r="P1035" s="26" t="str">
        <f t="shared" si="10"/>
        <v/>
      </c>
      <c r="Q1035" s="26" t="str">
        <f t="shared" si="11"/>
        <v/>
      </c>
      <c r="R1035" s="26" t="str">
        <f t="shared" si="12"/>
        <v/>
      </c>
      <c r="S1035" s="26" t="str">
        <f t="shared" si="13"/>
        <v/>
      </c>
      <c r="T1035" s="26" t="str">
        <f t="shared" si="14"/>
        <v/>
      </c>
      <c r="U1035" s="26" t="str">
        <f t="shared" si="15"/>
        <v/>
      </c>
      <c r="V1035" s="26" t="str">
        <f t="shared" si="16"/>
        <v/>
      </c>
      <c r="W1035" s="26" t="str">
        <f t="shared" si="17"/>
        <v/>
      </c>
      <c r="X1035" s="26" t="str">
        <f t="shared" si="18"/>
        <v/>
      </c>
      <c r="Y1035" s="26" t="str">
        <f t="shared" si="19"/>
        <v/>
      </c>
      <c r="Z1035" s="31" t="str">
        <f t="shared" si="20"/>
        <v/>
      </c>
      <c r="AA1035" s="31" t="str">
        <f>IF(D1035="","",IF(H1035&lt;=$B$16,1,IF(H1035&gt;=$B$17,$B$21,MATCH(H1035,Aux_CAV!$A$2:$A$121,1))))</f>
        <v/>
      </c>
      <c r="AB1035" s="31" t="str">
        <f>IF(D1035="","",IF(L1035&lt;=$B$16,1,IF(L1035&gt;=$B$17,$B$21,MATCH(L1035,Aux_CAV!$A$2:$A$121,1))))</f>
        <v/>
      </c>
      <c r="AC1035" s="3" t="str">
        <f t="shared" si="21"/>
        <v/>
      </c>
    </row>
    <row r="1036" ht="12.75" customHeight="1">
      <c r="A1036" s="25" t="str">
        <f t="shared" si="1"/>
        <v/>
      </c>
      <c r="B1036" s="29" t="str">
        <f t="array" ref="B1036">IF(D1036="","",IFERROR(VALUE(INDEX(Vazoes_COLAR!$A$2:$A$200,INT((ROW()-24)/12)+1)),""))</f>
        <v/>
      </c>
      <c r="C1036" s="29" t="str">
        <f t="shared" si="2"/>
        <v/>
      </c>
      <c r="D1036" s="26" t="str">
        <f t="array" ref="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36" s="26" t="str">
        <f t="shared" si="3"/>
        <v/>
      </c>
      <c r="F1036" s="26" t="str">
        <f t="array" ref="F1036">IF(D1036="","",IFERROR(INDEX(Dados_Evap!$C$2:$N$15,MATCH($B$9,Dados_Evap!$A$2:$A$15,0),C1036),0))</f>
        <v/>
      </c>
      <c r="G1036" s="26" t="str">
        <f t="shared" si="4"/>
        <v/>
      </c>
      <c r="H1036" s="26" t="str">
        <f t="shared" si="22"/>
        <v/>
      </c>
      <c r="I1036" s="26" t="str">
        <f t="array" ref="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/>
      </c>
      <c r="J1036" s="26" t="str">
        <f t="shared" si="5"/>
        <v/>
      </c>
      <c r="K1036" s="26" t="str">
        <f t="shared" si="6"/>
        <v/>
      </c>
      <c r="L1036" s="26" t="str">
        <f t="shared" si="7"/>
        <v/>
      </c>
      <c r="M1036" s="26" t="str">
        <f t="array" ref="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/>
      </c>
      <c r="N1036" s="26" t="str">
        <f t="shared" si="8"/>
        <v/>
      </c>
      <c r="O1036" s="26" t="str">
        <f t="shared" si="9"/>
        <v/>
      </c>
      <c r="P1036" s="26" t="str">
        <f t="shared" si="10"/>
        <v/>
      </c>
      <c r="Q1036" s="26" t="str">
        <f t="shared" si="11"/>
        <v/>
      </c>
      <c r="R1036" s="26" t="str">
        <f t="shared" si="12"/>
        <v/>
      </c>
      <c r="S1036" s="26" t="str">
        <f t="shared" si="13"/>
        <v/>
      </c>
      <c r="T1036" s="26" t="str">
        <f t="shared" si="14"/>
        <v/>
      </c>
      <c r="U1036" s="26" t="str">
        <f t="shared" si="15"/>
        <v/>
      </c>
      <c r="V1036" s="26" t="str">
        <f t="shared" si="16"/>
        <v/>
      </c>
      <c r="W1036" s="26" t="str">
        <f t="shared" si="17"/>
        <v/>
      </c>
      <c r="X1036" s="26" t="str">
        <f t="shared" si="18"/>
        <v/>
      </c>
      <c r="Y1036" s="26" t="str">
        <f t="shared" si="19"/>
        <v/>
      </c>
      <c r="Z1036" s="31" t="str">
        <f t="shared" si="20"/>
        <v/>
      </c>
      <c r="AA1036" s="31" t="str">
        <f>IF(D1036="","",IF(H1036&lt;=$B$16,1,IF(H1036&gt;=$B$17,$B$21,MATCH(H1036,Aux_CAV!$A$2:$A$121,1))))</f>
        <v/>
      </c>
      <c r="AB1036" s="31" t="str">
        <f>IF(D1036="","",IF(L1036&lt;=$B$16,1,IF(L1036&gt;=$B$17,$B$21,MATCH(L1036,Aux_CAV!$A$2:$A$121,1))))</f>
        <v/>
      </c>
      <c r="AC1036" s="3" t="str">
        <f t="shared" si="21"/>
        <v/>
      </c>
    </row>
    <row r="1037" ht="12.75" customHeight="1">
      <c r="A1037" s="25" t="str">
        <f t="shared" si="1"/>
        <v/>
      </c>
      <c r="B1037" s="29" t="str">
        <f t="array" ref="B1037">IF(D1037="","",IFERROR(VALUE(INDEX(Vazoes_COLAR!$A$2:$A$200,INT((ROW()-24)/12)+1)),""))</f>
        <v/>
      </c>
      <c r="C1037" s="29" t="str">
        <f t="shared" si="2"/>
        <v/>
      </c>
      <c r="D1037" s="26" t="str">
        <f t="array" ref="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37" s="26" t="str">
        <f t="shared" si="3"/>
        <v/>
      </c>
      <c r="F1037" s="26" t="str">
        <f t="array" ref="F1037">IF(D1037="","",IFERROR(INDEX(Dados_Evap!$C$2:$N$15,MATCH($B$9,Dados_Evap!$A$2:$A$15,0),C1037),0))</f>
        <v/>
      </c>
      <c r="G1037" s="26" t="str">
        <f t="shared" si="4"/>
        <v/>
      </c>
      <c r="H1037" s="26" t="str">
        <f t="shared" si="22"/>
        <v/>
      </c>
      <c r="I1037" s="26" t="str">
        <f t="array" ref="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/>
      </c>
      <c r="J1037" s="26" t="str">
        <f t="shared" si="5"/>
        <v/>
      </c>
      <c r="K1037" s="26" t="str">
        <f t="shared" si="6"/>
        <v/>
      </c>
      <c r="L1037" s="26" t="str">
        <f t="shared" si="7"/>
        <v/>
      </c>
      <c r="M1037" s="26" t="str">
        <f t="array" ref="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/>
      </c>
      <c r="N1037" s="26" t="str">
        <f t="shared" si="8"/>
        <v/>
      </c>
      <c r="O1037" s="26" t="str">
        <f t="shared" si="9"/>
        <v/>
      </c>
      <c r="P1037" s="26" t="str">
        <f t="shared" si="10"/>
        <v/>
      </c>
      <c r="Q1037" s="26" t="str">
        <f t="shared" si="11"/>
        <v/>
      </c>
      <c r="R1037" s="26" t="str">
        <f t="shared" si="12"/>
        <v/>
      </c>
      <c r="S1037" s="26" t="str">
        <f t="shared" si="13"/>
        <v/>
      </c>
      <c r="T1037" s="26" t="str">
        <f t="shared" si="14"/>
        <v/>
      </c>
      <c r="U1037" s="26" t="str">
        <f t="shared" si="15"/>
        <v/>
      </c>
      <c r="V1037" s="26" t="str">
        <f t="shared" si="16"/>
        <v/>
      </c>
      <c r="W1037" s="26" t="str">
        <f t="shared" si="17"/>
        <v/>
      </c>
      <c r="X1037" s="26" t="str">
        <f t="shared" si="18"/>
        <v/>
      </c>
      <c r="Y1037" s="26" t="str">
        <f t="shared" si="19"/>
        <v/>
      </c>
      <c r="Z1037" s="31" t="str">
        <f t="shared" si="20"/>
        <v/>
      </c>
      <c r="AA1037" s="31" t="str">
        <f>IF(D1037="","",IF(H1037&lt;=$B$16,1,IF(H1037&gt;=$B$17,$B$21,MATCH(H1037,Aux_CAV!$A$2:$A$121,1))))</f>
        <v/>
      </c>
      <c r="AB1037" s="31" t="str">
        <f>IF(D1037="","",IF(L1037&lt;=$B$16,1,IF(L1037&gt;=$B$17,$B$21,MATCH(L1037,Aux_CAV!$A$2:$A$121,1))))</f>
        <v/>
      </c>
      <c r="AC1037" s="3" t="str">
        <f t="shared" si="21"/>
        <v/>
      </c>
    </row>
    <row r="1038" ht="12.75" customHeight="1">
      <c r="A1038" s="25" t="str">
        <f t="shared" si="1"/>
        <v/>
      </c>
      <c r="B1038" s="29" t="str">
        <f t="array" ref="B1038">IF(D1038="","",IFERROR(VALUE(INDEX(Vazoes_COLAR!$A$2:$A$200,INT((ROW()-24)/12)+1)),""))</f>
        <v/>
      </c>
      <c r="C1038" s="29" t="str">
        <f t="shared" si="2"/>
        <v/>
      </c>
      <c r="D1038" s="26" t="str">
        <f t="array" ref="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38" s="26" t="str">
        <f t="shared" si="3"/>
        <v/>
      </c>
      <c r="F1038" s="26" t="str">
        <f t="array" ref="F1038">IF(D1038="","",IFERROR(INDEX(Dados_Evap!$C$2:$N$15,MATCH($B$9,Dados_Evap!$A$2:$A$15,0),C1038),0))</f>
        <v/>
      </c>
      <c r="G1038" s="26" t="str">
        <f t="shared" si="4"/>
        <v/>
      </c>
      <c r="H1038" s="26" t="str">
        <f t="shared" si="22"/>
        <v/>
      </c>
      <c r="I1038" s="26" t="str">
        <f t="array" ref="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/>
      </c>
      <c r="J1038" s="26" t="str">
        <f t="shared" si="5"/>
        <v/>
      </c>
      <c r="K1038" s="26" t="str">
        <f t="shared" si="6"/>
        <v/>
      </c>
      <c r="L1038" s="26" t="str">
        <f t="shared" si="7"/>
        <v/>
      </c>
      <c r="M1038" s="26" t="str">
        <f t="array" ref="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/>
      </c>
      <c r="N1038" s="26" t="str">
        <f t="shared" si="8"/>
        <v/>
      </c>
      <c r="O1038" s="26" t="str">
        <f t="shared" si="9"/>
        <v/>
      </c>
      <c r="P1038" s="26" t="str">
        <f t="shared" si="10"/>
        <v/>
      </c>
      <c r="Q1038" s="26" t="str">
        <f t="shared" si="11"/>
        <v/>
      </c>
      <c r="R1038" s="26" t="str">
        <f t="shared" si="12"/>
        <v/>
      </c>
      <c r="S1038" s="26" t="str">
        <f t="shared" si="13"/>
        <v/>
      </c>
      <c r="T1038" s="26" t="str">
        <f t="shared" si="14"/>
        <v/>
      </c>
      <c r="U1038" s="26" t="str">
        <f t="shared" si="15"/>
        <v/>
      </c>
      <c r="V1038" s="26" t="str">
        <f t="shared" si="16"/>
        <v/>
      </c>
      <c r="W1038" s="26" t="str">
        <f t="shared" si="17"/>
        <v/>
      </c>
      <c r="X1038" s="26" t="str">
        <f t="shared" si="18"/>
        <v/>
      </c>
      <c r="Y1038" s="26" t="str">
        <f t="shared" si="19"/>
        <v/>
      </c>
      <c r="Z1038" s="31" t="str">
        <f t="shared" si="20"/>
        <v/>
      </c>
      <c r="AA1038" s="31" t="str">
        <f>IF(D1038="","",IF(H1038&lt;=$B$16,1,IF(H1038&gt;=$B$17,$B$21,MATCH(H1038,Aux_CAV!$A$2:$A$121,1))))</f>
        <v/>
      </c>
      <c r="AB1038" s="31" t="str">
        <f>IF(D1038="","",IF(L1038&lt;=$B$16,1,IF(L1038&gt;=$B$17,$B$21,MATCH(L1038,Aux_CAV!$A$2:$A$121,1))))</f>
        <v/>
      </c>
      <c r="AC1038" s="3" t="str">
        <f t="shared" si="21"/>
        <v/>
      </c>
    </row>
    <row r="1039" ht="12.75" customHeight="1">
      <c r="A1039" s="25" t="str">
        <f t="shared" si="1"/>
        <v/>
      </c>
      <c r="B1039" s="29" t="str">
        <f t="array" ref="B1039">IF(D1039="","",IFERROR(VALUE(INDEX(Vazoes_COLAR!$A$2:$A$200,INT((ROW()-24)/12)+1)),""))</f>
        <v/>
      </c>
      <c r="C1039" s="29" t="str">
        <f t="shared" si="2"/>
        <v/>
      </c>
      <c r="D1039" s="26" t="str">
        <f t="array" ref="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39" s="26" t="str">
        <f t="shared" si="3"/>
        <v/>
      </c>
      <c r="F1039" s="26" t="str">
        <f t="array" ref="F1039">IF(D1039="","",IFERROR(INDEX(Dados_Evap!$C$2:$N$15,MATCH($B$9,Dados_Evap!$A$2:$A$15,0),C1039),0))</f>
        <v/>
      </c>
      <c r="G1039" s="26" t="str">
        <f t="shared" si="4"/>
        <v/>
      </c>
      <c r="H1039" s="26" t="str">
        <f t="shared" si="22"/>
        <v/>
      </c>
      <c r="I1039" s="26" t="str">
        <f t="array" ref="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/>
      </c>
      <c r="J1039" s="26" t="str">
        <f t="shared" si="5"/>
        <v/>
      </c>
      <c r="K1039" s="26" t="str">
        <f t="shared" si="6"/>
        <v/>
      </c>
      <c r="L1039" s="26" t="str">
        <f t="shared" si="7"/>
        <v/>
      </c>
      <c r="M1039" s="26" t="str">
        <f t="array" ref="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/>
      </c>
      <c r="N1039" s="26" t="str">
        <f t="shared" si="8"/>
        <v/>
      </c>
      <c r="O1039" s="26" t="str">
        <f t="shared" si="9"/>
        <v/>
      </c>
      <c r="P1039" s="26" t="str">
        <f t="shared" si="10"/>
        <v/>
      </c>
      <c r="Q1039" s="26" t="str">
        <f t="shared" si="11"/>
        <v/>
      </c>
      <c r="R1039" s="26" t="str">
        <f t="shared" si="12"/>
        <v/>
      </c>
      <c r="S1039" s="26" t="str">
        <f t="shared" si="13"/>
        <v/>
      </c>
      <c r="T1039" s="26" t="str">
        <f t="shared" si="14"/>
        <v/>
      </c>
      <c r="U1039" s="26" t="str">
        <f t="shared" si="15"/>
        <v/>
      </c>
      <c r="V1039" s="26" t="str">
        <f t="shared" si="16"/>
        <v/>
      </c>
      <c r="W1039" s="26" t="str">
        <f t="shared" si="17"/>
        <v/>
      </c>
      <c r="X1039" s="26" t="str">
        <f t="shared" si="18"/>
        <v/>
      </c>
      <c r="Y1039" s="26" t="str">
        <f t="shared" si="19"/>
        <v/>
      </c>
      <c r="Z1039" s="31" t="str">
        <f t="shared" si="20"/>
        <v/>
      </c>
      <c r="AA1039" s="31" t="str">
        <f>IF(D1039="","",IF(H1039&lt;=$B$16,1,IF(H1039&gt;=$B$17,$B$21,MATCH(H1039,Aux_CAV!$A$2:$A$121,1))))</f>
        <v/>
      </c>
      <c r="AB1039" s="31" t="str">
        <f>IF(D1039="","",IF(L1039&lt;=$B$16,1,IF(L1039&gt;=$B$17,$B$21,MATCH(L1039,Aux_CAV!$A$2:$A$121,1))))</f>
        <v/>
      </c>
      <c r="AC1039" s="3" t="str">
        <f t="shared" si="21"/>
        <v/>
      </c>
    </row>
    <row r="1040" ht="12.75" customHeight="1">
      <c r="A1040" s="25" t="str">
        <f t="shared" si="1"/>
        <v/>
      </c>
      <c r="B1040" s="29" t="str">
        <f t="array" ref="B1040">IF(D1040="","",IFERROR(VALUE(INDEX(Vazoes_COLAR!$A$2:$A$200,INT((ROW()-24)/12)+1)),""))</f>
        <v/>
      </c>
      <c r="C1040" s="29" t="str">
        <f t="shared" si="2"/>
        <v/>
      </c>
      <c r="D1040" s="26" t="str">
        <f t="array" ref="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40" s="26" t="str">
        <f t="shared" si="3"/>
        <v/>
      </c>
      <c r="F1040" s="26" t="str">
        <f t="array" ref="F1040">IF(D1040="","",IFERROR(INDEX(Dados_Evap!$C$2:$N$15,MATCH($B$9,Dados_Evap!$A$2:$A$15,0),C1040),0))</f>
        <v/>
      </c>
      <c r="G1040" s="26" t="str">
        <f t="shared" si="4"/>
        <v/>
      </c>
      <c r="H1040" s="26" t="str">
        <f t="shared" si="22"/>
        <v/>
      </c>
      <c r="I1040" s="26" t="str">
        <f t="array" ref="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/>
      </c>
      <c r="J1040" s="26" t="str">
        <f t="shared" si="5"/>
        <v/>
      </c>
      <c r="K1040" s="26" t="str">
        <f t="shared" si="6"/>
        <v/>
      </c>
      <c r="L1040" s="26" t="str">
        <f t="shared" si="7"/>
        <v/>
      </c>
      <c r="M1040" s="26" t="str">
        <f t="array" ref="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/>
      </c>
      <c r="N1040" s="26" t="str">
        <f t="shared" si="8"/>
        <v/>
      </c>
      <c r="O1040" s="26" t="str">
        <f t="shared" si="9"/>
        <v/>
      </c>
      <c r="P1040" s="26" t="str">
        <f t="shared" si="10"/>
        <v/>
      </c>
      <c r="Q1040" s="26" t="str">
        <f t="shared" si="11"/>
        <v/>
      </c>
      <c r="R1040" s="26" t="str">
        <f t="shared" si="12"/>
        <v/>
      </c>
      <c r="S1040" s="26" t="str">
        <f t="shared" si="13"/>
        <v/>
      </c>
      <c r="T1040" s="26" t="str">
        <f t="shared" si="14"/>
        <v/>
      </c>
      <c r="U1040" s="26" t="str">
        <f t="shared" si="15"/>
        <v/>
      </c>
      <c r="V1040" s="26" t="str">
        <f t="shared" si="16"/>
        <v/>
      </c>
      <c r="W1040" s="26" t="str">
        <f t="shared" si="17"/>
        <v/>
      </c>
      <c r="X1040" s="26" t="str">
        <f t="shared" si="18"/>
        <v/>
      </c>
      <c r="Y1040" s="26" t="str">
        <f t="shared" si="19"/>
        <v/>
      </c>
      <c r="Z1040" s="31" t="str">
        <f t="shared" si="20"/>
        <v/>
      </c>
      <c r="AA1040" s="31" t="str">
        <f>IF(D1040="","",IF(H1040&lt;=$B$16,1,IF(H1040&gt;=$B$17,$B$21,MATCH(H1040,Aux_CAV!$A$2:$A$121,1))))</f>
        <v/>
      </c>
      <c r="AB1040" s="31" t="str">
        <f>IF(D1040="","",IF(L1040&lt;=$B$16,1,IF(L1040&gt;=$B$17,$B$21,MATCH(L1040,Aux_CAV!$A$2:$A$121,1))))</f>
        <v/>
      </c>
      <c r="AC1040" s="3" t="str">
        <f t="shared" si="21"/>
        <v/>
      </c>
    </row>
    <row r="1041" ht="12.75" customHeight="1">
      <c r="A1041" s="25" t="str">
        <f t="shared" si="1"/>
        <v/>
      </c>
      <c r="B1041" s="29" t="str">
        <f t="array" ref="B1041">IF(D1041="","",IFERROR(VALUE(INDEX(Vazoes_COLAR!$A$2:$A$200,INT((ROW()-24)/12)+1)),""))</f>
        <v/>
      </c>
      <c r="C1041" s="29" t="str">
        <f t="shared" si="2"/>
        <v/>
      </c>
      <c r="D1041" s="26" t="str">
        <f t="array" ref="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41" s="26" t="str">
        <f t="shared" si="3"/>
        <v/>
      </c>
      <c r="F1041" s="26" t="str">
        <f t="array" ref="F1041">IF(D1041="","",IFERROR(INDEX(Dados_Evap!$C$2:$N$15,MATCH($B$9,Dados_Evap!$A$2:$A$15,0),C1041),0))</f>
        <v/>
      </c>
      <c r="G1041" s="26" t="str">
        <f t="shared" si="4"/>
        <v/>
      </c>
      <c r="H1041" s="26" t="str">
        <f t="shared" si="22"/>
        <v/>
      </c>
      <c r="I1041" s="26" t="str">
        <f t="array" ref="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/>
      </c>
      <c r="J1041" s="26" t="str">
        <f t="shared" si="5"/>
        <v/>
      </c>
      <c r="K1041" s="26" t="str">
        <f t="shared" si="6"/>
        <v/>
      </c>
      <c r="L1041" s="26" t="str">
        <f t="shared" si="7"/>
        <v/>
      </c>
      <c r="M1041" s="26" t="str">
        <f t="array" ref="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/>
      </c>
      <c r="N1041" s="26" t="str">
        <f t="shared" si="8"/>
        <v/>
      </c>
      <c r="O1041" s="26" t="str">
        <f t="shared" si="9"/>
        <v/>
      </c>
      <c r="P1041" s="26" t="str">
        <f t="shared" si="10"/>
        <v/>
      </c>
      <c r="Q1041" s="26" t="str">
        <f t="shared" si="11"/>
        <v/>
      </c>
      <c r="R1041" s="26" t="str">
        <f t="shared" si="12"/>
        <v/>
      </c>
      <c r="S1041" s="26" t="str">
        <f t="shared" si="13"/>
        <v/>
      </c>
      <c r="T1041" s="26" t="str">
        <f t="shared" si="14"/>
        <v/>
      </c>
      <c r="U1041" s="26" t="str">
        <f t="shared" si="15"/>
        <v/>
      </c>
      <c r="V1041" s="26" t="str">
        <f t="shared" si="16"/>
        <v/>
      </c>
      <c r="W1041" s="26" t="str">
        <f t="shared" si="17"/>
        <v/>
      </c>
      <c r="X1041" s="26" t="str">
        <f t="shared" si="18"/>
        <v/>
      </c>
      <c r="Y1041" s="26" t="str">
        <f t="shared" si="19"/>
        <v/>
      </c>
      <c r="Z1041" s="31" t="str">
        <f t="shared" si="20"/>
        <v/>
      </c>
      <c r="AA1041" s="31" t="str">
        <f>IF(D1041="","",IF(H1041&lt;=$B$16,1,IF(H1041&gt;=$B$17,$B$21,MATCH(H1041,Aux_CAV!$A$2:$A$121,1))))</f>
        <v/>
      </c>
      <c r="AB1041" s="31" t="str">
        <f>IF(D1041="","",IF(L1041&lt;=$B$16,1,IF(L1041&gt;=$B$17,$B$21,MATCH(L1041,Aux_CAV!$A$2:$A$121,1))))</f>
        <v/>
      </c>
      <c r="AC1041" s="3" t="str">
        <f t="shared" si="21"/>
        <v/>
      </c>
    </row>
    <row r="1042" ht="12.75" customHeight="1">
      <c r="A1042" s="25" t="str">
        <f t="shared" si="1"/>
        <v/>
      </c>
      <c r="B1042" s="29" t="str">
        <f t="array" ref="B1042">IF(D1042="","",IFERROR(VALUE(INDEX(Vazoes_COLAR!$A$2:$A$200,INT((ROW()-24)/12)+1)),""))</f>
        <v/>
      </c>
      <c r="C1042" s="29" t="str">
        <f t="shared" si="2"/>
        <v/>
      </c>
      <c r="D1042" s="26" t="str">
        <f t="array" ref="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42" s="26" t="str">
        <f t="shared" si="3"/>
        <v/>
      </c>
      <c r="F1042" s="26" t="str">
        <f t="array" ref="F1042">IF(D1042="","",IFERROR(INDEX(Dados_Evap!$C$2:$N$15,MATCH($B$9,Dados_Evap!$A$2:$A$15,0),C1042),0))</f>
        <v/>
      </c>
      <c r="G1042" s="26" t="str">
        <f t="shared" si="4"/>
        <v/>
      </c>
      <c r="H1042" s="26" t="str">
        <f t="shared" si="22"/>
        <v/>
      </c>
      <c r="I1042" s="26" t="str">
        <f t="array" ref="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/>
      </c>
      <c r="J1042" s="26" t="str">
        <f t="shared" si="5"/>
        <v/>
      </c>
      <c r="K1042" s="26" t="str">
        <f t="shared" si="6"/>
        <v/>
      </c>
      <c r="L1042" s="26" t="str">
        <f t="shared" si="7"/>
        <v/>
      </c>
      <c r="M1042" s="26" t="str">
        <f t="array" ref="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/>
      </c>
      <c r="N1042" s="26" t="str">
        <f t="shared" si="8"/>
        <v/>
      </c>
      <c r="O1042" s="26" t="str">
        <f t="shared" si="9"/>
        <v/>
      </c>
      <c r="P1042" s="26" t="str">
        <f t="shared" si="10"/>
        <v/>
      </c>
      <c r="Q1042" s="26" t="str">
        <f t="shared" si="11"/>
        <v/>
      </c>
      <c r="R1042" s="26" t="str">
        <f t="shared" si="12"/>
        <v/>
      </c>
      <c r="S1042" s="26" t="str">
        <f t="shared" si="13"/>
        <v/>
      </c>
      <c r="T1042" s="26" t="str">
        <f t="shared" si="14"/>
        <v/>
      </c>
      <c r="U1042" s="26" t="str">
        <f t="shared" si="15"/>
        <v/>
      </c>
      <c r="V1042" s="26" t="str">
        <f t="shared" si="16"/>
        <v/>
      </c>
      <c r="W1042" s="26" t="str">
        <f t="shared" si="17"/>
        <v/>
      </c>
      <c r="X1042" s="26" t="str">
        <f t="shared" si="18"/>
        <v/>
      </c>
      <c r="Y1042" s="26" t="str">
        <f t="shared" si="19"/>
        <v/>
      </c>
      <c r="Z1042" s="31" t="str">
        <f t="shared" si="20"/>
        <v/>
      </c>
      <c r="AA1042" s="31" t="str">
        <f>IF(D1042="","",IF(H1042&lt;=$B$16,1,IF(H1042&gt;=$B$17,$B$21,MATCH(H1042,Aux_CAV!$A$2:$A$121,1))))</f>
        <v/>
      </c>
      <c r="AB1042" s="31" t="str">
        <f>IF(D1042="","",IF(L1042&lt;=$B$16,1,IF(L1042&gt;=$B$17,$B$21,MATCH(L1042,Aux_CAV!$A$2:$A$121,1))))</f>
        <v/>
      </c>
      <c r="AC1042" s="3" t="str">
        <f t="shared" si="21"/>
        <v/>
      </c>
    </row>
    <row r="1043" ht="12.75" customHeight="1">
      <c r="A1043" s="25" t="str">
        <f t="shared" si="1"/>
        <v/>
      </c>
      <c r="B1043" s="29" t="str">
        <f t="array" ref="B1043">IF(D1043="","",IFERROR(VALUE(INDEX(Vazoes_COLAR!$A$2:$A$200,INT((ROW()-24)/12)+1)),""))</f>
        <v/>
      </c>
      <c r="C1043" s="29" t="str">
        <f t="shared" si="2"/>
        <v/>
      </c>
      <c r="D1043" s="26" t="str">
        <f t="array" ref="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43" s="26" t="str">
        <f t="shared" si="3"/>
        <v/>
      </c>
      <c r="F1043" s="26" t="str">
        <f t="array" ref="F1043">IF(D1043="","",IFERROR(INDEX(Dados_Evap!$C$2:$N$15,MATCH($B$9,Dados_Evap!$A$2:$A$15,0),C1043),0))</f>
        <v/>
      </c>
      <c r="G1043" s="26" t="str">
        <f t="shared" si="4"/>
        <v/>
      </c>
      <c r="H1043" s="26" t="str">
        <f t="shared" si="22"/>
        <v/>
      </c>
      <c r="I1043" s="26" t="str">
        <f t="array" ref="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/>
      </c>
      <c r="J1043" s="26" t="str">
        <f t="shared" si="5"/>
        <v/>
      </c>
      <c r="K1043" s="26" t="str">
        <f t="shared" si="6"/>
        <v/>
      </c>
      <c r="L1043" s="26" t="str">
        <f t="shared" si="7"/>
        <v/>
      </c>
      <c r="M1043" s="26" t="str">
        <f t="array" ref="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/>
      </c>
      <c r="N1043" s="26" t="str">
        <f t="shared" si="8"/>
        <v/>
      </c>
      <c r="O1043" s="26" t="str">
        <f t="shared" si="9"/>
        <v/>
      </c>
      <c r="P1043" s="26" t="str">
        <f t="shared" si="10"/>
        <v/>
      </c>
      <c r="Q1043" s="26" t="str">
        <f t="shared" si="11"/>
        <v/>
      </c>
      <c r="R1043" s="26" t="str">
        <f t="shared" si="12"/>
        <v/>
      </c>
      <c r="S1043" s="26" t="str">
        <f t="shared" si="13"/>
        <v/>
      </c>
      <c r="T1043" s="26" t="str">
        <f t="shared" si="14"/>
        <v/>
      </c>
      <c r="U1043" s="26" t="str">
        <f t="shared" si="15"/>
        <v/>
      </c>
      <c r="V1043" s="26" t="str">
        <f t="shared" si="16"/>
        <v/>
      </c>
      <c r="W1043" s="26" t="str">
        <f t="shared" si="17"/>
        <v/>
      </c>
      <c r="X1043" s="26" t="str">
        <f t="shared" si="18"/>
        <v/>
      </c>
      <c r="Y1043" s="26" t="str">
        <f t="shared" si="19"/>
        <v/>
      </c>
      <c r="Z1043" s="31" t="str">
        <f t="shared" si="20"/>
        <v/>
      </c>
      <c r="AA1043" s="31" t="str">
        <f>IF(D1043="","",IF(H1043&lt;=$B$16,1,IF(H1043&gt;=$B$17,$B$21,MATCH(H1043,Aux_CAV!$A$2:$A$121,1))))</f>
        <v/>
      </c>
      <c r="AB1043" s="31" t="str">
        <f>IF(D1043="","",IF(L1043&lt;=$B$16,1,IF(L1043&gt;=$B$17,$B$21,MATCH(L1043,Aux_CAV!$A$2:$A$121,1))))</f>
        <v/>
      </c>
      <c r="AC1043" s="3" t="str">
        <f t="shared" si="21"/>
        <v/>
      </c>
    </row>
    <row r="1044" ht="12.75" customHeight="1">
      <c r="A1044" s="25" t="str">
        <f t="shared" si="1"/>
        <v/>
      </c>
      <c r="B1044" s="29" t="str">
        <f t="array" ref="B1044">IF(D1044="","",IFERROR(VALUE(INDEX(Vazoes_COLAR!$A$2:$A$200,INT((ROW()-24)/12)+1)),""))</f>
        <v/>
      </c>
      <c r="C1044" s="29" t="str">
        <f t="shared" si="2"/>
        <v/>
      </c>
      <c r="D1044" s="26" t="str">
        <f t="array" ref="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44" s="26" t="str">
        <f t="shared" si="3"/>
        <v/>
      </c>
      <c r="F1044" s="26" t="str">
        <f t="array" ref="F1044">IF(D1044="","",IFERROR(INDEX(Dados_Evap!$C$2:$N$15,MATCH($B$9,Dados_Evap!$A$2:$A$15,0),C1044),0))</f>
        <v/>
      </c>
      <c r="G1044" s="26" t="str">
        <f t="shared" si="4"/>
        <v/>
      </c>
      <c r="H1044" s="26" t="str">
        <f t="shared" si="22"/>
        <v/>
      </c>
      <c r="I1044" s="26" t="str">
        <f t="array" ref="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/>
      </c>
      <c r="J1044" s="26" t="str">
        <f t="shared" si="5"/>
        <v/>
      </c>
      <c r="K1044" s="26" t="str">
        <f t="shared" si="6"/>
        <v/>
      </c>
      <c r="L1044" s="26" t="str">
        <f t="shared" si="7"/>
        <v/>
      </c>
      <c r="M1044" s="26" t="str">
        <f t="array" ref="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/>
      </c>
      <c r="N1044" s="26" t="str">
        <f t="shared" si="8"/>
        <v/>
      </c>
      <c r="O1044" s="26" t="str">
        <f t="shared" si="9"/>
        <v/>
      </c>
      <c r="P1044" s="26" t="str">
        <f t="shared" si="10"/>
        <v/>
      </c>
      <c r="Q1044" s="26" t="str">
        <f t="shared" si="11"/>
        <v/>
      </c>
      <c r="R1044" s="26" t="str">
        <f t="shared" si="12"/>
        <v/>
      </c>
      <c r="S1044" s="26" t="str">
        <f t="shared" si="13"/>
        <v/>
      </c>
      <c r="T1044" s="26" t="str">
        <f t="shared" si="14"/>
        <v/>
      </c>
      <c r="U1044" s="26" t="str">
        <f t="shared" si="15"/>
        <v/>
      </c>
      <c r="V1044" s="26" t="str">
        <f t="shared" si="16"/>
        <v/>
      </c>
      <c r="W1044" s="26" t="str">
        <f t="shared" si="17"/>
        <v/>
      </c>
      <c r="X1044" s="26" t="str">
        <f t="shared" si="18"/>
        <v/>
      </c>
      <c r="Y1044" s="26" t="str">
        <f t="shared" si="19"/>
        <v/>
      </c>
      <c r="Z1044" s="31" t="str">
        <f t="shared" si="20"/>
        <v/>
      </c>
      <c r="AA1044" s="31" t="str">
        <f>IF(D1044="","",IF(H1044&lt;=$B$16,1,IF(H1044&gt;=$B$17,$B$21,MATCH(H1044,Aux_CAV!$A$2:$A$121,1))))</f>
        <v/>
      </c>
      <c r="AB1044" s="31" t="str">
        <f>IF(D1044="","",IF(L1044&lt;=$B$16,1,IF(L1044&gt;=$B$17,$B$21,MATCH(L1044,Aux_CAV!$A$2:$A$121,1))))</f>
        <v/>
      </c>
      <c r="AC1044" s="3" t="str">
        <f t="shared" si="21"/>
        <v/>
      </c>
    </row>
    <row r="1045" ht="12.75" customHeight="1">
      <c r="A1045" s="25" t="str">
        <f t="shared" si="1"/>
        <v/>
      </c>
      <c r="B1045" s="29" t="str">
        <f t="array" ref="B1045">IF(D1045="","",IFERROR(VALUE(INDEX(Vazoes_COLAR!$A$2:$A$200,INT((ROW()-24)/12)+1)),""))</f>
        <v/>
      </c>
      <c r="C1045" s="29" t="str">
        <f t="shared" si="2"/>
        <v/>
      </c>
      <c r="D1045" s="26" t="str">
        <f t="array" ref="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45" s="26" t="str">
        <f t="shared" si="3"/>
        <v/>
      </c>
      <c r="F1045" s="26" t="str">
        <f t="array" ref="F1045">IF(D1045="","",IFERROR(INDEX(Dados_Evap!$C$2:$N$15,MATCH($B$9,Dados_Evap!$A$2:$A$15,0),C1045),0))</f>
        <v/>
      </c>
      <c r="G1045" s="26" t="str">
        <f t="shared" si="4"/>
        <v/>
      </c>
      <c r="H1045" s="26" t="str">
        <f t="shared" si="22"/>
        <v/>
      </c>
      <c r="I1045" s="26" t="str">
        <f t="array" ref="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/>
      </c>
      <c r="J1045" s="26" t="str">
        <f t="shared" si="5"/>
        <v/>
      </c>
      <c r="K1045" s="26" t="str">
        <f t="shared" si="6"/>
        <v/>
      </c>
      <c r="L1045" s="26" t="str">
        <f t="shared" si="7"/>
        <v/>
      </c>
      <c r="M1045" s="26" t="str">
        <f t="array" ref="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/>
      </c>
      <c r="N1045" s="26" t="str">
        <f t="shared" si="8"/>
        <v/>
      </c>
      <c r="O1045" s="26" t="str">
        <f t="shared" si="9"/>
        <v/>
      </c>
      <c r="P1045" s="26" t="str">
        <f t="shared" si="10"/>
        <v/>
      </c>
      <c r="Q1045" s="26" t="str">
        <f t="shared" si="11"/>
        <v/>
      </c>
      <c r="R1045" s="26" t="str">
        <f t="shared" si="12"/>
        <v/>
      </c>
      <c r="S1045" s="26" t="str">
        <f t="shared" si="13"/>
        <v/>
      </c>
      <c r="T1045" s="26" t="str">
        <f t="shared" si="14"/>
        <v/>
      </c>
      <c r="U1045" s="26" t="str">
        <f t="shared" si="15"/>
        <v/>
      </c>
      <c r="V1045" s="26" t="str">
        <f t="shared" si="16"/>
        <v/>
      </c>
      <c r="W1045" s="26" t="str">
        <f t="shared" si="17"/>
        <v/>
      </c>
      <c r="X1045" s="26" t="str">
        <f t="shared" si="18"/>
        <v/>
      </c>
      <c r="Y1045" s="26" t="str">
        <f t="shared" si="19"/>
        <v/>
      </c>
      <c r="Z1045" s="31" t="str">
        <f t="shared" si="20"/>
        <v/>
      </c>
      <c r="AA1045" s="31" t="str">
        <f>IF(D1045="","",IF(H1045&lt;=$B$16,1,IF(H1045&gt;=$B$17,$B$21,MATCH(H1045,Aux_CAV!$A$2:$A$121,1))))</f>
        <v/>
      </c>
      <c r="AB1045" s="31" t="str">
        <f>IF(D1045="","",IF(L1045&lt;=$B$16,1,IF(L1045&gt;=$B$17,$B$21,MATCH(L1045,Aux_CAV!$A$2:$A$121,1))))</f>
        <v/>
      </c>
      <c r="AC1045" s="3" t="str">
        <f t="shared" si="21"/>
        <v/>
      </c>
    </row>
    <row r="1046" ht="12.75" customHeight="1">
      <c r="A1046" s="25" t="str">
        <f t="shared" si="1"/>
        <v/>
      </c>
      <c r="B1046" s="29" t="str">
        <f t="array" ref="B1046">IF(D1046="","",IFERROR(VALUE(INDEX(Vazoes_COLAR!$A$2:$A$200,INT((ROW()-24)/12)+1)),""))</f>
        <v/>
      </c>
      <c r="C1046" s="29" t="str">
        <f t="shared" si="2"/>
        <v/>
      </c>
      <c r="D1046" s="26" t="str">
        <f t="array" ref="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46" s="26" t="str">
        <f t="shared" si="3"/>
        <v/>
      </c>
      <c r="F1046" s="26" t="str">
        <f t="array" ref="F1046">IF(D1046="","",IFERROR(INDEX(Dados_Evap!$C$2:$N$15,MATCH($B$9,Dados_Evap!$A$2:$A$15,0),C1046),0))</f>
        <v/>
      </c>
      <c r="G1046" s="26" t="str">
        <f t="shared" si="4"/>
        <v/>
      </c>
      <c r="H1046" s="26" t="str">
        <f t="shared" si="22"/>
        <v/>
      </c>
      <c r="I1046" s="26" t="str">
        <f t="array" ref="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/>
      </c>
      <c r="J1046" s="26" t="str">
        <f t="shared" si="5"/>
        <v/>
      </c>
      <c r="K1046" s="26" t="str">
        <f t="shared" si="6"/>
        <v/>
      </c>
      <c r="L1046" s="26" t="str">
        <f t="shared" si="7"/>
        <v/>
      </c>
      <c r="M1046" s="26" t="str">
        <f t="array" ref="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/>
      </c>
      <c r="N1046" s="26" t="str">
        <f t="shared" si="8"/>
        <v/>
      </c>
      <c r="O1046" s="26" t="str">
        <f t="shared" si="9"/>
        <v/>
      </c>
      <c r="P1046" s="26" t="str">
        <f t="shared" si="10"/>
        <v/>
      </c>
      <c r="Q1046" s="26" t="str">
        <f t="shared" si="11"/>
        <v/>
      </c>
      <c r="R1046" s="26" t="str">
        <f t="shared" si="12"/>
        <v/>
      </c>
      <c r="S1046" s="26" t="str">
        <f t="shared" si="13"/>
        <v/>
      </c>
      <c r="T1046" s="26" t="str">
        <f t="shared" si="14"/>
        <v/>
      </c>
      <c r="U1046" s="26" t="str">
        <f t="shared" si="15"/>
        <v/>
      </c>
      <c r="V1046" s="26" t="str">
        <f t="shared" si="16"/>
        <v/>
      </c>
      <c r="W1046" s="26" t="str">
        <f t="shared" si="17"/>
        <v/>
      </c>
      <c r="X1046" s="26" t="str">
        <f t="shared" si="18"/>
        <v/>
      </c>
      <c r="Y1046" s="26" t="str">
        <f t="shared" si="19"/>
        <v/>
      </c>
      <c r="Z1046" s="31" t="str">
        <f t="shared" si="20"/>
        <v/>
      </c>
      <c r="AA1046" s="31" t="str">
        <f>IF(D1046="","",IF(H1046&lt;=$B$16,1,IF(H1046&gt;=$B$17,$B$21,MATCH(H1046,Aux_CAV!$A$2:$A$121,1))))</f>
        <v/>
      </c>
      <c r="AB1046" s="31" t="str">
        <f>IF(D1046="","",IF(L1046&lt;=$B$16,1,IF(L1046&gt;=$B$17,$B$21,MATCH(L1046,Aux_CAV!$A$2:$A$121,1))))</f>
        <v/>
      </c>
      <c r="AC1046" s="3" t="str">
        <f t="shared" si="21"/>
        <v/>
      </c>
    </row>
    <row r="1047" ht="12.75" customHeight="1">
      <c r="A1047" s="25" t="str">
        <f t="shared" si="1"/>
        <v/>
      </c>
      <c r="B1047" s="29" t="str">
        <f t="array" ref="B1047">IF(D1047="","",IFERROR(VALUE(INDEX(Vazoes_COLAR!$A$2:$A$200,INT((ROW()-24)/12)+1)),""))</f>
        <v/>
      </c>
      <c r="C1047" s="29" t="str">
        <f t="shared" si="2"/>
        <v/>
      </c>
      <c r="D1047" s="26" t="str">
        <f t="array" ref="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47" s="26" t="str">
        <f t="shared" si="3"/>
        <v/>
      </c>
      <c r="F1047" s="26" t="str">
        <f t="array" ref="F1047">IF(D1047="","",IFERROR(INDEX(Dados_Evap!$C$2:$N$15,MATCH($B$9,Dados_Evap!$A$2:$A$15,0),C1047),0))</f>
        <v/>
      </c>
      <c r="G1047" s="26" t="str">
        <f t="shared" si="4"/>
        <v/>
      </c>
      <c r="H1047" s="26" t="str">
        <f t="shared" si="22"/>
        <v/>
      </c>
      <c r="I1047" s="26" t="str">
        <f t="array" ref="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/>
      </c>
      <c r="J1047" s="26" t="str">
        <f t="shared" si="5"/>
        <v/>
      </c>
      <c r="K1047" s="26" t="str">
        <f t="shared" si="6"/>
        <v/>
      </c>
      <c r="L1047" s="26" t="str">
        <f t="shared" si="7"/>
        <v/>
      </c>
      <c r="M1047" s="26" t="str">
        <f t="array" ref="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/>
      </c>
      <c r="N1047" s="26" t="str">
        <f t="shared" si="8"/>
        <v/>
      </c>
      <c r="O1047" s="26" t="str">
        <f t="shared" si="9"/>
        <v/>
      </c>
      <c r="P1047" s="26" t="str">
        <f t="shared" si="10"/>
        <v/>
      </c>
      <c r="Q1047" s="26" t="str">
        <f t="shared" si="11"/>
        <v/>
      </c>
      <c r="R1047" s="26" t="str">
        <f t="shared" si="12"/>
        <v/>
      </c>
      <c r="S1047" s="26" t="str">
        <f t="shared" si="13"/>
        <v/>
      </c>
      <c r="T1047" s="26" t="str">
        <f t="shared" si="14"/>
        <v/>
      </c>
      <c r="U1047" s="26" t="str">
        <f t="shared" si="15"/>
        <v/>
      </c>
      <c r="V1047" s="26" t="str">
        <f t="shared" si="16"/>
        <v/>
      </c>
      <c r="W1047" s="26" t="str">
        <f t="shared" si="17"/>
        <v/>
      </c>
      <c r="X1047" s="26" t="str">
        <f t="shared" si="18"/>
        <v/>
      </c>
      <c r="Y1047" s="26" t="str">
        <f t="shared" si="19"/>
        <v/>
      </c>
      <c r="Z1047" s="31" t="str">
        <f t="shared" si="20"/>
        <v/>
      </c>
      <c r="AA1047" s="31" t="str">
        <f>IF(D1047="","",IF(H1047&lt;=$B$16,1,IF(H1047&gt;=$B$17,$B$21,MATCH(H1047,Aux_CAV!$A$2:$A$121,1))))</f>
        <v/>
      </c>
      <c r="AB1047" s="31" t="str">
        <f>IF(D1047="","",IF(L1047&lt;=$B$16,1,IF(L1047&gt;=$B$17,$B$21,MATCH(L1047,Aux_CAV!$A$2:$A$121,1))))</f>
        <v/>
      </c>
      <c r="AC1047" s="3" t="str">
        <f t="shared" si="21"/>
        <v/>
      </c>
    </row>
    <row r="1048" ht="12.75" customHeight="1">
      <c r="A1048" s="25" t="str">
        <f t="shared" si="1"/>
        <v/>
      </c>
      <c r="B1048" s="29" t="str">
        <f t="array" ref="B1048">IF(D1048="","",IFERROR(VALUE(INDEX(Vazoes_COLAR!$A$2:$A$200,INT((ROW()-24)/12)+1)),""))</f>
        <v/>
      </c>
      <c r="C1048" s="29" t="str">
        <f t="shared" si="2"/>
        <v/>
      </c>
      <c r="D1048" s="26" t="str">
        <f t="array" ref="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48" s="26" t="str">
        <f t="shared" si="3"/>
        <v/>
      </c>
      <c r="F1048" s="26" t="str">
        <f t="array" ref="F1048">IF(D1048="","",IFERROR(INDEX(Dados_Evap!$C$2:$N$15,MATCH($B$9,Dados_Evap!$A$2:$A$15,0),C1048),0))</f>
        <v/>
      </c>
      <c r="G1048" s="26" t="str">
        <f t="shared" si="4"/>
        <v/>
      </c>
      <c r="H1048" s="26" t="str">
        <f t="shared" si="22"/>
        <v/>
      </c>
      <c r="I1048" s="26" t="str">
        <f t="array" ref="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/>
      </c>
      <c r="J1048" s="26" t="str">
        <f t="shared" si="5"/>
        <v/>
      </c>
      <c r="K1048" s="26" t="str">
        <f t="shared" si="6"/>
        <v/>
      </c>
      <c r="L1048" s="26" t="str">
        <f t="shared" si="7"/>
        <v/>
      </c>
      <c r="M1048" s="26" t="str">
        <f t="array" ref="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/>
      </c>
      <c r="N1048" s="26" t="str">
        <f t="shared" si="8"/>
        <v/>
      </c>
      <c r="O1048" s="26" t="str">
        <f t="shared" si="9"/>
        <v/>
      </c>
      <c r="P1048" s="26" t="str">
        <f t="shared" si="10"/>
        <v/>
      </c>
      <c r="Q1048" s="26" t="str">
        <f t="shared" si="11"/>
        <v/>
      </c>
      <c r="R1048" s="26" t="str">
        <f t="shared" si="12"/>
        <v/>
      </c>
      <c r="S1048" s="26" t="str">
        <f t="shared" si="13"/>
        <v/>
      </c>
      <c r="T1048" s="26" t="str">
        <f t="shared" si="14"/>
        <v/>
      </c>
      <c r="U1048" s="26" t="str">
        <f t="shared" si="15"/>
        <v/>
      </c>
      <c r="V1048" s="26" t="str">
        <f t="shared" si="16"/>
        <v/>
      </c>
      <c r="W1048" s="26" t="str">
        <f t="shared" si="17"/>
        <v/>
      </c>
      <c r="X1048" s="26" t="str">
        <f t="shared" si="18"/>
        <v/>
      </c>
      <c r="Y1048" s="26" t="str">
        <f t="shared" si="19"/>
        <v/>
      </c>
      <c r="Z1048" s="31" t="str">
        <f t="shared" si="20"/>
        <v/>
      </c>
      <c r="AA1048" s="31" t="str">
        <f>IF(D1048="","",IF(H1048&lt;=$B$16,1,IF(H1048&gt;=$B$17,$B$21,MATCH(H1048,Aux_CAV!$A$2:$A$121,1))))</f>
        <v/>
      </c>
      <c r="AB1048" s="31" t="str">
        <f>IF(D1048="","",IF(L1048&lt;=$B$16,1,IF(L1048&gt;=$B$17,$B$21,MATCH(L1048,Aux_CAV!$A$2:$A$121,1))))</f>
        <v/>
      </c>
      <c r="AC1048" s="3" t="str">
        <f t="shared" si="21"/>
        <v/>
      </c>
    </row>
    <row r="1049" ht="12.75" customHeight="1">
      <c r="A1049" s="25" t="str">
        <f t="shared" si="1"/>
        <v/>
      </c>
      <c r="B1049" s="29" t="str">
        <f t="array" ref="B1049">IF(D1049="","",IFERROR(VALUE(INDEX(Vazoes_COLAR!$A$2:$A$200,INT((ROW()-24)/12)+1)),""))</f>
        <v/>
      </c>
      <c r="C1049" s="29" t="str">
        <f t="shared" si="2"/>
        <v/>
      </c>
      <c r="D1049" s="26" t="str">
        <f t="array" ref="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49" s="26" t="str">
        <f t="shared" si="3"/>
        <v/>
      </c>
      <c r="F1049" s="26" t="str">
        <f t="array" ref="F1049">IF(D1049="","",IFERROR(INDEX(Dados_Evap!$C$2:$N$15,MATCH($B$9,Dados_Evap!$A$2:$A$15,0),C1049),0))</f>
        <v/>
      </c>
      <c r="G1049" s="26" t="str">
        <f t="shared" si="4"/>
        <v/>
      </c>
      <c r="H1049" s="26" t="str">
        <f t="shared" si="22"/>
        <v/>
      </c>
      <c r="I1049" s="26" t="str">
        <f t="array" ref="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/>
      </c>
      <c r="J1049" s="26" t="str">
        <f t="shared" si="5"/>
        <v/>
      </c>
      <c r="K1049" s="26" t="str">
        <f t="shared" si="6"/>
        <v/>
      </c>
      <c r="L1049" s="26" t="str">
        <f t="shared" si="7"/>
        <v/>
      </c>
      <c r="M1049" s="26" t="str">
        <f t="array" ref="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/>
      </c>
      <c r="N1049" s="26" t="str">
        <f t="shared" si="8"/>
        <v/>
      </c>
      <c r="O1049" s="26" t="str">
        <f t="shared" si="9"/>
        <v/>
      </c>
      <c r="P1049" s="26" t="str">
        <f t="shared" si="10"/>
        <v/>
      </c>
      <c r="Q1049" s="26" t="str">
        <f t="shared" si="11"/>
        <v/>
      </c>
      <c r="R1049" s="26" t="str">
        <f t="shared" si="12"/>
        <v/>
      </c>
      <c r="S1049" s="26" t="str">
        <f t="shared" si="13"/>
        <v/>
      </c>
      <c r="T1049" s="26" t="str">
        <f t="shared" si="14"/>
        <v/>
      </c>
      <c r="U1049" s="26" t="str">
        <f t="shared" si="15"/>
        <v/>
      </c>
      <c r="V1049" s="26" t="str">
        <f t="shared" si="16"/>
        <v/>
      </c>
      <c r="W1049" s="26" t="str">
        <f t="shared" si="17"/>
        <v/>
      </c>
      <c r="X1049" s="26" t="str">
        <f t="shared" si="18"/>
        <v/>
      </c>
      <c r="Y1049" s="26" t="str">
        <f t="shared" si="19"/>
        <v/>
      </c>
      <c r="Z1049" s="31" t="str">
        <f t="shared" si="20"/>
        <v/>
      </c>
      <c r="AA1049" s="31" t="str">
        <f>IF(D1049="","",IF(H1049&lt;=$B$16,1,IF(H1049&gt;=$B$17,$B$21,MATCH(H1049,Aux_CAV!$A$2:$A$121,1))))</f>
        <v/>
      </c>
      <c r="AB1049" s="31" t="str">
        <f>IF(D1049="","",IF(L1049&lt;=$B$16,1,IF(L1049&gt;=$B$17,$B$21,MATCH(L1049,Aux_CAV!$A$2:$A$121,1))))</f>
        <v/>
      </c>
      <c r="AC1049" s="3" t="str">
        <f t="shared" si="21"/>
        <v/>
      </c>
    </row>
    <row r="1050" ht="12.75" customHeight="1">
      <c r="A1050" s="25" t="str">
        <f t="shared" si="1"/>
        <v/>
      </c>
      <c r="B1050" s="29" t="str">
        <f t="array" ref="B1050">IF(D1050="","",IFERROR(VALUE(INDEX(Vazoes_COLAR!$A$2:$A$200,INT((ROW()-24)/12)+1)),""))</f>
        <v/>
      </c>
      <c r="C1050" s="29" t="str">
        <f t="shared" si="2"/>
        <v/>
      </c>
      <c r="D1050" s="26" t="str">
        <f t="array" ref="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50" s="26" t="str">
        <f t="shared" si="3"/>
        <v/>
      </c>
      <c r="F1050" s="26" t="str">
        <f t="array" ref="F1050">IF(D1050="","",IFERROR(INDEX(Dados_Evap!$C$2:$N$15,MATCH($B$9,Dados_Evap!$A$2:$A$15,0),C1050),0))</f>
        <v/>
      </c>
      <c r="G1050" s="26" t="str">
        <f t="shared" si="4"/>
        <v/>
      </c>
      <c r="H1050" s="26" t="str">
        <f t="shared" si="22"/>
        <v/>
      </c>
      <c r="I1050" s="26" t="str">
        <f t="array" ref="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/>
      </c>
      <c r="J1050" s="26" t="str">
        <f t="shared" si="5"/>
        <v/>
      </c>
      <c r="K1050" s="26" t="str">
        <f t="shared" si="6"/>
        <v/>
      </c>
      <c r="L1050" s="26" t="str">
        <f t="shared" si="7"/>
        <v/>
      </c>
      <c r="M1050" s="26" t="str">
        <f t="array" ref="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/>
      </c>
      <c r="N1050" s="26" t="str">
        <f t="shared" si="8"/>
        <v/>
      </c>
      <c r="O1050" s="26" t="str">
        <f t="shared" si="9"/>
        <v/>
      </c>
      <c r="P1050" s="26" t="str">
        <f t="shared" si="10"/>
        <v/>
      </c>
      <c r="Q1050" s="26" t="str">
        <f t="shared" si="11"/>
        <v/>
      </c>
      <c r="R1050" s="26" t="str">
        <f t="shared" si="12"/>
        <v/>
      </c>
      <c r="S1050" s="26" t="str">
        <f t="shared" si="13"/>
        <v/>
      </c>
      <c r="T1050" s="26" t="str">
        <f t="shared" si="14"/>
        <v/>
      </c>
      <c r="U1050" s="26" t="str">
        <f t="shared" si="15"/>
        <v/>
      </c>
      <c r="V1050" s="26" t="str">
        <f t="shared" si="16"/>
        <v/>
      </c>
      <c r="W1050" s="26" t="str">
        <f t="shared" si="17"/>
        <v/>
      </c>
      <c r="X1050" s="26" t="str">
        <f t="shared" si="18"/>
        <v/>
      </c>
      <c r="Y1050" s="26" t="str">
        <f t="shared" si="19"/>
        <v/>
      </c>
      <c r="Z1050" s="31" t="str">
        <f t="shared" si="20"/>
        <v/>
      </c>
      <c r="AA1050" s="31" t="str">
        <f>IF(D1050="","",IF(H1050&lt;=$B$16,1,IF(H1050&gt;=$B$17,$B$21,MATCH(H1050,Aux_CAV!$A$2:$A$121,1))))</f>
        <v/>
      </c>
      <c r="AB1050" s="31" t="str">
        <f>IF(D1050="","",IF(L1050&lt;=$B$16,1,IF(L1050&gt;=$B$17,$B$21,MATCH(L1050,Aux_CAV!$A$2:$A$121,1))))</f>
        <v/>
      </c>
      <c r="AC1050" s="3" t="str">
        <f t="shared" si="21"/>
        <v/>
      </c>
    </row>
    <row r="1051" ht="12.75" customHeight="1">
      <c r="A1051" s="25" t="str">
        <f t="shared" si="1"/>
        <v/>
      </c>
      <c r="B1051" s="29" t="str">
        <f t="array" ref="B1051">IF(D1051="","",IFERROR(VALUE(INDEX(Vazoes_COLAR!$A$2:$A$200,INT((ROW()-24)/12)+1)),""))</f>
        <v/>
      </c>
      <c r="C1051" s="29" t="str">
        <f t="shared" si="2"/>
        <v/>
      </c>
      <c r="D1051" s="26" t="str">
        <f t="array" ref="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51" s="26" t="str">
        <f t="shared" si="3"/>
        <v/>
      </c>
      <c r="F1051" s="26" t="str">
        <f t="array" ref="F1051">IF(D1051="","",IFERROR(INDEX(Dados_Evap!$C$2:$N$15,MATCH($B$9,Dados_Evap!$A$2:$A$15,0),C1051),0))</f>
        <v/>
      </c>
      <c r="G1051" s="26" t="str">
        <f t="shared" si="4"/>
        <v/>
      </c>
      <c r="H1051" s="26" t="str">
        <f t="shared" si="22"/>
        <v/>
      </c>
      <c r="I1051" s="26" t="str">
        <f t="array" ref="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/>
      </c>
      <c r="J1051" s="26" t="str">
        <f t="shared" si="5"/>
        <v/>
      </c>
      <c r="K1051" s="26" t="str">
        <f t="shared" si="6"/>
        <v/>
      </c>
      <c r="L1051" s="26" t="str">
        <f t="shared" si="7"/>
        <v/>
      </c>
      <c r="M1051" s="26" t="str">
        <f t="array" ref="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/>
      </c>
      <c r="N1051" s="26" t="str">
        <f t="shared" si="8"/>
        <v/>
      </c>
      <c r="O1051" s="26" t="str">
        <f t="shared" si="9"/>
        <v/>
      </c>
      <c r="P1051" s="26" t="str">
        <f t="shared" si="10"/>
        <v/>
      </c>
      <c r="Q1051" s="26" t="str">
        <f t="shared" si="11"/>
        <v/>
      </c>
      <c r="R1051" s="26" t="str">
        <f t="shared" si="12"/>
        <v/>
      </c>
      <c r="S1051" s="26" t="str">
        <f t="shared" si="13"/>
        <v/>
      </c>
      <c r="T1051" s="26" t="str">
        <f t="shared" si="14"/>
        <v/>
      </c>
      <c r="U1051" s="26" t="str">
        <f t="shared" si="15"/>
        <v/>
      </c>
      <c r="V1051" s="26" t="str">
        <f t="shared" si="16"/>
        <v/>
      </c>
      <c r="W1051" s="26" t="str">
        <f t="shared" si="17"/>
        <v/>
      </c>
      <c r="X1051" s="26" t="str">
        <f t="shared" si="18"/>
        <v/>
      </c>
      <c r="Y1051" s="26" t="str">
        <f t="shared" si="19"/>
        <v/>
      </c>
      <c r="Z1051" s="31" t="str">
        <f t="shared" si="20"/>
        <v/>
      </c>
      <c r="AA1051" s="31" t="str">
        <f>IF(D1051="","",IF(H1051&lt;=$B$16,1,IF(H1051&gt;=$B$17,$B$21,MATCH(H1051,Aux_CAV!$A$2:$A$121,1))))</f>
        <v/>
      </c>
      <c r="AB1051" s="31" t="str">
        <f>IF(D1051="","",IF(L1051&lt;=$B$16,1,IF(L1051&gt;=$B$17,$B$21,MATCH(L1051,Aux_CAV!$A$2:$A$121,1))))</f>
        <v/>
      </c>
      <c r="AC1051" s="3" t="str">
        <f t="shared" si="21"/>
        <v/>
      </c>
    </row>
    <row r="1052" ht="12.75" customHeight="1">
      <c r="A1052" s="25" t="str">
        <f t="shared" si="1"/>
        <v/>
      </c>
      <c r="B1052" s="29" t="str">
        <f t="array" ref="B1052">IF(D1052="","",IFERROR(VALUE(INDEX(Vazoes_COLAR!$A$2:$A$200,INT((ROW()-24)/12)+1)),""))</f>
        <v/>
      </c>
      <c r="C1052" s="29" t="str">
        <f t="shared" si="2"/>
        <v/>
      </c>
      <c r="D1052" s="26" t="str">
        <f t="array" ref="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52" s="26" t="str">
        <f t="shared" si="3"/>
        <v/>
      </c>
      <c r="F1052" s="26" t="str">
        <f t="array" ref="F1052">IF(D1052="","",IFERROR(INDEX(Dados_Evap!$C$2:$N$15,MATCH($B$9,Dados_Evap!$A$2:$A$15,0),C1052),0))</f>
        <v/>
      </c>
      <c r="G1052" s="26" t="str">
        <f t="shared" si="4"/>
        <v/>
      </c>
      <c r="H1052" s="26" t="str">
        <f t="shared" si="22"/>
        <v/>
      </c>
      <c r="I1052" s="26" t="str">
        <f t="array" ref="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/>
      </c>
      <c r="J1052" s="26" t="str">
        <f t="shared" si="5"/>
        <v/>
      </c>
      <c r="K1052" s="26" t="str">
        <f t="shared" si="6"/>
        <v/>
      </c>
      <c r="L1052" s="26" t="str">
        <f t="shared" si="7"/>
        <v/>
      </c>
      <c r="M1052" s="26" t="str">
        <f t="array" ref="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/>
      </c>
      <c r="N1052" s="26" t="str">
        <f t="shared" si="8"/>
        <v/>
      </c>
      <c r="O1052" s="26" t="str">
        <f t="shared" si="9"/>
        <v/>
      </c>
      <c r="P1052" s="26" t="str">
        <f t="shared" si="10"/>
        <v/>
      </c>
      <c r="Q1052" s="26" t="str">
        <f t="shared" si="11"/>
        <v/>
      </c>
      <c r="R1052" s="26" t="str">
        <f t="shared" si="12"/>
        <v/>
      </c>
      <c r="S1052" s="26" t="str">
        <f t="shared" si="13"/>
        <v/>
      </c>
      <c r="T1052" s="26" t="str">
        <f t="shared" si="14"/>
        <v/>
      </c>
      <c r="U1052" s="26" t="str">
        <f t="shared" si="15"/>
        <v/>
      </c>
      <c r="V1052" s="26" t="str">
        <f t="shared" si="16"/>
        <v/>
      </c>
      <c r="W1052" s="26" t="str">
        <f t="shared" si="17"/>
        <v/>
      </c>
      <c r="X1052" s="26" t="str">
        <f t="shared" si="18"/>
        <v/>
      </c>
      <c r="Y1052" s="26" t="str">
        <f t="shared" si="19"/>
        <v/>
      </c>
      <c r="Z1052" s="31" t="str">
        <f t="shared" si="20"/>
        <v/>
      </c>
      <c r="AA1052" s="31" t="str">
        <f>IF(D1052="","",IF(H1052&lt;=$B$16,1,IF(H1052&gt;=$B$17,$B$21,MATCH(H1052,Aux_CAV!$A$2:$A$121,1))))</f>
        <v/>
      </c>
      <c r="AB1052" s="31" t="str">
        <f>IF(D1052="","",IF(L1052&lt;=$B$16,1,IF(L1052&gt;=$B$17,$B$21,MATCH(L1052,Aux_CAV!$A$2:$A$121,1))))</f>
        <v/>
      </c>
      <c r="AC1052" s="3" t="str">
        <f t="shared" si="21"/>
        <v/>
      </c>
    </row>
    <row r="1053" ht="12.75" customHeight="1">
      <c r="A1053" s="25" t="str">
        <f t="shared" si="1"/>
        <v/>
      </c>
      <c r="B1053" s="29" t="str">
        <f t="array" ref="B1053">IF(D1053="","",IFERROR(VALUE(INDEX(Vazoes_COLAR!$A$2:$A$200,INT((ROW()-24)/12)+1)),""))</f>
        <v/>
      </c>
      <c r="C1053" s="29" t="str">
        <f t="shared" si="2"/>
        <v/>
      </c>
      <c r="D1053" s="26" t="str">
        <f t="array" ref="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53" s="26" t="str">
        <f t="shared" si="3"/>
        <v/>
      </c>
      <c r="F1053" s="26" t="str">
        <f t="array" ref="F1053">IF(D1053="","",IFERROR(INDEX(Dados_Evap!$C$2:$N$15,MATCH($B$9,Dados_Evap!$A$2:$A$15,0),C1053),0))</f>
        <v/>
      </c>
      <c r="G1053" s="26" t="str">
        <f t="shared" si="4"/>
        <v/>
      </c>
      <c r="H1053" s="26" t="str">
        <f t="shared" si="22"/>
        <v/>
      </c>
      <c r="I1053" s="26" t="str">
        <f t="array" ref="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/>
      </c>
      <c r="J1053" s="26" t="str">
        <f t="shared" si="5"/>
        <v/>
      </c>
      <c r="K1053" s="26" t="str">
        <f t="shared" si="6"/>
        <v/>
      </c>
      <c r="L1053" s="26" t="str">
        <f t="shared" si="7"/>
        <v/>
      </c>
      <c r="M1053" s="26" t="str">
        <f t="array" ref="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/>
      </c>
      <c r="N1053" s="26" t="str">
        <f t="shared" si="8"/>
        <v/>
      </c>
      <c r="O1053" s="26" t="str">
        <f t="shared" si="9"/>
        <v/>
      </c>
      <c r="P1053" s="26" t="str">
        <f t="shared" si="10"/>
        <v/>
      </c>
      <c r="Q1053" s="26" t="str">
        <f t="shared" si="11"/>
        <v/>
      </c>
      <c r="R1053" s="26" t="str">
        <f t="shared" si="12"/>
        <v/>
      </c>
      <c r="S1053" s="26" t="str">
        <f t="shared" si="13"/>
        <v/>
      </c>
      <c r="T1053" s="26" t="str">
        <f t="shared" si="14"/>
        <v/>
      </c>
      <c r="U1053" s="26" t="str">
        <f t="shared" si="15"/>
        <v/>
      </c>
      <c r="V1053" s="26" t="str">
        <f t="shared" si="16"/>
        <v/>
      </c>
      <c r="W1053" s="26" t="str">
        <f t="shared" si="17"/>
        <v/>
      </c>
      <c r="X1053" s="26" t="str">
        <f t="shared" si="18"/>
        <v/>
      </c>
      <c r="Y1053" s="26" t="str">
        <f t="shared" si="19"/>
        <v/>
      </c>
      <c r="Z1053" s="31" t="str">
        <f t="shared" si="20"/>
        <v/>
      </c>
      <c r="AA1053" s="31" t="str">
        <f>IF(D1053="","",IF(H1053&lt;=$B$16,1,IF(H1053&gt;=$B$17,$B$21,MATCH(H1053,Aux_CAV!$A$2:$A$121,1))))</f>
        <v/>
      </c>
      <c r="AB1053" s="31" t="str">
        <f>IF(D1053="","",IF(L1053&lt;=$B$16,1,IF(L1053&gt;=$B$17,$B$21,MATCH(L1053,Aux_CAV!$A$2:$A$121,1))))</f>
        <v/>
      </c>
      <c r="AC1053" s="3" t="str">
        <f t="shared" si="21"/>
        <v/>
      </c>
    </row>
    <row r="1054" ht="12.75" customHeight="1">
      <c r="A1054" s="25" t="str">
        <f t="shared" si="1"/>
        <v/>
      </c>
      <c r="B1054" s="29" t="str">
        <f t="array" ref="B1054">IF(D1054="","",IFERROR(VALUE(INDEX(Vazoes_COLAR!$A$2:$A$200,INT((ROW()-24)/12)+1)),""))</f>
        <v/>
      </c>
      <c r="C1054" s="29" t="str">
        <f t="shared" si="2"/>
        <v/>
      </c>
      <c r="D1054" s="26" t="str">
        <f t="array" ref="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54" s="26" t="str">
        <f t="shared" si="3"/>
        <v/>
      </c>
      <c r="F1054" s="26" t="str">
        <f t="array" ref="F1054">IF(D1054="","",IFERROR(INDEX(Dados_Evap!$C$2:$N$15,MATCH($B$9,Dados_Evap!$A$2:$A$15,0),C1054),0))</f>
        <v/>
      </c>
      <c r="G1054" s="26" t="str">
        <f t="shared" si="4"/>
        <v/>
      </c>
      <c r="H1054" s="26" t="str">
        <f t="shared" si="22"/>
        <v/>
      </c>
      <c r="I1054" s="26" t="str">
        <f t="array" ref="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/>
      </c>
      <c r="J1054" s="26" t="str">
        <f t="shared" si="5"/>
        <v/>
      </c>
      <c r="K1054" s="26" t="str">
        <f t="shared" si="6"/>
        <v/>
      </c>
      <c r="L1054" s="26" t="str">
        <f t="shared" si="7"/>
        <v/>
      </c>
      <c r="M1054" s="26" t="str">
        <f t="array" ref="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/>
      </c>
      <c r="N1054" s="26" t="str">
        <f t="shared" si="8"/>
        <v/>
      </c>
      <c r="O1054" s="26" t="str">
        <f t="shared" si="9"/>
        <v/>
      </c>
      <c r="P1054" s="26" t="str">
        <f t="shared" si="10"/>
        <v/>
      </c>
      <c r="Q1054" s="26" t="str">
        <f t="shared" si="11"/>
        <v/>
      </c>
      <c r="R1054" s="26" t="str">
        <f t="shared" si="12"/>
        <v/>
      </c>
      <c r="S1054" s="26" t="str">
        <f t="shared" si="13"/>
        <v/>
      </c>
      <c r="T1054" s="26" t="str">
        <f t="shared" si="14"/>
        <v/>
      </c>
      <c r="U1054" s="26" t="str">
        <f t="shared" si="15"/>
        <v/>
      </c>
      <c r="V1054" s="26" t="str">
        <f t="shared" si="16"/>
        <v/>
      </c>
      <c r="W1054" s="26" t="str">
        <f t="shared" si="17"/>
        <v/>
      </c>
      <c r="X1054" s="26" t="str">
        <f t="shared" si="18"/>
        <v/>
      </c>
      <c r="Y1054" s="26" t="str">
        <f t="shared" si="19"/>
        <v/>
      </c>
      <c r="Z1054" s="31" t="str">
        <f t="shared" si="20"/>
        <v/>
      </c>
      <c r="AA1054" s="31" t="str">
        <f>IF(D1054="","",IF(H1054&lt;=$B$16,1,IF(H1054&gt;=$B$17,$B$21,MATCH(H1054,Aux_CAV!$A$2:$A$121,1))))</f>
        <v/>
      </c>
      <c r="AB1054" s="31" t="str">
        <f>IF(D1054="","",IF(L1054&lt;=$B$16,1,IF(L1054&gt;=$B$17,$B$21,MATCH(L1054,Aux_CAV!$A$2:$A$121,1))))</f>
        <v/>
      </c>
      <c r="AC1054" s="3" t="str">
        <f t="shared" si="21"/>
        <v/>
      </c>
    </row>
    <row r="1055" ht="12.75" customHeight="1">
      <c r="A1055" s="25" t="str">
        <f t="shared" si="1"/>
        <v/>
      </c>
      <c r="B1055" s="29" t="str">
        <f t="array" ref="B1055">IF(D1055="","",IFERROR(VALUE(INDEX(Vazoes_COLAR!$A$2:$A$200,INT((ROW()-24)/12)+1)),""))</f>
        <v/>
      </c>
      <c r="C1055" s="29" t="str">
        <f t="shared" si="2"/>
        <v/>
      </c>
      <c r="D1055" s="26" t="str">
        <f t="array" ref="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55" s="26" t="str">
        <f t="shared" si="3"/>
        <v/>
      </c>
      <c r="F1055" s="26" t="str">
        <f t="array" ref="F1055">IF(D1055="","",IFERROR(INDEX(Dados_Evap!$C$2:$N$15,MATCH($B$9,Dados_Evap!$A$2:$A$15,0),C1055),0))</f>
        <v/>
      </c>
      <c r="G1055" s="26" t="str">
        <f t="shared" si="4"/>
        <v/>
      </c>
      <c r="H1055" s="26" t="str">
        <f t="shared" si="22"/>
        <v/>
      </c>
      <c r="I1055" s="26" t="str">
        <f t="array" ref="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/>
      </c>
      <c r="J1055" s="26" t="str">
        <f t="shared" si="5"/>
        <v/>
      </c>
      <c r="K1055" s="26" t="str">
        <f t="shared" si="6"/>
        <v/>
      </c>
      <c r="L1055" s="26" t="str">
        <f t="shared" si="7"/>
        <v/>
      </c>
      <c r="M1055" s="26" t="str">
        <f t="array" ref="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/>
      </c>
      <c r="N1055" s="26" t="str">
        <f t="shared" si="8"/>
        <v/>
      </c>
      <c r="O1055" s="26" t="str">
        <f t="shared" si="9"/>
        <v/>
      </c>
      <c r="P1055" s="26" t="str">
        <f t="shared" si="10"/>
        <v/>
      </c>
      <c r="Q1055" s="26" t="str">
        <f t="shared" si="11"/>
        <v/>
      </c>
      <c r="R1055" s="26" t="str">
        <f t="shared" si="12"/>
        <v/>
      </c>
      <c r="S1055" s="26" t="str">
        <f t="shared" si="13"/>
        <v/>
      </c>
      <c r="T1055" s="26" t="str">
        <f t="shared" si="14"/>
        <v/>
      </c>
      <c r="U1055" s="26" t="str">
        <f t="shared" si="15"/>
        <v/>
      </c>
      <c r="V1055" s="26" t="str">
        <f t="shared" si="16"/>
        <v/>
      </c>
      <c r="W1055" s="26" t="str">
        <f t="shared" si="17"/>
        <v/>
      </c>
      <c r="X1055" s="26" t="str">
        <f t="shared" si="18"/>
        <v/>
      </c>
      <c r="Y1055" s="26" t="str">
        <f t="shared" si="19"/>
        <v/>
      </c>
      <c r="Z1055" s="31" t="str">
        <f t="shared" si="20"/>
        <v/>
      </c>
      <c r="AA1055" s="31" t="str">
        <f>IF(D1055="","",IF(H1055&lt;=$B$16,1,IF(H1055&gt;=$B$17,$B$21,MATCH(H1055,Aux_CAV!$A$2:$A$121,1))))</f>
        <v/>
      </c>
      <c r="AB1055" s="31" t="str">
        <f>IF(D1055="","",IF(L1055&lt;=$B$16,1,IF(L1055&gt;=$B$17,$B$21,MATCH(L1055,Aux_CAV!$A$2:$A$121,1))))</f>
        <v/>
      </c>
      <c r="AC1055" s="3" t="str">
        <f t="shared" si="21"/>
        <v/>
      </c>
    </row>
    <row r="1056" ht="12.75" customHeight="1">
      <c r="A1056" s="25" t="str">
        <f t="shared" si="1"/>
        <v/>
      </c>
      <c r="B1056" s="29" t="str">
        <f t="array" ref="B1056">IF(D1056="","",IFERROR(VALUE(INDEX(Vazoes_COLAR!$A$2:$A$200,INT((ROW()-24)/12)+1)),""))</f>
        <v/>
      </c>
      <c r="C1056" s="29" t="str">
        <f t="shared" si="2"/>
        <v/>
      </c>
      <c r="D1056" s="26" t="str">
        <f t="array" ref="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56" s="26" t="str">
        <f t="shared" si="3"/>
        <v/>
      </c>
      <c r="F1056" s="26" t="str">
        <f t="array" ref="F1056">IF(D1056="","",IFERROR(INDEX(Dados_Evap!$C$2:$N$15,MATCH($B$9,Dados_Evap!$A$2:$A$15,0),C1056),0))</f>
        <v/>
      </c>
      <c r="G1056" s="26" t="str">
        <f t="shared" si="4"/>
        <v/>
      </c>
      <c r="H1056" s="26" t="str">
        <f t="shared" si="22"/>
        <v/>
      </c>
      <c r="I1056" s="26" t="str">
        <f t="array" ref="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/>
      </c>
      <c r="J1056" s="26" t="str">
        <f t="shared" si="5"/>
        <v/>
      </c>
      <c r="K1056" s="26" t="str">
        <f t="shared" si="6"/>
        <v/>
      </c>
      <c r="L1056" s="26" t="str">
        <f t="shared" si="7"/>
        <v/>
      </c>
      <c r="M1056" s="26" t="str">
        <f t="array" ref="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/>
      </c>
      <c r="N1056" s="26" t="str">
        <f t="shared" si="8"/>
        <v/>
      </c>
      <c r="O1056" s="26" t="str">
        <f t="shared" si="9"/>
        <v/>
      </c>
      <c r="P1056" s="26" t="str">
        <f t="shared" si="10"/>
        <v/>
      </c>
      <c r="Q1056" s="26" t="str">
        <f t="shared" si="11"/>
        <v/>
      </c>
      <c r="R1056" s="26" t="str">
        <f t="shared" si="12"/>
        <v/>
      </c>
      <c r="S1056" s="26" t="str">
        <f t="shared" si="13"/>
        <v/>
      </c>
      <c r="T1056" s="26" t="str">
        <f t="shared" si="14"/>
        <v/>
      </c>
      <c r="U1056" s="26" t="str">
        <f t="shared" si="15"/>
        <v/>
      </c>
      <c r="V1056" s="26" t="str">
        <f t="shared" si="16"/>
        <v/>
      </c>
      <c r="W1056" s="26" t="str">
        <f t="shared" si="17"/>
        <v/>
      </c>
      <c r="X1056" s="26" t="str">
        <f t="shared" si="18"/>
        <v/>
      </c>
      <c r="Y1056" s="26" t="str">
        <f t="shared" si="19"/>
        <v/>
      </c>
      <c r="Z1056" s="31" t="str">
        <f t="shared" si="20"/>
        <v/>
      </c>
      <c r="AA1056" s="31" t="str">
        <f>IF(D1056="","",IF(H1056&lt;=$B$16,1,IF(H1056&gt;=$B$17,$B$21,MATCH(H1056,Aux_CAV!$A$2:$A$121,1))))</f>
        <v/>
      </c>
      <c r="AB1056" s="31" t="str">
        <f>IF(D1056="","",IF(L1056&lt;=$B$16,1,IF(L1056&gt;=$B$17,$B$21,MATCH(L1056,Aux_CAV!$A$2:$A$121,1))))</f>
        <v/>
      </c>
      <c r="AC1056" s="3" t="str">
        <f t="shared" si="21"/>
        <v/>
      </c>
    </row>
    <row r="1057" ht="12.75" customHeight="1">
      <c r="A1057" s="25" t="str">
        <f t="shared" si="1"/>
        <v/>
      </c>
      <c r="B1057" s="29" t="str">
        <f t="array" ref="B1057">IF(D1057="","",IFERROR(VALUE(INDEX(Vazoes_COLAR!$A$2:$A$200,INT((ROW()-24)/12)+1)),""))</f>
        <v/>
      </c>
      <c r="C1057" s="29" t="str">
        <f t="shared" si="2"/>
        <v/>
      </c>
      <c r="D1057" s="26" t="str">
        <f t="array" ref="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57" s="26" t="str">
        <f t="shared" si="3"/>
        <v/>
      </c>
      <c r="F1057" s="26" t="str">
        <f t="array" ref="F1057">IF(D1057="","",IFERROR(INDEX(Dados_Evap!$C$2:$N$15,MATCH($B$9,Dados_Evap!$A$2:$A$15,0),C1057),0))</f>
        <v/>
      </c>
      <c r="G1057" s="26" t="str">
        <f t="shared" si="4"/>
        <v/>
      </c>
      <c r="H1057" s="26" t="str">
        <f t="shared" si="22"/>
        <v/>
      </c>
      <c r="I1057" s="26" t="str">
        <f t="array" ref="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/>
      </c>
      <c r="J1057" s="26" t="str">
        <f t="shared" si="5"/>
        <v/>
      </c>
      <c r="K1057" s="26" t="str">
        <f t="shared" si="6"/>
        <v/>
      </c>
      <c r="L1057" s="26" t="str">
        <f t="shared" si="7"/>
        <v/>
      </c>
      <c r="M1057" s="26" t="str">
        <f t="array" ref="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/>
      </c>
      <c r="N1057" s="26" t="str">
        <f t="shared" si="8"/>
        <v/>
      </c>
      <c r="O1057" s="26" t="str">
        <f t="shared" si="9"/>
        <v/>
      </c>
      <c r="P1057" s="26" t="str">
        <f t="shared" si="10"/>
        <v/>
      </c>
      <c r="Q1057" s="26" t="str">
        <f t="shared" si="11"/>
        <v/>
      </c>
      <c r="R1057" s="26" t="str">
        <f t="shared" si="12"/>
        <v/>
      </c>
      <c r="S1057" s="26" t="str">
        <f t="shared" si="13"/>
        <v/>
      </c>
      <c r="T1057" s="26" t="str">
        <f t="shared" si="14"/>
        <v/>
      </c>
      <c r="U1057" s="26" t="str">
        <f t="shared" si="15"/>
        <v/>
      </c>
      <c r="V1057" s="26" t="str">
        <f t="shared" si="16"/>
        <v/>
      </c>
      <c r="W1057" s="26" t="str">
        <f t="shared" si="17"/>
        <v/>
      </c>
      <c r="X1057" s="26" t="str">
        <f t="shared" si="18"/>
        <v/>
      </c>
      <c r="Y1057" s="26" t="str">
        <f t="shared" si="19"/>
        <v/>
      </c>
      <c r="Z1057" s="31" t="str">
        <f t="shared" si="20"/>
        <v/>
      </c>
      <c r="AA1057" s="31" t="str">
        <f>IF(D1057="","",IF(H1057&lt;=$B$16,1,IF(H1057&gt;=$B$17,$B$21,MATCH(H1057,Aux_CAV!$A$2:$A$121,1))))</f>
        <v/>
      </c>
      <c r="AB1057" s="31" t="str">
        <f>IF(D1057="","",IF(L1057&lt;=$B$16,1,IF(L1057&gt;=$B$17,$B$21,MATCH(L1057,Aux_CAV!$A$2:$A$121,1))))</f>
        <v/>
      </c>
      <c r="AC1057" s="3" t="str">
        <f t="shared" si="21"/>
        <v/>
      </c>
    </row>
    <row r="1058" ht="12.75" customHeight="1">
      <c r="A1058" s="25" t="str">
        <f t="shared" si="1"/>
        <v/>
      </c>
      <c r="B1058" s="29" t="str">
        <f t="array" ref="B1058">IF(D1058="","",IFERROR(VALUE(INDEX(Vazoes_COLAR!$A$2:$A$200,INT((ROW()-24)/12)+1)),""))</f>
        <v/>
      </c>
      <c r="C1058" s="29" t="str">
        <f t="shared" si="2"/>
        <v/>
      </c>
      <c r="D1058" s="26" t="str">
        <f t="array" ref="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58" s="26" t="str">
        <f t="shared" si="3"/>
        <v/>
      </c>
      <c r="F1058" s="26" t="str">
        <f t="array" ref="F1058">IF(D1058="","",IFERROR(INDEX(Dados_Evap!$C$2:$N$15,MATCH($B$9,Dados_Evap!$A$2:$A$15,0),C1058),0))</f>
        <v/>
      </c>
      <c r="G1058" s="26" t="str">
        <f t="shared" si="4"/>
        <v/>
      </c>
      <c r="H1058" s="26" t="str">
        <f t="shared" si="22"/>
        <v/>
      </c>
      <c r="I1058" s="26" t="str">
        <f t="array" ref="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/>
      </c>
      <c r="J1058" s="26" t="str">
        <f t="shared" si="5"/>
        <v/>
      </c>
      <c r="K1058" s="26" t="str">
        <f t="shared" si="6"/>
        <v/>
      </c>
      <c r="L1058" s="26" t="str">
        <f t="shared" si="7"/>
        <v/>
      </c>
      <c r="M1058" s="26" t="str">
        <f t="array" ref="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/>
      </c>
      <c r="N1058" s="26" t="str">
        <f t="shared" si="8"/>
        <v/>
      </c>
      <c r="O1058" s="26" t="str">
        <f t="shared" si="9"/>
        <v/>
      </c>
      <c r="P1058" s="26" t="str">
        <f t="shared" si="10"/>
        <v/>
      </c>
      <c r="Q1058" s="26" t="str">
        <f t="shared" si="11"/>
        <v/>
      </c>
      <c r="R1058" s="26" t="str">
        <f t="shared" si="12"/>
        <v/>
      </c>
      <c r="S1058" s="26" t="str">
        <f t="shared" si="13"/>
        <v/>
      </c>
      <c r="T1058" s="26" t="str">
        <f t="shared" si="14"/>
        <v/>
      </c>
      <c r="U1058" s="26" t="str">
        <f t="shared" si="15"/>
        <v/>
      </c>
      <c r="V1058" s="26" t="str">
        <f t="shared" si="16"/>
        <v/>
      </c>
      <c r="W1058" s="26" t="str">
        <f t="shared" si="17"/>
        <v/>
      </c>
      <c r="X1058" s="26" t="str">
        <f t="shared" si="18"/>
        <v/>
      </c>
      <c r="Y1058" s="26" t="str">
        <f t="shared" si="19"/>
        <v/>
      </c>
      <c r="Z1058" s="31" t="str">
        <f t="shared" si="20"/>
        <v/>
      </c>
      <c r="AA1058" s="31" t="str">
        <f>IF(D1058="","",IF(H1058&lt;=$B$16,1,IF(H1058&gt;=$B$17,$B$21,MATCH(H1058,Aux_CAV!$A$2:$A$121,1))))</f>
        <v/>
      </c>
      <c r="AB1058" s="31" t="str">
        <f>IF(D1058="","",IF(L1058&lt;=$B$16,1,IF(L1058&gt;=$B$17,$B$21,MATCH(L1058,Aux_CAV!$A$2:$A$121,1))))</f>
        <v/>
      </c>
      <c r="AC1058" s="3" t="str">
        <f t="shared" si="21"/>
        <v/>
      </c>
    </row>
    <row r="1059" ht="12.75" customHeight="1">
      <c r="A1059" s="25" t="str">
        <f t="shared" si="1"/>
        <v/>
      </c>
      <c r="B1059" s="29" t="str">
        <f t="array" ref="B1059">IF(D1059="","",IFERROR(VALUE(INDEX(Vazoes_COLAR!$A$2:$A$200,INT((ROW()-24)/12)+1)),""))</f>
        <v/>
      </c>
      <c r="C1059" s="29" t="str">
        <f t="shared" si="2"/>
        <v/>
      </c>
      <c r="D1059" s="26" t="str">
        <f t="array" ref="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59" s="26" t="str">
        <f t="shared" si="3"/>
        <v/>
      </c>
      <c r="F1059" s="26" t="str">
        <f t="array" ref="F1059">IF(D1059="","",IFERROR(INDEX(Dados_Evap!$C$2:$N$15,MATCH($B$9,Dados_Evap!$A$2:$A$15,0),C1059),0))</f>
        <v/>
      </c>
      <c r="G1059" s="26" t="str">
        <f t="shared" si="4"/>
        <v/>
      </c>
      <c r="H1059" s="26" t="str">
        <f t="shared" si="22"/>
        <v/>
      </c>
      <c r="I1059" s="26" t="str">
        <f t="array" ref="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/>
      </c>
      <c r="J1059" s="26" t="str">
        <f t="shared" si="5"/>
        <v/>
      </c>
      <c r="K1059" s="26" t="str">
        <f t="shared" si="6"/>
        <v/>
      </c>
      <c r="L1059" s="26" t="str">
        <f t="shared" si="7"/>
        <v/>
      </c>
      <c r="M1059" s="26" t="str">
        <f t="array" ref="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/>
      </c>
      <c r="N1059" s="26" t="str">
        <f t="shared" si="8"/>
        <v/>
      </c>
      <c r="O1059" s="26" t="str">
        <f t="shared" si="9"/>
        <v/>
      </c>
      <c r="P1059" s="26" t="str">
        <f t="shared" si="10"/>
        <v/>
      </c>
      <c r="Q1059" s="26" t="str">
        <f t="shared" si="11"/>
        <v/>
      </c>
      <c r="R1059" s="26" t="str">
        <f t="shared" si="12"/>
        <v/>
      </c>
      <c r="S1059" s="26" t="str">
        <f t="shared" si="13"/>
        <v/>
      </c>
      <c r="T1059" s="26" t="str">
        <f t="shared" si="14"/>
        <v/>
      </c>
      <c r="U1059" s="26" t="str">
        <f t="shared" si="15"/>
        <v/>
      </c>
      <c r="V1059" s="26" t="str">
        <f t="shared" si="16"/>
        <v/>
      </c>
      <c r="W1059" s="26" t="str">
        <f t="shared" si="17"/>
        <v/>
      </c>
      <c r="X1059" s="26" t="str">
        <f t="shared" si="18"/>
        <v/>
      </c>
      <c r="Y1059" s="26" t="str">
        <f t="shared" si="19"/>
        <v/>
      </c>
      <c r="Z1059" s="31" t="str">
        <f t="shared" si="20"/>
        <v/>
      </c>
      <c r="AA1059" s="31" t="str">
        <f>IF(D1059="","",IF(H1059&lt;=$B$16,1,IF(H1059&gt;=$B$17,$B$21,MATCH(H1059,Aux_CAV!$A$2:$A$121,1))))</f>
        <v/>
      </c>
      <c r="AB1059" s="31" t="str">
        <f>IF(D1059="","",IF(L1059&lt;=$B$16,1,IF(L1059&gt;=$B$17,$B$21,MATCH(L1059,Aux_CAV!$A$2:$A$121,1))))</f>
        <v/>
      </c>
      <c r="AC1059" s="3" t="str">
        <f t="shared" si="21"/>
        <v/>
      </c>
    </row>
    <row r="1060" ht="12.75" customHeight="1">
      <c r="A1060" s="25" t="str">
        <f t="shared" si="1"/>
        <v/>
      </c>
      <c r="B1060" s="29" t="str">
        <f t="array" ref="B1060">IF(D1060="","",IFERROR(VALUE(INDEX(Vazoes_COLAR!$A$2:$A$200,INT((ROW()-24)/12)+1)),""))</f>
        <v/>
      </c>
      <c r="C1060" s="29" t="str">
        <f t="shared" si="2"/>
        <v/>
      </c>
      <c r="D1060" s="26" t="str">
        <f t="array" ref="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60" s="26" t="str">
        <f t="shared" si="3"/>
        <v/>
      </c>
      <c r="F1060" s="26" t="str">
        <f t="array" ref="F1060">IF(D1060="","",IFERROR(INDEX(Dados_Evap!$C$2:$N$15,MATCH($B$9,Dados_Evap!$A$2:$A$15,0),C1060),0))</f>
        <v/>
      </c>
      <c r="G1060" s="26" t="str">
        <f t="shared" si="4"/>
        <v/>
      </c>
      <c r="H1060" s="26" t="str">
        <f t="shared" si="22"/>
        <v/>
      </c>
      <c r="I1060" s="26" t="str">
        <f t="array" ref="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/>
      </c>
      <c r="J1060" s="26" t="str">
        <f t="shared" si="5"/>
        <v/>
      </c>
      <c r="K1060" s="26" t="str">
        <f t="shared" si="6"/>
        <v/>
      </c>
      <c r="L1060" s="26" t="str">
        <f t="shared" si="7"/>
        <v/>
      </c>
      <c r="M1060" s="26" t="str">
        <f t="array" ref="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/>
      </c>
      <c r="N1060" s="26" t="str">
        <f t="shared" si="8"/>
        <v/>
      </c>
      <c r="O1060" s="26" t="str">
        <f t="shared" si="9"/>
        <v/>
      </c>
      <c r="P1060" s="26" t="str">
        <f t="shared" si="10"/>
        <v/>
      </c>
      <c r="Q1060" s="26" t="str">
        <f t="shared" si="11"/>
        <v/>
      </c>
      <c r="R1060" s="26" t="str">
        <f t="shared" si="12"/>
        <v/>
      </c>
      <c r="S1060" s="26" t="str">
        <f t="shared" si="13"/>
        <v/>
      </c>
      <c r="T1060" s="26" t="str">
        <f t="shared" si="14"/>
        <v/>
      </c>
      <c r="U1060" s="26" t="str">
        <f t="shared" si="15"/>
        <v/>
      </c>
      <c r="V1060" s="26" t="str">
        <f t="shared" si="16"/>
        <v/>
      </c>
      <c r="W1060" s="26" t="str">
        <f t="shared" si="17"/>
        <v/>
      </c>
      <c r="X1060" s="26" t="str">
        <f t="shared" si="18"/>
        <v/>
      </c>
      <c r="Y1060" s="26" t="str">
        <f t="shared" si="19"/>
        <v/>
      </c>
      <c r="Z1060" s="31" t="str">
        <f t="shared" si="20"/>
        <v/>
      </c>
      <c r="AA1060" s="31" t="str">
        <f>IF(D1060="","",IF(H1060&lt;=$B$16,1,IF(H1060&gt;=$B$17,$B$21,MATCH(H1060,Aux_CAV!$A$2:$A$121,1))))</f>
        <v/>
      </c>
      <c r="AB1060" s="31" t="str">
        <f>IF(D1060="","",IF(L1060&lt;=$B$16,1,IF(L1060&gt;=$B$17,$B$21,MATCH(L1060,Aux_CAV!$A$2:$A$121,1))))</f>
        <v/>
      </c>
      <c r="AC1060" s="3" t="str">
        <f t="shared" si="21"/>
        <v/>
      </c>
    </row>
    <row r="1061" ht="12.75" customHeight="1">
      <c r="A1061" s="25" t="str">
        <f t="shared" si="1"/>
        <v/>
      </c>
      <c r="B1061" s="29" t="str">
        <f t="array" ref="B1061">IF(D1061="","",IFERROR(VALUE(INDEX(Vazoes_COLAR!$A$2:$A$200,INT((ROW()-24)/12)+1)),""))</f>
        <v/>
      </c>
      <c r="C1061" s="29" t="str">
        <f t="shared" si="2"/>
        <v/>
      </c>
      <c r="D1061" s="26" t="str">
        <f t="array" ref="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61" s="26" t="str">
        <f t="shared" si="3"/>
        <v/>
      </c>
      <c r="F1061" s="26" t="str">
        <f t="array" ref="F1061">IF(D1061="","",IFERROR(INDEX(Dados_Evap!$C$2:$N$15,MATCH($B$9,Dados_Evap!$A$2:$A$15,0),C1061),0))</f>
        <v/>
      </c>
      <c r="G1061" s="26" t="str">
        <f t="shared" si="4"/>
        <v/>
      </c>
      <c r="H1061" s="26" t="str">
        <f t="shared" si="22"/>
        <v/>
      </c>
      <c r="I1061" s="26" t="str">
        <f t="array" ref="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/>
      </c>
      <c r="J1061" s="26" t="str">
        <f t="shared" si="5"/>
        <v/>
      </c>
      <c r="K1061" s="26" t="str">
        <f t="shared" si="6"/>
        <v/>
      </c>
      <c r="L1061" s="26" t="str">
        <f t="shared" si="7"/>
        <v/>
      </c>
      <c r="M1061" s="26" t="str">
        <f t="array" ref="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/>
      </c>
      <c r="N1061" s="26" t="str">
        <f t="shared" si="8"/>
        <v/>
      </c>
      <c r="O1061" s="26" t="str">
        <f t="shared" si="9"/>
        <v/>
      </c>
      <c r="P1061" s="26" t="str">
        <f t="shared" si="10"/>
        <v/>
      </c>
      <c r="Q1061" s="26" t="str">
        <f t="shared" si="11"/>
        <v/>
      </c>
      <c r="R1061" s="26" t="str">
        <f t="shared" si="12"/>
        <v/>
      </c>
      <c r="S1061" s="26" t="str">
        <f t="shared" si="13"/>
        <v/>
      </c>
      <c r="T1061" s="26" t="str">
        <f t="shared" si="14"/>
        <v/>
      </c>
      <c r="U1061" s="26" t="str">
        <f t="shared" si="15"/>
        <v/>
      </c>
      <c r="V1061" s="26" t="str">
        <f t="shared" si="16"/>
        <v/>
      </c>
      <c r="W1061" s="26" t="str">
        <f t="shared" si="17"/>
        <v/>
      </c>
      <c r="X1061" s="26" t="str">
        <f t="shared" si="18"/>
        <v/>
      </c>
      <c r="Y1061" s="26" t="str">
        <f t="shared" si="19"/>
        <v/>
      </c>
      <c r="Z1061" s="31" t="str">
        <f t="shared" si="20"/>
        <v/>
      </c>
      <c r="AA1061" s="31" t="str">
        <f>IF(D1061="","",IF(H1061&lt;=$B$16,1,IF(H1061&gt;=$B$17,$B$21,MATCH(H1061,Aux_CAV!$A$2:$A$121,1))))</f>
        <v/>
      </c>
      <c r="AB1061" s="31" t="str">
        <f>IF(D1061="","",IF(L1061&lt;=$B$16,1,IF(L1061&gt;=$B$17,$B$21,MATCH(L1061,Aux_CAV!$A$2:$A$121,1))))</f>
        <v/>
      </c>
      <c r="AC1061" s="3" t="str">
        <f t="shared" si="21"/>
        <v/>
      </c>
    </row>
    <row r="1062" ht="12.75" customHeight="1">
      <c r="A1062" s="25" t="str">
        <f t="shared" si="1"/>
        <v/>
      </c>
      <c r="B1062" s="29" t="str">
        <f t="array" ref="B1062">IF(D1062="","",IFERROR(VALUE(INDEX(Vazoes_COLAR!$A$2:$A$200,INT((ROW()-24)/12)+1)),""))</f>
        <v/>
      </c>
      <c r="C1062" s="29" t="str">
        <f t="shared" si="2"/>
        <v/>
      </c>
      <c r="D1062" s="26" t="str">
        <f t="array" ref="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62" s="26" t="str">
        <f t="shared" si="3"/>
        <v/>
      </c>
      <c r="F1062" s="26" t="str">
        <f t="array" ref="F1062">IF(D1062="","",IFERROR(INDEX(Dados_Evap!$C$2:$N$15,MATCH($B$9,Dados_Evap!$A$2:$A$15,0),C1062),0))</f>
        <v/>
      </c>
      <c r="G1062" s="26" t="str">
        <f t="shared" si="4"/>
        <v/>
      </c>
      <c r="H1062" s="26" t="str">
        <f t="shared" si="22"/>
        <v/>
      </c>
      <c r="I1062" s="26" t="str">
        <f t="array" ref="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/>
      </c>
      <c r="J1062" s="26" t="str">
        <f t="shared" si="5"/>
        <v/>
      </c>
      <c r="K1062" s="26" t="str">
        <f t="shared" si="6"/>
        <v/>
      </c>
      <c r="L1062" s="26" t="str">
        <f t="shared" si="7"/>
        <v/>
      </c>
      <c r="M1062" s="26" t="str">
        <f t="array" ref="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/>
      </c>
      <c r="N1062" s="26" t="str">
        <f t="shared" si="8"/>
        <v/>
      </c>
      <c r="O1062" s="26" t="str">
        <f t="shared" si="9"/>
        <v/>
      </c>
      <c r="P1062" s="26" t="str">
        <f t="shared" si="10"/>
        <v/>
      </c>
      <c r="Q1062" s="26" t="str">
        <f t="shared" si="11"/>
        <v/>
      </c>
      <c r="R1062" s="26" t="str">
        <f t="shared" si="12"/>
        <v/>
      </c>
      <c r="S1062" s="26" t="str">
        <f t="shared" si="13"/>
        <v/>
      </c>
      <c r="T1062" s="26" t="str">
        <f t="shared" si="14"/>
        <v/>
      </c>
      <c r="U1062" s="26" t="str">
        <f t="shared" si="15"/>
        <v/>
      </c>
      <c r="V1062" s="26" t="str">
        <f t="shared" si="16"/>
        <v/>
      </c>
      <c r="W1062" s="26" t="str">
        <f t="shared" si="17"/>
        <v/>
      </c>
      <c r="X1062" s="26" t="str">
        <f t="shared" si="18"/>
        <v/>
      </c>
      <c r="Y1062" s="26" t="str">
        <f t="shared" si="19"/>
        <v/>
      </c>
      <c r="Z1062" s="31" t="str">
        <f t="shared" si="20"/>
        <v/>
      </c>
      <c r="AA1062" s="31" t="str">
        <f>IF(D1062="","",IF(H1062&lt;=$B$16,1,IF(H1062&gt;=$B$17,$B$21,MATCH(H1062,Aux_CAV!$A$2:$A$121,1))))</f>
        <v/>
      </c>
      <c r="AB1062" s="31" t="str">
        <f>IF(D1062="","",IF(L1062&lt;=$B$16,1,IF(L1062&gt;=$B$17,$B$21,MATCH(L1062,Aux_CAV!$A$2:$A$121,1))))</f>
        <v/>
      </c>
      <c r="AC1062" s="3" t="str">
        <f t="shared" si="21"/>
        <v/>
      </c>
    </row>
    <row r="1063" ht="12.75" customHeight="1">
      <c r="A1063" s="25" t="str">
        <f t="shared" si="1"/>
        <v/>
      </c>
      <c r="B1063" s="29" t="str">
        <f t="array" ref="B1063">IF(D1063="","",IFERROR(VALUE(INDEX(Vazoes_COLAR!$A$2:$A$200,INT((ROW()-24)/12)+1)),""))</f>
        <v/>
      </c>
      <c r="C1063" s="29" t="str">
        <f t="shared" si="2"/>
        <v/>
      </c>
      <c r="D1063" s="26" t="str">
        <f t="array" ref="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63" s="26" t="str">
        <f t="shared" si="3"/>
        <v/>
      </c>
      <c r="F1063" s="26" t="str">
        <f t="array" ref="F1063">IF(D1063="","",IFERROR(INDEX(Dados_Evap!$C$2:$N$15,MATCH($B$9,Dados_Evap!$A$2:$A$15,0),C1063),0))</f>
        <v/>
      </c>
      <c r="G1063" s="26" t="str">
        <f t="shared" si="4"/>
        <v/>
      </c>
      <c r="H1063" s="26" t="str">
        <f t="shared" si="22"/>
        <v/>
      </c>
      <c r="I1063" s="26" t="str">
        <f t="array" ref="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/>
      </c>
      <c r="J1063" s="26" t="str">
        <f t="shared" si="5"/>
        <v/>
      </c>
      <c r="K1063" s="26" t="str">
        <f t="shared" si="6"/>
        <v/>
      </c>
      <c r="L1063" s="26" t="str">
        <f t="shared" si="7"/>
        <v/>
      </c>
      <c r="M1063" s="26" t="str">
        <f t="array" ref="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/>
      </c>
      <c r="N1063" s="26" t="str">
        <f t="shared" si="8"/>
        <v/>
      </c>
      <c r="O1063" s="26" t="str">
        <f t="shared" si="9"/>
        <v/>
      </c>
      <c r="P1063" s="26" t="str">
        <f t="shared" si="10"/>
        <v/>
      </c>
      <c r="Q1063" s="26" t="str">
        <f t="shared" si="11"/>
        <v/>
      </c>
      <c r="R1063" s="26" t="str">
        <f t="shared" si="12"/>
        <v/>
      </c>
      <c r="S1063" s="26" t="str">
        <f t="shared" si="13"/>
        <v/>
      </c>
      <c r="T1063" s="26" t="str">
        <f t="shared" si="14"/>
        <v/>
      </c>
      <c r="U1063" s="26" t="str">
        <f t="shared" si="15"/>
        <v/>
      </c>
      <c r="V1063" s="26" t="str">
        <f t="shared" si="16"/>
        <v/>
      </c>
      <c r="W1063" s="26" t="str">
        <f t="shared" si="17"/>
        <v/>
      </c>
      <c r="X1063" s="26" t="str">
        <f t="shared" si="18"/>
        <v/>
      </c>
      <c r="Y1063" s="26" t="str">
        <f t="shared" si="19"/>
        <v/>
      </c>
      <c r="Z1063" s="31" t="str">
        <f t="shared" si="20"/>
        <v/>
      </c>
      <c r="AA1063" s="31" t="str">
        <f>IF(D1063="","",IF(H1063&lt;=$B$16,1,IF(H1063&gt;=$B$17,$B$21,MATCH(H1063,Aux_CAV!$A$2:$A$121,1))))</f>
        <v/>
      </c>
      <c r="AB1063" s="31" t="str">
        <f>IF(D1063="","",IF(L1063&lt;=$B$16,1,IF(L1063&gt;=$B$17,$B$21,MATCH(L1063,Aux_CAV!$A$2:$A$121,1))))</f>
        <v/>
      </c>
      <c r="AC1063" s="3" t="str">
        <f t="shared" si="21"/>
        <v/>
      </c>
    </row>
    <row r="1064" ht="12.75" customHeight="1">
      <c r="A1064" s="25" t="str">
        <f t="shared" si="1"/>
        <v/>
      </c>
      <c r="B1064" s="29" t="str">
        <f t="array" ref="B1064">IF(D1064="","",IFERROR(VALUE(INDEX(Vazoes_COLAR!$A$2:$A$200,INT((ROW()-24)/12)+1)),""))</f>
        <v/>
      </c>
      <c r="C1064" s="29" t="str">
        <f t="shared" si="2"/>
        <v/>
      </c>
      <c r="D1064" s="26" t="str">
        <f t="array" ref="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64" s="26" t="str">
        <f t="shared" si="3"/>
        <v/>
      </c>
      <c r="F1064" s="26" t="str">
        <f t="array" ref="F1064">IF(D1064="","",IFERROR(INDEX(Dados_Evap!$C$2:$N$15,MATCH($B$9,Dados_Evap!$A$2:$A$15,0),C1064),0))</f>
        <v/>
      </c>
      <c r="G1064" s="26" t="str">
        <f t="shared" si="4"/>
        <v/>
      </c>
      <c r="H1064" s="26" t="str">
        <f t="shared" si="22"/>
        <v/>
      </c>
      <c r="I1064" s="26" t="str">
        <f t="array" ref="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/>
      </c>
      <c r="J1064" s="26" t="str">
        <f t="shared" si="5"/>
        <v/>
      </c>
      <c r="K1064" s="26" t="str">
        <f t="shared" si="6"/>
        <v/>
      </c>
      <c r="L1064" s="26" t="str">
        <f t="shared" si="7"/>
        <v/>
      </c>
      <c r="M1064" s="26" t="str">
        <f t="array" ref="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/>
      </c>
      <c r="N1064" s="26" t="str">
        <f t="shared" si="8"/>
        <v/>
      </c>
      <c r="O1064" s="26" t="str">
        <f t="shared" si="9"/>
        <v/>
      </c>
      <c r="P1064" s="26" t="str">
        <f t="shared" si="10"/>
        <v/>
      </c>
      <c r="Q1064" s="26" t="str">
        <f t="shared" si="11"/>
        <v/>
      </c>
      <c r="R1064" s="26" t="str">
        <f t="shared" si="12"/>
        <v/>
      </c>
      <c r="S1064" s="26" t="str">
        <f t="shared" si="13"/>
        <v/>
      </c>
      <c r="T1064" s="26" t="str">
        <f t="shared" si="14"/>
        <v/>
      </c>
      <c r="U1064" s="26" t="str">
        <f t="shared" si="15"/>
        <v/>
      </c>
      <c r="V1064" s="26" t="str">
        <f t="shared" si="16"/>
        <v/>
      </c>
      <c r="W1064" s="26" t="str">
        <f t="shared" si="17"/>
        <v/>
      </c>
      <c r="X1064" s="26" t="str">
        <f t="shared" si="18"/>
        <v/>
      </c>
      <c r="Y1064" s="26" t="str">
        <f t="shared" si="19"/>
        <v/>
      </c>
      <c r="Z1064" s="31" t="str">
        <f t="shared" si="20"/>
        <v/>
      </c>
      <c r="AA1064" s="31" t="str">
        <f>IF(D1064="","",IF(H1064&lt;=$B$16,1,IF(H1064&gt;=$B$17,$B$21,MATCH(H1064,Aux_CAV!$A$2:$A$121,1))))</f>
        <v/>
      </c>
      <c r="AB1064" s="31" t="str">
        <f>IF(D1064="","",IF(L1064&lt;=$B$16,1,IF(L1064&gt;=$B$17,$B$21,MATCH(L1064,Aux_CAV!$A$2:$A$121,1))))</f>
        <v/>
      </c>
      <c r="AC1064" s="3" t="str">
        <f t="shared" si="21"/>
        <v/>
      </c>
    </row>
    <row r="1065" ht="12.75" customHeight="1">
      <c r="A1065" s="25" t="str">
        <f t="shared" si="1"/>
        <v/>
      </c>
      <c r="B1065" s="29" t="str">
        <f t="array" ref="B1065">IF(D1065="","",IFERROR(VALUE(INDEX(Vazoes_COLAR!$A$2:$A$200,INT((ROW()-24)/12)+1)),""))</f>
        <v/>
      </c>
      <c r="C1065" s="29" t="str">
        <f t="shared" si="2"/>
        <v/>
      </c>
      <c r="D1065" s="26" t="str">
        <f t="array" ref="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65" s="26" t="str">
        <f t="shared" si="3"/>
        <v/>
      </c>
      <c r="F1065" s="26" t="str">
        <f t="array" ref="F1065">IF(D1065="","",IFERROR(INDEX(Dados_Evap!$C$2:$N$15,MATCH($B$9,Dados_Evap!$A$2:$A$15,0),C1065),0))</f>
        <v/>
      </c>
      <c r="G1065" s="26" t="str">
        <f t="shared" si="4"/>
        <v/>
      </c>
      <c r="H1065" s="26" t="str">
        <f t="shared" si="22"/>
        <v/>
      </c>
      <c r="I1065" s="26" t="str">
        <f t="array" ref="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/>
      </c>
      <c r="J1065" s="26" t="str">
        <f t="shared" si="5"/>
        <v/>
      </c>
      <c r="K1065" s="26" t="str">
        <f t="shared" si="6"/>
        <v/>
      </c>
      <c r="L1065" s="26" t="str">
        <f t="shared" si="7"/>
        <v/>
      </c>
      <c r="M1065" s="26" t="str">
        <f t="array" ref="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/>
      </c>
      <c r="N1065" s="26" t="str">
        <f t="shared" si="8"/>
        <v/>
      </c>
      <c r="O1065" s="26" t="str">
        <f t="shared" si="9"/>
        <v/>
      </c>
      <c r="P1065" s="26" t="str">
        <f t="shared" si="10"/>
        <v/>
      </c>
      <c r="Q1065" s="26" t="str">
        <f t="shared" si="11"/>
        <v/>
      </c>
      <c r="R1065" s="26" t="str">
        <f t="shared" si="12"/>
        <v/>
      </c>
      <c r="S1065" s="26" t="str">
        <f t="shared" si="13"/>
        <v/>
      </c>
      <c r="T1065" s="26" t="str">
        <f t="shared" si="14"/>
        <v/>
      </c>
      <c r="U1065" s="26" t="str">
        <f t="shared" si="15"/>
        <v/>
      </c>
      <c r="V1065" s="26" t="str">
        <f t="shared" si="16"/>
        <v/>
      </c>
      <c r="W1065" s="26" t="str">
        <f t="shared" si="17"/>
        <v/>
      </c>
      <c r="X1065" s="26" t="str">
        <f t="shared" si="18"/>
        <v/>
      </c>
      <c r="Y1065" s="26" t="str">
        <f t="shared" si="19"/>
        <v/>
      </c>
      <c r="Z1065" s="31" t="str">
        <f t="shared" si="20"/>
        <v/>
      </c>
      <c r="AA1065" s="31" t="str">
        <f>IF(D1065="","",IF(H1065&lt;=$B$16,1,IF(H1065&gt;=$B$17,$B$21,MATCH(H1065,Aux_CAV!$A$2:$A$121,1))))</f>
        <v/>
      </c>
      <c r="AB1065" s="31" t="str">
        <f>IF(D1065="","",IF(L1065&lt;=$B$16,1,IF(L1065&gt;=$B$17,$B$21,MATCH(L1065,Aux_CAV!$A$2:$A$121,1))))</f>
        <v/>
      </c>
      <c r="AC1065" s="3" t="str">
        <f t="shared" si="21"/>
        <v/>
      </c>
    </row>
    <row r="1066" ht="12.75" customHeight="1">
      <c r="A1066" s="25" t="str">
        <f t="shared" si="1"/>
        <v/>
      </c>
      <c r="B1066" s="29" t="str">
        <f t="array" ref="B1066">IF(D1066="","",IFERROR(VALUE(INDEX(Vazoes_COLAR!$A$2:$A$200,INT((ROW()-24)/12)+1)),""))</f>
        <v/>
      </c>
      <c r="C1066" s="29" t="str">
        <f t="shared" si="2"/>
        <v/>
      </c>
      <c r="D1066" s="26" t="str">
        <f t="array" ref="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66" s="26" t="str">
        <f t="shared" si="3"/>
        <v/>
      </c>
      <c r="F1066" s="26" t="str">
        <f t="array" ref="F1066">IF(D1066="","",IFERROR(INDEX(Dados_Evap!$C$2:$N$15,MATCH($B$9,Dados_Evap!$A$2:$A$15,0),C1066),0))</f>
        <v/>
      </c>
      <c r="G1066" s="26" t="str">
        <f t="shared" si="4"/>
        <v/>
      </c>
      <c r="H1066" s="26" t="str">
        <f t="shared" si="22"/>
        <v/>
      </c>
      <c r="I1066" s="26" t="str">
        <f t="array" ref="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/>
      </c>
      <c r="J1066" s="26" t="str">
        <f t="shared" si="5"/>
        <v/>
      </c>
      <c r="K1066" s="26" t="str">
        <f t="shared" si="6"/>
        <v/>
      </c>
      <c r="L1066" s="26" t="str">
        <f t="shared" si="7"/>
        <v/>
      </c>
      <c r="M1066" s="26" t="str">
        <f t="array" ref="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/>
      </c>
      <c r="N1066" s="26" t="str">
        <f t="shared" si="8"/>
        <v/>
      </c>
      <c r="O1066" s="26" t="str">
        <f t="shared" si="9"/>
        <v/>
      </c>
      <c r="P1066" s="26" t="str">
        <f t="shared" si="10"/>
        <v/>
      </c>
      <c r="Q1066" s="26" t="str">
        <f t="shared" si="11"/>
        <v/>
      </c>
      <c r="R1066" s="26" t="str">
        <f t="shared" si="12"/>
        <v/>
      </c>
      <c r="S1066" s="26" t="str">
        <f t="shared" si="13"/>
        <v/>
      </c>
      <c r="T1066" s="26" t="str">
        <f t="shared" si="14"/>
        <v/>
      </c>
      <c r="U1066" s="26" t="str">
        <f t="shared" si="15"/>
        <v/>
      </c>
      <c r="V1066" s="26" t="str">
        <f t="shared" si="16"/>
        <v/>
      </c>
      <c r="W1066" s="26" t="str">
        <f t="shared" si="17"/>
        <v/>
      </c>
      <c r="X1066" s="26" t="str">
        <f t="shared" si="18"/>
        <v/>
      </c>
      <c r="Y1066" s="26" t="str">
        <f t="shared" si="19"/>
        <v/>
      </c>
      <c r="Z1066" s="31" t="str">
        <f t="shared" si="20"/>
        <v/>
      </c>
      <c r="AA1066" s="31" t="str">
        <f>IF(D1066="","",IF(H1066&lt;=$B$16,1,IF(H1066&gt;=$B$17,$B$21,MATCH(H1066,Aux_CAV!$A$2:$A$121,1))))</f>
        <v/>
      </c>
      <c r="AB1066" s="31" t="str">
        <f>IF(D1066="","",IF(L1066&lt;=$B$16,1,IF(L1066&gt;=$B$17,$B$21,MATCH(L1066,Aux_CAV!$A$2:$A$121,1))))</f>
        <v/>
      </c>
      <c r="AC1066" s="3" t="str">
        <f t="shared" si="21"/>
        <v/>
      </c>
    </row>
    <row r="1067" ht="12.75" customHeight="1">
      <c r="A1067" s="25" t="str">
        <f t="shared" si="1"/>
        <v/>
      </c>
      <c r="B1067" s="29" t="str">
        <f t="array" ref="B1067">IF(D1067="","",IFERROR(VALUE(INDEX(Vazoes_COLAR!$A$2:$A$200,INT((ROW()-24)/12)+1)),""))</f>
        <v/>
      </c>
      <c r="C1067" s="29" t="str">
        <f t="shared" si="2"/>
        <v/>
      </c>
      <c r="D1067" s="26" t="str">
        <f t="array" ref="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67" s="26" t="str">
        <f t="shared" si="3"/>
        <v/>
      </c>
      <c r="F1067" s="26" t="str">
        <f t="array" ref="F1067">IF(D1067="","",IFERROR(INDEX(Dados_Evap!$C$2:$N$15,MATCH($B$9,Dados_Evap!$A$2:$A$15,0),C1067),0))</f>
        <v/>
      </c>
      <c r="G1067" s="26" t="str">
        <f t="shared" si="4"/>
        <v/>
      </c>
      <c r="H1067" s="26" t="str">
        <f t="shared" si="22"/>
        <v/>
      </c>
      <c r="I1067" s="26" t="str">
        <f t="array" ref="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/>
      </c>
      <c r="J1067" s="26" t="str">
        <f t="shared" si="5"/>
        <v/>
      </c>
      <c r="K1067" s="26" t="str">
        <f t="shared" si="6"/>
        <v/>
      </c>
      <c r="L1067" s="26" t="str">
        <f t="shared" si="7"/>
        <v/>
      </c>
      <c r="M1067" s="26" t="str">
        <f t="array" ref="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/>
      </c>
      <c r="N1067" s="26" t="str">
        <f t="shared" si="8"/>
        <v/>
      </c>
      <c r="O1067" s="26" t="str">
        <f t="shared" si="9"/>
        <v/>
      </c>
      <c r="P1067" s="26" t="str">
        <f t="shared" si="10"/>
        <v/>
      </c>
      <c r="Q1067" s="26" t="str">
        <f t="shared" si="11"/>
        <v/>
      </c>
      <c r="R1067" s="26" t="str">
        <f t="shared" si="12"/>
        <v/>
      </c>
      <c r="S1067" s="26" t="str">
        <f t="shared" si="13"/>
        <v/>
      </c>
      <c r="T1067" s="26" t="str">
        <f t="shared" si="14"/>
        <v/>
      </c>
      <c r="U1067" s="26" t="str">
        <f t="shared" si="15"/>
        <v/>
      </c>
      <c r="V1067" s="26" t="str">
        <f t="shared" si="16"/>
        <v/>
      </c>
      <c r="W1067" s="26" t="str">
        <f t="shared" si="17"/>
        <v/>
      </c>
      <c r="X1067" s="26" t="str">
        <f t="shared" si="18"/>
        <v/>
      </c>
      <c r="Y1067" s="26" t="str">
        <f t="shared" si="19"/>
        <v/>
      </c>
      <c r="Z1067" s="31" t="str">
        <f t="shared" si="20"/>
        <v/>
      </c>
      <c r="AA1067" s="31" t="str">
        <f>IF(D1067="","",IF(H1067&lt;=$B$16,1,IF(H1067&gt;=$B$17,$B$21,MATCH(H1067,Aux_CAV!$A$2:$A$121,1))))</f>
        <v/>
      </c>
      <c r="AB1067" s="31" t="str">
        <f>IF(D1067="","",IF(L1067&lt;=$B$16,1,IF(L1067&gt;=$B$17,$B$21,MATCH(L1067,Aux_CAV!$A$2:$A$121,1))))</f>
        <v/>
      </c>
      <c r="AC1067" s="3" t="str">
        <f t="shared" si="21"/>
        <v/>
      </c>
    </row>
    <row r="1068" ht="12.75" customHeight="1">
      <c r="A1068" s="25" t="str">
        <f t="shared" si="1"/>
        <v/>
      </c>
      <c r="B1068" s="29" t="str">
        <f t="array" ref="B1068">IF(D1068="","",IFERROR(VALUE(INDEX(Vazoes_COLAR!$A$2:$A$200,INT((ROW()-24)/12)+1)),""))</f>
        <v/>
      </c>
      <c r="C1068" s="29" t="str">
        <f t="shared" si="2"/>
        <v/>
      </c>
      <c r="D1068" s="26" t="str">
        <f t="array" ref="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68" s="26" t="str">
        <f t="shared" si="3"/>
        <v/>
      </c>
      <c r="F1068" s="26" t="str">
        <f t="array" ref="F1068">IF(D1068="","",IFERROR(INDEX(Dados_Evap!$C$2:$N$15,MATCH($B$9,Dados_Evap!$A$2:$A$15,0),C1068),0))</f>
        <v/>
      </c>
      <c r="G1068" s="26" t="str">
        <f t="shared" si="4"/>
        <v/>
      </c>
      <c r="H1068" s="26" t="str">
        <f t="shared" si="22"/>
        <v/>
      </c>
      <c r="I1068" s="26" t="str">
        <f t="array" ref="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/>
      </c>
      <c r="J1068" s="26" t="str">
        <f t="shared" si="5"/>
        <v/>
      </c>
      <c r="K1068" s="26" t="str">
        <f t="shared" si="6"/>
        <v/>
      </c>
      <c r="L1068" s="26" t="str">
        <f t="shared" si="7"/>
        <v/>
      </c>
      <c r="M1068" s="26" t="str">
        <f t="array" ref="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/>
      </c>
      <c r="N1068" s="26" t="str">
        <f t="shared" si="8"/>
        <v/>
      </c>
      <c r="O1068" s="26" t="str">
        <f t="shared" si="9"/>
        <v/>
      </c>
      <c r="P1068" s="26" t="str">
        <f t="shared" si="10"/>
        <v/>
      </c>
      <c r="Q1068" s="26" t="str">
        <f t="shared" si="11"/>
        <v/>
      </c>
      <c r="R1068" s="26" t="str">
        <f t="shared" si="12"/>
        <v/>
      </c>
      <c r="S1068" s="26" t="str">
        <f t="shared" si="13"/>
        <v/>
      </c>
      <c r="T1068" s="26" t="str">
        <f t="shared" si="14"/>
        <v/>
      </c>
      <c r="U1068" s="26" t="str">
        <f t="shared" si="15"/>
        <v/>
      </c>
      <c r="V1068" s="26" t="str">
        <f t="shared" si="16"/>
        <v/>
      </c>
      <c r="W1068" s="26" t="str">
        <f t="shared" si="17"/>
        <v/>
      </c>
      <c r="X1068" s="26" t="str">
        <f t="shared" si="18"/>
        <v/>
      </c>
      <c r="Y1068" s="26" t="str">
        <f t="shared" si="19"/>
        <v/>
      </c>
      <c r="Z1068" s="31" t="str">
        <f t="shared" si="20"/>
        <v/>
      </c>
      <c r="AA1068" s="31" t="str">
        <f>IF(D1068="","",IF(H1068&lt;=$B$16,1,IF(H1068&gt;=$B$17,$B$21,MATCH(H1068,Aux_CAV!$A$2:$A$121,1))))</f>
        <v/>
      </c>
      <c r="AB1068" s="31" t="str">
        <f>IF(D1068="","",IF(L1068&lt;=$B$16,1,IF(L1068&gt;=$B$17,$B$21,MATCH(L1068,Aux_CAV!$A$2:$A$121,1))))</f>
        <v/>
      </c>
      <c r="AC1068" s="3" t="str">
        <f t="shared" si="21"/>
        <v/>
      </c>
    </row>
    <row r="1069" ht="12.75" customHeight="1">
      <c r="A1069" s="25" t="str">
        <f t="shared" si="1"/>
        <v/>
      </c>
      <c r="B1069" s="29" t="str">
        <f t="array" ref="B1069">IF(D1069="","",IFERROR(VALUE(INDEX(Vazoes_COLAR!$A$2:$A$200,INT((ROW()-24)/12)+1)),""))</f>
        <v/>
      </c>
      <c r="C1069" s="29" t="str">
        <f t="shared" si="2"/>
        <v/>
      </c>
      <c r="D1069" s="26" t="str">
        <f t="array" ref="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69" s="26" t="str">
        <f t="shared" si="3"/>
        <v/>
      </c>
      <c r="F1069" s="26" t="str">
        <f t="array" ref="F1069">IF(D1069="","",IFERROR(INDEX(Dados_Evap!$C$2:$N$15,MATCH($B$9,Dados_Evap!$A$2:$A$15,0),C1069),0))</f>
        <v/>
      </c>
      <c r="G1069" s="26" t="str">
        <f t="shared" si="4"/>
        <v/>
      </c>
      <c r="H1069" s="26" t="str">
        <f t="shared" si="22"/>
        <v/>
      </c>
      <c r="I1069" s="26" t="str">
        <f t="array" ref="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/>
      </c>
      <c r="J1069" s="26" t="str">
        <f t="shared" si="5"/>
        <v/>
      </c>
      <c r="K1069" s="26" t="str">
        <f t="shared" si="6"/>
        <v/>
      </c>
      <c r="L1069" s="26" t="str">
        <f t="shared" si="7"/>
        <v/>
      </c>
      <c r="M1069" s="26" t="str">
        <f t="array" ref="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/>
      </c>
      <c r="N1069" s="26" t="str">
        <f t="shared" si="8"/>
        <v/>
      </c>
      <c r="O1069" s="26" t="str">
        <f t="shared" si="9"/>
        <v/>
      </c>
      <c r="P1069" s="26" t="str">
        <f t="shared" si="10"/>
        <v/>
      </c>
      <c r="Q1069" s="26" t="str">
        <f t="shared" si="11"/>
        <v/>
      </c>
      <c r="R1069" s="26" t="str">
        <f t="shared" si="12"/>
        <v/>
      </c>
      <c r="S1069" s="26" t="str">
        <f t="shared" si="13"/>
        <v/>
      </c>
      <c r="T1069" s="26" t="str">
        <f t="shared" si="14"/>
        <v/>
      </c>
      <c r="U1069" s="26" t="str">
        <f t="shared" si="15"/>
        <v/>
      </c>
      <c r="V1069" s="26" t="str">
        <f t="shared" si="16"/>
        <v/>
      </c>
      <c r="W1069" s="26" t="str">
        <f t="shared" si="17"/>
        <v/>
      </c>
      <c r="X1069" s="26" t="str">
        <f t="shared" si="18"/>
        <v/>
      </c>
      <c r="Y1069" s="26" t="str">
        <f t="shared" si="19"/>
        <v/>
      </c>
      <c r="Z1069" s="31" t="str">
        <f t="shared" si="20"/>
        <v/>
      </c>
      <c r="AA1069" s="31" t="str">
        <f>IF(D1069="","",IF(H1069&lt;=$B$16,1,IF(H1069&gt;=$B$17,$B$21,MATCH(H1069,Aux_CAV!$A$2:$A$121,1))))</f>
        <v/>
      </c>
      <c r="AB1069" s="31" t="str">
        <f>IF(D1069="","",IF(L1069&lt;=$B$16,1,IF(L1069&gt;=$B$17,$B$21,MATCH(L1069,Aux_CAV!$A$2:$A$121,1))))</f>
        <v/>
      </c>
      <c r="AC1069" s="3" t="str">
        <f t="shared" si="21"/>
        <v/>
      </c>
    </row>
    <row r="1070" ht="12.75" customHeight="1">
      <c r="A1070" s="25" t="str">
        <f t="shared" si="1"/>
        <v/>
      </c>
      <c r="B1070" s="29" t="str">
        <f t="array" ref="B1070">IF(D1070="","",IFERROR(VALUE(INDEX(Vazoes_COLAR!$A$2:$A$200,INT((ROW()-24)/12)+1)),""))</f>
        <v/>
      </c>
      <c r="C1070" s="29" t="str">
        <f t="shared" si="2"/>
        <v/>
      </c>
      <c r="D1070" s="26" t="str">
        <f t="array" ref="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70" s="26" t="str">
        <f t="shared" si="3"/>
        <v/>
      </c>
      <c r="F1070" s="26" t="str">
        <f t="array" ref="F1070">IF(D1070="","",IFERROR(INDEX(Dados_Evap!$C$2:$N$15,MATCH($B$9,Dados_Evap!$A$2:$A$15,0),C1070),0))</f>
        <v/>
      </c>
      <c r="G1070" s="26" t="str">
        <f t="shared" si="4"/>
        <v/>
      </c>
      <c r="H1070" s="26" t="str">
        <f t="shared" si="22"/>
        <v/>
      </c>
      <c r="I1070" s="26" t="str">
        <f t="array" ref="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/>
      </c>
      <c r="J1070" s="26" t="str">
        <f t="shared" si="5"/>
        <v/>
      </c>
      <c r="K1070" s="26" t="str">
        <f t="shared" si="6"/>
        <v/>
      </c>
      <c r="L1070" s="26" t="str">
        <f t="shared" si="7"/>
        <v/>
      </c>
      <c r="M1070" s="26" t="str">
        <f t="array" ref="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/>
      </c>
      <c r="N1070" s="26" t="str">
        <f t="shared" si="8"/>
        <v/>
      </c>
      <c r="O1070" s="26" t="str">
        <f t="shared" si="9"/>
        <v/>
      </c>
      <c r="P1070" s="26" t="str">
        <f t="shared" si="10"/>
        <v/>
      </c>
      <c r="Q1070" s="26" t="str">
        <f t="shared" si="11"/>
        <v/>
      </c>
      <c r="R1070" s="26" t="str">
        <f t="shared" si="12"/>
        <v/>
      </c>
      <c r="S1070" s="26" t="str">
        <f t="shared" si="13"/>
        <v/>
      </c>
      <c r="T1070" s="26" t="str">
        <f t="shared" si="14"/>
        <v/>
      </c>
      <c r="U1070" s="26" t="str">
        <f t="shared" si="15"/>
        <v/>
      </c>
      <c r="V1070" s="26" t="str">
        <f t="shared" si="16"/>
        <v/>
      </c>
      <c r="W1070" s="26" t="str">
        <f t="shared" si="17"/>
        <v/>
      </c>
      <c r="X1070" s="26" t="str">
        <f t="shared" si="18"/>
        <v/>
      </c>
      <c r="Y1070" s="26" t="str">
        <f t="shared" si="19"/>
        <v/>
      </c>
      <c r="Z1070" s="31" t="str">
        <f t="shared" si="20"/>
        <v/>
      </c>
      <c r="AA1070" s="31" t="str">
        <f>IF(D1070="","",IF(H1070&lt;=$B$16,1,IF(H1070&gt;=$B$17,$B$21,MATCH(H1070,Aux_CAV!$A$2:$A$121,1))))</f>
        <v/>
      </c>
      <c r="AB1070" s="31" t="str">
        <f>IF(D1070="","",IF(L1070&lt;=$B$16,1,IF(L1070&gt;=$B$17,$B$21,MATCH(L1070,Aux_CAV!$A$2:$A$121,1))))</f>
        <v/>
      </c>
      <c r="AC1070" s="3" t="str">
        <f t="shared" si="21"/>
        <v/>
      </c>
    </row>
    <row r="1071" ht="12.75" customHeight="1">
      <c r="A1071" s="25" t="str">
        <f t="shared" si="1"/>
        <v/>
      </c>
      <c r="B1071" s="29" t="str">
        <f t="array" ref="B1071">IF(D1071="","",IFERROR(VALUE(INDEX(Vazoes_COLAR!$A$2:$A$200,INT((ROW()-24)/12)+1)),""))</f>
        <v/>
      </c>
      <c r="C1071" s="29" t="str">
        <f t="shared" si="2"/>
        <v/>
      </c>
      <c r="D1071" s="26" t="str">
        <f t="array" ref="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71" s="26" t="str">
        <f t="shared" si="3"/>
        <v/>
      </c>
      <c r="F1071" s="26" t="str">
        <f t="array" ref="F1071">IF(D1071="","",IFERROR(INDEX(Dados_Evap!$C$2:$N$15,MATCH($B$9,Dados_Evap!$A$2:$A$15,0),C1071),0))</f>
        <v/>
      </c>
      <c r="G1071" s="26" t="str">
        <f t="shared" si="4"/>
        <v/>
      </c>
      <c r="H1071" s="26" t="str">
        <f t="shared" si="22"/>
        <v/>
      </c>
      <c r="I1071" s="26" t="str">
        <f t="array" ref="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/>
      </c>
      <c r="J1071" s="26" t="str">
        <f t="shared" si="5"/>
        <v/>
      </c>
      <c r="K1071" s="26" t="str">
        <f t="shared" si="6"/>
        <v/>
      </c>
      <c r="L1071" s="26" t="str">
        <f t="shared" si="7"/>
        <v/>
      </c>
      <c r="M1071" s="26" t="str">
        <f t="array" ref="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/>
      </c>
      <c r="N1071" s="26" t="str">
        <f t="shared" si="8"/>
        <v/>
      </c>
      <c r="O1071" s="26" t="str">
        <f t="shared" si="9"/>
        <v/>
      </c>
      <c r="P1071" s="26" t="str">
        <f t="shared" si="10"/>
        <v/>
      </c>
      <c r="Q1071" s="26" t="str">
        <f t="shared" si="11"/>
        <v/>
      </c>
      <c r="R1071" s="26" t="str">
        <f t="shared" si="12"/>
        <v/>
      </c>
      <c r="S1071" s="26" t="str">
        <f t="shared" si="13"/>
        <v/>
      </c>
      <c r="T1071" s="26" t="str">
        <f t="shared" si="14"/>
        <v/>
      </c>
      <c r="U1071" s="26" t="str">
        <f t="shared" si="15"/>
        <v/>
      </c>
      <c r="V1071" s="26" t="str">
        <f t="shared" si="16"/>
        <v/>
      </c>
      <c r="W1071" s="26" t="str">
        <f t="shared" si="17"/>
        <v/>
      </c>
      <c r="X1071" s="26" t="str">
        <f t="shared" si="18"/>
        <v/>
      </c>
      <c r="Y1071" s="26" t="str">
        <f t="shared" si="19"/>
        <v/>
      </c>
      <c r="Z1071" s="31" t="str">
        <f t="shared" si="20"/>
        <v/>
      </c>
      <c r="AA1071" s="31" t="str">
        <f>IF(D1071="","",IF(H1071&lt;=$B$16,1,IF(H1071&gt;=$B$17,$B$21,MATCH(H1071,Aux_CAV!$A$2:$A$121,1))))</f>
        <v/>
      </c>
      <c r="AB1071" s="31" t="str">
        <f>IF(D1071="","",IF(L1071&lt;=$B$16,1,IF(L1071&gt;=$B$17,$B$21,MATCH(L1071,Aux_CAV!$A$2:$A$121,1))))</f>
        <v/>
      </c>
      <c r="AC1071" s="3" t="str">
        <f t="shared" si="21"/>
        <v/>
      </c>
    </row>
    <row r="1072" ht="12.75" customHeight="1">
      <c r="A1072" s="25" t="str">
        <f t="shared" si="1"/>
        <v/>
      </c>
      <c r="B1072" s="29" t="str">
        <f t="array" ref="B1072">IF(D1072="","",IFERROR(VALUE(INDEX(Vazoes_COLAR!$A$2:$A$200,INT((ROW()-24)/12)+1)),""))</f>
        <v/>
      </c>
      <c r="C1072" s="29" t="str">
        <f t="shared" si="2"/>
        <v/>
      </c>
      <c r="D1072" s="26" t="str">
        <f t="array" ref="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72" s="26" t="str">
        <f t="shared" si="3"/>
        <v/>
      </c>
      <c r="F1072" s="26" t="str">
        <f t="array" ref="F1072">IF(D1072="","",IFERROR(INDEX(Dados_Evap!$C$2:$N$15,MATCH($B$9,Dados_Evap!$A$2:$A$15,0),C1072),0))</f>
        <v/>
      </c>
      <c r="G1072" s="26" t="str">
        <f t="shared" si="4"/>
        <v/>
      </c>
      <c r="H1072" s="26" t="str">
        <f t="shared" si="22"/>
        <v/>
      </c>
      <c r="I1072" s="26" t="str">
        <f t="array" ref="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/>
      </c>
      <c r="J1072" s="26" t="str">
        <f t="shared" si="5"/>
        <v/>
      </c>
      <c r="K1072" s="26" t="str">
        <f t="shared" si="6"/>
        <v/>
      </c>
      <c r="L1072" s="26" t="str">
        <f t="shared" si="7"/>
        <v/>
      </c>
      <c r="M1072" s="26" t="str">
        <f t="array" ref="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/>
      </c>
      <c r="N1072" s="26" t="str">
        <f t="shared" si="8"/>
        <v/>
      </c>
      <c r="O1072" s="26" t="str">
        <f t="shared" si="9"/>
        <v/>
      </c>
      <c r="P1072" s="26" t="str">
        <f t="shared" si="10"/>
        <v/>
      </c>
      <c r="Q1072" s="26" t="str">
        <f t="shared" si="11"/>
        <v/>
      </c>
      <c r="R1072" s="26" t="str">
        <f t="shared" si="12"/>
        <v/>
      </c>
      <c r="S1072" s="26" t="str">
        <f t="shared" si="13"/>
        <v/>
      </c>
      <c r="T1072" s="26" t="str">
        <f t="shared" si="14"/>
        <v/>
      </c>
      <c r="U1072" s="26" t="str">
        <f t="shared" si="15"/>
        <v/>
      </c>
      <c r="V1072" s="26" t="str">
        <f t="shared" si="16"/>
        <v/>
      </c>
      <c r="W1072" s="26" t="str">
        <f t="shared" si="17"/>
        <v/>
      </c>
      <c r="X1072" s="26" t="str">
        <f t="shared" si="18"/>
        <v/>
      </c>
      <c r="Y1072" s="26" t="str">
        <f t="shared" si="19"/>
        <v/>
      </c>
      <c r="Z1072" s="31" t="str">
        <f t="shared" si="20"/>
        <v/>
      </c>
      <c r="AA1072" s="31" t="str">
        <f>IF(D1072="","",IF(H1072&lt;=$B$16,1,IF(H1072&gt;=$B$17,$B$21,MATCH(H1072,Aux_CAV!$A$2:$A$121,1))))</f>
        <v/>
      </c>
      <c r="AB1072" s="31" t="str">
        <f>IF(D1072="","",IF(L1072&lt;=$B$16,1,IF(L1072&gt;=$B$17,$B$21,MATCH(L1072,Aux_CAV!$A$2:$A$121,1))))</f>
        <v/>
      </c>
      <c r="AC1072" s="3" t="str">
        <f t="shared" si="21"/>
        <v/>
      </c>
    </row>
    <row r="1073" ht="12.75" customHeight="1">
      <c r="A1073" s="25" t="str">
        <f t="shared" si="1"/>
        <v/>
      </c>
      <c r="B1073" s="29" t="str">
        <f t="array" ref="B1073">IF(D1073="","",IFERROR(VALUE(INDEX(Vazoes_COLAR!$A$2:$A$200,INT((ROW()-24)/12)+1)),""))</f>
        <v/>
      </c>
      <c r="C1073" s="29" t="str">
        <f t="shared" si="2"/>
        <v/>
      </c>
      <c r="D1073" s="26" t="str">
        <f t="array" ref="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73" s="26" t="str">
        <f t="shared" si="3"/>
        <v/>
      </c>
      <c r="F1073" s="26" t="str">
        <f t="array" ref="F1073">IF(D1073="","",IFERROR(INDEX(Dados_Evap!$C$2:$N$15,MATCH($B$9,Dados_Evap!$A$2:$A$15,0),C1073),0))</f>
        <v/>
      </c>
      <c r="G1073" s="26" t="str">
        <f t="shared" si="4"/>
        <v/>
      </c>
      <c r="H1073" s="26" t="str">
        <f t="shared" si="22"/>
        <v/>
      </c>
      <c r="I1073" s="26" t="str">
        <f t="array" ref="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/>
      </c>
      <c r="J1073" s="26" t="str">
        <f t="shared" si="5"/>
        <v/>
      </c>
      <c r="K1073" s="26" t="str">
        <f t="shared" si="6"/>
        <v/>
      </c>
      <c r="L1073" s="26" t="str">
        <f t="shared" si="7"/>
        <v/>
      </c>
      <c r="M1073" s="26" t="str">
        <f t="array" ref="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/>
      </c>
      <c r="N1073" s="26" t="str">
        <f t="shared" si="8"/>
        <v/>
      </c>
      <c r="O1073" s="26" t="str">
        <f t="shared" si="9"/>
        <v/>
      </c>
      <c r="P1073" s="26" t="str">
        <f t="shared" si="10"/>
        <v/>
      </c>
      <c r="Q1073" s="26" t="str">
        <f t="shared" si="11"/>
        <v/>
      </c>
      <c r="R1073" s="26" t="str">
        <f t="shared" si="12"/>
        <v/>
      </c>
      <c r="S1073" s="26" t="str">
        <f t="shared" si="13"/>
        <v/>
      </c>
      <c r="T1073" s="26" t="str">
        <f t="shared" si="14"/>
        <v/>
      </c>
      <c r="U1073" s="26" t="str">
        <f t="shared" si="15"/>
        <v/>
      </c>
      <c r="V1073" s="26" t="str">
        <f t="shared" si="16"/>
        <v/>
      </c>
      <c r="W1073" s="26" t="str">
        <f t="shared" si="17"/>
        <v/>
      </c>
      <c r="X1073" s="26" t="str">
        <f t="shared" si="18"/>
        <v/>
      </c>
      <c r="Y1073" s="26" t="str">
        <f t="shared" si="19"/>
        <v/>
      </c>
      <c r="Z1073" s="31" t="str">
        <f t="shared" si="20"/>
        <v/>
      </c>
      <c r="AA1073" s="31" t="str">
        <f>IF(D1073="","",IF(H1073&lt;=$B$16,1,IF(H1073&gt;=$B$17,$B$21,MATCH(H1073,Aux_CAV!$A$2:$A$121,1))))</f>
        <v/>
      </c>
      <c r="AB1073" s="31" t="str">
        <f>IF(D1073="","",IF(L1073&lt;=$B$16,1,IF(L1073&gt;=$B$17,$B$21,MATCH(L1073,Aux_CAV!$A$2:$A$121,1))))</f>
        <v/>
      </c>
      <c r="AC1073" s="3" t="str">
        <f t="shared" si="21"/>
        <v/>
      </c>
    </row>
    <row r="1074" ht="12.75" customHeight="1">
      <c r="A1074" s="25" t="str">
        <f t="shared" si="1"/>
        <v/>
      </c>
      <c r="B1074" s="29" t="str">
        <f t="array" ref="B1074">IF(D1074="","",IFERROR(VALUE(INDEX(Vazoes_COLAR!$A$2:$A$200,INT((ROW()-24)/12)+1)),""))</f>
        <v/>
      </c>
      <c r="C1074" s="29" t="str">
        <f t="shared" si="2"/>
        <v/>
      </c>
      <c r="D1074" s="26" t="str">
        <f t="array" ref="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74" s="26" t="str">
        <f t="shared" si="3"/>
        <v/>
      </c>
      <c r="F1074" s="26" t="str">
        <f t="array" ref="F1074">IF(D1074="","",IFERROR(INDEX(Dados_Evap!$C$2:$N$15,MATCH($B$9,Dados_Evap!$A$2:$A$15,0),C1074),0))</f>
        <v/>
      </c>
      <c r="G1074" s="26" t="str">
        <f t="shared" si="4"/>
        <v/>
      </c>
      <c r="H1074" s="26" t="str">
        <f t="shared" si="22"/>
        <v/>
      </c>
      <c r="I1074" s="26" t="str">
        <f t="array" ref="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/>
      </c>
      <c r="J1074" s="26" t="str">
        <f t="shared" si="5"/>
        <v/>
      </c>
      <c r="K1074" s="26" t="str">
        <f t="shared" si="6"/>
        <v/>
      </c>
      <c r="L1074" s="26" t="str">
        <f t="shared" si="7"/>
        <v/>
      </c>
      <c r="M1074" s="26" t="str">
        <f t="array" ref="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/>
      </c>
      <c r="N1074" s="26" t="str">
        <f t="shared" si="8"/>
        <v/>
      </c>
      <c r="O1074" s="26" t="str">
        <f t="shared" si="9"/>
        <v/>
      </c>
      <c r="P1074" s="26" t="str">
        <f t="shared" si="10"/>
        <v/>
      </c>
      <c r="Q1074" s="26" t="str">
        <f t="shared" si="11"/>
        <v/>
      </c>
      <c r="R1074" s="26" t="str">
        <f t="shared" si="12"/>
        <v/>
      </c>
      <c r="S1074" s="26" t="str">
        <f t="shared" si="13"/>
        <v/>
      </c>
      <c r="T1074" s="26" t="str">
        <f t="shared" si="14"/>
        <v/>
      </c>
      <c r="U1074" s="26" t="str">
        <f t="shared" si="15"/>
        <v/>
      </c>
      <c r="V1074" s="26" t="str">
        <f t="shared" si="16"/>
        <v/>
      </c>
      <c r="W1074" s="26" t="str">
        <f t="shared" si="17"/>
        <v/>
      </c>
      <c r="X1074" s="26" t="str">
        <f t="shared" si="18"/>
        <v/>
      </c>
      <c r="Y1074" s="26" t="str">
        <f t="shared" si="19"/>
        <v/>
      </c>
      <c r="Z1074" s="31" t="str">
        <f t="shared" si="20"/>
        <v/>
      </c>
      <c r="AA1074" s="31" t="str">
        <f>IF(D1074="","",IF(H1074&lt;=$B$16,1,IF(H1074&gt;=$B$17,$B$21,MATCH(H1074,Aux_CAV!$A$2:$A$121,1))))</f>
        <v/>
      </c>
      <c r="AB1074" s="31" t="str">
        <f>IF(D1074="","",IF(L1074&lt;=$B$16,1,IF(L1074&gt;=$B$17,$B$21,MATCH(L1074,Aux_CAV!$A$2:$A$121,1))))</f>
        <v/>
      </c>
      <c r="AC1074" s="3" t="str">
        <f t="shared" si="21"/>
        <v/>
      </c>
    </row>
    <row r="1075" ht="12.75" customHeight="1">
      <c r="A1075" s="25" t="str">
        <f t="shared" si="1"/>
        <v/>
      </c>
      <c r="B1075" s="29" t="str">
        <f t="array" ref="B1075">IF(D1075="","",IFERROR(VALUE(INDEX(Vazoes_COLAR!$A$2:$A$200,INT((ROW()-24)/12)+1)),""))</f>
        <v/>
      </c>
      <c r="C1075" s="29" t="str">
        <f t="shared" si="2"/>
        <v/>
      </c>
      <c r="D1075" s="26" t="str">
        <f t="array" ref="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75" s="26" t="str">
        <f t="shared" si="3"/>
        <v/>
      </c>
      <c r="F1075" s="26" t="str">
        <f t="array" ref="F1075">IF(D1075="","",IFERROR(INDEX(Dados_Evap!$C$2:$N$15,MATCH($B$9,Dados_Evap!$A$2:$A$15,0),C1075),0))</f>
        <v/>
      </c>
      <c r="G1075" s="26" t="str">
        <f t="shared" si="4"/>
        <v/>
      </c>
      <c r="H1075" s="26" t="str">
        <f t="shared" si="22"/>
        <v/>
      </c>
      <c r="I1075" s="26" t="str">
        <f t="array" ref="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/>
      </c>
      <c r="J1075" s="26" t="str">
        <f t="shared" si="5"/>
        <v/>
      </c>
      <c r="K1075" s="26" t="str">
        <f t="shared" si="6"/>
        <v/>
      </c>
      <c r="L1075" s="26" t="str">
        <f t="shared" si="7"/>
        <v/>
      </c>
      <c r="M1075" s="26" t="str">
        <f t="array" ref="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/>
      </c>
      <c r="N1075" s="26" t="str">
        <f t="shared" si="8"/>
        <v/>
      </c>
      <c r="O1075" s="26" t="str">
        <f t="shared" si="9"/>
        <v/>
      </c>
      <c r="P1075" s="26" t="str">
        <f t="shared" si="10"/>
        <v/>
      </c>
      <c r="Q1075" s="26" t="str">
        <f t="shared" si="11"/>
        <v/>
      </c>
      <c r="R1075" s="26" t="str">
        <f t="shared" si="12"/>
        <v/>
      </c>
      <c r="S1075" s="26" t="str">
        <f t="shared" si="13"/>
        <v/>
      </c>
      <c r="T1075" s="26" t="str">
        <f t="shared" si="14"/>
        <v/>
      </c>
      <c r="U1075" s="26" t="str">
        <f t="shared" si="15"/>
        <v/>
      </c>
      <c r="V1075" s="26" t="str">
        <f t="shared" si="16"/>
        <v/>
      </c>
      <c r="W1075" s="26" t="str">
        <f t="shared" si="17"/>
        <v/>
      </c>
      <c r="X1075" s="26" t="str">
        <f t="shared" si="18"/>
        <v/>
      </c>
      <c r="Y1075" s="26" t="str">
        <f t="shared" si="19"/>
        <v/>
      </c>
      <c r="Z1075" s="31" t="str">
        <f t="shared" si="20"/>
        <v/>
      </c>
      <c r="AA1075" s="31" t="str">
        <f>IF(D1075="","",IF(H1075&lt;=$B$16,1,IF(H1075&gt;=$B$17,$B$21,MATCH(H1075,Aux_CAV!$A$2:$A$121,1))))</f>
        <v/>
      </c>
      <c r="AB1075" s="31" t="str">
        <f>IF(D1075="","",IF(L1075&lt;=$B$16,1,IF(L1075&gt;=$B$17,$B$21,MATCH(L1075,Aux_CAV!$A$2:$A$121,1))))</f>
        <v/>
      </c>
      <c r="AC1075" s="3" t="str">
        <f t="shared" si="21"/>
        <v/>
      </c>
    </row>
    <row r="1076" ht="12.75" customHeight="1">
      <c r="A1076" s="25" t="str">
        <f t="shared" si="1"/>
        <v/>
      </c>
      <c r="B1076" s="29" t="str">
        <f t="array" ref="B1076">IF(D1076="","",IFERROR(VALUE(INDEX(Vazoes_COLAR!$A$2:$A$200,INT((ROW()-24)/12)+1)),""))</f>
        <v/>
      </c>
      <c r="C1076" s="29" t="str">
        <f t="shared" si="2"/>
        <v/>
      </c>
      <c r="D1076" s="26" t="str">
        <f t="array" ref="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76" s="26" t="str">
        <f t="shared" si="3"/>
        <v/>
      </c>
      <c r="F1076" s="26" t="str">
        <f t="array" ref="F1076">IF(D1076="","",IFERROR(INDEX(Dados_Evap!$C$2:$N$15,MATCH($B$9,Dados_Evap!$A$2:$A$15,0),C1076),0))</f>
        <v/>
      </c>
      <c r="G1076" s="26" t="str">
        <f t="shared" si="4"/>
        <v/>
      </c>
      <c r="H1076" s="26" t="str">
        <f t="shared" si="22"/>
        <v/>
      </c>
      <c r="I1076" s="26" t="str">
        <f t="array" ref="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/>
      </c>
      <c r="J1076" s="26" t="str">
        <f t="shared" si="5"/>
        <v/>
      </c>
      <c r="K1076" s="26" t="str">
        <f t="shared" si="6"/>
        <v/>
      </c>
      <c r="L1076" s="26" t="str">
        <f t="shared" si="7"/>
        <v/>
      </c>
      <c r="M1076" s="26" t="str">
        <f t="array" ref="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/>
      </c>
      <c r="N1076" s="26" t="str">
        <f t="shared" si="8"/>
        <v/>
      </c>
      <c r="O1076" s="26" t="str">
        <f t="shared" si="9"/>
        <v/>
      </c>
      <c r="P1076" s="26" t="str">
        <f t="shared" si="10"/>
        <v/>
      </c>
      <c r="Q1076" s="26" t="str">
        <f t="shared" si="11"/>
        <v/>
      </c>
      <c r="R1076" s="26" t="str">
        <f t="shared" si="12"/>
        <v/>
      </c>
      <c r="S1076" s="26" t="str">
        <f t="shared" si="13"/>
        <v/>
      </c>
      <c r="T1076" s="26" t="str">
        <f t="shared" si="14"/>
        <v/>
      </c>
      <c r="U1076" s="26" t="str">
        <f t="shared" si="15"/>
        <v/>
      </c>
      <c r="V1076" s="26" t="str">
        <f t="shared" si="16"/>
        <v/>
      </c>
      <c r="W1076" s="26" t="str">
        <f t="shared" si="17"/>
        <v/>
      </c>
      <c r="X1076" s="26" t="str">
        <f t="shared" si="18"/>
        <v/>
      </c>
      <c r="Y1076" s="26" t="str">
        <f t="shared" si="19"/>
        <v/>
      </c>
      <c r="Z1076" s="31" t="str">
        <f t="shared" si="20"/>
        <v/>
      </c>
      <c r="AA1076" s="31" t="str">
        <f>IF(D1076="","",IF(H1076&lt;=$B$16,1,IF(H1076&gt;=$B$17,$B$21,MATCH(H1076,Aux_CAV!$A$2:$A$121,1))))</f>
        <v/>
      </c>
      <c r="AB1076" s="31" t="str">
        <f>IF(D1076="","",IF(L1076&lt;=$B$16,1,IF(L1076&gt;=$B$17,$B$21,MATCH(L1076,Aux_CAV!$A$2:$A$121,1))))</f>
        <v/>
      </c>
      <c r="AC1076" s="3" t="str">
        <f t="shared" si="21"/>
        <v/>
      </c>
    </row>
    <row r="1077" ht="12.75" customHeight="1">
      <c r="A1077" s="25" t="str">
        <f t="shared" si="1"/>
        <v/>
      </c>
      <c r="B1077" s="29" t="str">
        <f t="array" ref="B1077">IF(D1077="","",IFERROR(VALUE(INDEX(Vazoes_COLAR!$A$2:$A$200,INT((ROW()-24)/12)+1)),""))</f>
        <v/>
      </c>
      <c r="C1077" s="29" t="str">
        <f t="shared" si="2"/>
        <v/>
      </c>
      <c r="D1077" s="26" t="str">
        <f t="array" ref="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77" s="26" t="str">
        <f t="shared" si="3"/>
        <v/>
      </c>
      <c r="F1077" s="26" t="str">
        <f t="array" ref="F1077">IF(D1077="","",IFERROR(INDEX(Dados_Evap!$C$2:$N$15,MATCH($B$9,Dados_Evap!$A$2:$A$15,0),C1077),0))</f>
        <v/>
      </c>
      <c r="G1077" s="26" t="str">
        <f t="shared" si="4"/>
        <v/>
      </c>
      <c r="H1077" s="26" t="str">
        <f t="shared" si="22"/>
        <v/>
      </c>
      <c r="I1077" s="26" t="str">
        <f t="array" ref="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/>
      </c>
      <c r="J1077" s="26" t="str">
        <f t="shared" si="5"/>
        <v/>
      </c>
      <c r="K1077" s="26" t="str">
        <f t="shared" si="6"/>
        <v/>
      </c>
      <c r="L1077" s="26" t="str">
        <f t="shared" si="7"/>
        <v/>
      </c>
      <c r="M1077" s="26" t="str">
        <f t="array" ref="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/>
      </c>
      <c r="N1077" s="26" t="str">
        <f t="shared" si="8"/>
        <v/>
      </c>
      <c r="O1077" s="26" t="str">
        <f t="shared" si="9"/>
        <v/>
      </c>
      <c r="P1077" s="26" t="str">
        <f t="shared" si="10"/>
        <v/>
      </c>
      <c r="Q1077" s="26" t="str">
        <f t="shared" si="11"/>
        <v/>
      </c>
      <c r="R1077" s="26" t="str">
        <f t="shared" si="12"/>
        <v/>
      </c>
      <c r="S1077" s="26" t="str">
        <f t="shared" si="13"/>
        <v/>
      </c>
      <c r="T1077" s="26" t="str">
        <f t="shared" si="14"/>
        <v/>
      </c>
      <c r="U1077" s="26" t="str">
        <f t="shared" si="15"/>
        <v/>
      </c>
      <c r="V1077" s="26" t="str">
        <f t="shared" si="16"/>
        <v/>
      </c>
      <c r="W1077" s="26" t="str">
        <f t="shared" si="17"/>
        <v/>
      </c>
      <c r="X1077" s="26" t="str">
        <f t="shared" si="18"/>
        <v/>
      </c>
      <c r="Y1077" s="26" t="str">
        <f t="shared" si="19"/>
        <v/>
      </c>
      <c r="Z1077" s="31" t="str">
        <f t="shared" si="20"/>
        <v/>
      </c>
      <c r="AA1077" s="31" t="str">
        <f>IF(D1077="","",IF(H1077&lt;=$B$16,1,IF(H1077&gt;=$B$17,$B$21,MATCH(H1077,Aux_CAV!$A$2:$A$121,1))))</f>
        <v/>
      </c>
      <c r="AB1077" s="31" t="str">
        <f>IF(D1077="","",IF(L1077&lt;=$B$16,1,IF(L1077&gt;=$B$17,$B$21,MATCH(L1077,Aux_CAV!$A$2:$A$121,1))))</f>
        <v/>
      </c>
      <c r="AC1077" s="3" t="str">
        <f t="shared" si="21"/>
        <v/>
      </c>
    </row>
    <row r="1078" ht="12.75" customHeight="1">
      <c r="A1078" s="25" t="str">
        <f t="shared" si="1"/>
        <v/>
      </c>
      <c r="B1078" s="29" t="str">
        <f t="array" ref="B1078">IF(D1078="","",IFERROR(VALUE(INDEX(Vazoes_COLAR!$A$2:$A$200,INT((ROW()-24)/12)+1)),""))</f>
        <v/>
      </c>
      <c r="C1078" s="29" t="str">
        <f t="shared" si="2"/>
        <v/>
      </c>
      <c r="D1078" s="26" t="str">
        <f t="array" ref="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78" s="26" t="str">
        <f t="shared" si="3"/>
        <v/>
      </c>
      <c r="F1078" s="26" t="str">
        <f t="array" ref="F1078">IF(D1078="","",IFERROR(INDEX(Dados_Evap!$C$2:$N$15,MATCH($B$9,Dados_Evap!$A$2:$A$15,0),C1078),0))</f>
        <v/>
      </c>
      <c r="G1078" s="26" t="str">
        <f t="shared" si="4"/>
        <v/>
      </c>
      <c r="H1078" s="26" t="str">
        <f t="shared" si="22"/>
        <v/>
      </c>
      <c r="I1078" s="26" t="str">
        <f t="array" ref="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/>
      </c>
      <c r="J1078" s="26" t="str">
        <f t="shared" si="5"/>
        <v/>
      </c>
      <c r="K1078" s="26" t="str">
        <f t="shared" si="6"/>
        <v/>
      </c>
      <c r="L1078" s="26" t="str">
        <f t="shared" si="7"/>
        <v/>
      </c>
      <c r="M1078" s="26" t="str">
        <f t="array" ref="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/>
      </c>
      <c r="N1078" s="26" t="str">
        <f t="shared" si="8"/>
        <v/>
      </c>
      <c r="O1078" s="26" t="str">
        <f t="shared" si="9"/>
        <v/>
      </c>
      <c r="P1078" s="26" t="str">
        <f t="shared" si="10"/>
        <v/>
      </c>
      <c r="Q1078" s="26" t="str">
        <f t="shared" si="11"/>
        <v/>
      </c>
      <c r="R1078" s="26" t="str">
        <f t="shared" si="12"/>
        <v/>
      </c>
      <c r="S1078" s="26" t="str">
        <f t="shared" si="13"/>
        <v/>
      </c>
      <c r="T1078" s="26" t="str">
        <f t="shared" si="14"/>
        <v/>
      </c>
      <c r="U1078" s="26" t="str">
        <f t="shared" si="15"/>
        <v/>
      </c>
      <c r="V1078" s="26" t="str">
        <f t="shared" si="16"/>
        <v/>
      </c>
      <c r="W1078" s="26" t="str">
        <f t="shared" si="17"/>
        <v/>
      </c>
      <c r="X1078" s="26" t="str">
        <f t="shared" si="18"/>
        <v/>
      </c>
      <c r="Y1078" s="26" t="str">
        <f t="shared" si="19"/>
        <v/>
      </c>
      <c r="Z1078" s="31" t="str">
        <f t="shared" si="20"/>
        <v/>
      </c>
      <c r="AA1078" s="31" t="str">
        <f>IF(D1078="","",IF(H1078&lt;=$B$16,1,IF(H1078&gt;=$B$17,$B$21,MATCH(H1078,Aux_CAV!$A$2:$A$121,1))))</f>
        <v/>
      </c>
      <c r="AB1078" s="31" t="str">
        <f>IF(D1078="","",IF(L1078&lt;=$B$16,1,IF(L1078&gt;=$B$17,$B$21,MATCH(L1078,Aux_CAV!$A$2:$A$121,1))))</f>
        <v/>
      </c>
      <c r="AC1078" s="3" t="str">
        <f t="shared" si="21"/>
        <v/>
      </c>
    </row>
    <row r="1079" ht="12.75" customHeight="1">
      <c r="A1079" s="25" t="str">
        <f t="shared" si="1"/>
        <v/>
      </c>
      <c r="B1079" s="29" t="str">
        <f t="array" ref="B1079">IF(D1079="","",IFERROR(VALUE(INDEX(Vazoes_COLAR!$A$2:$A$200,INT((ROW()-24)/12)+1)),""))</f>
        <v/>
      </c>
      <c r="C1079" s="29" t="str">
        <f t="shared" si="2"/>
        <v/>
      </c>
      <c r="D1079" s="26" t="str">
        <f t="array" ref="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79" s="26" t="str">
        <f t="shared" si="3"/>
        <v/>
      </c>
      <c r="F1079" s="26" t="str">
        <f t="array" ref="F1079">IF(D1079="","",IFERROR(INDEX(Dados_Evap!$C$2:$N$15,MATCH($B$9,Dados_Evap!$A$2:$A$15,0),C1079),0))</f>
        <v/>
      </c>
      <c r="G1079" s="26" t="str">
        <f t="shared" si="4"/>
        <v/>
      </c>
      <c r="H1079" s="26" t="str">
        <f t="shared" si="22"/>
        <v/>
      </c>
      <c r="I1079" s="26" t="str">
        <f t="array" ref="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/>
      </c>
      <c r="J1079" s="26" t="str">
        <f t="shared" si="5"/>
        <v/>
      </c>
      <c r="K1079" s="26" t="str">
        <f t="shared" si="6"/>
        <v/>
      </c>
      <c r="L1079" s="26" t="str">
        <f t="shared" si="7"/>
        <v/>
      </c>
      <c r="M1079" s="26" t="str">
        <f t="array" ref="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/>
      </c>
      <c r="N1079" s="26" t="str">
        <f t="shared" si="8"/>
        <v/>
      </c>
      <c r="O1079" s="26" t="str">
        <f t="shared" si="9"/>
        <v/>
      </c>
      <c r="P1079" s="26" t="str">
        <f t="shared" si="10"/>
        <v/>
      </c>
      <c r="Q1079" s="26" t="str">
        <f t="shared" si="11"/>
        <v/>
      </c>
      <c r="R1079" s="26" t="str">
        <f t="shared" si="12"/>
        <v/>
      </c>
      <c r="S1079" s="26" t="str">
        <f t="shared" si="13"/>
        <v/>
      </c>
      <c r="T1079" s="26" t="str">
        <f t="shared" si="14"/>
        <v/>
      </c>
      <c r="U1079" s="26" t="str">
        <f t="shared" si="15"/>
        <v/>
      </c>
      <c r="V1079" s="26" t="str">
        <f t="shared" si="16"/>
        <v/>
      </c>
      <c r="W1079" s="26" t="str">
        <f t="shared" si="17"/>
        <v/>
      </c>
      <c r="X1079" s="26" t="str">
        <f t="shared" si="18"/>
        <v/>
      </c>
      <c r="Y1079" s="26" t="str">
        <f t="shared" si="19"/>
        <v/>
      </c>
      <c r="Z1079" s="31" t="str">
        <f t="shared" si="20"/>
        <v/>
      </c>
      <c r="AA1079" s="31" t="str">
        <f>IF(D1079="","",IF(H1079&lt;=$B$16,1,IF(H1079&gt;=$B$17,$B$21,MATCH(H1079,Aux_CAV!$A$2:$A$121,1))))</f>
        <v/>
      </c>
      <c r="AB1079" s="31" t="str">
        <f>IF(D1079="","",IF(L1079&lt;=$B$16,1,IF(L1079&gt;=$B$17,$B$21,MATCH(L1079,Aux_CAV!$A$2:$A$121,1))))</f>
        <v/>
      </c>
      <c r="AC1079" s="3" t="str">
        <f t="shared" si="21"/>
        <v/>
      </c>
    </row>
    <row r="1080" ht="12.75" customHeight="1">
      <c r="A1080" s="25" t="str">
        <f t="shared" si="1"/>
        <v/>
      </c>
      <c r="B1080" s="29" t="str">
        <f t="array" ref="B1080">IF(D1080="","",IFERROR(VALUE(INDEX(Vazoes_COLAR!$A$2:$A$200,INT((ROW()-24)/12)+1)),""))</f>
        <v/>
      </c>
      <c r="C1080" s="29" t="str">
        <f t="shared" si="2"/>
        <v/>
      </c>
      <c r="D1080" s="26" t="str">
        <f t="array" ref="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80" s="26" t="str">
        <f t="shared" si="3"/>
        <v/>
      </c>
      <c r="F1080" s="26" t="str">
        <f t="array" ref="F1080">IF(D1080="","",IFERROR(INDEX(Dados_Evap!$C$2:$N$15,MATCH($B$9,Dados_Evap!$A$2:$A$15,0),C1080),0))</f>
        <v/>
      </c>
      <c r="G1080" s="26" t="str">
        <f t="shared" si="4"/>
        <v/>
      </c>
      <c r="H1080" s="26" t="str">
        <f t="shared" si="22"/>
        <v/>
      </c>
      <c r="I1080" s="26" t="str">
        <f t="array" ref="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/>
      </c>
      <c r="J1080" s="26" t="str">
        <f t="shared" si="5"/>
        <v/>
      </c>
      <c r="K1080" s="26" t="str">
        <f t="shared" si="6"/>
        <v/>
      </c>
      <c r="L1080" s="26" t="str">
        <f t="shared" si="7"/>
        <v/>
      </c>
      <c r="M1080" s="26" t="str">
        <f t="array" ref="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/>
      </c>
      <c r="N1080" s="26" t="str">
        <f t="shared" si="8"/>
        <v/>
      </c>
      <c r="O1080" s="26" t="str">
        <f t="shared" si="9"/>
        <v/>
      </c>
      <c r="P1080" s="26" t="str">
        <f t="shared" si="10"/>
        <v/>
      </c>
      <c r="Q1080" s="26" t="str">
        <f t="shared" si="11"/>
        <v/>
      </c>
      <c r="R1080" s="26" t="str">
        <f t="shared" si="12"/>
        <v/>
      </c>
      <c r="S1080" s="26" t="str">
        <f t="shared" si="13"/>
        <v/>
      </c>
      <c r="T1080" s="26" t="str">
        <f t="shared" si="14"/>
        <v/>
      </c>
      <c r="U1080" s="26" t="str">
        <f t="shared" si="15"/>
        <v/>
      </c>
      <c r="V1080" s="26" t="str">
        <f t="shared" si="16"/>
        <v/>
      </c>
      <c r="W1080" s="26" t="str">
        <f t="shared" si="17"/>
        <v/>
      </c>
      <c r="X1080" s="26" t="str">
        <f t="shared" si="18"/>
        <v/>
      </c>
      <c r="Y1080" s="26" t="str">
        <f t="shared" si="19"/>
        <v/>
      </c>
      <c r="Z1080" s="31" t="str">
        <f t="shared" si="20"/>
        <v/>
      </c>
      <c r="AA1080" s="31" t="str">
        <f>IF(D1080="","",IF(H1080&lt;=$B$16,1,IF(H1080&gt;=$B$17,$B$21,MATCH(H1080,Aux_CAV!$A$2:$A$121,1))))</f>
        <v/>
      </c>
      <c r="AB1080" s="31" t="str">
        <f>IF(D1080="","",IF(L1080&lt;=$B$16,1,IF(L1080&gt;=$B$17,$B$21,MATCH(L1080,Aux_CAV!$A$2:$A$121,1))))</f>
        <v/>
      </c>
      <c r="AC1080" s="3" t="str">
        <f t="shared" si="21"/>
        <v/>
      </c>
    </row>
    <row r="1081" ht="12.75" customHeight="1">
      <c r="A1081" s="25" t="str">
        <f t="shared" si="1"/>
        <v/>
      </c>
      <c r="B1081" s="29" t="str">
        <f t="array" ref="B1081">IF(D1081="","",IFERROR(VALUE(INDEX(Vazoes_COLAR!$A$2:$A$200,INT((ROW()-24)/12)+1)),""))</f>
        <v/>
      </c>
      <c r="C1081" s="29" t="str">
        <f t="shared" si="2"/>
        <v/>
      </c>
      <c r="D1081" s="26" t="str">
        <f t="array" ref="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81" s="26" t="str">
        <f t="shared" si="3"/>
        <v/>
      </c>
      <c r="F1081" s="26" t="str">
        <f t="array" ref="F1081">IF(D1081="","",IFERROR(INDEX(Dados_Evap!$C$2:$N$15,MATCH($B$9,Dados_Evap!$A$2:$A$15,0),C1081),0))</f>
        <v/>
      </c>
      <c r="G1081" s="26" t="str">
        <f t="shared" si="4"/>
        <v/>
      </c>
      <c r="H1081" s="26" t="str">
        <f t="shared" si="22"/>
        <v/>
      </c>
      <c r="I1081" s="26" t="str">
        <f t="array" ref="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/>
      </c>
      <c r="J1081" s="26" t="str">
        <f t="shared" si="5"/>
        <v/>
      </c>
      <c r="K1081" s="26" t="str">
        <f t="shared" si="6"/>
        <v/>
      </c>
      <c r="L1081" s="26" t="str">
        <f t="shared" si="7"/>
        <v/>
      </c>
      <c r="M1081" s="26" t="str">
        <f t="array" ref="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/>
      </c>
      <c r="N1081" s="26" t="str">
        <f t="shared" si="8"/>
        <v/>
      </c>
      <c r="O1081" s="26" t="str">
        <f t="shared" si="9"/>
        <v/>
      </c>
      <c r="P1081" s="26" t="str">
        <f t="shared" si="10"/>
        <v/>
      </c>
      <c r="Q1081" s="26" t="str">
        <f t="shared" si="11"/>
        <v/>
      </c>
      <c r="R1081" s="26" t="str">
        <f t="shared" si="12"/>
        <v/>
      </c>
      <c r="S1081" s="26" t="str">
        <f t="shared" si="13"/>
        <v/>
      </c>
      <c r="T1081" s="26" t="str">
        <f t="shared" si="14"/>
        <v/>
      </c>
      <c r="U1081" s="26" t="str">
        <f t="shared" si="15"/>
        <v/>
      </c>
      <c r="V1081" s="26" t="str">
        <f t="shared" si="16"/>
        <v/>
      </c>
      <c r="W1081" s="26" t="str">
        <f t="shared" si="17"/>
        <v/>
      </c>
      <c r="X1081" s="26" t="str">
        <f t="shared" si="18"/>
        <v/>
      </c>
      <c r="Y1081" s="26" t="str">
        <f t="shared" si="19"/>
        <v/>
      </c>
      <c r="Z1081" s="31" t="str">
        <f t="shared" si="20"/>
        <v/>
      </c>
      <c r="AA1081" s="31" t="str">
        <f>IF(D1081="","",IF(H1081&lt;=$B$16,1,IF(H1081&gt;=$B$17,$B$21,MATCH(H1081,Aux_CAV!$A$2:$A$121,1))))</f>
        <v/>
      </c>
      <c r="AB1081" s="31" t="str">
        <f>IF(D1081="","",IF(L1081&lt;=$B$16,1,IF(L1081&gt;=$B$17,$B$21,MATCH(L1081,Aux_CAV!$A$2:$A$121,1))))</f>
        <v/>
      </c>
      <c r="AC1081" s="3" t="str">
        <f t="shared" si="21"/>
        <v/>
      </c>
    </row>
    <row r="1082" ht="12.75" customHeight="1">
      <c r="A1082" s="25" t="str">
        <f t="shared" si="1"/>
        <v/>
      </c>
      <c r="B1082" s="29" t="str">
        <f t="array" ref="B1082">IF(D1082="","",IFERROR(VALUE(INDEX(Vazoes_COLAR!$A$2:$A$200,INT((ROW()-24)/12)+1)),""))</f>
        <v/>
      </c>
      <c r="C1082" s="29" t="str">
        <f t="shared" si="2"/>
        <v/>
      </c>
      <c r="D1082" s="26" t="str">
        <f t="array" ref="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82" s="26" t="str">
        <f t="shared" si="3"/>
        <v/>
      </c>
      <c r="F1082" s="26" t="str">
        <f t="array" ref="F1082">IF(D1082="","",IFERROR(INDEX(Dados_Evap!$C$2:$N$15,MATCH($B$9,Dados_Evap!$A$2:$A$15,0),C1082),0))</f>
        <v/>
      </c>
      <c r="G1082" s="26" t="str">
        <f t="shared" si="4"/>
        <v/>
      </c>
      <c r="H1082" s="26" t="str">
        <f t="shared" si="22"/>
        <v/>
      </c>
      <c r="I1082" s="26" t="str">
        <f t="array" ref="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/>
      </c>
      <c r="J1082" s="26" t="str">
        <f t="shared" si="5"/>
        <v/>
      </c>
      <c r="K1082" s="26" t="str">
        <f t="shared" si="6"/>
        <v/>
      </c>
      <c r="L1082" s="26" t="str">
        <f t="shared" si="7"/>
        <v/>
      </c>
      <c r="M1082" s="26" t="str">
        <f t="array" ref="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/>
      </c>
      <c r="N1082" s="26" t="str">
        <f t="shared" si="8"/>
        <v/>
      </c>
      <c r="O1082" s="26" t="str">
        <f t="shared" si="9"/>
        <v/>
      </c>
      <c r="P1082" s="26" t="str">
        <f t="shared" si="10"/>
        <v/>
      </c>
      <c r="Q1082" s="26" t="str">
        <f t="shared" si="11"/>
        <v/>
      </c>
      <c r="R1082" s="26" t="str">
        <f t="shared" si="12"/>
        <v/>
      </c>
      <c r="S1082" s="26" t="str">
        <f t="shared" si="13"/>
        <v/>
      </c>
      <c r="T1082" s="26" t="str">
        <f t="shared" si="14"/>
        <v/>
      </c>
      <c r="U1082" s="26" t="str">
        <f t="shared" si="15"/>
        <v/>
      </c>
      <c r="V1082" s="26" t="str">
        <f t="shared" si="16"/>
        <v/>
      </c>
      <c r="W1082" s="26" t="str">
        <f t="shared" si="17"/>
        <v/>
      </c>
      <c r="X1082" s="26" t="str">
        <f t="shared" si="18"/>
        <v/>
      </c>
      <c r="Y1082" s="26" t="str">
        <f t="shared" si="19"/>
        <v/>
      </c>
      <c r="Z1082" s="31" t="str">
        <f t="shared" si="20"/>
        <v/>
      </c>
      <c r="AA1082" s="31" t="str">
        <f>IF(D1082="","",IF(H1082&lt;=$B$16,1,IF(H1082&gt;=$B$17,$B$21,MATCH(H1082,Aux_CAV!$A$2:$A$121,1))))</f>
        <v/>
      </c>
      <c r="AB1082" s="31" t="str">
        <f>IF(D1082="","",IF(L1082&lt;=$B$16,1,IF(L1082&gt;=$B$17,$B$21,MATCH(L1082,Aux_CAV!$A$2:$A$121,1))))</f>
        <v/>
      </c>
      <c r="AC1082" s="3" t="str">
        <f t="shared" si="21"/>
        <v/>
      </c>
    </row>
    <row r="1083" ht="12.75" customHeight="1">
      <c r="A1083" s="25" t="str">
        <f t="shared" si="1"/>
        <v/>
      </c>
      <c r="B1083" s="29" t="str">
        <f t="array" ref="B1083">IF(D1083="","",IFERROR(VALUE(INDEX(Vazoes_COLAR!$A$2:$A$200,INT((ROW()-24)/12)+1)),""))</f>
        <v/>
      </c>
      <c r="C1083" s="29" t="str">
        <f t="shared" si="2"/>
        <v/>
      </c>
      <c r="D1083" s="26" t="str">
        <f t="array" ref="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83" s="26" t="str">
        <f t="shared" si="3"/>
        <v/>
      </c>
      <c r="F1083" s="26" t="str">
        <f t="array" ref="F1083">IF(D1083="","",IFERROR(INDEX(Dados_Evap!$C$2:$N$15,MATCH($B$9,Dados_Evap!$A$2:$A$15,0),C1083),0))</f>
        <v/>
      </c>
      <c r="G1083" s="26" t="str">
        <f t="shared" si="4"/>
        <v/>
      </c>
      <c r="H1083" s="26" t="str">
        <f t="shared" si="22"/>
        <v/>
      </c>
      <c r="I1083" s="26" t="str">
        <f t="array" ref="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/>
      </c>
      <c r="J1083" s="26" t="str">
        <f t="shared" si="5"/>
        <v/>
      </c>
      <c r="K1083" s="26" t="str">
        <f t="shared" si="6"/>
        <v/>
      </c>
      <c r="L1083" s="26" t="str">
        <f t="shared" si="7"/>
        <v/>
      </c>
      <c r="M1083" s="26" t="str">
        <f t="array" ref="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/>
      </c>
      <c r="N1083" s="26" t="str">
        <f t="shared" si="8"/>
        <v/>
      </c>
      <c r="O1083" s="26" t="str">
        <f t="shared" si="9"/>
        <v/>
      </c>
      <c r="P1083" s="26" t="str">
        <f t="shared" si="10"/>
        <v/>
      </c>
      <c r="Q1083" s="26" t="str">
        <f t="shared" si="11"/>
        <v/>
      </c>
      <c r="R1083" s="26" t="str">
        <f t="shared" si="12"/>
        <v/>
      </c>
      <c r="S1083" s="26" t="str">
        <f t="shared" si="13"/>
        <v/>
      </c>
      <c r="T1083" s="26" t="str">
        <f t="shared" si="14"/>
        <v/>
      </c>
      <c r="U1083" s="26" t="str">
        <f t="shared" si="15"/>
        <v/>
      </c>
      <c r="V1083" s="26" t="str">
        <f t="shared" si="16"/>
        <v/>
      </c>
      <c r="W1083" s="26" t="str">
        <f t="shared" si="17"/>
        <v/>
      </c>
      <c r="X1083" s="26" t="str">
        <f t="shared" si="18"/>
        <v/>
      </c>
      <c r="Y1083" s="26" t="str">
        <f t="shared" si="19"/>
        <v/>
      </c>
      <c r="Z1083" s="31" t="str">
        <f t="shared" si="20"/>
        <v/>
      </c>
      <c r="AA1083" s="31" t="str">
        <f>IF(D1083="","",IF(H1083&lt;=$B$16,1,IF(H1083&gt;=$B$17,$B$21,MATCH(H1083,Aux_CAV!$A$2:$A$121,1))))</f>
        <v/>
      </c>
      <c r="AB1083" s="31" t="str">
        <f>IF(D1083="","",IF(L1083&lt;=$B$16,1,IF(L1083&gt;=$B$17,$B$21,MATCH(L1083,Aux_CAV!$A$2:$A$121,1))))</f>
        <v/>
      </c>
      <c r="AC1083" s="3" t="str">
        <f t="shared" si="21"/>
        <v/>
      </c>
    </row>
    <row r="1084" ht="12.75" customHeight="1">
      <c r="A1084" s="25" t="str">
        <f t="shared" si="1"/>
        <v/>
      </c>
      <c r="B1084" s="29" t="str">
        <f t="array" ref="B1084">IF(D1084="","",IFERROR(VALUE(INDEX(Vazoes_COLAR!$A$2:$A$200,INT((ROW()-24)/12)+1)),""))</f>
        <v/>
      </c>
      <c r="C1084" s="29" t="str">
        <f t="shared" si="2"/>
        <v/>
      </c>
      <c r="D1084" s="26" t="str">
        <f t="array" ref="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84" s="26" t="str">
        <f t="shared" si="3"/>
        <v/>
      </c>
      <c r="F1084" s="26" t="str">
        <f t="array" ref="F1084">IF(D1084="","",IFERROR(INDEX(Dados_Evap!$C$2:$N$15,MATCH($B$9,Dados_Evap!$A$2:$A$15,0),C1084),0))</f>
        <v/>
      </c>
      <c r="G1084" s="26" t="str">
        <f t="shared" si="4"/>
        <v/>
      </c>
      <c r="H1084" s="26" t="str">
        <f t="shared" si="22"/>
        <v/>
      </c>
      <c r="I1084" s="26" t="str">
        <f t="array" ref="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/>
      </c>
      <c r="J1084" s="26" t="str">
        <f t="shared" si="5"/>
        <v/>
      </c>
      <c r="K1084" s="26" t="str">
        <f t="shared" si="6"/>
        <v/>
      </c>
      <c r="L1084" s="26" t="str">
        <f t="shared" si="7"/>
        <v/>
      </c>
      <c r="M1084" s="26" t="str">
        <f t="array" ref="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/>
      </c>
      <c r="N1084" s="26" t="str">
        <f t="shared" si="8"/>
        <v/>
      </c>
      <c r="O1084" s="26" t="str">
        <f t="shared" si="9"/>
        <v/>
      </c>
      <c r="P1084" s="26" t="str">
        <f t="shared" si="10"/>
        <v/>
      </c>
      <c r="Q1084" s="26" t="str">
        <f t="shared" si="11"/>
        <v/>
      </c>
      <c r="R1084" s="26" t="str">
        <f t="shared" si="12"/>
        <v/>
      </c>
      <c r="S1084" s="26" t="str">
        <f t="shared" si="13"/>
        <v/>
      </c>
      <c r="T1084" s="26" t="str">
        <f t="shared" si="14"/>
        <v/>
      </c>
      <c r="U1084" s="26" t="str">
        <f t="shared" si="15"/>
        <v/>
      </c>
      <c r="V1084" s="26" t="str">
        <f t="shared" si="16"/>
        <v/>
      </c>
      <c r="W1084" s="26" t="str">
        <f t="shared" si="17"/>
        <v/>
      </c>
      <c r="X1084" s="26" t="str">
        <f t="shared" si="18"/>
        <v/>
      </c>
      <c r="Y1084" s="26" t="str">
        <f t="shared" si="19"/>
        <v/>
      </c>
      <c r="Z1084" s="31" t="str">
        <f t="shared" si="20"/>
        <v/>
      </c>
      <c r="AA1084" s="31" t="str">
        <f>IF(D1084="","",IF(H1084&lt;=$B$16,1,IF(H1084&gt;=$B$17,$B$21,MATCH(H1084,Aux_CAV!$A$2:$A$121,1))))</f>
        <v/>
      </c>
      <c r="AB1084" s="31" t="str">
        <f>IF(D1084="","",IF(L1084&lt;=$B$16,1,IF(L1084&gt;=$B$17,$B$21,MATCH(L1084,Aux_CAV!$A$2:$A$121,1))))</f>
        <v/>
      </c>
      <c r="AC1084" s="3" t="str">
        <f t="shared" si="21"/>
        <v/>
      </c>
    </row>
    <row r="1085" ht="12.75" customHeight="1">
      <c r="A1085" s="25" t="str">
        <f t="shared" si="1"/>
        <v/>
      </c>
      <c r="B1085" s="29" t="str">
        <f t="array" ref="B1085">IF(D1085="","",IFERROR(VALUE(INDEX(Vazoes_COLAR!$A$2:$A$200,INT((ROW()-24)/12)+1)),""))</f>
        <v/>
      </c>
      <c r="C1085" s="29" t="str">
        <f t="shared" si="2"/>
        <v/>
      </c>
      <c r="D1085" s="26" t="str">
        <f t="array" ref="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85" s="26" t="str">
        <f t="shared" si="3"/>
        <v/>
      </c>
      <c r="F1085" s="26" t="str">
        <f t="array" ref="F1085">IF(D1085="","",IFERROR(INDEX(Dados_Evap!$C$2:$N$15,MATCH($B$9,Dados_Evap!$A$2:$A$15,0),C1085),0))</f>
        <v/>
      </c>
      <c r="G1085" s="26" t="str">
        <f t="shared" si="4"/>
        <v/>
      </c>
      <c r="H1085" s="26" t="str">
        <f t="shared" si="22"/>
        <v/>
      </c>
      <c r="I1085" s="26" t="str">
        <f t="array" ref="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/>
      </c>
      <c r="J1085" s="26" t="str">
        <f t="shared" si="5"/>
        <v/>
      </c>
      <c r="K1085" s="26" t="str">
        <f t="shared" si="6"/>
        <v/>
      </c>
      <c r="L1085" s="26" t="str">
        <f t="shared" si="7"/>
        <v/>
      </c>
      <c r="M1085" s="26" t="str">
        <f t="array" ref="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/>
      </c>
      <c r="N1085" s="26" t="str">
        <f t="shared" si="8"/>
        <v/>
      </c>
      <c r="O1085" s="26" t="str">
        <f t="shared" si="9"/>
        <v/>
      </c>
      <c r="P1085" s="26" t="str">
        <f t="shared" si="10"/>
        <v/>
      </c>
      <c r="Q1085" s="26" t="str">
        <f t="shared" si="11"/>
        <v/>
      </c>
      <c r="R1085" s="26" t="str">
        <f t="shared" si="12"/>
        <v/>
      </c>
      <c r="S1085" s="26" t="str">
        <f t="shared" si="13"/>
        <v/>
      </c>
      <c r="T1085" s="26" t="str">
        <f t="shared" si="14"/>
        <v/>
      </c>
      <c r="U1085" s="26" t="str">
        <f t="shared" si="15"/>
        <v/>
      </c>
      <c r="V1085" s="26" t="str">
        <f t="shared" si="16"/>
        <v/>
      </c>
      <c r="W1085" s="26" t="str">
        <f t="shared" si="17"/>
        <v/>
      </c>
      <c r="X1085" s="26" t="str">
        <f t="shared" si="18"/>
        <v/>
      </c>
      <c r="Y1085" s="26" t="str">
        <f t="shared" si="19"/>
        <v/>
      </c>
      <c r="Z1085" s="31" t="str">
        <f t="shared" si="20"/>
        <v/>
      </c>
      <c r="AA1085" s="31" t="str">
        <f>IF(D1085="","",IF(H1085&lt;=$B$16,1,IF(H1085&gt;=$B$17,$B$21,MATCH(H1085,Aux_CAV!$A$2:$A$121,1))))</f>
        <v/>
      </c>
      <c r="AB1085" s="31" t="str">
        <f>IF(D1085="","",IF(L1085&lt;=$B$16,1,IF(L1085&gt;=$B$17,$B$21,MATCH(L1085,Aux_CAV!$A$2:$A$121,1))))</f>
        <v/>
      </c>
      <c r="AC1085" s="3" t="str">
        <f t="shared" si="21"/>
        <v/>
      </c>
    </row>
    <row r="1086" ht="12.75" customHeight="1">
      <c r="A1086" s="25" t="str">
        <f t="shared" si="1"/>
        <v/>
      </c>
      <c r="B1086" s="29" t="str">
        <f t="array" ref="B1086">IF(D1086="","",IFERROR(VALUE(INDEX(Vazoes_COLAR!$A$2:$A$200,INT((ROW()-24)/12)+1)),""))</f>
        <v/>
      </c>
      <c r="C1086" s="29" t="str">
        <f t="shared" si="2"/>
        <v/>
      </c>
      <c r="D1086" s="26" t="str">
        <f t="array" ref="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86" s="26" t="str">
        <f t="shared" si="3"/>
        <v/>
      </c>
      <c r="F1086" s="26" t="str">
        <f t="array" ref="F1086">IF(D1086="","",IFERROR(INDEX(Dados_Evap!$C$2:$N$15,MATCH($B$9,Dados_Evap!$A$2:$A$15,0),C1086),0))</f>
        <v/>
      </c>
      <c r="G1086" s="26" t="str">
        <f t="shared" si="4"/>
        <v/>
      </c>
      <c r="H1086" s="26" t="str">
        <f t="shared" si="22"/>
        <v/>
      </c>
      <c r="I1086" s="26" t="str">
        <f t="array" ref="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/>
      </c>
      <c r="J1086" s="26" t="str">
        <f t="shared" si="5"/>
        <v/>
      </c>
      <c r="K1086" s="26" t="str">
        <f t="shared" si="6"/>
        <v/>
      </c>
      <c r="L1086" s="26" t="str">
        <f t="shared" si="7"/>
        <v/>
      </c>
      <c r="M1086" s="26" t="str">
        <f t="array" ref="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/>
      </c>
      <c r="N1086" s="26" t="str">
        <f t="shared" si="8"/>
        <v/>
      </c>
      <c r="O1086" s="26" t="str">
        <f t="shared" si="9"/>
        <v/>
      </c>
      <c r="P1086" s="26" t="str">
        <f t="shared" si="10"/>
        <v/>
      </c>
      <c r="Q1086" s="26" t="str">
        <f t="shared" si="11"/>
        <v/>
      </c>
      <c r="R1086" s="26" t="str">
        <f t="shared" si="12"/>
        <v/>
      </c>
      <c r="S1086" s="26" t="str">
        <f t="shared" si="13"/>
        <v/>
      </c>
      <c r="T1086" s="26" t="str">
        <f t="shared" si="14"/>
        <v/>
      </c>
      <c r="U1086" s="26" t="str">
        <f t="shared" si="15"/>
        <v/>
      </c>
      <c r="V1086" s="26" t="str">
        <f t="shared" si="16"/>
        <v/>
      </c>
      <c r="W1086" s="26" t="str">
        <f t="shared" si="17"/>
        <v/>
      </c>
      <c r="X1086" s="26" t="str">
        <f t="shared" si="18"/>
        <v/>
      </c>
      <c r="Y1086" s="26" t="str">
        <f t="shared" si="19"/>
        <v/>
      </c>
      <c r="Z1086" s="31" t="str">
        <f t="shared" si="20"/>
        <v/>
      </c>
      <c r="AA1086" s="31" t="str">
        <f>IF(D1086="","",IF(H1086&lt;=$B$16,1,IF(H1086&gt;=$B$17,$B$21,MATCH(H1086,Aux_CAV!$A$2:$A$121,1))))</f>
        <v/>
      </c>
      <c r="AB1086" s="31" t="str">
        <f>IF(D1086="","",IF(L1086&lt;=$B$16,1,IF(L1086&gt;=$B$17,$B$21,MATCH(L1086,Aux_CAV!$A$2:$A$121,1))))</f>
        <v/>
      </c>
      <c r="AC1086" s="3" t="str">
        <f t="shared" si="21"/>
        <v/>
      </c>
    </row>
    <row r="1087" ht="12.75" customHeight="1">
      <c r="A1087" s="25" t="str">
        <f t="shared" si="1"/>
        <v/>
      </c>
      <c r="B1087" s="29" t="str">
        <f t="array" ref="B1087">IF(D1087="","",IFERROR(VALUE(INDEX(Vazoes_COLAR!$A$2:$A$200,INT((ROW()-24)/12)+1)),""))</f>
        <v/>
      </c>
      <c r="C1087" s="29" t="str">
        <f t="shared" si="2"/>
        <v/>
      </c>
      <c r="D1087" s="26" t="str">
        <f t="array" ref="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87" s="26" t="str">
        <f t="shared" si="3"/>
        <v/>
      </c>
      <c r="F1087" s="26" t="str">
        <f t="array" ref="F1087">IF(D1087="","",IFERROR(INDEX(Dados_Evap!$C$2:$N$15,MATCH($B$9,Dados_Evap!$A$2:$A$15,0),C1087),0))</f>
        <v/>
      </c>
      <c r="G1087" s="26" t="str">
        <f t="shared" si="4"/>
        <v/>
      </c>
      <c r="H1087" s="26" t="str">
        <f t="shared" si="22"/>
        <v/>
      </c>
      <c r="I1087" s="26" t="str">
        <f t="array" ref="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/>
      </c>
      <c r="J1087" s="26" t="str">
        <f t="shared" si="5"/>
        <v/>
      </c>
      <c r="K1087" s="26" t="str">
        <f t="shared" si="6"/>
        <v/>
      </c>
      <c r="L1087" s="26" t="str">
        <f t="shared" si="7"/>
        <v/>
      </c>
      <c r="M1087" s="26" t="str">
        <f t="array" ref="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/>
      </c>
      <c r="N1087" s="26" t="str">
        <f t="shared" si="8"/>
        <v/>
      </c>
      <c r="O1087" s="26" t="str">
        <f t="shared" si="9"/>
        <v/>
      </c>
      <c r="P1087" s="26" t="str">
        <f t="shared" si="10"/>
        <v/>
      </c>
      <c r="Q1087" s="26" t="str">
        <f t="shared" si="11"/>
        <v/>
      </c>
      <c r="R1087" s="26" t="str">
        <f t="shared" si="12"/>
        <v/>
      </c>
      <c r="S1087" s="26" t="str">
        <f t="shared" si="13"/>
        <v/>
      </c>
      <c r="T1087" s="26" t="str">
        <f t="shared" si="14"/>
        <v/>
      </c>
      <c r="U1087" s="26" t="str">
        <f t="shared" si="15"/>
        <v/>
      </c>
      <c r="V1087" s="26" t="str">
        <f t="shared" si="16"/>
        <v/>
      </c>
      <c r="W1087" s="26" t="str">
        <f t="shared" si="17"/>
        <v/>
      </c>
      <c r="X1087" s="26" t="str">
        <f t="shared" si="18"/>
        <v/>
      </c>
      <c r="Y1087" s="26" t="str">
        <f t="shared" si="19"/>
        <v/>
      </c>
      <c r="Z1087" s="31" t="str">
        <f t="shared" si="20"/>
        <v/>
      </c>
      <c r="AA1087" s="31" t="str">
        <f>IF(D1087="","",IF(H1087&lt;=$B$16,1,IF(H1087&gt;=$B$17,$B$21,MATCH(H1087,Aux_CAV!$A$2:$A$121,1))))</f>
        <v/>
      </c>
      <c r="AB1087" s="31" t="str">
        <f>IF(D1087="","",IF(L1087&lt;=$B$16,1,IF(L1087&gt;=$B$17,$B$21,MATCH(L1087,Aux_CAV!$A$2:$A$121,1))))</f>
        <v/>
      </c>
      <c r="AC1087" s="3" t="str">
        <f t="shared" si="21"/>
        <v/>
      </c>
    </row>
    <row r="1088" ht="12.75" customHeight="1">
      <c r="A1088" s="25" t="str">
        <f t="shared" si="1"/>
        <v/>
      </c>
      <c r="B1088" s="29" t="str">
        <f t="array" ref="B1088">IF(D1088="","",IFERROR(VALUE(INDEX(Vazoes_COLAR!$A$2:$A$200,INT((ROW()-24)/12)+1)),""))</f>
        <v/>
      </c>
      <c r="C1088" s="29" t="str">
        <f t="shared" si="2"/>
        <v/>
      </c>
      <c r="D1088" s="26" t="str">
        <f t="array" ref="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88" s="26" t="str">
        <f t="shared" si="3"/>
        <v/>
      </c>
      <c r="F1088" s="26" t="str">
        <f t="array" ref="F1088">IF(D1088="","",IFERROR(INDEX(Dados_Evap!$C$2:$N$15,MATCH($B$9,Dados_Evap!$A$2:$A$15,0),C1088),0))</f>
        <v/>
      </c>
      <c r="G1088" s="26" t="str">
        <f t="shared" si="4"/>
        <v/>
      </c>
      <c r="H1088" s="26" t="str">
        <f t="shared" si="22"/>
        <v/>
      </c>
      <c r="I1088" s="26" t="str">
        <f t="array" ref="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/>
      </c>
      <c r="J1088" s="26" t="str">
        <f t="shared" si="5"/>
        <v/>
      </c>
      <c r="K1088" s="26" t="str">
        <f t="shared" si="6"/>
        <v/>
      </c>
      <c r="L1088" s="26" t="str">
        <f t="shared" si="7"/>
        <v/>
      </c>
      <c r="M1088" s="26" t="str">
        <f t="array" ref="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/>
      </c>
      <c r="N1088" s="26" t="str">
        <f t="shared" si="8"/>
        <v/>
      </c>
      <c r="O1088" s="26" t="str">
        <f t="shared" si="9"/>
        <v/>
      </c>
      <c r="P1088" s="26" t="str">
        <f t="shared" si="10"/>
        <v/>
      </c>
      <c r="Q1088" s="26" t="str">
        <f t="shared" si="11"/>
        <v/>
      </c>
      <c r="R1088" s="26" t="str">
        <f t="shared" si="12"/>
        <v/>
      </c>
      <c r="S1088" s="26" t="str">
        <f t="shared" si="13"/>
        <v/>
      </c>
      <c r="T1088" s="26" t="str">
        <f t="shared" si="14"/>
        <v/>
      </c>
      <c r="U1088" s="26" t="str">
        <f t="shared" si="15"/>
        <v/>
      </c>
      <c r="V1088" s="26" t="str">
        <f t="shared" si="16"/>
        <v/>
      </c>
      <c r="W1088" s="26" t="str">
        <f t="shared" si="17"/>
        <v/>
      </c>
      <c r="X1088" s="26" t="str">
        <f t="shared" si="18"/>
        <v/>
      </c>
      <c r="Y1088" s="26" t="str">
        <f t="shared" si="19"/>
        <v/>
      </c>
      <c r="Z1088" s="31" t="str">
        <f t="shared" si="20"/>
        <v/>
      </c>
      <c r="AA1088" s="31" t="str">
        <f>IF(D1088="","",IF(H1088&lt;=$B$16,1,IF(H1088&gt;=$B$17,$B$21,MATCH(H1088,Aux_CAV!$A$2:$A$121,1))))</f>
        <v/>
      </c>
      <c r="AB1088" s="31" t="str">
        <f>IF(D1088="","",IF(L1088&lt;=$B$16,1,IF(L1088&gt;=$B$17,$B$21,MATCH(L1088,Aux_CAV!$A$2:$A$121,1))))</f>
        <v/>
      </c>
      <c r="AC1088" s="3" t="str">
        <f t="shared" si="21"/>
        <v/>
      </c>
    </row>
    <row r="1089" ht="12.75" customHeight="1">
      <c r="A1089" s="25" t="str">
        <f t="shared" si="1"/>
        <v/>
      </c>
      <c r="B1089" s="29" t="str">
        <f t="array" ref="B1089">IF(D1089="","",IFERROR(VALUE(INDEX(Vazoes_COLAR!$A$2:$A$200,INT((ROW()-24)/12)+1)),""))</f>
        <v/>
      </c>
      <c r="C1089" s="29" t="str">
        <f t="shared" si="2"/>
        <v/>
      </c>
      <c r="D1089" s="26" t="str">
        <f t="array" ref="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89" s="26" t="str">
        <f t="shared" si="3"/>
        <v/>
      </c>
      <c r="F1089" s="26" t="str">
        <f t="array" ref="F1089">IF(D1089="","",IFERROR(INDEX(Dados_Evap!$C$2:$N$15,MATCH($B$9,Dados_Evap!$A$2:$A$15,0),C1089),0))</f>
        <v/>
      </c>
      <c r="G1089" s="26" t="str">
        <f t="shared" si="4"/>
        <v/>
      </c>
      <c r="H1089" s="26" t="str">
        <f t="shared" si="22"/>
        <v/>
      </c>
      <c r="I1089" s="26" t="str">
        <f t="array" ref="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/>
      </c>
      <c r="J1089" s="26" t="str">
        <f t="shared" si="5"/>
        <v/>
      </c>
      <c r="K1089" s="26" t="str">
        <f t="shared" si="6"/>
        <v/>
      </c>
      <c r="L1089" s="26" t="str">
        <f t="shared" si="7"/>
        <v/>
      </c>
      <c r="M1089" s="26" t="str">
        <f t="array" ref="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/>
      </c>
      <c r="N1089" s="26" t="str">
        <f t="shared" si="8"/>
        <v/>
      </c>
      <c r="O1089" s="26" t="str">
        <f t="shared" si="9"/>
        <v/>
      </c>
      <c r="P1089" s="26" t="str">
        <f t="shared" si="10"/>
        <v/>
      </c>
      <c r="Q1089" s="26" t="str">
        <f t="shared" si="11"/>
        <v/>
      </c>
      <c r="R1089" s="26" t="str">
        <f t="shared" si="12"/>
        <v/>
      </c>
      <c r="S1089" s="26" t="str">
        <f t="shared" si="13"/>
        <v/>
      </c>
      <c r="T1089" s="26" t="str">
        <f t="shared" si="14"/>
        <v/>
      </c>
      <c r="U1089" s="26" t="str">
        <f t="shared" si="15"/>
        <v/>
      </c>
      <c r="V1089" s="26" t="str">
        <f t="shared" si="16"/>
        <v/>
      </c>
      <c r="W1089" s="26" t="str">
        <f t="shared" si="17"/>
        <v/>
      </c>
      <c r="X1089" s="26" t="str">
        <f t="shared" si="18"/>
        <v/>
      </c>
      <c r="Y1089" s="26" t="str">
        <f t="shared" si="19"/>
        <v/>
      </c>
      <c r="Z1089" s="31" t="str">
        <f t="shared" si="20"/>
        <v/>
      </c>
      <c r="AA1089" s="31" t="str">
        <f>IF(D1089="","",IF(H1089&lt;=$B$16,1,IF(H1089&gt;=$B$17,$B$21,MATCH(H1089,Aux_CAV!$A$2:$A$121,1))))</f>
        <v/>
      </c>
      <c r="AB1089" s="31" t="str">
        <f>IF(D1089="","",IF(L1089&lt;=$B$16,1,IF(L1089&gt;=$B$17,$B$21,MATCH(L1089,Aux_CAV!$A$2:$A$121,1))))</f>
        <v/>
      </c>
      <c r="AC1089" s="3" t="str">
        <f t="shared" si="21"/>
        <v/>
      </c>
    </row>
    <row r="1090" ht="12.75" customHeight="1">
      <c r="A1090" s="25" t="str">
        <f t="shared" si="1"/>
        <v/>
      </c>
      <c r="B1090" s="29" t="str">
        <f t="array" ref="B1090">IF(D1090="","",IFERROR(VALUE(INDEX(Vazoes_COLAR!$A$2:$A$200,INT((ROW()-24)/12)+1)),""))</f>
        <v/>
      </c>
      <c r="C1090" s="29" t="str">
        <f t="shared" si="2"/>
        <v/>
      </c>
      <c r="D1090" s="26" t="str">
        <f t="array" ref="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90" s="26" t="str">
        <f t="shared" si="3"/>
        <v/>
      </c>
      <c r="F1090" s="26" t="str">
        <f t="array" ref="F1090">IF(D1090="","",IFERROR(INDEX(Dados_Evap!$C$2:$N$15,MATCH($B$9,Dados_Evap!$A$2:$A$15,0),C1090),0))</f>
        <v/>
      </c>
      <c r="G1090" s="26" t="str">
        <f t="shared" si="4"/>
        <v/>
      </c>
      <c r="H1090" s="26" t="str">
        <f t="shared" si="22"/>
        <v/>
      </c>
      <c r="I1090" s="26" t="str">
        <f t="array" ref="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/>
      </c>
      <c r="J1090" s="26" t="str">
        <f t="shared" si="5"/>
        <v/>
      </c>
      <c r="K1090" s="26" t="str">
        <f t="shared" si="6"/>
        <v/>
      </c>
      <c r="L1090" s="26" t="str">
        <f t="shared" si="7"/>
        <v/>
      </c>
      <c r="M1090" s="26" t="str">
        <f t="array" ref="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/>
      </c>
      <c r="N1090" s="26" t="str">
        <f t="shared" si="8"/>
        <v/>
      </c>
      <c r="O1090" s="26" t="str">
        <f t="shared" si="9"/>
        <v/>
      </c>
      <c r="P1090" s="26" t="str">
        <f t="shared" si="10"/>
        <v/>
      </c>
      <c r="Q1090" s="26" t="str">
        <f t="shared" si="11"/>
        <v/>
      </c>
      <c r="R1090" s="26" t="str">
        <f t="shared" si="12"/>
        <v/>
      </c>
      <c r="S1090" s="26" t="str">
        <f t="shared" si="13"/>
        <v/>
      </c>
      <c r="T1090" s="26" t="str">
        <f t="shared" si="14"/>
        <v/>
      </c>
      <c r="U1090" s="26" t="str">
        <f t="shared" si="15"/>
        <v/>
      </c>
      <c r="V1090" s="26" t="str">
        <f t="shared" si="16"/>
        <v/>
      </c>
      <c r="W1090" s="26" t="str">
        <f t="shared" si="17"/>
        <v/>
      </c>
      <c r="X1090" s="26" t="str">
        <f t="shared" si="18"/>
        <v/>
      </c>
      <c r="Y1090" s="26" t="str">
        <f t="shared" si="19"/>
        <v/>
      </c>
      <c r="Z1090" s="31" t="str">
        <f t="shared" si="20"/>
        <v/>
      </c>
      <c r="AA1090" s="31" t="str">
        <f>IF(D1090="","",IF(H1090&lt;=$B$16,1,IF(H1090&gt;=$B$17,$B$21,MATCH(H1090,Aux_CAV!$A$2:$A$121,1))))</f>
        <v/>
      </c>
      <c r="AB1090" s="31" t="str">
        <f>IF(D1090="","",IF(L1090&lt;=$B$16,1,IF(L1090&gt;=$B$17,$B$21,MATCH(L1090,Aux_CAV!$A$2:$A$121,1))))</f>
        <v/>
      </c>
      <c r="AC1090" s="3" t="str">
        <f t="shared" si="21"/>
        <v/>
      </c>
    </row>
    <row r="1091" ht="12.75" customHeight="1">
      <c r="A1091" s="25" t="str">
        <f t="shared" si="1"/>
        <v/>
      </c>
      <c r="B1091" s="29" t="str">
        <f t="array" ref="B1091">IF(D1091="","",IFERROR(VALUE(INDEX(Vazoes_COLAR!$A$2:$A$200,INT((ROW()-24)/12)+1)),""))</f>
        <v/>
      </c>
      <c r="C1091" s="29" t="str">
        <f t="shared" si="2"/>
        <v/>
      </c>
      <c r="D1091" s="26" t="str">
        <f t="array" ref="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91" s="26" t="str">
        <f t="shared" si="3"/>
        <v/>
      </c>
      <c r="F1091" s="26" t="str">
        <f t="array" ref="F1091">IF(D1091="","",IFERROR(INDEX(Dados_Evap!$C$2:$N$15,MATCH($B$9,Dados_Evap!$A$2:$A$15,0),C1091),0))</f>
        <v/>
      </c>
      <c r="G1091" s="26" t="str">
        <f t="shared" si="4"/>
        <v/>
      </c>
      <c r="H1091" s="26" t="str">
        <f t="shared" si="22"/>
        <v/>
      </c>
      <c r="I1091" s="26" t="str">
        <f t="array" ref="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/>
      </c>
      <c r="J1091" s="26" t="str">
        <f t="shared" si="5"/>
        <v/>
      </c>
      <c r="K1091" s="26" t="str">
        <f t="shared" si="6"/>
        <v/>
      </c>
      <c r="L1091" s="26" t="str">
        <f t="shared" si="7"/>
        <v/>
      </c>
      <c r="M1091" s="26" t="str">
        <f t="array" ref="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/>
      </c>
      <c r="N1091" s="26" t="str">
        <f t="shared" si="8"/>
        <v/>
      </c>
      <c r="O1091" s="26" t="str">
        <f t="shared" si="9"/>
        <v/>
      </c>
      <c r="P1091" s="26" t="str">
        <f t="shared" si="10"/>
        <v/>
      </c>
      <c r="Q1091" s="26" t="str">
        <f t="shared" si="11"/>
        <v/>
      </c>
      <c r="R1091" s="26" t="str">
        <f t="shared" si="12"/>
        <v/>
      </c>
      <c r="S1091" s="26" t="str">
        <f t="shared" si="13"/>
        <v/>
      </c>
      <c r="T1091" s="26" t="str">
        <f t="shared" si="14"/>
        <v/>
      </c>
      <c r="U1091" s="26" t="str">
        <f t="shared" si="15"/>
        <v/>
      </c>
      <c r="V1091" s="26" t="str">
        <f t="shared" si="16"/>
        <v/>
      </c>
      <c r="W1091" s="26" t="str">
        <f t="shared" si="17"/>
        <v/>
      </c>
      <c r="X1091" s="26" t="str">
        <f t="shared" si="18"/>
        <v/>
      </c>
      <c r="Y1091" s="26" t="str">
        <f t="shared" si="19"/>
        <v/>
      </c>
      <c r="Z1091" s="31" t="str">
        <f t="shared" si="20"/>
        <v/>
      </c>
      <c r="AA1091" s="31" t="str">
        <f>IF(D1091="","",IF(H1091&lt;=$B$16,1,IF(H1091&gt;=$B$17,$B$21,MATCH(H1091,Aux_CAV!$A$2:$A$121,1))))</f>
        <v/>
      </c>
      <c r="AB1091" s="31" t="str">
        <f>IF(D1091="","",IF(L1091&lt;=$B$16,1,IF(L1091&gt;=$B$17,$B$21,MATCH(L1091,Aux_CAV!$A$2:$A$121,1))))</f>
        <v/>
      </c>
      <c r="AC1091" s="3" t="str">
        <f t="shared" si="21"/>
        <v/>
      </c>
    </row>
    <row r="1092" ht="12.75" customHeight="1">
      <c r="A1092" s="25" t="str">
        <f t="shared" si="1"/>
        <v/>
      </c>
      <c r="B1092" s="29" t="str">
        <f t="array" ref="B1092">IF(D1092="","",IFERROR(VALUE(INDEX(Vazoes_COLAR!$A$2:$A$200,INT((ROW()-24)/12)+1)),""))</f>
        <v/>
      </c>
      <c r="C1092" s="29" t="str">
        <f t="shared" si="2"/>
        <v/>
      </c>
      <c r="D1092" s="26" t="str">
        <f t="array" ref="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92" s="26" t="str">
        <f t="shared" si="3"/>
        <v/>
      </c>
      <c r="F1092" s="26" t="str">
        <f t="array" ref="F1092">IF(D1092="","",IFERROR(INDEX(Dados_Evap!$C$2:$N$15,MATCH($B$9,Dados_Evap!$A$2:$A$15,0),C1092),0))</f>
        <v/>
      </c>
      <c r="G1092" s="26" t="str">
        <f t="shared" si="4"/>
        <v/>
      </c>
      <c r="H1092" s="26" t="str">
        <f t="shared" si="22"/>
        <v/>
      </c>
      <c r="I1092" s="26" t="str">
        <f t="array" ref="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/>
      </c>
      <c r="J1092" s="26" t="str">
        <f t="shared" si="5"/>
        <v/>
      </c>
      <c r="K1092" s="26" t="str">
        <f t="shared" si="6"/>
        <v/>
      </c>
      <c r="L1092" s="26" t="str">
        <f t="shared" si="7"/>
        <v/>
      </c>
      <c r="M1092" s="26" t="str">
        <f t="array" ref="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/>
      </c>
      <c r="N1092" s="26" t="str">
        <f t="shared" si="8"/>
        <v/>
      </c>
      <c r="O1092" s="26" t="str">
        <f t="shared" si="9"/>
        <v/>
      </c>
      <c r="P1092" s="26" t="str">
        <f t="shared" si="10"/>
        <v/>
      </c>
      <c r="Q1092" s="26" t="str">
        <f t="shared" si="11"/>
        <v/>
      </c>
      <c r="R1092" s="26" t="str">
        <f t="shared" si="12"/>
        <v/>
      </c>
      <c r="S1092" s="26" t="str">
        <f t="shared" si="13"/>
        <v/>
      </c>
      <c r="T1092" s="26" t="str">
        <f t="shared" si="14"/>
        <v/>
      </c>
      <c r="U1092" s="26" t="str">
        <f t="shared" si="15"/>
        <v/>
      </c>
      <c r="V1092" s="26" t="str">
        <f t="shared" si="16"/>
        <v/>
      </c>
      <c r="W1092" s="26" t="str">
        <f t="shared" si="17"/>
        <v/>
      </c>
      <c r="X1092" s="26" t="str">
        <f t="shared" si="18"/>
        <v/>
      </c>
      <c r="Y1092" s="26" t="str">
        <f t="shared" si="19"/>
        <v/>
      </c>
      <c r="Z1092" s="31" t="str">
        <f t="shared" si="20"/>
        <v/>
      </c>
      <c r="AA1092" s="31" t="str">
        <f>IF(D1092="","",IF(H1092&lt;=$B$16,1,IF(H1092&gt;=$B$17,$B$21,MATCH(H1092,Aux_CAV!$A$2:$A$121,1))))</f>
        <v/>
      </c>
      <c r="AB1092" s="31" t="str">
        <f>IF(D1092="","",IF(L1092&lt;=$B$16,1,IF(L1092&gt;=$B$17,$B$21,MATCH(L1092,Aux_CAV!$A$2:$A$121,1))))</f>
        <v/>
      </c>
      <c r="AC1092" s="3" t="str">
        <f t="shared" si="21"/>
        <v/>
      </c>
    </row>
    <row r="1093" ht="12.75" customHeight="1">
      <c r="A1093" s="25" t="str">
        <f t="shared" si="1"/>
        <v/>
      </c>
      <c r="B1093" s="29" t="str">
        <f t="array" ref="B1093">IF(D1093="","",IFERROR(VALUE(INDEX(Vazoes_COLAR!$A$2:$A$200,INT((ROW()-24)/12)+1)),""))</f>
        <v/>
      </c>
      <c r="C1093" s="29" t="str">
        <f t="shared" si="2"/>
        <v/>
      </c>
      <c r="D1093" s="26" t="str">
        <f t="array" ref="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93" s="26" t="str">
        <f t="shared" si="3"/>
        <v/>
      </c>
      <c r="F1093" s="26" t="str">
        <f t="array" ref="F1093">IF(D1093="","",IFERROR(INDEX(Dados_Evap!$C$2:$N$15,MATCH($B$9,Dados_Evap!$A$2:$A$15,0),C1093),0))</f>
        <v/>
      </c>
      <c r="G1093" s="26" t="str">
        <f t="shared" si="4"/>
        <v/>
      </c>
      <c r="H1093" s="26" t="str">
        <f t="shared" si="22"/>
        <v/>
      </c>
      <c r="I1093" s="26" t="str">
        <f t="array" ref="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/>
      </c>
      <c r="J1093" s="26" t="str">
        <f t="shared" si="5"/>
        <v/>
      </c>
      <c r="K1093" s="26" t="str">
        <f t="shared" si="6"/>
        <v/>
      </c>
      <c r="L1093" s="26" t="str">
        <f t="shared" si="7"/>
        <v/>
      </c>
      <c r="M1093" s="26" t="str">
        <f t="array" ref="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/>
      </c>
      <c r="N1093" s="26" t="str">
        <f t="shared" si="8"/>
        <v/>
      </c>
      <c r="O1093" s="26" t="str">
        <f t="shared" si="9"/>
        <v/>
      </c>
      <c r="P1093" s="26" t="str">
        <f t="shared" si="10"/>
        <v/>
      </c>
      <c r="Q1093" s="26" t="str">
        <f t="shared" si="11"/>
        <v/>
      </c>
      <c r="R1093" s="26" t="str">
        <f t="shared" si="12"/>
        <v/>
      </c>
      <c r="S1093" s="26" t="str">
        <f t="shared" si="13"/>
        <v/>
      </c>
      <c r="T1093" s="26" t="str">
        <f t="shared" si="14"/>
        <v/>
      </c>
      <c r="U1093" s="26" t="str">
        <f t="shared" si="15"/>
        <v/>
      </c>
      <c r="V1093" s="26" t="str">
        <f t="shared" si="16"/>
        <v/>
      </c>
      <c r="W1093" s="26" t="str">
        <f t="shared" si="17"/>
        <v/>
      </c>
      <c r="X1093" s="26" t="str">
        <f t="shared" si="18"/>
        <v/>
      </c>
      <c r="Y1093" s="26" t="str">
        <f t="shared" si="19"/>
        <v/>
      </c>
      <c r="Z1093" s="31" t="str">
        <f t="shared" si="20"/>
        <v/>
      </c>
      <c r="AA1093" s="31" t="str">
        <f>IF(D1093="","",IF(H1093&lt;=$B$16,1,IF(H1093&gt;=$B$17,$B$21,MATCH(H1093,Aux_CAV!$A$2:$A$121,1))))</f>
        <v/>
      </c>
      <c r="AB1093" s="31" t="str">
        <f>IF(D1093="","",IF(L1093&lt;=$B$16,1,IF(L1093&gt;=$B$17,$B$21,MATCH(L1093,Aux_CAV!$A$2:$A$121,1))))</f>
        <v/>
      </c>
      <c r="AC1093" s="3" t="str">
        <f t="shared" si="21"/>
        <v/>
      </c>
    </row>
    <row r="1094" ht="12.75" customHeight="1">
      <c r="A1094" s="25" t="str">
        <f t="shared" si="1"/>
        <v/>
      </c>
      <c r="B1094" s="29" t="str">
        <f t="array" ref="B1094">IF(D1094="","",IFERROR(VALUE(INDEX(Vazoes_COLAR!$A$2:$A$200,INT((ROW()-24)/12)+1)),""))</f>
        <v/>
      </c>
      <c r="C1094" s="29" t="str">
        <f t="shared" si="2"/>
        <v/>
      </c>
      <c r="D1094" s="26" t="str">
        <f t="array" ref="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94" s="26" t="str">
        <f t="shared" si="3"/>
        <v/>
      </c>
      <c r="F1094" s="26" t="str">
        <f t="array" ref="F1094">IF(D1094="","",IFERROR(INDEX(Dados_Evap!$C$2:$N$15,MATCH($B$9,Dados_Evap!$A$2:$A$15,0),C1094),0))</f>
        <v/>
      </c>
      <c r="G1094" s="26" t="str">
        <f t="shared" si="4"/>
        <v/>
      </c>
      <c r="H1094" s="26" t="str">
        <f t="shared" si="22"/>
        <v/>
      </c>
      <c r="I1094" s="26" t="str">
        <f t="array" ref="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/>
      </c>
      <c r="J1094" s="26" t="str">
        <f t="shared" si="5"/>
        <v/>
      </c>
      <c r="K1094" s="26" t="str">
        <f t="shared" si="6"/>
        <v/>
      </c>
      <c r="L1094" s="26" t="str">
        <f t="shared" si="7"/>
        <v/>
      </c>
      <c r="M1094" s="26" t="str">
        <f t="array" ref="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/>
      </c>
      <c r="N1094" s="26" t="str">
        <f t="shared" si="8"/>
        <v/>
      </c>
      <c r="O1094" s="26" t="str">
        <f t="shared" si="9"/>
        <v/>
      </c>
      <c r="P1094" s="26" t="str">
        <f t="shared" si="10"/>
        <v/>
      </c>
      <c r="Q1094" s="26" t="str">
        <f t="shared" si="11"/>
        <v/>
      </c>
      <c r="R1094" s="26" t="str">
        <f t="shared" si="12"/>
        <v/>
      </c>
      <c r="S1094" s="26" t="str">
        <f t="shared" si="13"/>
        <v/>
      </c>
      <c r="T1094" s="26" t="str">
        <f t="shared" si="14"/>
        <v/>
      </c>
      <c r="U1094" s="26" t="str">
        <f t="shared" si="15"/>
        <v/>
      </c>
      <c r="V1094" s="26" t="str">
        <f t="shared" si="16"/>
        <v/>
      </c>
      <c r="W1094" s="26" t="str">
        <f t="shared" si="17"/>
        <v/>
      </c>
      <c r="X1094" s="26" t="str">
        <f t="shared" si="18"/>
        <v/>
      </c>
      <c r="Y1094" s="26" t="str">
        <f t="shared" si="19"/>
        <v/>
      </c>
      <c r="Z1094" s="31" t="str">
        <f t="shared" si="20"/>
        <v/>
      </c>
      <c r="AA1094" s="31" t="str">
        <f>IF(D1094="","",IF(H1094&lt;=$B$16,1,IF(H1094&gt;=$B$17,$B$21,MATCH(H1094,Aux_CAV!$A$2:$A$121,1))))</f>
        <v/>
      </c>
      <c r="AB1094" s="31" t="str">
        <f>IF(D1094="","",IF(L1094&lt;=$B$16,1,IF(L1094&gt;=$B$17,$B$21,MATCH(L1094,Aux_CAV!$A$2:$A$121,1))))</f>
        <v/>
      </c>
      <c r="AC1094" s="3" t="str">
        <f t="shared" si="21"/>
        <v/>
      </c>
    </row>
    <row r="1095" ht="12.75" customHeight="1">
      <c r="A1095" s="25" t="str">
        <f t="shared" si="1"/>
        <v/>
      </c>
      <c r="B1095" s="29" t="str">
        <f t="array" ref="B1095">IF(D1095="","",IFERROR(VALUE(INDEX(Vazoes_COLAR!$A$2:$A$200,INT((ROW()-24)/12)+1)),""))</f>
        <v/>
      </c>
      <c r="C1095" s="29" t="str">
        <f t="shared" si="2"/>
        <v/>
      </c>
      <c r="D1095" s="26" t="str">
        <f t="array" ref="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95" s="26" t="str">
        <f t="shared" si="3"/>
        <v/>
      </c>
      <c r="F1095" s="26" t="str">
        <f t="array" ref="F1095">IF(D1095="","",IFERROR(INDEX(Dados_Evap!$C$2:$N$15,MATCH($B$9,Dados_Evap!$A$2:$A$15,0),C1095),0))</f>
        <v/>
      </c>
      <c r="G1095" s="26" t="str">
        <f t="shared" si="4"/>
        <v/>
      </c>
      <c r="H1095" s="26" t="str">
        <f t="shared" si="22"/>
        <v/>
      </c>
      <c r="I1095" s="26" t="str">
        <f t="array" ref="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/>
      </c>
      <c r="J1095" s="26" t="str">
        <f t="shared" si="5"/>
        <v/>
      </c>
      <c r="K1095" s="26" t="str">
        <f t="shared" si="6"/>
        <v/>
      </c>
      <c r="L1095" s="26" t="str">
        <f t="shared" si="7"/>
        <v/>
      </c>
      <c r="M1095" s="26" t="str">
        <f t="array" ref="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/>
      </c>
      <c r="N1095" s="26" t="str">
        <f t="shared" si="8"/>
        <v/>
      </c>
      <c r="O1095" s="26" t="str">
        <f t="shared" si="9"/>
        <v/>
      </c>
      <c r="P1095" s="26" t="str">
        <f t="shared" si="10"/>
        <v/>
      </c>
      <c r="Q1095" s="26" t="str">
        <f t="shared" si="11"/>
        <v/>
      </c>
      <c r="R1095" s="26" t="str">
        <f t="shared" si="12"/>
        <v/>
      </c>
      <c r="S1095" s="26" t="str">
        <f t="shared" si="13"/>
        <v/>
      </c>
      <c r="T1095" s="26" t="str">
        <f t="shared" si="14"/>
        <v/>
      </c>
      <c r="U1095" s="26" t="str">
        <f t="shared" si="15"/>
        <v/>
      </c>
      <c r="V1095" s="26" t="str">
        <f t="shared" si="16"/>
        <v/>
      </c>
      <c r="W1095" s="26" t="str">
        <f t="shared" si="17"/>
        <v/>
      </c>
      <c r="X1095" s="26" t="str">
        <f t="shared" si="18"/>
        <v/>
      </c>
      <c r="Y1095" s="26" t="str">
        <f t="shared" si="19"/>
        <v/>
      </c>
      <c r="Z1095" s="31" t="str">
        <f t="shared" si="20"/>
        <v/>
      </c>
      <c r="AA1095" s="31" t="str">
        <f>IF(D1095="","",IF(H1095&lt;=$B$16,1,IF(H1095&gt;=$B$17,$B$21,MATCH(H1095,Aux_CAV!$A$2:$A$121,1))))</f>
        <v/>
      </c>
      <c r="AB1095" s="31" t="str">
        <f>IF(D1095="","",IF(L1095&lt;=$B$16,1,IF(L1095&gt;=$B$17,$B$21,MATCH(L1095,Aux_CAV!$A$2:$A$121,1))))</f>
        <v/>
      </c>
      <c r="AC1095" s="3" t="str">
        <f t="shared" si="21"/>
        <v/>
      </c>
    </row>
    <row r="1096" ht="12.75" customHeight="1">
      <c r="A1096" s="25" t="str">
        <f t="shared" si="1"/>
        <v/>
      </c>
      <c r="B1096" s="29" t="str">
        <f t="array" ref="B1096">IF(D1096="","",IFERROR(VALUE(INDEX(Vazoes_COLAR!$A$2:$A$200,INT((ROW()-24)/12)+1)),""))</f>
        <v/>
      </c>
      <c r="C1096" s="29" t="str">
        <f t="shared" si="2"/>
        <v/>
      </c>
      <c r="D1096" s="26" t="str">
        <f t="array" ref="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96" s="26" t="str">
        <f t="shared" si="3"/>
        <v/>
      </c>
      <c r="F1096" s="26" t="str">
        <f t="array" ref="F1096">IF(D1096="","",IFERROR(INDEX(Dados_Evap!$C$2:$N$15,MATCH($B$9,Dados_Evap!$A$2:$A$15,0),C1096),0))</f>
        <v/>
      </c>
      <c r="G1096" s="26" t="str">
        <f t="shared" si="4"/>
        <v/>
      </c>
      <c r="H1096" s="26" t="str">
        <f t="shared" si="22"/>
        <v/>
      </c>
      <c r="I1096" s="26" t="str">
        <f t="array" ref="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/>
      </c>
      <c r="J1096" s="26" t="str">
        <f t="shared" si="5"/>
        <v/>
      </c>
      <c r="K1096" s="26" t="str">
        <f t="shared" si="6"/>
        <v/>
      </c>
      <c r="L1096" s="26" t="str">
        <f t="shared" si="7"/>
        <v/>
      </c>
      <c r="M1096" s="26" t="str">
        <f t="array" ref="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/>
      </c>
      <c r="N1096" s="26" t="str">
        <f t="shared" si="8"/>
        <v/>
      </c>
      <c r="O1096" s="26" t="str">
        <f t="shared" si="9"/>
        <v/>
      </c>
      <c r="P1096" s="26" t="str">
        <f t="shared" si="10"/>
        <v/>
      </c>
      <c r="Q1096" s="26" t="str">
        <f t="shared" si="11"/>
        <v/>
      </c>
      <c r="R1096" s="26" t="str">
        <f t="shared" si="12"/>
        <v/>
      </c>
      <c r="S1096" s="26" t="str">
        <f t="shared" si="13"/>
        <v/>
      </c>
      <c r="T1096" s="26" t="str">
        <f t="shared" si="14"/>
        <v/>
      </c>
      <c r="U1096" s="26" t="str">
        <f t="shared" si="15"/>
        <v/>
      </c>
      <c r="V1096" s="26" t="str">
        <f t="shared" si="16"/>
        <v/>
      </c>
      <c r="W1096" s="26" t="str">
        <f t="shared" si="17"/>
        <v/>
      </c>
      <c r="X1096" s="26" t="str">
        <f t="shared" si="18"/>
        <v/>
      </c>
      <c r="Y1096" s="26" t="str">
        <f t="shared" si="19"/>
        <v/>
      </c>
      <c r="Z1096" s="31" t="str">
        <f t="shared" si="20"/>
        <v/>
      </c>
      <c r="AA1096" s="31" t="str">
        <f>IF(D1096="","",IF(H1096&lt;=$B$16,1,IF(H1096&gt;=$B$17,$B$21,MATCH(H1096,Aux_CAV!$A$2:$A$121,1))))</f>
        <v/>
      </c>
      <c r="AB1096" s="31" t="str">
        <f>IF(D1096="","",IF(L1096&lt;=$B$16,1,IF(L1096&gt;=$B$17,$B$21,MATCH(L1096,Aux_CAV!$A$2:$A$121,1))))</f>
        <v/>
      </c>
      <c r="AC1096" s="3" t="str">
        <f t="shared" si="21"/>
        <v/>
      </c>
    </row>
    <row r="1097" ht="12.75" customHeight="1">
      <c r="A1097" s="25" t="str">
        <f t="shared" si="1"/>
        <v/>
      </c>
      <c r="B1097" s="29" t="str">
        <f t="array" ref="B1097">IF(D1097="","",IFERROR(VALUE(INDEX(Vazoes_COLAR!$A$2:$A$200,INT((ROW()-24)/12)+1)),""))</f>
        <v/>
      </c>
      <c r="C1097" s="29" t="str">
        <f t="shared" si="2"/>
        <v/>
      </c>
      <c r="D1097" s="26" t="str">
        <f t="array" ref="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97" s="26" t="str">
        <f t="shared" si="3"/>
        <v/>
      </c>
      <c r="F1097" s="26" t="str">
        <f t="array" ref="F1097">IF(D1097="","",IFERROR(INDEX(Dados_Evap!$C$2:$N$15,MATCH($B$9,Dados_Evap!$A$2:$A$15,0),C1097),0))</f>
        <v/>
      </c>
      <c r="G1097" s="26" t="str">
        <f t="shared" si="4"/>
        <v/>
      </c>
      <c r="H1097" s="26" t="str">
        <f t="shared" si="22"/>
        <v/>
      </c>
      <c r="I1097" s="26" t="str">
        <f t="array" ref="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/>
      </c>
      <c r="J1097" s="26" t="str">
        <f t="shared" si="5"/>
        <v/>
      </c>
      <c r="K1097" s="26" t="str">
        <f t="shared" si="6"/>
        <v/>
      </c>
      <c r="L1097" s="26" t="str">
        <f t="shared" si="7"/>
        <v/>
      </c>
      <c r="M1097" s="26" t="str">
        <f t="array" ref="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/>
      </c>
      <c r="N1097" s="26" t="str">
        <f t="shared" si="8"/>
        <v/>
      </c>
      <c r="O1097" s="26" t="str">
        <f t="shared" si="9"/>
        <v/>
      </c>
      <c r="P1097" s="26" t="str">
        <f t="shared" si="10"/>
        <v/>
      </c>
      <c r="Q1097" s="26" t="str">
        <f t="shared" si="11"/>
        <v/>
      </c>
      <c r="R1097" s="26" t="str">
        <f t="shared" si="12"/>
        <v/>
      </c>
      <c r="S1097" s="26" t="str">
        <f t="shared" si="13"/>
        <v/>
      </c>
      <c r="T1097" s="26" t="str">
        <f t="shared" si="14"/>
        <v/>
      </c>
      <c r="U1097" s="26" t="str">
        <f t="shared" si="15"/>
        <v/>
      </c>
      <c r="V1097" s="26" t="str">
        <f t="shared" si="16"/>
        <v/>
      </c>
      <c r="W1097" s="26" t="str">
        <f t="shared" si="17"/>
        <v/>
      </c>
      <c r="X1097" s="26" t="str">
        <f t="shared" si="18"/>
        <v/>
      </c>
      <c r="Y1097" s="26" t="str">
        <f t="shared" si="19"/>
        <v/>
      </c>
      <c r="Z1097" s="31" t="str">
        <f t="shared" si="20"/>
        <v/>
      </c>
      <c r="AA1097" s="31" t="str">
        <f>IF(D1097="","",IF(H1097&lt;=$B$16,1,IF(H1097&gt;=$B$17,$B$21,MATCH(H1097,Aux_CAV!$A$2:$A$121,1))))</f>
        <v/>
      </c>
      <c r="AB1097" s="31" t="str">
        <f>IF(D1097="","",IF(L1097&lt;=$B$16,1,IF(L1097&gt;=$B$17,$B$21,MATCH(L1097,Aux_CAV!$A$2:$A$121,1))))</f>
        <v/>
      </c>
      <c r="AC1097" s="3" t="str">
        <f t="shared" si="21"/>
        <v/>
      </c>
    </row>
    <row r="1098" ht="12.75" customHeight="1">
      <c r="A1098" s="25" t="str">
        <f t="shared" si="1"/>
        <v/>
      </c>
      <c r="B1098" s="29" t="str">
        <f t="array" ref="B1098">IF(D1098="","",IFERROR(VALUE(INDEX(Vazoes_COLAR!$A$2:$A$200,INT((ROW()-24)/12)+1)),""))</f>
        <v/>
      </c>
      <c r="C1098" s="29" t="str">
        <f t="shared" si="2"/>
        <v/>
      </c>
      <c r="D1098" s="26" t="str">
        <f t="array" ref="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98" s="26" t="str">
        <f t="shared" si="3"/>
        <v/>
      </c>
      <c r="F1098" s="26" t="str">
        <f t="array" ref="F1098">IF(D1098="","",IFERROR(INDEX(Dados_Evap!$C$2:$N$15,MATCH($B$9,Dados_Evap!$A$2:$A$15,0),C1098),0))</f>
        <v/>
      </c>
      <c r="G1098" s="26" t="str">
        <f t="shared" si="4"/>
        <v/>
      </c>
      <c r="H1098" s="26" t="str">
        <f t="shared" si="22"/>
        <v/>
      </c>
      <c r="I1098" s="26" t="str">
        <f t="array" ref="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/>
      </c>
      <c r="J1098" s="26" t="str">
        <f t="shared" si="5"/>
        <v/>
      </c>
      <c r="K1098" s="26" t="str">
        <f t="shared" si="6"/>
        <v/>
      </c>
      <c r="L1098" s="26" t="str">
        <f t="shared" si="7"/>
        <v/>
      </c>
      <c r="M1098" s="26" t="str">
        <f t="array" ref="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/>
      </c>
      <c r="N1098" s="26" t="str">
        <f t="shared" si="8"/>
        <v/>
      </c>
      <c r="O1098" s="26" t="str">
        <f t="shared" si="9"/>
        <v/>
      </c>
      <c r="P1098" s="26" t="str">
        <f t="shared" si="10"/>
        <v/>
      </c>
      <c r="Q1098" s="26" t="str">
        <f t="shared" si="11"/>
        <v/>
      </c>
      <c r="R1098" s="26" t="str">
        <f t="shared" si="12"/>
        <v/>
      </c>
      <c r="S1098" s="26" t="str">
        <f t="shared" si="13"/>
        <v/>
      </c>
      <c r="T1098" s="26" t="str">
        <f t="shared" si="14"/>
        <v/>
      </c>
      <c r="U1098" s="26" t="str">
        <f t="shared" si="15"/>
        <v/>
      </c>
      <c r="V1098" s="26" t="str">
        <f t="shared" si="16"/>
        <v/>
      </c>
      <c r="W1098" s="26" t="str">
        <f t="shared" si="17"/>
        <v/>
      </c>
      <c r="X1098" s="26" t="str">
        <f t="shared" si="18"/>
        <v/>
      </c>
      <c r="Y1098" s="26" t="str">
        <f t="shared" si="19"/>
        <v/>
      </c>
      <c r="Z1098" s="31" t="str">
        <f t="shared" si="20"/>
        <v/>
      </c>
      <c r="AA1098" s="31" t="str">
        <f>IF(D1098="","",IF(H1098&lt;=$B$16,1,IF(H1098&gt;=$B$17,$B$21,MATCH(H1098,Aux_CAV!$A$2:$A$121,1))))</f>
        <v/>
      </c>
      <c r="AB1098" s="31" t="str">
        <f>IF(D1098="","",IF(L1098&lt;=$B$16,1,IF(L1098&gt;=$B$17,$B$21,MATCH(L1098,Aux_CAV!$A$2:$A$121,1))))</f>
        <v/>
      </c>
      <c r="AC1098" s="3" t="str">
        <f t="shared" si="21"/>
        <v/>
      </c>
    </row>
    <row r="1099" ht="12.75" customHeight="1">
      <c r="A1099" s="25" t="str">
        <f t="shared" si="1"/>
        <v/>
      </c>
      <c r="B1099" s="29" t="str">
        <f t="array" ref="B1099">IF(D1099="","",IFERROR(VALUE(INDEX(Vazoes_COLAR!$A$2:$A$200,INT((ROW()-24)/12)+1)),""))</f>
        <v/>
      </c>
      <c r="C1099" s="29" t="str">
        <f t="shared" si="2"/>
        <v/>
      </c>
      <c r="D1099" s="26" t="str">
        <f t="array" ref="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099" s="26" t="str">
        <f t="shared" si="3"/>
        <v/>
      </c>
      <c r="F1099" s="26" t="str">
        <f t="array" ref="F1099">IF(D1099="","",IFERROR(INDEX(Dados_Evap!$C$2:$N$15,MATCH($B$9,Dados_Evap!$A$2:$A$15,0),C1099),0))</f>
        <v/>
      </c>
      <c r="G1099" s="26" t="str">
        <f t="shared" si="4"/>
        <v/>
      </c>
      <c r="H1099" s="26" t="str">
        <f t="shared" si="22"/>
        <v/>
      </c>
      <c r="I1099" s="26" t="str">
        <f t="array" ref="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/>
      </c>
      <c r="J1099" s="26" t="str">
        <f t="shared" si="5"/>
        <v/>
      </c>
      <c r="K1099" s="26" t="str">
        <f t="shared" si="6"/>
        <v/>
      </c>
      <c r="L1099" s="26" t="str">
        <f t="shared" si="7"/>
        <v/>
      </c>
      <c r="M1099" s="26" t="str">
        <f t="array" ref="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/>
      </c>
      <c r="N1099" s="26" t="str">
        <f t="shared" si="8"/>
        <v/>
      </c>
      <c r="O1099" s="26" t="str">
        <f t="shared" si="9"/>
        <v/>
      </c>
      <c r="P1099" s="26" t="str">
        <f t="shared" si="10"/>
        <v/>
      </c>
      <c r="Q1099" s="26" t="str">
        <f t="shared" si="11"/>
        <v/>
      </c>
      <c r="R1099" s="26" t="str">
        <f t="shared" si="12"/>
        <v/>
      </c>
      <c r="S1099" s="26" t="str">
        <f t="shared" si="13"/>
        <v/>
      </c>
      <c r="T1099" s="26" t="str">
        <f t="shared" si="14"/>
        <v/>
      </c>
      <c r="U1099" s="26" t="str">
        <f t="shared" si="15"/>
        <v/>
      </c>
      <c r="V1099" s="26" t="str">
        <f t="shared" si="16"/>
        <v/>
      </c>
      <c r="W1099" s="26" t="str">
        <f t="shared" si="17"/>
        <v/>
      </c>
      <c r="X1099" s="26" t="str">
        <f t="shared" si="18"/>
        <v/>
      </c>
      <c r="Y1099" s="26" t="str">
        <f t="shared" si="19"/>
        <v/>
      </c>
      <c r="Z1099" s="31" t="str">
        <f t="shared" si="20"/>
        <v/>
      </c>
      <c r="AA1099" s="31" t="str">
        <f>IF(D1099="","",IF(H1099&lt;=$B$16,1,IF(H1099&gt;=$B$17,$B$21,MATCH(H1099,Aux_CAV!$A$2:$A$121,1))))</f>
        <v/>
      </c>
      <c r="AB1099" s="31" t="str">
        <f>IF(D1099="","",IF(L1099&lt;=$B$16,1,IF(L1099&gt;=$B$17,$B$21,MATCH(L1099,Aux_CAV!$A$2:$A$121,1))))</f>
        <v/>
      </c>
      <c r="AC1099" s="3" t="str">
        <f t="shared" si="21"/>
        <v/>
      </c>
    </row>
    <row r="1100" ht="12.75" customHeight="1">
      <c r="A1100" s="25" t="str">
        <f t="shared" si="1"/>
        <v/>
      </c>
      <c r="B1100" s="29" t="str">
        <f t="array" ref="B1100">IF(D1100="","",IFERROR(VALUE(INDEX(Vazoes_COLAR!$A$2:$A$200,INT((ROW()-24)/12)+1)),""))</f>
        <v/>
      </c>
      <c r="C1100" s="29" t="str">
        <f t="shared" si="2"/>
        <v/>
      </c>
      <c r="D1100" s="26" t="str">
        <f t="array" ref="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00" s="26" t="str">
        <f t="shared" si="3"/>
        <v/>
      </c>
      <c r="F1100" s="26" t="str">
        <f t="array" ref="F1100">IF(D1100="","",IFERROR(INDEX(Dados_Evap!$C$2:$N$15,MATCH($B$9,Dados_Evap!$A$2:$A$15,0),C1100),0))</f>
        <v/>
      </c>
      <c r="G1100" s="26" t="str">
        <f t="shared" si="4"/>
        <v/>
      </c>
      <c r="H1100" s="26" t="str">
        <f t="shared" si="22"/>
        <v/>
      </c>
      <c r="I1100" s="26" t="str">
        <f t="array" ref="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/>
      </c>
      <c r="J1100" s="26" t="str">
        <f t="shared" si="5"/>
        <v/>
      </c>
      <c r="K1100" s="26" t="str">
        <f t="shared" si="6"/>
        <v/>
      </c>
      <c r="L1100" s="26" t="str">
        <f t="shared" si="7"/>
        <v/>
      </c>
      <c r="M1100" s="26" t="str">
        <f t="array" ref="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/>
      </c>
      <c r="N1100" s="26" t="str">
        <f t="shared" si="8"/>
        <v/>
      </c>
      <c r="O1100" s="26" t="str">
        <f t="shared" si="9"/>
        <v/>
      </c>
      <c r="P1100" s="26" t="str">
        <f t="shared" si="10"/>
        <v/>
      </c>
      <c r="Q1100" s="26" t="str">
        <f t="shared" si="11"/>
        <v/>
      </c>
      <c r="R1100" s="26" t="str">
        <f t="shared" si="12"/>
        <v/>
      </c>
      <c r="S1100" s="26" t="str">
        <f t="shared" si="13"/>
        <v/>
      </c>
      <c r="T1100" s="26" t="str">
        <f t="shared" si="14"/>
        <v/>
      </c>
      <c r="U1100" s="26" t="str">
        <f t="shared" si="15"/>
        <v/>
      </c>
      <c r="V1100" s="26" t="str">
        <f t="shared" si="16"/>
        <v/>
      </c>
      <c r="W1100" s="26" t="str">
        <f t="shared" si="17"/>
        <v/>
      </c>
      <c r="X1100" s="26" t="str">
        <f t="shared" si="18"/>
        <v/>
      </c>
      <c r="Y1100" s="26" t="str">
        <f t="shared" si="19"/>
        <v/>
      </c>
      <c r="Z1100" s="31" t="str">
        <f t="shared" si="20"/>
        <v/>
      </c>
      <c r="AA1100" s="31" t="str">
        <f>IF(D1100="","",IF(H1100&lt;=$B$16,1,IF(H1100&gt;=$B$17,$B$21,MATCH(H1100,Aux_CAV!$A$2:$A$121,1))))</f>
        <v/>
      </c>
      <c r="AB1100" s="31" t="str">
        <f>IF(D1100="","",IF(L1100&lt;=$B$16,1,IF(L1100&gt;=$B$17,$B$21,MATCH(L1100,Aux_CAV!$A$2:$A$121,1))))</f>
        <v/>
      </c>
      <c r="AC1100" s="3" t="str">
        <f t="shared" si="21"/>
        <v/>
      </c>
    </row>
    <row r="1101" ht="12.75" customHeight="1">
      <c r="A1101" s="25" t="str">
        <f t="shared" si="1"/>
        <v/>
      </c>
      <c r="B1101" s="29" t="str">
        <f t="array" ref="B1101">IF(D1101="","",IFERROR(VALUE(INDEX(Vazoes_COLAR!$A$2:$A$200,INT((ROW()-24)/12)+1)),""))</f>
        <v/>
      </c>
      <c r="C1101" s="29" t="str">
        <f t="shared" si="2"/>
        <v/>
      </c>
      <c r="D1101" s="26" t="str">
        <f t="array" ref="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01" s="26" t="str">
        <f t="shared" si="3"/>
        <v/>
      </c>
      <c r="F1101" s="26" t="str">
        <f t="array" ref="F1101">IF(D1101="","",IFERROR(INDEX(Dados_Evap!$C$2:$N$15,MATCH($B$9,Dados_Evap!$A$2:$A$15,0),C1101),0))</f>
        <v/>
      </c>
      <c r="G1101" s="26" t="str">
        <f t="shared" si="4"/>
        <v/>
      </c>
      <c r="H1101" s="26" t="str">
        <f t="shared" si="22"/>
        <v/>
      </c>
      <c r="I1101" s="26" t="str">
        <f t="array" ref="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/>
      </c>
      <c r="J1101" s="26" t="str">
        <f t="shared" si="5"/>
        <v/>
      </c>
      <c r="K1101" s="26" t="str">
        <f t="shared" si="6"/>
        <v/>
      </c>
      <c r="L1101" s="26" t="str">
        <f t="shared" si="7"/>
        <v/>
      </c>
      <c r="M1101" s="26" t="str">
        <f t="array" ref="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/>
      </c>
      <c r="N1101" s="26" t="str">
        <f t="shared" si="8"/>
        <v/>
      </c>
      <c r="O1101" s="26" t="str">
        <f t="shared" si="9"/>
        <v/>
      </c>
      <c r="P1101" s="26" t="str">
        <f t="shared" si="10"/>
        <v/>
      </c>
      <c r="Q1101" s="26" t="str">
        <f t="shared" si="11"/>
        <v/>
      </c>
      <c r="R1101" s="26" t="str">
        <f t="shared" si="12"/>
        <v/>
      </c>
      <c r="S1101" s="26" t="str">
        <f t="shared" si="13"/>
        <v/>
      </c>
      <c r="T1101" s="26" t="str">
        <f t="shared" si="14"/>
        <v/>
      </c>
      <c r="U1101" s="26" t="str">
        <f t="shared" si="15"/>
        <v/>
      </c>
      <c r="V1101" s="26" t="str">
        <f t="shared" si="16"/>
        <v/>
      </c>
      <c r="W1101" s="26" t="str">
        <f t="shared" si="17"/>
        <v/>
      </c>
      <c r="X1101" s="26" t="str">
        <f t="shared" si="18"/>
        <v/>
      </c>
      <c r="Y1101" s="26" t="str">
        <f t="shared" si="19"/>
        <v/>
      </c>
      <c r="Z1101" s="31" t="str">
        <f t="shared" si="20"/>
        <v/>
      </c>
      <c r="AA1101" s="31" t="str">
        <f>IF(D1101="","",IF(H1101&lt;=$B$16,1,IF(H1101&gt;=$B$17,$B$21,MATCH(H1101,Aux_CAV!$A$2:$A$121,1))))</f>
        <v/>
      </c>
      <c r="AB1101" s="31" t="str">
        <f>IF(D1101="","",IF(L1101&lt;=$B$16,1,IF(L1101&gt;=$B$17,$B$21,MATCH(L1101,Aux_CAV!$A$2:$A$121,1))))</f>
        <v/>
      </c>
      <c r="AC1101" s="3" t="str">
        <f t="shared" si="21"/>
        <v/>
      </c>
    </row>
    <row r="1102" ht="12.75" customHeight="1">
      <c r="A1102" s="25" t="str">
        <f t="shared" si="1"/>
        <v/>
      </c>
      <c r="B1102" s="29" t="str">
        <f t="array" ref="B1102">IF(D1102="","",IFERROR(VALUE(INDEX(Vazoes_COLAR!$A$2:$A$200,INT((ROW()-24)/12)+1)),""))</f>
        <v/>
      </c>
      <c r="C1102" s="29" t="str">
        <f t="shared" si="2"/>
        <v/>
      </c>
      <c r="D1102" s="26" t="str">
        <f t="array" ref="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02" s="26" t="str">
        <f t="shared" si="3"/>
        <v/>
      </c>
      <c r="F1102" s="26" t="str">
        <f t="array" ref="F1102">IF(D1102="","",IFERROR(INDEX(Dados_Evap!$C$2:$N$15,MATCH($B$9,Dados_Evap!$A$2:$A$15,0),C1102),0))</f>
        <v/>
      </c>
      <c r="G1102" s="26" t="str">
        <f t="shared" si="4"/>
        <v/>
      </c>
      <c r="H1102" s="26" t="str">
        <f t="shared" si="22"/>
        <v/>
      </c>
      <c r="I1102" s="26" t="str">
        <f t="array" ref="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/>
      </c>
      <c r="J1102" s="26" t="str">
        <f t="shared" si="5"/>
        <v/>
      </c>
      <c r="K1102" s="26" t="str">
        <f t="shared" si="6"/>
        <v/>
      </c>
      <c r="L1102" s="26" t="str">
        <f t="shared" si="7"/>
        <v/>
      </c>
      <c r="M1102" s="26" t="str">
        <f t="array" ref="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/>
      </c>
      <c r="N1102" s="26" t="str">
        <f t="shared" si="8"/>
        <v/>
      </c>
      <c r="O1102" s="26" t="str">
        <f t="shared" si="9"/>
        <v/>
      </c>
      <c r="P1102" s="26" t="str">
        <f t="shared" si="10"/>
        <v/>
      </c>
      <c r="Q1102" s="26" t="str">
        <f t="shared" si="11"/>
        <v/>
      </c>
      <c r="R1102" s="26" t="str">
        <f t="shared" si="12"/>
        <v/>
      </c>
      <c r="S1102" s="26" t="str">
        <f t="shared" si="13"/>
        <v/>
      </c>
      <c r="T1102" s="26" t="str">
        <f t="shared" si="14"/>
        <v/>
      </c>
      <c r="U1102" s="26" t="str">
        <f t="shared" si="15"/>
        <v/>
      </c>
      <c r="V1102" s="26" t="str">
        <f t="shared" si="16"/>
        <v/>
      </c>
      <c r="W1102" s="26" t="str">
        <f t="shared" si="17"/>
        <v/>
      </c>
      <c r="X1102" s="26" t="str">
        <f t="shared" si="18"/>
        <v/>
      </c>
      <c r="Y1102" s="26" t="str">
        <f t="shared" si="19"/>
        <v/>
      </c>
      <c r="Z1102" s="31" t="str">
        <f t="shared" si="20"/>
        <v/>
      </c>
      <c r="AA1102" s="31" t="str">
        <f>IF(D1102="","",IF(H1102&lt;=$B$16,1,IF(H1102&gt;=$B$17,$B$21,MATCH(H1102,Aux_CAV!$A$2:$A$121,1))))</f>
        <v/>
      </c>
      <c r="AB1102" s="31" t="str">
        <f>IF(D1102="","",IF(L1102&lt;=$B$16,1,IF(L1102&gt;=$B$17,$B$21,MATCH(L1102,Aux_CAV!$A$2:$A$121,1))))</f>
        <v/>
      </c>
      <c r="AC1102" s="3" t="str">
        <f t="shared" si="21"/>
        <v/>
      </c>
    </row>
    <row r="1103" ht="12.75" customHeight="1">
      <c r="A1103" s="25" t="str">
        <f t="shared" si="1"/>
        <v/>
      </c>
      <c r="B1103" s="29" t="str">
        <f t="array" ref="B1103">IF(D1103="","",IFERROR(VALUE(INDEX(Vazoes_COLAR!$A$2:$A$200,INT((ROW()-24)/12)+1)),""))</f>
        <v/>
      </c>
      <c r="C1103" s="29" t="str">
        <f t="shared" si="2"/>
        <v/>
      </c>
      <c r="D1103" s="26" t="str">
        <f t="array" ref="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03" s="26" t="str">
        <f t="shared" si="3"/>
        <v/>
      </c>
      <c r="F1103" s="26" t="str">
        <f t="array" ref="F1103">IF(D1103="","",IFERROR(INDEX(Dados_Evap!$C$2:$N$15,MATCH($B$9,Dados_Evap!$A$2:$A$15,0),C1103),0))</f>
        <v/>
      </c>
      <c r="G1103" s="26" t="str">
        <f t="shared" si="4"/>
        <v/>
      </c>
      <c r="H1103" s="26" t="str">
        <f t="shared" si="22"/>
        <v/>
      </c>
      <c r="I1103" s="26" t="str">
        <f t="array" ref="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/>
      </c>
      <c r="J1103" s="26" t="str">
        <f t="shared" si="5"/>
        <v/>
      </c>
      <c r="K1103" s="26" t="str">
        <f t="shared" si="6"/>
        <v/>
      </c>
      <c r="L1103" s="26" t="str">
        <f t="shared" si="7"/>
        <v/>
      </c>
      <c r="M1103" s="26" t="str">
        <f t="array" ref="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/>
      </c>
      <c r="N1103" s="26" t="str">
        <f t="shared" si="8"/>
        <v/>
      </c>
      <c r="O1103" s="26" t="str">
        <f t="shared" si="9"/>
        <v/>
      </c>
      <c r="P1103" s="26" t="str">
        <f t="shared" si="10"/>
        <v/>
      </c>
      <c r="Q1103" s="26" t="str">
        <f t="shared" si="11"/>
        <v/>
      </c>
      <c r="R1103" s="26" t="str">
        <f t="shared" si="12"/>
        <v/>
      </c>
      <c r="S1103" s="26" t="str">
        <f t="shared" si="13"/>
        <v/>
      </c>
      <c r="T1103" s="26" t="str">
        <f t="shared" si="14"/>
        <v/>
      </c>
      <c r="U1103" s="26" t="str">
        <f t="shared" si="15"/>
        <v/>
      </c>
      <c r="V1103" s="26" t="str">
        <f t="shared" si="16"/>
        <v/>
      </c>
      <c r="W1103" s="26" t="str">
        <f t="shared" si="17"/>
        <v/>
      </c>
      <c r="X1103" s="26" t="str">
        <f t="shared" si="18"/>
        <v/>
      </c>
      <c r="Y1103" s="26" t="str">
        <f t="shared" si="19"/>
        <v/>
      </c>
      <c r="Z1103" s="31" t="str">
        <f t="shared" si="20"/>
        <v/>
      </c>
      <c r="AA1103" s="31" t="str">
        <f>IF(D1103="","",IF(H1103&lt;=$B$16,1,IF(H1103&gt;=$B$17,$B$21,MATCH(H1103,Aux_CAV!$A$2:$A$121,1))))</f>
        <v/>
      </c>
      <c r="AB1103" s="31" t="str">
        <f>IF(D1103="","",IF(L1103&lt;=$B$16,1,IF(L1103&gt;=$B$17,$B$21,MATCH(L1103,Aux_CAV!$A$2:$A$121,1))))</f>
        <v/>
      </c>
      <c r="AC1103" s="3" t="str">
        <f t="shared" si="21"/>
        <v/>
      </c>
    </row>
    <row r="1104" ht="12.75" customHeight="1">
      <c r="A1104" s="25" t="str">
        <f t="shared" si="1"/>
        <v/>
      </c>
      <c r="B1104" s="29" t="str">
        <f t="array" ref="B1104">IF(D1104="","",IFERROR(VALUE(INDEX(Vazoes_COLAR!$A$2:$A$200,INT((ROW()-24)/12)+1)),""))</f>
        <v/>
      </c>
      <c r="C1104" s="29" t="str">
        <f t="shared" si="2"/>
        <v/>
      </c>
      <c r="D1104" s="26" t="str">
        <f t="array" ref="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04" s="26" t="str">
        <f t="shared" si="3"/>
        <v/>
      </c>
      <c r="F1104" s="26" t="str">
        <f t="array" ref="F1104">IF(D1104="","",IFERROR(INDEX(Dados_Evap!$C$2:$N$15,MATCH($B$9,Dados_Evap!$A$2:$A$15,0),C1104),0))</f>
        <v/>
      </c>
      <c r="G1104" s="26" t="str">
        <f t="shared" si="4"/>
        <v/>
      </c>
      <c r="H1104" s="26" t="str">
        <f t="shared" si="22"/>
        <v/>
      </c>
      <c r="I1104" s="26" t="str">
        <f t="array" ref="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/>
      </c>
      <c r="J1104" s="26" t="str">
        <f t="shared" si="5"/>
        <v/>
      </c>
      <c r="K1104" s="26" t="str">
        <f t="shared" si="6"/>
        <v/>
      </c>
      <c r="L1104" s="26" t="str">
        <f t="shared" si="7"/>
        <v/>
      </c>
      <c r="M1104" s="26" t="str">
        <f t="array" ref="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/>
      </c>
      <c r="N1104" s="26" t="str">
        <f t="shared" si="8"/>
        <v/>
      </c>
      <c r="O1104" s="26" t="str">
        <f t="shared" si="9"/>
        <v/>
      </c>
      <c r="P1104" s="26" t="str">
        <f t="shared" si="10"/>
        <v/>
      </c>
      <c r="Q1104" s="26" t="str">
        <f t="shared" si="11"/>
        <v/>
      </c>
      <c r="R1104" s="26" t="str">
        <f t="shared" si="12"/>
        <v/>
      </c>
      <c r="S1104" s="26" t="str">
        <f t="shared" si="13"/>
        <v/>
      </c>
      <c r="T1104" s="26" t="str">
        <f t="shared" si="14"/>
        <v/>
      </c>
      <c r="U1104" s="26" t="str">
        <f t="shared" si="15"/>
        <v/>
      </c>
      <c r="V1104" s="26" t="str">
        <f t="shared" si="16"/>
        <v/>
      </c>
      <c r="W1104" s="26" t="str">
        <f t="shared" si="17"/>
        <v/>
      </c>
      <c r="X1104" s="26" t="str">
        <f t="shared" si="18"/>
        <v/>
      </c>
      <c r="Y1104" s="26" t="str">
        <f t="shared" si="19"/>
        <v/>
      </c>
      <c r="Z1104" s="31" t="str">
        <f t="shared" si="20"/>
        <v/>
      </c>
      <c r="AA1104" s="31" t="str">
        <f>IF(D1104="","",IF(H1104&lt;=$B$16,1,IF(H1104&gt;=$B$17,$B$21,MATCH(H1104,Aux_CAV!$A$2:$A$121,1))))</f>
        <v/>
      </c>
      <c r="AB1104" s="31" t="str">
        <f>IF(D1104="","",IF(L1104&lt;=$B$16,1,IF(L1104&gt;=$B$17,$B$21,MATCH(L1104,Aux_CAV!$A$2:$A$121,1))))</f>
        <v/>
      </c>
      <c r="AC1104" s="3" t="str">
        <f t="shared" si="21"/>
        <v/>
      </c>
    </row>
    <row r="1105" ht="12.75" customHeight="1">
      <c r="A1105" s="25" t="str">
        <f t="shared" si="1"/>
        <v/>
      </c>
      <c r="B1105" s="29" t="str">
        <f t="array" ref="B1105">IF(D1105="","",IFERROR(VALUE(INDEX(Vazoes_COLAR!$A$2:$A$200,INT((ROW()-24)/12)+1)),""))</f>
        <v/>
      </c>
      <c r="C1105" s="29" t="str">
        <f t="shared" si="2"/>
        <v/>
      </c>
      <c r="D1105" s="26" t="str">
        <f t="array" ref="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05" s="26" t="str">
        <f t="shared" si="3"/>
        <v/>
      </c>
      <c r="F1105" s="26" t="str">
        <f t="array" ref="F1105">IF(D1105="","",IFERROR(INDEX(Dados_Evap!$C$2:$N$15,MATCH($B$9,Dados_Evap!$A$2:$A$15,0),C1105),0))</f>
        <v/>
      </c>
      <c r="G1105" s="26" t="str">
        <f t="shared" si="4"/>
        <v/>
      </c>
      <c r="H1105" s="26" t="str">
        <f t="shared" si="22"/>
        <v/>
      </c>
      <c r="I1105" s="26" t="str">
        <f t="array" ref="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/>
      </c>
      <c r="J1105" s="26" t="str">
        <f t="shared" si="5"/>
        <v/>
      </c>
      <c r="K1105" s="26" t="str">
        <f t="shared" si="6"/>
        <v/>
      </c>
      <c r="L1105" s="26" t="str">
        <f t="shared" si="7"/>
        <v/>
      </c>
      <c r="M1105" s="26" t="str">
        <f t="array" ref="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/>
      </c>
      <c r="N1105" s="26" t="str">
        <f t="shared" si="8"/>
        <v/>
      </c>
      <c r="O1105" s="26" t="str">
        <f t="shared" si="9"/>
        <v/>
      </c>
      <c r="P1105" s="26" t="str">
        <f t="shared" si="10"/>
        <v/>
      </c>
      <c r="Q1105" s="26" t="str">
        <f t="shared" si="11"/>
        <v/>
      </c>
      <c r="R1105" s="26" t="str">
        <f t="shared" si="12"/>
        <v/>
      </c>
      <c r="S1105" s="26" t="str">
        <f t="shared" si="13"/>
        <v/>
      </c>
      <c r="T1105" s="26" t="str">
        <f t="shared" si="14"/>
        <v/>
      </c>
      <c r="U1105" s="26" t="str">
        <f t="shared" si="15"/>
        <v/>
      </c>
      <c r="V1105" s="26" t="str">
        <f t="shared" si="16"/>
        <v/>
      </c>
      <c r="W1105" s="26" t="str">
        <f t="shared" si="17"/>
        <v/>
      </c>
      <c r="X1105" s="26" t="str">
        <f t="shared" si="18"/>
        <v/>
      </c>
      <c r="Y1105" s="26" t="str">
        <f t="shared" si="19"/>
        <v/>
      </c>
      <c r="Z1105" s="31" t="str">
        <f t="shared" si="20"/>
        <v/>
      </c>
      <c r="AA1105" s="31" t="str">
        <f>IF(D1105="","",IF(H1105&lt;=$B$16,1,IF(H1105&gt;=$B$17,$B$21,MATCH(H1105,Aux_CAV!$A$2:$A$121,1))))</f>
        <v/>
      </c>
      <c r="AB1105" s="31" t="str">
        <f>IF(D1105="","",IF(L1105&lt;=$B$16,1,IF(L1105&gt;=$B$17,$B$21,MATCH(L1105,Aux_CAV!$A$2:$A$121,1))))</f>
        <v/>
      </c>
      <c r="AC1105" s="3" t="str">
        <f t="shared" si="21"/>
        <v/>
      </c>
    </row>
    <row r="1106" ht="12.75" customHeight="1">
      <c r="A1106" s="25" t="str">
        <f t="shared" si="1"/>
        <v/>
      </c>
      <c r="B1106" s="29" t="str">
        <f t="array" ref="B1106">IF(D1106="","",IFERROR(VALUE(INDEX(Vazoes_COLAR!$A$2:$A$200,INT((ROW()-24)/12)+1)),""))</f>
        <v/>
      </c>
      <c r="C1106" s="29" t="str">
        <f t="shared" si="2"/>
        <v/>
      </c>
      <c r="D1106" s="26" t="str">
        <f t="array" ref="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06" s="26" t="str">
        <f t="shared" si="3"/>
        <v/>
      </c>
      <c r="F1106" s="26" t="str">
        <f t="array" ref="F1106">IF(D1106="","",IFERROR(INDEX(Dados_Evap!$C$2:$N$15,MATCH($B$9,Dados_Evap!$A$2:$A$15,0),C1106),0))</f>
        <v/>
      </c>
      <c r="G1106" s="26" t="str">
        <f t="shared" si="4"/>
        <v/>
      </c>
      <c r="H1106" s="26" t="str">
        <f t="shared" si="22"/>
        <v/>
      </c>
      <c r="I1106" s="26" t="str">
        <f t="array" ref="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/>
      </c>
      <c r="J1106" s="26" t="str">
        <f t="shared" si="5"/>
        <v/>
      </c>
      <c r="K1106" s="26" t="str">
        <f t="shared" si="6"/>
        <v/>
      </c>
      <c r="L1106" s="26" t="str">
        <f t="shared" si="7"/>
        <v/>
      </c>
      <c r="M1106" s="26" t="str">
        <f t="array" ref="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/>
      </c>
      <c r="N1106" s="26" t="str">
        <f t="shared" si="8"/>
        <v/>
      </c>
      <c r="O1106" s="26" t="str">
        <f t="shared" si="9"/>
        <v/>
      </c>
      <c r="P1106" s="26" t="str">
        <f t="shared" si="10"/>
        <v/>
      </c>
      <c r="Q1106" s="26" t="str">
        <f t="shared" si="11"/>
        <v/>
      </c>
      <c r="R1106" s="26" t="str">
        <f t="shared" si="12"/>
        <v/>
      </c>
      <c r="S1106" s="26" t="str">
        <f t="shared" si="13"/>
        <v/>
      </c>
      <c r="T1106" s="26" t="str">
        <f t="shared" si="14"/>
        <v/>
      </c>
      <c r="U1106" s="26" t="str">
        <f t="shared" si="15"/>
        <v/>
      </c>
      <c r="V1106" s="26" t="str">
        <f t="shared" si="16"/>
        <v/>
      </c>
      <c r="W1106" s="26" t="str">
        <f t="shared" si="17"/>
        <v/>
      </c>
      <c r="X1106" s="26" t="str">
        <f t="shared" si="18"/>
        <v/>
      </c>
      <c r="Y1106" s="26" t="str">
        <f t="shared" si="19"/>
        <v/>
      </c>
      <c r="Z1106" s="31" t="str">
        <f t="shared" si="20"/>
        <v/>
      </c>
      <c r="AA1106" s="31" t="str">
        <f>IF(D1106="","",IF(H1106&lt;=$B$16,1,IF(H1106&gt;=$B$17,$B$21,MATCH(H1106,Aux_CAV!$A$2:$A$121,1))))</f>
        <v/>
      </c>
      <c r="AB1106" s="31" t="str">
        <f>IF(D1106="","",IF(L1106&lt;=$B$16,1,IF(L1106&gt;=$B$17,$B$21,MATCH(L1106,Aux_CAV!$A$2:$A$121,1))))</f>
        <v/>
      </c>
      <c r="AC1106" s="3" t="str">
        <f t="shared" si="21"/>
        <v/>
      </c>
    </row>
    <row r="1107" ht="12.75" customHeight="1">
      <c r="A1107" s="25" t="str">
        <f t="shared" si="1"/>
        <v/>
      </c>
      <c r="B1107" s="29" t="str">
        <f t="array" ref="B1107">IF(D1107="","",IFERROR(VALUE(INDEX(Vazoes_COLAR!$A$2:$A$200,INT((ROW()-24)/12)+1)),""))</f>
        <v/>
      </c>
      <c r="C1107" s="29" t="str">
        <f t="shared" si="2"/>
        <v/>
      </c>
      <c r="D1107" s="26" t="str">
        <f t="array" ref="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07" s="26" t="str">
        <f t="shared" si="3"/>
        <v/>
      </c>
      <c r="F1107" s="26" t="str">
        <f t="array" ref="F1107">IF(D1107="","",IFERROR(INDEX(Dados_Evap!$C$2:$N$15,MATCH($B$9,Dados_Evap!$A$2:$A$15,0),C1107),0))</f>
        <v/>
      </c>
      <c r="G1107" s="26" t="str">
        <f t="shared" si="4"/>
        <v/>
      </c>
      <c r="H1107" s="26" t="str">
        <f t="shared" si="22"/>
        <v/>
      </c>
      <c r="I1107" s="26" t="str">
        <f t="array" ref="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/>
      </c>
      <c r="J1107" s="26" t="str">
        <f t="shared" si="5"/>
        <v/>
      </c>
      <c r="K1107" s="26" t="str">
        <f t="shared" si="6"/>
        <v/>
      </c>
      <c r="L1107" s="26" t="str">
        <f t="shared" si="7"/>
        <v/>
      </c>
      <c r="M1107" s="26" t="str">
        <f t="array" ref="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/>
      </c>
      <c r="N1107" s="26" t="str">
        <f t="shared" si="8"/>
        <v/>
      </c>
      <c r="O1107" s="26" t="str">
        <f t="shared" si="9"/>
        <v/>
      </c>
      <c r="P1107" s="26" t="str">
        <f t="shared" si="10"/>
        <v/>
      </c>
      <c r="Q1107" s="26" t="str">
        <f t="shared" si="11"/>
        <v/>
      </c>
      <c r="R1107" s="26" t="str">
        <f t="shared" si="12"/>
        <v/>
      </c>
      <c r="S1107" s="26" t="str">
        <f t="shared" si="13"/>
        <v/>
      </c>
      <c r="T1107" s="26" t="str">
        <f t="shared" si="14"/>
        <v/>
      </c>
      <c r="U1107" s="26" t="str">
        <f t="shared" si="15"/>
        <v/>
      </c>
      <c r="V1107" s="26" t="str">
        <f t="shared" si="16"/>
        <v/>
      </c>
      <c r="W1107" s="26" t="str">
        <f t="shared" si="17"/>
        <v/>
      </c>
      <c r="X1107" s="26" t="str">
        <f t="shared" si="18"/>
        <v/>
      </c>
      <c r="Y1107" s="26" t="str">
        <f t="shared" si="19"/>
        <v/>
      </c>
      <c r="Z1107" s="31" t="str">
        <f t="shared" si="20"/>
        <v/>
      </c>
      <c r="AA1107" s="31" t="str">
        <f>IF(D1107="","",IF(H1107&lt;=$B$16,1,IF(H1107&gt;=$B$17,$B$21,MATCH(H1107,Aux_CAV!$A$2:$A$121,1))))</f>
        <v/>
      </c>
      <c r="AB1107" s="31" t="str">
        <f>IF(D1107="","",IF(L1107&lt;=$B$16,1,IF(L1107&gt;=$B$17,$B$21,MATCH(L1107,Aux_CAV!$A$2:$A$121,1))))</f>
        <v/>
      </c>
      <c r="AC1107" s="3" t="str">
        <f t="shared" si="21"/>
        <v/>
      </c>
    </row>
    <row r="1108" ht="12.75" customHeight="1">
      <c r="A1108" s="25" t="str">
        <f t="shared" si="1"/>
        <v/>
      </c>
      <c r="B1108" s="29" t="str">
        <f t="array" ref="B1108">IF(D1108="","",IFERROR(VALUE(INDEX(Vazoes_COLAR!$A$2:$A$200,INT((ROW()-24)/12)+1)),""))</f>
        <v/>
      </c>
      <c r="C1108" s="29" t="str">
        <f t="shared" si="2"/>
        <v/>
      </c>
      <c r="D1108" s="26" t="str">
        <f t="array" ref="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08" s="26" t="str">
        <f t="shared" si="3"/>
        <v/>
      </c>
      <c r="F1108" s="26" t="str">
        <f t="array" ref="F1108">IF(D1108="","",IFERROR(INDEX(Dados_Evap!$C$2:$N$15,MATCH($B$9,Dados_Evap!$A$2:$A$15,0),C1108),0))</f>
        <v/>
      </c>
      <c r="G1108" s="26" t="str">
        <f t="shared" si="4"/>
        <v/>
      </c>
      <c r="H1108" s="26" t="str">
        <f t="shared" si="22"/>
        <v/>
      </c>
      <c r="I1108" s="26" t="str">
        <f t="array" ref="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/>
      </c>
      <c r="J1108" s="26" t="str">
        <f t="shared" si="5"/>
        <v/>
      </c>
      <c r="K1108" s="26" t="str">
        <f t="shared" si="6"/>
        <v/>
      </c>
      <c r="L1108" s="26" t="str">
        <f t="shared" si="7"/>
        <v/>
      </c>
      <c r="M1108" s="26" t="str">
        <f t="array" ref="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/>
      </c>
      <c r="N1108" s="26" t="str">
        <f t="shared" si="8"/>
        <v/>
      </c>
      <c r="O1108" s="26" t="str">
        <f t="shared" si="9"/>
        <v/>
      </c>
      <c r="P1108" s="26" t="str">
        <f t="shared" si="10"/>
        <v/>
      </c>
      <c r="Q1108" s="26" t="str">
        <f t="shared" si="11"/>
        <v/>
      </c>
      <c r="R1108" s="26" t="str">
        <f t="shared" si="12"/>
        <v/>
      </c>
      <c r="S1108" s="26" t="str">
        <f t="shared" si="13"/>
        <v/>
      </c>
      <c r="T1108" s="26" t="str">
        <f t="shared" si="14"/>
        <v/>
      </c>
      <c r="U1108" s="26" t="str">
        <f t="shared" si="15"/>
        <v/>
      </c>
      <c r="V1108" s="26" t="str">
        <f t="shared" si="16"/>
        <v/>
      </c>
      <c r="W1108" s="26" t="str">
        <f t="shared" si="17"/>
        <v/>
      </c>
      <c r="X1108" s="26" t="str">
        <f t="shared" si="18"/>
        <v/>
      </c>
      <c r="Y1108" s="26" t="str">
        <f t="shared" si="19"/>
        <v/>
      </c>
      <c r="Z1108" s="31" t="str">
        <f t="shared" si="20"/>
        <v/>
      </c>
      <c r="AA1108" s="31" t="str">
        <f>IF(D1108="","",IF(H1108&lt;=$B$16,1,IF(H1108&gt;=$B$17,$B$21,MATCH(H1108,Aux_CAV!$A$2:$A$121,1))))</f>
        <v/>
      </c>
      <c r="AB1108" s="31" t="str">
        <f>IF(D1108="","",IF(L1108&lt;=$B$16,1,IF(L1108&gt;=$B$17,$B$21,MATCH(L1108,Aux_CAV!$A$2:$A$121,1))))</f>
        <v/>
      </c>
      <c r="AC1108" s="3" t="str">
        <f t="shared" si="21"/>
        <v/>
      </c>
    </row>
    <row r="1109" ht="12.75" customHeight="1">
      <c r="A1109" s="25" t="str">
        <f t="shared" si="1"/>
        <v/>
      </c>
      <c r="B1109" s="29" t="str">
        <f t="array" ref="B1109">IF(D1109="","",IFERROR(VALUE(INDEX(Vazoes_COLAR!$A$2:$A$200,INT((ROW()-24)/12)+1)),""))</f>
        <v/>
      </c>
      <c r="C1109" s="29" t="str">
        <f t="shared" si="2"/>
        <v/>
      </c>
      <c r="D1109" s="26" t="str">
        <f t="array" ref="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09" s="26" t="str">
        <f t="shared" si="3"/>
        <v/>
      </c>
      <c r="F1109" s="26" t="str">
        <f t="array" ref="F1109">IF(D1109="","",IFERROR(INDEX(Dados_Evap!$C$2:$N$15,MATCH($B$9,Dados_Evap!$A$2:$A$15,0),C1109),0))</f>
        <v/>
      </c>
      <c r="G1109" s="26" t="str">
        <f t="shared" si="4"/>
        <v/>
      </c>
      <c r="H1109" s="26" t="str">
        <f t="shared" si="22"/>
        <v/>
      </c>
      <c r="I1109" s="26" t="str">
        <f t="array" ref="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/>
      </c>
      <c r="J1109" s="26" t="str">
        <f t="shared" si="5"/>
        <v/>
      </c>
      <c r="K1109" s="26" t="str">
        <f t="shared" si="6"/>
        <v/>
      </c>
      <c r="L1109" s="26" t="str">
        <f t="shared" si="7"/>
        <v/>
      </c>
      <c r="M1109" s="26" t="str">
        <f t="array" ref="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/>
      </c>
      <c r="N1109" s="26" t="str">
        <f t="shared" si="8"/>
        <v/>
      </c>
      <c r="O1109" s="26" t="str">
        <f t="shared" si="9"/>
        <v/>
      </c>
      <c r="P1109" s="26" t="str">
        <f t="shared" si="10"/>
        <v/>
      </c>
      <c r="Q1109" s="26" t="str">
        <f t="shared" si="11"/>
        <v/>
      </c>
      <c r="R1109" s="26" t="str">
        <f t="shared" si="12"/>
        <v/>
      </c>
      <c r="S1109" s="26" t="str">
        <f t="shared" si="13"/>
        <v/>
      </c>
      <c r="T1109" s="26" t="str">
        <f t="shared" si="14"/>
        <v/>
      </c>
      <c r="U1109" s="26" t="str">
        <f t="shared" si="15"/>
        <v/>
      </c>
      <c r="V1109" s="26" t="str">
        <f t="shared" si="16"/>
        <v/>
      </c>
      <c r="W1109" s="26" t="str">
        <f t="shared" si="17"/>
        <v/>
      </c>
      <c r="X1109" s="26" t="str">
        <f t="shared" si="18"/>
        <v/>
      </c>
      <c r="Y1109" s="26" t="str">
        <f t="shared" si="19"/>
        <v/>
      </c>
      <c r="Z1109" s="31" t="str">
        <f t="shared" si="20"/>
        <v/>
      </c>
      <c r="AA1109" s="31" t="str">
        <f>IF(D1109="","",IF(H1109&lt;=$B$16,1,IF(H1109&gt;=$B$17,$B$21,MATCH(H1109,Aux_CAV!$A$2:$A$121,1))))</f>
        <v/>
      </c>
      <c r="AB1109" s="31" t="str">
        <f>IF(D1109="","",IF(L1109&lt;=$B$16,1,IF(L1109&gt;=$B$17,$B$21,MATCH(L1109,Aux_CAV!$A$2:$A$121,1))))</f>
        <v/>
      </c>
      <c r="AC1109" s="3" t="str">
        <f t="shared" si="21"/>
        <v/>
      </c>
    </row>
    <row r="1110" ht="12.75" customHeight="1">
      <c r="A1110" s="25" t="str">
        <f t="shared" si="1"/>
        <v/>
      </c>
      <c r="B1110" s="29" t="str">
        <f t="array" ref="B1110">IF(D1110="","",IFERROR(VALUE(INDEX(Vazoes_COLAR!$A$2:$A$200,INT((ROW()-24)/12)+1)),""))</f>
        <v/>
      </c>
      <c r="C1110" s="29" t="str">
        <f t="shared" si="2"/>
        <v/>
      </c>
      <c r="D1110" s="26" t="str">
        <f t="array" ref="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10" s="26" t="str">
        <f t="shared" si="3"/>
        <v/>
      </c>
      <c r="F1110" s="26" t="str">
        <f t="array" ref="F1110">IF(D1110="","",IFERROR(INDEX(Dados_Evap!$C$2:$N$15,MATCH($B$9,Dados_Evap!$A$2:$A$15,0),C1110),0))</f>
        <v/>
      </c>
      <c r="G1110" s="26" t="str">
        <f t="shared" si="4"/>
        <v/>
      </c>
      <c r="H1110" s="26" t="str">
        <f t="shared" si="22"/>
        <v/>
      </c>
      <c r="I1110" s="26" t="str">
        <f t="array" ref="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/>
      </c>
      <c r="J1110" s="26" t="str">
        <f t="shared" si="5"/>
        <v/>
      </c>
      <c r="K1110" s="26" t="str">
        <f t="shared" si="6"/>
        <v/>
      </c>
      <c r="L1110" s="26" t="str">
        <f t="shared" si="7"/>
        <v/>
      </c>
      <c r="M1110" s="26" t="str">
        <f t="array" ref="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/>
      </c>
      <c r="N1110" s="26" t="str">
        <f t="shared" si="8"/>
        <v/>
      </c>
      <c r="O1110" s="26" t="str">
        <f t="shared" si="9"/>
        <v/>
      </c>
      <c r="P1110" s="26" t="str">
        <f t="shared" si="10"/>
        <v/>
      </c>
      <c r="Q1110" s="26" t="str">
        <f t="shared" si="11"/>
        <v/>
      </c>
      <c r="R1110" s="26" t="str">
        <f t="shared" si="12"/>
        <v/>
      </c>
      <c r="S1110" s="26" t="str">
        <f t="shared" si="13"/>
        <v/>
      </c>
      <c r="T1110" s="26" t="str">
        <f t="shared" si="14"/>
        <v/>
      </c>
      <c r="U1110" s="26" t="str">
        <f t="shared" si="15"/>
        <v/>
      </c>
      <c r="V1110" s="26" t="str">
        <f t="shared" si="16"/>
        <v/>
      </c>
      <c r="W1110" s="26" t="str">
        <f t="shared" si="17"/>
        <v/>
      </c>
      <c r="X1110" s="26" t="str">
        <f t="shared" si="18"/>
        <v/>
      </c>
      <c r="Y1110" s="26" t="str">
        <f t="shared" si="19"/>
        <v/>
      </c>
      <c r="Z1110" s="31" t="str">
        <f t="shared" si="20"/>
        <v/>
      </c>
      <c r="AA1110" s="31" t="str">
        <f>IF(D1110="","",IF(H1110&lt;=$B$16,1,IF(H1110&gt;=$B$17,$B$21,MATCH(H1110,Aux_CAV!$A$2:$A$121,1))))</f>
        <v/>
      </c>
      <c r="AB1110" s="31" t="str">
        <f>IF(D1110="","",IF(L1110&lt;=$B$16,1,IF(L1110&gt;=$B$17,$B$21,MATCH(L1110,Aux_CAV!$A$2:$A$121,1))))</f>
        <v/>
      </c>
      <c r="AC1110" s="3" t="str">
        <f t="shared" si="21"/>
        <v/>
      </c>
    </row>
    <row r="1111" ht="12.75" customHeight="1">
      <c r="A1111" s="25" t="str">
        <f t="shared" si="1"/>
        <v/>
      </c>
      <c r="B1111" s="29" t="str">
        <f t="array" ref="B1111">IF(D1111="","",IFERROR(VALUE(INDEX(Vazoes_COLAR!$A$2:$A$200,INT((ROW()-24)/12)+1)),""))</f>
        <v/>
      </c>
      <c r="C1111" s="29" t="str">
        <f t="shared" si="2"/>
        <v/>
      </c>
      <c r="D1111" s="26" t="str">
        <f t="array" ref="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11" s="26" t="str">
        <f t="shared" si="3"/>
        <v/>
      </c>
      <c r="F1111" s="26" t="str">
        <f t="array" ref="F1111">IF(D1111="","",IFERROR(INDEX(Dados_Evap!$C$2:$N$15,MATCH($B$9,Dados_Evap!$A$2:$A$15,0),C1111),0))</f>
        <v/>
      </c>
      <c r="G1111" s="26" t="str">
        <f t="shared" si="4"/>
        <v/>
      </c>
      <c r="H1111" s="26" t="str">
        <f t="shared" si="22"/>
        <v/>
      </c>
      <c r="I1111" s="26" t="str">
        <f t="array" ref="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/>
      </c>
      <c r="J1111" s="26" t="str">
        <f t="shared" si="5"/>
        <v/>
      </c>
      <c r="K1111" s="26" t="str">
        <f t="shared" si="6"/>
        <v/>
      </c>
      <c r="L1111" s="26" t="str">
        <f t="shared" si="7"/>
        <v/>
      </c>
      <c r="M1111" s="26" t="str">
        <f t="array" ref="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/>
      </c>
      <c r="N1111" s="26" t="str">
        <f t="shared" si="8"/>
        <v/>
      </c>
      <c r="O1111" s="26" t="str">
        <f t="shared" si="9"/>
        <v/>
      </c>
      <c r="P1111" s="26" t="str">
        <f t="shared" si="10"/>
        <v/>
      </c>
      <c r="Q1111" s="26" t="str">
        <f t="shared" si="11"/>
        <v/>
      </c>
      <c r="R1111" s="26" t="str">
        <f t="shared" si="12"/>
        <v/>
      </c>
      <c r="S1111" s="26" t="str">
        <f t="shared" si="13"/>
        <v/>
      </c>
      <c r="T1111" s="26" t="str">
        <f t="shared" si="14"/>
        <v/>
      </c>
      <c r="U1111" s="26" t="str">
        <f t="shared" si="15"/>
        <v/>
      </c>
      <c r="V1111" s="26" t="str">
        <f t="shared" si="16"/>
        <v/>
      </c>
      <c r="W1111" s="26" t="str">
        <f t="shared" si="17"/>
        <v/>
      </c>
      <c r="X1111" s="26" t="str">
        <f t="shared" si="18"/>
        <v/>
      </c>
      <c r="Y1111" s="26" t="str">
        <f t="shared" si="19"/>
        <v/>
      </c>
      <c r="Z1111" s="31" t="str">
        <f t="shared" si="20"/>
        <v/>
      </c>
      <c r="AA1111" s="31" t="str">
        <f>IF(D1111="","",IF(H1111&lt;=$B$16,1,IF(H1111&gt;=$B$17,$B$21,MATCH(H1111,Aux_CAV!$A$2:$A$121,1))))</f>
        <v/>
      </c>
      <c r="AB1111" s="31" t="str">
        <f>IF(D1111="","",IF(L1111&lt;=$B$16,1,IF(L1111&gt;=$B$17,$B$21,MATCH(L1111,Aux_CAV!$A$2:$A$121,1))))</f>
        <v/>
      </c>
      <c r="AC1111" s="3" t="str">
        <f t="shared" si="21"/>
        <v/>
      </c>
    </row>
    <row r="1112" ht="12.75" customHeight="1">
      <c r="A1112" s="25" t="str">
        <f t="shared" si="1"/>
        <v/>
      </c>
      <c r="B1112" s="29" t="str">
        <f t="array" ref="B1112">IF(D1112="","",IFERROR(VALUE(INDEX(Vazoes_COLAR!$A$2:$A$200,INT((ROW()-24)/12)+1)),""))</f>
        <v/>
      </c>
      <c r="C1112" s="29" t="str">
        <f t="shared" si="2"/>
        <v/>
      </c>
      <c r="D1112" s="26" t="str">
        <f t="array" ref="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12" s="26" t="str">
        <f t="shared" si="3"/>
        <v/>
      </c>
      <c r="F1112" s="26" t="str">
        <f t="array" ref="F1112">IF(D1112="","",IFERROR(INDEX(Dados_Evap!$C$2:$N$15,MATCH($B$9,Dados_Evap!$A$2:$A$15,0),C1112),0))</f>
        <v/>
      </c>
      <c r="G1112" s="26" t="str">
        <f t="shared" si="4"/>
        <v/>
      </c>
      <c r="H1112" s="26" t="str">
        <f t="shared" si="22"/>
        <v/>
      </c>
      <c r="I1112" s="26" t="str">
        <f t="array" ref="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/>
      </c>
      <c r="J1112" s="26" t="str">
        <f t="shared" si="5"/>
        <v/>
      </c>
      <c r="K1112" s="26" t="str">
        <f t="shared" si="6"/>
        <v/>
      </c>
      <c r="L1112" s="26" t="str">
        <f t="shared" si="7"/>
        <v/>
      </c>
      <c r="M1112" s="26" t="str">
        <f t="array" ref="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/>
      </c>
      <c r="N1112" s="26" t="str">
        <f t="shared" si="8"/>
        <v/>
      </c>
      <c r="O1112" s="26" t="str">
        <f t="shared" si="9"/>
        <v/>
      </c>
      <c r="P1112" s="26" t="str">
        <f t="shared" si="10"/>
        <v/>
      </c>
      <c r="Q1112" s="26" t="str">
        <f t="shared" si="11"/>
        <v/>
      </c>
      <c r="R1112" s="26" t="str">
        <f t="shared" si="12"/>
        <v/>
      </c>
      <c r="S1112" s="26" t="str">
        <f t="shared" si="13"/>
        <v/>
      </c>
      <c r="T1112" s="26" t="str">
        <f t="shared" si="14"/>
        <v/>
      </c>
      <c r="U1112" s="26" t="str">
        <f t="shared" si="15"/>
        <v/>
      </c>
      <c r="V1112" s="26" t="str">
        <f t="shared" si="16"/>
        <v/>
      </c>
      <c r="W1112" s="26" t="str">
        <f t="shared" si="17"/>
        <v/>
      </c>
      <c r="X1112" s="26" t="str">
        <f t="shared" si="18"/>
        <v/>
      </c>
      <c r="Y1112" s="26" t="str">
        <f t="shared" si="19"/>
        <v/>
      </c>
      <c r="Z1112" s="31" t="str">
        <f t="shared" si="20"/>
        <v/>
      </c>
      <c r="AA1112" s="31" t="str">
        <f>IF(D1112="","",IF(H1112&lt;=$B$16,1,IF(H1112&gt;=$B$17,$B$21,MATCH(H1112,Aux_CAV!$A$2:$A$121,1))))</f>
        <v/>
      </c>
      <c r="AB1112" s="31" t="str">
        <f>IF(D1112="","",IF(L1112&lt;=$B$16,1,IF(L1112&gt;=$B$17,$B$21,MATCH(L1112,Aux_CAV!$A$2:$A$121,1))))</f>
        <v/>
      </c>
      <c r="AC1112" s="3" t="str">
        <f t="shared" si="21"/>
        <v/>
      </c>
    </row>
    <row r="1113" ht="12.75" customHeight="1">
      <c r="A1113" s="25" t="str">
        <f t="shared" si="1"/>
        <v/>
      </c>
      <c r="B1113" s="29" t="str">
        <f t="array" ref="B1113">IF(D1113="","",IFERROR(VALUE(INDEX(Vazoes_COLAR!$A$2:$A$200,INT((ROW()-24)/12)+1)),""))</f>
        <v/>
      </c>
      <c r="C1113" s="29" t="str">
        <f t="shared" si="2"/>
        <v/>
      </c>
      <c r="D1113" s="26" t="str">
        <f t="array" ref="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13" s="26" t="str">
        <f t="shared" si="3"/>
        <v/>
      </c>
      <c r="F1113" s="26" t="str">
        <f t="array" ref="F1113">IF(D1113="","",IFERROR(INDEX(Dados_Evap!$C$2:$N$15,MATCH($B$9,Dados_Evap!$A$2:$A$15,0),C1113),0))</f>
        <v/>
      </c>
      <c r="G1113" s="26" t="str">
        <f t="shared" si="4"/>
        <v/>
      </c>
      <c r="H1113" s="26" t="str">
        <f t="shared" si="22"/>
        <v/>
      </c>
      <c r="I1113" s="26" t="str">
        <f t="array" ref="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/>
      </c>
      <c r="J1113" s="26" t="str">
        <f t="shared" si="5"/>
        <v/>
      </c>
      <c r="K1113" s="26" t="str">
        <f t="shared" si="6"/>
        <v/>
      </c>
      <c r="L1113" s="26" t="str">
        <f t="shared" si="7"/>
        <v/>
      </c>
      <c r="M1113" s="26" t="str">
        <f t="array" ref="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/>
      </c>
      <c r="N1113" s="26" t="str">
        <f t="shared" si="8"/>
        <v/>
      </c>
      <c r="O1113" s="26" t="str">
        <f t="shared" si="9"/>
        <v/>
      </c>
      <c r="P1113" s="26" t="str">
        <f t="shared" si="10"/>
        <v/>
      </c>
      <c r="Q1113" s="26" t="str">
        <f t="shared" si="11"/>
        <v/>
      </c>
      <c r="R1113" s="26" t="str">
        <f t="shared" si="12"/>
        <v/>
      </c>
      <c r="S1113" s="26" t="str">
        <f t="shared" si="13"/>
        <v/>
      </c>
      <c r="T1113" s="26" t="str">
        <f t="shared" si="14"/>
        <v/>
      </c>
      <c r="U1113" s="26" t="str">
        <f t="shared" si="15"/>
        <v/>
      </c>
      <c r="V1113" s="26" t="str">
        <f t="shared" si="16"/>
        <v/>
      </c>
      <c r="W1113" s="26" t="str">
        <f t="shared" si="17"/>
        <v/>
      </c>
      <c r="X1113" s="26" t="str">
        <f t="shared" si="18"/>
        <v/>
      </c>
      <c r="Y1113" s="26" t="str">
        <f t="shared" si="19"/>
        <v/>
      </c>
      <c r="Z1113" s="31" t="str">
        <f t="shared" si="20"/>
        <v/>
      </c>
      <c r="AA1113" s="31" t="str">
        <f>IF(D1113="","",IF(H1113&lt;=$B$16,1,IF(H1113&gt;=$B$17,$B$21,MATCH(H1113,Aux_CAV!$A$2:$A$121,1))))</f>
        <v/>
      </c>
      <c r="AB1113" s="31" t="str">
        <f>IF(D1113="","",IF(L1113&lt;=$B$16,1,IF(L1113&gt;=$B$17,$B$21,MATCH(L1113,Aux_CAV!$A$2:$A$121,1))))</f>
        <v/>
      </c>
      <c r="AC1113" s="3" t="str">
        <f t="shared" si="21"/>
        <v/>
      </c>
    </row>
    <row r="1114" ht="12.75" customHeight="1">
      <c r="A1114" s="25" t="str">
        <f t="shared" si="1"/>
        <v/>
      </c>
      <c r="B1114" s="29" t="str">
        <f t="array" ref="B1114">IF(D1114="","",IFERROR(VALUE(INDEX(Vazoes_COLAR!$A$2:$A$200,INT((ROW()-24)/12)+1)),""))</f>
        <v/>
      </c>
      <c r="C1114" s="29" t="str">
        <f t="shared" si="2"/>
        <v/>
      </c>
      <c r="D1114" s="26" t="str">
        <f t="array" ref="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14" s="26" t="str">
        <f t="shared" si="3"/>
        <v/>
      </c>
      <c r="F1114" s="26" t="str">
        <f t="array" ref="F1114">IF(D1114="","",IFERROR(INDEX(Dados_Evap!$C$2:$N$15,MATCH($B$9,Dados_Evap!$A$2:$A$15,0),C1114),0))</f>
        <v/>
      </c>
      <c r="G1114" s="26" t="str">
        <f t="shared" si="4"/>
        <v/>
      </c>
      <c r="H1114" s="26" t="str">
        <f t="shared" si="22"/>
        <v/>
      </c>
      <c r="I1114" s="26" t="str">
        <f t="array" ref="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/>
      </c>
      <c r="J1114" s="26" t="str">
        <f t="shared" si="5"/>
        <v/>
      </c>
      <c r="K1114" s="26" t="str">
        <f t="shared" si="6"/>
        <v/>
      </c>
      <c r="L1114" s="26" t="str">
        <f t="shared" si="7"/>
        <v/>
      </c>
      <c r="M1114" s="26" t="str">
        <f t="array" ref="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/>
      </c>
      <c r="N1114" s="26" t="str">
        <f t="shared" si="8"/>
        <v/>
      </c>
      <c r="O1114" s="26" t="str">
        <f t="shared" si="9"/>
        <v/>
      </c>
      <c r="P1114" s="26" t="str">
        <f t="shared" si="10"/>
        <v/>
      </c>
      <c r="Q1114" s="26" t="str">
        <f t="shared" si="11"/>
        <v/>
      </c>
      <c r="R1114" s="26" t="str">
        <f t="shared" si="12"/>
        <v/>
      </c>
      <c r="S1114" s="26" t="str">
        <f t="shared" si="13"/>
        <v/>
      </c>
      <c r="T1114" s="26" t="str">
        <f t="shared" si="14"/>
        <v/>
      </c>
      <c r="U1114" s="26" t="str">
        <f t="shared" si="15"/>
        <v/>
      </c>
      <c r="V1114" s="26" t="str">
        <f t="shared" si="16"/>
        <v/>
      </c>
      <c r="W1114" s="26" t="str">
        <f t="shared" si="17"/>
        <v/>
      </c>
      <c r="X1114" s="26" t="str">
        <f t="shared" si="18"/>
        <v/>
      </c>
      <c r="Y1114" s="26" t="str">
        <f t="shared" si="19"/>
        <v/>
      </c>
      <c r="Z1114" s="31" t="str">
        <f t="shared" si="20"/>
        <v/>
      </c>
      <c r="AA1114" s="31" t="str">
        <f>IF(D1114="","",IF(H1114&lt;=$B$16,1,IF(H1114&gt;=$B$17,$B$21,MATCH(H1114,Aux_CAV!$A$2:$A$121,1))))</f>
        <v/>
      </c>
      <c r="AB1114" s="31" t="str">
        <f>IF(D1114="","",IF(L1114&lt;=$B$16,1,IF(L1114&gt;=$B$17,$B$21,MATCH(L1114,Aux_CAV!$A$2:$A$121,1))))</f>
        <v/>
      </c>
      <c r="AC1114" s="3" t="str">
        <f t="shared" si="21"/>
        <v/>
      </c>
    </row>
    <row r="1115" ht="12.75" customHeight="1">
      <c r="A1115" s="25" t="str">
        <f t="shared" si="1"/>
        <v/>
      </c>
      <c r="B1115" s="29" t="str">
        <f t="array" ref="B1115">IF(D1115="","",IFERROR(VALUE(INDEX(Vazoes_COLAR!$A$2:$A$200,INT((ROW()-24)/12)+1)),""))</f>
        <v/>
      </c>
      <c r="C1115" s="29" t="str">
        <f t="shared" si="2"/>
        <v/>
      </c>
      <c r="D1115" s="26" t="str">
        <f t="array" ref="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15" s="26" t="str">
        <f t="shared" si="3"/>
        <v/>
      </c>
      <c r="F1115" s="26" t="str">
        <f t="array" ref="F1115">IF(D1115="","",IFERROR(INDEX(Dados_Evap!$C$2:$N$15,MATCH($B$9,Dados_Evap!$A$2:$A$15,0),C1115),0))</f>
        <v/>
      </c>
      <c r="G1115" s="26" t="str">
        <f t="shared" si="4"/>
        <v/>
      </c>
      <c r="H1115" s="26" t="str">
        <f t="shared" si="22"/>
        <v/>
      </c>
      <c r="I1115" s="26" t="str">
        <f t="array" ref="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/>
      </c>
      <c r="J1115" s="26" t="str">
        <f t="shared" si="5"/>
        <v/>
      </c>
      <c r="K1115" s="26" t="str">
        <f t="shared" si="6"/>
        <v/>
      </c>
      <c r="L1115" s="26" t="str">
        <f t="shared" si="7"/>
        <v/>
      </c>
      <c r="M1115" s="26" t="str">
        <f t="array" ref="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/>
      </c>
      <c r="N1115" s="26" t="str">
        <f t="shared" si="8"/>
        <v/>
      </c>
      <c r="O1115" s="26" t="str">
        <f t="shared" si="9"/>
        <v/>
      </c>
      <c r="P1115" s="26" t="str">
        <f t="shared" si="10"/>
        <v/>
      </c>
      <c r="Q1115" s="26" t="str">
        <f t="shared" si="11"/>
        <v/>
      </c>
      <c r="R1115" s="26" t="str">
        <f t="shared" si="12"/>
        <v/>
      </c>
      <c r="S1115" s="26" t="str">
        <f t="shared" si="13"/>
        <v/>
      </c>
      <c r="T1115" s="26" t="str">
        <f t="shared" si="14"/>
        <v/>
      </c>
      <c r="U1115" s="26" t="str">
        <f t="shared" si="15"/>
        <v/>
      </c>
      <c r="V1115" s="26" t="str">
        <f t="shared" si="16"/>
        <v/>
      </c>
      <c r="W1115" s="26" t="str">
        <f t="shared" si="17"/>
        <v/>
      </c>
      <c r="X1115" s="26" t="str">
        <f t="shared" si="18"/>
        <v/>
      </c>
      <c r="Y1115" s="26" t="str">
        <f t="shared" si="19"/>
        <v/>
      </c>
      <c r="Z1115" s="31" t="str">
        <f t="shared" si="20"/>
        <v/>
      </c>
      <c r="AA1115" s="31" t="str">
        <f>IF(D1115="","",IF(H1115&lt;=$B$16,1,IF(H1115&gt;=$B$17,$B$21,MATCH(H1115,Aux_CAV!$A$2:$A$121,1))))</f>
        <v/>
      </c>
      <c r="AB1115" s="31" t="str">
        <f>IF(D1115="","",IF(L1115&lt;=$B$16,1,IF(L1115&gt;=$B$17,$B$21,MATCH(L1115,Aux_CAV!$A$2:$A$121,1))))</f>
        <v/>
      </c>
      <c r="AC1115" s="3" t="str">
        <f t="shared" si="21"/>
        <v/>
      </c>
    </row>
    <row r="1116" ht="12.75" customHeight="1">
      <c r="A1116" s="25" t="str">
        <f t="shared" si="1"/>
        <v/>
      </c>
      <c r="B1116" s="29" t="str">
        <f t="array" ref="B1116">IF(D1116="","",IFERROR(VALUE(INDEX(Vazoes_COLAR!$A$2:$A$200,INT((ROW()-24)/12)+1)),""))</f>
        <v/>
      </c>
      <c r="C1116" s="29" t="str">
        <f t="shared" si="2"/>
        <v/>
      </c>
      <c r="D1116" s="26" t="str">
        <f t="array" ref="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16" s="26" t="str">
        <f t="shared" si="3"/>
        <v/>
      </c>
      <c r="F1116" s="26" t="str">
        <f t="array" ref="F1116">IF(D1116="","",IFERROR(INDEX(Dados_Evap!$C$2:$N$15,MATCH($B$9,Dados_Evap!$A$2:$A$15,0),C1116),0))</f>
        <v/>
      </c>
      <c r="G1116" s="26" t="str">
        <f t="shared" si="4"/>
        <v/>
      </c>
      <c r="H1116" s="26" t="str">
        <f t="shared" si="22"/>
        <v/>
      </c>
      <c r="I1116" s="26" t="str">
        <f t="array" ref="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/>
      </c>
      <c r="J1116" s="26" t="str">
        <f t="shared" si="5"/>
        <v/>
      </c>
      <c r="K1116" s="26" t="str">
        <f t="shared" si="6"/>
        <v/>
      </c>
      <c r="L1116" s="26" t="str">
        <f t="shared" si="7"/>
        <v/>
      </c>
      <c r="M1116" s="26" t="str">
        <f t="array" ref="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/>
      </c>
      <c r="N1116" s="26" t="str">
        <f t="shared" si="8"/>
        <v/>
      </c>
      <c r="O1116" s="26" t="str">
        <f t="shared" si="9"/>
        <v/>
      </c>
      <c r="P1116" s="26" t="str">
        <f t="shared" si="10"/>
        <v/>
      </c>
      <c r="Q1116" s="26" t="str">
        <f t="shared" si="11"/>
        <v/>
      </c>
      <c r="R1116" s="26" t="str">
        <f t="shared" si="12"/>
        <v/>
      </c>
      <c r="S1116" s="26" t="str">
        <f t="shared" si="13"/>
        <v/>
      </c>
      <c r="T1116" s="26" t="str">
        <f t="shared" si="14"/>
        <v/>
      </c>
      <c r="U1116" s="26" t="str">
        <f t="shared" si="15"/>
        <v/>
      </c>
      <c r="V1116" s="26" t="str">
        <f t="shared" si="16"/>
        <v/>
      </c>
      <c r="W1116" s="26" t="str">
        <f t="shared" si="17"/>
        <v/>
      </c>
      <c r="X1116" s="26" t="str">
        <f t="shared" si="18"/>
        <v/>
      </c>
      <c r="Y1116" s="26" t="str">
        <f t="shared" si="19"/>
        <v/>
      </c>
      <c r="Z1116" s="31" t="str">
        <f t="shared" si="20"/>
        <v/>
      </c>
      <c r="AA1116" s="31" t="str">
        <f>IF(D1116="","",IF(H1116&lt;=$B$16,1,IF(H1116&gt;=$B$17,$B$21,MATCH(H1116,Aux_CAV!$A$2:$A$121,1))))</f>
        <v/>
      </c>
      <c r="AB1116" s="31" t="str">
        <f>IF(D1116="","",IF(L1116&lt;=$B$16,1,IF(L1116&gt;=$B$17,$B$21,MATCH(L1116,Aux_CAV!$A$2:$A$121,1))))</f>
        <v/>
      </c>
      <c r="AC1116" s="3" t="str">
        <f t="shared" si="21"/>
        <v/>
      </c>
    </row>
    <row r="1117" ht="12.75" customHeight="1">
      <c r="A1117" s="25" t="str">
        <f t="shared" si="1"/>
        <v/>
      </c>
      <c r="B1117" s="29" t="str">
        <f t="array" ref="B1117">IF(D1117="","",IFERROR(VALUE(INDEX(Vazoes_COLAR!$A$2:$A$200,INT((ROW()-24)/12)+1)),""))</f>
        <v/>
      </c>
      <c r="C1117" s="29" t="str">
        <f t="shared" si="2"/>
        <v/>
      </c>
      <c r="D1117" s="26" t="str">
        <f t="array" ref="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17" s="26" t="str">
        <f t="shared" si="3"/>
        <v/>
      </c>
      <c r="F1117" s="26" t="str">
        <f t="array" ref="F1117">IF(D1117="","",IFERROR(INDEX(Dados_Evap!$C$2:$N$15,MATCH($B$9,Dados_Evap!$A$2:$A$15,0),C1117),0))</f>
        <v/>
      </c>
      <c r="G1117" s="26" t="str">
        <f t="shared" si="4"/>
        <v/>
      </c>
      <c r="H1117" s="26" t="str">
        <f t="shared" si="22"/>
        <v/>
      </c>
      <c r="I1117" s="26" t="str">
        <f t="array" ref="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/>
      </c>
      <c r="J1117" s="26" t="str">
        <f t="shared" si="5"/>
        <v/>
      </c>
      <c r="K1117" s="26" t="str">
        <f t="shared" si="6"/>
        <v/>
      </c>
      <c r="L1117" s="26" t="str">
        <f t="shared" si="7"/>
        <v/>
      </c>
      <c r="M1117" s="26" t="str">
        <f t="array" ref="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/>
      </c>
      <c r="N1117" s="26" t="str">
        <f t="shared" si="8"/>
        <v/>
      </c>
      <c r="O1117" s="26" t="str">
        <f t="shared" si="9"/>
        <v/>
      </c>
      <c r="P1117" s="26" t="str">
        <f t="shared" si="10"/>
        <v/>
      </c>
      <c r="Q1117" s="26" t="str">
        <f t="shared" si="11"/>
        <v/>
      </c>
      <c r="R1117" s="26" t="str">
        <f t="shared" si="12"/>
        <v/>
      </c>
      <c r="S1117" s="26" t="str">
        <f t="shared" si="13"/>
        <v/>
      </c>
      <c r="T1117" s="26" t="str">
        <f t="shared" si="14"/>
        <v/>
      </c>
      <c r="U1117" s="26" t="str">
        <f t="shared" si="15"/>
        <v/>
      </c>
      <c r="V1117" s="26" t="str">
        <f t="shared" si="16"/>
        <v/>
      </c>
      <c r="W1117" s="26" t="str">
        <f t="shared" si="17"/>
        <v/>
      </c>
      <c r="X1117" s="26" t="str">
        <f t="shared" si="18"/>
        <v/>
      </c>
      <c r="Y1117" s="26" t="str">
        <f t="shared" si="19"/>
        <v/>
      </c>
      <c r="Z1117" s="31" t="str">
        <f t="shared" si="20"/>
        <v/>
      </c>
      <c r="AA1117" s="31" t="str">
        <f>IF(D1117="","",IF(H1117&lt;=$B$16,1,IF(H1117&gt;=$B$17,$B$21,MATCH(H1117,Aux_CAV!$A$2:$A$121,1))))</f>
        <v/>
      </c>
      <c r="AB1117" s="31" t="str">
        <f>IF(D1117="","",IF(L1117&lt;=$B$16,1,IF(L1117&gt;=$B$17,$B$21,MATCH(L1117,Aux_CAV!$A$2:$A$121,1))))</f>
        <v/>
      </c>
      <c r="AC1117" s="3" t="str">
        <f t="shared" si="21"/>
        <v/>
      </c>
    </row>
    <row r="1118" ht="12.75" customHeight="1">
      <c r="A1118" s="25" t="str">
        <f t="shared" si="1"/>
        <v/>
      </c>
      <c r="B1118" s="29" t="str">
        <f t="array" ref="B1118">IF(D1118="","",IFERROR(VALUE(INDEX(Vazoes_COLAR!$A$2:$A$200,INT((ROW()-24)/12)+1)),""))</f>
        <v/>
      </c>
      <c r="C1118" s="29" t="str">
        <f t="shared" si="2"/>
        <v/>
      </c>
      <c r="D1118" s="26" t="str">
        <f t="array" ref="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18" s="26" t="str">
        <f t="shared" si="3"/>
        <v/>
      </c>
      <c r="F1118" s="26" t="str">
        <f t="array" ref="F1118">IF(D1118="","",IFERROR(INDEX(Dados_Evap!$C$2:$N$15,MATCH($B$9,Dados_Evap!$A$2:$A$15,0),C1118),0))</f>
        <v/>
      </c>
      <c r="G1118" s="26" t="str">
        <f t="shared" si="4"/>
        <v/>
      </c>
      <c r="H1118" s="26" t="str">
        <f t="shared" si="22"/>
        <v/>
      </c>
      <c r="I1118" s="26" t="str">
        <f t="array" ref="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/>
      </c>
      <c r="J1118" s="26" t="str">
        <f t="shared" si="5"/>
        <v/>
      </c>
      <c r="K1118" s="26" t="str">
        <f t="shared" si="6"/>
        <v/>
      </c>
      <c r="L1118" s="26" t="str">
        <f t="shared" si="7"/>
        <v/>
      </c>
      <c r="M1118" s="26" t="str">
        <f t="array" ref="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/>
      </c>
      <c r="N1118" s="26" t="str">
        <f t="shared" si="8"/>
        <v/>
      </c>
      <c r="O1118" s="26" t="str">
        <f t="shared" si="9"/>
        <v/>
      </c>
      <c r="P1118" s="26" t="str">
        <f t="shared" si="10"/>
        <v/>
      </c>
      <c r="Q1118" s="26" t="str">
        <f t="shared" si="11"/>
        <v/>
      </c>
      <c r="R1118" s="26" t="str">
        <f t="shared" si="12"/>
        <v/>
      </c>
      <c r="S1118" s="26" t="str">
        <f t="shared" si="13"/>
        <v/>
      </c>
      <c r="T1118" s="26" t="str">
        <f t="shared" si="14"/>
        <v/>
      </c>
      <c r="U1118" s="26" t="str">
        <f t="shared" si="15"/>
        <v/>
      </c>
      <c r="V1118" s="26" t="str">
        <f t="shared" si="16"/>
        <v/>
      </c>
      <c r="W1118" s="26" t="str">
        <f t="shared" si="17"/>
        <v/>
      </c>
      <c r="X1118" s="26" t="str">
        <f t="shared" si="18"/>
        <v/>
      </c>
      <c r="Y1118" s="26" t="str">
        <f t="shared" si="19"/>
        <v/>
      </c>
      <c r="Z1118" s="31" t="str">
        <f t="shared" si="20"/>
        <v/>
      </c>
      <c r="AA1118" s="31" t="str">
        <f>IF(D1118="","",IF(H1118&lt;=$B$16,1,IF(H1118&gt;=$B$17,$B$21,MATCH(H1118,Aux_CAV!$A$2:$A$121,1))))</f>
        <v/>
      </c>
      <c r="AB1118" s="31" t="str">
        <f>IF(D1118="","",IF(L1118&lt;=$B$16,1,IF(L1118&gt;=$B$17,$B$21,MATCH(L1118,Aux_CAV!$A$2:$A$121,1))))</f>
        <v/>
      </c>
      <c r="AC1118" s="3" t="str">
        <f t="shared" si="21"/>
        <v/>
      </c>
    </row>
    <row r="1119" ht="12.75" customHeight="1">
      <c r="A1119" s="25" t="str">
        <f t="shared" si="1"/>
        <v/>
      </c>
      <c r="B1119" s="29" t="str">
        <f t="array" ref="B1119">IF(D1119="","",IFERROR(VALUE(INDEX(Vazoes_COLAR!$A$2:$A$200,INT((ROW()-24)/12)+1)),""))</f>
        <v/>
      </c>
      <c r="C1119" s="29" t="str">
        <f t="shared" si="2"/>
        <v/>
      </c>
      <c r="D1119" s="26" t="str">
        <f t="array" ref="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19" s="26" t="str">
        <f t="shared" si="3"/>
        <v/>
      </c>
      <c r="F1119" s="26" t="str">
        <f t="array" ref="F1119">IF(D1119="","",IFERROR(INDEX(Dados_Evap!$C$2:$N$15,MATCH($B$9,Dados_Evap!$A$2:$A$15,0),C1119),0))</f>
        <v/>
      </c>
      <c r="G1119" s="26" t="str">
        <f t="shared" si="4"/>
        <v/>
      </c>
      <c r="H1119" s="26" t="str">
        <f t="shared" si="22"/>
        <v/>
      </c>
      <c r="I1119" s="26" t="str">
        <f t="array" ref="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/>
      </c>
      <c r="J1119" s="26" t="str">
        <f t="shared" si="5"/>
        <v/>
      </c>
      <c r="K1119" s="26" t="str">
        <f t="shared" si="6"/>
        <v/>
      </c>
      <c r="L1119" s="26" t="str">
        <f t="shared" si="7"/>
        <v/>
      </c>
      <c r="M1119" s="26" t="str">
        <f t="array" ref="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/>
      </c>
      <c r="N1119" s="26" t="str">
        <f t="shared" si="8"/>
        <v/>
      </c>
      <c r="O1119" s="26" t="str">
        <f t="shared" si="9"/>
        <v/>
      </c>
      <c r="P1119" s="26" t="str">
        <f t="shared" si="10"/>
        <v/>
      </c>
      <c r="Q1119" s="26" t="str">
        <f t="shared" si="11"/>
        <v/>
      </c>
      <c r="R1119" s="26" t="str">
        <f t="shared" si="12"/>
        <v/>
      </c>
      <c r="S1119" s="26" t="str">
        <f t="shared" si="13"/>
        <v/>
      </c>
      <c r="T1119" s="26" t="str">
        <f t="shared" si="14"/>
        <v/>
      </c>
      <c r="U1119" s="26" t="str">
        <f t="shared" si="15"/>
        <v/>
      </c>
      <c r="V1119" s="26" t="str">
        <f t="shared" si="16"/>
        <v/>
      </c>
      <c r="W1119" s="26" t="str">
        <f t="shared" si="17"/>
        <v/>
      </c>
      <c r="X1119" s="26" t="str">
        <f t="shared" si="18"/>
        <v/>
      </c>
      <c r="Y1119" s="26" t="str">
        <f t="shared" si="19"/>
        <v/>
      </c>
      <c r="Z1119" s="31" t="str">
        <f t="shared" si="20"/>
        <v/>
      </c>
      <c r="AA1119" s="31" t="str">
        <f>IF(D1119="","",IF(H1119&lt;=$B$16,1,IF(H1119&gt;=$B$17,$B$21,MATCH(H1119,Aux_CAV!$A$2:$A$121,1))))</f>
        <v/>
      </c>
      <c r="AB1119" s="31" t="str">
        <f>IF(D1119="","",IF(L1119&lt;=$B$16,1,IF(L1119&gt;=$B$17,$B$21,MATCH(L1119,Aux_CAV!$A$2:$A$121,1))))</f>
        <v/>
      </c>
      <c r="AC1119" s="3" t="str">
        <f t="shared" si="21"/>
        <v/>
      </c>
    </row>
    <row r="1120" ht="12.75" customHeight="1">
      <c r="A1120" s="25" t="str">
        <f t="shared" si="1"/>
        <v/>
      </c>
      <c r="B1120" s="29" t="str">
        <f t="array" ref="B1120">IF(D1120="","",IFERROR(VALUE(INDEX(Vazoes_COLAR!$A$2:$A$200,INT((ROW()-24)/12)+1)),""))</f>
        <v/>
      </c>
      <c r="C1120" s="29" t="str">
        <f t="shared" si="2"/>
        <v/>
      </c>
      <c r="D1120" s="26" t="str">
        <f t="array" ref="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20" s="26" t="str">
        <f t="shared" si="3"/>
        <v/>
      </c>
      <c r="F1120" s="26" t="str">
        <f t="array" ref="F1120">IF(D1120="","",IFERROR(INDEX(Dados_Evap!$C$2:$N$15,MATCH($B$9,Dados_Evap!$A$2:$A$15,0),C1120),0))</f>
        <v/>
      </c>
      <c r="G1120" s="26" t="str">
        <f t="shared" si="4"/>
        <v/>
      </c>
      <c r="H1120" s="26" t="str">
        <f t="shared" si="22"/>
        <v/>
      </c>
      <c r="I1120" s="26" t="str">
        <f t="array" ref="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/>
      </c>
      <c r="J1120" s="26" t="str">
        <f t="shared" si="5"/>
        <v/>
      </c>
      <c r="K1120" s="26" t="str">
        <f t="shared" si="6"/>
        <v/>
      </c>
      <c r="L1120" s="26" t="str">
        <f t="shared" si="7"/>
        <v/>
      </c>
      <c r="M1120" s="26" t="str">
        <f t="array" ref="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/>
      </c>
      <c r="N1120" s="26" t="str">
        <f t="shared" si="8"/>
        <v/>
      </c>
      <c r="O1120" s="26" t="str">
        <f t="shared" si="9"/>
        <v/>
      </c>
      <c r="P1120" s="26" t="str">
        <f t="shared" si="10"/>
        <v/>
      </c>
      <c r="Q1120" s="26" t="str">
        <f t="shared" si="11"/>
        <v/>
      </c>
      <c r="R1120" s="26" t="str">
        <f t="shared" si="12"/>
        <v/>
      </c>
      <c r="S1120" s="26" t="str">
        <f t="shared" si="13"/>
        <v/>
      </c>
      <c r="T1120" s="26" t="str">
        <f t="shared" si="14"/>
        <v/>
      </c>
      <c r="U1120" s="26" t="str">
        <f t="shared" si="15"/>
        <v/>
      </c>
      <c r="V1120" s="26" t="str">
        <f t="shared" si="16"/>
        <v/>
      </c>
      <c r="W1120" s="26" t="str">
        <f t="shared" si="17"/>
        <v/>
      </c>
      <c r="X1120" s="26" t="str">
        <f t="shared" si="18"/>
        <v/>
      </c>
      <c r="Y1120" s="26" t="str">
        <f t="shared" si="19"/>
        <v/>
      </c>
      <c r="Z1120" s="31" t="str">
        <f t="shared" si="20"/>
        <v/>
      </c>
      <c r="AA1120" s="31" t="str">
        <f>IF(D1120="","",IF(H1120&lt;=$B$16,1,IF(H1120&gt;=$B$17,$B$21,MATCH(H1120,Aux_CAV!$A$2:$A$121,1))))</f>
        <v/>
      </c>
      <c r="AB1120" s="31" t="str">
        <f>IF(D1120="","",IF(L1120&lt;=$B$16,1,IF(L1120&gt;=$B$17,$B$21,MATCH(L1120,Aux_CAV!$A$2:$A$121,1))))</f>
        <v/>
      </c>
      <c r="AC1120" s="3" t="str">
        <f t="shared" si="21"/>
        <v/>
      </c>
    </row>
    <row r="1121" ht="12.75" customHeight="1">
      <c r="A1121" s="25" t="str">
        <f t="shared" si="1"/>
        <v/>
      </c>
      <c r="B1121" s="29" t="str">
        <f t="array" ref="B1121">IF(D1121="","",IFERROR(VALUE(INDEX(Vazoes_COLAR!$A$2:$A$200,INT((ROW()-24)/12)+1)),""))</f>
        <v/>
      </c>
      <c r="C1121" s="29" t="str">
        <f t="shared" si="2"/>
        <v/>
      </c>
      <c r="D1121" s="26" t="str">
        <f t="array" ref="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21" s="26" t="str">
        <f t="shared" si="3"/>
        <v/>
      </c>
      <c r="F1121" s="26" t="str">
        <f t="array" ref="F1121">IF(D1121="","",IFERROR(INDEX(Dados_Evap!$C$2:$N$15,MATCH($B$9,Dados_Evap!$A$2:$A$15,0),C1121),0))</f>
        <v/>
      </c>
      <c r="G1121" s="26" t="str">
        <f t="shared" si="4"/>
        <v/>
      </c>
      <c r="H1121" s="26" t="str">
        <f t="shared" si="22"/>
        <v/>
      </c>
      <c r="I1121" s="26" t="str">
        <f t="array" ref="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/>
      </c>
      <c r="J1121" s="26" t="str">
        <f t="shared" si="5"/>
        <v/>
      </c>
      <c r="K1121" s="26" t="str">
        <f t="shared" si="6"/>
        <v/>
      </c>
      <c r="L1121" s="26" t="str">
        <f t="shared" si="7"/>
        <v/>
      </c>
      <c r="M1121" s="26" t="str">
        <f t="array" ref="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/>
      </c>
      <c r="N1121" s="26" t="str">
        <f t="shared" si="8"/>
        <v/>
      </c>
      <c r="O1121" s="26" t="str">
        <f t="shared" si="9"/>
        <v/>
      </c>
      <c r="P1121" s="26" t="str">
        <f t="shared" si="10"/>
        <v/>
      </c>
      <c r="Q1121" s="26" t="str">
        <f t="shared" si="11"/>
        <v/>
      </c>
      <c r="R1121" s="26" t="str">
        <f t="shared" si="12"/>
        <v/>
      </c>
      <c r="S1121" s="26" t="str">
        <f t="shared" si="13"/>
        <v/>
      </c>
      <c r="T1121" s="26" t="str">
        <f t="shared" si="14"/>
        <v/>
      </c>
      <c r="U1121" s="26" t="str">
        <f t="shared" si="15"/>
        <v/>
      </c>
      <c r="V1121" s="26" t="str">
        <f t="shared" si="16"/>
        <v/>
      </c>
      <c r="W1121" s="26" t="str">
        <f t="shared" si="17"/>
        <v/>
      </c>
      <c r="X1121" s="26" t="str">
        <f t="shared" si="18"/>
        <v/>
      </c>
      <c r="Y1121" s="26" t="str">
        <f t="shared" si="19"/>
        <v/>
      </c>
      <c r="Z1121" s="31" t="str">
        <f t="shared" si="20"/>
        <v/>
      </c>
      <c r="AA1121" s="31" t="str">
        <f>IF(D1121="","",IF(H1121&lt;=$B$16,1,IF(H1121&gt;=$B$17,$B$21,MATCH(H1121,Aux_CAV!$A$2:$A$121,1))))</f>
        <v/>
      </c>
      <c r="AB1121" s="31" t="str">
        <f>IF(D1121="","",IF(L1121&lt;=$B$16,1,IF(L1121&gt;=$B$17,$B$21,MATCH(L1121,Aux_CAV!$A$2:$A$121,1))))</f>
        <v/>
      </c>
      <c r="AC1121" s="3" t="str">
        <f t="shared" si="21"/>
        <v/>
      </c>
    </row>
    <row r="1122" ht="12.75" customHeight="1">
      <c r="A1122" s="25" t="str">
        <f t="shared" si="1"/>
        <v/>
      </c>
      <c r="B1122" s="29" t="str">
        <f t="array" ref="B1122">IF(D1122="","",IFERROR(VALUE(INDEX(Vazoes_COLAR!$A$2:$A$200,INT((ROW()-24)/12)+1)),""))</f>
        <v/>
      </c>
      <c r="C1122" s="29" t="str">
        <f t="shared" si="2"/>
        <v/>
      </c>
      <c r="D1122" s="26" t="str">
        <f t="array" ref="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22" s="26" t="str">
        <f t="shared" si="3"/>
        <v/>
      </c>
      <c r="F1122" s="26" t="str">
        <f t="array" ref="F1122">IF(D1122="","",IFERROR(INDEX(Dados_Evap!$C$2:$N$15,MATCH($B$9,Dados_Evap!$A$2:$A$15,0),C1122),0))</f>
        <v/>
      </c>
      <c r="G1122" s="26" t="str">
        <f t="shared" si="4"/>
        <v/>
      </c>
      <c r="H1122" s="26" t="str">
        <f t="shared" si="22"/>
        <v/>
      </c>
      <c r="I1122" s="26" t="str">
        <f t="array" ref="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/>
      </c>
      <c r="J1122" s="26" t="str">
        <f t="shared" si="5"/>
        <v/>
      </c>
      <c r="K1122" s="26" t="str">
        <f t="shared" si="6"/>
        <v/>
      </c>
      <c r="L1122" s="26" t="str">
        <f t="shared" si="7"/>
        <v/>
      </c>
      <c r="M1122" s="26" t="str">
        <f t="array" ref="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/>
      </c>
      <c r="N1122" s="26" t="str">
        <f t="shared" si="8"/>
        <v/>
      </c>
      <c r="O1122" s="26" t="str">
        <f t="shared" si="9"/>
        <v/>
      </c>
      <c r="P1122" s="26" t="str">
        <f t="shared" si="10"/>
        <v/>
      </c>
      <c r="Q1122" s="26" t="str">
        <f t="shared" si="11"/>
        <v/>
      </c>
      <c r="R1122" s="26" t="str">
        <f t="shared" si="12"/>
        <v/>
      </c>
      <c r="S1122" s="26" t="str">
        <f t="shared" si="13"/>
        <v/>
      </c>
      <c r="T1122" s="26" t="str">
        <f t="shared" si="14"/>
        <v/>
      </c>
      <c r="U1122" s="26" t="str">
        <f t="shared" si="15"/>
        <v/>
      </c>
      <c r="V1122" s="26" t="str">
        <f t="shared" si="16"/>
        <v/>
      </c>
      <c r="W1122" s="26" t="str">
        <f t="shared" si="17"/>
        <v/>
      </c>
      <c r="X1122" s="26" t="str">
        <f t="shared" si="18"/>
        <v/>
      </c>
      <c r="Y1122" s="26" t="str">
        <f t="shared" si="19"/>
        <v/>
      </c>
      <c r="Z1122" s="31" t="str">
        <f t="shared" si="20"/>
        <v/>
      </c>
      <c r="AA1122" s="31" t="str">
        <f>IF(D1122="","",IF(H1122&lt;=$B$16,1,IF(H1122&gt;=$B$17,$B$21,MATCH(H1122,Aux_CAV!$A$2:$A$121,1))))</f>
        <v/>
      </c>
      <c r="AB1122" s="31" t="str">
        <f>IF(D1122="","",IF(L1122&lt;=$B$16,1,IF(L1122&gt;=$B$17,$B$21,MATCH(L1122,Aux_CAV!$A$2:$A$121,1))))</f>
        <v/>
      </c>
      <c r="AC1122" s="3" t="str">
        <f t="shared" si="21"/>
        <v/>
      </c>
    </row>
    <row r="1123" ht="12.75" customHeight="1">
      <c r="A1123" s="25" t="str">
        <f t="shared" si="1"/>
        <v/>
      </c>
      <c r="B1123" s="29" t="str">
        <f t="array" ref="B1123">IF(D1123="","",IFERROR(VALUE(INDEX(Vazoes_COLAR!$A$2:$A$200,INT((ROW()-24)/12)+1)),""))</f>
        <v/>
      </c>
      <c r="C1123" s="29" t="str">
        <f t="shared" si="2"/>
        <v/>
      </c>
      <c r="D1123" s="26" t="str">
        <f t="array" ref="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23" s="26" t="str">
        <f t="shared" si="3"/>
        <v/>
      </c>
      <c r="F1123" s="26" t="str">
        <f t="array" ref="F1123">IF(D1123="","",IFERROR(INDEX(Dados_Evap!$C$2:$N$15,MATCH($B$9,Dados_Evap!$A$2:$A$15,0),C1123),0))</f>
        <v/>
      </c>
      <c r="G1123" s="26" t="str">
        <f t="shared" si="4"/>
        <v/>
      </c>
      <c r="H1123" s="26" t="str">
        <f t="shared" si="22"/>
        <v/>
      </c>
      <c r="I1123" s="26" t="str">
        <f t="array" ref="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/>
      </c>
      <c r="J1123" s="26" t="str">
        <f t="shared" si="5"/>
        <v/>
      </c>
      <c r="K1123" s="26" t="str">
        <f t="shared" si="6"/>
        <v/>
      </c>
      <c r="L1123" s="26" t="str">
        <f t="shared" si="7"/>
        <v/>
      </c>
      <c r="M1123" s="26" t="str">
        <f t="array" ref="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/>
      </c>
      <c r="N1123" s="26" t="str">
        <f t="shared" si="8"/>
        <v/>
      </c>
      <c r="O1123" s="26" t="str">
        <f t="shared" si="9"/>
        <v/>
      </c>
      <c r="P1123" s="26" t="str">
        <f t="shared" si="10"/>
        <v/>
      </c>
      <c r="Q1123" s="26" t="str">
        <f t="shared" si="11"/>
        <v/>
      </c>
      <c r="R1123" s="26" t="str">
        <f t="shared" si="12"/>
        <v/>
      </c>
      <c r="S1123" s="26" t="str">
        <f t="shared" si="13"/>
        <v/>
      </c>
      <c r="T1123" s="26" t="str">
        <f t="shared" si="14"/>
        <v/>
      </c>
      <c r="U1123" s="26" t="str">
        <f t="shared" si="15"/>
        <v/>
      </c>
      <c r="V1123" s="26" t="str">
        <f t="shared" si="16"/>
        <v/>
      </c>
      <c r="W1123" s="26" t="str">
        <f t="shared" si="17"/>
        <v/>
      </c>
      <c r="X1123" s="26" t="str">
        <f t="shared" si="18"/>
        <v/>
      </c>
      <c r="Y1123" s="26" t="str">
        <f t="shared" si="19"/>
        <v/>
      </c>
      <c r="Z1123" s="31" t="str">
        <f t="shared" si="20"/>
        <v/>
      </c>
      <c r="AA1123" s="31" t="str">
        <f>IF(D1123="","",IF(H1123&lt;=$B$16,1,IF(H1123&gt;=$B$17,$B$21,MATCH(H1123,Aux_CAV!$A$2:$A$121,1))))</f>
        <v/>
      </c>
      <c r="AB1123" s="31" t="str">
        <f>IF(D1123="","",IF(L1123&lt;=$B$16,1,IF(L1123&gt;=$B$17,$B$21,MATCH(L1123,Aux_CAV!$A$2:$A$121,1))))</f>
        <v/>
      </c>
      <c r="AC1123" s="3" t="str">
        <f t="shared" si="21"/>
        <v/>
      </c>
    </row>
    <row r="1124" ht="12.75" customHeight="1">
      <c r="A1124" s="25" t="str">
        <f t="shared" si="1"/>
        <v/>
      </c>
      <c r="B1124" s="29" t="str">
        <f t="array" ref="B1124">IF(D1124="","",IFERROR(VALUE(INDEX(Vazoes_COLAR!$A$2:$A$200,INT((ROW()-24)/12)+1)),""))</f>
        <v/>
      </c>
      <c r="C1124" s="29" t="str">
        <f t="shared" si="2"/>
        <v/>
      </c>
      <c r="D1124" s="26" t="str">
        <f t="array" ref="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24" s="26" t="str">
        <f t="shared" si="3"/>
        <v/>
      </c>
      <c r="F1124" s="26" t="str">
        <f t="array" ref="F1124">IF(D1124="","",IFERROR(INDEX(Dados_Evap!$C$2:$N$15,MATCH($B$9,Dados_Evap!$A$2:$A$15,0),C1124),0))</f>
        <v/>
      </c>
      <c r="G1124" s="26" t="str">
        <f t="shared" si="4"/>
        <v/>
      </c>
      <c r="H1124" s="26" t="str">
        <f t="shared" si="22"/>
        <v/>
      </c>
      <c r="I1124" s="26" t="str">
        <f t="array" ref="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/>
      </c>
      <c r="J1124" s="26" t="str">
        <f t="shared" si="5"/>
        <v/>
      </c>
      <c r="K1124" s="26" t="str">
        <f t="shared" si="6"/>
        <v/>
      </c>
      <c r="L1124" s="26" t="str">
        <f t="shared" si="7"/>
        <v/>
      </c>
      <c r="M1124" s="26" t="str">
        <f t="array" ref="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/>
      </c>
      <c r="N1124" s="26" t="str">
        <f t="shared" si="8"/>
        <v/>
      </c>
      <c r="O1124" s="26" t="str">
        <f t="shared" si="9"/>
        <v/>
      </c>
      <c r="P1124" s="26" t="str">
        <f t="shared" si="10"/>
        <v/>
      </c>
      <c r="Q1124" s="26" t="str">
        <f t="shared" si="11"/>
        <v/>
      </c>
      <c r="R1124" s="26" t="str">
        <f t="shared" si="12"/>
        <v/>
      </c>
      <c r="S1124" s="26" t="str">
        <f t="shared" si="13"/>
        <v/>
      </c>
      <c r="T1124" s="26" t="str">
        <f t="shared" si="14"/>
        <v/>
      </c>
      <c r="U1124" s="26" t="str">
        <f t="shared" si="15"/>
        <v/>
      </c>
      <c r="V1124" s="26" t="str">
        <f t="shared" si="16"/>
        <v/>
      </c>
      <c r="W1124" s="26" t="str">
        <f t="shared" si="17"/>
        <v/>
      </c>
      <c r="X1124" s="26" t="str">
        <f t="shared" si="18"/>
        <v/>
      </c>
      <c r="Y1124" s="26" t="str">
        <f t="shared" si="19"/>
        <v/>
      </c>
      <c r="Z1124" s="31" t="str">
        <f t="shared" si="20"/>
        <v/>
      </c>
      <c r="AA1124" s="31" t="str">
        <f>IF(D1124="","",IF(H1124&lt;=$B$16,1,IF(H1124&gt;=$B$17,$B$21,MATCH(H1124,Aux_CAV!$A$2:$A$121,1))))</f>
        <v/>
      </c>
      <c r="AB1124" s="31" t="str">
        <f>IF(D1124="","",IF(L1124&lt;=$B$16,1,IF(L1124&gt;=$B$17,$B$21,MATCH(L1124,Aux_CAV!$A$2:$A$121,1))))</f>
        <v/>
      </c>
      <c r="AC1124" s="3" t="str">
        <f t="shared" si="21"/>
        <v/>
      </c>
    </row>
    <row r="1125" ht="12.75" customHeight="1">
      <c r="A1125" s="25" t="str">
        <f t="shared" si="1"/>
        <v/>
      </c>
      <c r="B1125" s="29" t="str">
        <f t="array" ref="B1125">IF(D1125="","",IFERROR(VALUE(INDEX(Vazoes_COLAR!$A$2:$A$200,INT((ROW()-24)/12)+1)),""))</f>
        <v/>
      </c>
      <c r="C1125" s="29" t="str">
        <f t="shared" si="2"/>
        <v/>
      </c>
      <c r="D1125" s="26" t="str">
        <f t="array" ref="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25" s="26" t="str">
        <f t="shared" si="3"/>
        <v/>
      </c>
      <c r="F1125" s="26" t="str">
        <f t="array" ref="F1125">IF(D1125="","",IFERROR(INDEX(Dados_Evap!$C$2:$N$15,MATCH($B$9,Dados_Evap!$A$2:$A$15,0),C1125),0))</f>
        <v/>
      </c>
      <c r="G1125" s="26" t="str">
        <f t="shared" si="4"/>
        <v/>
      </c>
      <c r="H1125" s="26" t="str">
        <f t="shared" si="22"/>
        <v/>
      </c>
      <c r="I1125" s="26" t="str">
        <f t="array" ref="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/>
      </c>
      <c r="J1125" s="26" t="str">
        <f t="shared" si="5"/>
        <v/>
      </c>
      <c r="K1125" s="26" t="str">
        <f t="shared" si="6"/>
        <v/>
      </c>
      <c r="L1125" s="26" t="str">
        <f t="shared" si="7"/>
        <v/>
      </c>
      <c r="M1125" s="26" t="str">
        <f t="array" ref="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/>
      </c>
      <c r="N1125" s="26" t="str">
        <f t="shared" si="8"/>
        <v/>
      </c>
      <c r="O1125" s="26" t="str">
        <f t="shared" si="9"/>
        <v/>
      </c>
      <c r="P1125" s="26" t="str">
        <f t="shared" si="10"/>
        <v/>
      </c>
      <c r="Q1125" s="26" t="str">
        <f t="shared" si="11"/>
        <v/>
      </c>
      <c r="R1125" s="26" t="str">
        <f t="shared" si="12"/>
        <v/>
      </c>
      <c r="S1125" s="26" t="str">
        <f t="shared" si="13"/>
        <v/>
      </c>
      <c r="T1125" s="26" t="str">
        <f t="shared" si="14"/>
        <v/>
      </c>
      <c r="U1125" s="26" t="str">
        <f t="shared" si="15"/>
        <v/>
      </c>
      <c r="V1125" s="26" t="str">
        <f t="shared" si="16"/>
        <v/>
      </c>
      <c r="W1125" s="26" t="str">
        <f t="shared" si="17"/>
        <v/>
      </c>
      <c r="X1125" s="26" t="str">
        <f t="shared" si="18"/>
        <v/>
      </c>
      <c r="Y1125" s="26" t="str">
        <f t="shared" si="19"/>
        <v/>
      </c>
      <c r="Z1125" s="31" t="str">
        <f t="shared" si="20"/>
        <v/>
      </c>
      <c r="AA1125" s="31" t="str">
        <f>IF(D1125="","",IF(H1125&lt;=$B$16,1,IF(H1125&gt;=$B$17,$B$21,MATCH(H1125,Aux_CAV!$A$2:$A$121,1))))</f>
        <v/>
      </c>
      <c r="AB1125" s="31" t="str">
        <f>IF(D1125="","",IF(L1125&lt;=$B$16,1,IF(L1125&gt;=$B$17,$B$21,MATCH(L1125,Aux_CAV!$A$2:$A$121,1))))</f>
        <v/>
      </c>
      <c r="AC1125" s="3" t="str">
        <f t="shared" si="21"/>
        <v/>
      </c>
    </row>
    <row r="1126" ht="12.75" customHeight="1">
      <c r="A1126" s="25" t="str">
        <f t="shared" si="1"/>
        <v/>
      </c>
      <c r="B1126" s="29" t="str">
        <f t="array" ref="B1126">IF(D1126="","",IFERROR(VALUE(INDEX(Vazoes_COLAR!$A$2:$A$200,INT((ROW()-24)/12)+1)),""))</f>
        <v/>
      </c>
      <c r="C1126" s="29" t="str">
        <f t="shared" si="2"/>
        <v/>
      </c>
      <c r="D1126" s="26" t="str">
        <f t="array" ref="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26" s="26" t="str">
        <f t="shared" si="3"/>
        <v/>
      </c>
      <c r="F1126" s="26" t="str">
        <f t="array" ref="F1126">IF(D1126="","",IFERROR(INDEX(Dados_Evap!$C$2:$N$15,MATCH($B$9,Dados_Evap!$A$2:$A$15,0),C1126),0))</f>
        <v/>
      </c>
      <c r="G1126" s="26" t="str">
        <f t="shared" si="4"/>
        <v/>
      </c>
      <c r="H1126" s="26" t="str">
        <f t="shared" si="22"/>
        <v/>
      </c>
      <c r="I1126" s="26" t="str">
        <f t="array" ref="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/>
      </c>
      <c r="J1126" s="26" t="str">
        <f t="shared" si="5"/>
        <v/>
      </c>
      <c r="K1126" s="26" t="str">
        <f t="shared" si="6"/>
        <v/>
      </c>
      <c r="L1126" s="26" t="str">
        <f t="shared" si="7"/>
        <v/>
      </c>
      <c r="M1126" s="26" t="str">
        <f t="array" ref="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/>
      </c>
      <c r="N1126" s="26" t="str">
        <f t="shared" si="8"/>
        <v/>
      </c>
      <c r="O1126" s="26" t="str">
        <f t="shared" si="9"/>
        <v/>
      </c>
      <c r="P1126" s="26" t="str">
        <f t="shared" si="10"/>
        <v/>
      </c>
      <c r="Q1126" s="26" t="str">
        <f t="shared" si="11"/>
        <v/>
      </c>
      <c r="R1126" s="26" t="str">
        <f t="shared" si="12"/>
        <v/>
      </c>
      <c r="S1126" s="26" t="str">
        <f t="shared" si="13"/>
        <v/>
      </c>
      <c r="T1126" s="26" t="str">
        <f t="shared" si="14"/>
        <v/>
      </c>
      <c r="U1126" s="26" t="str">
        <f t="shared" si="15"/>
        <v/>
      </c>
      <c r="V1126" s="26" t="str">
        <f t="shared" si="16"/>
        <v/>
      </c>
      <c r="W1126" s="26" t="str">
        <f t="shared" si="17"/>
        <v/>
      </c>
      <c r="X1126" s="26" t="str">
        <f t="shared" si="18"/>
        <v/>
      </c>
      <c r="Y1126" s="26" t="str">
        <f t="shared" si="19"/>
        <v/>
      </c>
      <c r="Z1126" s="31" t="str">
        <f t="shared" si="20"/>
        <v/>
      </c>
      <c r="AA1126" s="31" t="str">
        <f>IF(D1126="","",IF(H1126&lt;=$B$16,1,IF(H1126&gt;=$B$17,$B$21,MATCH(H1126,Aux_CAV!$A$2:$A$121,1))))</f>
        <v/>
      </c>
      <c r="AB1126" s="31" t="str">
        <f>IF(D1126="","",IF(L1126&lt;=$B$16,1,IF(L1126&gt;=$B$17,$B$21,MATCH(L1126,Aux_CAV!$A$2:$A$121,1))))</f>
        <v/>
      </c>
      <c r="AC1126" s="3" t="str">
        <f t="shared" si="21"/>
        <v/>
      </c>
    </row>
    <row r="1127" ht="12.75" customHeight="1">
      <c r="A1127" s="25" t="str">
        <f t="shared" si="1"/>
        <v/>
      </c>
      <c r="B1127" s="29" t="str">
        <f t="array" ref="B1127">IF(D1127="","",IFERROR(VALUE(INDEX(Vazoes_COLAR!$A$2:$A$200,INT((ROW()-24)/12)+1)),""))</f>
        <v/>
      </c>
      <c r="C1127" s="29" t="str">
        <f t="shared" si="2"/>
        <v/>
      </c>
      <c r="D1127" s="26" t="str">
        <f t="array" ref="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27" s="26" t="str">
        <f t="shared" si="3"/>
        <v/>
      </c>
      <c r="F1127" s="26" t="str">
        <f t="array" ref="F1127">IF(D1127="","",IFERROR(INDEX(Dados_Evap!$C$2:$N$15,MATCH($B$9,Dados_Evap!$A$2:$A$15,0),C1127),0))</f>
        <v/>
      </c>
      <c r="G1127" s="26" t="str">
        <f t="shared" si="4"/>
        <v/>
      </c>
      <c r="H1127" s="26" t="str">
        <f t="shared" si="22"/>
        <v/>
      </c>
      <c r="I1127" s="26" t="str">
        <f t="array" ref="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/>
      </c>
      <c r="J1127" s="26" t="str">
        <f t="shared" si="5"/>
        <v/>
      </c>
      <c r="K1127" s="26" t="str">
        <f t="shared" si="6"/>
        <v/>
      </c>
      <c r="L1127" s="26" t="str">
        <f t="shared" si="7"/>
        <v/>
      </c>
      <c r="M1127" s="26" t="str">
        <f t="array" ref="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/>
      </c>
      <c r="N1127" s="26" t="str">
        <f t="shared" si="8"/>
        <v/>
      </c>
      <c r="O1127" s="26" t="str">
        <f t="shared" si="9"/>
        <v/>
      </c>
      <c r="P1127" s="26" t="str">
        <f t="shared" si="10"/>
        <v/>
      </c>
      <c r="Q1127" s="26" t="str">
        <f t="shared" si="11"/>
        <v/>
      </c>
      <c r="R1127" s="26" t="str">
        <f t="shared" si="12"/>
        <v/>
      </c>
      <c r="S1127" s="26" t="str">
        <f t="shared" si="13"/>
        <v/>
      </c>
      <c r="T1127" s="26" t="str">
        <f t="shared" si="14"/>
        <v/>
      </c>
      <c r="U1127" s="26" t="str">
        <f t="shared" si="15"/>
        <v/>
      </c>
      <c r="V1127" s="26" t="str">
        <f t="shared" si="16"/>
        <v/>
      </c>
      <c r="W1127" s="26" t="str">
        <f t="shared" si="17"/>
        <v/>
      </c>
      <c r="X1127" s="26" t="str">
        <f t="shared" si="18"/>
        <v/>
      </c>
      <c r="Y1127" s="26" t="str">
        <f t="shared" si="19"/>
        <v/>
      </c>
      <c r="Z1127" s="31" t="str">
        <f t="shared" si="20"/>
        <v/>
      </c>
      <c r="AA1127" s="31" t="str">
        <f>IF(D1127="","",IF(H1127&lt;=$B$16,1,IF(H1127&gt;=$B$17,$B$21,MATCH(H1127,Aux_CAV!$A$2:$A$121,1))))</f>
        <v/>
      </c>
      <c r="AB1127" s="31" t="str">
        <f>IF(D1127="","",IF(L1127&lt;=$B$16,1,IF(L1127&gt;=$B$17,$B$21,MATCH(L1127,Aux_CAV!$A$2:$A$121,1))))</f>
        <v/>
      </c>
      <c r="AC1127" s="3" t="str">
        <f t="shared" si="21"/>
        <v/>
      </c>
    </row>
    <row r="1128" ht="12.75" customHeight="1">
      <c r="A1128" s="25" t="str">
        <f t="shared" si="1"/>
        <v/>
      </c>
      <c r="B1128" s="29" t="str">
        <f t="array" ref="B1128">IF(D1128="","",IFERROR(VALUE(INDEX(Vazoes_COLAR!$A$2:$A$200,INT((ROW()-24)/12)+1)),""))</f>
        <v/>
      </c>
      <c r="C1128" s="29" t="str">
        <f t="shared" si="2"/>
        <v/>
      </c>
      <c r="D1128" s="26" t="str">
        <f t="array" ref="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28" s="26" t="str">
        <f t="shared" si="3"/>
        <v/>
      </c>
      <c r="F1128" s="26" t="str">
        <f t="array" ref="F1128">IF(D1128="","",IFERROR(INDEX(Dados_Evap!$C$2:$N$15,MATCH($B$9,Dados_Evap!$A$2:$A$15,0),C1128),0))</f>
        <v/>
      </c>
      <c r="G1128" s="26" t="str">
        <f t="shared" si="4"/>
        <v/>
      </c>
      <c r="H1128" s="26" t="str">
        <f t="shared" si="22"/>
        <v/>
      </c>
      <c r="I1128" s="26" t="str">
        <f t="array" ref="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/>
      </c>
      <c r="J1128" s="26" t="str">
        <f t="shared" si="5"/>
        <v/>
      </c>
      <c r="K1128" s="26" t="str">
        <f t="shared" si="6"/>
        <v/>
      </c>
      <c r="L1128" s="26" t="str">
        <f t="shared" si="7"/>
        <v/>
      </c>
      <c r="M1128" s="26" t="str">
        <f t="array" ref="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/>
      </c>
      <c r="N1128" s="26" t="str">
        <f t="shared" si="8"/>
        <v/>
      </c>
      <c r="O1128" s="26" t="str">
        <f t="shared" si="9"/>
        <v/>
      </c>
      <c r="P1128" s="26" t="str">
        <f t="shared" si="10"/>
        <v/>
      </c>
      <c r="Q1128" s="26" t="str">
        <f t="shared" si="11"/>
        <v/>
      </c>
      <c r="R1128" s="26" t="str">
        <f t="shared" si="12"/>
        <v/>
      </c>
      <c r="S1128" s="26" t="str">
        <f t="shared" si="13"/>
        <v/>
      </c>
      <c r="T1128" s="26" t="str">
        <f t="shared" si="14"/>
        <v/>
      </c>
      <c r="U1128" s="26" t="str">
        <f t="shared" si="15"/>
        <v/>
      </c>
      <c r="V1128" s="26" t="str">
        <f t="shared" si="16"/>
        <v/>
      </c>
      <c r="W1128" s="26" t="str">
        <f t="shared" si="17"/>
        <v/>
      </c>
      <c r="X1128" s="26" t="str">
        <f t="shared" si="18"/>
        <v/>
      </c>
      <c r="Y1128" s="26" t="str">
        <f t="shared" si="19"/>
        <v/>
      </c>
      <c r="Z1128" s="31" t="str">
        <f t="shared" si="20"/>
        <v/>
      </c>
      <c r="AA1128" s="31" t="str">
        <f>IF(D1128="","",IF(H1128&lt;=$B$16,1,IF(H1128&gt;=$B$17,$B$21,MATCH(H1128,Aux_CAV!$A$2:$A$121,1))))</f>
        <v/>
      </c>
      <c r="AB1128" s="31" t="str">
        <f>IF(D1128="","",IF(L1128&lt;=$B$16,1,IF(L1128&gt;=$B$17,$B$21,MATCH(L1128,Aux_CAV!$A$2:$A$121,1))))</f>
        <v/>
      </c>
      <c r="AC1128" s="3" t="str">
        <f t="shared" si="21"/>
        <v/>
      </c>
    </row>
    <row r="1129" ht="12.75" customHeight="1">
      <c r="A1129" s="25" t="str">
        <f t="shared" si="1"/>
        <v/>
      </c>
      <c r="B1129" s="29" t="str">
        <f t="array" ref="B1129">IF(D1129="","",IFERROR(VALUE(INDEX(Vazoes_COLAR!$A$2:$A$200,INT((ROW()-24)/12)+1)),""))</f>
        <v/>
      </c>
      <c r="C1129" s="29" t="str">
        <f t="shared" si="2"/>
        <v/>
      </c>
      <c r="D1129" s="26" t="str">
        <f t="array" ref="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29" s="26" t="str">
        <f t="shared" si="3"/>
        <v/>
      </c>
      <c r="F1129" s="26" t="str">
        <f t="array" ref="F1129">IF(D1129="","",IFERROR(INDEX(Dados_Evap!$C$2:$N$15,MATCH($B$9,Dados_Evap!$A$2:$A$15,0),C1129),0))</f>
        <v/>
      </c>
      <c r="G1129" s="26" t="str">
        <f t="shared" si="4"/>
        <v/>
      </c>
      <c r="H1129" s="26" t="str">
        <f t="shared" si="22"/>
        <v/>
      </c>
      <c r="I1129" s="26" t="str">
        <f t="array" ref="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/>
      </c>
      <c r="J1129" s="26" t="str">
        <f t="shared" si="5"/>
        <v/>
      </c>
      <c r="K1129" s="26" t="str">
        <f t="shared" si="6"/>
        <v/>
      </c>
      <c r="L1129" s="26" t="str">
        <f t="shared" si="7"/>
        <v/>
      </c>
      <c r="M1129" s="26" t="str">
        <f t="array" ref="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/>
      </c>
      <c r="N1129" s="26" t="str">
        <f t="shared" si="8"/>
        <v/>
      </c>
      <c r="O1129" s="26" t="str">
        <f t="shared" si="9"/>
        <v/>
      </c>
      <c r="P1129" s="26" t="str">
        <f t="shared" si="10"/>
        <v/>
      </c>
      <c r="Q1129" s="26" t="str">
        <f t="shared" si="11"/>
        <v/>
      </c>
      <c r="R1129" s="26" t="str">
        <f t="shared" si="12"/>
        <v/>
      </c>
      <c r="S1129" s="26" t="str">
        <f t="shared" si="13"/>
        <v/>
      </c>
      <c r="T1129" s="26" t="str">
        <f t="shared" si="14"/>
        <v/>
      </c>
      <c r="U1129" s="26" t="str">
        <f t="shared" si="15"/>
        <v/>
      </c>
      <c r="V1129" s="26" t="str">
        <f t="shared" si="16"/>
        <v/>
      </c>
      <c r="W1129" s="26" t="str">
        <f t="shared" si="17"/>
        <v/>
      </c>
      <c r="X1129" s="26" t="str">
        <f t="shared" si="18"/>
        <v/>
      </c>
      <c r="Y1129" s="26" t="str">
        <f t="shared" si="19"/>
        <v/>
      </c>
      <c r="Z1129" s="31" t="str">
        <f t="shared" si="20"/>
        <v/>
      </c>
      <c r="AA1129" s="31" t="str">
        <f>IF(D1129="","",IF(H1129&lt;=$B$16,1,IF(H1129&gt;=$B$17,$B$21,MATCH(H1129,Aux_CAV!$A$2:$A$121,1))))</f>
        <v/>
      </c>
      <c r="AB1129" s="31" t="str">
        <f>IF(D1129="","",IF(L1129&lt;=$B$16,1,IF(L1129&gt;=$B$17,$B$21,MATCH(L1129,Aux_CAV!$A$2:$A$121,1))))</f>
        <v/>
      </c>
      <c r="AC1129" s="3" t="str">
        <f t="shared" si="21"/>
        <v/>
      </c>
    </row>
    <row r="1130" ht="12.75" customHeight="1">
      <c r="A1130" s="25" t="str">
        <f t="shared" si="1"/>
        <v/>
      </c>
      <c r="B1130" s="29" t="str">
        <f t="array" ref="B1130">IF(D1130="","",IFERROR(VALUE(INDEX(Vazoes_COLAR!$A$2:$A$200,INT((ROW()-24)/12)+1)),""))</f>
        <v/>
      </c>
      <c r="C1130" s="29" t="str">
        <f t="shared" si="2"/>
        <v/>
      </c>
      <c r="D1130" s="26" t="str">
        <f t="array" ref="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30" s="26" t="str">
        <f t="shared" si="3"/>
        <v/>
      </c>
      <c r="F1130" s="26" t="str">
        <f t="array" ref="F1130">IF(D1130="","",IFERROR(INDEX(Dados_Evap!$C$2:$N$15,MATCH($B$9,Dados_Evap!$A$2:$A$15,0),C1130),0))</f>
        <v/>
      </c>
      <c r="G1130" s="26" t="str">
        <f t="shared" si="4"/>
        <v/>
      </c>
      <c r="H1130" s="26" t="str">
        <f t="shared" si="22"/>
        <v/>
      </c>
      <c r="I1130" s="26" t="str">
        <f t="array" ref="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/>
      </c>
      <c r="J1130" s="26" t="str">
        <f t="shared" si="5"/>
        <v/>
      </c>
      <c r="K1130" s="26" t="str">
        <f t="shared" si="6"/>
        <v/>
      </c>
      <c r="L1130" s="26" t="str">
        <f t="shared" si="7"/>
        <v/>
      </c>
      <c r="M1130" s="26" t="str">
        <f t="array" ref="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/>
      </c>
      <c r="N1130" s="26" t="str">
        <f t="shared" si="8"/>
        <v/>
      </c>
      <c r="O1130" s="26" t="str">
        <f t="shared" si="9"/>
        <v/>
      </c>
      <c r="P1130" s="26" t="str">
        <f t="shared" si="10"/>
        <v/>
      </c>
      <c r="Q1130" s="26" t="str">
        <f t="shared" si="11"/>
        <v/>
      </c>
      <c r="R1130" s="26" t="str">
        <f t="shared" si="12"/>
        <v/>
      </c>
      <c r="S1130" s="26" t="str">
        <f t="shared" si="13"/>
        <v/>
      </c>
      <c r="T1130" s="26" t="str">
        <f t="shared" si="14"/>
        <v/>
      </c>
      <c r="U1130" s="26" t="str">
        <f t="shared" si="15"/>
        <v/>
      </c>
      <c r="V1130" s="26" t="str">
        <f t="shared" si="16"/>
        <v/>
      </c>
      <c r="W1130" s="26" t="str">
        <f t="shared" si="17"/>
        <v/>
      </c>
      <c r="X1130" s="26" t="str">
        <f t="shared" si="18"/>
        <v/>
      </c>
      <c r="Y1130" s="26" t="str">
        <f t="shared" si="19"/>
        <v/>
      </c>
      <c r="Z1130" s="31" t="str">
        <f t="shared" si="20"/>
        <v/>
      </c>
      <c r="AA1130" s="31" t="str">
        <f>IF(D1130="","",IF(H1130&lt;=$B$16,1,IF(H1130&gt;=$B$17,$B$21,MATCH(H1130,Aux_CAV!$A$2:$A$121,1))))</f>
        <v/>
      </c>
      <c r="AB1130" s="31" t="str">
        <f>IF(D1130="","",IF(L1130&lt;=$B$16,1,IF(L1130&gt;=$B$17,$B$21,MATCH(L1130,Aux_CAV!$A$2:$A$121,1))))</f>
        <v/>
      </c>
      <c r="AC1130" s="3" t="str">
        <f t="shared" si="21"/>
        <v/>
      </c>
    </row>
    <row r="1131" ht="12.75" customHeight="1">
      <c r="A1131" s="25" t="str">
        <f t="shared" si="1"/>
        <v/>
      </c>
      <c r="B1131" s="29" t="str">
        <f t="array" ref="B1131">IF(D1131="","",IFERROR(VALUE(INDEX(Vazoes_COLAR!$A$2:$A$200,INT((ROW()-24)/12)+1)),""))</f>
        <v/>
      </c>
      <c r="C1131" s="29" t="str">
        <f t="shared" si="2"/>
        <v/>
      </c>
      <c r="D1131" s="26" t="str">
        <f t="array" ref="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31" s="26" t="str">
        <f t="shared" si="3"/>
        <v/>
      </c>
      <c r="F1131" s="26" t="str">
        <f t="array" ref="F1131">IF(D1131="","",IFERROR(INDEX(Dados_Evap!$C$2:$N$15,MATCH($B$9,Dados_Evap!$A$2:$A$15,0),C1131),0))</f>
        <v/>
      </c>
      <c r="G1131" s="26" t="str">
        <f t="shared" si="4"/>
        <v/>
      </c>
      <c r="H1131" s="26" t="str">
        <f t="shared" si="22"/>
        <v/>
      </c>
      <c r="I1131" s="26" t="str">
        <f t="array" ref="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/>
      </c>
      <c r="J1131" s="26" t="str">
        <f t="shared" si="5"/>
        <v/>
      </c>
      <c r="K1131" s="26" t="str">
        <f t="shared" si="6"/>
        <v/>
      </c>
      <c r="L1131" s="26" t="str">
        <f t="shared" si="7"/>
        <v/>
      </c>
      <c r="M1131" s="26" t="str">
        <f t="array" ref="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/>
      </c>
      <c r="N1131" s="26" t="str">
        <f t="shared" si="8"/>
        <v/>
      </c>
      <c r="O1131" s="26" t="str">
        <f t="shared" si="9"/>
        <v/>
      </c>
      <c r="P1131" s="26" t="str">
        <f t="shared" si="10"/>
        <v/>
      </c>
      <c r="Q1131" s="26" t="str">
        <f t="shared" si="11"/>
        <v/>
      </c>
      <c r="R1131" s="26" t="str">
        <f t="shared" si="12"/>
        <v/>
      </c>
      <c r="S1131" s="26" t="str">
        <f t="shared" si="13"/>
        <v/>
      </c>
      <c r="T1131" s="26" t="str">
        <f t="shared" si="14"/>
        <v/>
      </c>
      <c r="U1131" s="26" t="str">
        <f t="shared" si="15"/>
        <v/>
      </c>
      <c r="V1131" s="26" t="str">
        <f t="shared" si="16"/>
        <v/>
      </c>
      <c r="W1131" s="26" t="str">
        <f t="shared" si="17"/>
        <v/>
      </c>
      <c r="X1131" s="26" t="str">
        <f t="shared" si="18"/>
        <v/>
      </c>
      <c r="Y1131" s="26" t="str">
        <f t="shared" si="19"/>
        <v/>
      </c>
      <c r="Z1131" s="31" t="str">
        <f t="shared" si="20"/>
        <v/>
      </c>
      <c r="AA1131" s="31" t="str">
        <f>IF(D1131="","",IF(H1131&lt;=$B$16,1,IF(H1131&gt;=$B$17,$B$21,MATCH(H1131,Aux_CAV!$A$2:$A$121,1))))</f>
        <v/>
      </c>
      <c r="AB1131" s="31" t="str">
        <f>IF(D1131="","",IF(L1131&lt;=$B$16,1,IF(L1131&gt;=$B$17,$B$21,MATCH(L1131,Aux_CAV!$A$2:$A$121,1))))</f>
        <v/>
      </c>
      <c r="AC1131" s="3" t="str">
        <f t="shared" si="21"/>
        <v/>
      </c>
    </row>
    <row r="1132" ht="12.75" customHeight="1">
      <c r="A1132" s="25" t="str">
        <f t="shared" si="1"/>
        <v/>
      </c>
      <c r="B1132" s="29" t="str">
        <f t="array" ref="B1132">IF(D1132="","",IFERROR(VALUE(INDEX(Vazoes_COLAR!$A$2:$A$200,INT((ROW()-24)/12)+1)),""))</f>
        <v/>
      </c>
      <c r="C1132" s="29" t="str">
        <f t="shared" si="2"/>
        <v/>
      </c>
      <c r="D1132" s="26" t="str">
        <f t="array" ref="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32" s="26" t="str">
        <f t="shared" si="3"/>
        <v/>
      </c>
      <c r="F1132" s="26" t="str">
        <f t="array" ref="F1132">IF(D1132="","",IFERROR(INDEX(Dados_Evap!$C$2:$N$15,MATCH($B$9,Dados_Evap!$A$2:$A$15,0),C1132),0))</f>
        <v/>
      </c>
      <c r="G1132" s="26" t="str">
        <f t="shared" si="4"/>
        <v/>
      </c>
      <c r="H1132" s="26" t="str">
        <f t="shared" si="22"/>
        <v/>
      </c>
      <c r="I1132" s="26" t="str">
        <f t="array" ref="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/>
      </c>
      <c r="J1132" s="26" t="str">
        <f t="shared" si="5"/>
        <v/>
      </c>
      <c r="K1132" s="26" t="str">
        <f t="shared" si="6"/>
        <v/>
      </c>
      <c r="L1132" s="26" t="str">
        <f t="shared" si="7"/>
        <v/>
      </c>
      <c r="M1132" s="26" t="str">
        <f t="array" ref="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/>
      </c>
      <c r="N1132" s="26" t="str">
        <f t="shared" si="8"/>
        <v/>
      </c>
      <c r="O1132" s="26" t="str">
        <f t="shared" si="9"/>
        <v/>
      </c>
      <c r="P1132" s="26" t="str">
        <f t="shared" si="10"/>
        <v/>
      </c>
      <c r="Q1132" s="26" t="str">
        <f t="shared" si="11"/>
        <v/>
      </c>
      <c r="R1132" s="26" t="str">
        <f t="shared" si="12"/>
        <v/>
      </c>
      <c r="S1132" s="26" t="str">
        <f t="shared" si="13"/>
        <v/>
      </c>
      <c r="T1132" s="26" t="str">
        <f t="shared" si="14"/>
        <v/>
      </c>
      <c r="U1132" s="26" t="str">
        <f t="shared" si="15"/>
        <v/>
      </c>
      <c r="V1132" s="26" t="str">
        <f t="shared" si="16"/>
        <v/>
      </c>
      <c r="W1132" s="26" t="str">
        <f t="shared" si="17"/>
        <v/>
      </c>
      <c r="X1132" s="26" t="str">
        <f t="shared" si="18"/>
        <v/>
      </c>
      <c r="Y1132" s="26" t="str">
        <f t="shared" si="19"/>
        <v/>
      </c>
      <c r="Z1132" s="31" t="str">
        <f t="shared" si="20"/>
        <v/>
      </c>
      <c r="AA1132" s="31" t="str">
        <f>IF(D1132="","",IF(H1132&lt;=$B$16,1,IF(H1132&gt;=$B$17,$B$21,MATCH(H1132,Aux_CAV!$A$2:$A$121,1))))</f>
        <v/>
      </c>
      <c r="AB1132" s="31" t="str">
        <f>IF(D1132="","",IF(L1132&lt;=$B$16,1,IF(L1132&gt;=$B$17,$B$21,MATCH(L1132,Aux_CAV!$A$2:$A$121,1))))</f>
        <v/>
      </c>
      <c r="AC1132" s="3" t="str">
        <f t="shared" si="21"/>
        <v/>
      </c>
    </row>
    <row r="1133" ht="12.75" customHeight="1">
      <c r="A1133" s="25" t="str">
        <f t="shared" si="1"/>
        <v/>
      </c>
      <c r="B1133" s="29" t="str">
        <f t="array" ref="B1133">IF(D1133="","",IFERROR(VALUE(INDEX(Vazoes_COLAR!$A$2:$A$200,INT((ROW()-24)/12)+1)),""))</f>
        <v/>
      </c>
      <c r="C1133" s="29" t="str">
        <f t="shared" si="2"/>
        <v/>
      </c>
      <c r="D1133" s="26" t="str">
        <f t="array" ref="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33" s="26" t="str">
        <f t="shared" si="3"/>
        <v/>
      </c>
      <c r="F1133" s="26" t="str">
        <f t="array" ref="F1133">IF(D1133="","",IFERROR(INDEX(Dados_Evap!$C$2:$N$15,MATCH($B$9,Dados_Evap!$A$2:$A$15,0),C1133),0))</f>
        <v/>
      </c>
      <c r="G1133" s="26" t="str">
        <f t="shared" si="4"/>
        <v/>
      </c>
      <c r="H1133" s="26" t="str">
        <f t="shared" si="22"/>
        <v/>
      </c>
      <c r="I1133" s="26" t="str">
        <f t="array" ref="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/>
      </c>
      <c r="J1133" s="26" t="str">
        <f t="shared" si="5"/>
        <v/>
      </c>
      <c r="K1133" s="26" t="str">
        <f t="shared" si="6"/>
        <v/>
      </c>
      <c r="L1133" s="26" t="str">
        <f t="shared" si="7"/>
        <v/>
      </c>
      <c r="M1133" s="26" t="str">
        <f t="array" ref="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/>
      </c>
      <c r="N1133" s="26" t="str">
        <f t="shared" si="8"/>
        <v/>
      </c>
      <c r="O1133" s="26" t="str">
        <f t="shared" si="9"/>
        <v/>
      </c>
      <c r="P1133" s="26" t="str">
        <f t="shared" si="10"/>
        <v/>
      </c>
      <c r="Q1133" s="26" t="str">
        <f t="shared" si="11"/>
        <v/>
      </c>
      <c r="R1133" s="26" t="str">
        <f t="shared" si="12"/>
        <v/>
      </c>
      <c r="S1133" s="26" t="str">
        <f t="shared" si="13"/>
        <v/>
      </c>
      <c r="T1133" s="26" t="str">
        <f t="shared" si="14"/>
        <v/>
      </c>
      <c r="U1133" s="26" t="str">
        <f t="shared" si="15"/>
        <v/>
      </c>
      <c r="V1133" s="26" t="str">
        <f t="shared" si="16"/>
        <v/>
      </c>
      <c r="W1133" s="26" t="str">
        <f t="shared" si="17"/>
        <v/>
      </c>
      <c r="X1133" s="26" t="str">
        <f t="shared" si="18"/>
        <v/>
      </c>
      <c r="Y1133" s="26" t="str">
        <f t="shared" si="19"/>
        <v/>
      </c>
      <c r="Z1133" s="31" t="str">
        <f t="shared" si="20"/>
        <v/>
      </c>
      <c r="AA1133" s="31" t="str">
        <f>IF(D1133="","",IF(H1133&lt;=$B$16,1,IF(H1133&gt;=$B$17,$B$21,MATCH(H1133,Aux_CAV!$A$2:$A$121,1))))</f>
        <v/>
      </c>
      <c r="AB1133" s="31" t="str">
        <f>IF(D1133="","",IF(L1133&lt;=$B$16,1,IF(L1133&gt;=$B$17,$B$21,MATCH(L1133,Aux_CAV!$A$2:$A$121,1))))</f>
        <v/>
      </c>
      <c r="AC1133" s="3" t="str">
        <f t="shared" si="21"/>
        <v/>
      </c>
    </row>
    <row r="1134" ht="12.75" customHeight="1">
      <c r="A1134" s="25" t="str">
        <f t="shared" si="1"/>
        <v/>
      </c>
      <c r="B1134" s="29" t="str">
        <f t="array" ref="B1134">IF(D1134="","",IFERROR(VALUE(INDEX(Vazoes_COLAR!$A$2:$A$200,INT((ROW()-24)/12)+1)),""))</f>
        <v/>
      </c>
      <c r="C1134" s="29" t="str">
        <f t="shared" si="2"/>
        <v/>
      </c>
      <c r="D1134" s="26" t="str">
        <f t="array" ref="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34" s="26" t="str">
        <f t="shared" si="3"/>
        <v/>
      </c>
      <c r="F1134" s="26" t="str">
        <f t="array" ref="F1134">IF(D1134="","",IFERROR(INDEX(Dados_Evap!$C$2:$N$15,MATCH($B$9,Dados_Evap!$A$2:$A$15,0),C1134),0))</f>
        <v/>
      </c>
      <c r="G1134" s="26" t="str">
        <f t="shared" si="4"/>
        <v/>
      </c>
      <c r="H1134" s="26" t="str">
        <f t="shared" si="22"/>
        <v/>
      </c>
      <c r="I1134" s="26" t="str">
        <f t="array" ref="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/>
      </c>
      <c r="J1134" s="26" t="str">
        <f t="shared" si="5"/>
        <v/>
      </c>
      <c r="K1134" s="26" t="str">
        <f t="shared" si="6"/>
        <v/>
      </c>
      <c r="L1134" s="26" t="str">
        <f t="shared" si="7"/>
        <v/>
      </c>
      <c r="M1134" s="26" t="str">
        <f t="array" ref="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/>
      </c>
      <c r="N1134" s="26" t="str">
        <f t="shared" si="8"/>
        <v/>
      </c>
      <c r="O1134" s="26" t="str">
        <f t="shared" si="9"/>
        <v/>
      </c>
      <c r="P1134" s="26" t="str">
        <f t="shared" si="10"/>
        <v/>
      </c>
      <c r="Q1134" s="26" t="str">
        <f t="shared" si="11"/>
        <v/>
      </c>
      <c r="R1134" s="26" t="str">
        <f t="shared" si="12"/>
        <v/>
      </c>
      <c r="S1134" s="26" t="str">
        <f t="shared" si="13"/>
        <v/>
      </c>
      <c r="T1134" s="26" t="str">
        <f t="shared" si="14"/>
        <v/>
      </c>
      <c r="U1134" s="26" t="str">
        <f t="shared" si="15"/>
        <v/>
      </c>
      <c r="V1134" s="26" t="str">
        <f t="shared" si="16"/>
        <v/>
      </c>
      <c r="W1134" s="26" t="str">
        <f t="shared" si="17"/>
        <v/>
      </c>
      <c r="X1134" s="26" t="str">
        <f t="shared" si="18"/>
        <v/>
      </c>
      <c r="Y1134" s="26" t="str">
        <f t="shared" si="19"/>
        <v/>
      </c>
      <c r="Z1134" s="31" t="str">
        <f t="shared" si="20"/>
        <v/>
      </c>
      <c r="AA1134" s="31" t="str">
        <f>IF(D1134="","",IF(H1134&lt;=$B$16,1,IF(H1134&gt;=$B$17,$B$21,MATCH(H1134,Aux_CAV!$A$2:$A$121,1))))</f>
        <v/>
      </c>
      <c r="AB1134" s="31" t="str">
        <f>IF(D1134="","",IF(L1134&lt;=$B$16,1,IF(L1134&gt;=$B$17,$B$21,MATCH(L1134,Aux_CAV!$A$2:$A$121,1))))</f>
        <v/>
      </c>
      <c r="AC1134" s="3" t="str">
        <f t="shared" si="21"/>
        <v/>
      </c>
    </row>
    <row r="1135" ht="12.75" customHeight="1">
      <c r="A1135" s="25" t="str">
        <f t="shared" si="1"/>
        <v/>
      </c>
      <c r="B1135" s="29" t="str">
        <f t="array" ref="B1135">IF(D1135="","",IFERROR(VALUE(INDEX(Vazoes_COLAR!$A$2:$A$200,INT((ROW()-24)/12)+1)),""))</f>
        <v/>
      </c>
      <c r="C1135" s="29" t="str">
        <f t="shared" si="2"/>
        <v/>
      </c>
      <c r="D1135" s="26" t="str">
        <f t="array" ref="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35" s="26" t="str">
        <f t="shared" si="3"/>
        <v/>
      </c>
      <c r="F1135" s="26" t="str">
        <f t="array" ref="F1135">IF(D1135="","",IFERROR(INDEX(Dados_Evap!$C$2:$N$15,MATCH($B$9,Dados_Evap!$A$2:$A$15,0),C1135),0))</f>
        <v/>
      </c>
      <c r="G1135" s="26" t="str">
        <f t="shared" si="4"/>
        <v/>
      </c>
      <c r="H1135" s="26" t="str">
        <f t="shared" si="22"/>
        <v/>
      </c>
      <c r="I1135" s="26" t="str">
        <f t="array" ref="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/>
      </c>
      <c r="J1135" s="26" t="str">
        <f t="shared" si="5"/>
        <v/>
      </c>
      <c r="K1135" s="26" t="str">
        <f t="shared" si="6"/>
        <v/>
      </c>
      <c r="L1135" s="26" t="str">
        <f t="shared" si="7"/>
        <v/>
      </c>
      <c r="M1135" s="26" t="str">
        <f t="array" ref="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/>
      </c>
      <c r="N1135" s="26" t="str">
        <f t="shared" si="8"/>
        <v/>
      </c>
      <c r="O1135" s="26" t="str">
        <f t="shared" si="9"/>
        <v/>
      </c>
      <c r="P1135" s="26" t="str">
        <f t="shared" si="10"/>
        <v/>
      </c>
      <c r="Q1135" s="26" t="str">
        <f t="shared" si="11"/>
        <v/>
      </c>
      <c r="R1135" s="26" t="str">
        <f t="shared" si="12"/>
        <v/>
      </c>
      <c r="S1135" s="26" t="str">
        <f t="shared" si="13"/>
        <v/>
      </c>
      <c r="T1135" s="26" t="str">
        <f t="shared" si="14"/>
        <v/>
      </c>
      <c r="U1135" s="26" t="str">
        <f t="shared" si="15"/>
        <v/>
      </c>
      <c r="V1135" s="26" t="str">
        <f t="shared" si="16"/>
        <v/>
      </c>
      <c r="W1135" s="26" t="str">
        <f t="shared" si="17"/>
        <v/>
      </c>
      <c r="X1135" s="26" t="str">
        <f t="shared" si="18"/>
        <v/>
      </c>
      <c r="Y1135" s="26" t="str">
        <f t="shared" si="19"/>
        <v/>
      </c>
      <c r="Z1135" s="31" t="str">
        <f t="shared" si="20"/>
        <v/>
      </c>
      <c r="AA1135" s="31" t="str">
        <f>IF(D1135="","",IF(H1135&lt;=$B$16,1,IF(H1135&gt;=$B$17,$B$21,MATCH(H1135,Aux_CAV!$A$2:$A$121,1))))</f>
        <v/>
      </c>
      <c r="AB1135" s="31" t="str">
        <f>IF(D1135="","",IF(L1135&lt;=$B$16,1,IF(L1135&gt;=$B$17,$B$21,MATCH(L1135,Aux_CAV!$A$2:$A$121,1))))</f>
        <v/>
      </c>
      <c r="AC1135" s="3" t="str">
        <f t="shared" si="21"/>
        <v/>
      </c>
    </row>
    <row r="1136" ht="12.75" customHeight="1">
      <c r="A1136" s="25" t="str">
        <f t="shared" si="1"/>
        <v/>
      </c>
      <c r="B1136" s="29" t="str">
        <f t="array" ref="B1136">IF(D1136="","",IFERROR(VALUE(INDEX(Vazoes_COLAR!$A$2:$A$200,INT((ROW()-24)/12)+1)),""))</f>
        <v/>
      </c>
      <c r="C1136" s="29" t="str">
        <f t="shared" si="2"/>
        <v/>
      </c>
      <c r="D1136" s="26" t="str">
        <f t="array" ref="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36" s="26" t="str">
        <f t="shared" si="3"/>
        <v/>
      </c>
      <c r="F1136" s="26" t="str">
        <f t="array" ref="F1136">IF(D1136="","",IFERROR(INDEX(Dados_Evap!$C$2:$N$15,MATCH($B$9,Dados_Evap!$A$2:$A$15,0),C1136),0))</f>
        <v/>
      </c>
      <c r="G1136" s="26" t="str">
        <f t="shared" si="4"/>
        <v/>
      </c>
      <c r="H1136" s="26" t="str">
        <f t="shared" si="22"/>
        <v/>
      </c>
      <c r="I1136" s="26" t="str">
        <f t="array" ref="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/>
      </c>
      <c r="J1136" s="26" t="str">
        <f t="shared" si="5"/>
        <v/>
      </c>
      <c r="K1136" s="26" t="str">
        <f t="shared" si="6"/>
        <v/>
      </c>
      <c r="L1136" s="26" t="str">
        <f t="shared" si="7"/>
        <v/>
      </c>
      <c r="M1136" s="26" t="str">
        <f t="array" ref="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/>
      </c>
      <c r="N1136" s="26" t="str">
        <f t="shared" si="8"/>
        <v/>
      </c>
      <c r="O1136" s="26" t="str">
        <f t="shared" si="9"/>
        <v/>
      </c>
      <c r="P1136" s="26" t="str">
        <f t="shared" si="10"/>
        <v/>
      </c>
      <c r="Q1136" s="26" t="str">
        <f t="shared" si="11"/>
        <v/>
      </c>
      <c r="R1136" s="26" t="str">
        <f t="shared" si="12"/>
        <v/>
      </c>
      <c r="S1136" s="26" t="str">
        <f t="shared" si="13"/>
        <v/>
      </c>
      <c r="T1136" s="26" t="str">
        <f t="shared" si="14"/>
        <v/>
      </c>
      <c r="U1136" s="26" t="str">
        <f t="shared" si="15"/>
        <v/>
      </c>
      <c r="V1136" s="26" t="str">
        <f t="shared" si="16"/>
        <v/>
      </c>
      <c r="W1136" s="26" t="str">
        <f t="shared" si="17"/>
        <v/>
      </c>
      <c r="X1136" s="26" t="str">
        <f t="shared" si="18"/>
        <v/>
      </c>
      <c r="Y1136" s="26" t="str">
        <f t="shared" si="19"/>
        <v/>
      </c>
      <c r="Z1136" s="31" t="str">
        <f t="shared" si="20"/>
        <v/>
      </c>
      <c r="AA1136" s="31" t="str">
        <f>IF(D1136="","",IF(H1136&lt;=$B$16,1,IF(H1136&gt;=$B$17,$B$21,MATCH(H1136,Aux_CAV!$A$2:$A$121,1))))</f>
        <v/>
      </c>
      <c r="AB1136" s="31" t="str">
        <f>IF(D1136="","",IF(L1136&lt;=$B$16,1,IF(L1136&gt;=$B$17,$B$21,MATCH(L1136,Aux_CAV!$A$2:$A$121,1))))</f>
        <v/>
      </c>
      <c r="AC1136" s="3" t="str">
        <f t="shared" si="21"/>
        <v/>
      </c>
    </row>
    <row r="1137" ht="12.75" customHeight="1">
      <c r="A1137" s="25" t="str">
        <f t="shared" si="1"/>
        <v/>
      </c>
      <c r="B1137" s="29" t="str">
        <f t="array" ref="B1137">IF(D1137="","",IFERROR(VALUE(INDEX(Vazoes_COLAR!$A$2:$A$200,INT((ROW()-24)/12)+1)),""))</f>
        <v/>
      </c>
      <c r="C1137" s="29" t="str">
        <f t="shared" si="2"/>
        <v/>
      </c>
      <c r="D1137" s="26" t="str">
        <f t="array" ref="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37" s="26" t="str">
        <f t="shared" si="3"/>
        <v/>
      </c>
      <c r="F1137" s="26" t="str">
        <f t="array" ref="F1137">IF(D1137="","",IFERROR(INDEX(Dados_Evap!$C$2:$N$15,MATCH($B$9,Dados_Evap!$A$2:$A$15,0),C1137),0))</f>
        <v/>
      </c>
      <c r="G1137" s="26" t="str">
        <f t="shared" si="4"/>
        <v/>
      </c>
      <c r="H1137" s="26" t="str">
        <f t="shared" si="22"/>
        <v/>
      </c>
      <c r="I1137" s="26" t="str">
        <f t="array" ref="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/>
      </c>
      <c r="J1137" s="26" t="str">
        <f t="shared" si="5"/>
        <v/>
      </c>
      <c r="K1137" s="26" t="str">
        <f t="shared" si="6"/>
        <v/>
      </c>
      <c r="L1137" s="26" t="str">
        <f t="shared" si="7"/>
        <v/>
      </c>
      <c r="M1137" s="26" t="str">
        <f t="array" ref="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/>
      </c>
      <c r="N1137" s="26" t="str">
        <f t="shared" si="8"/>
        <v/>
      </c>
      <c r="O1137" s="26" t="str">
        <f t="shared" si="9"/>
        <v/>
      </c>
      <c r="P1137" s="26" t="str">
        <f t="shared" si="10"/>
        <v/>
      </c>
      <c r="Q1137" s="26" t="str">
        <f t="shared" si="11"/>
        <v/>
      </c>
      <c r="R1137" s="26" t="str">
        <f t="shared" si="12"/>
        <v/>
      </c>
      <c r="S1137" s="26" t="str">
        <f t="shared" si="13"/>
        <v/>
      </c>
      <c r="T1137" s="26" t="str">
        <f t="shared" si="14"/>
        <v/>
      </c>
      <c r="U1137" s="26" t="str">
        <f t="shared" si="15"/>
        <v/>
      </c>
      <c r="V1137" s="26" t="str">
        <f t="shared" si="16"/>
        <v/>
      </c>
      <c r="W1137" s="26" t="str">
        <f t="shared" si="17"/>
        <v/>
      </c>
      <c r="X1137" s="26" t="str">
        <f t="shared" si="18"/>
        <v/>
      </c>
      <c r="Y1137" s="26" t="str">
        <f t="shared" si="19"/>
        <v/>
      </c>
      <c r="Z1137" s="31" t="str">
        <f t="shared" si="20"/>
        <v/>
      </c>
      <c r="AA1137" s="31" t="str">
        <f>IF(D1137="","",IF(H1137&lt;=$B$16,1,IF(H1137&gt;=$B$17,$B$21,MATCH(H1137,Aux_CAV!$A$2:$A$121,1))))</f>
        <v/>
      </c>
      <c r="AB1137" s="31" t="str">
        <f>IF(D1137="","",IF(L1137&lt;=$B$16,1,IF(L1137&gt;=$B$17,$B$21,MATCH(L1137,Aux_CAV!$A$2:$A$121,1))))</f>
        <v/>
      </c>
      <c r="AC1137" s="3" t="str">
        <f t="shared" si="21"/>
        <v/>
      </c>
    </row>
    <row r="1138" ht="12.75" customHeight="1">
      <c r="A1138" s="25" t="str">
        <f t="shared" si="1"/>
        <v/>
      </c>
      <c r="B1138" s="29" t="str">
        <f t="array" ref="B1138">IF(D1138="","",IFERROR(VALUE(INDEX(Vazoes_COLAR!$A$2:$A$200,INT((ROW()-24)/12)+1)),""))</f>
        <v/>
      </c>
      <c r="C1138" s="29" t="str">
        <f t="shared" si="2"/>
        <v/>
      </c>
      <c r="D1138" s="26" t="str">
        <f t="array" ref="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38" s="26" t="str">
        <f t="shared" si="3"/>
        <v/>
      </c>
      <c r="F1138" s="26" t="str">
        <f t="array" ref="F1138">IF(D1138="","",IFERROR(INDEX(Dados_Evap!$C$2:$N$15,MATCH($B$9,Dados_Evap!$A$2:$A$15,0),C1138),0))</f>
        <v/>
      </c>
      <c r="G1138" s="26" t="str">
        <f t="shared" si="4"/>
        <v/>
      </c>
      <c r="H1138" s="26" t="str">
        <f t="shared" si="22"/>
        <v/>
      </c>
      <c r="I1138" s="26" t="str">
        <f t="array" ref="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/>
      </c>
      <c r="J1138" s="26" t="str">
        <f t="shared" si="5"/>
        <v/>
      </c>
      <c r="K1138" s="26" t="str">
        <f t="shared" si="6"/>
        <v/>
      </c>
      <c r="L1138" s="26" t="str">
        <f t="shared" si="7"/>
        <v/>
      </c>
      <c r="M1138" s="26" t="str">
        <f t="array" ref="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/>
      </c>
      <c r="N1138" s="26" t="str">
        <f t="shared" si="8"/>
        <v/>
      </c>
      <c r="O1138" s="26" t="str">
        <f t="shared" si="9"/>
        <v/>
      </c>
      <c r="P1138" s="26" t="str">
        <f t="shared" si="10"/>
        <v/>
      </c>
      <c r="Q1138" s="26" t="str">
        <f t="shared" si="11"/>
        <v/>
      </c>
      <c r="R1138" s="26" t="str">
        <f t="shared" si="12"/>
        <v/>
      </c>
      <c r="S1138" s="26" t="str">
        <f t="shared" si="13"/>
        <v/>
      </c>
      <c r="T1138" s="26" t="str">
        <f t="shared" si="14"/>
        <v/>
      </c>
      <c r="U1138" s="26" t="str">
        <f t="shared" si="15"/>
        <v/>
      </c>
      <c r="V1138" s="26" t="str">
        <f t="shared" si="16"/>
        <v/>
      </c>
      <c r="W1138" s="26" t="str">
        <f t="shared" si="17"/>
        <v/>
      </c>
      <c r="X1138" s="26" t="str">
        <f t="shared" si="18"/>
        <v/>
      </c>
      <c r="Y1138" s="26" t="str">
        <f t="shared" si="19"/>
        <v/>
      </c>
      <c r="Z1138" s="31" t="str">
        <f t="shared" si="20"/>
        <v/>
      </c>
      <c r="AA1138" s="31" t="str">
        <f>IF(D1138="","",IF(H1138&lt;=$B$16,1,IF(H1138&gt;=$B$17,$B$21,MATCH(H1138,Aux_CAV!$A$2:$A$121,1))))</f>
        <v/>
      </c>
      <c r="AB1138" s="31" t="str">
        <f>IF(D1138="","",IF(L1138&lt;=$B$16,1,IF(L1138&gt;=$B$17,$B$21,MATCH(L1138,Aux_CAV!$A$2:$A$121,1))))</f>
        <v/>
      </c>
      <c r="AC1138" s="3" t="str">
        <f t="shared" si="21"/>
        <v/>
      </c>
    </row>
    <row r="1139" ht="12.75" customHeight="1">
      <c r="A1139" s="25" t="str">
        <f t="shared" si="1"/>
        <v/>
      </c>
      <c r="B1139" s="29" t="str">
        <f t="array" ref="B1139">IF(D1139="","",IFERROR(VALUE(INDEX(Vazoes_COLAR!$A$2:$A$200,INT((ROW()-24)/12)+1)),""))</f>
        <v/>
      </c>
      <c r="C1139" s="29" t="str">
        <f t="shared" si="2"/>
        <v/>
      </c>
      <c r="D1139" s="26" t="str">
        <f t="array" ref="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39" s="26" t="str">
        <f t="shared" si="3"/>
        <v/>
      </c>
      <c r="F1139" s="26" t="str">
        <f t="array" ref="F1139">IF(D1139="","",IFERROR(INDEX(Dados_Evap!$C$2:$N$15,MATCH($B$9,Dados_Evap!$A$2:$A$15,0),C1139),0))</f>
        <v/>
      </c>
      <c r="G1139" s="26" t="str">
        <f t="shared" si="4"/>
        <v/>
      </c>
      <c r="H1139" s="26" t="str">
        <f t="shared" si="22"/>
        <v/>
      </c>
      <c r="I1139" s="26" t="str">
        <f t="array" ref="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/>
      </c>
      <c r="J1139" s="26" t="str">
        <f t="shared" si="5"/>
        <v/>
      </c>
      <c r="K1139" s="26" t="str">
        <f t="shared" si="6"/>
        <v/>
      </c>
      <c r="L1139" s="26" t="str">
        <f t="shared" si="7"/>
        <v/>
      </c>
      <c r="M1139" s="26" t="str">
        <f t="array" ref="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/>
      </c>
      <c r="N1139" s="26" t="str">
        <f t="shared" si="8"/>
        <v/>
      </c>
      <c r="O1139" s="26" t="str">
        <f t="shared" si="9"/>
        <v/>
      </c>
      <c r="P1139" s="26" t="str">
        <f t="shared" si="10"/>
        <v/>
      </c>
      <c r="Q1139" s="26" t="str">
        <f t="shared" si="11"/>
        <v/>
      </c>
      <c r="R1139" s="26" t="str">
        <f t="shared" si="12"/>
        <v/>
      </c>
      <c r="S1139" s="26" t="str">
        <f t="shared" si="13"/>
        <v/>
      </c>
      <c r="T1139" s="26" t="str">
        <f t="shared" si="14"/>
        <v/>
      </c>
      <c r="U1139" s="26" t="str">
        <f t="shared" si="15"/>
        <v/>
      </c>
      <c r="V1139" s="26" t="str">
        <f t="shared" si="16"/>
        <v/>
      </c>
      <c r="W1139" s="26" t="str">
        <f t="shared" si="17"/>
        <v/>
      </c>
      <c r="X1139" s="26" t="str">
        <f t="shared" si="18"/>
        <v/>
      </c>
      <c r="Y1139" s="26" t="str">
        <f t="shared" si="19"/>
        <v/>
      </c>
      <c r="Z1139" s="31" t="str">
        <f t="shared" si="20"/>
        <v/>
      </c>
      <c r="AA1139" s="31" t="str">
        <f>IF(D1139="","",IF(H1139&lt;=$B$16,1,IF(H1139&gt;=$B$17,$B$21,MATCH(H1139,Aux_CAV!$A$2:$A$121,1))))</f>
        <v/>
      </c>
      <c r="AB1139" s="31" t="str">
        <f>IF(D1139="","",IF(L1139&lt;=$B$16,1,IF(L1139&gt;=$B$17,$B$21,MATCH(L1139,Aux_CAV!$A$2:$A$121,1))))</f>
        <v/>
      </c>
      <c r="AC1139" s="3" t="str">
        <f t="shared" si="21"/>
        <v/>
      </c>
    </row>
    <row r="1140" ht="12.75" customHeight="1">
      <c r="A1140" s="25" t="str">
        <f t="shared" si="1"/>
        <v/>
      </c>
      <c r="B1140" s="29" t="str">
        <f t="array" ref="B1140">IF(D1140="","",IFERROR(VALUE(INDEX(Vazoes_COLAR!$A$2:$A$200,INT((ROW()-24)/12)+1)),""))</f>
        <v/>
      </c>
      <c r="C1140" s="29" t="str">
        <f t="shared" si="2"/>
        <v/>
      </c>
      <c r="D1140" s="26" t="str">
        <f t="array" ref="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40" s="26" t="str">
        <f t="shared" si="3"/>
        <v/>
      </c>
      <c r="F1140" s="26" t="str">
        <f t="array" ref="F1140">IF(D1140="","",IFERROR(INDEX(Dados_Evap!$C$2:$N$15,MATCH($B$9,Dados_Evap!$A$2:$A$15,0),C1140),0))</f>
        <v/>
      </c>
      <c r="G1140" s="26" t="str">
        <f t="shared" si="4"/>
        <v/>
      </c>
      <c r="H1140" s="26" t="str">
        <f t="shared" si="22"/>
        <v/>
      </c>
      <c r="I1140" s="26" t="str">
        <f t="array" ref="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/>
      </c>
      <c r="J1140" s="26" t="str">
        <f t="shared" si="5"/>
        <v/>
      </c>
      <c r="K1140" s="26" t="str">
        <f t="shared" si="6"/>
        <v/>
      </c>
      <c r="L1140" s="26" t="str">
        <f t="shared" si="7"/>
        <v/>
      </c>
      <c r="M1140" s="26" t="str">
        <f t="array" ref="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/>
      </c>
      <c r="N1140" s="26" t="str">
        <f t="shared" si="8"/>
        <v/>
      </c>
      <c r="O1140" s="26" t="str">
        <f t="shared" si="9"/>
        <v/>
      </c>
      <c r="P1140" s="26" t="str">
        <f t="shared" si="10"/>
        <v/>
      </c>
      <c r="Q1140" s="26" t="str">
        <f t="shared" si="11"/>
        <v/>
      </c>
      <c r="R1140" s="26" t="str">
        <f t="shared" si="12"/>
        <v/>
      </c>
      <c r="S1140" s="26" t="str">
        <f t="shared" si="13"/>
        <v/>
      </c>
      <c r="T1140" s="26" t="str">
        <f t="shared" si="14"/>
        <v/>
      </c>
      <c r="U1140" s="26" t="str">
        <f t="shared" si="15"/>
        <v/>
      </c>
      <c r="V1140" s="26" t="str">
        <f t="shared" si="16"/>
        <v/>
      </c>
      <c r="W1140" s="26" t="str">
        <f t="shared" si="17"/>
        <v/>
      </c>
      <c r="X1140" s="26" t="str">
        <f t="shared" si="18"/>
        <v/>
      </c>
      <c r="Y1140" s="26" t="str">
        <f t="shared" si="19"/>
        <v/>
      </c>
      <c r="Z1140" s="31" t="str">
        <f t="shared" si="20"/>
        <v/>
      </c>
      <c r="AA1140" s="31" t="str">
        <f>IF(D1140="","",IF(H1140&lt;=$B$16,1,IF(H1140&gt;=$B$17,$B$21,MATCH(H1140,Aux_CAV!$A$2:$A$121,1))))</f>
        <v/>
      </c>
      <c r="AB1140" s="31" t="str">
        <f>IF(D1140="","",IF(L1140&lt;=$B$16,1,IF(L1140&gt;=$B$17,$B$21,MATCH(L1140,Aux_CAV!$A$2:$A$121,1))))</f>
        <v/>
      </c>
      <c r="AC1140" s="3" t="str">
        <f t="shared" si="21"/>
        <v/>
      </c>
    </row>
    <row r="1141" ht="12.75" customHeight="1">
      <c r="A1141" s="25" t="str">
        <f t="shared" si="1"/>
        <v/>
      </c>
      <c r="B1141" s="29" t="str">
        <f t="array" ref="B1141">IF(D1141="","",IFERROR(VALUE(INDEX(Vazoes_COLAR!$A$2:$A$200,INT((ROW()-24)/12)+1)),""))</f>
        <v/>
      </c>
      <c r="C1141" s="29" t="str">
        <f t="shared" si="2"/>
        <v/>
      </c>
      <c r="D1141" s="26" t="str">
        <f t="array" ref="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41" s="26" t="str">
        <f t="shared" si="3"/>
        <v/>
      </c>
      <c r="F1141" s="26" t="str">
        <f t="array" ref="F1141">IF(D1141="","",IFERROR(INDEX(Dados_Evap!$C$2:$N$15,MATCH($B$9,Dados_Evap!$A$2:$A$15,0),C1141),0))</f>
        <v/>
      </c>
      <c r="G1141" s="26" t="str">
        <f t="shared" si="4"/>
        <v/>
      </c>
      <c r="H1141" s="26" t="str">
        <f t="shared" si="22"/>
        <v/>
      </c>
      <c r="I1141" s="26" t="str">
        <f t="array" ref="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/>
      </c>
      <c r="J1141" s="26" t="str">
        <f t="shared" si="5"/>
        <v/>
      </c>
      <c r="K1141" s="26" t="str">
        <f t="shared" si="6"/>
        <v/>
      </c>
      <c r="L1141" s="26" t="str">
        <f t="shared" si="7"/>
        <v/>
      </c>
      <c r="M1141" s="26" t="str">
        <f t="array" ref="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/>
      </c>
      <c r="N1141" s="26" t="str">
        <f t="shared" si="8"/>
        <v/>
      </c>
      <c r="O1141" s="26" t="str">
        <f t="shared" si="9"/>
        <v/>
      </c>
      <c r="P1141" s="26" t="str">
        <f t="shared" si="10"/>
        <v/>
      </c>
      <c r="Q1141" s="26" t="str">
        <f t="shared" si="11"/>
        <v/>
      </c>
      <c r="R1141" s="26" t="str">
        <f t="shared" si="12"/>
        <v/>
      </c>
      <c r="S1141" s="26" t="str">
        <f t="shared" si="13"/>
        <v/>
      </c>
      <c r="T1141" s="26" t="str">
        <f t="shared" si="14"/>
        <v/>
      </c>
      <c r="U1141" s="26" t="str">
        <f t="shared" si="15"/>
        <v/>
      </c>
      <c r="V1141" s="26" t="str">
        <f t="shared" si="16"/>
        <v/>
      </c>
      <c r="W1141" s="26" t="str">
        <f t="shared" si="17"/>
        <v/>
      </c>
      <c r="X1141" s="26" t="str">
        <f t="shared" si="18"/>
        <v/>
      </c>
      <c r="Y1141" s="26" t="str">
        <f t="shared" si="19"/>
        <v/>
      </c>
      <c r="Z1141" s="31" t="str">
        <f t="shared" si="20"/>
        <v/>
      </c>
      <c r="AA1141" s="31" t="str">
        <f>IF(D1141="","",IF(H1141&lt;=$B$16,1,IF(H1141&gt;=$B$17,$B$21,MATCH(H1141,Aux_CAV!$A$2:$A$121,1))))</f>
        <v/>
      </c>
      <c r="AB1141" s="31" t="str">
        <f>IF(D1141="","",IF(L1141&lt;=$B$16,1,IF(L1141&gt;=$B$17,$B$21,MATCH(L1141,Aux_CAV!$A$2:$A$121,1))))</f>
        <v/>
      </c>
      <c r="AC1141" s="3" t="str">
        <f t="shared" si="21"/>
        <v/>
      </c>
    </row>
    <row r="1142" ht="12.75" customHeight="1">
      <c r="A1142" s="25" t="str">
        <f t="shared" si="1"/>
        <v/>
      </c>
      <c r="B1142" s="29" t="str">
        <f t="array" ref="B1142">IF(D1142="","",IFERROR(VALUE(INDEX(Vazoes_COLAR!$A$2:$A$200,INT((ROW()-24)/12)+1)),""))</f>
        <v/>
      </c>
      <c r="C1142" s="29" t="str">
        <f t="shared" si="2"/>
        <v/>
      </c>
      <c r="D1142" s="26" t="str">
        <f t="array" ref="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42" s="26" t="str">
        <f t="shared" si="3"/>
        <v/>
      </c>
      <c r="F1142" s="26" t="str">
        <f t="array" ref="F1142">IF(D1142="","",IFERROR(INDEX(Dados_Evap!$C$2:$N$15,MATCH($B$9,Dados_Evap!$A$2:$A$15,0),C1142),0))</f>
        <v/>
      </c>
      <c r="G1142" s="26" t="str">
        <f t="shared" si="4"/>
        <v/>
      </c>
      <c r="H1142" s="26" t="str">
        <f t="shared" si="22"/>
        <v/>
      </c>
      <c r="I1142" s="26" t="str">
        <f t="array" ref="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/>
      </c>
      <c r="J1142" s="26" t="str">
        <f t="shared" si="5"/>
        <v/>
      </c>
      <c r="K1142" s="26" t="str">
        <f t="shared" si="6"/>
        <v/>
      </c>
      <c r="L1142" s="26" t="str">
        <f t="shared" si="7"/>
        <v/>
      </c>
      <c r="M1142" s="26" t="str">
        <f t="array" ref="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/>
      </c>
      <c r="N1142" s="26" t="str">
        <f t="shared" si="8"/>
        <v/>
      </c>
      <c r="O1142" s="26" t="str">
        <f t="shared" si="9"/>
        <v/>
      </c>
      <c r="P1142" s="26" t="str">
        <f t="shared" si="10"/>
        <v/>
      </c>
      <c r="Q1142" s="26" t="str">
        <f t="shared" si="11"/>
        <v/>
      </c>
      <c r="R1142" s="26" t="str">
        <f t="shared" si="12"/>
        <v/>
      </c>
      <c r="S1142" s="26" t="str">
        <f t="shared" si="13"/>
        <v/>
      </c>
      <c r="T1142" s="26" t="str">
        <f t="shared" si="14"/>
        <v/>
      </c>
      <c r="U1142" s="26" t="str">
        <f t="shared" si="15"/>
        <v/>
      </c>
      <c r="V1142" s="26" t="str">
        <f t="shared" si="16"/>
        <v/>
      </c>
      <c r="W1142" s="26" t="str">
        <f t="shared" si="17"/>
        <v/>
      </c>
      <c r="X1142" s="26" t="str">
        <f t="shared" si="18"/>
        <v/>
      </c>
      <c r="Y1142" s="26" t="str">
        <f t="shared" si="19"/>
        <v/>
      </c>
      <c r="Z1142" s="31" t="str">
        <f t="shared" si="20"/>
        <v/>
      </c>
      <c r="AA1142" s="31" t="str">
        <f>IF(D1142="","",IF(H1142&lt;=$B$16,1,IF(H1142&gt;=$B$17,$B$21,MATCH(H1142,Aux_CAV!$A$2:$A$121,1))))</f>
        <v/>
      </c>
      <c r="AB1142" s="31" t="str">
        <f>IF(D1142="","",IF(L1142&lt;=$B$16,1,IF(L1142&gt;=$B$17,$B$21,MATCH(L1142,Aux_CAV!$A$2:$A$121,1))))</f>
        <v/>
      </c>
      <c r="AC1142" s="3" t="str">
        <f t="shared" si="21"/>
        <v/>
      </c>
    </row>
    <row r="1143" ht="12.75" customHeight="1">
      <c r="A1143" s="25" t="str">
        <f t="shared" si="1"/>
        <v/>
      </c>
      <c r="B1143" s="29" t="str">
        <f t="array" ref="B1143">IF(D1143="","",IFERROR(VALUE(INDEX(Vazoes_COLAR!$A$2:$A$200,INT((ROW()-24)/12)+1)),""))</f>
        <v/>
      </c>
      <c r="C1143" s="29" t="str">
        <f t="shared" si="2"/>
        <v/>
      </c>
      <c r="D1143" s="26" t="str">
        <f t="array" ref="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43" s="26" t="str">
        <f t="shared" si="3"/>
        <v/>
      </c>
      <c r="F1143" s="26" t="str">
        <f t="array" ref="F1143">IF(D1143="","",IFERROR(INDEX(Dados_Evap!$C$2:$N$15,MATCH($B$9,Dados_Evap!$A$2:$A$15,0),C1143),0))</f>
        <v/>
      </c>
      <c r="G1143" s="26" t="str">
        <f t="shared" si="4"/>
        <v/>
      </c>
      <c r="H1143" s="26" t="str">
        <f t="shared" si="22"/>
        <v/>
      </c>
      <c r="I1143" s="26" t="str">
        <f t="array" ref="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/>
      </c>
      <c r="J1143" s="26" t="str">
        <f t="shared" si="5"/>
        <v/>
      </c>
      <c r="K1143" s="26" t="str">
        <f t="shared" si="6"/>
        <v/>
      </c>
      <c r="L1143" s="26" t="str">
        <f t="shared" si="7"/>
        <v/>
      </c>
      <c r="M1143" s="26" t="str">
        <f t="array" ref="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/>
      </c>
      <c r="N1143" s="26" t="str">
        <f t="shared" si="8"/>
        <v/>
      </c>
      <c r="O1143" s="26" t="str">
        <f t="shared" si="9"/>
        <v/>
      </c>
      <c r="P1143" s="26" t="str">
        <f t="shared" si="10"/>
        <v/>
      </c>
      <c r="Q1143" s="26" t="str">
        <f t="shared" si="11"/>
        <v/>
      </c>
      <c r="R1143" s="26" t="str">
        <f t="shared" si="12"/>
        <v/>
      </c>
      <c r="S1143" s="26" t="str">
        <f t="shared" si="13"/>
        <v/>
      </c>
      <c r="T1143" s="26" t="str">
        <f t="shared" si="14"/>
        <v/>
      </c>
      <c r="U1143" s="26" t="str">
        <f t="shared" si="15"/>
        <v/>
      </c>
      <c r="V1143" s="26" t="str">
        <f t="shared" si="16"/>
        <v/>
      </c>
      <c r="W1143" s="26" t="str">
        <f t="shared" si="17"/>
        <v/>
      </c>
      <c r="X1143" s="26" t="str">
        <f t="shared" si="18"/>
        <v/>
      </c>
      <c r="Y1143" s="26" t="str">
        <f t="shared" si="19"/>
        <v/>
      </c>
      <c r="Z1143" s="31" t="str">
        <f t="shared" si="20"/>
        <v/>
      </c>
      <c r="AA1143" s="31" t="str">
        <f>IF(D1143="","",IF(H1143&lt;=$B$16,1,IF(H1143&gt;=$B$17,$B$21,MATCH(H1143,Aux_CAV!$A$2:$A$121,1))))</f>
        <v/>
      </c>
      <c r="AB1143" s="31" t="str">
        <f>IF(D1143="","",IF(L1143&lt;=$B$16,1,IF(L1143&gt;=$B$17,$B$21,MATCH(L1143,Aux_CAV!$A$2:$A$121,1))))</f>
        <v/>
      </c>
      <c r="AC1143" s="3" t="str">
        <f t="shared" si="21"/>
        <v/>
      </c>
    </row>
    <row r="1144" ht="12.75" customHeight="1">
      <c r="A1144" s="25" t="str">
        <f t="shared" si="1"/>
        <v/>
      </c>
      <c r="B1144" s="29" t="str">
        <f t="array" ref="B1144">IF(D1144="","",IFERROR(VALUE(INDEX(Vazoes_COLAR!$A$2:$A$200,INT((ROW()-24)/12)+1)),""))</f>
        <v/>
      </c>
      <c r="C1144" s="29" t="str">
        <f t="shared" si="2"/>
        <v/>
      </c>
      <c r="D1144" s="26" t="str">
        <f t="array" ref="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44" s="26" t="str">
        <f t="shared" si="3"/>
        <v/>
      </c>
      <c r="F1144" s="26" t="str">
        <f t="array" ref="F1144">IF(D1144="","",IFERROR(INDEX(Dados_Evap!$C$2:$N$15,MATCH($B$9,Dados_Evap!$A$2:$A$15,0),C1144),0))</f>
        <v/>
      </c>
      <c r="G1144" s="26" t="str">
        <f t="shared" si="4"/>
        <v/>
      </c>
      <c r="H1144" s="26" t="str">
        <f t="shared" si="22"/>
        <v/>
      </c>
      <c r="I1144" s="26" t="str">
        <f t="array" ref="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/>
      </c>
      <c r="J1144" s="26" t="str">
        <f t="shared" si="5"/>
        <v/>
      </c>
      <c r="K1144" s="26" t="str">
        <f t="shared" si="6"/>
        <v/>
      </c>
      <c r="L1144" s="26" t="str">
        <f t="shared" si="7"/>
        <v/>
      </c>
      <c r="M1144" s="26" t="str">
        <f t="array" ref="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/>
      </c>
      <c r="N1144" s="26" t="str">
        <f t="shared" si="8"/>
        <v/>
      </c>
      <c r="O1144" s="26" t="str">
        <f t="shared" si="9"/>
        <v/>
      </c>
      <c r="P1144" s="26" t="str">
        <f t="shared" si="10"/>
        <v/>
      </c>
      <c r="Q1144" s="26" t="str">
        <f t="shared" si="11"/>
        <v/>
      </c>
      <c r="R1144" s="26" t="str">
        <f t="shared" si="12"/>
        <v/>
      </c>
      <c r="S1144" s="26" t="str">
        <f t="shared" si="13"/>
        <v/>
      </c>
      <c r="T1144" s="26" t="str">
        <f t="shared" si="14"/>
        <v/>
      </c>
      <c r="U1144" s="26" t="str">
        <f t="shared" si="15"/>
        <v/>
      </c>
      <c r="V1144" s="26" t="str">
        <f t="shared" si="16"/>
        <v/>
      </c>
      <c r="W1144" s="26" t="str">
        <f t="shared" si="17"/>
        <v/>
      </c>
      <c r="X1144" s="26" t="str">
        <f t="shared" si="18"/>
        <v/>
      </c>
      <c r="Y1144" s="26" t="str">
        <f t="shared" si="19"/>
        <v/>
      </c>
      <c r="Z1144" s="31" t="str">
        <f t="shared" si="20"/>
        <v/>
      </c>
      <c r="AA1144" s="31" t="str">
        <f>IF(D1144="","",IF(H1144&lt;=$B$16,1,IF(H1144&gt;=$B$17,$B$21,MATCH(H1144,Aux_CAV!$A$2:$A$121,1))))</f>
        <v/>
      </c>
      <c r="AB1144" s="31" t="str">
        <f>IF(D1144="","",IF(L1144&lt;=$B$16,1,IF(L1144&gt;=$B$17,$B$21,MATCH(L1144,Aux_CAV!$A$2:$A$121,1))))</f>
        <v/>
      </c>
      <c r="AC1144" s="3" t="str">
        <f t="shared" si="21"/>
        <v/>
      </c>
    </row>
    <row r="1145" ht="12.75" customHeight="1">
      <c r="A1145" s="25" t="str">
        <f t="shared" si="1"/>
        <v/>
      </c>
      <c r="B1145" s="29" t="str">
        <f t="array" ref="B1145">IF(D1145="","",IFERROR(VALUE(INDEX(Vazoes_COLAR!$A$2:$A$200,INT((ROW()-24)/12)+1)),""))</f>
        <v/>
      </c>
      <c r="C1145" s="29" t="str">
        <f t="shared" si="2"/>
        <v/>
      </c>
      <c r="D1145" s="26" t="str">
        <f t="array" ref="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45" s="26" t="str">
        <f t="shared" si="3"/>
        <v/>
      </c>
      <c r="F1145" s="26" t="str">
        <f t="array" ref="F1145">IF(D1145="","",IFERROR(INDEX(Dados_Evap!$C$2:$N$15,MATCH($B$9,Dados_Evap!$A$2:$A$15,0),C1145),0))</f>
        <v/>
      </c>
      <c r="G1145" s="26" t="str">
        <f t="shared" si="4"/>
        <v/>
      </c>
      <c r="H1145" s="26" t="str">
        <f t="shared" si="22"/>
        <v/>
      </c>
      <c r="I1145" s="26" t="str">
        <f t="array" ref="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/>
      </c>
      <c r="J1145" s="26" t="str">
        <f t="shared" si="5"/>
        <v/>
      </c>
      <c r="K1145" s="26" t="str">
        <f t="shared" si="6"/>
        <v/>
      </c>
      <c r="L1145" s="26" t="str">
        <f t="shared" si="7"/>
        <v/>
      </c>
      <c r="M1145" s="26" t="str">
        <f t="array" ref="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/>
      </c>
      <c r="N1145" s="26" t="str">
        <f t="shared" si="8"/>
        <v/>
      </c>
      <c r="O1145" s="26" t="str">
        <f t="shared" si="9"/>
        <v/>
      </c>
      <c r="P1145" s="26" t="str">
        <f t="shared" si="10"/>
        <v/>
      </c>
      <c r="Q1145" s="26" t="str">
        <f t="shared" si="11"/>
        <v/>
      </c>
      <c r="R1145" s="26" t="str">
        <f t="shared" si="12"/>
        <v/>
      </c>
      <c r="S1145" s="26" t="str">
        <f t="shared" si="13"/>
        <v/>
      </c>
      <c r="T1145" s="26" t="str">
        <f t="shared" si="14"/>
        <v/>
      </c>
      <c r="U1145" s="26" t="str">
        <f t="shared" si="15"/>
        <v/>
      </c>
      <c r="V1145" s="26" t="str">
        <f t="shared" si="16"/>
        <v/>
      </c>
      <c r="W1145" s="26" t="str">
        <f t="shared" si="17"/>
        <v/>
      </c>
      <c r="X1145" s="26" t="str">
        <f t="shared" si="18"/>
        <v/>
      </c>
      <c r="Y1145" s="26" t="str">
        <f t="shared" si="19"/>
        <v/>
      </c>
      <c r="Z1145" s="31" t="str">
        <f t="shared" si="20"/>
        <v/>
      </c>
      <c r="AA1145" s="31" t="str">
        <f>IF(D1145="","",IF(H1145&lt;=$B$16,1,IF(H1145&gt;=$B$17,$B$21,MATCH(H1145,Aux_CAV!$A$2:$A$121,1))))</f>
        <v/>
      </c>
      <c r="AB1145" s="31" t="str">
        <f>IF(D1145="","",IF(L1145&lt;=$B$16,1,IF(L1145&gt;=$B$17,$B$21,MATCH(L1145,Aux_CAV!$A$2:$A$121,1))))</f>
        <v/>
      </c>
      <c r="AC1145" s="3" t="str">
        <f t="shared" si="21"/>
        <v/>
      </c>
    </row>
    <row r="1146" ht="12.75" customHeight="1">
      <c r="A1146" s="25" t="str">
        <f t="shared" si="1"/>
        <v/>
      </c>
      <c r="B1146" s="29" t="str">
        <f t="array" ref="B1146">IF(D1146="","",IFERROR(VALUE(INDEX(Vazoes_COLAR!$A$2:$A$200,INT((ROW()-24)/12)+1)),""))</f>
        <v/>
      </c>
      <c r="C1146" s="29" t="str">
        <f t="shared" si="2"/>
        <v/>
      </c>
      <c r="D1146" s="26" t="str">
        <f t="array" ref="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46" s="26" t="str">
        <f t="shared" si="3"/>
        <v/>
      </c>
      <c r="F1146" s="26" t="str">
        <f t="array" ref="F1146">IF(D1146="","",IFERROR(INDEX(Dados_Evap!$C$2:$N$15,MATCH($B$9,Dados_Evap!$A$2:$A$15,0),C1146),0))</f>
        <v/>
      </c>
      <c r="G1146" s="26" t="str">
        <f t="shared" si="4"/>
        <v/>
      </c>
      <c r="H1146" s="26" t="str">
        <f t="shared" si="22"/>
        <v/>
      </c>
      <c r="I1146" s="26" t="str">
        <f t="array" ref="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/>
      </c>
      <c r="J1146" s="26" t="str">
        <f t="shared" si="5"/>
        <v/>
      </c>
      <c r="K1146" s="26" t="str">
        <f t="shared" si="6"/>
        <v/>
      </c>
      <c r="L1146" s="26" t="str">
        <f t="shared" si="7"/>
        <v/>
      </c>
      <c r="M1146" s="26" t="str">
        <f t="array" ref="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/>
      </c>
      <c r="N1146" s="26" t="str">
        <f t="shared" si="8"/>
        <v/>
      </c>
      <c r="O1146" s="26" t="str">
        <f t="shared" si="9"/>
        <v/>
      </c>
      <c r="P1146" s="26" t="str">
        <f t="shared" si="10"/>
        <v/>
      </c>
      <c r="Q1146" s="26" t="str">
        <f t="shared" si="11"/>
        <v/>
      </c>
      <c r="R1146" s="26" t="str">
        <f t="shared" si="12"/>
        <v/>
      </c>
      <c r="S1146" s="26" t="str">
        <f t="shared" si="13"/>
        <v/>
      </c>
      <c r="T1146" s="26" t="str">
        <f t="shared" si="14"/>
        <v/>
      </c>
      <c r="U1146" s="26" t="str">
        <f t="shared" si="15"/>
        <v/>
      </c>
      <c r="V1146" s="26" t="str">
        <f t="shared" si="16"/>
        <v/>
      </c>
      <c r="W1146" s="26" t="str">
        <f t="shared" si="17"/>
        <v/>
      </c>
      <c r="X1146" s="26" t="str">
        <f t="shared" si="18"/>
        <v/>
      </c>
      <c r="Y1146" s="26" t="str">
        <f t="shared" si="19"/>
        <v/>
      </c>
      <c r="Z1146" s="31" t="str">
        <f t="shared" si="20"/>
        <v/>
      </c>
      <c r="AA1146" s="31" t="str">
        <f>IF(D1146="","",IF(H1146&lt;=$B$16,1,IF(H1146&gt;=$B$17,$B$21,MATCH(H1146,Aux_CAV!$A$2:$A$121,1))))</f>
        <v/>
      </c>
      <c r="AB1146" s="31" t="str">
        <f>IF(D1146="","",IF(L1146&lt;=$B$16,1,IF(L1146&gt;=$B$17,$B$21,MATCH(L1146,Aux_CAV!$A$2:$A$121,1))))</f>
        <v/>
      </c>
      <c r="AC1146" s="3" t="str">
        <f t="shared" si="21"/>
        <v/>
      </c>
    </row>
    <row r="1147" ht="12.75" customHeight="1">
      <c r="A1147" s="25" t="str">
        <f t="shared" si="1"/>
        <v/>
      </c>
      <c r="B1147" s="29" t="str">
        <f t="array" ref="B1147">IF(D1147="","",IFERROR(VALUE(INDEX(Vazoes_COLAR!$A$2:$A$200,INT((ROW()-24)/12)+1)),""))</f>
        <v/>
      </c>
      <c r="C1147" s="29" t="str">
        <f t="shared" si="2"/>
        <v/>
      </c>
      <c r="D1147" s="26" t="str">
        <f t="array" ref="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47" s="26" t="str">
        <f t="shared" si="3"/>
        <v/>
      </c>
      <c r="F1147" s="26" t="str">
        <f t="array" ref="F1147">IF(D1147="","",IFERROR(INDEX(Dados_Evap!$C$2:$N$15,MATCH($B$9,Dados_Evap!$A$2:$A$15,0),C1147),0))</f>
        <v/>
      </c>
      <c r="G1147" s="26" t="str">
        <f t="shared" si="4"/>
        <v/>
      </c>
      <c r="H1147" s="26" t="str">
        <f t="shared" si="22"/>
        <v/>
      </c>
      <c r="I1147" s="26" t="str">
        <f t="array" ref="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/>
      </c>
      <c r="J1147" s="26" t="str">
        <f t="shared" si="5"/>
        <v/>
      </c>
      <c r="K1147" s="26" t="str">
        <f t="shared" si="6"/>
        <v/>
      </c>
      <c r="L1147" s="26" t="str">
        <f t="shared" si="7"/>
        <v/>
      </c>
      <c r="M1147" s="26" t="str">
        <f t="array" ref="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/>
      </c>
      <c r="N1147" s="26" t="str">
        <f t="shared" si="8"/>
        <v/>
      </c>
      <c r="O1147" s="26" t="str">
        <f t="shared" si="9"/>
        <v/>
      </c>
      <c r="P1147" s="26" t="str">
        <f t="shared" si="10"/>
        <v/>
      </c>
      <c r="Q1147" s="26" t="str">
        <f t="shared" si="11"/>
        <v/>
      </c>
      <c r="R1147" s="26" t="str">
        <f t="shared" si="12"/>
        <v/>
      </c>
      <c r="S1147" s="26" t="str">
        <f t="shared" si="13"/>
        <v/>
      </c>
      <c r="T1147" s="26" t="str">
        <f t="shared" si="14"/>
        <v/>
      </c>
      <c r="U1147" s="26" t="str">
        <f t="shared" si="15"/>
        <v/>
      </c>
      <c r="V1147" s="26" t="str">
        <f t="shared" si="16"/>
        <v/>
      </c>
      <c r="W1147" s="26" t="str">
        <f t="shared" si="17"/>
        <v/>
      </c>
      <c r="X1147" s="26" t="str">
        <f t="shared" si="18"/>
        <v/>
      </c>
      <c r="Y1147" s="26" t="str">
        <f t="shared" si="19"/>
        <v/>
      </c>
      <c r="Z1147" s="31" t="str">
        <f t="shared" si="20"/>
        <v/>
      </c>
      <c r="AA1147" s="31" t="str">
        <f>IF(D1147="","",IF(H1147&lt;=$B$16,1,IF(H1147&gt;=$B$17,$B$21,MATCH(H1147,Aux_CAV!$A$2:$A$121,1))))</f>
        <v/>
      </c>
      <c r="AB1147" s="31" t="str">
        <f>IF(D1147="","",IF(L1147&lt;=$B$16,1,IF(L1147&gt;=$B$17,$B$21,MATCH(L1147,Aux_CAV!$A$2:$A$121,1))))</f>
        <v/>
      </c>
      <c r="AC1147" s="3" t="str">
        <f t="shared" si="21"/>
        <v/>
      </c>
    </row>
    <row r="1148" ht="12.75" customHeight="1">
      <c r="A1148" s="25" t="str">
        <f t="shared" si="1"/>
        <v/>
      </c>
      <c r="B1148" s="29" t="str">
        <f t="array" ref="B1148">IF(D1148="","",IFERROR(VALUE(INDEX(Vazoes_COLAR!$A$2:$A$200,INT((ROW()-24)/12)+1)),""))</f>
        <v/>
      </c>
      <c r="C1148" s="29" t="str">
        <f t="shared" si="2"/>
        <v/>
      </c>
      <c r="D1148" s="26" t="str">
        <f t="array" ref="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48" s="26" t="str">
        <f t="shared" si="3"/>
        <v/>
      </c>
      <c r="F1148" s="26" t="str">
        <f t="array" ref="F1148">IF(D1148="","",IFERROR(INDEX(Dados_Evap!$C$2:$N$15,MATCH($B$9,Dados_Evap!$A$2:$A$15,0),C1148),0))</f>
        <v/>
      </c>
      <c r="G1148" s="26" t="str">
        <f t="shared" si="4"/>
        <v/>
      </c>
      <c r="H1148" s="26" t="str">
        <f t="shared" si="22"/>
        <v/>
      </c>
      <c r="I1148" s="26" t="str">
        <f t="array" ref="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/>
      </c>
      <c r="J1148" s="26" t="str">
        <f t="shared" si="5"/>
        <v/>
      </c>
      <c r="K1148" s="26" t="str">
        <f t="shared" si="6"/>
        <v/>
      </c>
      <c r="L1148" s="26" t="str">
        <f t="shared" si="7"/>
        <v/>
      </c>
      <c r="M1148" s="26" t="str">
        <f t="array" ref="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/>
      </c>
      <c r="N1148" s="26" t="str">
        <f t="shared" si="8"/>
        <v/>
      </c>
      <c r="O1148" s="26" t="str">
        <f t="shared" si="9"/>
        <v/>
      </c>
      <c r="P1148" s="26" t="str">
        <f t="shared" si="10"/>
        <v/>
      </c>
      <c r="Q1148" s="26" t="str">
        <f t="shared" si="11"/>
        <v/>
      </c>
      <c r="R1148" s="26" t="str">
        <f t="shared" si="12"/>
        <v/>
      </c>
      <c r="S1148" s="26" t="str">
        <f t="shared" si="13"/>
        <v/>
      </c>
      <c r="T1148" s="26" t="str">
        <f t="shared" si="14"/>
        <v/>
      </c>
      <c r="U1148" s="26" t="str">
        <f t="shared" si="15"/>
        <v/>
      </c>
      <c r="V1148" s="26" t="str">
        <f t="shared" si="16"/>
        <v/>
      </c>
      <c r="W1148" s="26" t="str">
        <f t="shared" si="17"/>
        <v/>
      </c>
      <c r="X1148" s="26" t="str">
        <f t="shared" si="18"/>
        <v/>
      </c>
      <c r="Y1148" s="26" t="str">
        <f t="shared" si="19"/>
        <v/>
      </c>
      <c r="Z1148" s="31" t="str">
        <f t="shared" si="20"/>
        <v/>
      </c>
      <c r="AA1148" s="31" t="str">
        <f>IF(D1148="","",IF(H1148&lt;=$B$16,1,IF(H1148&gt;=$B$17,$B$21,MATCH(H1148,Aux_CAV!$A$2:$A$121,1))))</f>
        <v/>
      </c>
      <c r="AB1148" s="31" t="str">
        <f>IF(D1148="","",IF(L1148&lt;=$B$16,1,IF(L1148&gt;=$B$17,$B$21,MATCH(L1148,Aux_CAV!$A$2:$A$121,1))))</f>
        <v/>
      </c>
      <c r="AC1148" s="3" t="str">
        <f t="shared" si="21"/>
        <v/>
      </c>
    </row>
    <row r="1149" ht="12.75" customHeight="1">
      <c r="A1149" s="25" t="str">
        <f t="shared" si="1"/>
        <v/>
      </c>
      <c r="B1149" s="29" t="str">
        <f t="array" ref="B1149">IF(D1149="","",IFERROR(VALUE(INDEX(Vazoes_COLAR!$A$2:$A$200,INT((ROW()-24)/12)+1)),""))</f>
        <v/>
      </c>
      <c r="C1149" s="29" t="str">
        <f t="shared" si="2"/>
        <v/>
      </c>
      <c r="D1149" s="26" t="str">
        <f t="array" ref="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49" s="26" t="str">
        <f t="shared" si="3"/>
        <v/>
      </c>
      <c r="F1149" s="26" t="str">
        <f t="array" ref="F1149">IF(D1149="","",IFERROR(INDEX(Dados_Evap!$C$2:$N$15,MATCH($B$9,Dados_Evap!$A$2:$A$15,0),C1149),0))</f>
        <v/>
      </c>
      <c r="G1149" s="26" t="str">
        <f t="shared" si="4"/>
        <v/>
      </c>
      <c r="H1149" s="26" t="str">
        <f t="shared" si="22"/>
        <v/>
      </c>
      <c r="I1149" s="26" t="str">
        <f t="array" ref="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/>
      </c>
      <c r="J1149" s="26" t="str">
        <f t="shared" si="5"/>
        <v/>
      </c>
      <c r="K1149" s="26" t="str">
        <f t="shared" si="6"/>
        <v/>
      </c>
      <c r="L1149" s="26" t="str">
        <f t="shared" si="7"/>
        <v/>
      </c>
      <c r="M1149" s="26" t="str">
        <f t="array" ref="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/>
      </c>
      <c r="N1149" s="26" t="str">
        <f t="shared" si="8"/>
        <v/>
      </c>
      <c r="O1149" s="26" t="str">
        <f t="shared" si="9"/>
        <v/>
      </c>
      <c r="P1149" s="26" t="str">
        <f t="shared" si="10"/>
        <v/>
      </c>
      <c r="Q1149" s="26" t="str">
        <f t="shared" si="11"/>
        <v/>
      </c>
      <c r="R1149" s="26" t="str">
        <f t="shared" si="12"/>
        <v/>
      </c>
      <c r="S1149" s="26" t="str">
        <f t="shared" si="13"/>
        <v/>
      </c>
      <c r="T1149" s="26" t="str">
        <f t="shared" si="14"/>
        <v/>
      </c>
      <c r="U1149" s="26" t="str">
        <f t="shared" si="15"/>
        <v/>
      </c>
      <c r="V1149" s="26" t="str">
        <f t="shared" si="16"/>
        <v/>
      </c>
      <c r="W1149" s="26" t="str">
        <f t="shared" si="17"/>
        <v/>
      </c>
      <c r="X1149" s="26" t="str">
        <f t="shared" si="18"/>
        <v/>
      </c>
      <c r="Y1149" s="26" t="str">
        <f t="shared" si="19"/>
        <v/>
      </c>
      <c r="Z1149" s="31" t="str">
        <f t="shared" si="20"/>
        <v/>
      </c>
      <c r="AA1149" s="31" t="str">
        <f>IF(D1149="","",IF(H1149&lt;=$B$16,1,IF(H1149&gt;=$B$17,$B$21,MATCH(H1149,Aux_CAV!$A$2:$A$121,1))))</f>
        <v/>
      </c>
      <c r="AB1149" s="31" t="str">
        <f>IF(D1149="","",IF(L1149&lt;=$B$16,1,IF(L1149&gt;=$B$17,$B$21,MATCH(L1149,Aux_CAV!$A$2:$A$121,1))))</f>
        <v/>
      </c>
      <c r="AC1149" s="3" t="str">
        <f t="shared" si="21"/>
        <v/>
      </c>
    </row>
    <row r="1150" ht="12.75" customHeight="1">
      <c r="A1150" s="25" t="str">
        <f t="shared" si="1"/>
        <v/>
      </c>
      <c r="B1150" s="29" t="str">
        <f t="array" ref="B1150">IF(D1150="","",IFERROR(VALUE(INDEX(Vazoes_COLAR!$A$2:$A$200,INT((ROW()-24)/12)+1)),""))</f>
        <v/>
      </c>
      <c r="C1150" s="29" t="str">
        <f t="shared" si="2"/>
        <v/>
      </c>
      <c r="D1150" s="26" t="str">
        <f t="array" ref="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50" s="26" t="str">
        <f t="shared" si="3"/>
        <v/>
      </c>
      <c r="F1150" s="26" t="str">
        <f t="array" ref="F1150">IF(D1150="","",IFERROR(INDEX(Dados_Evap!$C$2:$N$15,MATCH($B$9,Dados_Evap!$A$2:$A$15,0),C1150),0))</f>
        <v/>
      </c>
      <c r="G1150" s="26" t="str">
        <f t="shared" si="4"/>
        <v/>
      </c>
      <c r="H1150" s="26" t="str">
        <f t="shared" si="22"/>
        <v/>
      </c>
      <c r="I1150" s="26" t="str">
        <f t="array" ref="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/>
      </c>
      <c r="J1150" s="26" t="str">
        <f t="shared" si="5"/>
        <v/>
      </c>
      <c r="K1150" s="26" t="str">
        <f t="shared" si="6"/>
        <v/>
      </c>
      <c r="L1150" s="26" t="str">
        <f t="shared" si="7"/>
        <v/>
      </c>
      <c r="M1150" s="26" t="str">
        <f t="array" ref="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/>
      </c>
      <c r="N1150" s="26" t="str">
        <f t="shared" si="8"/>
        <v/>
      </c>
      <c r="O1150" s="26" t="str">
        <f t="shared" si="9"/>
        <v/>
      </c>
      <c r="P1150" s="26" t="str">
        <f t="shared" si="10"/>
        <v/>
      </c>
      <c r="Q1150" s="26" t="str">
        <f t="shared" si="11"/>
        <v/>
      </c>
      <c r="R1150" s="26" t="str">
        <f t="shared" si="12"/>
        <v/>
      </c>
      <c r="S1150" s="26" t="str">
        <f t="shared" si="13"/>
        <v/>
      </c>
      <c r="T1150" s="26" t="str">
        <f t="shared" si="14"/>
        <v/>
      </c>
      <c r="U1150" s="26" t="str">
        <f t="shared" si="15"/>
        <v/>
      </c>
      <c r="V1150" s="26" t="str">
        <f t="shared" si="16"/>
        <v/>
      </c>
      <c r="W1150" s="26" t="str">
        <f t="shared" si="17"/>
        <v/>
      </c>
      <c r="X1150" s="26" t="str">
        <f t="shared" si="18"/>
        <v/>
      </c>
      <c r="Y1150" s="26" t="str">
        <f t="shared" si="19"/>
        <v/>
      </c>
      <c r="Z1150" s="31" t="str">
        <f t="shared" si="20"/>
        <v/>
      </c>
      <c r="AA1150" s="31" t="str">
        <f>IF(D1150="","",IF(H1150&lt;=$B$16,1,IF(H1150&gt;=$B$17,$B$21,MATCH(H1150,Aux_CAV!$A$2:$A$121,1))))</f>
        <v/>
      </c>
      <c r="AB1150" s="31" t="str">
        <f>IF(D1150="","",IF(L1150&lt;=$B$16,1,IF(L1150&gt;=$B$17,$B$21,MATCH(L1150,Aux_CAV!$A$2:$A$121,1))))</f>
        <v/>
      </c>
      <c r="AC1150" s="3" t="str">
        <f t="shared" si="21"/>
        <v/>
      </c>
    </row>
    <row r="1151" ht="12.75" customHeight="1">
      <c r="A1151" s="25" t="str">
        <f t="shared" si="1"/>
        <v/>
      </c>
      <c r="B1151" s="29" t="str">
        <f t="array" ref="B1151">IF(D1151="","",IFERROR(VALUE(INDEX(Vazoes_COLAR!$A$2:$A$200,INT((ROW()-24)/12)+1)),""))</f>
        <v/>
      </c>
      <c r="C1151" s="29" t="str">
        <f t="shared" si="2"/>
        <v/>
      </c>
      <c r="D1151" s="26" t="str">
        <f t="array" ref="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51" s="26" t="str">
        <f t="shared" si="3"/>
        <v/>
      </c>
      <c r="F1151" s="26" t="str">
        <f t="array" ref="F1151">IF(D1151="","",IFERROR(INDEX(Dados_Evap!$C$2:$N$15,MATCH($B$9,Dados_Evap!$A$2:$A$15,0),C1151),0))</f>
        <v/>
      </c>
      <c r="G1151" s="26" t="str">
        <f t="shared" si="4"/>
        <v/>
      </c>
      <c r="H1151" s="26" t="str">
        <f t="shared" si="22"/>
        <v/>
      </c>
      <c r="I1151" s="26" t="str">
        <f t="array" ref="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/>
      </c>
      <c r="J1151" s="26" t="str">
        <f t="shared" si="5"/>
        <v/>
      </c>
      <c r="K1151" s="26" t="str">
        <f t="shared" si="6"/>
        <v/>
      </c>
      <c r="L1151" s="26" t="str">
        <f t="shared" si="7"/>
        <v/>
      </c>
      <c r="M1151" s="26" t="str">
        <f t="array" ref="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/>
      </c>
      <c r="N1151" s="26" t="str">
        <f t="shared" si="8"/>
        <v/>
      </c>
      <c r="O1151" s="26" t="str">
        <f t="shared" si="9"/>
        <v/>
      </c>
      <c r="P1151" s="26" t="str">
        <f t="shared" si="10"/>
        <v/>
      </c>
      <c r="Q1151" s="26" t="str">
        <f t="shared" si="11"/>
        <v/>
      </c>
      <c r="R1151" s="26" t="str">
        <f t="shared" si="12"/>
        <v/>
      </c>
      <c r="S1151" s="26" t="str">
        <f t="shared" si="13"/>
        <v/>
      </c>
      <c r="T1151" s="26" t="str">
        <f t="shared" si="14"/>
        <v/>
      </c>
      <c r="U1151" s="26" t="str">
        <f t="shared" si="15"/>
        <v/>
      </c>
      <c r="V1151" s="26" t="str">
        <f t="shared" si="16"/>
        <v/>
      </c>
      <c r="W1151" s="26" t="str">
        <f t="shared" si="17"/>
        <v/>
      </c>
      <c r="X1151" s="26" t="str">
        <f t="shared" si="18"/>
        <v/>
      </c>
      <c r="Y1151" s="26" t="str">
        <f t="shared" si="19"/>
        <v/>
      </c>
      <c r="Z1151" s="31" t="str">
        <f t="shared" si="20"/>
        <v/>
      </c>
      <c r="AA1151" s="31" t="str">
        <f>IF(D1151="","",IF(H1151&lt;=$B$16,1,IF(H1151&gt;=$B$17,$B$21,MATCH(H1151,Aux_CAV!$A$2:$A$121,1))))</f>
        <v/>
      </c>
      <c r="AB1151" s="31" t="str">
        <f>IF(D1151="","",IF(L1151&lt;=$B$16,1,IF(L1151&gt;=$B$17,$B$21,MATCH(L1151,Aux_CAV!$A$2:$A$121,1))))</f>
        <v/>
      </c>
      <c r="AC1151" s="3" t="str">
        <f t="shared" si="21"/>
        <v/>
      </c>
    </row>
    <row r="1152" ht="12.75" customHeight="1">
      <c r="A1152" s="25" t="str">
        <f t="shared" si="1"/>
        <v/>
      </c>
      <c r="B1152" s="29" t="str">
        <f t="array" ref="B1152">IF(D1152="","",IFERROR(VALUE(INDEX(Vazoes_COLAR!$A$2:$A$200,INT((ROW()-24)/12)+1)),""))</f>
        <v/>
      </c>
      <c r="C1152" s="29" t="str">
        <f t="shared" si="2"/>
        <v/>
      </c>
      <c r="D1152" s="26" t="str">
        <f t="array" ref="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52" s="26" t="str">
        <f t="shared" si="3"/>
        <v/>
      </c>
      <c r="F1152" s="26" t="str">
        <f t="array" ref="F1152">IF(D1152="","",IFERROR(INDEX(Dados_Evap!$C$2:$N$15,MATCH($B$9,Dados_Evap!$A$2:$A$15,0),C1152),0))</f>
        <v/>
      </c>
      <c r="G1152" s="26" t="str">
        <f t="shared" si="4"/>
        <v/>
      </c>
      <c r="H1152" s="26" t="str">
        <f t="shared" si="22"/>
        <v/>
      </c>
      <c r="I1152" s="26" t="str">
        <f t="array" ref="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/>
      </c>
      <c r="J1152" s="26" t="str">
        <f t="shared" si="5"/>
        <v/>
      </c>
      <c r="K1152" s="26" t="str">
        <f t="shared" si="6"/>
        <v/>
      </c>
      <c r="L1152" s="26" t="str">
        <f t="shared" si="7"/>
        <v/>
      </c>
      <c r="M1152" s="26" t="str">
        <f t="array" ref="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/>
      </c>
      <c r="N1152" s="26" t="str">
        <f t="shared" si="8"/>
        <v/>
      </c>
      <c r="O1152" s="26" t="str">
        <f t="shared" si="9"/>
        <v/>
      </c>
      <c r="P1152" s="26" t="str">
        <f t="shared" si="10"/>
        <v/>
      </c>
      <c r="Q1152" s="26" t="str">
        <f t="shared" si="11"/>
        <v/>
      </c>
      <c r="R1152" s="26" t="str">
        <f t="shared" si="12"/>
        <v/>
      </c>
      <c r="S1152" s="26" t="str">
        <f t="shared" si="13"/>
        <v/>
      </c>
      <c r="T1152" s="26" t="str">
        <f t="shared" si="14"/>
        <v/>
      </c>
      <c r="U1152" s="26" t="str">
        <f t="shared" si="15"/>
        <v/>
      </c>
      <c r="V1152" s="26" t="str">
        <f t="shared" si="16"/>
        <v/>
      </c>
      <c r="W1152" s="26" t="str">
        <f t="shared" si="17"/>
        <v/>
      </c>
      <c r="X1152" s="26" t="str">
        <f t="shared" si="18"/>
        <v/>
      </c>
      <c r="Y1152" s="26" t="str">
        <f t="shared" si="19"/>
        <v/>
      </c>
      <c r="Z1152" s="31" t="str">
        <f t="shared" si="20"/>
        <v/>
      </c>
      <c r="AA1152" s="31" t="str">
        <f>IF(D1152="","",IF(H1152&lt;=$B$16,1,IF(H1152&gt;=$B$17,$B$21,MATCH(H1152,Aux_CAV!$A$2:$A$121,1))))</f>
        <v/>
      </c>
      <c r="AB1152" s="31" t="str">
        <f>IF(D1152="","",IF(L1152&lt;=$B$16,1,IF(L1152&gt;=$B$17,$B$21,MATCH(L1152,Aux_CAV!$A$2:$A$121,1))))</f>
        <v/>
      </c>
      <c r="AC1152" s="3" t="str">
        <f t="shared" si="21"/>
        <v/>
      </c>
    </row>
    <row r="1153" ht="12.75" customHeight="1">
      <c r="A1153" s="25" t="str">
        <f t="shared" si="1"/>
        <v/>
      </c>
      <c r="B1153" s="29" t="str">
        <f t="array" ref="B1153">IF(D1153="","",IFERROR(VALUE(INDEX(Vazoes_COLAR!$A$2:$A$200,INT((ROW()-24)/12)+1)),""))</f>
        <v/>
      </c>
      <c r="C1153" s="29" t="str">
        <f t="shared" si="2"/>
        <v/>
      </c>
      <c r="D1153" s="26" t="str">
        <f t="array" ref="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53" s="26" t="str">
        <f t="shared" si="3"/>
        <v/>
      </c>
      <c r="F1153" s="26" t="str">
        <f t="array" ref="F1153">IF(D1153="","",IFERROR(INDEX(Dados_Evap!$C$2:$N$15,MATCH($B$9,Dados_Evap!$A$2:$A$15,0),C1153),0))</f>
        <v/>
      </c>
      <c r="G1153" s="26" t="str">
        <f t="shared" si="4"/>
        <v/>
      </c>
      <c r="H1153" s="26" t="str">
        <f t="shared" si="22"/>
        <v/>
      </c>
      <c r="I1153" s="26" t="str">
        <f t="array" ref="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/>
      </c>
      <c r="J1153" s="26" t="str">
        <f t="shared" si="5"/>
        <v/>
      </c>
      <c r="K1153" s="26" t="str">
        <f t="shared" si="6"/>
        <v/>
      </c>
      <c r="L1153" s="26" t="str">
        <f t="shared" si="7"/>
        <v/>
      </c>
      <c r="M1153" s="26" t="str">
        <f t="array" ref="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/>
      </c>
      <c r="N1153" s="26" t="str">
        <f t="shared" si="8"/>
        <v/>
      </c>
      <c r="O1153" s="26" t="str">
        <f t="shared" si="9"/>
        <v/>
      </c>
      <c r="P1153" s="26" t="str">
        <f t="shared" si="10"/>
        <v/>
      </c>
      <c r="Q1153" s="26" t="str">
        <f t="shared" si="11"/>
        <v/>
      </c>
      <c r="R1153" s="26" t="str">
        <f t="shared" si="12"/>
        <v/>
      </c>
      <c r="S1153" s="26" t="str">
        <f t="shared" si="13"/>
        <v/>
      </c>
      <c r="T1153" s="26" t="str">
        <f t="shared" si="14"/>
        <v/>
      </c>
      <c r="U1153" s="26" t="str">
        <f t="shared" si="15"/>
        <v/>
      </c>
      <c r="V1153" s="26" t="str">
        <f t="shared" si="16"/>
        <v/>
      </c>
      <c r="W1153" s="26" t="str">
        <f t="shared" si="17"/>
        <v/>
      </c>
      <c r="X1153" s="26" t="str">
        <f t="shared" si="18"/>
        <v/>
      </c>
      <c r="Y1153" s="26" t="str">
        <f t="shared" si="19"/>
        <v/>
      </c>
      <c r="Z1153" s="31" t="str">
        <f t="shared" si="20"/>
        <v/>
      </c>
      <c r="AA1153" s="31" t="str">
        <f>IF(D1153="","",IF(H1153&lt;=$B$16,1,IF(H1153&gt;=$B$17,$B$21,MATCH(H1153,Aux_CAV!$A$2:$A$121,1))))</f>
        <v/>
      </c>
      <c r="AB1153" s="31" t="str">
        <f>IF(D1153="","",IF(L1153&lt;=$B$16,1,IF(L1153&gt;=$B$17,$B$21,MATCH(L1153,Aux_CAV!$A$2:$A$121,1))))</f>
        <v/>
      </c>
      <c r="AC1153" s="3" t="str">
        <f t="shared" si="21"/>
        <v/>
      </c>
    </row>
    <row r="1154" ht="12.75" customHeight="1">
      <c r="A1154" s="25" t="str">
        <f t="shared" si="1"/>
        <v/>
      </c>
      <c r="B1154" s="29" t="str">
        <f t="array" ref="B1154">IF(D1154="","",IFERROR(VALUE(INDEX(Vazoes_COLAR!$A$2:$A$200,INT((ROW()-24)/12)+1)),""))</f>
        <v/>
      </c>
      <c r="C1154" s="29" t="str">
        <f t="shared" si="2"/>
        <v/>
      </c>
      <c r="D1154" s="26" t="str">
        <f t="array" ref="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54" s="26" t="str">
        <f t="shared" si="3"/>
        <v/>
      </c>
      <c r="F1154" s="26" t="str">
        <f t="array" ref="F1154">IF(D1154="","",IFERROR(INDEX(Dados_Evap!$C$2:$N$15,MATCH($B$9,Dados_Evap!$A$2:$A$15,0),C1154),0))</f>
        <v/>
      </c>
      <c r="G1154" s="26" t="str">
        <f t="shared" si="4"/>
        <v/>
      </c>
      <c r="H1154" s="26" t="str">
        <f t="shared" si="22"/>
        <v/>
      </c>
      <c r="I1154" s="26" t="str">
        <f t="array" ref="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/>
      </c>
      <c r="J1154" s="26" t="str">
        <f t="shared" si="5"/>
        <v/>
      </c>
      <c r="K1154" s="26" t="str">
        <f t="shared" si="6"/>
        <v/>
      </c>
      <c r="L1154" s="26" t="str">
        <f t="shared" si="7"/>
        <v/>
      </c>
      <c r="M1154" s="26" t="str">
        <f t="array" ref="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/>
      </c>
      <c r="N1154" s="26" t="str">
        <f t="shared" si="8"/>
        <v/>
      </c>
      <c r="O1154" s="26" t="str">
        <f t="shared" si="9"/>
        <v/>
      </c>
      <c r="P1154" s="26" t="str">
        <f t="shared" si="10"/>
        <v/>
      </c>
      <c r="Q1154" s="26" t="str">
        <f t="shared" si="11"/>
        <v/>
      </c>
      <c r="R1154" s="26" t="str">
        <f t="shared" si="12"/>
        <v/>
      </c>
      <c r="S1154" s="26" t="str">
        <f t="shared" si="13"/>
        <v/>
      </c>
      <c r="T1154" s="26" t="str">
        <f t="shared" si="14"/>
        <v/>
      </c>
      <c r="U1154" s="26" t="str">
        <f t="shared" si="15"/>
        <v/>
      </c>
      <c r="V1154" s="26" t="str">
        <f t="shared" si="16"/>
        <v/>
      </c>
      <c r="W1154" s="26" t="str">
        <f t="shared" si="17"/>
        <v/>
      </c>
      <c r="X1154" s="26" t="str">
        <f t="shared" si="18"/>
        <v/>
      </c>
      <c r="Y1154" s="26" t="str">
        <f t="shared" si="19"/>
        <v/>
      </c>
      <c r="Z1154" s="31" t="str">
        <f t="shared" si="20"/>
        <v/>
      </c>
      <c r="AA1154" s="31" t="str">
        <f>IF(D1154="","",IF(H1154&lt;=$B$16,1,IF(H1154&gt;=$B$17,$B$21,MATCH(H1154,Aux_CAV!$A$2:$A$121,1))))</f>
        <v/>
      </c>
      <c r="AB1154" s="31" t="str">
        <f>IF(D1154="","",IF(L1154&lt;=$B$16,1,IF(L1154&gt;=$B$17,$B$21,MATCH(L1154,Aux_CAV!$A$2:$A$121,1))))</f>
        <v/>
      </c>
      <c r="AC1154" s="3" t="str">
        <f t="shared" si="21"/>
        <v/>
      </c>
    </row>
    <row r="1155" ht="12.75" customHeight="1">
      <c r="A1155" s="25" t="str">
        <f t="shared" si="1"/>
        <v/>
      </c>
      <c r="B1155" s="29" t="str">
        <f t="array" ref="B1155">IF(D1155="","",IFERROR(VALUE(INDEX(Vazoes_COLAR!$A$2:$A$200,INT((ROW()-24)/12)+1)),""))</f>
        <v/>
      </c>
      <c r="C1155" s="29" t="str">
        <f t="shared" si="2"/>
        <v/>
      </c>
      <c r="D1155" s="26" t="str">
        <f t="array" ref="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55" s="26" t="str">
        <f t="shared" si="3"/>
        <v/>
      </c>
      <c r="F1155" s="26" t="str">
        <f t="array" ref="F1155">IF(D1155="","",IFERROR(INDEX(Dados_Evap!$C$2:$N$15,MATCH($B$9,Dados_Evap!$A$2:$A$15,0),C1155),0))</f>
        <v/>
      </c>
      <c r="G1155" s="26" t="str">
        <f t="shared" si="4"/>
        <v/>
      </c>
      <c r="H1155" s="26" t="str">
        <f t="shared" si="22"/>
        <v/>
      </c>
      <c r="I1155" s="26" t="str">
        <f t="array" ref="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/>
      </c>
      <c r="J1155" s="26" t="str">
        <f t="shared" si="5"/>
        <v/>
      </c>
      <c r="K1155" s="26" t="str">
        <f t="shared" si="6"/>
        <v/>
      </c>
      <c r="L1155" s="26" t="str">
        <f t="shared" si="7"/>
        <v/>
      </c>
      <c r="M1155" s="26" t="str">
        <f t="array" ref="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/>
      </c>
      <c r="N1155" s="26" t="str">
        <f t="shared" si="8"/>
        <v/>
      </c>
      <c r="O1155" s="26" t="str">
        <f t="shared" si="9"/>
        <v/>
      </c>
      <c r="P1155" s="26" t="str">
        <f t="shared" si="10"/>
        <v/>
      </c>
      <c r="Q1155" s="26" t="str">
        <f t="shared" si="11"/>
        <v/>
      </c>
      <c r="R1155" s="26" t="str">
        <f t="shared" si="12"/>
        <v/>
      </c>
      <c r="S1155" s="26" t="str">
        <f t="shared" si="13"/>
        <v/>
      </c>
      <c r="T1155" s="26" t="str">
        <f t="shared" si="14"/>
        <v/>
      </c>
      <c r="U1155" s="26" t="str">
        <f t="shared" si="15"/>
        <v/>
      </c>
      <c r="V1155" s="26" t="str">
        <f t="shared" si="16"/>
        <v/>
      </c>
      <c r="W1155" s="26" t="str">
        <f t="shared" si="17"/>
        <v/>
      </c>
      <c r="X1155" s="26" t="str">
        <f t="shared" si="18"/>
        <v/>
      </c>
      <c r="Y1155" s="26" t="str">
        <f t="shared" si="19"/>
        <v/>
      </c>
      <c r="Z1155" s="31" t="str">
        <f t="shared" si="20"/>
        <v/>
      </c>
      <c r="AA1155" s="31" t="str">
        <f>IF(D1155="","",IF(H1155&lt;=$B$16,1,IF(H1155&gt;=$B$17,$B$21,MATCH(H1155,Aux_CAV!$A$2:$A$121,1))))</f>
        <v/>
      </c>
      <c r="AB1155" s="31" t="str">
        <f>IF(D1155="","",IF(L1155&lt;=$B$16,1,IF(L1155&gt;=$B$17,$B$21,MATCH(L1155,Aux_CAV!$A$2:$A$121,1))))</f>
        <v/>
      </c>
      <c r="AC1155" s="3" t="str">
        <f t="shared" si="21"/>
        <v/>
      </c>
    </row>
    <row r="1156" ht="12.75" customHeight="1">
      <c r="A1156" s="25" t="str">
        <f t="shared" si="1"/>
        <v/>
      </c>
      <c r="B1156" s="29" t="str">
        <f t="array" ref="B1156">IF(D1156="","",IFERROR(VALUE(INDEX(Vazoes_COLAR!$A$2:$A$200,INT((ROW()-24)/12)+1)),""))</f>
        <v/>
      </c>
      <c r="C1156" s="29" t="str">
        <f t="shared" si="2"/>
        <v/>
      </c>
      <c r="D1156" s="26" t="str">
        <f t="array" ref="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56" s="26" t="str">
        <f t="shared" si="3"/>
        <v/>
      </c>
      <c r="F1156" s="26" t="str">
        <f t="array" ref="F1156">IF(D1156="","",IFERROR(INDEX(Dados_Evap!$C$2:$N$15,MATCH($B$9,Dados_Evap!$A$2:$A$15,0),C1156),0))</f>
        <v/>
      </c>
      <c r="G1156" s="26" t="str">
        <f t="shared" si="4"/>
        <v/>
      </c>
      <c r="H1156" s="26" t="str">
        <f t="shared" si="22"/>
        <v/>
      </c>
      <c r="I1156" s="26" t="str">
        <f t="array" ref="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/>
      </c>
      <c r="J1156" s="26" t="str">
        <f t="shared" si="5"/>
        <v/>
      </c>
      <c r="K1156" s="26" t="str">
        <f t="shared" si="6"/>
        <v/>
      </c>
      <c r="L1156" s="26" t="str">
        <f t="shared" si="7"/>
        <v/>
      </c>
      <c r="M1156" s="26" t="str">
        <f t="array" ref="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/>
      </c>
      <c r="N1156" s="26" t="str">
        <f t="shared" si="8"/>
        <v/>
      </c>
      <c r="O1156" s="26" t="str">
        <f t="shared" si="9"/>
        <v/>
      </c>
      <c r="P1156" s="26" t="str">
        <f t="shared" si="10"/>
        <v/>
      </c>
      <c r="Q1156" s="26" t="str">
        <f t="shared" si="11"/>
        <v/>
      </c>
      <c r="R1156" s="26" t="str">
        <f t="shared" si="12"/>
        <v/>
      </c>
      <c r="S1156" s="26" t="str">
        <f t="shared" si="13"/>
        <v/>
      </c>
      <c r="T1156" s="26" t="str">
        <f t="shared" si="14"/>
        <v/>
      </c>
      <c r="U1156" s="26" t="str">
        <f t="shared" si="15"/>
        <v/>
      </c>
      <c r="V1156" s="26" t="str">
        <f t="shared" si="16"/>
        <v/>
      </c>
      <c r="W1156" s="26" t="str">
        <f t="shared" si="17"/>
        <v/>
      </c>
      <c r="X1156" s="26" t="str">
        <f t="shared" si="18"/>
        <v/>
      </c>
      <c r="Y1156" s="26" t="str">
        <f t="shared" si="19"/>
        <v/>
      </c>
      <c r="Z1156" s="31" t="str">
        <f t="shared" si="20"/>
        <v/>
      </c>
      <c r="AA1156" s="31" t="str">
        <f>IF(D1156="","",IF(H1156&lt;=$B$16,1,IF(H1156&gt;=$B$17,$B$21,MATCH(H1156,Aux_CAV!$A$2:$A$121,1))))</f>
        <v/>
      </c>
      <c r="AB1156" s="31" t="str">
        <f>IF(D1156="","",IF(L1156&lt;=$B$16,1,IF(L1156&gt;=$B$17,$B$21,MATCH(L1156,Aux_CAV!$A$2:$A$121,1))))</f>
        <v/>
      </c>
      <c r="AC1156" s="3" t="str">
        <f t="shared" si="21"/>
        <v/>
      </c>
    </row>
    <row r="1157" ht="12.75" customHeight="1">
      <c r="A1157" s="25" t="str">
        <f t="shared" si="1"/>
        <v/>
      </c>
      <c r="B1157" s="29" t="str">
        <f t="array" ref="B1157">IF(D1157="","",IFERROR(VALUE(INDEX(Vazoes_COLAR!$A$2:$A$200,INT((ROW()-24)/12)+1)),""))</f>
        <v/>
      </c>
      <c r="C1157" s="29" t="str">
        <f t="shared" si="2"/>
        <v/>
      </c>
      <c r="D1157" s="26" t="str">
        <f t="array" ref="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57" s="26" t="str">
        <f t="shared" si="3"/>
        <v/>
      </c>
      <c r="F1157" s="26" t="str">
        <f t="array" ref="F1157">IF(D1157="","",IFERROR(INDEX(Dados_Evap!$C$2:$N$15,MATCH($B$9,Dados_Evap!$A$2:$A$15,0),C1157),0))</f>
        <v/>
      </c>
      <c r="G1157" s="26" t="str">
        <f t="shared" si="4"/>
        <v/>
      </c>
      <c r="H1157" s="26" t="str">
        <f t="shared" si="22"/>
        <v/>
      </c>
      <c r="I1157" s="26" t="str">
        <f t="array" ref="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/>
      </c>
      <c r="J1157" s="26" t="str">
        <f t="shared" si="5"/>
        <v/>
      </c>
      <c r="K1157" s="26" t="str">
        <f t="shared" si="6"/>
        <v/>
      </c>
      <c r="L1157" s="26" t="str">
        <f t="shared" si="7"/>
        <v/>
      </c>
      <c r="M1157" s="26" t="str">
        <f t="array" ref="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/>
      </c>
      <c r="N1157" s="26" t="str">
        <f t="shared" si="8"/>
        <v/>
      </c>
      <c r="O1157" s="26" t="str">
        <f t="shared" si="9"/>
        <v/>
      </c>
      <c r="P1157" s="26" t="str">
        <f t="shared" si="10"/>
        <v/>
      </c>
      <c r="Q1157" s="26" t="str">
        <f t="shared" si="11"/>
        <v/>
      </c>
      <c r="R1157" s="26" t="str">
        <f t="shared" si="12"/>
        <v/>
      </c>
      <c r="S1157" s="26" t="str">
        <f t="shared" si="13"/>
        <v/>
      </c>
      <c r="T1157" s="26" t="str">
        <f t="shared" si="14"/>
        <v/>
      </c>
      <c r="U1157" s="26" t="str">
        <f t="shared" si="15"/>
        <v/>
      </c>
      <c r="V1157" s="26" t="str">
        <f t="shared" si="16"/>
        <v/>
      </c>
      <c r="W1157" s="26" t="str">
        <f t="shared" si="17"/>
        <v/>
      </c>
      <c r="X1157" s="26" t="str">
        <f t="shared" si="18"/>
        <v/>
      </c>
      <c r="Y1157" s="26" t="str">
        <f t="shared" si="19"/>
        <v/>
      </c>
      <c r="Z1157" s="31" t="str">
        <f t="shared" si="20"/>
        <v/>
      </c>
      <c r="AA1157" s="31" t="str">
        <f>IF(D1157="","",IF(H1157&lt;=$B$16,1,IF(H1157&gt;=$B$17,$B$21,MATCH(H1157,Aux_CAV!$A$2:$A$121,1))))</f>
        <v/>
      </c>
      <c r="AB1157" s="31" t="str">
        <f>IF(D1157="","",IF(L1157&lt;=$B$16,1,IF(L1157&gt;=$B$17,$B$21,MATCH(L1157,Aux_CAV!$A$2:$A$121,1))))</f>
        <v/>
      </c>
      <c r="AC1157" s="3" t="str">
        <f t="shared" si="21"/>
        <v/>
      </c>
    </row>
    <row r="1158" ht="12.75" customHeight="1">
      <c r="A1158" s="25" t="str">
        <f t="shared" si="1"/>
        <v/>
      </c>
      <c r="B1158" s="29" t="str">
        <f t="array" ref="B1158">IF(D1158="","",IFERROR(VALUE(INDEX(Vazoes_COLAR!$A$2:$A$200,INT((ROW()-24)/12)+1)),""))</f>
        <v/>
      </c>
      <c r="C1158" s="29" t="str">
        <f t="shared" si="2"/>
        <v/>
      </c>
      <c r="D1158" s="26" t="str">
        <f t="array" ref="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58" s="26" t="str">
        <f t="shared" si="3"/>
        <v/>
      </c>
      <c r="F1158" s="26" t="str">
        <f t="array" ref="F1158">IF(D1158="","",IFERROR(INDEX(Dados_Evap!$C$2:$N$15,MATCH($B$9,Dados_Evap!$A$2:$A$15,0),C1158),0))</f>
        <v/>
      </c>
      <c r="G1158" s="26" t="str">
        <f t="shared" si="4"/>
        <v/>
      </c>
      <c r="H1158" s="26" t="str">
        <f t="shared" si="22"/>
        <v/>
      </c>
      <c r="I1158" s="26" t="str">
        <f t="array" ref="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/>
      </c>
      <c r="J1158" s="26" t="str">
        <f t="shared" si="5"/>
        <v/>
      </c>
      <c r="K1158" s="26" t="str">
        <f t="shared" si="6"/>
        <v/>
      </c>
      <c r="L1158" s="26" t="str">
        <f t="shared" si="7"/>
        <v/>
      </c>
      <c r="M1158" s="26" t="str">
        <f t="array" ref="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/>
      </c>
      <c r="N1158" s="26" t="str">
        <f t="shared" si="8"/>
        <v/>
      </c>
      <c r="O1158" s="26" t="str">
        <f t="shared" si="9"/>
        <v/>
      </c>
      <c r="P1158" s="26" t="str">
        <f t="shared" si="10"/>
        <v/>
      </c>
      <c r="Q1158" s="26" t="str">
        <f t="shared" si="11"/>
        <v/>
      </c>
      <c r="R1158" s="26" t="str">
        <f t="shared" si="12"/>
        <v/>
      </c>
      <c r="S1158" s="26" t="str">
        <f t="shared" si="13"/>
        <v/>
      </c>
      <c r="T1158" s="26" t="str">
        <f t="shared" si="14"/>
        <v/>
      </c>
      <c r="U1158" s="26" t="str">
        <f t="shared" si="15"/>
        <v/>
      </c>
      <c r="V1158" s="26" t="str">
        <f t="shared" si="16"/>
        <v/>
      </c>
      <c r="W1158" s="26" t="str">
        <f t="shared" si="17"/>
        <v/>
      </c>
      <c r="X1158" s="26" t="str">
        <f t="shared" si="18"/>
        <v/>
      </c>
      <c r="Y1158" s="26" t="str">
        <f t="shared" si="19"/>
        <v/>
      </c>
      <c r="Z1158" s="31" t="str">
        <f t="shared" si="20"/>
        <v/>
      </c>
      <c r="AA1158" s="31" t="str">
        <f>IF(D1158="","",IF(H1158&lt;=$B$16,1,IF(H1158&gt;=$B$17,$B$21,MATCH(H1158,Aux_CAV!$A$2:$A$121,1))))</f>
        <v/>
      </c>
      <c r="AB1158" s="31" t="str">
        <f>IF(D1158="","",IF(L1158&lt;=$B$16,1,IF(L1158&gt;=$B$17,$B$21,MATCH(L1158,Aux_CAV!$A$2:$A$121,1))))</f>
        <v/>
      </c>
      <c r="AC1158" s="3" t="str">
        <f t="shared" si="21"/>
        <v/>
      </c>
    </row>
    <row r="1159" ht="12.75" customHeight="1">
      <c r="A1159" s="25" t="str">
        <f t="shared" si="1"/>
        <v/>
      </c>
      <c r="B1159" s="29" t="str">
        <f t="array" ref="B1159">IF(D1159="","",IFERROR(VALUE(INDEX(Vazoes_COLAR!$A$2:$A$200,INT((ROW()-24)/12)+1)),""))</f>
        <v/>
      </c>
      <c r="C1159" s="29" t="str">
        <f t="shared" si="2"/>
        <v/>
      </c>
      <c r="D1159" s="26" t="str">
        <f t="array" ref="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59" s="26" t="str">
        <f t="shared" si="3"/>
        <v/>
      </c>
      <c r="F1159" s="26" t="str">
        <f t="array" ref="F1159">IF(D1159="","",IFERROR(INDEX(Dados_Evap!$C$2:$N$15,MATCH($B$9,Dados_Evap!$A$2:$A$15,0),C1159),0))</f>
        <v/>
      </c>
      <c r="G1159" s="26" t="str">
        <f t="shared" si="4"/>
        <v/>
      </c>
      <c r="H1159" s="26" t="str">
        <f t="shared" si="22"/>
        <v/>
      </c>
      <c r="I1159" s="26" t="str">
        <f t="array" ref="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/>
      </c>
      <c r="J1159" s="26" t="str">
        <f t="shared" si="5"/>
        <v/>
      </c>
      <c r="K1159" s="26" t="str">
        <f t="shared" si="6"/>
        <v/>
      </c>
      <c r="L1159" s="26" t="str">
        <f t="shared" si="7"/>
        <v/>
      </c>
      <c r="M1159" s="26" t="str">
        <f t="array" ref="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/>
      </c>
      <c r="N1159" s="26" t="str">
        <f t="shared" si="8"/>
        <v/>
      </c>
      <c r="O1159" s="26" t="str">
        <f t="shared" si="9"/>
        <v/>
      </c>
      <c r="P1159" s="26" t="str">
        <f t="shared" si="10"/>
        <v/>
      </c>
      <c r="Q1159" s="26" t="str">
        <f t="shared" si="11"/>
        <v/>
      </c>
      <c r="R1159" s="26" t="str">
        <f t="shared" si="12"/>
        <v/>
      </c>
      <c r="S1159" s="26" t="str">
        <f t="shared" si="13"/>
        <v/>
      </c>
      <c r="T1159" s="26" t="str">
        <f t="shared" si="14"/>
        <v/>
      </c>
      <c r="U1159" s="26" t="str">
        <f t="shared" si="15"/>
        <v/>
      </c>
      <c r="V1159" s="26" t="str">
        <f t="shared" si="16"/>
        <v/>
      </c>
      <c r="W1159" s="26" t="str">
        <f t="shared" si="17"/>
        <v/>
      </c>
      <c r="X1159" s="26" t="str">
        <f t="shared" si="18"/>
        <v/>
      </c>
      <c r="Y1159" s="26" t="str">
        <f t="shared" si="19"/>
        <v/>
      </c>
      <c r="Z1159" s="31" t="str">
        <f t="shared" si="20"/>
        <v/>
      </c>
      <c r="AA1159" s="31" t="str">
        <f>IF(D1159="","",IF(H1159&lt;=$B$16,1,IF(H1159&gt;=$B$17,$B$21,MATCH(H1159,Aux_CAV!$A$2:$A$121,1))))</f>
        <v/>
      </c>
      <c r="AB1159" s="31" t="str">
        <f>IF(D1159="","",IF(L1159&lt;=$B$16,1,IF(L1159&gt;=$B$17,$B$21,MATCH(L1159,Aux_CAV!$A$2:$A$121,1))))</f>
        <v/>
      </c>
      <c r="AC1159" s="3" t="str">
        <f t="shared" si="21"/>
        <v/>
      </c>
    </row>
    <row r="1160" ht="12.75" customHeight="1">
      <c r="A1160" s="25" t="str">
        <f t="shared" si="1"/>
        <v/>
      </c>
      <c r="B1160" s="29" t="str">
        <f t="array" ref="B1160">IF(D1160="","",IFERROR(VALUE(INDEX(Vazoes_COLAR!$A$2:$A$200,INT((ROW()-24)/12)+1)),""))</f>
        <v/>
      </c>
      <c r="C1160" s="29" t="str">
        <f t="shared" si="2"/>
        <v/>
      </c>
      <c r="D1160" s="26" t="str">
        <f t="array" ref="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60" s="26" t="str">
        <f t="shared" si="3"/>
        <v/>
      </c>
      <c r="F1160" s="26" t="str">
        <f t="array" ref="F1160">IF(D1160="","",IFERROR(INDEX(Dados_Evap!$C$2:$N$15,MATCH($B$9,Dados_Evap!$A$2:$A$15,0),C1160),0))</f>
        <v/>
      </c>
      <c r="G1160" s="26" t="str">
        <f t="shared" si="4"/>
        <v/>
      </c>
      <c r="H1160" s="26" t="str">
        <f t="shared" si="22"/>
        <v/>
      </c>
      <c r="I1160" s="26" t="str">
        <f t="array" ref="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/>
      </c>
      <c r="J1160" s="26" t="str">
        <f t="shared" si="5"/>
        <v/>
      </c>
      <c r="K1160" s="26" t="str">
        <f t="shared" si="6"/>
        <v/>
      </c>
      <c r="L1160" s="26" t="str">
        <f t="shared" si="7"/>
        <v/>
      </c>
      <c r="M1160" s="26" t="str">
        <f t="array" ref="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/>
      </c>
      <c r="N1160" s="26" t="str">
        <f t="shared" si="8"/>
        <v/>
      </c>
      <c r="O1160" s="26" t="str">
        <f t="shared" si="9"/>
        <v/>
      </c>
      <c r="P1160" s="26" t="str">
        <f t="shared" si="10"/>
        <v/>
      </c>
      <c r="Q1160" s="26" t="str">
        <f t="shared" si="11"/>
        <v/>
      </c>
      <c r="R1160" s="26" t="str">
        <f t="shared" si="12"/>
        <v/>
      </c>
      <c r="S1160" s="26" t="str">
        <f t="shared" si="13"/>
        <v/>
      </c>
      <c r="T1160" s="26" t="str">
        <f t="shared" si="14"/>
        <v/>
      </c>
      <c r="U1160" s="26" t="str">
        <f t="shared" si="15"/>
        <v/>
      </c>
      <c r="V1160" s="26" t="str">
        <f t="shared" si="16"/>
        <v/>
      </c>
      <c r="W1160" s="26" t="str">
        <f t="shared" si="17"/>
        <v/>
      </c>
      <c r="X1160" s="26" t="str">
        <f t="shared" si="18"/>
        <v/>
      </c>
      <c r="Y1160" s="26" t="str">
        <f t="shared" si="19"/>
        <v/>
      </c>
      <c r="Z1160" s="31" t="str">
        <f t="shared" si="20"/>
        <v/>
      </c>
      <c r="AA1160" s="31" t="str">
        <f>IF(D1160="","",IF(H1160&lt;=$B$16,1,IF(H1160&gt;=$B$17,$B$21,MATCH(H1160,Aux_CAV!$A$2:$A$121,1))))</f>
        <v/>
      </c>
      <c r="AB1160" s="31" t="str">
        <f>IF(D1160="","",IF(L1160&lt;=$B$16,1,IF(L1160&gt;=$B$17,$B$21,MATCH(L1160,Aux_CAV!$A$2:$A$121,1))))</f>
        <v/>
      </c>
      <c r="AC1160" s="3" t="str">
        <f t="shared" si="21"/>
        <v/>
      </c>
    </row>
    <row r="1161" ht="12.75" customHeight="1">
      <c r="A1161" s="25" t="str">
        <f t="shared" si="1"/>
        <v/>
      </c>
      <c r="B1161" s="29" t="str">
        <f t="array" ref="B1161">IF(D1161="","",IFERROR(VALUE(INDEX(Vazoes_COLAR!$A$2:$A$200,INT((ROW()-24)/12)+1)),""))</f>
        <v/>
      </c>
      <c r="C1161" s="29" t="str">
        <f t="shared" si="2"/>
        <v/>
      </c>
      <c r="D1161" s="26" t="str">
        <f t="array" ref="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61" s="26" t="str">
        <f t="shared" si="3"/>
        <v/>
      </c>
      <c r="F1161" s="26" t="str">
        <f t="array" ref="F1161">IF(D1161="","",IFERROR(INDEX(Dados_Evap!$C$2:$N$15,MATCH($B$9,Dados_Evap!$A$2:$A$15,0),C1161),0))</f>
        <v/>
      </c>
      <c r="G1161" s="26" t="str">
        <f t="shared" si="4"/>
        <v/>
      </c>
      <c r="H1161" s="26" t="str">
        <f t="shared" si="22"/>
        <v/>
      </c>
      <c r="I1161" s="26" t="str">
        <f t="array" ref="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/>
      </c>
      <c r="J1161" s="26" t="str">
        <f t="shared" si="5"/>
        <v/>
      </c>
      <c r="K1161" s="26" t="str">
        <f t="shared" si="6"/>
        <v/>
      </c>
      <c r="L1161" s="26" t="str">
        <f t="shared" si="7"/>
        <v/>
      </c>
      <c r="M1161" s="26" t="str">
        <f t="array" ref="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/>
      </c>
      <c r="N1161" s="26" t="str">
        <f t="shared" si="8"/>
        <v/>
      </c>
      <c r="O1161" s="26" t="str">
        <f t="shared" si="9"/>
        <v/>
      </c>
      <c r="P1161" s="26" t="str">
        <f t="shared" si="10"/>
        <v/>
      </c>
      <c r="Q1161" s="26" t="str">
        <f t="shared" si="11"/>
        <v/>
      </c>
      <c r="R1161" s="26" t="str">
        <f t="shared" si="12"/>
        <v/>
      </c>
      <c r="S1161" s="26" t="str">
        <f t="shared" si="13"/>
        <v/>
      </c>
      <c r="T1161" s="26" t="str">
        <f t="shared" si="14"/>
        <v/>
      </c>
      <c r="U1161" s="26" t="str">
        <f t="shared" si="15"/>
        <v/>
      </c>
      <c r="V1161" s="26" t="str">
        <f t="shared" si="16"/>
        <v/>
      </c>
      <c r="W1161" s="26" t="str">
        <f t="shared" si="17"/>
        <v/>
      </c>
      <c r="X1161" s="26" t="str">
        <f t="shared" si="18"/>
        <v/>
      </c>
      <c r="Y1161" s="26" t="str">
        <f t="shared" si="19"/>
        <v/>
      </c>
      <c r="Z1161" s="31" t="str">
        <f t="shared" si="20"/>
        <v/>
      </c>
      <c r="AA1161" s="31" t="str">
        <f>IF(D1161="","",IF(H1161&lt;=$B$16,1,IF(H1161&gt;=$B$17,$B$21,MATCH(H1161,Aux_CAV!$A$2:$A$121,1))))</f>
        <v/>
      </c>
      <c r="AB1161" s="31" t="str">
        <f>IF(D1161="","",IF(L1161&lt;=$B$16,1,IF(L1161&gt;=$B$17,$B$21,MATCH(L1161,Aux_CAV!$A$2:$A$121,1))))</f>
        <v/>
      </c>
      <c r="AC1161" s="3" t="str">
        <f t="shared" si="21"/>
        <v/>
      </c>
    </row>
    <row r="1162" ht="12.75" customHeight="1">
      <c r="A1162" s="25" t="str">
        <f t="shared" si="1"/>
        <v/>
      </c>
      <c r="B1162" s="29" t="str">
        <f t="array" ref="B1162">IF(D1162="","",IFERROR(VALUE(INDEX(Vazoes_COLAR!$A$2:$A$200,INT((ROW()-24)/12)+1)),""))</f>
        <v/>
      </c>
      <c r="C1162" s="29" t="str">
        <f t="shared" si="2"/>
        <v/>
      </c>
      <c r="D1162" s="26" t="str">
        <f t="array" ref="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62" s="26" t="str">
        <f t="shared" si="3"/>
        <v/>
      </c>
      <c r="F1162" s="26" t="str">
        <f t="array" ref="F1162">IF(D1162="","",IFERROR(INDEX(Dados_Evap!$C$2:$N$15,MATCH($B$9,Dados_Evap!$A$2:$A$15,0),C1162),0))</f>
        <v/>
      </c>
      <c r="G1162" s="26" t="str">
        <f t="shared" si="4"/>
        <v/>
      </c>
      <c r="H1162" s="26" t="str">
        <f t="shared" si="22"/>
        <v/>
      </c>
      <c r="I1162" s="26" t="str">
        <f t="array" ref="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/>
      </c>
      <c r="J1162" s="26" t="str">
        <f t="shared" si="5"/>
        <v/>
      </c>
      <c r="K1162" s="26" t="str">
        <f t="shared" si="6"/>
        <v/>
      </c>
      <c r="L1162" s="26" t="str">
        <f t="shared" si="7"/>
        <v/>
      </c>
      <c r="M1162" s="26" t="str">
        <f t="array" ref="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/>
      </c>
      <c r="N1162" s="26" t="str">
        <f t="shared" si="8"/>
        <v/>
      </c>
      <c r="O1162" s="26" t="str">
        <f t="shared" si="9"/>
        <v/>
      </c>
      <c r="P1162" s="26" t="str">
        <f t="shared" si="10"/>
        <v/>
      </c>
      <c r="Q1162" s="26" t="str">
        <f t="shared" si="11"/>
        <v/>
      </c>
      <c r="R1162" s="26" t="str">
        <f t="shared" si="12"/>
        <v/>
      </c>
      <c r="S1162" s="26" t="str">
        <f t="shared" si="13"/>
        <v/>
      </c>
      <c r="T1162" s="26" t="str">
        <f t="shared" si="14"/>
        <v/>
      </c>
      <c r="U1162" s="26" t="str">
        <f t="shared" si="15"/>
        <v/>
      </c>
      <c r="V1162" s="26" t="str">
        <f t="shared" si="16"/>
        <v/>
      </c>
      <c r="W1162" s="26" t="str">
        <f t="shared" si="17"/>
        <v/>
      </c>
      <c r="X1162" s="26" t="str">
        <f t="shared" si="18"/>
        <v/>
      </c>
      <c r="Y1162" s="26" t="str">
        <f t="shared" si="19"/>
        <v/>
      </c>
      <c r="Z1162" s="31" t="str">
        <f t="shared" si="20"/>
        <v/>
      </c>
      <c r="AA1162" s="31" t="str">
        <f>IF(D1162="","",IF(H1162&lt;=$B$16,1,IF(H1162&gt;=$B$17,$B$21,MATCH(H1162,Aux_CAV!$A$2:$A$121,1))))</f>
        <v/>
      </c>
      <c r="AB1162" s="31" t="str">
        <f>IF(D1162="","",IF(L1162&lt;=$B$16,1,IF(L1162&gt;=$B$17,$B$21,MATCH(L1162,Aux_CAV!$A$2:$A$121,1))))</f>
        <v/>
      </c>
      <c r="AC1162" s="3" t="str">
        <f t="shared" si="21"/>
        <v/>
      </c>
    </row>
    <row r="1163" ht="12.75" customHeight="1">
      <c r="A1163" s="25" t="str">
        <f t="shared" si="1"/>
        <v/>
      </c>
      <c r="B1163" s="29" t="str">
        <f t="array" ref="B1163">IF(D1163="","",IFERROR(VALUE(INDEX(Vazoes_COLAR!$A$2:$A$200,INT((ROW()-24)/12)+1)),""))</f>
        <v/>
      </c>
      <c r="C1163" s="29" t="str">
        <f t="shared" si="2"/>
        <v/>
      </c>
      <c r="D1163" s="26" t="str">
        <f t="array" ref="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63" s="26" t="str">
        <f t="shared" si="3"/>
        <v/>
      </c>
      <c r="F1163" s="26" t="str">
        <f t="array" ref="F1163">IF(D1163="","",IFERROR(INDEX(Dados_Evap!$C$2:$N$15,MATCH($B$9,Dados_Evap!$A$2:$A$15,0),C1163),0))</f>
        <v/>
      </c>
      <c r="G1163" s="26" t="str">
        <f t="shared" si="4"/>
        <v/>
      </c>
      <c r="H1163" s="26" t="str">
        <f t="shared" si="22"/>
        <v/>
      </c>
      <c r="I1163" s="26" t="str">
        <f t="array" ref="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/>
      </c>
      <c r="J1163" s="26" t="str">
        <f t="shared" si="5"/>
        <v/>
      </c>
      <c r="K1163" s="26" t="str">
        <f t="shared" si="6"/>
        <v/>
      </c>
      <c r="L1163" s="26" t="str">
        <f t="shared" si="7"/>
        <v/>
      </c>
      <c r="M1163" s="26" t="str">
        <f t="array" ref="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/>
      </c>
      <c r="N1163" s="26" t="str">
        <f t="shared" si="8"/>
        <v/>
      </c>
      <c r="O1163" s="26" t="str">
        <f t="shared" si="9"/>
        <v/>
      </c>
      <c r="P1163" s="26" t="str">
        <f t="shared" si="10"/>
        <v/>
      </c>
      <c r="Q1163" s="26" t="str">
        <f t="shared" si="11"/>
        <v/>
      </c>
      <c r="R1163" s="26" t="str">
        <f t="shared" si="12"/>
        <v/>
      </c>
      <c r="S1163" s="26" t="str">
        <f t="shared" si="13"/>
        <v/>
      </c>
      <c r="T1163" s="26" t="str">
        <f t="shared" si="14"/>
        <v/>
      </c>
      <c r="U1163" s="26" t="str">
        <f t="shared" si="15"/>
        <v/>
      </c>
      <c r="V1163" s="26" t="str">
        <f t="shared" si="16"/>
        <v/>
      </c>
      <c r="W1163" s="26" t="str">
        <f t="shared" si="17"/>
        <v/>
      </c>
      <c r="X1163" s="26" t="str">
        <f t="shared" si="18"/>
        <v/>
      </c>
      <c r="Y1163" s="26" t="str">
        <f t="shared" si="19"/>
        <v/>
      </c>
      <c r="Z1163" s="31" t="str">
        <f t="shared" si="20"/>
        <v/>
      </c>
      <c r="AA1163" s="31" t="str">
        <f>IF(D1163="","",IF(H1163&lt;=$B$16,1,IF(H1163&gt;=$B$17,$B$21,MATCH(H1163,Aux_CAV!$A$2:$A$121,1))))</f>
        <v/>
      </c>
      <c r="AB1163" s="31" t="str">
        <f>IF(D1163="","",IF(L1163&lt;=$B$16,1,IF(L1163&gt;=$B$17,$B$21,MATCH(L1163,Aux_CAV!$A$2:$A$121,1))))</f>
        <v/>
      </c>
      <c r="AC1163" s="3" t="str">
        <f t="shared" si="21"/>
        <v/>
      </c>
    </row>
    <row r="1164" ht="12.75" customHeight="1">
      <c r="A1164" s="25" t="str">
        <f t="shared" si="1"/>
        <v/>
      </c>
      <c r="B1164" s="29" t="str">
        <f t="array" ref="B1164">IF(D1164="","",IFERROR(VALUE(INDEX(Vazoes_COLAR!$A$2:$A$200,INT((ROW()-24)/12)+1)),""))</f>
        <v/>
      </c>
      <c r="C1164" s="29" t="str">
        <f t="shared" si="2"/>
        <v/>
      </c>
      <c r="D1164" s="26" t="str">
        <f t="array" ref="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64" s="26" t="str">
        <f t="shared" si="3"/>
        <v/>
      </c>
      <c r="F1164" s="26" t="str">
        <f t="array" ref="F1164">IF(D1164="","",IFERROR(INDEX(Dados_Evap!$C$2:$N$15,MATCH($B$9,Dados_Evap!$A$2:$A$15,0),C1164),0))</f>
        <v/>
      </c>
      <c r="G1164" s="26" t="str">
        <f t="shared" si="4"/>
        <v/>
      </c>
      <c r="H1164" s="26" t="str">
        <f t="shared" si="22"/>
        <v/>
      </c>
      <c r="I1164" s="26" t="str">
        <f t="array" ref="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/>
      </c>
      <c r="J1164" s="26" t="str">
        <f t="shared" si="5"/>
        <v/>
      </c>
      <c r="K1164" s="26" t="str">
        <f t="shared" si="6"/>
        <v/>
      </c>
      <c r="L1164" s="26" t="str">
        <f t="shared" si="7"/>
        <v/>
      </c>
      <c r="M1164" s="26" t="str">
        <f t="array" ref="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/>
      </c>
      <c r="N1164" s="26" t="str">
        <f t="shared" si="8"/>
        <v/>
      </c>
      <c r="O1164" s="26" t="str">
        <f t="shared" si="9"/>
        <v/>
      </c>
      <c r="P1164" s="26" t="str">
        <f t="shared" si="10"/>
        <v/>
      </c>
      <c r="Q1164" s="26" t="str">
        <f t="shared" si="11"/>
        <v/>
      </c>
      <c r="R1164" s="26" t="str">
        <f t="shared" si="12"/>
        <v/>
      </c>
      <c r="S1164" s="26" t="str">
        <f t="shared" si="13"/>
        <v/>
      </c>
      <c r="T1164" s="26" t="str">
        <f t="shared" si="14"/>
        <v/>
      </c>
      <c r="U1164" s="26" t="str">
        <f t="shared" si="15"/>
        <v/>
      </c>
      <c r="V1164" s="26" t="str">
        <f t="shared" si="16"/>
        <v/>
      </c>
      <c r="W1164" s="26" t="str">
        <f t="shared" si="17"/>
        <v/>
      </c>
      <c r="X1164" s="26" t="str">
        <f t="shared" si="18"/>
        <v/>
      </c>
      <c r="Y1164" s="26" t="str">
        <f t="shared" si="19"/>
        <v/>
      </c>
      <c r="Z1164" s="31" t="str">
        <f t="shared" si="20"/>
        <v/>
      </c>
      <c r="AA1164" s="31" t="str">
        <f>IF(D1164="","",IF(H1164&lt;=$B$16,1,IF(H1164&gt;=$B$17,$B$21,MATCH(H1164,Aux_CAV!$A$2:$A$121,1))))</f>
        <v/>
      </c>
      <c r="AB1164" s="31" t="str">
        <f>IF(D1164="","",IF(L1164&lt;=$B$16,1,IF(L1164&gt;=$B$17,$B$21,MATCH(L1164,Aux_CAV!$A$2:$A$121,1))))</f>
        <v/>
      </c>
      <c r="AC1164" s="3" t="str">
        <f t="shared" si="21"/>
        <v/>
      </c>
    </row>
    <row r="1165" ht="12.75" customHeight="1">
      <c r="A1165" s="25" t="str">
        <f t="shared" si="1"/>
        <v/>
      </c>
      <c r="B1165" s="29" t="str">
        <f t="array" ref="B1165">IF(D1165="","",IFERROR(VALUE(INDEX(Vazoes_COLAR!$A$2:$A$200,INT((ROW()-24)/12)+1)),""))</f>
        <v/>
      </c>
      <c r="C1165" s="29" t="str">
        <f t="shared" si="2"/>
        <v/>
      </c>
      <c r="D1165" s="26" t="str">
        <f t="array" ref="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65" s="26" t="str">
        <f t="shared" si="3"/>
        <v/>
      </c>
      <c r="F1165" s="26" t="str">
        <f t="array" ref="F1165">IF(D1165="","",IFERROR(INDEX(Dados_Evap!$C$2:$N$15,MATCH($B$9,Dados_Evap!$A$2:$A$15,0),C1165),0))</f>
        <v/>
      </c>
      <c r="G1165" s="26" t="str">
        <f t="shared" si="4"/>
        <v/>
      </c>
      <c r="H1165" s="26" t="str">
        <f t="shared" si="22"/>
        <v/>
      </c>
      <c r="I1165" s="26" t="str">
        <f t="array" ref="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/>
      </c>
      <c r="J1165" s="26" t="str">
        <f t="shared" si="5"/>
        <v/>
      </c>
      <c r="K1165" s="26" t="str">
        <f t="shared" si="6"/>
        <v/>
      </c>
      <c r="L1165" s="26" t="str">
        <f t="shared" si="7"/>
        <v/>
      </c>
      <c r="M1165" s="26" t="str">
        <f t="array" ref="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/>
      </c>
      <c r="N1165" s="26" t="str">
        <f t="shared" si="8"/>
        <v/>
      </c>
      <c r="O1165" s="26" t="str">
        <f t="shared" si="9"/>
        <v/>
      </c>
      <c r="P1165" s="26" t="str">
        <f t="shared" si="10"/>
        <v/>
      </c>
      <c r="Q1165" s="26" t="str">
        <f t="shared" si="11"/>
        <v/>
      </c>
      <c r="R1165" s="26" t="str">
        <f t="shared" si="12"/>
        <v/>
      </c>
      <c r="S1165" s="26" t="str">
        <f t="shared" si="13"/>
        <v/>
      </c>
      <c r="T1165" s="26" t="str">
        <f t="shared" si="14"/>
        <v/>
      </c>
      <c r="U1165" s="26" t="str">
        <f t="shared" si="15"/>
        <v/>
      </c>
      <c r="V1165" s="26" t="str">
        <f t="shared" si="16"/>
        <v/>
      </c>
      <c r="W1165" s="26" t="str">
        <f t="shared" si="17"/>
        <v/>
      </c>
      <c r="X1165" s="26" t="str">
        <f t="shared" si="18"/>
        <v/>
      </c>
      <c r="Y1165" s="26" t="str">
        <f t="shared" si="19"/>
        <v/>
      </c>
      <c r="Z1165" s="31" t="str">
        <f t="shared" si="20"/>
        <v/>
      </c>
      <c r="AA1165" s="31" t="str">
        <f>IF(D1165="","",IF(H1165&lt;=$B$16,1,IF(H1165&gt;=$B$17,$B$21,MATCH(H1165,Aux_CAV!$A$2:$A$121,1))))</f>
        <v/>
      </c>
      <c r="AB1165" s="31" t="str">
        <f>IF(D1165="","",IF(L1165&lt;=$B$16,1,IF(L1165&gt;=$B$17,$B$21,MATCH(L1165,Aux_CAV!$A$2:$A$121,1))))</f>
        <v/>
      </c>
      <c r="AC1165" s="3" t="str">
        <f t="shared" si="21"/>
        <v/>
      </c>
    </row>
    <row r="1166" ht="12.75" customHeight="1">
      <c r="A1166" s="25" t="str">
        <f t="shared" si="1"/>
        <v/>
      </c>
      <c r="B1166" s="29" t="str">
        <f t="array" ref="B1166">IF(D1166="","",IFERROR(VALUE(INDEX(Vazoes_COLAR!$A$2:$A$200,INT((ROW()-24)/12)+1)),""))</f>
        <v/>
      </c>
      <c r="C1166" s="29" t="str">
        <f t="shared" si="2"/>
        <v/>
      </c>
      <c r="D1166" s="26" t="str">
        <f t="array" ref="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66" s="26" t="str">
        <f t="shared" si="3"/>
        <v/>
      </c>
      <c r="F1166" s="26" t="str">
        <f t="array" ref="F1166">IF(D1166="","",IFERROR(INDEX(Dados_Evap!$C$2:$N$15,MATCH($B$9,Dados_Evap!$A$2:$A$15,0),C1166),0))</f>
        <v/>
      </c>
      <c r="G1166" s="26" t="str">
        <f t="shared" si="4"/>
        <v/>
      </c>
      <c r="H1166" s="26" t="str">
        <f t="shared" si="22"/>
        <v/>
      </c>
      <c r="I1166" s="26" t="str">
        <f t="array" ref="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/>
      </c>
      <c r="J1166" s="26" t="str">
        <f t="shared" si="5"/>
        <v/>
      </c>
      <c r="K1166" s="26" t="str">
        <f t="shared" si="6"/>
        <v/>
      </c>
      <c r="L1166" s="26" t="str">
        <f t="shared" si="7"/>
        <v/>
      </c>
      <c r="M1166" s="26" t="str">
        <f t="array" ref="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/>
      </c>
      <c r="N1166" s="26" t="str">
        <f t="shared" si="8"/>
        <v/>
      </c>
      <c r="O1166" s="26" t="str">
        <f t="shared" si="9"/>
        <v/>
      </c>
      <c r="P1166" s="26" t="str">
        <f t="shared" si="10"/>
        <v/>
      </c>
      <c r="Q1166" s="26" t="str">
        <f t="shared" si="11"/>
        <v/>
      </c>
      <c r="R1166" s="26" t="str">
        <f t="shared" si="12"/>
        <v/>
      </c>
      <c r="S1166" s="26" t="str">
        <f t="shared" si="13"/>
        <v/>
      </c>
      <c r="T1166" s="26" t="str">
        <f t="shared" si="14"/>
        <v/>
      </c>
      <c r="U1166" s="26" t="str">
        <f t="shared" si="15"/>
        <v/>
      </c>
      <c r="V1166" s="26" t="str">
        <f t="shared" si="16"/>
        <v/>
      </c>
      <c r="W1166" s="26" t="str">
        <f t="shared" si="17"/>
        <v/>
      </c>
      <c r="X1166" s="26" t="str">
        <f t="shared" si="18"/>
        <v/>
      </c>
      <c r="Y1166" s="26" t="str">
        <f t="shared" si="19"/>
        <v/>
      </c>
      <c r="Z1166" s="31" t="str">
        <f t="shared" si="20"/>
        <v/>
      </c>
      <c r="AA1166" s="31" t="str">
        <f>IF(D1166="","",IF(H1166&lt;=$B$16,1,IF(H1166&gt;=$B$17,$B$21,MATCH(H1166,Aux_CAV!$A$2:$A$121,1))))</f>
        <v/>
      </c>
      <c r="AB1166" s="31" t="str">
        <f>IF(D1166="","",IF(L1166&lt;=$B$16,1,IF(L1166&gt;=$B$17,$B$21,MATCH(L1166,Aux_CAV!$A$2:$A$121,1))))</f>
        <v/>
      </c>
      <c r="AC1166" s="3" t="str">
        <f t="shared" si="21"/>
        <v/>
      </c>
    </row>
    <row r="1167" ht="12.75" customHeight="1">
      <c r="A1167" s="25" t="str">
        <f t="shared" si="1"/>
        <v/>
      </c>
      <c r="B1167" s="29" t="str">
        <f t="array" ref="B1167">IF(D1167="","",IFERROR(VALUE(INDEX(Vazoes_COLAR!$A$2:$A$200,INT((ROW()-24)/12)+1)),""))</f>
        <v/>
      </c>
      <c r="C1167" s="29" t="str">
        <f t="shared" si="2"/>
        <v/>
      </c>
      <c r="D1167" s="26" t="str">
        <f t="array" ref="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67" s="26" t="str">
        <f t="shared" si="3"/>
        <v/>
      </c>
      <c r="F1167" s="26" t="str">
        <f t="array" ref="F1167">IF(D1167="","",IFERROR(INDEX(Dados_Evap!$C$2:$N$15,MATCH($B$9,Dados_Evap!$A$2:$A$15,0),C1167),0))</f>
        <v/>
      </c>
      <c r="G1167" s="26" t="str">
        <f t="shared" si="4"/>
        <v/>
      </c>
      <c r="H1167" s="26" t="str">
        <f t="shared" si="22"/>
        <v/>
      </c>
      <c r="I1167" s="26" t="str">
        <f t="array" ref="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/>
      </c>
      <c r="J1167" s="26" t="str">
        <f t="shared" si="5"/>
        <v/>
      </c>
      <c r="K1167" s="26" t="str">
        <f t="shared" si="6"/>
        <v/>
      </c>
      <c r="L1167" s="26" t="str">
        <f t="shared" si="7"/>
        <v/>
      </c>
      <c r="M1167" s="26" t="str">
        <f t="array" ref="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/>
      </c>
      <c r="N1167" s="26" t="str">
        <f t="shared" si="8"/>
        <v/>
      </c>
      <c r="O1167" s="26" t="str">
        <f t="shared" si="9"/>
        <v/>
      </c>
      <c r="P1167" s="26" t="str">
        <f t="shared" si="10"/>
        <v/>
      </c>
      <c r="Q1167" s="26" t="str">
        <f t="shared" si="11"/>
        <v/>
      </c>
      <c r="R1167" s="26" t="str">
        <f t="shared" si="12"/>
        <v/>
      </c>
      <c r="S1167" s="26" t="str">
        <f t="shared" si="13"/>
        <v/>
      </c>
      <c r="T1167" s="26" t="str">
        <f t="shared" si="14"/>
        <v/>
      </c>
      <c r="U1167" s="26" t="str">
        <f t="shared" si="15"/>
        <v/>
      </c>
      <c r="V1167" s="26" t="str">
        <f t="shared" si="16"/>
        <v/>
      </c>
      <c r="W1167" s="26" t="str">
        <f t="shared" si="17"/>
        <v/>
      </c>
      <c r="X1167" s="26" t="str">
        <f t="shared" si="18"/>
        <v/>
      </c>
      <c r="Y1167" s="26" t="str">
        <f t="shared" si="19"/>
        <v/>
      </c>
      <c r="Z1167" s="31" t="str">
        <f t="shared" si="20"/>
        <v/>
      </c>
      <c r="AA1167" s="31" t="str">
        <f>IF(D1167="","",IF(H1167&lt;=$B$16,1,IF(H1167&gt;=$B$17,$B$21,MATCH(H1167,Aux_CAV!$A$2:$A$121,1))))</f>
        <v/>
      </c>
      <c r="AB1167" s="31" t="str">
        <f>IF(D1167="","",IF(L1167&lt;=$B$16,1,IF(L1167&gt;=$B$17,$B$21,MATCH(L1167,Aux_CAV!$A$2:$A$121,1))))</f>
        <v/>
      </c>
      <c r="AC1167" s="3" t="str">
        <f t="shared" si="21"/>
        <v/>
      </c>
    </row>
    <row r="1168" ht="12.75" customHeight="1">
      <c r="A1168" s="25" t="str">
        <f t="shared" si="1"/>
        <v/>
      </c>
      <c r="B1168" s="29" t="str">
        <f t="array" ref="B1168">IF(D1168="","",IFERROR(VALUE(INDEX(Vazoes_COLAR!$A$2:$A$200,INT((ROW()-24)/12)+1)),""))</f>
        <v/>
      </c>
      <c r="C1168" s="29" t="str">
        <f t="shared" si="2"/>
        <v/>
      </c>
      <c r="D1168" s="26" t="str">
        <f t="array" ref="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68" s="26" t="str">
        <f t="shared" si="3"/>
        <v/>
      </c>
      <c r="F1168" s="26" t="str">
        <f t="array" ref="F1168">IF(D1168="","",IFERROR(INDEX(Dados_Evap!$C$2:$N$15,MATCH($B$9,Dados_Evap!$A$2:$A$15,0),C1168),0))</f>
        <v/>
      </c>
      <c r="G1168" s="26" t="str">
        <f t="shared" si="4"/>
        <v/>
      </c>
      <c r="H1168" s="26" t="str">
        <f t="shared" si="22"/>
        <v/>
      </c>
      <c r="I1168" s="26" t="str">
        <f t="array" ref="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/>
      </c>
      <c r="J1168" s="26" t="str">
        <f t="shared" si="5"/>
        <v/>
      </c>
      <c r="K1168" s="26" t="str">
        <f t="shared" si="6"/>
        <v/>
      </c>
      <c r="L1168" s="26" t="str">
        <f t="shared" si="7"/>
        <v/>
      </c>
      <c r="M1168" s="26" t="str">
        <f t="array" ref="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/>
      </c>
      <c r="N1168" s="26" t="str">
        <f t="shared" si="8"/>
        <v/>
      </c>
      <c r="O1168" s="26" t="str">
        <f t="shared" si="9"/>
        <v/>
      </c>
      <c r="P1168" s="26" t="str">
        <f t="shared" si="10"/>
        <v/>
      </c>
      <c r="Q1168" s="26" t="str">
        <f t="shared" si="11"/>
        <v/>
      </c>
      <c r="R1168" s="26" t="str">
        <f t="shared" si="12"/>
        <v/>
      </c>
      <c r="S1168" s="26" t="str">
        <f t="shared" si="13"/>
        <v/>
      </c>
      <c r="T1168" s="26" t="str">
        <f t="shared" si="14"/>
        <v/>
      </c>
      <c r="U1168" s="26" t="str">
        <f t="shared" si="15"/>
        <v/>
      </c>
      <c r="V1168" s="26" t="str">
        <f t="shared" si="16"/>
        <v/>
      </c>
      <c r="W1168" s="26" t="str">
        <f t="shared" si="17"/>
        <v/>
      </c>
      <c r="X1168" s="26" t="str">
        <f t="shared" si="18"/>
        <v/>
      </c>
      <c r="Y1168" s="26" t="str">
        <f t="shared" si="19"/>
        <v/>
      </c>
      <c r="Z1168" s="31" t="str">
        <f t="shared" si="20"/>
        <v/>
      </c>
      <c r="AA1168" s="31" t="str">
        <f>IF(D1168="","",IF(H1168&lt;=$B$16,1,IF(H1168&gt;=$B$17,$B$21,MATCH(H1168,Aux_CAV!$A$2:$A$121,1))))</f>
        <v/>
      </c>
      <c r="AB1168" s="31" t="str">
        <f>IF(D1168="","",IF(L1168&lt;=$B$16,1,IF(L1168&gt;=$B$17,$B$21,MATCH(L1168,Aux_CAV!$A$2:$A$121,1))))</f>
        <v/>
      </c>
      <c r="AC1168" s="3" t="str">
        <f t="shared" si="21"/>
        <v/>
      </c>
    </row>
    <row r="1169" ht="12.75" customHeight="1">
      <c r="A1169" s="25" t="str">
        <f t="shared" si="1"/>
        <v/>
      </c>
      <c r="B1169" s="29" t="str">
        <f t="array" ref="B1169">IF(D1169="","",IFERROR(VALUE(INDEX(Vazoes_COLAR!$A$2:$A$200,INT((ROW()-24)/12)+1)),""))</f>
        <v/>
      </c>
      <c r="C1169" s="29" t="str">
        <f t="shared" si="2"/>
        <v/>
      </c>
      <c r="D1169" s="26" t="str">
        <f t="array" ref="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69" s="26" t="str">
        <f t="shared" si="3"/>
        <v/>
      </c>
      <c r="F1169" s="26" t="str">
        <f t="array" ref="F1169">IF(D1169="","",IFERROR(INDEX(Dados_Evap!$C$2:$N$15,MATCH($B$9,Dados_Evap!$A$2:$A$15,0),C1169),0))</f>
        <v/>
      </c>
      <c r="G1169" s="26" t="str">
        <f t="shared" si="4"/>
        <v/>
      </c>
      <c r="H1169" s="26" t="str">
        <f t="shared" si="22"/>
        <v/>
      </c>
      <c r="I1169" s="26" t="str">
        <f t="array" ref="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/>
      </c>
      <c r="J1169" s="26" t="str">
        <f t="shared" si="5"/>
        <v/>
      </c>
      <c r="K1169" s="26" t="str">
        <f t="shared" si="6"/>
        <v/>
      </c>
      <c r="L1169" s="26" t="str">
        <f t="shared" si="7"/>
        <v/>
      </c>
      <c r="M1169" s="26" t="str">
        <f t="array" ref="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/>
      </c>
      <c r="N1169" s="26" t="str">
        <f t="shared" si="8"/>
        <v/>
      </c>
      <c r="O1169" s="26" t="str">
        <f t="shared" si="9"/>
        <v/>
      </c>
      <c r="P1169" s="26" t="str">
        <f t="shared" si="10"/>
        <v/>
      </c>
      <c r="Q1169" s="26" t="str">
        <f t="shared" si="11"/>
        <v/>
      </c>
      <c r="R1169" s="26" t="str">
        <f t="shared" si="12"/>
        <v/>
      </c>
      <c r="S1169" s="26" t="str">
        <f t="shared" si="13"/>
        <v/>
      </c>
      <c r="T1169" s="26" t="str">
        <f t="shared" si="14"/>
        <v/>
      </c>
      <c r="U1169" s="26" t="str">
        <f t="shared" si="15"/>
        <v/>
      </c>
      <c r="V1169" s="26" t="str">
        <f t="shared" si="16"/>
        <v/>
      </c>
      <c r="W1169" s="26" t="str">
        <f t="shared" si="17"/>
        <v/>
      </c>
      <c r="X1169" s="26" t="str">
        <f t="shared" si="18"/>
        <v/>
      </c>
      <c r="Y1169" s="26" t="str">
        <f t="shared" si="19"/>
        <v/>
      </c>
      <c r="Z1169" s="31" t="str">
        <f t="shared" si="20"/>
        <v/>
      </c>
      <c r="AA1169" s="31" t="str">
        <f>IF(D1169="","",IF(H1169&lt;=$B$16,1,IF(H1169&gt;=$B$17,$B$21,MATCH(H1169,Aux_CAV!$A$2:$A$121,1))))</f>
        <v/>
      </c>
      <c r="AB1169" s="31" t="str">
        <f>IF(D1169="","",IF(L1169&lt;=$B$16,1,IF(L1169&gt;=$B$17,$B$21,MATCH(L1169,Aux_CAV!$A$2:$A$121,1))))</f>
        <v/>
      </c>
      <c r="AC1169" s="3" t="str">
        <f t="shared" si="21"/>
        <v/>
      </c>
    </row>
    <row r="1170" ht="12.75" customHeight="1">
      <c r="A1170" s="25" t="str">
        <f t="shared" si="1"/>
        <v/>
      </c>
      <c r="B1170" s="29" t="str">
        <f t="array" ref="B1170">IF(D1170="","",IFERROR(VALUE(INDEX(Vazoes_COLAR!$A$2:$A$200,INT((ROW()-24)/12)+1)),""))</f>
        <v/>
      </c>
      <c r="C1170" s="29" t="str">
        <f t="shared" si="2"/>
        <v/>
      </c>
      <c r="D1170" s="26" t="str">
        <f t="array" ref="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70" s="26" t="str">
        <f t="shared" si="3"/>
        <v/>
      </c>
      <c r="F1170" s="26" t="str">
        <f t="array" ref="F1170">IF(D1170="","",IFERROR(INDEX(Dados_Evap!$C$2:$N$15,MATCH($B$9,Dados_Evap!$A$2:$A$15,0),C1170),0))</f>
        <v/>
      </c>
      <c r="G1170" s="26" t="str">
        <f t="shared" si="4"/>
        <v/>
      </c>
      <c r="H1170" s="26" t="str">
        <f t="shared" si="22"/>
        <v/>
      </c>
      <c r="I1170" s="26" t="str">
        <f t="array" ref="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/>
      </c>
      <c r="J1170" s="26" t="str">
        <f t="shared" si="5"/>
        <v/>
      </c>
      <c r="K1170" s="26" t="str">
        <f t="shared" si="6"/>
        <v/>
      </c>
      <c r="L1170" s="26" t="str">
        <f t="shared" si="7"/>
        <v/>
      </c>
      <c r="M1170" s="26" t="str">
        <f t="array" ref="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/>
      </c>
      <c r="N1170" s="26" t="str">
        <f t="shared" si="8"/>
        <v/>
      </c>
      <c r="O1170" s="26" t="str">
        <f t="shared" si="9"/>
        <v/>
      </c>
      <c r="P1170" s="26" t="str">
        <f t="shared" si="10"/>
        <v/>
      </c>
      <c r="Q1170" s="26" t="str">
        <f t="shared" si="11"/>
        <v/>
      </c>
      <c r="R1170" s="26" t="str">
        <f t="shared" si="12"/>
        <v/>
      </c>
      <c r="S1170" s="26" t="str">
        <f t="shared" si="13"/>
        <v/>
      </c>
      <c r="T1170" s="26" t="str">
        <f t="shared" si="14"/>
        <v/>
      </c>
      <c r="U1170" s="26" t="str">
        <f t="shared" si="15"/>
        <v/>
      </c>
      <c r="V1170" s="26" t="str">
        <f t="shared" si="16"/>
        <v/>
      </c>
      <c r="W1170" s="26" t="str">
        <f t="shared" si="17"/>
        <v/>
      </c>
      <c r="X1170" s="26" t="str">
        <f t="shared" si="18"/>
        <v/>
      </c>
      <c r="Y1170" s="26" t="str">
        <f t="shared" si="19"/>
        <v/>
      </c>
      <c r="Z1170" s="31" t="str">
        <f t="shared" si="20"/>
        <v/>
      </c>
      <c r="AA1170" s="31" t="str">
        <f>IF(D1170="","",IF(H1170&lt;=$B$16,1,IF(H1170&gt;=$B$17,$B$21,MATCH(H1170,Aux_CAV!$A$2:$A$121,1))))</f>
        <v/>
      </c>
      <c r="AB1170" s="31" t="str">
        <f>IF(D1170="","",IF(L1170&lt;=$B$16,1,IF(L1170&gt;=$B$17,$B$21,MATCH(L1170,Aux_CAV!$A$2:$A$121,1))))</f>
        <v/>
      </c>
      <c r="AC1170" s="3" t="str">
        <f t="shared" si="21"/>
        <v/>
      </c>
    </row>
    <row r="1171" ht="12.75" customHeight="1">
      <c r="A1171" s="25" t="str">
        <f t="shared" si="1"/>
        <v/>
      </c>
      <c r="B1171" s="29" t="str">
        <f t="array" ref="B1171">IF(D1171="","",IFERROR(VALUE(INDEX(Vazoes_COLAR!$A$2:$A$200,INT((ROW()-24)/12)+1)),""))</f>
        <v/>
      </c>
      <c r="C1171" s="29" t="str">
        <f t="shared" si="2"/>
        <v/>
      </c>
      <c r="D1171" s="26" t="str">
        <f t="array" ref="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71" s="26" t="str">
        <f t="shared" si="3"/>
        <v/>
      </c>
      <c r="F1171" s="26" t="str">
        <f t="array" ref="F1171">IF(D1171="","",IFERROR(INDEX(Dados_Evap!$C$2:$N$15,MATCH($B$9,Dados_Evap!$A$2:$A$15,0),C1171),0))</f>
        <v/>
      </c>
      <c r="G1171" s="26" t="str">
        <f t="shared" si="4"/>
        <v/>
      </c>
      <c r="H1171" s="26" t="str">
        <f t="shared" si="22"/>
        <v/>
      </c>
      <c r="I1171" s="26" t="str">
        <f t="array" ref="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/>
      </c>
      <c r="J1171" s="26" t="str">
        <f t="shared" si="5"/>
        <v/>
      </c>
      <c r="K1171" s="26" t="str">
        <f t="shared" si="6"/>
        <v/>
      </c>
      <c r="L1171" s="26" t="str">
        <f t="shared" si="7"/>
        <v/>
      </c>
      <c r="M1171" s="26" t="str">
        <f t="array" ref="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/>
      </c>
      <c r="N1171" s="26" t="str">
        <f t="shared" si="8"/>
        <v/>
      </c>
      <c r="O1171" s="26" t="str">
        <f t="shared" si="9"/>
        <v/>
      </c>
      <c r="P1171" s="26" t="str">
        <f t="shared" si="10"/>
        <v/>
      </c>
      <c r="Q1171" s="26" t="str">
        <f t="shared" si="11"/>
        <v/>
      </c>
      <c r="R1171" s="26" t="str">
        <f t="shared" si="12"/>
        <v/>
      </c>
      <c r="S1171" s="26" t="str">
        <f t="shared" si="13"/>
        <v/>
      </c>
      <c r="T1171" s="26" t="str">
        <f t="shared" si="14"/>
        <v/>
      </c>
      <c r="U1171" s="26" t="str">
        <f t="shared" si="15"/>
        <v/>
      </c>
      <c r="V1171" s="26" t="str">
        <f t="shared" si="16"/>
        <v/>
      </c>
      <c r="W1171" s="26" t="str">
        <f t="shared" si="17"/>
        <v/>
      </c>
      <c r="X1171" s="26" t="str">
        <f t="shared" si="18"/>
        <v/>
      </c>
      <c r="Y1171" s="26" t="str">
        <f t="shared" si="19"/>
        <v/>
      </c>
      <c r="Z1171" s="31" t="str">
        <f t="shared" si="20"/>
        <v/>
      </c>
      <c r="AA1171" s="31" t="str">
        <f>IF(D1171="","",IF(H1171&lt;=$B$16,1,IF(H1171&gt;=$B$17,$B$21,MATCH(H1171,Aux_CAV!$A$2:$A$121,1))))</f>
        <v/>
      </c>
      <c r="AB1171" s="31" t="str">
        <f>IF(D1171="","",IF(L1171&lt;=$B$16,1,IF(L1171&gt;=$B$17,$B$21,MATCH(L1171,Aux_CAV!$A$2:$A$121,1))))</f>
        <v/>
      </c>
      <c r="AC1171" s="3" t="str">
        <f t="shared" si="21"/>
        <v/>
      </c>
    </row>
    <row r="1172" ht="12.75" customHeight="1">
      <c r="A1172" s="25" t="str">
        <f t="shared" si="1"/>
        <v/>
      </c>
      <c r="B1172" s="29" t="str">
        <f t="array" ref="B1172">IF(D1172="","",IFERROR(VALUE(INDEX(Vazoes_COLAR!$A$2:$A$200,INT((ROW()-24)/12)+1)),""))</f>
        <v/>
      </c>
      <c r="C1172" s="29" t="str">
        <f t="shared" si="2"/>
        <v/>
      </c>
      <c r="D1172" s="26" t="str">
        <f t="array" ref="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72" s="26" t="str">
        <f t="shared" si="3"/>
        <v/>
      </c>
      <c r="F1172" s="26" t="str">
        <f t="array" ref="F1172">IF(D1172="","",IFERROR(INDEX(Dados_Evap!$C$2:$N$15,MATCH($B$9,Dados_Evap!$A$2:$A$15,0),C1172),0))</f>
        <v/>
      </c>
      <c r="G1172" s="26" t="str">
        <f t="shared" si="4"/>
        <v/>
      </c>
      <c r="H1172" s="26" t="str">
        <f t="shared" si="22"/>
        <v/>
      </c>
      <c r="I1172" s="26" t="str">
        <f t="array" ref="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/>
      </c>
      <c r="J1172" s="26" t="str">
        <f t="shared" si="5"/>
        <v/>
      </c>
      <c r="K1172" s="26" t="str">
        <f t="shared" si="6"/>
        <v/>
      </c>
      <c r="L1172" s="26" t="str">
        <f t="shared" si="7"/>
        <v/>
      </c>
      <c r="M1172" s="26" t="str">
        <f t="array" ref="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/>
      </c>
      <c r="N1172" s="26" t="str">
        <f t="shared" si="8"/>
        <v/>
      </c>
      <c r="O1172" s="26" t="str">
        <f t="shared" si="9"/>
        <v/>
      </c>
      <c r="P1172" s="26" t="str">
        <f t="shared" si="10"/>
        <v/>
      </c>
      <c r="Q1172" s="26" t="str">
        <f t="shared" si="11"/>
        <v/>
      </c>
      <c r="R1172" s="26" t="str">
        <f t="shared" si="12"/>
        <v/>
      </c>
      <c r="S1172" s="26" t="str">
        <f t="shared" si="13"/>
        <v/>
      </c>
      <c r="T1172" s="26" t="str">
        <f t="shared" si="14"/>
        <v/>
      </c>
      <c r="U1172" s="26" t="str">
        <f t="shared" si="15"/>
        <v/>
      </c>
      <c r="V1172" s="26" t="str">
        <f t="shared" si="16"/>
        <v/>
      </c>
      <c r="W1172" s="26" t="str">
        <f t="shared" si="17"/>
        <v/>
      </c>
      <c r="X1172" s="26" t="str">
        <f t="shared" si="18"/>
        <v/>
      </c>
      <c r="Y1172" s="26" t="str">
        <f t="shared" si="19"/>
        <v/>
      </c>
      <c r="Z1172" s="31" t="str">
        <f t="shared" si="20"/>
        <v/>
      </c>
      <c r="AA1172" s="31" t="str">
        <f>IF(D1172="","",IF(H1172&lt;=$B$16,1,IF(H1172&gt;=$B$17,$B$21,MATCH(H1172,Aux_CAV!$A$2:$A$121,1))))</f>
        <v/>
      </c>
      <c r="AB1172" s="31" t="str">
        <f>IF(D1172="","",IF(L1172&lt;=$B$16,1,IF(L1172&gt;=$B$17,$B$21,MATCH(L1172,Aux_CAV!$A$2:$A$121,1))))</f>
        <v/>
      </c>
      <c r="AC1172" s="3" t="str">
        <f t="shared" si="21"/>
        <v/>
      </c>
    </row>
    <row r="1173" ht="12.75" customHeight="1">
      <c r="A1173" s="25" t="str">
        <f t="shared" si="1"/>
        <v/>
      </c>
      <c r="B1173" s="29" t="str">
        <f t="array" ref="B1173">IF(D1173="","",IFERROR(VALUE(INDEX(Vazoes_COLAR!$A$2:$A$200,INT((ROW()-24)/12)+1)),""))</f>
        <v/>
      </c>
      <c r="C1173" s="29" t="str">
        <f t="shared" si="2"/>
        <v/>
      </c>
      <c r="D1173" s="26" t="str">
        <f t="array" ref="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73" s="26" t="str">
        <f t="shared" si="3"/>
        <v/>
      </c>
      <c r="F1173" s="26" t="str">
        <f t="array" ref="F1173">IF(D1173="","",IFERROR(INDEX(Dados_Evap!$C$2:$N$15,MATCH($B$9,Dados_Evap!$A$2:$A$15,0),C1173),0))</f>
        <v/>
      </c>
      <c r="G1173" s="26" t="str">
        <f t="shared" si="4"/>
        <v/>
      </c>
      <c r="H1173" s="26" t="str">
        <f t="shared" si="22"/>
        <v/>
      </c>
      <c r="I1173" s="26" t="str">
        <f t="array" ref="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/>
      </c>
      <c r="J1173" s="26" t="str">
        <f t="shared" si="5"/>
        <v/>
      </c>
      <c r="K1173" s="26" t="str">
        <f t="shared" si="6"/>
        <v/>
      </c>
      <c r="L1173" s="26" t="str">
        <f t="shared" si="7"/>
        <v/>
      </c>
      <c r="M1173" s="26" t="str">
        <f t="array" ref="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/>
      </c>
      <c r="N1173" s="26" t="str">
        <f t="shared" si="8"/>
        <v/>
      </c>
      <c r="O1173" s="26" t="str">
        <f t="shared" si="9"/>
        <v/>
      </c>
      <c r="P1173" s="26" t="str">
        <f t="shared" si="10"/>
        <v/>
      </c>
      <c r="Q1173" s="26" t="str">
        <f t="shared" si="11"/>
        <v/>
      </c>
      <c r="R1173" s="26" t="str">
        <f t="shared" si="12"/>
        <v/>
      </c>
      <c r="S1173" s="26" t="str">
        <f t="shared" si="13"/>
        <v/>
      </c>
      <c r="T1173" s="26" t="str">
        <f t="shared" si="14"/>
        <v/>
      </c>
      <c r="U1173" s="26" t="str">
        <f t="shared" si="15"/>
        <v/>
      </c>
      <c r="V1173" s="26" t="str">
        <f t="shared" si="16"/>
        <v/>
      </c>
      <c r="W1173" s="26" t="str">
        <f t="shared" si="17"/>
        <v/>
      </c>
      <c r="X1173" s="26" t="str">
        <f t="shared" si="18"/>
        <v/>
      </c>
      <c r="Y1173" s="26" t="str">
        <f t="shared" si="19"/>
        <v/>
      </c>
      <c r="Z1173" s="31" t="str">
        <f t="shared" si="20"/>
        <v/>
      </c>
      <c r="AA1173" s="31" t="str">
        <f>IF(D1173="","",IF(H1173&lt;=$B$16,1,IF(H1173&gt;=$B$17,$B$21,MATCH(H1173,Aux_CAV!$A$2:$A$121,1))))</f>
        <v/>
      </c>
      <c r="AB1173" s="31" t="str">
        <f>IF(D1173="","",IF(L1173&lt;=$B$16,1,IF(L1173&gt;=$B$17,$B$21,MATCH(L1173,Aux_CAV!$A$2:$A$121,1))))</f>
        <v/>
      </c>
      <c r="AC1173" s="3" t="str">
        <f t="shared" si="21"/>
        <v/>
      </c>
    </row>
    <row r="1174" ht="12.75" customHeight="1">
      <c r="A1174" s="25" t="str">
        <f t="shared" si="1"/>
        <v/>
      </c>
      <c r="B1174" s="29" t="str">
        <f t="array" ref="B1174">IF(D1174="","",IFERROR(VALUE(INDEX(Vazoes_COLAR!$A$2:$A$200,INT((ROW()-24)/12)+1)),""))</f>
        <v/>
      </c>
      <c r="C1174" s="29" t="str">
        <f t="shared" si="2"/>
        <v/>
      </c>
      <c r="D1174" s="26" t="str">
        <f t="array" ref="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74" s="26" t="str">
        <f t="shared" si="3"/>
        <v/>
      </c>
      <c r="F1174" s="26" t="str">
        <f t="array" ref="F1174">IF(D1174="","",IFERROR(INDEX(Dados_Evap!$C$2:$N$15,MATCH($B$9,Dados_Evap!$A$2:$A$15,0),C1174),0))</f>
        <v/>
      </c>
      <c r="G1174" s="26" t="str">
        <f t="shared" si="4"/>
        <v/>
      </c>
      <c r="H1174" s="26" t="str">
        <f t="shared" si="22"/>
        <v/>
      </c>
      <c r="I1174" s="26" t="str">
        <f t="array" ref="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/>
      </c>
      <c r="J1174" s="26" t="str">
        <f t="shared" si="5"/>
        <v/>
      </c>
      <c r="K1174" s="26" t="str">
        <f t="shared" si="6"/>
        <v/>
      </c>
      <c r="L1174" s="26" t="str">
        <f t="shared" si="7"/>
        <v/>
      </c>
      <c r="M1174" s="26" t="str">
        <f t="array" ref="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/>
      </c>
      <c r="N1174" s="26" t="str">
        <f t="shared" si="8"/>
        <v/>
      </c>
      <c r="O1174" s="26" t="str">
        <f t="shared" si="9"/>
        <v/>
      </c>
      <c r="P1174" s="26" t="str">
        <f t="shared" si="10"/>
        <v/>
      </c>
      <c r="Q1174" s="26" t="str">
        <f t="shared" si="11"/>
        <v/>
      </c>
      <c r="R1174" s="26" t="str">
        <f t="shared" si="12"/>
        <v/>
      </c>
      <c r="S1174" s="26" t="str">
        <f t="shared" si="13"/>
        <v/>
      </c>
      <c r="T1174" s="26" t="str">
        <f t="shared" si="14"/>
        <v/>
      </c>
      <c r="U1174" s="26" t="str">
        <f t="shared" si="15"/>
        <v/>
      </c>
      <c r="V1174" s="26" t="str">
        <f t="shared" si="16"/>
        <v/>
      </c>
      <c r="W1174" s="26" t="str">
        <f t="shared" si="17"/>
        <v/>
      </c>
      <c r="X1174" s="26" t="str">
        <f t="shared" si="18"/>
        <v/>
      </c>
      <c r="Y1174" s="26" t="str">
        <f t="shared" si="19"/>
        <v/>
      </c>
      <c r="Z1174" s="31" t="str">
        <f t="shared" si="20"/>
        <v/>
      </c>
      <c r="AA1174" s="31" t="str">
        <f>IF(D1174="","",IF(H1174&lt;=$B$16,1,IF(H1174&gt;=$B$17,$B$21,MATCH(H1174,Aux_CAV!$A$2:$A$121,1))))</f>
        <v/>
      </c>
      <c r="AB1174" s="31" t="str">
        <f>IF(D1174="","",IF(L1174&lt;=$B$16,1,IF(L1174&gt;=$B$17,$B$21,MATCH(L1174,Aux_CAV!$A$2:$A$121,1))))</f>
        <v/>
      </c>
      <c r="AC1174" s="3" t="str">
        <f t="shared" si="21"/>
        <v/>
      </c>
    </row>
    <row r="1175" ht="12.75" customHeight="1">
      <c r="A1175" s="25" t="str">
        <f t="shared" si="1"/>
        <v/>
      </c>
      <c r="B1175" s="29" t="str">
        <f t="array" ref="B1175">IF(D1175="","",IFERROR(VALUE(INDEX(Vazoes_COLAR!$A$2:$A$200,INT((ROW()-24)/12)+1)),""))</f>
        <v/>
      </c>
      <c r="C1175" s="29" t="str">
        <f t="shared" si="2"/>
        <v/>
      </c>
      <c r="D1175" s="26" t="str">
        <f t="array" ref="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75" s="26" t="str">
        <f t="shared" si="3"/>
        <v/>
      </c>
      <c r="F1175" s="26" t="str">
        <f t="array" ref="F1175">IF(D1175="","",IFERROR(INDEX(Dados_Evap!$C$2:$N$15,MATCH($B$9,Dados_Evap!$A$2:$A$15,0),C1175),0))</f>
        <v/>
      </c>
      <c r="G1175" s="26" t="str">
        <f t="shared" si="4"/>
        <v/>
      </c>
      <c r="H1175" s="26" t="str">
        <f t="shared" si="22"/>
        <v/>
      </c>
      <c r="I1175" s="26" t="str">
        <f t="array" ref="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/>
      </c>
      <c r="J1175" s="26" t="str">
        <f t="shared" si="5"/>
        <v/>
      </c>
      <c r="K1175" s="26" t="str">
        <f t="shared" si="6"/>
        <v/>
      </c>
      <c r="L1175" s="26" t="str">
        <f t="shared" si="7"/>
        <v/>
      </c>
      <c r="M1175" s="26" t="str">
        <f t="array" ref="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/>
      </c>
      <c r="N1175" s="26" t="str">
        <f t="shared" si="8"/>
        <v/>
      </c>
      <c r="O1175" s="26" t="str">
        <f t="shared" si="9"/>
        <v/>
      </c>
      <c r="P1175" s="26" t="str">
        <f t="shared" si="10"/>
        <v/>
      </c>
      <c r="Q1175" s="26" t="str">
        <f t="shared" si="11"/>
        <v/>
      </c>
      <c r="R1175" s="26" t="str">
        <f t="shared" si="12"/>
        <v/>
      </c>
      <c r="S1175" s="26" t="str">
        <f t="shared" si="13"/>
        <v/>
      </c>
      <c r="T1175" s="26" t="str">
        <f t="shared" si="14"/>
        <v/>
      </c>
      <c r="U1175" s="26" t="str">
        <f t="shared" si="15"/>
        <v/>
      </c>
      <c r="V1175" s="26" t="str">
        <f t="shared" si="16"/>
        <v/>
      </c>
      <c r="W1175" s="26" t="str">
        <f t="shared" si="17"/>
        <v/>
      </c>
      <c r="X1175" s="26" t="str">
        <f t="shared" si="18"/>
        <v/>
      </c>
      <c r="Y1175" s="26" t="str">
        <f t="shared" si="19"/>
        <v/>
      </c>
      <c r="Z1175" s="31" t="str">
        <f t="shared" si="20"/>
        <v/>
      </c>
      <c r="AA1175" s="31" t="str">
        <f>IF(D1175="","",IF(H1175&lt;=$B$16,1,IF(H1175&gt;=$B$17,$B$21,MATCH(H1175,Aux_CAV!$A$2:$A$121,1))))</f>
        <v/>
      </c>
      <c r="AB1175" s="31" t="str">
        <f>IF(D1175="","",IF(L1175&lt;=$B$16,1,IF(L1175&gt;=$B$17,$B$21,MATCH(L1175,Aux_CAV!$A$2:$A$121,1))))</f>
        <v/>
      </c>
      <c r="AC1175" s="3" t="str">
        <f t="shared" si="21"/>
        <v/>
      </c>
    </row>
    <row r="1176" ht="12.75" customHeight="1">
      <c r="A1176" s="25" t="str">
        <f t="shared" si="1"/>
        <v/>
      </c>
      <c r="B1176" s="29" t="str">
        <f t="array" ref="B1176">IF(D1176="","",IFERROR(VALUE(INDEX(Vazoes_COLAR!$A$2:$A$200,INT((ROW()-24)/12)+1)),""))</f>
        <v/>
      </c>
      <c r="C1176" s="29" t="str">
        <f t="shared" si="2"/>
        <v/>
      </c>
      <c r="D1176" s="26" t="str">
        <f t="array" ref="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76" s="26" t="str">
        <f t="shared" si="3"/>
        <v/>
      </c>
      <c r="F1176" s="26" t="str">
        <f t="array" ref="F1176">IF(D1176="","",IFERROR(INDEX(Dados_Evap!$C$2:$N$15,MATCH($B$9,Dados_Evap!$A$2:$A$15,0),C1176),0))</f>
        <v/>
      </c>
      <c r="G1176" s="26" t="str">
        <f t="shared" si="4"/>
        <v/>
      </c>
      <c r="H1176" s="26" t="str">
        <f t="shared" si="22"/>
        <v/>
      </c>
      <c r="I1176" s="26" t="str">
        <f t="array" ref="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/>
      </c>
      <c r="J1176" s="26" t="str">
        <f t="shared" si="5"/>
        <v/>
      </c>
      <c r="K1176" s="26" t="str">
        <f t="shared" si="6"/>
        <v/>
      </c>
      <c r="L1176" s="26" t="str">
        <f t="shared" si="7"/>
        <v/>
      </c>
      <c r="M1176" s="26" t="str">
        <f t="array" ref="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/>
      </c>
      <c r="N1176" s="26" t="str">
        <f t="shared" si="8"/>
        <v/>
      </c>
      <c r="O1176" s="26" t="str">
        <f t="shared" si="9"/>
        <v/>
      </c>
      <c r="P1176" s="26" t="str">
        <f t="shared" si="10"/>
        <v/>
      </c>
      <c r="Q1176" s="26" t="str">
        <f t="shared" si="11"/>
        <v/>
      </c>
      <c r="R1176" s="26" t="str">
        <f t="shared" si="12"/>
        <v/>
      </c>
      <c r="S1176" s="26" t="str">
        <f t="shared" si="13"/>
        <v/>
      </c>
      <c r="T1176" s="26" t="str">
        <f t="shared" si="14"/>
        <v/>
      </c>
      <c r="U1176" s="26" t="str">
        <f t="shared" si="15"/>
        <v/>
      </c>
      <c r="V1176" s="26" t="str">
        <f t="shared" si="16"/>
        <v/>
      </c>
      <c r="W1176" s="26" t="str">
        <f t="shared" si="17"/>
        <v/>
      </c>
      <c r="X1176" s="26" t="str">
        <f t="shared" si="18"/>
        <v/>
      </c>
      <c r="Y1176" s="26" t="str">
        <f t="shared" si="19"/>
        <v/>
      </c>
      <c r="Z1176" s="31" t="str">
        <f t="shared" si="20"/>
        <v/>
      </c>
      <c r="AA1176" s="31" t="str">
        <f>IF(D1176="","",IF(H1176&lt;=$B$16,1,IF(H1176&gt;=$B$17,$B$21,MATCH(H1176,Aux_CAV!$A$2:$A$121,1))))</f>
        <v/>
      </c>
      <c r="AB1176" s="31" t="str">
        <f>IF(D1176="","",IF(L1176&lt;=$B$16,1,IF(L1176&gt;=$B$17,$B$21,MATCH(L1176,Aux_CAV!$A$2:$A$121,1))))</f>
        <v/>
      </c>
      <c r="AC1176" s="3" t="str">
        <f t="shared" si="21"/>
        <v/>
      </c>
    </row>
    <row r="1177" ht="12.75" customHeight="1">
      <c r="A1177" s="25" t="str">
        <f t="shared" si="1"/>
        <v/>
      </c>
      <c r="B1177" s="29" t="str">
        <f t="array" ref="B1177">IF(D1177="","",IFERROR(VALUE(INDEX(Vazoes_COLAR!$A$2:$A$200,INT((ROW()-24)/12)+1)),""))</f>
        <v/>
      </c>
      <c r="C1177" s="29" t="str">
        <f t="shared" si="2"/>
        <v/>
      </c>
      <c r="D1177" s="26" t="str">
        <f t="array" ref="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77" s="26" t="str">
        <f t="shared" si="3"/>
        <v/>
      </c>
      <c r="F1177" s="26" t="str">
        <f t="array" ref="F1177">IF(D1177="","",IFERROR(INDEX(Dados_Evap!$C$2:$N$15,MATCH($B$9,Dados_Evap!$A$2:$A$15,0),C1177),0))</f>
        <v/>
      </c>
      <c r="G1177" s="26" t="str">
        <f t="shared" si="4"/>
        <v/>
      </c>
      <c r="H1177" s="26" t="str">
        <f t="shared" si="22"/>
        <v/>
      </c>
      <c r="I1177" s="26" t="str">
        <f t="array" ref="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/>
      </c>
      <c r="J1177" s="26" t="str">
        <f t="shared" si="5"/>
        <v/>
      </c>
      <c r="K1177" s="26" t="str">
        <f t="shared" si="6"/>
        <v/>
      </c>
      <c r="L1177" s="26" t="str">
        <f t="shared" si="7"/>
        <v/>
      </c>
      <c r="M1177" s="26" t="str">
        <f t="array" ref="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/>
      </c>
      <c r="N1177" s="26" t="str">
        <f t="shared" si="8"/>
        <v/>
      </c>
      <c r="O1177" s="26" t="str">
        <f t="shared" si="9"/>
        <v/>
      </c>
      <c r="P1177" s="26" t="str">
        <f t="shared" si="10"/>
        <v/>
      </c>
      <c r="Q1177" s="26" t="str">
        <f t="shared" si="11"/>
        <v/>
      </c>
      <c r="R1177" s="26" t="str">
        <f t="shared" si="12"/>
        <v/>
      </c>
      <c r="S1177" s="26" t="str">
        <f t="shared" si="13"/>
        <v/>
      </c>
      <c r="T1177" s="26" t="str">
        <f t="shared" si="14"/>
        <v/>
      </c>
      <c r="U1177" s="26" t="str">
        <f t="shared" si="15"/>
        <v/>
      </c>
      <c r="V1177" s="26" t="str">
        <f t="shared" si="16"/>
        <v/>
      </c>
      <c r="W1177" s="26" t="str">
        <f t="shared" si="17"/>
        <v/>
      </c>
      <c r="X1177" s="26" t="str">
        <f t="shared" si="18"/>
        <v/>
      </c>
      <c r="Y1177" s="26" t="str">
        <f t="shared" si="19"/>
        <v/>
      </c>
      <c r="Z1177" s="31" t="str">
        <f t="shared" si="20"/>
        <v/>
      </c>
      <c r="AA1177" s="31" t="str">
        <f>IF(D1177="","",IF(H1177&lt;=$B$16,1,IF(H1177&gt;=$B$17,$B$21,MATCH(H1177,Aux_CAV!$A$2:$A$121,1))))</f>
        <v/>
      </c>
      <c r="AB1177" s="31" t="str">
        <f>IF(D1177="","",IF(L1177&lt;=$B$16,1,IF(L1177&gt;=$B$17,$B$21,MATCH(L1177,Aux_CAV!$A$2:$A$121,1))))</f>
        <v/>
      </c>
      <c r="AC1177" s="3" t="str">
        <f t="shared" si="21"/>
        <v/>
      </c>
    </row>
    <row r="1178" ht="12.75" customHeight="1">
      <c r="A1178" s="25" t="str">
        <f t="shared" si="1"/>
        <v/>
      </c>
      <c r="B1178" s="29" t="str">
        <f t="array" ref="B1178">IF(D1178="","",IFERROR(VALUE(INDEX(Vazoes_COLAR!$A$2:$A$200,INT((ROW()-24)/12)+1)),""))</f>
        <v/>
      </c>
      <c r="C1178" s="29" t="str">
        <f t="shared" si="2"/>
        <v/>
      </c>
      <c r="D1178" s="26" t="str">
        <f t="array" ref="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78" s="26" t="str">
        <f t="shared" si="3"/>
        <v/>
      </c>
      <c r="F1178" s="26" t="str">
        <f t="array" ref="F1178">IF(D1178="","",IFERROR(INDEX(Dados_Evap!$C$2:$N$15,MATCH($B$9,Dados_Evap!$A$2:$A$15,0),C1178),0))</f>
        <v/>
      </c>
      <c r="G1178" s="26" t="str">
        <f t="shared" si="4"/>
        <v/>
      </c>
      <c r="H1178" s="26" t="str">
        <f t="shared" si="22"/>
        <v/>
      </c>
      <c r="I1178" s="26" t="str">
        <f t="array" ref="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/>
      </c>
      <c r="J1178" s="26" t="str">
        <f t="shared" si="5"/>
        <v/>
      </c>
      <c r="K1178" s="26" t="str">
        <f t="shared" si="6"/>
        <v/>
      </c>
      <c r="L1178" s="26" t="str">
        <f t="shared" si="7"/>
        <v/>
      </c>
      <c r="M1178" s="26" t="str">
        <f t="array" ref="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/>
      </c>
      <c r="N1178" s="26" t="str">
        <f t="shared" si="8"/>
        <v/>
      </c>
      <c r="O1178" s="26" t="str">
        <f t="shared" si="9"/>
        <v/>
      </c>
      <c r="P1178" s="26" t="str">
        <f t="shared" si="10"/>
        <v/>
      </c>
      <c r="Q1178" s="26" t="str">
        <f t="shared" si="11"/>
        <v/>
      </c>
      <c r="R1178" s="26" t="str">
        <f t="shared" si="12"/>
        <v/>
      </c>
      <c r="S1178" s="26" t="str">
        <f t="shared" si="13"/>
        <v/>
      </c>
      <c r="T1178" s="26" t="str">
        <f t="shared" si="14"/>
        <v/>
      </c>
      <c r="U1178" s="26" t="str">
        <f t="shared" si="15"/>
        <v/>
      </c>
      <c r="V1178" s="26" t="str">
        <f t="shared" si="16"/>
        <v/>
      </c>
      <c r="W1178" s="26" t="str">
        <f t="shared" si="17"/>
        <v/>
      </c>
      <c r="X1178" s="26" t="str">
        <f t="shared" si="18"/>
        <v/>
      </c>
      <c r="Y1178" s="26" t="str">
        <f t="shared" si="19"/>
        <v/>
      </c>
      <c r="Z1178" s="31" t="str">
        <f t="shared" si="20"/>
        <v/>
      </c>
      <c r="AA1178" s="31" t="str">
        <f>IF(D1178="","",IF(H1178&lt;=$B$16,1,IF(H1178&gt;=$B$17,$B$21,MATCH(H1178,Aux_CAV!$A$2:$A$121,1))))</f>
        <v/>
      </c>
      <c r="AB1178" s="31" t="str">
        <f>IF(D1178="","",IF(L1178&lt;=$B$16,1,IF(L1178&gt;=$B$17,$B$21,MATCH(L1178,Aux_CAV!$A$2:$A$121,1))))</f>
        <v/>
      </c>
      <c r="AC1178" s="3" t="str">
        <f t="shared" si="21"/>
        <v/>
      </c>
    </row>
    <row r="1179" ht="12.75" customHeight="1">
      <c r="A1179" s="25" t="str">
        <f t="shared" si="1"/>
        <v/>
      </c>
      <c r="B1179" s="29" t="str">
        <f t="array" ref="B1179">IF(D1179="","",IFERROR(VALUE(INDEX(Vazoes_COLAR!$A$2:$A$200,INT((ROW()-24)/12)+1)),""))</f>
        <v/>
      </c>
      <c r="C1179" s="29" t="str">
        <f t="shared" si="2"/>
        <v/>
      </c>
      <c r="D1179" s="26" t="str">
        <f t="array" ref="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79" s="26" t="str">
        <f t="shared" si="3"/>
        <v/>
      </c>
      <c r="F1179" s="26" t="str">
        <f t="array" ref="F1179">IF(D1179="","",IFERROR(INDEX(Dados_Evap!$C$2:$N$15,MATCH($B$9,Dados_Evap!$A$2:$A$15,0),C1179),0))</f>
        <v/>
      </c>
      <c r="G1179" s="26" t="str">
        <f t="shared" si="4"/>
        <v/>
      </c>
      <c r="H1179" s="26" t="str">
        <f t="shared" si="22"/>
        <v/>
      </c>
      <c r="I1179" s="26" t="str">
        <f t="array" ref="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/>
      </c>
      <c r="J1179" s="26" t="str">
        <f t="shared" si="5"/>
        <v/>
      </c>
      <c r="K1179" s="26" t="str">
        <f t="shared" si="6"/>
        <v/>
      </c>
      <c r="L1179" s="26" t="str">
        <f t="shared" si="7"/>
        <v/>
      </c>
      <c r="M1179" s="26" t="str">
        <f t="array" ref="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/>
      </c>
      <c r="N1179" s="26" t="str">
        <f t="shared" si="8"/>
        <v/>
      </c>
      <c r="O1179" s="26" t="str">
        <f t="shared" si="9"/>
        <v/>
      </c>
      <c r="P1179" s="26" t="str">
        <f t="shared" si="10"/>
        <v/>
      </c>
      <c r="Q1179" s="26" t="str">
        <f t="shared" si="11"/>
        <v/>
      </c>
      <c r="R1179" s="26" t="str">
        <f t="shared" si="12"/>
        <v/>
      </c>
      <c r="S1179" s="26" t="str">
        <f t="shared" si="13"/>
        <v/>
      </c>
      <c r="T1179" s="26" t="str">
        <f t="shared" si="14"/>
        <v/>
      </c>
      <c r="U1179" s="26" t="str">
        <f t="shared" si="15"/>
        <v/>
      </c>
      <c r="V1179" s="26" t="str">
        <f t="shared" si="16"/>
        <v/>
      </c>
      <c r="W1179" s="26" t="str">
        <f t="shared" si="17"/>
        <v/>
      </c>
      <c r="X1179" s="26" t="str">
        <f t="shared" si="18"/>
        <v/>
      </c>
      <c r="Y1179" s="26" t="str">
        <f t="shared" si="19"/>
        <v/>
      </c>
      <c r="Z1179" s="31" t="str">
        <f t="shared" si="20"/>
        <v/>
      </c>
      <c r="AA1179" s="31" t="str">
        <f>IF(D1179="","",IF(H1179&lt;=$B$16,1,IF(H1179&gt;=$B$17,$B$21,MATCH(H1179,Aux_CAV!$A$2:$A$121,1))))</f>
        <v/>
      </c>
      <c r="AB1179" s="31" t="str">
        <f>IF(D1179="","",IF(L1179&lt;=$B$16,1,IF(L1179&gt;=$B$17,$B$21,MATCH(L1179,Aux_CAV!$A$2:$A$121,1))))</f>
        <v/>
      </c>
      <c r="AC1179" s="3" t="str">
        <f t="shared" si="21"/>
        <v/>
      </c>
    </row>
    <row r="1180" ht="12.75" customHeight="1">
      <c r="A1180" s="25" t="str">
        <f t="shared" si="1"/>
        <v/>
      </c>
      <c r="B1180" s="29" t="str">
        <f t="array" ref="B1180">IF(D1180="","",IFERROR(VALUE(INDEX(Vazoes_COLAR!$A$2:$A$200,INT((ROW()-24)/12)+1)),""))</f>
        <v/>
      </c>
      <c r="C1180" s="29" t="str">
        <f t="shared" si="2"/>
        <v/>
      </c>
      <c r="D1180" s="26" t="str">
        <f t="array" ref="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80" s="26" t="str">
        <f t="shared" si="3"/>
        <v/>
      </c>
      <c r="F1180" s="26" t="str">
        <f t="array" ref="F1180">IF(D1180="","",IFERROR(INDEX(Dados_Evap!$C$2:$N$15,MATCH($B$9,Dados_Evap!$A$2:$A$15,0),C1180),0))</f>
        <v/>
      </c>
      <c r="G1180" s="26" t="str">
        <f t="shared" si="4"/>
        <v/>
      </c>
      <c r="H1180" s="26" t="str">
        <f t="shared" si="22"/>
        <v/>
      </c>
      <c r="I1180" s="26" t="str">
        <f t="array" ref="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/>
      </c>
      <c r="J1180" s="26" t="str">
        <f t="shared" si="5"/>
        <v/>
      </c>
      <c r="K1180" s="26" t="str">
        <f t="shared" si="6"/>
        <v/>
      </c>
      <c r="L1180" s="26" t="str">
        <f t="shared" si="7"/>
        <v/>
      </c>
      <c r="M1180" s="26" t="str">
        <f t="array" ref="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/>
      </c>
      <c r="N1180" s="26" t="str">
        <f t="shared" si="8"/>
        <v/>
      </c>
      <c r="O1180" s="26" t="str">
        <f t="shared" si="9"/>
        <v/>
      </c>
      <c r="P1180" s="26" t="str">
        <f t="shared" si="10"/>
        <v/>
      </c>
      <c r="Q1180" s="26" t="str">
        <f t="shared" si="11"/>
        <v/>
      </c>
      <c r="R1180" s="26" t="str">
        <f t="shared" si="12"/>
        <v/>
      </c>
      <c r="S1180" s="26" t="str">
        <f t="shared" si="13"/>
        <v/>
      </c>
      <c r="T1180" s="26" t="str">
        <f t="shared" si="14"/>
        <v/>
      </c>
      <c r="U1180" s="26" t="str">
        <f t="shared" si="15"/>
        <v/>
      </c>
      <c r="V1180" s="26" t="str">
        <f t="shared" si="16"/>
        <v/>
      </c>
      <c r="W1180" s="26" t="str">
        <f t="shared" si="17"/>
        <v/>
      </c>
      <c r="X1180" s="26" t="str">
        <f t="shared" si="18"/>
        <v/>
      </c>
      <c r="Y1180" s="26" t="str">
        <f t="shared" si="19"/>
        <v/>
      </c>
      <c r="Z1180" s="31" t="str">
        <f t="shared" si="20"/>
        <v/>
      </c>
      <c r="AA1180" s="31" t="str">
        <f>IF(D1180="","",IF(H1180&lt;=$B$16,1,IF(H1180&gt;=$B$17,$B$21,MATCH(H1180,Aux_CAV!$A$2:$A$121,1))))</f>
        <v/>
      </c>
      <c r="AB1180" s="31" t="str">
        <f>IF(D1180="","",IF(L1180&lt;=$B$16,1,IF(L1180&gt;=$B$17,$B$21,MATCH(L1180,Aux_CAV!$A$2:$A$121,1))))</f>
        <v/>
      </c>
      <c r="AC1180" s="3" t="str">
        <f t="shared" si="21"/>
        <v/>
      </c>
    </row>
    <row r="1181" ht="12.75" customHeight="1">
      <c r="A1181" s="25" t="str">
        <f t="shared" si="1"/>
        <v/>
      </c>
      <c r="B1181" s="29" t="str">
        <f t="array" ref="B1181">IF(D1181="","",IFERROR(VALUE(INDEX(Vazoes_COLAR!$A$2:$A$200,INT((ROW()-24)/12)+1)),""))</f>
        <v/>
      </c>
      <c r="C1181" s="29" t="str">
        <f t="shared" si="2"/>
        <v/>
      </c>
      <c r="D1181" s="26" t="str">
        <f t="array" ref="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81" s="26" t="str">
        <f t="shared" si="3"/>
        <v/>
      </c>
      <c r="F1181" s="26" t="str">
        <f t="array" ref="F1181">IF(D1181="","",IFERROR(INDEX(Dados_Evap!$C$2:$N$15,MATCH($B$9,Dados_Evap!$A$2:$A$15,0),C1181),0))</f>
        <v/>
      </c>
      <c r="G1181" s="26" t="str">
        <f t="shared" si="4"/>
        <v/>
      </c>
      <c r="H1181" s="26" t="str">
        <f t="shared" si="22"/>
        <v/>
      </c>
      <c r="I1181" s="26" t="str">
        <f t="array" ref="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/>
      </c>
      <c r="J1181" s="26" t="str">
        <f t="shared" si="5"/>
        <v/>
      </c>
      <c r="K1181" s="26" t="str">
        <f t="shared" si="6"/>
        <v/>
      </c>
      <c r="L1181" s="26" t="str">
        <f t="shared" si="7"/>
        <v/>
      </c>
      <c r="M1181" s="26" t="str">
        <f t="array" ref="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/>
      </c>
      <c r="N1181" s="26" t="str">
        <f t="shared" si="8"/>
        <v/>
      </c>
      <c r="O1181" s="26" t="str">
        <f t="shared" si="9"/>
        <v/>
      </c>
      <c r="P1181" s="26" t="str">
        <f t="shared" si="10"/>
        <v/>
      </c>
      <c r="Q1181" s="26" t="str">
        <f t="shared" si="11"/>
        <v/>
      </c>
      <c r="R1181" s="26" t="str">
        <f t="shared" si="12"/>
        <v/>
      </c>
      <c r="S1181" s="26" t="str">
        <f t="shared" si="13"/>
        <v/>
      </c>
      <c r="T1181" s="26" t="str">
        <f t="shared" si="14"/>
        <v/>
      </c>
      <c r="U1181" s="26" t="str">
        <f t="shared" si="15"/>
        <v/>
      </c>
      <c r="V1181" s="26" t="str">
        <f t="shared" si="16"/>
        <v/>
      </c>
      <c r="W1181" s="26" t="str">
        <f t="shared" si="17"/>
        <v/>
      </c>
      <c r="X1181" s="26" t="str">
        <f t="shared" si="18"/>
        <v/>
      </c>
      <c r="Y1181" s="26" t="str">
        <f t="shared" si="19"/>
        <v/>
      </c>
      <c r="Z1181" s="31" t="str">
        <f t="shared" si="20"/>
        <v/>
      </c>
      <c r="AA1181" s="31" t="str">
        <f>IF(D1181="","",IF(H1181&lt;=$B$16,1,IF(H1181&gt;=$B$17,$B$21,MATCH(H1181,Aux_CAV!$A$2:$A$121,1))))</f>
        <v/>
      </c>
      <c r="AB1181" s="31" t="str">
        <f>IF(D1181="","",IF(L1181&lt;=$B$16,1,IF(L1181&gt;=$B$17,$B$21,MATCH(L1181,Aux_CAV!$A$2:$A$121,1))))</f>
        <v/>
      </c>
      <c r="AC1181" s="3" t="str">
        <f t="shared" si="21"/>
        <v/>
      </c>
    </row>
    <row r="1182" ht="12.75" customHeight="1">
      <c r="A1182" s="25" t="str">
        <f t="shared" si="1"/>
        <v/>
      </c>
      <c r="B1182" s="29" t="str">
        <f t="array" ref="B1182">IF(D1182="","",IFERROR(VALUE(INDEX(Vazoes_COLAR!$A$2:$A$200,INT((ROW()-24)/12)+1)),""))</f>
        <v/>
      </c>
      <c r="C1182" s="29" t="str">
        <f t="shared" si="2"/>
        <v/>
      </c>
      <c r="D1182" s="26" t="str">
        <f t="array" ref="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82" s="26" t="str">
        <f t="shared" si="3"/>
        <v/>
      </c>
      <c r="F1182" s="26" t="str">
        <f t="array" ref="F1182">IF(D1182="","",IFERROR(INDEX(Dados_Evap!$C$2:$N$15,MATCH($B$9,Dados_Evap!$A$2:$A$15,0),C1182),0))</f>
        <v/>
      </c>
      <c r="G1182" s="26" t="str">
        <f t="shared" si="4"/>
        <v/>
      </c>
      <c r="H1182" s="26" t="str">
        <f t="shared" si="22"/>
        <v/>
      </c>
      <c r="I1182" s="26" t="str">
        <f t="array" ref="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/>
      </c>
      <c r="J1182" s="26" t="str">
        <f t="shared" si="5"/>
        <v/>
      </c>
      <c r="K1182" s="26" t="str">
        <f t="shared" si="6"/>
        <v/>
      </c>
      <c r="L1182" s="26" t="str">
        <f t="shared" si="7"/>
        <v/>
      </c>
      <c r="M1182" s="26" t="str">
        <f t="array" ref="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/>
      </c>
      <c r="N1182" s="26" t="str">
        <f t="shared" si="8"/>
        <v/>
      </c>
      <c r="O1182" s="26" t="str">
        <f t="shared" si="9"/>
        <v/>
      </c>
      <c r="P1182" s="26" t="str">
        <f t="shared" si="10"/>
        <v/>
      </c>
      <c r="Q1182" s="26" t="str">
        <f t="shared" si="11"/>
        <v/>
      </c>
      <c r="R1182" s="26" t="str">
        <f t="shared" si="12"/>
        <v/>
      </c>
      <c r="S1182" s="26" t="str">
        <f t="shared" si="13"/>
        <v/>
      </c>
      <c r="T1182" s="26" t="str">
        <f t="shared" si="14"/>
        <v/>
      </c>
      <c r="U1182" s="26" t="str">
        <f t="shared" si="15"/>
        <v/>
      </c>
      <c r="V1182" s="26" t="str">
        <f t="shared" si="16"/>
        <v/>
      </c>
      <c r="W1182" s="26" t="str">
        <f t="shared" si="17"/>
        <v/>
      </c>
      <c r="X1182" s="26" t="str">
        <f t="shared" si="18"/>
        <v/>
      </c>
      <c r="Y1182" s="26" t="str">
        <f t="shared" si="19"/>
        <v/>
      </c>
      <c r="Z1182" s="31" t="str">
        <f t="shared" si="20"/>
        <v/>
      </c>
      <c r="AA1182" s="31" t="str">
        <f>IF(D1182="","",IF(H1182&lt;=$B$16,1,IF(H1182&gt;=$B$17,$B$21,MATCH(H1182,Aux_CAV!$A$2:$A$121,1))))</f>
        <v/>
      </c>
      <c r="AB1182" s="31" t="str">
        <f>IF(D1182="","",IF(L1182&lt;=$B$16,1,IF(L1182&gt;=$B$17,$B$21,MATCH(L1182,Aux_CAV!$A$2:$A$121,1))))</f>
        <v/>
      </c>
      <c r="AC1182" s="3" t="str">
        <f t="shared" si="21"/>
        <v/>
      </c>
    </row>
    <row r="1183" ht="12.75" customHeight="1">
      <c r="A1183" s="25" t="str">
        <f t="shared" si="1"/>
        <v/>
      </c>
      <c r="B1183" s="29" t="str">
        <f t="array" ref="B1183">IF(D1183="","",IFERROR(VALUE(INDEX(Vazoes_COLAR!$A$2:$A$200,INT((ROW()-24)/12)+1)),""))</f>
        <v/>
      </c>
      <c r="C1183" s="29" t="str">
        <f t="shared" si="2"/>
        <v/>
      </c>
      <c r="D1183" s="26" t="str">
        <f t="array" ref="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83" s="26" t="str">
        <f t="shared" si="3"/>
        <v/>
      </c>
      <c r="F1183" s="26" t="str">
        <f t="array" ref="F1183">IF(D1183="","",IFERROR(INDEX(Dados_Evap!$C$2:$N$15,MATCH($B$9,Dados_Evap!$A$2:$A$15,0),C1183),0))</f>
        <v/>
      </c>
      <c r="G1183" s="26" t="str">
        <f t="shared" si="4"/>
        <v/>
      </c>
      <c r="H1183" s="26" t="str">
        <f t="shared" si="22"/>
        <v/>
      </c>
      <c r="I1183" s="26" t="str">
        <f t="array" ref="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/>
      </c>
      <c r="J1183" s="26" t="str">
        <f t="shared" si="5"/>
        <v/>
      </c>
      <c r="K1183" s="26" t="str">
        <f t="shared" si="6"/>
        <v/>
      </c>
      <c r="L1183" s="26" t="str">
        <f t="shared" si="7"/>
        <v/>
      </c>
      <c r="M1183" s="26" t="str">
        <f t="array" ref="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/>
      </c>
      <c r="N1183" s="26" t="str">
        <f t="shared" si="8"/>
        <v/>
      </c>
      <c r="O1183" s="26" t="str">
        <f t="shared" si="9"/>
        <v/>
      </c>
      <c r="P1183" s="26" t="str">
        <f t="shared" si="10"/>
        <v/>
      </c>
      <c r="Q1183" s="26" t="str">
        <f t="shared" si="11"/>
        <v/>
      </c>
      <c r="R1183" s="26" t="str">
        <f t="shared" si="12"/>
        <v/>
      </c>
      <c r="S1183" s="26" t="str">
        <f t="shared" si="13"/>
        <v/>
      </c>
      <c r="T1183" s="26" t="str">
        <f t="shared" si="14"/>
        <v/>
      </c>
      <c r="U1183" s="26" t="str">
        <f t="shared" si="15"/>
        <v/>
      </c>
      <c r="V1183" s="26" t="str">
        <f t="shared" si="16"/>
        <v/>
      </c>
      <c r="W1183" s="26" t="str">
        <f t="shared" si="17"/>
        <v/>
      </c>
      <c r="X1183" s="26" t="str">
        <f t="shared" si="18"/>
        <v/>
      </c>
      <c r="Y1183" s="26" t="str">
        <f t="shared" si="19"/>
        <v/>
      </c>
      <c r="Z1183" s="31" t="str">
        <f t="shared" si="20"/>
        <v/>
      </c>
      <c r="AA1183" s="31" t="str">
        <f>IF(D1183="","",IF(H1183&lt;=$B$16,1,IF(H1183&gt;=$B$17,$B$21,MATCH(H1183,Aux_CAV!$A$2:$A$121,1))))</f>
        <v/>
      </c>
      <c r="AB1183" s="31" t="str">
        <f>IF(D1183="","",IF(L1183&lt;=$B$16,1,IF(L1183&gt;=$B$17,$B$21,MATCH(L1183,Aux_CAV!$A$2:$A$121,1))))</f>
        <v/>
      </c>
      <c r="AC1183" s="3" t="str">
        <f t="shared" si="21"/>
        <v/>
      </c>
    </row>
    <row r="1184" ht="12.75" customHeight="1">
      <c r="A1184" s="25" t="str">
        <f t="shared" si="1"/>
        <v/>
      </c>
      <c r="B1184" s="29" t="str">
        <f t="array" ref="B1184">IF(D1184="","",IFERROR(VALUE(INDEX(Vazoes_COLAR!$A$2:$A$200,INT((ROW()-24)/12)+1)),""))</f>
        <v/>
      </c>
      <c r="C1184" s="29" t="str">
        <f t="shared" si="2"/>
        <v/>
      </c>
      <c r="D1184" s="26" t="str">
        <f t="array" ref="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84" s="26" t="str">
        <f t="shared" si="3"/>
        <v/>
      </c>
      <c r="F1184" s="26" t="str">
        <f t="array" ref="F1184">IF(D1184="","",IFERROR(INDEX(Dados_Evap!$C$2:$N$15,MATCH($B$9,Dados_Evap!$A$2:$A$15,0),C1184),0))</f>
        <v/>
      </c>
      <c r="G1184" s="26" t="str">
        <f t="shared" si="4"/>
        <v/>
      </c>
      <c r="H1184" s="26" t="str">
        <f t="shared" si="22"/>
        <v/>
      </c>
      <c r="I1184" s="26" t="str">
        <f t="array" ref="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/>
      </c>
      <c r="J1184" s="26" t="str">
        <f t="shared" si="5"/>
        <v/>
      </c>
      <c r="K1184" s="26" t="str">
        <f t="shared" si="6"/>
        <v/>
      </c>
      <c r="L1184" s="26" t="str">
        <f t="shared" si="7"/>
        <v/>
      </c>
      <c r="M1184" s="26" t="str">
        <f t="array" ref="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/>
      </c>
      <c r="N1184" s="26" t="str">
        <f t="shared" si="8"/>
        <v/>
      </c>
      <c r="O1184" s="26" t="str">
        <f t="shared" si="9"/>
        <v/>
      </c>
      <c r="P1184" s="26" t="str">
        <f t="shared" si="10"/>
        <v/>
      </c>
      <c r="Q1184" s="26" t="str">
        <f t="shared" si="11"/>
        <v/>
      </c>
      <c r="R1184" s="26" t="str">
        <f t="shared" si="12"/>
        <v/>
      </c>
      <c r="S1184" s="26" t="str">
        <f t="shared" si="13"/>
        <v/>
      </c>
      <c r="T1184" s="26" t="str">
        <f t="shared" si="14"/>
        <v/>
      </c>
      <c r="U1184" s="26" t="str">
        <f t="shared" si="15"/>
        <v/>
      </c>
      <c r="V1184" s="26" t="str">
        <f t="shared" si="16"/>
        <v/>
      </c>
      <c r="W1184" s="26" t="str">
        <f t="shared" si="17"/>
        <v/>
      </c>
      <c r="X1184" s="26" t="str">
        <f t="shared" si="18"/>
        <v/>
      </c>
      <c r="Y1184" s="26" t="str">
        <f t="shared" si="19"/>
        <v/>
      </c>
      <c r="Z1184" s="31" t="str">
        <f t="shared" si="20"/>
        <v/>
      </c>
      <c r="AA1184" s="31" t="str">
        <f>IF(D1184="","",IF(H1184&lt;=$B$16,1,IF(H1184&gt;=$B$17,$B$21,MATCH(H1184,Aux_CAV!$A$2:$A$121,1))))</f>
        <v/>
      </c>
      <c r="AB1184" s="31" t="str">
        <f>IF(D1184="","",IF(L1184&lt;=$B$16,1,IF(L1184&gt;=$B$17,$B$21,MATCH(L1184,Aux_CAV!$A$2:$A$121,1))))</f>
        <v/>
      </c>
      <c r="AC1184" s="3" t="str">
        <f t="shared" si="21"/>
        <v/>
      </c>
    </row>
    <row r="1185" ht="12.75" customHeight="1">
      <c r="A1185" s="25" t="str">
        <f t="shared" si="1"/>
        <v/>
      </c>
      <c r="B1185" s="29" t="str">
        <f t="array" ref="B1185">IF(D1185="","",IFERROR(VALUE(INDEX(Vazoes_COLAR!$A$2:$A$200,INT((ROW()-24)/12)+1)),""))</f>
        <v/>
      </c>
      <c r="C1185" s="29" t="str">
        <f t="shared" si="2"/>
        <v/>
      </c>
      <c r="D1185" s="26" t="str">
        <f t="array" ref="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85" s="26" t="str">
        <f t="shared" si="3"/>
        <v/>
      </c>
      <c r="F1185" s="26" t="str">
        <f t="array" ref="F1185">IF(D1185="","",IFERROR(INDEX(Dados_Evap!$C$2:$N$15,MATCH($B$9,Dados_Evap!$A$2:$A$15,0),C1185),0))</f>
        <v/>
      </c>
      <c r="G1185" s="26" t="str">
        <f t="shared" si="4"/>
        <v/>
      </c>
      <c r="H1185" s="26" t="str">
        <f t="shared" si="22"/>
        <v/>
      </c>
      <c r="I1185" s="26" t="str">
        <f t="array" ref="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/>
      </c>
      <c r="J1185" s="26" t="str">
        <f t="shared" si="5"/>
        <v/>
      </c>
      <c r="K1185" s="26" t="str">
        <f t="shared" si="6"/>
        <v/>
      </c>
      <c r="L1185" s="26" t="str">
        <f t="shared" si="7"/>
        <v/>
      </c>
      <c r="M1185" s="26" t="str">
        <f t="array" ref="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/>
      </c>
      <c r="N1185" s="26" t="str">
        <f t="shared" si="8"/>
        <v/>
      </c>
      <c r="O1185" s="26" t="str">
        <f t="shared" si="9"/>
        <v/>
      </c>
      <c r="P1185" s="26" t="str">
        <f t="shared" si="10"/>
        <v/>
      </c>
      <c r="Q1185" s="26" t="str">
        <f t="shared" si="11"/>
        <v/>
      </c>
      <c r="R1185" s="26" t="str">
        <f t="shared" si="12"/>
        <v/>
      </c>
      <c r="S1185" s="26" t="str">
        <f t="shared" si="13"/>
        <v/>
      </c>
      <c r="T1185" s="26" t="str">
        <f t="shared" si="14"/>
        <v/>
      </c>
      <c r="U1185" s="26" t="str">
        <f t="shared" si="15"/>
        <v/>
      </c>
      <c r="V1185" s="26" t="str">
        <f t="shared" si="16"/>
        <v/>
      </c>
      <c r="W1185" s="26" t="str">
        <f t="shared" si="17"/>
        <v/>
      </c>
      <c r="X1185" s="26" t="str">
        <f t="shared" si="18"/>
        <v/>
      </c>
      <c r="Y1185" s="26" t="str">
        <f t="shared" si="19"/>
        <v/>
      </c>
      <c r="Z1185" s="31" t="str">
        <f t="shared" si="20"/>
        <v/>
      </c>
      <c r="AA1185" s="31" t="str">
        <f>IF(D1185="","",IF(H1185&lt;=$B$16,1,IF(H1185&gt;=$B$17,$B$21,MATCH(H1185,Aux_CAV!$A$2:$A$121,1))))</f>
        <v/>
      </c>
      <c r="AB1185" s="31" t="str">
        <f>IF(D1185="","",IF(L1185&lt;=$B$16,1,IF(L1185&gt;=$B$17,$B$21,MATCH(L1185,Aux_CAV!$A$2:$A$121,1))))</f>
        <v/>
      </c>
      <c r="AC1185" s="3" t="str">
        <f t="shared" si="21"/>
        <v/>
      </c>
    </row>
    <row r="1186" ht="12.75" customHeight="1">
      <c r="A1186" s="25" t="str">
        <f t="shared" si="1"/>
        <v/>
      </c>
      <c r="B1186" s="29" t="str">
        <f t="array" ref="B1186">IF(D1186="","",IFERROR(VALUE(INDEX(Vazoes_COLAR!$A$2:$A$200,INT((ROW()-24)/12)+1)),""))</f>
        <v/>
      </c>
      <c r="C1186" s="29" t="str">
        <f t="shared" si="2"/>
        <v/>
      </c>
      <c r="D1186" s="26" t="str">
        <f t="array" ref="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86" s="26" t="str">
        <f t="shared" si="3"/>
        <v/>
      </c>
      <c r="F1186" s="26" t="str">
        <f t="array" ref="F1186">IF(D1186="","",IFERROR(INDEX(Dados_Evap!$C$2:$N$15,MATCH($B$9,Dados_Evap!$A$2:$A$15,0),C1186),0))</f>
        <v/>
      </c>
      <c r="G1186" s="26" t="str">
        <f t="shared" si="4"/>
        <v/>
      </c>
      <c r="H1186" s="26" t="str">
        <f t="shared" si="22"/>
        <v/>
      </c>
      <c r="I1186" s="26" t="str">
        <f t="array" ref="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/>
      </c>
      <c r="J1186" s="26" t="str">
        <f t="shared" si="5"/>
        <v/>
      </c>
      <c r="K1186" s="26" t="str">
        <f t="shared" si="6"/>
        <v/>
      </c>
      <c r="L1186" s="26" t="str">
        <f t="shared" si="7"/>
        <v/>
      </c>
      <c r="M1186" s="26" t="str">
        <f t="array" ref="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/>
      </c>
      <c r="N1186" s="26" t="str">
        <f t="shared" si="8"/>
        <v/>
      </c>
      <c r="O1186" s="26" t="str">
        <f t="shared" si="9"/>
        <v/>
      </c>
      <c r="P1186" s="26" t="str">
        <f t="shared" si="10"/>
        <v/>
      </c>
      <c r="Q1186" s="26" t="str">
        <f t="shared" si="11"/>
        <v/>
      </c>
      <c r="R1186" s="26" t="str">
        <f t="shared" si="12"/>
        <v/>
      </c>
      <c r="S1186" s="26" t="str">
        <f t="shared" si="13"/>
        <v/>
      </c>
      <c r="T1186" s="26" t="str">
        <f t="shared" si="14"/>
        <v/>
      </c>
      <c r="U1186" s="26" t="str">
        <f t="shared" si="15"/>
        <v/>
      </c>
      <c r="V1186" s="26" t="str">
        <f t="shared" si="16"/>
        <v/>
      </c>
      <c r="W1186" s="26" t="str">
        <f t="shared" si="17"/>
        <v/>
      </c>
      <c r="X1186" s="26" t="str">
        <f t="shared" si="18"/>
        <v/>
      </c>
      <c r="Y1186" s="26" t="str">
        <f t="shared" si="19"/>
        <v/>
      </c>
      <c r="Z1186" s="31" t="str">
        <f t="shared" si="20"/>
        <v/>
      </c>
      <c r="AA1186" s="31" t="str">
        <f>IF(D1186="","",IF(H1186&lt;=$B$16,1,IF(H1186&gt;=$B$17,$B$21,MATCH(H1186,Aux_CAV!$A$2:$A$121,1))))</f>
        <v/>
      </c>
      <c r="AB1186" s="31" t="str">
        <f>IF(D1186="","",IF(L1186&lt;=$B$16,1,IF(L1186&gt;=$B$17,$B$21,MATCH(L1186,Aux_CAV!$A$2:$A$121,1))))</f>
        <v/>
      </c>
      <c r="AC1186" s="3" t="str">
        <f t="shared" si="21"/>
        <v/>
      </c>
    </row>
    <row r="1187" ht="12.75" customHeight="1">
      <c r="A1187" s="25" t="str">
        <f t="shared" si="1"/>
        <v/>
      </c>
      <c r="B1187" s="29" t="str">
        <f t="array" ref="B1187">IF(D1187="","",IFERROR(VALUE(INDEX(Vazoes_COLAR!$A$2:$A$200,INT((ROW()-24)/12)+1)),""))</f>
        <v/>
      </c>
      <c r="C1187" s="29" t="str">
        <f t="shared" si="2"/>
        <v/>
      </c>
      <c r="D1187" s="26" t="str">
        <f t="array" ref="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87" s="26" t="str">
        <f t="shared" si="3"/>
        <v/>
      </c>
      <c r="F1187" s="26" t="str">
        <f t="array" ref="F1187">IF(D1187="","",IFERROR(INDEX(Dados_Evap!$C$2:$N$15,MATCH($B$9,Dados_Evap!$A$2:$A$15,0),C1187),0))</f>
        <v/>
      </c>
      <c r="G1187" s="26" t="str">
        <f t="shared" si="4"/>
        <v/>
      </c>
      <c r="H1187" s="26" t="str">
        <f t="shared" si="22"/>
        <v/>
      </c>
      <c r="I1187" s="26" t="str">
        <f t="array" ref="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/>
      </c>
      <c r="J1187" s="26" t="str">
        <f t="shared" si="5"/>
        <v/>
      </c>
      <c r="K1187" s="26" t="str">
        <f t="shared" si="6"/>
        <v/>
      </c>
      <c r="L1187" s="26" t="str">
        <f t="shared" si="7"/>
        <v/>
      </c>
      <c r="M1187" s="26" t="str">
        <f t="array" ref="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/>
      </c>
      <c r="N1187" s="26" t="str">
        <f t="shared" si="8"/>
        <v/>
      </c>
      <c r="O1187" s="26" t="str">
        <f t="shared" si="9"/>
        <v/>
      </c>
      <c r="P1187" s="26" t="str">
        <f t="shared" si="10"/>
        <v/>
      </c>
      <c r="Q1187" s="26" t="str">
        <f t="shared" si="11"/>
        <v/>
      </c>
      <c r="R1187" s="26" t="str">
        <f t="shared" si="12"/>
        <v/>
      </c>
      <c r="S1187" s="26" t="str">
        <f t="shared" si="13"/>
        <v/>
      </c>
      <c r="T1187" s="26" t="str">
        <f t="shared" si="14"/>
        <v/>
      </c>
      <c r="U1187" s="26" t="str">
        <f t="shared" si="15"/>
        <v/>
      </c>
      <c r="V1187" s="26" t="str">
        <f t="shared" si="16"/>
        <v/>
      </c>
      <c r="W1187" s="26" t="str">
        <f t="shared" si="17"/>
        <v/>
      </c>
      <c r="X1187" s="26" t="str">
        <f t="shared" si="18"/>
        <v/>
      </c>
      <c r="Y1187" s="26" t="str">
        <f t="shared" si="19"/>
        <v/>
      </c>
      <c r="Z1187" s="31" t="str">
        <f t="shared" si="20"/>
        <v/>
      </c>
      <c r="AA1187" s="31" t="str">
        <f>IF(D1187="","",IF(H1187&lt;=$B$16,1,IF(H1187&gt;=$B$17,$B$21,MATCH(H1187,Aux_CAV!$A$2:$A$121,1))))</f>
        <v/>
      </c>
      <c r="AB1187" s="31" t="str">
        <f>IF(D1187="","",IF(L1187&lt;=$B$16,1,IF(L1187&gt;=$B$17,$B$21,MATCH(L1187,Aux_CAV!$A$2:$A$121,1))))</f>
        <v/>
      </c>
      <c r="AC1187" s="3" t="str">
        <f t="shared" si="21"/>
        <v/>
      </c>
    </row>
    <row r="1188" ht="12.75" customHeight="1">
      <c r="A1188" s="25" t="str">
        <f t="shared" si="1"/>
        <v/>
      </c>
      <c r="B1188" s="29" t="str">
        <f t="array" ref="B1188">IF(D1188="","",IFERROR(VALUE(INDEX(Vazoes_COLAR!$A$2:$A$200,INT((ROW()-24)/12)+1)),""))</f>
        <v/>
      </c>
      <c r="C1188" s="29" t="str">
        <f t="shared" si="2"/>
        <v/>
      </c>
      <c r="D1188" s="26" t="str">
        <f t="array" ref="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88" s="26" t="str">
        <f t="shared" si="3"/>
        <v/>
      </c>
      <c r="F1188" s="26" t="str">
        <f t="array" ref="F1188">IF(D1188="","",IFERROR(INDEX(Dados_Evap!$C$2:$N$15,MATCH($B$9,Dados_Evap!$A$2:$A$15,0),C1188),0))</f>
        <v/>
      </c>
      <c r="G1188" s="26" t="str">
        <f t="shared" si="4"/>
        <v/>
      </c>
      <c r="H1188" s="26" t="str">
        <f t="shared" si="22"/>
        <v/>
      </c>
      <c r="I1188" s="26" t="str">
        <f t="array" ref="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/>
      </c>
      <c r="J1188" s="26" t="str">
        <f t="shared" si="5"/>
        <v/>
      </c>
      <c r="K1188" s="26" t="str">
        <f t="shared" si="6"/>
        <v/>
      </c>
      <c r="L1188" s="26" t="str">
        <f t="shared" si="7"/>
        <v/>
      </c>
      <c r="M1188" s="26" t="str">
        <f t="array" ref="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/>
      </c>
      <c r="N1188" s="26" t="str">
        <f t="shared" si="8"/>
        <v/>
      </c>
      <c r="O1188" s="26" t="str">
        <f t="shared" si="9"/>
        <v/>
      </c>
      <c r="P1188" s="26" t="str">
        <f t="shared" si="10"/>
        <v/>
      </c>
      <c r="Q1188" s="26" t="str">
        <f t="shared" si="11"/>
        <v/>
      </c>
      <c r="R1188" s="26" t="str">
        <f t="shared" si="12"/>
        <v/>
      </c>
      <c r="S1188" s="26" t="str">
        <f t="shared" si="13"/>
        <v/>
      </c>
      <c r="T1188" s="26" t="str">
        <f t="shared" si="14"/>
        <v/>
      </c>
      <c r="U1188" s="26" t="str">
        <f t="shared" si="15"/>
        <v/>
      </c>
      <c r="V1188" s="26" t="str">
        <f t="shared" si="16"/>
        <v/>
      </c>
      <c r="W1188" s="26" t="str">
        <f t="shared" si="17"/>
        <v/>
      </c>
      <c r="X1188" s="26" t="str">
        <f t="shared" si="18"/>
        <v/>
      </c>
      <c r="Y1188" s="26" t="str">
        <f t="shared" si="19"/>
        <v/>
      </c>
      <c r="Z1188" s="31" t="str">
        <f t="shared" si="20"/>
        <v/>
      </c>
      <c r="AA1188" s="31" t="str">
        <f>IF(D1188="","",IF(H1188&lt;=$B$16,1,IF(H1188&gt;=$B$17,$B$21,MATCH(H1188,Aux_CAV!$A$2:$A$121,1))))</f>
        <v/>
      </c>
      <c r="AB1188" s="31" t="str">
        <f>IF(D1188="","",IF(L1188&lt;=$B$16,1,IF(L1188&gt;=$B$17,$B$21,MATCH(L1188,Aux_CAV!$A$2:$A$121,1))))</f>
        <v/>
      </c>
      <c r="AC1188" s="3" t="str">
        <f t="shared" si="21"/>
        <v/>
      </c>
    </row>
    <row r="1189" ht="12.75" customHeight="1">
      <c r="A1189" s="25" t="str">
        <f t="shared" si="1"/>
        <v/>
      </c>
      <c r="B1189" s="29" t="str">
        <f t="array" ref="B1189">IF(D1189="","",IFERROR(VALUE(INDEX(Vazoes_COLAR!$A$2:$A$200,INT((ROW()-24)/12)+1)),""))</f>
        <v/>
      </c>
      <c r="C1189" s="29" t="str">
        <f t="shared" si="2"/>
        <v/>
      </c>
      <c r="D1189" s="26" t="str">
        <f t="array" ref="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89" s="26" t="str">
        <f t="shared" si="3"/>
        <v/>
      </c>
      <c r="F1189" s="26" t="str">
        <f t="array" ref="F1189">IF(D1189="","",IFERROR(INDEX(Dados_Evap!$C$2:$N$15,MATCH($B$9,Dados_Evap!$A$2:$A$15,0),C1189),0))</f>
        <v/>
      </c>
      <c r="G1189" s="26" t="str">
        <f t="shared" si="4"/>
        <v/>
      </c>
      <c r="H1189" s="26" t="str">
        <f t="shared" si="22"/>
        <v/>
      </c>
      <c r="I1189" s="26" t="str">
        <f t="array" ref="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/>
      </c>
      <c r="J1189" s="26" t="str">
        <f t="shared" si="5"/>
        <v/>
      </c>
      <c r="K1189" s="26" t="str">
        <f t="shared" si="6"/>
        <v/>
      </c>
      <c r="L1189" s="26" t="str">
        <f t="shared" si="7"/>
        <v/>
      </c>
      <c r="M1189" s="26" t="str">
        <f t="array" ref="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/>
      </c>
      <c r="N1189" s="26" t="str">
        <f t="shared" si="8"/>
        <v/>
      </c>
      <c r="O1189" s="26" t="str">
        <f t="shared" si="9"/>
        <v/>
      </c>
      <c r="P1189" s="26" t="str">
        <f t="shared" si="10"/>
        <v/>
      </c>
      <c r="Q1189" s="26" t="str">
        <f t="shared" si="11"/>
        <v/>
      </c>
      <c r="R1189" s="26" t="str">
        <f t="shared" si="12"/>
        <v/>
      </c>
      <c r="S1189" s="26" t="str">
        <f t="shared" si="13"/>
        <v/>
      </c>
      <c r="T1189" s="26" t="str">
        <f t="shared" si="14"/>
        <v/>
      </c>
      <c r="U1189" s="26" t="str">
        <f t="shared" si="15"/>
        <v/>
      </c>
      <c r="V1189" s="26" t="str">
        <f t="shared" si="16"/>
        <v/>
      </c>
      <c r="W1189" s="26" t="str">
        <f t="shared" si="17"/>
        <v/>
      </c>
      <c r="X1189" s="26" t="str">
        <f t="shared" si="18"/>
        <v/>
      </c>
      <c r="Y1189" s="26" t="str">
        <f t="shared" si="19"/>
        <v/>
      </c>
      <c r="Z1189" s="31" t="str">
        <f t="shared" si="20"/>
        <v/>
      </c>
      <c r="AA1189" s="31" t="str">
        <f>IF(D1189="","",IF(H1189&lt;=$B$16,1,IF(H1189&gt;=$B$17,$B$21,MATCH(H1189,Aux_CAV!$A$2:$A$121,1))))</f>
        <v/>
      </c>
      <c r="AB1189" s="31" t="str">
        <f>IF(D1189="","",IF(L1189&lt;=$B$16,1,IF(L1189&gt;=$B$17,$B$21,MATCH(L1189,Aux_CAV!$A$2:$A$121,1))))</f>
        <v/>
      </c>
      <c r="AC1189" s="3" t="str">
        <f t="shared" si="21"/>
        <v/>
      </c>
    </row>
    <row r="1190" ht="12.75" customHeight="1">
      <c r="A1190" s="25" t="str">
        <f t="shared" si="1"/>
        <v/>
      </c>
      <c r="B1190" s="29" t="str">
        <f t="array" ref="B1190">IF(D1190="","",IFERROR(VALUE(INDEX(Vazoes_COLAR!$A$2:$A$200,INT((ROW()-24)/12)+1)),""))</f>
        <v/>
      </c>
      <c r="C1190" s="29" t="str">
        <f t="shared" si="2"/>
        <v/>
      </c>
      <c r="D1190" s="26" t="str">
        <f t="array" ref="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90" s="26" t="str">
        <f t="shared" si="3"/>
        <v/>
      </c>
      <c r="F1190" s="26" t="str">
        <f t="array" ref="F1190">IF(D1190="","",IFERROR(INDEX(Dados_Evap!$C$2:$N$15,MATCH($B$9,Dados_Evap!$A$2:$A$15,0),C1190),0))</f>
        <v/>
      </c>
      <c r="G1190" s="26" t="str">
        <f t="shared" si="4"/>
        <v/>
      </c>
      <c r="H1190" s="26" t="str">
        <f t="shared" si="22"/>
        <v/>
      </c>
      <c r="I1190" s="26" t="str">
        <f t="array" ref="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/>
      </c>
      <c r="J1190" s="26" t="str">
        <f t="shared" si="5"/>
        <v/>
      </c>
      <c r="K1190" s="26" t="str">
        <f t="shared" si="6"/>
        <v/>
      </c>
      <c r="L1190" s="26" t="str">
        <f t="shared" si="7"/>
        <v/>
      </c>
      <c r="M1190" s="26" t="str">
        <f t="array" ref="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/>
      </c>
      <c r="N1190" s="26" t="str">
        <f t="shared" si="8"/>
        <v/>
      </c>
      <c r="O1190" s="26" t="str">
        <f t="shared" si="9"/>
        <v/>
      </c>
      <c r="P1190" s="26" t="str">
        <f t="shared" si="10"/>
        <v/>
      </c>
      <c r="Q1190" s="26" t="str">
        <f t="shared" si="11"/>
        <v/>
      </c>
      <c r="R1190" s="26" t="str">
        <f t="shared" si="12"/>
        <v/>
      </c>
      <c r="S1190" s="26" t="str">
        <f t="shared" si="13"/>
        <v/>
      </c>
      <c r="T1190" s="26" t="str">
        <f t="shared" si="14"/>
        <v/>
      </c>
      <c r="U1190" s="26" t="str">
        <f t="shared" si="15"/>
        <v/>
      </c>
      <c r="V1190" s="26" t="str">
        <f t="shared" si="16"/>
        <v/>
      </c>
      <c r="W1190" s="26" t="str">
        <f t="shared" si="17"/>
        <v/>
      </c>
      <c r="X1190" s="26" t="str">
        <f t="shared" si="18"/>
        <v/>
      </c>
      <c r="Y1190" s="26" t="str">
        <f t="shared" si="19"/>
        <v/>
      </c>
      <c r="Z1190" s="31" t="str">
        <f t="shared" si="20"/>
        <v/>
      </c>
      <c r="AA1190" s="31" t="str">
        <f>IF(D1190="","",IF(H1190&lt;=$B$16,1,IF(H1190&gt;=$B$17,$B$21,MATCH(H1190,Aux_CAV!$A$2:$A$121,1))))</f>
        <v/>
      </c>
      <c r="AB1190" s="31" t="str">
        <f>IF(D1190="","",IF(L1190&lt;=$B$16,1,IF(L1190&gt;=$B$17,$B$21,MATCH(L1190,Aux_CAV!$A$2:$A$121,1))))</f>
        <v/>
      </c>
      <c r="AC1190" s="3" t="str">
        <f t="shared" si="21"/>
        <v/>
      </c>
    </row>
    <row r="1191" ht="12.75" customHeight="1">
      <c r="A1191" s="25" t="str">
        <f t="shared" si="1"/>
        <v/>
      </c>
      <c r="B1191" s="29" t="str">
        <f t="array" ref="B1191">IF(D1191="","",IFERROR(VALUE(INDEX(Vazoes_COLAR!$A$2:$A$200,INT((ROW()-24)/12)+1)),""))</f>
        <v/>
      </c>
      <c r="C1191" s="29" t="str">
        <f t="shared" si="2"/>
        <v/>
      </c>
      <c r="D1191" s="26" t="str">
        <f t="array" ref="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91" s="26" t="str">
        <f t="shared" si="3"/>
        <v/>
      </c>
      <c r="F1191" s="26" t="str">
        <f t="array" ref="F1191">IF(D1191="","",IFERROR(INDEX(Dados_Evap!$C$2:$N$15,MATCH($B$9,Dados_Evap!$A$2:$A$15,0),C1191),0))</f>
        <v/>
      </c>
      <c r="G1191" s="26" t="str">
        <f t="shared" si="4"/>
        <v/>
      </c>
      <c r="H1191" s="26" t="str">
        <f t="shared" si="22"/>
        <v/>
      </c>
      <c r="I1191" s="26" t="str">
        <f t="array" ref="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/>
      </c>
      <c r="J1191" s="26" t="str">
        <f t="shared" si="5"/>
        <v/>
      </c>
      <c r="K1191" s="26" t="str">
        <f t="shared" si="6"/>
        <v/>
      </c>
      <c r="L1191" s="26" t="str">
        <f t="shared" si="7"/>
        <v/>
      </c>
      <c r="M1191" s="26" t="str">
        <f t="array" ref="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/>
      </c>
      <c r="N1191" s="26" t="str">
        <f t="shared" si="8"/>
        <v/>
      </c>
      <c r="O1191" s="26" t="str">
        <f t="shared" si="9"/>
        <v/>
      </c>
      <c r="P1191" s="26" t="str">
        <f t="shared" si="10"/>
        <v/>
      </c>
      <c r="Q1191" s="26" t="str">
        <f t="shared" si="11"/>
        <v/>
      </c>
      <c r="R1191" s="26" t="str">
        <f t="shared" si="12"/>
        <v/>
      </c>
      <c r="S1191" s="26" t="str">
        <f t="shared" si="13"/>
        <v/>
      </c>
      <c r="T1191" s="26" t="str">
        <f t="shared" si="14"/>
        <v/>
      </c>
      <c r="U1191" s="26" t="str">
        <f t="shared" si="15"/>
        <v/>
      </c>
      <c r="V1191" s="26" t="str">
        <f t="shared" si="16"/>
        <v/>
      </c>
      <c r="W1191" s="26" t="str">
        <f t="shared" si="17"/>
        <v/>
      </c>
      <c r="X1191" s="26" t="str">
        <f t="shared" si="18"/>
        <v/>
      </c>
      <c r="Y1191" s="26" t="str">
        <f t="shared" si="19"/>
        <v/>
      </c>
      <c r="Z1191" s="31" t="str">
        <f t="shared" si="20"/>
        <v/>
      </c>
      <c r="AA1191" s="31" t="str">
        <f>IF(D1191="","",IF(H1191&lt;=$B$16,1,IF(H1191&gt;=$B$17,$B$21,MATCH(H1191,Aux_CAV!$A$2:$A$121,1))))</f>
        <v/>
      </c>
      <c r="AB1191" s="31" t="str">
        <f>IF(D1191="","",IF(L1191&lt;=$B$16,1,IF(L1191&gt;=$B$17,$B$21,MATCH(L1191,Aux_CAV!$A$2:$A$121,1))))</f>
        <v/>
      </c>
      <c r="AC1191" s="3" t="str">
        <f t="shared" si="21"/>
        <v/>
      </c>
    </row>
    <row r="1192" ht="12.75" customHeight="1">
      <c r="A1192" s="25" t="str">
        <f t="shared" si="1"/>
        <v/>
      </c>
      <c r="B1192" s="29" t="str">
        <f t="array" ref="B1192">IF(D1192="","",IFERROR(VALUE(INDEX(Vazoes_COLAR!$A$2:$A$200,INT((ROW()-24)/12)+1)),""))</f>
        <v/>
      </c>
      <c r="C1192" s="29" t="str">
        <f t="shared" si="2"/>
        <v/>
      </c>
      <c r="D1192" s="26" t="str">
        <f t="array" ref="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92" s="26" t="str">
        <f t="shared" si="3"/>
        <v/>
      </c>
      <c r="F1192" s="26" t="str">
        <f t="array" ref="F1192">IF(D1192="","",IFERROR(INDEX(Dados_Evap!$C$2:$N$15,MATCH($B$9,Dados_Evap!$A$2:$A$15,0),C1192),0))</f>
        <v/>
      </c>
      <c r="G1192" s="26" t="str">
        <f t="shared" si="4"/>
        <v/>
      </c>
      <c r="H1192" s="26" t="str">
        <f t="shared" si="22"/>
        <v/>
      </c>
      <c r="I1192" s="26" t="str">
        <f t="array" ref="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/>
      </c>
      <c r="J1192" s="26" t="str">
        <f t="shared" si="5"/>
        <v/>
      </c>
      <c r="K1192" s="26" t="str">
        <f t="shared" si="6"/>
        <v/>
      </c>
      <c r="L1192" s="26" t="str">
        <f t="shared" si="7"/>
        <v/>
      </c>
      <c r="M1192" s="26" t="str">
        <f t="array" ref="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/>
      </c>
      <c r="N1192" s="26" t="str">
        <f t="shared" si="8"/>
        <v/>
      </c>
      <c r="O1192" s="26" t="str">
        <f t="shared" si="9"/>
        <v/>
      </c>
      <c r="P1192" s="26" t="str">
        <f t="shared" si="10"/>
        <v/>
      </c>
      <c r="Q1192" s="26" t="str">
        <f t="shared" si="11"/>
        <v/>
      </c>
      <c r="R1192" s="26" t="str">
        <f t="shared" si="12"/>
        <v/>
      </c>
      <c r="S1192" s="26" t="str">
        <f t="shared" si="13"/>
        <v/>
      </c>
      <c r="T1192" s="26" t="str">
        <f t="shared" si="14"/>
        <v/>
      </c>
      <c r="U1192" s="26" t="str">
        <f t="shared" si="15"/>
        <v/>
      </c>
      <c r="V1192" s="26" t="str">
        <f t="shared" si="16"/>
        <v/>
      </c>
      <c r="W1192" s="26" t="str">
        <f t="shared" si="17"/>
        <v/>
      </c>
      <c r="X1192" s="26" t="str">
        <f t="shared" si="18"/>
        <v/>
      </c>
      <c r="Y1192" s="26" t="str">
        <f t="shared" si="19"/>
        <v/>
      </c>
      <c r="Z1192" s="31" t="str">
        <f t="shared" si="20"/>
        <v/>
      </c>
      <c r="AA1192" s="31" t="str">
        <f>IF(D1192="","",IF(H1192&lt;=$B$16,1,IF(H1192&gt;=$B$17,$B$21,MATCH(H1192,Aux_CAV!$A$2:$A$121,1))))</f>
        <v/>
      </c>
      <c r="AB1192" s="31" t="str">
        <f>IF(D1192="","",IF(L1192&lt;=$B$16,1,IF(L1192&gt;=$B$17,$B$21,MATCH(L1192,Aux_CAV!$A$2:$A$121,1))))</f>
        <v/>
      </c>
      <c r="AC1192" s="3" t="str">
        <f t="shared" si="21"/>
        <v/>
      </c>
    </row>
    <row r="1193" ht="12.75" customHeight="1">
      <c r="A1193" s="25" t="str">
        <f t="shared" si="1"/>
        <v/>
      </c>
      <c r="B1193" s="29" t="str">
        <f t="array" ref="B1193">IF(D1193="","",IFERROR(VALUE(INDEX(Vazoes_COLAR!$A$2:$A$200,INT((ROW()-24)/12)+1)),""))</f>
        <v/>
      </c>
      <c r="C1193" s="29" t="str">
        <f t="shared" si="2"/>
        <v/>
      </c>
      <c r="D1193" s="26" t="str">
        <f t="array" ref="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93" s="26" t="str">
        <f t="shared" si="3"/>
        <v/>
      </c>
      <c r="F1193" s="26" t="str">
        <f t="array" ref="F1193">IF(D1193="","",IFERROR(INDEX(Dados_Evap!$C$2:$N$15,MATCH($B$9,Dados_Evap!$A$2:$A$15,0),C1193),0))</f>
        <v/>
      </c>
      <c r="G1193" s="26" t="str">
        <f t="shared" si="4"/>
        <v/>
      </c>
      <c r="H1193" s="26" t="str">
        <f t="shared" si="22"/>
        <v/>
      </c>
      <c r="I1193" s="26" t="str">
        <f t="array" ref="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/>
      </c>
      <c r="J1193" s="26" t="str">
        <f t="shared" si="5"/>
        <v/>
      </c>
      <c r="K1193" s="26" t="str">
        <f t="shared" si="6"/>
        <v/>
      </c>
      <c r="L1193" s="26" t="str">
        <f t="shared" si="7"/>
        <v/>
      </c>
      <c r="M1193" s="26" t="str">
        <f t="array" ref="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/>
      </c>
      <c r="N1193" s="26" t="str">
        <f t="shared" si="8"/>
        <v/>
      </c>
      <c r="O1193" s="26" t="str">
        <f t="shared" si="9"/>
        <v/>
      </c>
      <c r="P1193" s="26" t="str">
        <f t="shared" si="10"/>
        <v/>
      </c>
      <c r="Q1193" s="26" t="str">
        <f t="shared" si="11"/>
        <v/>
      </c>
      <c r="R1193" s="26" t="str">
        <f t="shared" si="12"/>
        <v/>
      </c>
      <c r="S1193" s="26" t="str">
        <f t="shared" si="13"/>
        <v/>
      </c>
      <c r="T1193" s="26" t="str">
        <f t="shared" si="14"/>
        <v/>
      </c>
      <c r="U1193" s="26" t="str">
        <f t="shared" si="15"/>
        <v/>
      </c>
      <c r="V1193" s="26" t="str">
        <f t="shared" si="16"/>
        <v/>
      </c>
      <c r="W1193" s="26" t="str">
        <f t="shared" si="17"/>
        <v/>
      </c>
      <c r="X1193" s="26" t="str">
        <f t="shared" si="18"/>
        <v/>
      </c>
      <c r="Y1193" s="26" t="str">
        <f t="shared" si="19"/>
        <v/>
      </c>
      <c r="Z1193" s="31" t="str">
        <f t="shared" si="20"/>
        <v/>
      </c>
      <c r="AA1193" s="31" t="str">
        <f>IF(D1193="","",IF(H1193&lt;=$B$16,1,IF(H1193&gt;=$B$17,$B$21,MATCH(H1193,Aux_CAV!$A$2:$A$121,1))))</f>
        <v/>
      </c>
      <c r="AB1193" s="31" t="str">
        <f>IF(D1193="","",IF(L1193&lt;=$B$16,1,IF(L1193&gt;=$B$17,$B$21,MATCH(L1193,Aux_CAV!$A$2:$A$121,1))))</f>
        <v/>
      </c>
      <c r="AC1193" s="3" t="str">
        <f t="shared" si="21"/>
        <v/>
      </c>
    </row>
    <row r="1194" ht="12.75" customHeight="1">
      <c r="A1194" s="25" t="str">
        <f t="shared" si="1"/>
        <v/>
      </c>
      <c r="B1194" s="29" t="str">
        <f t="array" ref="B1194">IF(D1194="","",IFERROR(VALUE(INDEX(Vazoes_COLAR!$A$2:$A$200,INT((ROW()-24)/12)+1)),""))</f>
        <v/>
      </c>
      <c r="C1194" s="29" t="str">
        <f t="shared" si="2"/>
        <v/>
      </c>
      <c r="D1194" s="26" t="str">
        <f t="array" ref="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94" s="26" t="str">
        <f t="shared" si="3"/>
        <v/>
      </c>
      <c r="F1194" s="26" t="str">
        <f t="array" ref="F1194">IF(D1194="","",IFERROR(INDEX(Dados_Evap!$C$2:$N$15,MATCH($B$9,Dados_Evap!$A$2:$A$15,0),C1194),0))</f>
        <v/>
      </c>
      <c r="G1194" s="26" t="str">
        <f t="shared" si="4"/>
        <v/>
      </c>
      <c r="H1194" s="26" t="str">
        <f t="shared" si="22"/>
        <v/>
      </c>
      <c r="I1194" s="26" t="str">
        <f t="array" ref="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/>
      </c>
      <c r="J1194" s="26" t="str">
        <f t="shared" si="5"/>
        <v/>
      </c>
      <c r="K1194" s="26" t="str">
        <f t="shared" si="6"/>
        <v/>
      </c>
      <c r="L1194" s="26" t="str">
        <f t="shared" si="7"/>
        <v/>
      </c>
      <c r="M1194" s="26" t="str">
        <f t="array" ref="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/>
      </c>
      <c r="N1194" s="26" t="str">
        <f t="shared" si="8"/>
        <v/>
      </c>
      <c r="O1194" s="26" t="str">
        <f t="shared" si="9"/>
        <v/>
      </c>
      <c r="P1194" s="26" t="str">
        <f t="shared" si="10"/>
        <v/>
      </c>
      <c r="Q1194" s="26" t="str">
        <f t="shared" si="11"/>
        <v/>
      </c>
      <c r="R1194" s="26" t="str">
        <f t="shared" si="12"/>
        <v/>
      </c>
      <c r="S1194" s="26" t="str">
        <f t="shared" si="13"/>
        <v/>
      </c>
      <c r="T1194" s="26" t="str">
        <f t="shared" si="14"/>
        <v/>
      </c>
      <c r="U1194" s="26" t="str">
        <f t="shared" si="15"/>
        <v/>
      </c>
      <c r="V1194" s="26" t="str">
        <f t="shared" si="16"/>
        <v/>
      </c>
      <c r="W1194" s="26" t="str">
        <f t="shared" si="17"/>
        <v/>
      </c>
      <c r="X1194" s="26" t="str">
        <f t="shared" si="18"/>
        <v/>
      </c>
      <c r="Y1194" s="26" t="str">
        <f t="shared" si="19"/>
        <v/>
      </c>
      <c r="Z1194" s="31" t="str">
        <f t="shared" si="20"/>
        <v/>
      </c>
      <c r="AA1194" s="31" t="str">
        <f>IF(D1194="","",IF(H1194&lt;=$B$16,1,IF(H1194&gt;=$B$17,$B$21,MATCH(H1194,Aux_CAV!$A$2:$A$121,1))))</f>
        <v/>
      </c>
      <c r="AB1194" s="31" t="str">
        <f>IF(D1194="","",IF(L1194&lt;=$B$16,1,IF(L1194&gt;=$B$17,$B$21,MATCH(L1194,Aux_CAV!$A$2:$A$121,1))))</f>
        <v/>
      </c>
      <c r="AC1194" s="3" t="str">
        <f t="shared" si="21"/>
        <v/>
      </c>
    </row>
    <row r="1195" ht="12.75" customHeight="1">
      <c r="A1195" s="25" t="str">
        <f t="shared" si="1"/>
        <v/>
      </c>
      <c r="B1195" s="29" t="str">
        <f t="array" ref="B1195">IF(D1195="","",IFERROR(VALUE(INDEX(Vazoes_COLAR!$A$2:$A$200,INT((ROW()-24)/12)+1)),""))</f>
        <v/>
      </c>
      <c r="C1195" s="29" t="str">
        <f t="shared" si="2"/>
        <v/>
      </c>
      <c r="D1195" s="26" t="str">
        <f t="array" ref="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95" s="26" t="str">
        <f t="shared" si="3"/>
        <v/>
      </c>
      <c r="F1195" s="26" t="str">
        <f t="array" ref="F1195">IF(D1195="","",IFERROR(INDEX(Dados_Evap!$C$2:$N$15,MATCH($B$9,Dados_Evap!$A$2:$A$15,0),C1195),0))</f>
        <v/>
      </c>
      <c r="G1195" s="26" t="str">
        <f t="shared" si="4"/>
        <v/>
      </c>
      <c r="H1195" s="26" t="str">
        <f t="shared" si="22"/>
        <v/>
      </c>
      <c r="I1195" s="26" t="str">
        <f t="array" ref="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/>
      </c>
      <c r="J1195" s="26" t="str">
        <f t="shared" si="5"/>
        <v/>
      </c>
      <c r="K1195" s="26" t="str">
        <f t="shared" si="6"/>
        <v/>
      </c>
      <c r="L1195" s="26" t="str">
        <f t="shared" si="7"/>
        <v/>
      </c>
      <c r="M1195" s="26" t="str">
        <f t="array" ref="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/>
      </c>
      <c r="N1195" s="26" t="str">
        <f t="shared" si="8"/>
        <v/>
      </c>
      <c r="O1195" s="26" t="str">
        <f t="shared" si="9"/>
        <v/>
      </c>
      <c r="P1195" s="26" t="str">
        <f t="shared" si="10"/>
        <v/>
      </c>
      <c r="Q1195" s="26" t="str">
        <f t="shared" si="11"/>
        <v/>
      </c>
      <c r="R1195" s="26" t="str">
        <f t="shared" si="12"/>
        <v/>
      </c>
      <c r="S1195" s="26" t="str">
        <f t="shared" si="13"/>
        <v/>
      </c>
      <c r="T1195" s="26" t="str">
        <f t="shared" si="14"/>
        <v/>
      </c>
      <c r="U1195" s="26" t="str">
        <f t="shared" si="15"/>
        <v/>
      </c>
      <c r="V1195" s="26" t="str">
        <f t="shared" si="16"/>
        <v/>
      </c>
      <c r="W1195" s="26" t="str">
        <f t="shared" si="17"/>
        <v/>
      </c>
      <c r="X1195" s="26" t="str">
        <f t="shared" si="18"/>
        <v/>
      </c>
      <c r="Y1195" s="26" t="str">
        <f t="shared" si="19"/>
        <v/>
      </c>
      <c r="Z1195" s="31" t="str">
        <f t="shared" si="20"/>
        <v/>
      </c>
      <c r="AA1195" s="31" t="str">
        <f>IF(D1195="","",IF(H1195&lt;=$B$16,1,IF(H1195&gt;=$B$17,$B$21,MATCH(H1195,Aux_CAV!$A$2:$A$121,1))))</f>
        <v/>
      </c>
      <c r="AB1195" s="31" t="str">
        <f>IF(D1195="","",IF(L1195&lt;=$B$16,1,IF(L1195&gt;=$B$17,$B$21,MATCH(L1195,Aux_CAV!$A$2:$A$121,1))))</f>
        <v/>
      </c>
      <c r="AC1195" s="3" t="str">
        <f t="shared" si="21"/>
        <v/>
      </c>
    </row>
    <row r="1196" ht="12.75" customHeight="1">
      <c r="A1196" s="25" t="str">
        <f t="shared" si="1"/>
        <v/>
      </c>
      <c r="B1196" s="29" t="str">
        <f t="array" ref="B1196">IF(D1196="","",IFERROR(VALUE(INDEX(Vazoes_COLAR!$A$2:$A$200,INT((ROW()-24)/12)+1)),""))</f>
        <v/>
      </c>
      <c r="C1196" s="29" t="str">
        <f t="shared" si="2"/>
        <v/>
      </c>
      <c r="D1196" s="26" t="str">
        <f t="array" ref="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96" s="26" t="str">
        <f t="shared" si="3"/>
        <v/>
      </c>
      <c r="F1196" s="26" t="str">
        <f t="array" ref="F1196">IF(D1196="","",IFERROR(INDEX(Dados_Evap!$C$2:$N$15,MATCH($B$9,Dados_Evap!$A$2:$A$15,0),C1196),0))</f>
        <v/>
      </c>
      <c r="G1196" s="26" t="str">
        <f t="shared" si="4"/>
        <v/>
      </c>
      <c r="H1196" s="26" t="str">
        <f t="shared" si="22"/>
        <v/>
      </c>
      <c r="I1196" s="26" t="str">
        <f t="array" ref="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/>
      </c>
      <c r="J1196" s="26" t="str">
        <f t="shared" si="5"/>
        <v/>
      </c>
      <c r="K1196" s="26" t="str">
        <f t="shared" si="6"/>
        <v/>
      </c>
      <c r="L1196" s="26" t="str">
        <f t="shared" si="7"/>
        <v/>
      </c>
      <c r="M1196" s="26" t="str">
        <f t="array" ref="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/>
      </c>
      <c r="N1196" s="26" t="str">
        <f t="shared" si="8"/>
        <v/>
      </c>
      <c r="O1196" s="26" t="str">
        <f t="shared" si="9"/>
        <v/>
      </c>
      <c r="P1196" s="26" t="str">
        <f t="shared" si="10"/>
        <v/>
      </c>
      <c r="Q1196" s="26" t="str">
        <f t="shared" si="11"/>
        <v/>
      </c>
      <c r="R1196" s="26" t="str">
        <f t="shared" si="12"/>
        <v/>
      </c>
      <c r="S1196" s="26" t="str">
        <f t="shared" si="13"/>
        <v/>
      </c>
      <c r="T1196" s="26" t="str">
        <f t="shared" si="14"/>
        <v/>
      </c>
      <c r="U1196" s="26" t="str">
        <f t="shared" si="15"/>
        <v/>
      </c>
      <c r="V1196" s="26" t="str">
        <f t="shared" si="16"/>
        <v/>
      </c>
      <c r="W1196" s="26" t="str">
        <f t="shared" si="17"/>
        <v/>
      </c>
      <c r="X1196" s="26" t="str">
        <f t="shared" si="18"/>
        <v/>
      </c>
      <c r="Y1196" s="26" t="str">
        <f t="shared" si="19"/>
        <v/>
      </c>
      <c r="Z1196" s="31" t="str">
        <f t="shared" si="20"/>
        <v/>
      </c>
      <c r="AA1196" s="31" t="str">
        <f>IF(D1196="","",IF(H1196&lt;=$B$16,1,IF(H1196&gt;=$B$17,$B$21,MATCH(H1196,Aux_CAV!$A$2:$A$121,1))))</f>
        <v/>
      </c>
      <c r="AB1196" s="31" t="str">
        <f>IF(D1196="","",IF(L1196&lt;=$B$16,1,IF(L1196&gt;=$B$17,$B$21,MATCH(L1196,Aux_CAV!$A$2:$A$121,1))))</f>
        <v/>
      </c>
      <c r="AC1196" s="3" t="str">
        <f t="shared" si="21"/>
        <v/>
      </c>
    </row>
    <row r="1197" ht="12.75" customHeight="1">
      <c r="A1197" s="25" t="str">
        <f t="shared" si="1"/>
        <v/>
      </c>
      <c r="B1197" s="29" t="str">
        <f t="array" ref="B1197">IF(D1197="","",IFERROR(VALUE(INDEX(Vazoes_COLAR!$A$2:$A$200,INT((ROW()-24)/12)+1)),""))</f>
        <v/>
      </c>
      <c r="C1197" s="29" t="str">
        <f t="shared" si="2"/>
        <v/>
      </c>
      <c r="D1197" s="26" t="str">
        <f t="array" ref="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97" s="26" t="str">
        <f t="shared" si="3"/>
        <v/>
      </c>
      <c r="F1197" s="26" t="str">
        <f t="array" ref="F1197">IF(D1197="","",IFERROR(INDEX(Dados_Evap!$C$2:$N$15,MATCH($B$9,Dados_Evap!$A$2:$A$15,0),C1197),0))</f>
        <v/>
      </c>
      <c r="G1197" s="26" t="str">
        <f t="shared" si="4"/>
        <v/>
      </c>
      <c r="H1197" s="26" t="str">
        <f t="shared" si="22"/>
        <v/>
      </c>
      <c r="I1197" s="26" t="str">
        <f t="array" ref="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/>
      </c>
      <c r="J1197" s="26" t="str">
        <f t="shared" si="5"/>
        <v/>
      </c>
      <c r="K1197" s="26" t="str">
        <f t="shared" si="6"/>
        <v/>
      </c>
      <c r="L1197" s="26" t="str">
        <f t="shared" si="7"/>
        <v/>
      </c>
      <c r="M1197" s="26" t="str">
        <f t="array" ref="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/>
      </c>
      <c r="N1197" s="26" t="str">
        <f t="shared" si="8"/>
        <v/>
      </c>
      <c r="O1197" s="26" t="str">
        <f t="shared" si="9"/>
        <v/>
      </c>
      <c r="P1197" s="26" t="str">
        <f t="shared" si="10"/>
        <v/>
      </c>
      <c r="Q1197" s="26" t="str">
        <f t="shared" si="11"/>
        <v/>
      </c>
      <c r="R1197" s="26" t="str">
        <f t="shared" si="12"/>
        <v/>
      </c>
      <c r="S1197" s="26" t="str">
        <f t="shared" si="13"/>
        <v/>
      </c>
      <c r="T1197" s="26" t="str">
        <f t="shared" si="14"/>
        <v/>
      </c>
      <c r="U1197" s="26" t="str">
        <f t="shared" si="15"/>
        <v/>
      </c>
      <c r="V1197" s="26" t="str">
        <f t="shared" si="16"/>
        <v/>
      </c>
      <c r="W1197" s="26" t="str">
        <f t="shared" si="17"/>
        <v/>
      </c>
      <c r="X1197" s="26" t="str">
        <f t="shared" si="18"/>
        <v/>
      </c>
      <c r="Y1197" s="26" t="str">
        <f t="shared" si="19"/>
        <v/>
      </c>
      <c r="Z1197" s="31" t="str">
        <f t="shared" si="20"/>
        <v/>
      </c>
      <c r="AA1197" s="31" t="str">
        <f>IF(D1197="","",IF(H1197&lt;=$B$16,1,IF(H1197&gt;=$B$17,$B$21,MATCH(H1197,Aux_CAV!$A$2:$A$121,1))))</f>
        <v/>
      </c>
      <c r="AB1197" s="31" t="str">
        <f>IF(D1197="","",IF(L1197&lt;=$B$16,1,IF(L1197&gt;=$B$17,$B$21,MATCH(L1197,Aux_CAV!$A$2:$A$121,1))))</f>
        <v/>
      </c>
      <c r="AC1197" s="3" t="str">
        <f t="shared" si="21"/>
        <v/>
      </c>
    </row>
    <row r="1198" ht="12.75" customHeight="1">
      <c r="A1198" s="25" t="str">
        <f t="shared" si="1"/>
        <v/>
      </c>
      <c r="B1198" s="29" t="str">
        <f t="array" ref="B1198">IF(D1198="","",IFERROR(VALUE(INDEX(Vazoes_COLAR!$A$2:$A$200,INT((ROW()-24)/12)+1)),""))</f>
        <v/>
      </c>
      <c r="C1198" s="29" t="str">
        <f t="shared" si="2"/>
        <v/>
      </c>
      <c r="D1198" s="26" t="str">
        <f t="array" ref="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98" s="26" t="str">
        <f t="shared" si="3"/>
        <v/>
      </c>
      <c r="F1198" s="26" t="str">
        <f t="array" ref="F1198">IF(D1198="","",IFERROR(INDEX(Dados_Evap!$C$2:$N$15,MATCH($B$9,Dados_Evap!$A$2:$A$15,0),C1198),0))</f>
        <v/>
      </c>
      <c r="G1198" s="26" t="str">
        <f t="shared" si="4"/>
        <v/>
      </c>
      <c r="H1198" s="26" t="str">
        <f t="shared" si="22"/>
        <v/>
      </c>
      <c r="I1198" s="26" t="str">
        <f t="array" ref="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/>
      </c>
      <c r="J1198" s="26" t="str">
        <f t="shared" si="5"/>
        <v/>
      </c>
      <c r="K1198" s="26" t="str">
        <f t="shared" si="6"/>
        <v/>
      </c>
      <c r="L1198" s="26" t="str">
        <f t="shared" si="7"/>
        <v/>
      </c>
      <c r="M1198" s="26" t="str">
        <f t="array" ref="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/>
      </c>
      <c r="N1198" s="26" t="str">
        <f t="shared" si="8"/>
        <v/>
      </c>
      <c r="O1198" s="26" t="str">
        <f t="shared" si="9"/>
        <v/>
      </c>
      <c r="P1198" s="26" t="str">
        <f t="shared" si="10"/>
        <v/>
      </c>
      <c r="Q1198" s="26" t="str">
        <f t="shared" si="11"/>
        <v/>
      </c>
      <c r="R1198" s="26" t="str">
        <f t="shared" si="12"/>
        <v/>
      </c>
      <c r="S1198" s="26" t="str">
        <f t="shared" si="13"/>
        <v/>
      </c>
      <c r="T1198" s="26" t="str">
        <f t="shared" si="14"/>
        <v/>
      </c>
      <c r="U1198" s="26" t="str">
        <f t="shared" si="15"/>
        <v/>
      </c>
      <c r="V1198" s="26" t="str">
        <f t="shared" si="16"/>
        <v/>
      </c>
      <c r="W1198" s="26" t="str">
        <f t="shared" si="17"/>
        <v/>
      </c>
      <c r="X1198" s="26" t="str">
        <f t="shared" si="18"/>
        <v/>
      </c>
      <c r="Y1198" s="26" t="str">
        <f t="shared" si="19"/>
        <v/>
      </c>
      <c r="Z1198" s="31" t="str">
        <f t="shared" si="20"/>
        <v/>
      </c>
      <c r="AA1198" s="31" t="str">
        <f>IF(D1198="","",IF(H1198&lt;=$B$16,1,IF(H1198&gt;=$B$17,$B$21,MATCH(H1198,Aux_CAV!$A$2:$A$121,1))))</f>
        <v/>
      </c>
      <c r="AB1198" s="31" t="str">
        <f>IF(D1198="","",IF(L1198&lt;=$B$16,1,IF(L1198&gt;=$B$17,$B$21,MATCH(L1198,Aux_CAV!$A$2:$A$121,1))))</f>
        <v/>
      </c>
      <c r="AC1198" s="3" t="str">
        <f t="shared" si="21"/>
        <v/>
      </c>
    </row>
    <row r="1199" ht="12.75" customHeight="1">
      <c r="A1199" s="25" t="str">
        <f t="shared" si="1"/>
        <v/>
      </c>
      <c r="B1199" s="29" t="str">
        <f t="array" ref="B1199">IF(D1199="","",IFERROR(VALUE(INDEX(Vazoes_COLAR!$A$2:$A$200,INT((ROW()-24)/12)+1)),""))</f>
        <v/>
      </c>
      <c r="C1199" s="29" t="str">
        <f t="shared" si="2"/>
        <v/>
      </c>
      <c r="D1199" s="26" t="str">
        <f t="array" ref="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199" s="26" t="str">
        <f t="shared" si="3"/>
        <v/>
      </c>
      <c r="F1199" s="26" t="str">
        <f t="array" ref="F1199">IF(D1199="","",IFERROR(INDEX(Dados_Evap!$C$2:$N$15,MATCH($B$9,Dados_Evap!$A$2:$A$15,0),C1199),0))</f>
        <v/>
      </c>
      <c r="G1199" s="26" t="str">
        <f t="shared" si="4"/>
        <v/>
      </c>
      <c r="H1199" s="26" t="str">
        <f t="shared" si="22"/>
        <v/>
      </c>
      <c r="I1199" s="26" t="str">
        <f t="array" ref="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/>
      </c>
      <c r="J1199" s="26" t="str">
        <f t="shared" si="5"/>
        <v/>
      </c>
      <c r="K1199" s="26" t="str">
        <f t="shared" si="6"/>
        <v/>
      </c>
      <c r="L1199" s="26" t="str">
        <f t="shared" si="7"/>
        <v/>
      </c>
      <c r="M1199" s="26" t="str">
        <f t="array" ref="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/>
      </c>
      <c r="N1199" s="26" t="str">
        <f t="shared" si="8"/>
        <v/>
      </c>
      <c r="O1199" s="26" t="str">
        <f t="shared" si="9"/>
        <v/>
      </c>
      <c r="P1199" s="26" t="str">
        <f t="shared" si="10"/>
        <v/>
      </c>
      <c r="Q1199" s="26" t="str">
        <f t="shared" si="11"/>
        <v/>
      </c>
      <c r="R1199" s="26" t="str">
        <f t="shared" si="12"/>
        <v/>
      </c>
      <c r="S1199" s="26" t="str">
        <f t="shared" si="13"/>
        <v/>
      </c>
      <c r="T1199" s="26" t="str">
        <f t="shared" si="14"/>
        <v/>
      </c>
      <c r="U1199" s="26" t="str">
        <f t="shared" si="15"/>
        <v/>
      </c>
      <c r="V1199" s="26" t="str">
        <f t="shared" si="16"/>
        <v/>
      </c>
      <c r="W1199" s="26" t="str">
        <f t="shared" si="17"/>
        <v/>
      </c>
      <c r="X1199" s="26" t="str">
        <f t="shared" si="18"/>
        <v/>
      </c>
      <c r="Y1199" s="26" t="str">
        <f t="shared" si="19"/>
        <v/>
      </c>
      <c r="Z1199" s="31" t="str">
        <f t="shared" si="20"/>
        <v/>
      </c>
      <c r="AA1199" s="31" t="str">
        <f>IF(D1199="","",IF(H1199&lt;=$B$16,1,IF(H1199&gt;=$B$17,$B$21,MATCH(H1199,Aux_CAV!$A$2:$A$121,1))))</f>
        <v/>
      </c>
      <c r="AB1199" s="31" t="str">
        <f>IF(D1199="","",IF(L1199&lt;=$B$16,1,IF(L1199&gt;=$B$17,$B$21,MATCH(L1199,Aux_CAV!$A$2:$A$121,1))))</f>
        <v/>
      </c>
      <c r="AC1199" s="3" t="str">
        <f t="shared" si="21"/>
        <v/>
      </c>
    </row>
    <row r="1200" ht="12.75" customHeight="1">
      <c r="A1200" s="25" t="str">
        <f t="shared" si="1"/>
        <v/>
      </c>
      <c r="B1200" s="29" t="str">
        <f t="array" ref="B1200">IF(D1200="","",IFERROR(VALUE(INDEX(Vazoes_COLAR!$A$2:$A$200,INT((ROW()-24)/12)+1)),""))</f>
        <v/>
      </c>
      <c r="C1200" s="29" t="str">
        <f t="shared" si="2"/>
        <v/>
      </c>
      <c r="D1200" s="26" t="str">
        <f t="array" ref="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00" s="26" t="str">
        <f t="shared" si="3"/>
        <v/>
      </c>
      <c r="F1200" s="26" t="str">
        <f t="array" ref="F1200">IF(D1200="","",IFERROR(INDEX(Dados_Evap!$C$2:$N$15,MATCH($B$9,Dados_Evap!$A$2:$A$15,0),C1200),0))</f>
        <v/>
      </c>
      <c r="G1200" s="26" t="str">
        <f t="shared" si="4"/>
        <v/>
      </c>
      <c r="H1200" s="26" t="str">
        <f t="shared" si="22"/>
        <v/>
      </c>
      <c r="I1200" s="26" t="str">
        <f t="array" ref="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/>
      </c>
      <c r="J1200" s="26" t="str">
        <f t="shared" si="5"/>
        <v/>
      </c>
      <c r="K1200" s="26" t="str">
        <f t="shared" si="6"/>
        <v/>
      </c>
      <c r="L1200" s="26" t="str">
        <f t="shared" si="7"/>
        <v/>
      </c>
      <c r="M1200" s="26" t="str">
        <f t="array" ref="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/>
      </c>
      <c r="N1200" s="26" t="str">
        <f t="shared" si="8"/>
        <v/>
      </c>
      <c r="O1200" s="26" t="str">
        <f t="shared" si="9"/>
        <v/>
      </c>
      <c r="P1200" s="26" t="str">
        <f t="shared" si="10"/>
        <v/>
      </c>
      <c r="Q1200" s="26" t="str">
        <f t="shared" si="11"/>
        <v/>
      </c>
      <c r="R1200" s="26" t="str">
        <f t="shared" si="12"/>
        <v/>
      </c>
      <c r="S1200" s="26" t="str">
        <f t="shared" si="13"/>
        <v/>
      </c>
      <c r="T1200" s="26" t="str">
        <f t="shared" si="14"/>
        <v/>
      </c>
      <c r="U1200" s="26" t="str">
        <f t="shared" si="15"/>
        <v/>
      </c>
      <c r="V1200" s="26" t="str">
        <f t="shared" si="16"/>
        <v/>
      </c>
      <c r="W1200" s="26" t="str">
        <f t="shared" si="17"/>
        <v/>
      </c>
      <c r="X1200" s="26" t="str">
        <f t="shared" si="18"/>
        <v/>
      </c>
      <c r="Y1200" s="26" t="str">
        <f t="shared" si="19"/>
        <v/>
      </c>
      <c r="Z1200" s="31" t="str">
        <f t="shared" si="20"/>
        <v/>
      </c>
      <c r="AA1200" s="31" t="str">
        <f>IF(D1200="","",IF(H1200&lt;=$B$16,1,IF(H1200&gt;=$B$17,$B$21,MATCH(H1200,Aux_CAV!$A$2:$A$121,1))))</f>
        <v/>
      </c>
      <c r="AB1200" s="31" t="str">
        <f>IF(D1200="","",IF(L1200&lt;=$B$16,1,IF(L1200&gt;=$B$17,$B$21,MATCH(L1200,Aux_CAV!$A$2:$A$121,1))))</f>
        <v/>
      </c>
      <c r="AC1200" s="3" t="str">
        <f t="shared" si="21"/>
        <v/>
      </c>
    </row>
    <row r="1201" ht="12.75" customHeight="1">
      <c r="A1201" s="25" t="str">
        <f t="shared" si="1"/>
        <v/>
      </c>
      <c r="B1201" s="29" t="str">
        <f t="array" ref="B1201">IF(D1201="","",IFERROR(VALUE(INDEX(Vazoes_COLAR!$A$2:$A$200,INT((ROW()-24)/12)+1)),""))</f>
        <v/>
      </c>
      <c r="C1201" s="29" t="str">
        <f t="shared" si="2"/>
        <v/>
      </c>
      <c r="D1201" s="26" t="str">
        <f t="array" ref="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01" s="26" t="str">
        <f t="shared" si="3"/>
        <v/>
      </c>
      <c r="F1201" s="26" t="str">
        <f t="array" ref="F1201">IF(D1201="","",IFERROR(INDEX(Dados_Evap!$C$2:$N$15,MATCH($B$9,Dados_Evap!$A$2:$A$15,0),C1201),0))</f>
        <v/>
      </c>
      <c r="G1201" s="26" t="str">
        <f t="shared" si="4"/>
        <v/>
      </c>
      <c r="H1201" s="26" t="str">
        <f t="shared" si="22"/>
        <v/>
      </c>
      <c r="I1201" s="26" t="str">
        <f t="array" ref="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/>
      </c>
      <c r="J1201" s="26" t="str">
        <f t="shared" si="5"/>
        <v/>
      </c>
      <c r="K1201" s="26" t="str">
        <f t="shared" si="6"/>
        <v/>
      </c>
      <c r="L1201" s="26" t="str">
        <f t="shared" si="7"/>
        <v/>
      </c>
      <c r="M1201" s="26" t="str">
        <f t="array" ref="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/>
      </c>
      <c r="N1201" s="26" t="str">
        <f t="shared" si="8"/>
        <v/>
      </c>
      <c r="O1201" s="26" t="str">
        <f t="shared" si="9"/>
        <v/>
      </c>
      <c r="P1201" s="26" t="str">
        <f t="shared" si="10"/>
        <v/>
      </c>
      <c r="Q1201" s="26" t="str">
        <f t="shared" si="11"/>
        <v/>
      </c>
      <c r="R1201" s="26" t="str">
        <f t="shared" si="12"/>
        <v/>
      </c>
      <c r="S1201" s="26" t="str">
        <f t="shared" si="13"/>
        <v/>
      </c>
      <c r="T1201" s="26" t="str">
        <f t="shared" si="14"/>
        <v/>
      </c>
      <c r="U1201" s="26" t="str">
        <f t="shared" si="15"/>
        <v/>
      </c>
      <c r="V1201" s="26" t="str">
        <f t="shared" si="16"/>
        <v/>
      </c>
      <c r="W1201" s="26" t="str">
        <f t="shared" si="17"/>
        <v/>
      </c>
      <c r="X1201" s="26" t="str">
        <f t="shared" si="18"/>
        <v/>
      </c>
      <c r="Y1201" s="26" t="str">
        <f t="shared" si="19"/>
        <v/>
      </c>
      <c r="Z1201" s="31" t="str">
        <f t="shared" si="20"/>
        <v/>
      </c>
      <c r="AA1201" s="31" t="str">
        <f>IF(D1201="","",IF(H1201&lt;=$B$16,1,IF(H1201&gt;=$B$17,$B$21,MATCH(H1201,Aux_CAV!$A$2:$A$121,1))))</f>
        <v/>
      </c>
      <c r="AB1201" s="31" t="str">
        <f>IF(D1201="","",IF(L1201&lt;=$B$16,1,IF(L1201&gt;=$B$17,$B$21,MATCH(L1201,Aux_CAV!$A$2:$A$121,1))))</f>
        <v/>
      </c>
      <c r="AC1201" s="3" t="str">
        <f t="shared" si="21"/>
        <v/>
      </c>
    </row>
    <row r="1202" ht="12.75" customHeight="1">
      <c r="A1202" s="25" t="str">
        <f t="shared" si="1"/>
        <v/>
      </c>
      <c r="B1202" s="29" t="str">
        <f t="array" ref="B1202">IF(D1202="","",IFERROR(VALUE(INDEX(Vazoes_COLAR!$A$2:$A$200,INT((ROW()-24)/12)+1)),""))</f>
        <v/>
      </c>
      <c r="C1202" s="29" t="str">
        <f t="shared" si="2"/>
        <v/>
      </c>
      <c r="D1202" s="26" t="str">
        <f t="array" ref="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02" s="26" t="str">
        <f t="shared" si="3"/>
        <v/>
      </c>
      <c r="F1202" s="26" t="str">
        <f t="array" ref="F1202">IF(D1202="","",IFERROR(INDEX(Dados_Evap!$C$2:$N$15,MATCH($B$9,Dados_Evap!$A$2:$A$15,0),C1202),0))</f>
        <v/>
      </c>
      <c r="G1202" s="26" t="str">
        <f t="shared" si="4"/>
        <v/>
      </c>
      <c r="H1202" s="26" t="str">
        <f t="shared" si="22"/>
        <v/>
      </c>
      <c r="I1202" s="26" t="str">
        <f t="array" ref="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/>
      </c>
      <c r="J1202" s="26" t="str">
        <f t="shared" si="5"/>
        <v/>
      </c>
      <c r="K1202" s="26" t="str">
        <f t="shared" si="6"/>
        <v/>
      </c>
      <c r="L1202" s="26" t="str">
        <f t="shared" si="7"/>
        <v/>
      </c>
      <c r="M1202" s="26" t="str">
        <f t="array" ref="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/>
      </c>
      <c r="N1202" s="26" t="str">
        <f t="shared" si="8"/>
        <v/>
      </c>
      <c r="O1202" s="26" t="str">
        <f t="shared" si="9"/>
        <v/>
      </c>
      <c r="P1202" s="26" t="str">
        <f t="shared" si="10"/>
        <v/>
      </c>
      <c r="Q1202" s="26" t="str">
        <f t="shared" si="11"/>
        <v/>
      </c>
      <c r="R1202" s="26" t="str">
        <f t="shared" si="12"/>
        <v/>
      </c>
      <c r="S1202" s="26" t="str">
        <f t="shared" si="13"/>
        <v/>
      </c>
      <c r="T1202" s="26" t="str">
        <f t="shared" si="14"/>
        <v/>
      </c>
      <c r="U1202" s="26" t="str">
        <f t="shared" si="15"/>
        <v/>
      </c>
      <c r="V1202" s="26" t="str">
        <f t="shared" si="16"/>
        <v/>
      </c>
      <c r="W1202" s="26" t="str">
        <f t="shared" si="17"/>
        <v/>
      </c>
      <c r="X1202" s="26" t="str">
        <f t="shared" si="18"/>
        <v/>
      </c>
      <c r="Y1202" s="26" t="str">
        <f t="shared" si="19"/>
        <v/>
      </c>
      <c r="Z1202" s="31" t="str">
        <f t="shared" si="20"/>
        <v/>
      </c>
      <c r="AA1202" s="31" t="str">
        <f>IF(D1202="","",IF(H1202&lt;=$B$16,1,IF(H1202&gt;=$B$17,$B$21,MATCH(H1202,Aux_CAV!$A$2:$A$121,1))))</f>
        <v/>
      </c>
      <c r="AB1202" s="31" t="str">
        <f>IF(D1202="","",IF(L1202&lt;=$B$16,1,IF(L1202&gt;=$B$17,$B$21,MATCH(L1202,Aux_CAV!$A$2:$A$121,1))))</f>
        <v/>
      </c>
      <c r="AC1202" s="3" t="str">
        <f t="shared" si="21"/>
        <v/>
      </c>
    </row>
    <row r="1203" ht="12.75" customHeight="1">
      <c r="A1203" s="25" t="str">
        <f t="shared" si="1"/>
        <v/>
      </c>
      <c r="B1203" s="29" t="str">
        <f t="array" ref="B1203">IF(D1203="","",IFERROR(VALUE(INDEX(Vazoes_COLAR!$A$2:$A$200,INT((ROW()-24)/12)+1)),""))</f>
        <v/>
      </c>
      <c r="C1203" s="29" t="str">
        <f t="shared" si="2"/>
        <v/>
      </c>
      <c r="D1203" s="26" t="str">
        <f t="array" ref="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03" s="26" t="str">
        <f t="shared" si="3"/>
        <v/>
      </c>
      <c r="F1203" s="26" t="str">
        <f t="array" ref="F1203">IF(D1203="","",IFERROR(INDEX(Dados_Evap!$C$2:$N$15,MATCH($B$9,Dados_Evap!$A$2:$A$15,0),C1203),0))</f>
        <v/>
      </c>
      <c r="G1203" s="26" t="str">
        <f t="shared" si="4"/>
        <v/>
      </c>
      <c r="H1203" s="26" t="str">
        <f t="shared" si="22"/>
        <v/>
      </c>
      <c r="I1203" s="26" t="str">
        <f t="array" ref="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/>
      </c>
      <c r="J1203" s="26" t="str">
        <f t="shared" si="5"/>
        <v/>
      </c>
      <c r="K1203" s="26" t="str">
        <f t="shared" si="6"/>
        <v/>
      </c>
      <c r="L1203" s="26" t="str">
        <f t="shared" si="7"/>
        <v/>
      </c>
      <c r="M1203" s="26" t="str">
        <f t="array" ref="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/>
      </c>
      <c r="N1203" s="26" t="str">
        <f t="shared" si="8"/>
        <v/>
      </c>
      <c r="O1203" s="26" t="str">
        <f t="shared" si="9"/>
        <v/>
      </c>
      <c r="P1203" s="26" t="str">
        <f t="shared" si="10"/>
        <v/>
      </c>
      <c r="Q1203" s="26" t="str">
        <f t="shared" si="11"/>
        <v/>
      </c>
      <c r="R1203" s="26" t="str">
        <f t="shared" si="12"/>
        <v/>
      </c>
      <c r="S1203" s="26" t="str">
        <f t="shared" si="13"/>
        <v/>
      </c>
      <c r="T1203" s="26" t="str">
        <f t="shared" si="14"/>
        <v/>
      </c>
      <c r="U1203" s="26" t="str">
        <f t="shared" si="15"/>
        <v/>
      </c>
      <c r="V1203" s="26" t="str">
        <f t="shared" si="16"/>
        <v/>
      </c>
      <c r="W1203" s="26" t="str">
        <f t="shared" si="17"/>
        <v/>
      </c>
      <c r="X1203" s="26" t="str">
        <f t="shared" si="18"/>
        <v/>
      </c>
      <c r="Y1203" s="26" t="str">
        <f t="shared" si="19"/>
        <v/>
      </c>
      <c r="Z1203" s="31" t="str">
        <f t="shared" si="20"/>
        <v/>
      </c>
      <c r="AA1203" s="31" t="str">
        <f>IF(D1203="","",IF(H1203&lt;=$B$16,1,IF(H1203&gt;=$B$17,$B$21,MATCH(H1203,Aux_CAV!$A$2:$A$121,1))))</f>
        <v/>
      </c>
      <c r="AB1203" s="31" t="str">
        <f>IF(D1203="","",IF(L1203&lt;=$B$16,1,IF(L1203&gt;=$B$17,$B$21,MATCH(L1203,Aux_CAV!$A$2:$A$121,1))))</f>
        <v/>
      </c>
      <c r="AC1203" s="3" t="str">
        <f t="shared" si="21"/>
        <v/>
      </c>
    </row>
    <row r="1204" ht="12.75" customHeight="1">
      <c r="A1204" s="25" t="str">
        <f t="shared" si="1"/>
        <v/>
      </c>
      <c r="B1204" s="29" t="str">
        <f t="array" ref="B1204">IF(D1204="","",IFERROR(VALUE(INDEX(Vazoes_COLAR!$A$2:$A$200,INT((ROW()-24)/12)+1)),""))</f>
        <v/>
      </c>
      <c r="C1204" s="29" t="str">
        <f t="shared" si="2"/>
        <v/>
      </c>
      <c r="D1204" s="26" t="str">
        <f t="array" ref="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04" s="26" t="str">
        <f t="shared" si="3"/>
        <v/>
      </c>
      <c r="F1204" s="26" t="str">
        <f t="array" ref="F1204">IF(D1204="","",IFERROR(INDEX(Dados_Evap!$C$2:$N$15,MATCH($B$9,Dados_Evap!$A$2:$A$15,0),C1204),0))</f>
        <v/>
      </c>
      <c r="G1204" s="26" t="str">
        <f t="shared" si="4"/>
        <v/>
      </c>
      <c r="H1204" s="26" t="str">
        <f t="shared" si="22"/>
        <v/>
      </c>
      <c r="I1204" s="26" t="str">
        <f t="array" ref="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/>
      </c>
      <c r="J1204" s="26" t="str">
        <f t="shared" si="5"/>
        <v/>
      </c>
      <c r="K1204" s="26" t="str">
        <f t="shared" si="6"/>
        <v/>
      </c>
      <c r="L1204" s="26" t="str">
        <f t="shared" si="7"/>
        <v/>
      </c>
      <c r="M1204" s="26" t="str">
        <f t="array" ref="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/>
      </c>
      <c r="N1204" s="26" t="str">
        <f t="shared" si="8"/>
        <v/>
      </c>
      <c r="O1204" s="26" t="str">
        <f t="shared" si="9"/>
        <v/>
      </c>
      <c r="P1204" s="26" t="str">
        <f t="shared" si="10"/>
        <v/>
      </c>
      <c r="Q1204" s="26" t="str">
        <f t="shared" si="11"/>
        <v/>
      </c>
      <c r="R1204" s="26" t="str">
        <f t="shared" si="12"/>
        <v/>
      </c>
      <c r="S1204" s="26" t="str">
        <f t="shared" si="13"/>
        <v/>
      </c>
      <c r="T1204" s="26" t="str">
        <f t="shared" si="14"/>
        <v/>
      </c>
      <c r="U1204" s="26" t="str">
        <f t="shared" si="15"/>
        <v/>
      </c>
      <c r="V1204" s="26" t="str">
        <f t="shared" si="16"/>
        <v/>
      </c>
      <c r="W1204" s="26" t="str">
        <f t="shared" si="17"/>
        <v/>
      </c>
      <c r="X1204" s="26" t="str">
        <f t="shared" si="18"/>
        <v/>
      </c>
      <c r="Y1204" s="26" t="str">
        <f t="shared" si="19"/>
        <v/>
      </c>
      <c r="Z1204" s="31" t="str">
        <f t="shared" si="20"/>
        <v/>
      </c>
      <c r="AA1204" s="31" t="str">
        <f>IF(D1204="","",IF(H1204&lt;=$B$16,1,IF(H1204&gt;=$B$17,$B$21,MATCH(H1204,Aux_CAV!$A$2:$A$121,1))))</f>
        <v/>
      </c>
      <c r="AB1204" s="31" t="str">
        <f>IF(D1204="","",IF(L1204&lt;=$B$16,1,IF(L1204&gt;=$B$17,$B$21,MATCH(L1204,Aux_CAV!$A$2:$A$121,1))))</f>
        <v/>
      </c>
      <c r="AC1204" s="3" t="str">
        <f t="shared" si="21"/>
        <v/>
      </c>
    </row>
    <row r="1205" ht="12.75" customHeight="1">
      <c r="A1205" s="25" t="str">
        <f t="shared" si="1"/>
        <v/>
      </c>
      <c r="B1205" s="29" t="str">
        <f t="array" ref="B1205">IF(D1205="","",IFERROR(VALUE(INDEX(Vazoes_COLAR!$A$2:$A$200,INT((ROW()-24)/12)+1)),""))</f>
        <v/>
      </c>
      <c r="C1205" s="29" t="str">
        <f t="shared" si="2"/>
        <v/>
      </c>
      <c r="D1205" s="26" t="str">
        <f t="array" ref="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05" s="26" t="str">
        <f t="shared" si="3"/>
        <v/>
      </c>
      <c r="F1205" s="26" t="str">
        <f t="array" ref="F1205">IF(D1205="","",IFERROR(INDEX(Dados_Evap!$C$2:$N$15,MATCH($B$9,Dados_Evap!$A$2:$A$15,0),C1205),0))</f>
        <v/>
      </c>
      <c r="G1205" s="26" t="str">
        <f t="shared" si="4"/>
        <v/>
      </c>
      <c r="H1205" s="26" t="str">
        <f t="shared" si="22"/>
        <v/>
      </c>
      <c r="I1205" s="26" t="str">
        <f t="array" ref="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/>
      </c>
      <c r="J1205" s="26" t="str">
        <f t="shared" si="5"/>
        <v/>
      </c>
      <c r="K1205" s="26" t="str">
        <f t="shared" si="6"/>
        <v/>
      </c>
      <c r="L1205" s="26" t="str">
        <f t="shared" si="7"/>
        <v/>
      </c>
      <c r="M1205" s="26" t="str">
        <f t="array" ref="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/>
      </c>
      <c r="N1205" s="26" t="str">
        <f t="shared" si="8"/>
        <v/>
      </c>
      <c r="O1205" s="26" t="str">
        <f t="shared" si="9"/>
        <v/>
      </c>
      <c r="P1205" s="26" t="str">
        <f t="shared" si="10"/>
        <v/>
      </c>
      <c r="Q1205" s="26" t="str">
        <f t="shared" si="11"/>
        <v/>
      </c>
      <c r="R1205" s="26" t="str">
        <f t="shared" si="12"/>
        <v/>
      </c>
      <c r="S1205" s="26" t="str">
        <f t="shared" si="13"/>
        <v/>
      </c>
      <c r="T1205" s="26" t="str">
        <f t="shared" si="14"/>
        <v/>
      </c>
      <c r="U1205" s="26" t="str">
        <f t="shared" si="15"/>
        <v/>
      </c>
      <c r="V1205" s="26" t="str">
        <f t="shared" si="16"/>
        <v/>
      </c>
      <c r="W1205" s="26" t="str">
        <f t="shared" si="17"/>
        <v/>
      </c>
      <c r="X1205" s="26" t="str">
        <f t="shared" si="18"/>
        <v/>
      </c>
      <c r="Y1205" s="26" t="str">
        <f t="shared" si="19"/>
        <v/>
      </c>
      <c r="Z1205" s="31" t="str">
        <f t="shared" si="20"/>
        <v/>
      </c>
      <c r="AA1205" s="31" t="str">
        <f>IF(D1205="","",IF(H1205&lt;=$B$16,1,IF(H1205&gt;=$B$17,$B$21,MATCH(H1205,Aux_CAV!$A$2:$A$121,1))))</f>
        <v/>
      </c>
      <c r="AB1205" s="31" t="str">
        <f>IF(D1205="","",IF(L1205&lt;=$B$16,1,IF(L1205&gt;=$B$17,$B$21,MATCH(L1205,Aux_CAV!$A$2:$A$121,1))))</f>
        <v/>
      </c>
      <c r="AC1205" s="3" t="str">
        <f t="shared" si="21"/>
        <v/>
      </c>
    </row>
    <row r="1206" ht="12.75" customHeight="1">
      <c r="A1206" s="25" t="str">
        <f t="shared" si="1"/>
        <v/>
      </c>
      <c r="B1206" s="29" t="str">
        <f t="array" ref="B1206">IF(D1206="","",IFERROR(VALUE(INDEX(Vazoes_COLAR!$A$2:$A$200,INT((ROW()-24)/12)+1)),""))</f>
        <v/>
      </c>
      <c r="C1206" s="29" t="str">
        <f t="shared" si="2"/>
        <v/>
      </c>
      <c r="D1206" s="26" t="str">
        <f t="array" ref="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06" s="26" t="str">
        <f t="shared" si="3"/>
        <v/>
      </c>
      <c r="F1206" s="26" t="str">
        <f t="array" ref="F1206">IF(D1206="","",IFERROR(INDEX(Dados_Evap!$C$2:$N$15,MATCH($B$9,Dados_Evap!$A$2:$A$15,0),C1206),0))</f>
        <v/>
      </c>
      <c r="G1206" s="26" t="str">
        <f t="shared" si="4"/>
        <v/>
      </c>
      <c r="H1206" s="26" t="str">
        <f t="shared" si="22"/>
        <v/>
      </c>
      <c r="I1206" s="26" t="str">
        <f t="array" ref="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/>
      </c>
      <c r="J1206" s="26" t="str">
        <f t="shared" si="5"/>
        <v/>
      </c>
      <c r="K1206" s="26" t="str">
        <f t="shared" si="6"/>
        <v/>
      </c>
      <c r="L1206" s="26" t="str">
        <f t="shared" si="7"/>
        <v/>
      </c>
      <c r="M1206" s="26" t="str">
        <f t="array" ref="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/>
      </c>
      <c r="N1206" s="26" t="str">
        <f t="shared" si="8"/>
        <v/>
      </c>
      <c r="O1206" s="26" t="str">
        <f t="shared" si="9"/>
        <v/>
      </c>
      <c r="P1206" s="26" t="str">
        <f t="shared" si="10"/>
        <v/>
      </c>
      <c r="Q1206" s="26" t="str">
        <f t="shared" si="11"/>
        <v/>
      </c>
      <c r="R1206" s="26" t="str">
        <f t="shared" si="12"/>
        <v/>
      </c>
      <c r="S1206" s="26" t="str">
        <f t="shared" si="13"/>
        <v/>
      </c>
      <c r="T1206" s="26" t="str">
        <f t="shared" si="14"/>
        <v/>
      </c>
      <c r="U1206" s="26" t="str">
        <f t="shared" si="15"/>
        <v/>
      </c>
      <c r="V1206" s="26" t="str">
        <f t="shared" si="16"/>
        <v/>
      </c>
      <c r="W1206" s="26" t="str">
        <f t="shared" si="17"/>
        <v/>
      </c>
      <c r="X1206" s="26" t="str">
        <f t="shared" si="18"/>
        <v/>
      </c>
      <c r="Y1206" s="26" t="str">
        <f t="shared" si="19"/>
        <v/>
      </c>
      <c r="Z1206" s="31" t="str">
        <f t="shared" si="20"/>
        <v/>
      </c>
      <c r="AA1206" s="31" t="str">
        <f>IF(D1206="","",IF(H1206&lt;=$B$16,1,IF(H1206&gt;=$B$17,$B$21,MATCH(H1206,Aux_CAV!$A$2:$A$121,1))))</f>
        <v/>
      </c>
      <c r="AB1206" s="31" t="str">
        <f>IF(D1206="","",IF(L1206&lt;=$B$16,1,IF(L1206&gt;=$B$17,$B$21,MATCH(L1206,Aux_CAV!$A$2:$A$121,1))))</f>
        <v/>
      </c>
      <c r="AC1206" s="3" t="str">
        <f t="shared" si="21"/>
        <v/>
      </c>
    </row>
    <row r="1207" ht="12.75" customHeight="1">
      <c r="A1207" s="25" t="str">
        <f t="shared" si="1"/>
        <v/>
      </c>
      <c r="B1207" s="29" t="str">
        <f t="array" ref="B1207">IF(D1207="","",IFERROR(VALUE(INDEX(Vazoes_COLAR!$A$2:$A$200,INT((ROW()-24)/12)+1)),""))</f>
        <v/>
      </c>
      <c r="C1207" s="29" t="str">
        <f t="shared" si="2"/>
        <v/>
      </c>
      <c r="D1207" s="26" t="str">
        <f t="array" ref="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07" s="26" t="str">
        <f t="shared" si="3"/>
        <v/>
      </c>
      <c r="F1207" s="26" t="str">
        <f t="array" ref="F1207">IF(D1207="","",IFERROR(INDEX(Dados_Evap!$C$2:$N$15,MATCH($B$9,Dados_Evap!$A$2:$A$15,0),C1207),0))</f>
        <v/>
      </c>
      <c r="G1207" s="26" t="str">
        <f t="shared" si="4"/>
        <v/>
      </c>
      <c r="H1207" s="26" t="str">
        <f t="shared" si="22"/>
        <v/>
      </c>
      <c r="I1207" s="26" t="str">
        <f t="array" ref="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/>
      </c>
      <c r="J1207" s="26" t="str">
        <f t="shared" si="5"/>
        <v/>
      </c>
      <c r="K1207" s="26" t="str">
        <f t="shared" si="6"/>
        <v/>
      </c>
      <c r="L1207" s="26" t="str">
        <f t="shared" si="7"/>
        <v/>
      </c>
      <c r="M1207" s="26" t="str">
        <f t="array" ref="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/>
      </c>
      <c r="N1207" s="26" t="str">
        <f t="shared" si="8"/>
        <v/>
      </c>
      <c r="O1207" s="26" t="str">
        <f t="shared" si="9"/>
        <v/>
      </c>
      <c r="P1207" s="26" t="str">
        <f t="shared" si="10"/>
        <v/>
      </c>
      <c r="Q1207" s="26" t="str">
        <f t="shared" si="11"/>
        <v/>
      </c>
      <c r="R1207" s="26" t="str">
        <f t="shared" si="12"/>
        <v/>
      </c>
      <c r="S1207" s="26" t="str">
        <f t="shared" si="13"/>
        <v/>
      </c>
      <c r="T1207" s="26" t="str">
        <f t="shared" si="14"/>
        <v/>
      </c>
      <c r="U1207" s="26" t="str">
        <f t="shared" si="15"/>
        <v/>
      </c>
      <c r="V1207" s="26" t="str">
        <f t="shared" si="16"/>
        <v/>
      </c>
      <c r="W1207" s="26" t="str">
        <f t="shared" si="17"/>
        <v/>
      </c>
      <c r="X1207" s="26" t="str">
        <f t="shared" si="18"/>
        <v/>
      </c>
      <c r="Y1207" s="26" t="str">
        <f t="shared" si="19"/>
        <v/>
      </c>
      <c r="Z1207" s="31" t="str">
        <f t="shared" si="20"/>
        <v/>
      </c>
      <c r="AA1207" s="31" t="str">
        <f>IF(D1207="","",IF(H1207&lt;=$B$16,1,IF(H1207&gt;=$B$17,$B$21,MATCH(H1207,Aux_CAV!$A$2:$A$121,1))))</f>
        <v/>
      </c>
      <c r="AB1207" s="31" t="str">
        <f>IF(D1207="","",IF(L1207&lt;=$B$16,1,IF(L1207&gt;=$B$17,$B$21,MATCH(L1207,Aux_CAV!$A$2:$A$121,1))))</f>
        <v/>
      </c>
      <c r="AC1207" s="3" t="str">
        <f t="shared" si="21"/>
        <v/>
      </c>
    </row>
    <row r="1208" ht="12.75" customHeight="1">
      <c r="A1208" s="25" t="str">
        <f t="shared" si="1"/>
        <v/>
      </c>
      <c r="B1208" s="29" t="str">
        <f t="array" ref="B1208">IF(D1208="","",IFERROR(VALUE(INDEX(Vazoes_COLAR!$A$2:$A$200,INT((ROW()-24)/12)+1)),""))</f>
        <v/>
      </c>
      <c r="C1208" s="29" t="str">
        <f t="shared" si="2"/>
        <v/>
      </c>
      <c r="D1208" s="26" t="str">
        <f t="array" ref="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08" s="26" t="str">
        <f t="shared" si="3"/>
        <v/>
      </c>
      <c r="F1208" s="26" t="str">
        <f t="array" ref="F1208">IF(D1208="","",IFERROR(INDEX(Dados_Evap!$C$2:$N$15,MATCH($B$9,Dados_Evap!$A$2:$A$15,0),C1208),0))</f>
        <v/>
      </c>
      <c r="G1208" s="26" t="str">
        <f t="shared" si="4"/>
        <v/>
      </c>
      <c r="H1208" s="26" t="str">
        <f t="shared" si="22"/>
        <v/>
      </c>
      <c r="I1208" s="26" t="str">
        <f t="array" ref="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/>
      </c>
      <c r="J1208" s="26" t="str">
        <f t="shared" si="5"/>
        <v/>
      </c>
      <c r="K1208" s="26" t="str">
        <f t="shared" si="6"/>
        <v/>
      </c>
      <c r="L1208" s="26" t="str">
        <f t="shared" si="7"/>
        <v/>
      </c>
      <c r="M1208" s="26" t="str">
        <f t="array" ref="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/>
      </c>
      <c r="N1208" s="26" t="str">
        <f t="shared" si="8"/>
        <v/>
      </c>
      <c r="O1208" s="26" t="str">
        <f t="shared" si="9"/>
        <v/>
      </c>
      <c r="P1208" s="26" t="str">
        <f t="shared" si="10"/>
        <v/>
      </c>
      <c r="Q1208" s="26" t="str">
        <f t="shared" si="11"/>
        <v/>
      </c>
      <c r="R1208" s="26" t="str">
        <f t="shared" si="12"/>
        <v/>
      </c>
      <c r="S1208" s="26" t="str">
        <f t="shared" si="13"/>
        <v/>
      </c>
      <c r="T1208" s="26" t="str">
        <f t="shared" si="14"/>
        <v/>
      </c>
      <c r="U1208" s="26" t="str">
        <f t="shared" si="15"/>
        <v/>
      </c>
      <c r="V1208" s="26" t="str">
        <f t="shared" si="16"/>
        <v/>
      </c>
      <c r="W1208" s="26" t="str">
        <f t="shared" si="17"/>
        <v/>
      </c>
      <c r="X1208" s="26" t="str">
        <f t="shared" si="18"/>
        <v/>
      </c>
      <c r="Y1208" s="26" t="str">
        <f t="shared" si="19"/>
        <v/>
      </c>
      <c r="Z1208" s="31" t="str">
        <f t="shared" si="20"/>
        <v/>
      </c>
      <c r="AA1208" s="31" t="str">
        <f>IF(D1208="","",IF(H1208&lt;=$B$16,1,IF(H1208&gt;=$B$17,$B$21,MATCH(H1208,Aux_CAV!$A$2:$A$121,1))))</f>
        <v/>
      </c>
      <c r="AB1208" s="31" t="str">
        <f>IF(D1208="","",IF(L1208&lt;=$B$16,1,IF(L1208&gt;=$B$17,$B$21,MATCH(L1208,Aux_CAV!$A$2:$A$121,1))))</f>
        <v/>
      </c>
      <c r="AC1208" s="3" t="str">
        <f t="shared" si="21"/>
        <v/>
      </c>
    </row>
    <row r="1209" ht="12.75" customHeight="1">
      <c r="A1209" s="25" t="str">
        <f t="shared" si="1"/>
        <v/>
      </c>
      <c r="B1209" s="29" t="str">
        <f t="array" ref="B1209">IF(D1209="","",IFERROR(VALUE(INDEX(Vazoes_COLAR!$A$2:$A$200,INT((ROW()-24)/12)+1)),""))</f>
        <v/>
      </c>
      <c r="C1209" s="29" t="str">
        <f t="shared" si="2"/>
        <v/>
      </c>
      <c r="D1209" s="26" t="str">
        <f t="array" ref="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09" s="26" t="str">
        <f t="shared" si="3"/>
        <v/>
      </c>
      <c r="F1209" s="26" t="str">
        <f t="array" ref="F1209">IF(D1209="","",IFERROR(INDEX(Dados_Evap!$C$2:$N$15,MATCH($B$9,Dados_Evap!$A$2:$A$15,0),C1209),0))</f>
        <v/>
      </c>
      <c r="G1209" s="26" t="str">
        <f t="shared" si="4"/>
        <v/>
      </c>
      <c r="H1209" s="26" t="str">
        <f t="shared" si="22"/>
        <v/>
      </c>
      <c r="I1209" s="26" t="str">
        <f t="array" ref="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/>
      </c>
      <c r="J1209" s="26" t="str">
        <f t="shared" si="5"/>
        <v/>
      </c>
      <c r="K1209" s="26" t="str">
        <f t="shared" si="6"/>
        <v/>
      </c>
      <c r="L1209" s="26" t="str">
        <f t="shared" si="7"/>
        <v/>
      </c>
      <c r="M1209" s="26" t="str">
        <f t="array" ref="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/>
      </c>
      <c r="N1209" s="26" t="str">
        <f t="shared" si="8"/>
        <v/>
      </c>
      <c r="O1209" s="26" t="str">
        <f t="shared" si="9"/>
        <v/>
      </c>
      <c r="P1209" s="26" t="str">
        <f t="shared" si="10"/>
        <v/>
      </c>
      <c r="Q1209" s="26" t="str">
        <f t="shared" si="11"/>
        <v/>
      </c>
      <c r="R1209" s="26" t="str">
        <f t="shared" si="12"/>
        <v/>
      </c>
      <c r="S1209" s="26" t="str">
        <f t="shared" si="13"/>
        <v/>
      </c>
      <c r="T1209" s="26" t="str">
        <f t="shared" si="14"/>
        <v/>
      </c>
      <c r="U1209" s="26" t="str">
        <f t="shared" si="15"/>
        <v/>
      </c>
      <c r="V1209" s="26" t="str">
        <f t="shared" si="16"/>
        <v/>
      </c>
      <c r="W1209" s="26" t="str">
        <f t="shared" si="17"/>
        <v/>
      </c>
      <c r="X1209" s="26" t="str">
        <f t="shared" si="18"/>
        <v/>
      </c>
      <c r="Y1209" s="26" t="str">
        <f t="shared" si="19"/>
        <v/>
      </c>
      <c r="Z1209" s="31" t="str">
        <f t="shared" si="20"/>
        <v/>
      </c>
      <c r="AA1209" s="31" t="str">
        <f>IF(D1209="","",IF(H1209&lt;=$B$16,1,IF(H1209&gt;=$B$17,$B$21,MATCH(H1209,Aux_CAV!$A$2:$A$121,1))))</f>
        <v/>
      </c>
      <c r="AB1209" s="31" t="str">
        <f>IF(D1209="","",IF(L1209&lt;=$B$16,1,IF(L1209&gt;=$B$17,$B$21,MATCH(L1209,Aux_CAV!$A$2:$A$121,1))))</f>
        <v/>
      </c>
      <c r="AC1209" s="3" t="str">
        <f t="shared" si="21"/>
        <v/>
      </c>
    </row>
    <row r="1210" ht="12.75" customHeight="1">
      <c r="A1210" s="25" t="str">
        <f t="shared" si="1"/>
        <v/>
      </c>
      <c r="B1210" s="29" t="str">
        <f t="array" ref="B1210">IF(D1210="","",IFERROR(VALUE(INDEX(Vazoes_COLAR!$A$2:$A$200,INT((ROW()-24)/12)+1)),""))</f>
        <v/>
      </c>
      <c r="C1210" s="29" t="str">
        <f t="shared" si="2"/>
        <v/>
      </c>
      <c r="D1210" s="26" t="str">
        <f t="array" ref="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10" s="26" t="str">
        <f t="shared" si="3"/>
        <v/>
      </c>
      <c r="F1210" s="26" t="str">
        <f t="array" ref="F1210">IF(D1210="","",IFERROR(INDEX(Dados_Evap!$C$2:$N$15,MATCH($B$9,Dados_Evap!$A$2:$A$15,0),C1210),0))</f>
        <v/>
      </c>
      <c r="G1210" s="26" t="str">
        <f t="shared" si="4"/>
        <v/>
      </c>
      <c r="H1210" s="26" t="str">
        <f t="shared" si="22"/>
        <v/>
      </c>
      <c r="I1210" s="26" t="str">
        <f t="array" ref="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/>
      </c>
      <c r="J1210" s="26" t="str">
        <f t="shared" si="5"/>
        <v/>
      </c>
      <c r="K1210" s="26" t="str">
        <f t="shared" si="6"/>
        <v/>
      </c>
      <c r="L1210" s="26" t="str">
        <f t="shared" si="7"/>
        <v/>
      </c>
      <c r="M1210" s="26" t="str">
        <f t="array" ref="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/>
      </c>
      <c r="N1210" s="26" t="str">
        <f t="shared" si="8"/>
        <v/>
      </c>
      <c r="O1210" s="26" t="str">
        <f t="shared" si="9"/>
        <v/>
      </c>
      <c r="P1210" s="26" t="str">
        <f t="shared" si="10"/>
        <v/>
      </c>
      <c r="Q1210" s="26" t="str">
        <f t="shared" si="11"/>
        <v/>
      </c>
      <c r="R1210" s="26" t="str">
        <f t="shared" si="12"/>
        <v/>
      </c>
      <c r="S1210" s="26" t="str">
        <f t="shared" si="13"/>
        <v/>
      </c>
      <c r="T1210" s="26" t="str">
        <f t="shared" si="14"/>
        <v/>
      </c>
      <c r="U1210" s="26" t="str">
        <f t="shared" si="15"/>
        <v/>
      </c>
      <c r="V1210" s="26" t="str">
        <f t="shared" si="16"/>
        <v/>
      </c>
      <c r="W1210" s="26" t="str">
        <f t="shared" si="17"/>
        <v/>
      </c>
      <c r="X1210" s="26" t="str">
        <f t="shared" si="18"/>
        <v/>
      </c>
      <c r="Y1210" s="26" t="str">
        <f t="shared" si="19"/>
        <v/>
      </c>
      <c r="Z1210" s="31" t="str">
        <f t="shared" si="20"/>
        <v/>
      </c>
      <c r="AA1210" s="31" t="str">
        <f>IF(D1210="","",IF(H1210&lt;=$B$16,1,IF(H1210&gt;=$B$17,$B$21,MATCH(H1210,Aux_CAV!$A$2:$A$121,1))))</f>
        <v/>
      </c>
      <c r="AB1210" s="31" t="str">
        <f>IF(D1210="","",IF(L1210&lt;=$B$16,1,IF(L1210&gt;=$B$17,$B$21,MATCH(L1210,Aux_CAV!$A$2:$A$121,1))))</f>
        <v/>
      </c>
      <c r="AC1210" s="3" t="str">
        <f t="shared" si="21"/>
        <v/>
      </c>
    </row>
    <row r="1211" ht="12.75" customHeight="1">
      <c r="A1211" s="25" t="str">
        <f t="shared" si="1"/>
        <v/>
      </c>
      <c r="B1211" s="29" t="str">
        <f t="array" ref="B1211">IF(D1211="","",IFERROR(VALUE(INDEX(Vazoes_COLAR!$A$2:$A$200,INT((ROW()-24)/12)+1)),""))</f>
        <v/>
      </c>
      <c r="C1211" s="29" t="str">
        <f t="shared" si="2"/>
        <v/>
      </c>
      <c r="D1211" s="26" t="str">
        <f t="array" ref="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11" s="26" t="str">
        <f t="shared" si="3"/>
        <v/>
      </c>
      <c r="F1211" s="26" t="str">
        <f t="array" ref="F1211">IF(D1211="","",IFERROR(INDEX(Dados_Evap!$C$2:$N$15,MATCH($B$9,Dados_Evap!$A$2:$A$15,0),C1211),0))</f>
        <v/>
      </c>
      <c r="G1211" s="26" t="str">
        <f t="shared" si="4"/>
        <v/>
      </c>
      <c r="H1211" s="26" t="str">
        <f t="shared" si="22"/>
        <v/>
      </c>
      <c r="I1211" s="26" t="str">
        <f t="array" ref="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/>
      </c>
      <c r="J1211" s="26" t="str">
        <f t="shared" si="5"/>
        <v/>
      </c>
      <c r="K1211" s="26" t="str">
        <f t="shared" si="6"/>
        <v/>
      </c>
      <c r="L1211" s="26" t="str">
        <f t="shared" si="7"/>
        <v/>
      </c>
      <c r="M1211" s="26" t="str">
        <f t="array" ref="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/>
      </c>
      <c r="N1211" s="26" t="str">
        <f t="shared" si="8"/>
        <v/>
      </c>
      <c r="O1211" s="26" t="str">
        <f t="shared" si="9"/>
        <v/>
      </c>
      <c r="P1211" s="26" t="str">
        <f t="shared" si="10"/>
        <v/>
      </c>
      <c r="Q1211" s="26" t="str">
        <f t="shared" si="11"/>
        <v/>
      </c>
      <c r="R1211" s="26" t="str">
        <f t="shared" si="12"/>
        <v/>
      </c>
      <c r="S1211" s="26" t="str">
        <f t="shared" si="13"/>
        <v/>
      </c>
      <c r="T1211" s="26" t="str">
        <f t="shared" si="14"/>
        <v/>
      </c>
      <c r="U1211" s="26" t="str">
        <f t="shared" si="15"/>
        <v/>
      </c>
      <c r="V1211" s="26" t="str">
        <f t="shared" si="16"/>
        <v/>
      </c>
      <c r="W1211" s="26" t="str">
        <f t="shared" si="17"/>
        <v/>
      </c>
      <c r="X1211" s="26" t="str">
        <f t="shared" si="18"/>
        <v/>
      </c>
      <c r="Y1211" s="26" t="str">
        <f t="shared" si="19"/>
        <v/>
      </c>
      <c r="Z1211" s="31" t="str">
        <f t="shared" si="20"/>
        <v/>
      </c>
      <c r="AA1211" s="31" t="str">
        <f>IF(D1211="","",IF(H1211&lt;=$B$16,1,IF(H1211&gt;=$B$17,$B$21,MATCH(H1211,Aux_CAV!$A$2:$A$121,1))))</f>
        <v/>
      </c>
      <c r="AB1211" s="31" t="str">
        <f>IF(D1211="","",IF(L1211&lt;=$B$16,1,IF(L1211&gt;=$B$17,$B$21,MATCH(L1211,Aux_CAV!$A$2:$A$121,1))))</f>
        <v/>
      </c>
      <c r="AC1211" s="3" t="str">
        <f t="shared" si="21"/>
        <v/>
      </c>
    </row>
    <row r="1212" ht="12.75" customHeight="1">
      <c r="A1212" s="25" t="str">
        <f t="shared" si="1"/>
        <v/>
      </c>
      <c r="B1212" s="29" t="str">
        <f t="array" ref="B1212">IF(D1212="","",IFERROR(VALUE(INDEX(Vazoes_COLAR!$A$2:$A$200,INT((ROW()-24)/12)+1)),""))</f>
        <v/>
      </c>
      <c r="C1212" s="29" t="str">
        <f t="shared" si="2"/>
        <v/>
      </c>
      <c r="D1212" s="26" t="str">
        <f t="array" ref="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12" s="26" t="str">
        <f t="shared" si="3"/>
        <v/>
      </c>
      <c r="F1212" s="26" t="str">
        <f t="array" ref="F1212">IF(D1212="","",IFERROR(INDEX(Dados_Evap!$C$2:$N$15,MATCH($B$9,Dados_Evap!$A$2:$A$15,0),C1212),0))</f>
        <v/>
      </c>
      <c r="G1212" s="26" t="str">
        <f t="shared" si="4"/>
        <v/>
      </c>
      <c r="H1212" s="26" t="str">
        <f t="shared" si="22"/>
        <v/>
      </c>
      <c r="I1212" s="26" t="str">
        <f t="array" ref="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/>
      </c>
      <c r="J1212" s="26" t="str">
        <f t="shared" si="5"/>
        <v/>
      </c>
      <c r="K1212" s="26" t="str">
        <f t="shared" si="6"/>
        <v/>
      </c>
      <c r="L1212" s="26" t="str">
        <f t="shared" si="7"/>
        <v/>
      </c>
      <c r="M1212" s="26" t="str">
        <f t="array" ref="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/>
      </c>
      <c r="N1212" s="26" t="str">
        <f t="shared" si="8"/>
        <v/>
      </c>
      <c r="O1212" s="26" t="str">
        <f t="shared" si="9"/>
        <v/>
      </c>
      <c r="P1212" s="26" t="str">
        <f t="shared" si="10"/>
        <v/>
      </c>
      <c r="Q1212" s="26" t="str">
        <f t="shared" si="11"/>
        <v/>
      </c>
      <c r="R1212" s="26" t="str">
        <f t="shared" si="12"/>
        <v/>
      </c>
      <c r="S1212" s="26" t="str">
        <f t="shared" si="13"/>
        <v/>
      </c>
      <c r="T1212" s="26" t="str">
        <f t="shared" si="14"/>
        <v/>
      </c>
      <c r="U1212" s="26" t="str">
        <f t="shared" si="15"/>
        <v/>
      </c>
      <c r="V1212" s="26" t="str">
        <f t="shared" si="16"/>
        <v/>
      </c>
      <c r="W1212" s="26" t="str">
        <f t="shared" si="17"/>
        <v/>
      </c>
      <c r="X1212" s="26" t="str">
        <f t="shared" si="18"/>
        <v/>
      </c>
      <c r="Y1212" s="26" t="str">
        <f t="shared" si="19"/>
        <v/>
      </c>
      <c r="Z1212" s="31" t="str">
        <f t="shared" si="20"/>
        <v/>
      </c>
      <c r="AA1212" s="31" t="str">
        <f>IF(D1212="","",IF(H1212&lt;=$B$16,1,IF(H1212&gt;=$B$17,$B$21,MATCH(H1212,Aux_CAV!$A$2:$A$121,1))))</f>
        <v/>
      </c>
      <c r="AB1212" s="31" t="str">
        <f>IF(D1212="","",IF(L1212&lt;=$B$16,1,IF(L1212&gt;=$B$17,$B$21,MATCH(L1212,Aux_CAV!$A$2:$A$121,1))))</f>
        <v/>
      </c>
      <c r="AC1212" s="3" t="str">
        <f t="shared" si="21"/>
        <v/>
      </c>
    </row>
    <row r="1213" ht="12.75" customHeight="1">
      <c r="A1213" s="25" t="str">
        <f t="shared" si="1"/>
        <v/>
      </c>
      <c r="B1213" s="29" t="str">
        <f t="array" ref="B1213">IF(D1213="","",IFERROR(VALUE(INDEX(Vazoes_COLAR!$A$2:$A$200,INT((ROW()-24)/12)+1)),""))</f>
        <v/>
      </c>
      <c r="C1213" s="29" t="str">
        <f t="shared" si="2"/>
        <v/>
      </c>
      <c r="D1213" s="26" t="str">
        <f t="array" ref="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13" s="26" t="str">
        <f t="shared" si="3"/>
        <v/>
      </c>
      <c r="F1213" s="26" t="str">
        <f t="array" ref="F1213">IF(D1213="","",IFERROR(INDEX(Dados_Evap!$C$2:$N$15,MATCH($B$9,Dados_Evap!$A$2:$A$15,0),C1213),0))</f>
        <v/>
      </c>
      <c r="G1213" s="26" t="str">
        <f t="shared" si="4"/>
        <v/>
      </c>
      <c r="H1213" s="26" t="str">
        <f t="shared" si="22"/>
        <v/>
      </c>
      <c r="I1213" s="26" t="str">
        <f t="array" ref="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/>
      </c>
      <c r="J1213" s="26" t="str">
        <f t="shared" si="5"/>
        <v/>
      </c>
      <c r="K1213" s="26" t="str">
        <f t="shared" si="6"/>
        <v/>
      </c>
      <c r="L1213" s="26" t="str">
        <f t="shared" si="7"/>
        <v/>
      </c>
      <c r="M1213" s="26" t="str">
        <f t="array" ref="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/>
      </c>
      <c r="N1213" s="26" t="str">
        <f t="shared" si="8"/>
        <v/>
      </c>
      <c r="O1213" s="26" t="str">
        <f t="shared" si="9"/>
        <v/>
      </c>
      <c r="P1213" s="26" t="str">
        <f t="shared" si="10"/>
        <v/>
      </c>
      <c r="Q1213" s="26" t="str">
        <f t="shared" si="11"/>
        <v/>
      </c>
      <c r="R1213" s="26" t="str">
        <f t="shared" si="12"/>
        <v/>
      </c>
      <c r="S1213" s="26" t="str">
        <f t="shared" si="13"/>
        <v/>
      </c>
      <c r="T1213" s="26" t="str">
        <f t="shared" si="14"/>
        <v/>
      </c>
      <c r="U1213" s="26" t="str">
        <f t="shared" si="15"/>
        <v/>
      </c>
      <c r="V1213" s="26" t="str">
        <f t="shared" si="16"/>
        <v/>
      </c>
      <c r="W1213" s="26" t="str">
        <f t="shared" si="17"/>
        <v/>
      </c>
      <c r="X1213" s="26" t="str">
        <f t="shared" si="18"/>
        <v/>
      </c>
      <c r="Y1213" s="26" t="str">
        <f t="shared" si="19"/>
        <v/>
      </c>
      <c r="Z1213" s="31" t="str">
        <f t="shared" si="20"/>
        <v/>
      </c>
      <c r="AA1213" s="31" t="str">
        <f>IF(D1213="","",IF(H1213&lt;=$B$16,1,IF(H1213&gt;=$B$17,$B$21,MATCH(H1213,Aux_CAV!$A$2:$A$121,1))))</f>
        <v/>
      </c>
      <c r="AB1213" s="31" t="str">
        <f>IF(D1213="","",IF(L1213&lt;=$B$16,1,IF(L1213&gt;=$B$17,$B$21,MATCH(L1213,Aux_CAV!$A$2:$A$121,1))))</f>
        <v/>
      </c>
      <c r="AC1213" s="3" t="str">
        <f t="shared" si="21"/>
        <v/>
      </c>
    </row>
    <row r="1214" ht="12.75" customHeight="1">
      <c r="A1214" s="25" t="str">
        <f t="shared" si="1"/>
        <v/>
      </c>
      <c r="B1214" s="29" t="str">
        <f t="array" ref="B1214">IF(D1214="","",IFERROR(VALUE(INDEX(Vazoes_COLAR!$A$2:$A$200,INT((ROW()-24)/12)+1)),""))</f>
        <v/>
      </c>
      <c r="C1214" s="29" t="str">
        <f t="shared" si="2"/>
        <v/>
      </c>
      <c r="D1214" s="26" t="str">
        <f t="array" ref="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14" s="26" t="str">
        <f t="shared" si="3"/>
        <v/>
      </c>
      <c r="F1214" s="26" t="str">
        <f t="array" ref="F1214">IF(D1214="","",IFERROR(INDEX(Dados_Evap!$C$2:$N$15,MATCH($B$9,Dados_Evap!$A$2:$A$15,0),C1214),0))</f>
        <v/>
      </c>
      <c r="G1214" s="26" t="str">
        <f t="shared" si="4"/>
        <v/>
      </c>
      <c r="H1214" s="26" t="str">
        <f t="shared" si="22"/>
        <v/>
      </c>
      <c r="I1214" s="26" t="str">
        <f t="array" ref="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/>
      </c>
      <c r="J1214" s="26" t="str">
        <f t="shared" si="5"/>
        <v/>
      </c>
      <c r="K1214" s="26" t="str">
        <f t="shared" si="6"/>
        <v/>
      </c>
      <c r="L1214" s="26" t="str">
        <f t="shared" si="7"/>
        <v/>
      </c>
      <c r="M1214" s="26" t="str">
        <f t="array" ref="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/>
      </c>
      <c r="N1214" s="26" t="str">
        <f t="shared" si="8"/>
        <v/>
      </c>
      <c r="O1214" s="26" t="str">
        <f t="shared" si="9"/>
        <v/>
      </c>
      <c r="P1214" s="26" t="str">
        <f t="shared" si="10"/>
        <v/>
      </c>
      <c r="Q1214" s="26" t="str">
        <f t="shared" si="11"/>
        <v/>
      </c>
      <c r="R1214" s="26" t="str">
        <f t="shared" si="12"/>
        <v/>
      </c>
      <c r="S1214" s="26" t="str">
        <f t="shared" si="13"/>
        <v/>
      </c>
      <c r="T1214" s="26" t="str">
        <f t="shared" si="14"/>
        <v/>
      </c>
      <c r="U1214" s="26" t="str">
        <f t="shared" si="15"/>
        <v/>
      </c>
      <c r="V1214" s="26" t="str">
        <f t="shared" si="16"/>
        <v/>
      </c>
      <c r="W1214" s="26" t="str">
        <f t="shared" si="17"/>
        <v/>
      </c>
      <c r="X1214" s="26" t="str">
        <f t="shared" si="18"/>
        <v/>
      </c>
      <c r="Y1214" s="26" t="str">
        <f t="shared" si="19"/>
        <v/>
      </c>
      <c r="Z1214" s="31" t="str">
        <f t="shared" si="20"/>
        <v/>
      </c>
      <c r="AA1214" s="31" t="str">
        <f>IF(D1214="","",IF(H1214&lt;=$B$16,1,IF(H1214&gt;=$B$17,$B$21,MATCH(H1214,Aux_CAV!$A$2:$A$121,1))))</f>
        <v/>
      </c>
      <c r="AB1214" s="31" t="str">
        <f>IF(D1214="","",IF(L1214&lt;=$B$16,1,IF(L1214&gt;=$B$17,$B$21,MATCH(L1214,Aux_CAV!$A$2:$A$121,1))))</f>
        <v/>
      </c>
      <c r="AC1214" s="3" t="str">
        <f t="shared" si="21"/>
        <v/>
      </c>
    </row>
    <row r="1215" ht="12.75" customHeight="1">
      <c r="A1215" s="25" t="str">
        <f t="shared" si="1"/>
        <v/>
      </c>
      <c r="B1215" s="29" t="str">
        <f t="array" ref="B1215">IF(D1215="","",IFERROR(VALUE(INDEX(Vazoes_COLAR!$A$2:$A$200,INT((ROW()-24)/12)+1)),""))</f>
        <v/>
      </c>
      <c r="C1215" s="29" t="str">
        <f t="shared" si="2"/>
        <v/>
      </c>
      <c r="D1215" s="26" t="str">
        <f t="array" ref="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15" s="26" t="str">
        <f t="shared" si="3"/>
        <v/>
      </c>
      <c r="F1215" s="26" t="str">
        <f t="array" ref="F1215">IF(D1215="","",IFERROR(INDEX(Dados_Evap!$C$2:$N$15,MATCH($B$9,Dados_Evap!$A$2:$A$15,0),C1215),0))</f>
        <v/>
      </c>
      <c r="G1215" s="26" t="str">
        <f t="shared" si="4"/>
        <v/>
      </c>
      <c r="H1215" s="26" t="str">
        <f t="shared" si="22"/>
        <v/>
      </c>
      <c r="I1215" s="26" t="str">
        <f t="array" ref="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/>
      </c>
      <c r="J1215" s="26" t="str">
        <f t="shared" si="5"/>
        <v/>
      </c>
      <c r="K1215" s="26" t="str">
        <f t="shared" si="6"/>
        <v/>
      </c>
      <c r="L1215" s="26" t="str">
        <f t="shared" si="7"/>
        <v/>
      </c>
      <c r="M1215" s="26" t="str">
        <f t="array" ref="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/>
      </c>
      <c r="N1215" s="26" t="str">
        <f t="shared" si="8"/>
        <v/>
      </c>
      <c r="O1215" s="26" t="str">
        <f t="shared" si="9"/>
        <v/>
      </c>
      <c r="P1215" s="26" t="str">
        <f t="shared" si="10"/>
        <v/>
      </c>
      <c r="Q1215" s="26" t="str">
        <f t="shared" si="11"/>
        <v/>
      </c>
      <c r="R1215" s="26" t="str">
        <f t="shared" si="12"/>
        <v/>
      </c>
      <c r="S1215" s="26" t="str">
        <f t="shared" si="13"/>
        <v/>
      </c>
      <c r="T1215" s="26" t="str">
        <f t="shared" si="14"/>
        <v/>
      </c>
      <c r="U1215" s="26" t="str">
        <f t="shared" si="15"/>
        <v/>
      </c>
      <c r="V1215" s="26" t="str">
        <f t="shared" si="16"/>
        <v/>
      </c>
      <c r="W1215" s="26" t="str">
        <f t="shared" si="17"/>
        <v/>
      </c>
      <c r="X1215" s="26" t="str">
        <f t="shared" si="18"/>
        <v/>
      </c>
      <c r="Y1215" s="26" t="str">
        <f t="shared" si="19"/>
        <v/>
      </c>
      <c r="Z1215" s="31" t="str">
        <f t="shared" si="20"/>
        <v/>
      </c>
      <c r="AA1215" s="31" t="str">
        <f>IF(D1215="","",IF(H1215&lt;=$B$16,1,IF(H1215&gt;=$B$17,$B$21,MATCH(H1215,Aux_CAV!$A$2:$A$121,1))))</f>
        <v/>
      </c>
      <c r="AB1215" s="31" t="str">
        <f>IF(D1215="","",IF(L1215&lt;=$B$16,1,IF(L1215&gt;=$B$17,$B$21,MATCH(L1215,Aux_CAV!$A$2:$A$121,1))))</f>
        <v/>
      </c>
      <c r="AC1215" s="3" t="str">
        <f t="shared" si="21"/>
        <v/>
      </c>
    </row>
    <row r="1216" ht="12.75" customHeight="1">
      <c r="A1216" s="25" t="str">
        <f t="shared" si="1"/>
        <v/>
      </c>
      <c r="B1216" s="29" t="str">
        <f t="array" ref="B1216">IF(D1216="","",IFERROR(VALUE(INDEX(Vazoes_COLAR!$A$2:$A$200,INT((ROW()-24)/12)+1)),""))</f>
        <v/>
      </c>
      <c r="C1216" s="29" t="str">
        <f t="shared" si="2"/>
        <v/>
      </c>
      <c r="D1216" s="26" t="str">
        <f t="array" ref="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16" s="26" t="str">
        <f t="shared" si="3"/>
        <v/>
      </c>
      <c r="F1216" s="26" t="str">
        <f t="array" ref="F1216">IF(D1216="","",IFERROR(INDEX(Dados_Evap!$C$2:$N$15,MATCH($B$9,Dados_Evap!$A$2:$A$15,0),C1216),0))</f>
        <v/>
      </c>
      <c r="G1216" s="26" t="str">
        <f t="shared" si="4"/>
        <v/>
      </c>
      <c r="H1216" s="26" t="str">
        <f t="shared" si="22"/>
        <v/>
      </c>
      <c r="I1216" s="26" t="str">
        <f t="array" ref="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/>
      </c>
      <c r="J1216" s="26" t="str">
        <f t="shared" si="5"/>
        <v/>
      </c>
      <c r="K1216" s="26" t="str">
        <f t="shared" si="6"/>
        <v/>
      </c>
      <c r="L1216" s="26" t="str">
        <f t="shared" si="7"/>
        <v/>
      </c>
      <c r="M1216" s="26" t="str">
        <f t="array" ref="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/>
      </c>
      <c r="N1216" s="26" t="str">
        <f t="shared" si="8"/>
        <v/>
      </c>
      <c r="O1216" s="26" t="str">
        <f t="shared" si="9"/>
        <v/>
      </c>
      <c r="P1216" s="26" t="str">
        <f t="shared" si="10"/>
        <v/>
      </c>
      <c r="Q1216" s="26" t="str">
        <f t="shared" si="11"/>
        <v/>
      </c>
      <c r="R1216" s="26" t="str">
        <f t="shared" si="12"/>
        <v/>
      </c>
      <c r="S1216" s="26" t="str">
        <f t="shared" si="13"/>
        <v/>
      </c>
      <c r="T1216" s="26" t="str">
        <f t="shared" si="14"/>
        <v/>
      </c>
      <c r="U1216" s="26" t="str">
        <f t="shared" si="15"/>
        <v/>
      </c>
      <c r="V1216" s="26" t="str">
        <f t="shared" si="16"/>
        <v/>
      </c>
      <c r="W1216" s="26" t="str">
        <f t="shared" si="17"/>
        <v/>
      </c>
      <c r="X1216" s="26" t="str">
        <f t="shared" si="18"/>
        <v/>
      </c>
      <c r="Y1216" s="26" t="str">
        <f t="shared" si="19"/>
        <v/>
      </c>
      <c r="Z1216" s="31" t="str">
        <f t="shared" si="20"/>
        <v/>
      </c>
      <c r="AA1216" s="31" t="str">
        <f>IF(D1216="","",IF(H1216&lt;=$B$16,1,IF(H1216&gt;=$B$17,$B$21,MATCH(H1216,Aux_CAV!$A$2:$A$121,1))))</f>
        <v/>
      </c>
      <c r="AB1216" s="31" t="str">
        <f>IF(D1216="","",IF(L1216&lt;=$B$16,1,IF(L1216&gt;=$B$17,$B$21,MATCH(L1216,Aux_CAV!$A$2:$A$121,1))))</f>
        <v/>
      </c>
      <c r="AC1216" s="3" t="str">
        <f t="shared" si="21"/>
        <v/>
      </c>
    </row>
    <row r="1217" ht="12.75" customHeight="1">
      <c r="A1217" s="25" t="str">
        <f t="shared" si="1"/>
        <v/>
      </c>
      <c r="B1217" s="29" t="str">
        <f t="array" ref="B1217">IF(D1217="","",IFERROR(VALUE(INDEX(Vazoes_COLAR!$A$2:$A$200,INT((ROW()-24)/12)+1)),""))</f>
        <v/>
      </c>
      <c r="C1217" s="29" t="str">
        <f t="shared" si="2"/>
        <v/>
      </c>
      <c r="D1217" s="26" t="str">
        <f t="array" ref="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17" s="26" t="str">
        <f t="shared" si="3"/>
        <v/>
      </c>
      <c r="F1217" s="26" t="str">
        <f t="array" ref="F1217">IF(D1217="","",IFERROR(INDEX(Dados_Evap!$C$2:$N$15,MATCH($B$9,Dados_Evap!$A$2:$A$15,0),C1217),0))</f>
        <v/>
      </c>
      <c r="G1217" s="26" t="str">
        <f t="shared" si="4"/>
        <v/>
      </c>
      <c r="H1217" s="26" t="str">
        <f t="shared" si="22"/>
        <v/>
      </c>
      <c r="I1217" s="26" t="str">
        <f t="array" ref="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/>
      </c>
      <c r="J1217" s="26" t="str">
        <f t="shared" si="5"/>
        <v/>
      </c>
      <c r="K1217" s="26" t="str">
        <f t="shared" si="6"/>
        <v/>
      </c>
      <c r="L1217" s="26" t="str">
        <f t="shared" si="7"/>
        <v/>
      </c>
      <c r="M1217" s="26" t="str">
        <f t="array" ref="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/>
      </c>
      <c r="N1217" s="26" t="str">
        <f t="shared" si="8"/>
        <v/>
      </c>
      <c r="O1217" s="26" t="str">
        <f t="shared" si="9"/>
        <v/>
      </c>
      <c r="P1217" s="26" t="str">
        <f t="shared" si="10"/>
        <v/>
      </c>
      <c r="Q1217" s="26" t="str">
        <f t="shared" si="11"/>
        <v/>
      </c>
      <c r="R1217" s="26" t="str">
        <f t="shared" si="12"/>
        <v/>
      </c>
      <c r="S1217" s="26" t="str">
        <f t="shared" si="13"/>
        <v/>
      </c>
      <c r="T1217" s="26" t="str">
        <f t="shared" si="14"/>
        <v/>
      </c>
      <c r="U1217" s="26" t="str">
        <f t="shared" si="15"/>
        <v/>
      </c>
      <c r="V1217" s="26" t="str">
        <f t="shared" si="16"/>
        <v/>
      </c>
      <c r="W1217" s="26" t="str">
        <f t="shared" si="17"/>
        <v/>
      </c>
      <c r="X1217" s="26" t="str">
        <f t="shared" si="18"/>
        <v/>
      </c>
      <c r="Y1217" s="26" t="str">
        <f t="shared" si="19"/>
        <v/>
      </c>
      <c r="Z1217" s="31" t="str">
        <f t="shared" si="20"/>
        <v/>
      </c>
      <c r="AA1217" s="31" t="str">
        <f>IF(D1217="","",IF(H1217&lt;=$B$16,1,IF(H1217&gt;=$B$17,$B$21,MATCH(H1217,Aux_CAV!$A$2:$A$121,1))))</f>
        <v/>
      </c>
      <c r="AB1217" s="31" t="str">
        <f>IF(D1217="","",IF(L1217&lt;=$B$16,1,IF(L1217&gt;=$B$17,$B$21,MATCH(L1217,Aux_CAV!$A$2:$A$121,1))))</f>
        <v/>
      </c>
      <c r="AC1217" s="3" t="str">
        <f t="shared" si="21"/>
        <v/>
      </c>
    </row>
    <row r="1218" ht="12.75" customHeight="1">
      <c r="A1218" s="25" t="str">
        <f t="shared" si="1"/>
        <v/>
      </c>
      <c r="B1218" s="29" t="str">
        <f t="array" ref="B1218">IF(D1218="","",IFERROR(VALUE(INDEX(Vazoes_COLAR!$A$2:$A$200,INT((ROW()-24)/12)+1)),""))</f>
        <v/>
      </c>
      <c r="C1218" s="29" t="str">
        <f t="shared" si="2"/>
        <v/>
      </c>
      <c r="D1218" s="26" t="str">
        <f t="array" ref="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18" s="26" t="str">
        <f t="shared" si="3"/>
        <v/>
      </c>
      <c r="F1218" s="26" t="str">
        <f t="array" ref="F1218">IF(D1218="","",IFERROR(INDEX(Dados_Evap!$C$2:$N$15,MATCH($B$9,Dados_Evap!$A$2:$A$15,0),C1218),0))</f>
        <v/>
      </c>
      <c r="G1218" s="26" t="str">
        <f t="shared" si="4"/>
        <v/>
      </c>
      <c r="H1218" s="26" t="str">
        <f t="shared" si="22"/>
        <v/>
      </c>
      <c r="I1218" s="26" t="str">
        <f t="array" ref="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/>
      </c>
      <c r="J1218" s="26" t="str">
        <f t="shared" si="5"/>
        <v/>
      </c>
      <c r="K1218" s="26" t="str">
        <f t="shared" si="6"/>
        <v/>
      </c>
      <c r="L1218" s="26" t="str">
        <f t="shared" si="7"/>
        <v/>
      </c>
      <c r="M1218" s="26" t="str">
        <f t="array" ref="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/>
      </c>
      <c r="N1218" s="26" t="str">
        <f t="shared" si="8"/>
        <v/>
      </c>
      <c r="O1218" s="26" t="str">
        <f t="shared" si="9"/>
        <v/>
      </c>
      <c r="P1218" s="26" t="str">
        <f t="shared" si="10"/>
        <v/>
      </c>
      <c r="Q1218" s="26" t="str">
        <f t="shared" si="11"/>
        <v/>
      </c>
      <c r="R1218" s="26" t="str">
        <f t="shared" si="12"/>
        <v/>
      </c>
      <c r="S1218" s="26" t="str">
        <f t="shared" si="13"/>
        <v/>
      </c>
      <c r="T1218" s="26" t="str">
        <f t="shared" si="14"/>
        <v/>
      </c>
      <c r="U1218" s="26" t="str">
        <f t="shared" si="15"/>
        <v/>
      </c>
      <c r="V1218" s="26" t="str">
        <f t="shared" si="16"/>
        <v/>
      </c>
      <c r="W1218" s="26" t="str">
        <f t="shared" si="17"/>
        <v/>
      </c>
      <c r="X1218" s="26" t="str">
        <f t="shared" si="18"/>
        <v/>
      </c>
      <c r="Y1218" s="26" t="str">
        <f t="shared" si="19"/>
        <v/>
      </c>
      <c r="Z1218" s="31" t="str">
        <f t="shared" si="20"/>
        <v/>
      </c>
      <c r="AA1218" s="31" t="str">
        <f>IF(D1218="","",IF(H1218&lt;=$B$16,1,IF(H1218&gt;=$B$17,$B$21,MATCH(H1218,Aux_CAV!$A$2:$A$121,1))))</f>
        <v/>
      </c>
      <c r="AB1218" s="31" t="str">
        <f>IF(D1218="","",IF(L1218&lt;=$B$16,1,IF(L1218&gt;=$B$17,$B$21,MATCH(L1218,Aux_CAV!$A$2:$A$121,1))))</f>
        <v/>
      </c>
      <c r="AC1218" s="3" t="str">
        <f t="shared" si="21"/>
        <v/>
      </c>
    </row>
    <row r="1219" ht="12.75" customHeight="1">
      <c r="A1219" s="25" t="str">
        <f t="shared" si="1"/>
        <v/>
      </c>
      <c r="B1219" s="29" t="str">
        <f t="array" ref="B1219">IF(D1219="","",IFERROR(VALUE(INDEX(Vazoes_COLAR!$A$2:$A$200,INT((ROW()-24)/12)+1)),""))</f>
        <v/>
      </c>
      <c r="C1219" s="29" t="str">
        <f t="shared" si="2"/>
        <v/>
      </c>
      <c r="D1219" s="26" t="str">
        <f t="array" ref="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19" s="26" t="str">
        <f t="shared" si="3"/>
        <v/>
      </c>
      <c r="F1219" s="26" t="str">
        <f t="array" ref="F1219">IF(D1219="","",IFERROR(INDEX(Dados_Evap!$C$2:$N$15,MATCH($B$9,Dados_Evap!$A$2:$A$15,0),C1219),0))</f>
        <v/>
      </c>
      <c r="G1219" s="26" t="str">
        <f t="shared" si="4"/>
        <v/>
      </c>
      <c r="H1219" s="26" t="str">
        <f t="shared" si="22"/>
        <v/>
      </c>
      <c r="I1219" s="26" t="str">
        <f t="array" ref="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/>
      </c>
      <c r="J1219" s="26" t="str">
        <f t="shared" si="5"/>
        <v/>
      </c>
      <c r="K1219" s="26" t="str">
        <f t="shared" si="6"/>
        <v/>
      </c>
      <c r="L1219" s="26" t="str">
        <f t="shared" si="7"/>
        <v/>
      </c>
      <c r="M1219" s="26" t="str">
        <f t="array" ref="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/>
      </c>
      <c r="N1219" s="26" t="str">
        <f t="shared" si="8"/>
        <v/>
      </c>
      <c r="O1219" s="26" t="str">
        <f t="shared" si="9"/>
        <v/>
      </c>
      <c r="P1219" s="26" t="str">
        <f t="shared" si="10"/>
        <v/>
      </c>
      <c r="Q1219" s="26" t="str">
        <f t="shared" si="11"/>
        <v/>
      </c>
      <c r="R1219" s="26" t="str">
        <f t="shared" si="12"/>
        <v/>
      </c>
      <c r="S1219" s="26" t="str">
        <f t="shared" si="13"/>
        <v/>
      </c>
      <c r="T1219" s="26" t="str">
        <f t="shared" si="14"/>
        <v/>
      </c>
      <c r="U1219" s="26" t="str">
        <f t="shared" si="15"/>
        <v/>
      </c>
      <c r="V1219" s="26" t="str">
        <f t="shared" si="16"/>
        <v/>
      </c>
      <c r="W1219" s="26" t="str">
        <f t="shared" si="17"/>
        <v/>
      </c>
      <c r="X1219" s="26" t="str">
        <f t="shared" si="18"/>
        <v/>
      </c>
      <c r="Y1219" s="26" t="str">
        <f t="shared" si="19"/>
        <v/>
      </c>
      <c r="Z1219" s="31" t="str">
        <f t="shared" si="20"/>
        <v/>
      </c>
      <c r="AA1219" s="31" t="str">
        <f>IF(D1219="","",IF(H1219&lt;=$B$16,1,IF(H1219&gt;=$B$17,$B$21,MATCH(H1219,Aux_CAV!$A$2:$A$121,1))))</f>
        <v/>
      </c>
      <c r="AB1219" s="31" t="str">
        <f>IF(D1219="","",IF(L1219&lt;=$B$16,1,IF(L1219&gt;=$B$17,$B$21,MATCH(L1219,Aux_CAV!$A$2:$A$121,1))))</f>
        <v/>
      </c>
      <c r="AC1219" s="3" t="str">
        <f t="shared" si="21"/>
        <v/>
      </c>
    </row>
    <row r="1220" ht="12.75" customHeight="1">
      <c r="A1220" s="25" t="str">
        <f t="shared" si="1"/>
        <v/>
      </c>
      <c r="B1220" s="29" t="str">
        <f t="array" ref="B1220">IF(D1220="","",IFERROR(VALUE(INDEX(Vazoes_COLAR!$A$2:$A$200,INT((ROW()-24)/12)+1)),""))</f>
        <v/>
      </c>
      <c r="C1220" s="29" t="str">
        <f t="shared" si="2"/>
        <v/>
      </c>
      <c r="D1220" s="26" t="str">
        <f t="array" ref="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20" s="26" t="str">
        <f t="shared" si="3"/>
        <v/>
      </c>
      <c r="F1220" s="26" t="str">
        <f t="array" ref="F1220">IF(D1220="","",IFERROR(INDEX(Dados_Evap!$C$2:$N$15,MATCH($B$9,Dados_Evap!$A$2:$A$15,0),C1220),0))</f>
        <v/>
      </c>
      <c r="G1220" s="26" t="str">
        <f t="shared" si="4"/>
        <v/>
      </c>
      <c r="H1220" s="26" t="str">
        <f t="shared" si="22"/>
        <v/>
      </c>
      <c r="I1220" s="26" t="str">
        <f t="array" ref="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/>
      </c>
      <c r="J1220" s="26" t="str">
        <f t="shared" si="5"/>
        <v/>
      </c>
      <c r="K1220" s="26" t="str">
        <f t="shared" si="6"/>
        <v/>
      </c>
      <c r="L1220" s="26" t="str">
        <f t="shared" si="7"/>
        <v/>
      </c>
      <c r="M1220" s="26" t="str">
        <f t="array" ref="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/>
      </c>
      <c r="N1220" s="26" t="str">
        <f t="shared" si="8"/>
        <v/>
      </c>
      <c r="O1220" s="26" t="str">
        <f t="shared" si="9"/>
        <v/>
      </c>
      <c r="P1220" s="26" t="str">
        <f t="shared" si="10"/>
        <v/>
      </c>
      <c r="Q1220" s="26" t="str">
        <f t="shared" si="11"/>
        <v/>
      </c>
      <c r="R1220" s="26" t="str">
        <f t="shared" si="12"/>
        <v/>
      </c>
      <c r="S1220" s="26" t="str">
        <f t="shared" si="13"/>
        <v/>
      </c>
      <c r="T1220" s="26" t="str">
        <f t="shared" si="14"/>
        <v/>
      </c>
      <c r="U1220" s="26" t="str">
        <f t="shared" si="15"/>
        <v/>
      </c>
      <c r="V1220" s="26" t="str">
        <f t="shared" si="16"/>
        <v/>
      </c>
      <c r="W1220" s="26" t="str">
        <f t="shared" si="17"/>
        <v/>
      </c>
      <c r="X1220" s="26" t="str">
        <f t="shared" si="18"/>
        <v/>
      </c>
      <c r="Y1220" s="26" t="str">
        <f t="shared" si="19"/>
        <v/>
      </c>
      <c r="Z1220" s="31" t="str">
        <f t="shared" si="20"/>
        <v/>
      </c>
      <c r="AA1220" s="31" t="str">
        <f>IF(D1220="","",IF(H1220&lt;=$B$16,1,IF(H1220&gt;=$B$17,$B$21,MATCH(H1220,Aux_CAV!$A$2:$A$121,1))))</f>
        <v/>
      </c>
      <c r="AB1220" s="31" t="str">
        <f>IF(D1220="","",IF(L1220&lt;=$B$16,1,IF(L1220&gt;=$B$17,$B$21,MATCH(L1220,Aux_CAV!$A$2:$A$121,1))))</f>
        <v/>
      </c>
      <c r="AC1220" s="3" t="str">
        <f t="shared" si="21"/>
        <v/>
      </c>
    </row>
    <row r="1221" ht="12.75" customHeight="1">
      <c r="A1221" s="25" t="str">
        <f t="shared" si="1"/>
        <v/>
      </c>
      <c r="B1221" s="29" t="str">
        <f t="array" ref="B1221">IF(D1221="","",IFERROR(VALUE(INDEX(Vazoes_COLAR!$A$2:$A$200,INT((ROW()-24)/12)+1)),""))</f>
        <v/>
      </c>
      <c r="C1221" s="29" t="str">
        <f t="shared" si="2"/>
        <v/>
      </c>
      <c r="D1221" s="26" t="str">
        <f t="array" ref="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21" s="26" t="str">
        <f t="shared" si="3"/>
        <v/>
      </c>
      <c r="F1221" s="26" t="str">
        <f t="array" ref="F1221">IF(D1221="","",IFERROR(INDEX(Dados_Evap!$C$2:$N$15,MATCH($B$9,Dados_Evap!$A$2:$A$15,0),C1221),0))</f>
        <v/>
      </c>
      <c r="G1221" s="26" t="str">
        <f t="shared" si="4"/>
        <v/>
      </c>
      <c r="H1221" s="26" t="str">
        <f t="shared" si="22"/>
        <v/>
      </c>
      <c r="I1221" s="26" t="str">
        <f t="array" ref="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/>
      </c>
      <c r="J1221" s="26" t="str">
        <f t="shared" si="5"/>
        <v/>
      </c>
      <c r="K1221" s="26" t="str">
        <f t="shared" si="6"/>
        <v/>
      </c>
      <c r="L1221" s="26" t="str">
        <f t="shared" si="7"/>
        <v/>
      </c>
      <c r="M1221" s="26" t="str">
        <f t="array" ref="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/>
      </c>
      <c r="N1221" s="26" t="str">
        <f t="shared" si="8"/>
        <v/>
      </c>
      <c r="O1221" s="26" t="str">
        <f t="shared" si="9"/>
        <v/>
      </c>
      <c r="P1221" s="26" t="str">
        <f t="shared" si="10"/>
        <v/>
      </c>
      <c r="Q1221" s="26" t="str">
        <f t="shared" si="11"/>
        <v/>
      </c>
      <c r="R1221" s="26" t="str">
        <f t="shared" si="12"/>
        <v/>
      </c>
      <c r="S1221" s="26" t="str">
        <f t="shared" si="13"/>
        <v/>
      </c>
      <c r="T1221" s="26" t="str">
        <f t="shared" si="14"/>
        <v/>
      </c>
      <c r="U1221" s="26" t="str">
        <f t="shared" si="15"/>
        <v/>
      </c>
      <c r="V1221" s="26" t="str">
        <f t="shared" si="16"/>
        <v/>
      </c>
      <c r="W1221" s="26" t="str">
        <f t="shared" si="17"/>
        <v/>
      </c>
      <c r="X1221" s="26" t="str">
        <f t="shared" si="18"/>
        <v/>
      </c>
      <c r="Y1221" s="26" t="str">
        <f t="shared" si="19"/>
        <v/>
      </c>
      <c r="Z1221" s="31" t="str">
        <f t="shared" si="20"/>
        <v/>
      </c>
      <c r="AA1221" s="31" t="str">
        <f>IF(D1221="","",IF(H1221&lt;=$B$16,1,IF(H1221&gt;=$B$17,$B$21,MATCH(H1221,Aux_CAV!$A$2:$A$121,1))))</f>
        <v/>
      </c>
      <c r="AB1221" s="31" t="str">
        <f>IF(D1221="","",IF(L1221&lt;=$B$16,1,IF(L1221&gt;=$B$17,$B$21,MATCH(L1221,Aux_CAV!$A$2:$A$121,1))))</f>
        <v/>
      </c>
      <c r="AC1221" s="3" t="str">
        <f t="shared" si="21"/>
        <v/>
      </c>
    </row>
    <row r="1222" ht="12.75" customHeight="1">
      <c r="A1222" s="25" t="str">
        <f t="shared" si="1"/>
        <v/>
      </c>
      <c r="B1222" s="29" t="str">
        <f t="array" ref="B1222">IF(D1222="","",IFERROR(VALUE(INDEX(Vazoes_COLAR!$A$2:$A$200,INT((ROW()-24)/12)+1)),""))</f>
        <v/>
      </c>
      <c r="C1222" s="29" t="str">
        <f t="shared" si="2"/>
        <v/>
      </c>
      <c r="D1222" s="26" t="str">
        <f t="array" ref="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22" s="26" t="str">
        <f t="shared" si="3"/>
        <v/>
      </c>
      <c r="F1222" s="26" t="str">
        <f t="array" ref="F1222">IF(D1222="","",IFERROR(INDEX(Dados_Evap!$C$2:$N$15,MATCH($B$9,Dados_Evap!$A$2:$A$15,0),C1222),0))</f>
        <v/>
      </c>
      <c r="G1222" s="26" t="str">
        <f t="shared" si="4"/>
        <v/>
      </c>
      <c r="H1222" s="26" t="str">
        <f t="shared" si="22"/>
        <v/>
      </c>
      <c r="I1222" s="26" t="str">
        <f t="array" ref="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/>
      </c>
      <c r="J1222" s="26" t="str">
        <f t="shared" si="5"/>
        <v/>
      </c>
      <c r="K1222" s="26" t="str">
        <f t="shared" si="6"/>
        <v/>
      </c>
      <c r="L1222" s="26" t="str">
        <f t="shared" si="7"/>
        <v/>
      </c>
      <c r="M1222" s="26" t="str">
        <f t="array" ref="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/>
      </c>
      <c r="N1222" s="26" t="str">
        <f t="shared" si="8"/>
        <v/>
      </c>
      <c r="O1222" s="26" t="str">
        <f t="shared" si="9"/>
        <v/>
      </c>
      <c r="P1222" s="26" t="str">
        <f t="shared" si="10"/>
        <v/>
      </c>
      <c r="Q1222" s="26" t="str">
        <f t="shared" si="11"/>
        <v/>
      </c>
      <c r="R1222" s="26" t="str">
        <f t="shared" si="12"/>
        <v/>
      </c>
      <c r="S1222" s="26" t="str">
        <f t="shared" si="13"/>
        <v/>
      </c>
      <c r="T1222" s="26" t="str">
        <f t="shared" si="14"/>
        <v/>
      </c>
      <c r="U1222" s="26" t="str">
        <f t="shared" si="15"/>
        <v/>
      </c>
      <c r="V1222" s="26" t="str">
        <f t="shared" si="16"/>
        <v/>
      </c>
      <c r="W1222" s="26" t="str">
        <f t="shared" si="17"/>
        <v/>
      </c>
      <c r="X1222" s="26" t="str">
        <f t="shared" si="18"/>
        <v/>
      </c>
      <c r="Y1222" s="26" t="str">
        <f t="shared" si="19"/>
        <v/>
      </c>
      <c r="Z1222" s="31" t="str">
        <f t="shared" si="20"/>
        <v/>
      </c>
      <c r="AA1222" s="31" t="str">
        <f>IF(D1222="","",IF(H1222&lt;=$B$16,1,IF(H1222&gt;=$B$17,$B$21,MATCH(H1222,Aux_CAV!$A$2:$A$121,1))))</f>
        <v/>
      </c>
      <c r="AB1222" s="31" t="str">
        <f>IF(D1222="","",IF(L1222&lt;=$B$16,1,IF(L1222&gt;=$B$17,$B$21,MATCH(L1222,Aux_CAV!$A$2:$A$121,1))))</f>
        <v/>
      </c>
      <c r="AC1222" s="3" t="str">
        <f t="shared" si="21"/>
        <v/>
      </c>
    </row>
    <row r="1223" ht="12.75" customHeight="1">
      <c r="A1223" s="25" t="str">
        <f t="shared" si="1"/>
        <v/>
      </c>
      <c r="B1223" s="29" t="str">
        <f t="array" ref="B1223">IF(D1223="","",IFERROR(VALUE(INDEX(Vazoes_COLAR!$A$2:$A$200,INT((ROW()-24)/12)+1)),""))</f>
        <v/>
      </c>
      <c r="C1223" s="29" t="str">
        <f t="shared" si="2"/>
        <v/>
      </c>
      <c r="D1223" s="26" t="str">
        <f t="array" ref="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23" s="26" t="str">
        <f t="shared" si="3"/>
        <v/>
      </c>
      <c r="F1223" s="26" t="str">
        <f t="array" ref="F1223">IF(D1223="","",IFERROR(INDEX(Dados_Evap!$C$2:$N$15,MATCH($B$9,Dados_Evap!$A$2:$A$15,0),C1223),0))</f>
        <v/>
      </c>
      <c r="G1223" s="26" t="str">
        <f t="shared" si="4"/>
        <v/>
      </c>
      <c r="H1223" s="26" t="str">
        <f t="shared" si="22"/>
        <v/>
      </c>
      <c r="I1223" s="26" t="str">
        <f t="array" ref="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/>
      </c>
      <c r="J1223" s="26" t="str">
        <f t="shared" si="5"/>
        <v/>
      </c>
      <c r="K1223" s="26" t="str">
        <f t="shared" si="6"/>
        <v/>
      </c>
      <c r="L1223" s="26" t="str">
        <f t="shared" si="7"/>
        <v/>
      </c>
      <c r="M1223" s="26" t="str">
        <f t="array" ref="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/>
      </c>
      <c r="N1223" s="26" t="str">
        <f t="shared" si="8"/>
        <v/>
      </c>
      <c r="O1223" s="26" t="str">
        <f t="shared" si="9"/>
        <v/>
      </c>
      <c r="P1223" s="26" t="str">
        <f t="shared" si="10"/>
        <v/>
      </c>
      <c r="Q1223" s="26" t="str">
        <f t="shared" si="11"/>
        <v/>
      </c>
      <c r="R1223" s="26" t="str">
        <f t="shared" si="12"/>
        <v/>
      </c>
      <c r="S1223" s="26" t="str">
        <f t="shared" si="13"/>
        <v/>
      </c>
      <c r="T1223" s="26" t="str">
        <f t="shared" si="14"/>
        <v/>
      </c>
      <c r="U1223" s="26" t="str">
        <f t="shared" si="15"/>
        <v/>
      </c>
      <c r="V1223" s="26" t="str">
        <f t="shared" si="16"/>
        <v/>
      </c>
      <c r="W1223" s="26" t="str">
        <f t="shared" si="17"/>
        <v/>
      </c>
      <c r="X1223" s="26" t="str">
        <f t="shared" si="18"/>
        <v/>
      </c>
      <c r="Y1223" s="26" t="str">
        <f t="shared" si="19"/>
        <v/>
      </c>
      <c r="Z1223" s="31" t="str">
        <f t="shared" si="20"/>
        <v/>
      </c>
      <c r="AA1223" s="31" t="str">
        <f>IF(D1223="","",IF(H1223&lt;=$B$16,1,IF(H1223&gt;=$B$17,$B$21,MATCH(H1223,Aux_CAV!$A$2:$A$121,1))))</f>
        <v/>
      </c>
      <c r="AB1223" s="31" t="str">
        <f>IF(D1223="","",IF(L1223&lt;=$B$16,1,IF(L1223&gt;=$B$17,$B$21,MATCH(L1223,Aux_CAV!$A$2:$A$121,1))))</f>
        <v/>
      </c>
      <c r="AC1223" s="3" t="str">
        <f t="shared" si="21"/>
        <v/>
      </c>
    </row>
    <row r="1224" ht="12.75" customHeight="1">
      <c r="A1224" s="25" t="str">
        <f t="shared" si="1"/>
        <v/>
      </c>
      <c r="B1224" s="29" t="str">
        <f t="array" ref="B1224">IF(D1224="","",IFERROR(VALUE(INDEX(Vazoes_COLAR!$A$2:$A$200,INT((ROW()-24)/12)+1)),""))</f>
        <v/>
      </c>
      <c r="C1224" s="29" t="str">
        <f t="shared" si="2"/>
        <v/>
      </c>
      <c r="D1224" s="26" t="str">
        <f t="array" ref="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24" s="26" t="str">
        <f t="shared" si="3"/>
        <v/>
      </c>
      <c r="F1224" s="26" t="str">
        <f t="array" ref="F1224">IF(D1224="","",IFERROR(INDEX(Dados_Evap!$C$2:$N$15,MATCH($B$9,Dados_Evap!$A$2:$A$15,0),C1224),0))</f>
        <v/>
      </c>
      <c r="G1224" s="26" t="str">
        <f t="shared" si="4"/>
        <v/>
      </c>
      <c r="H1224" s="26" t="str">
        <f t="shared" si="22"/>
        <v/>
      </c>
      <c r="I1224" s="26" t="str">
        <f t="array" ref="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/>
      </c>
      <c r="J1224" s="26" t="str">
        <f t="shared" si="5"/>
        <v/>
      </c>
      <c r="K1224" s="26" t="str">
        <f t="shared" si="6"/>
        <v/>
      </c>
      <c r="L1224" s="26" t="str">
        <f t="shared" si="7"/>
        <v/>
      </c>
      <c r="M1224" s="26" t="str">
        <f t="array" ref="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/>
      </c>
      <c r="N1224" s="26" t="str">
        <f t="shared" si="8"/>
        <v/>
      </c>
      <c r="O1224" s="26" t="str">
        <f t="shared" si="9"/>
        <v/>
      </c>
      <c r="P1224" s="26" t="str">
        <f t="shared" si="10"/>
        <v/>
      </c>
      <c r="Q1224" s="26" t="str">
        <f t="shared" si="11"/>
        <v/>
      </c>
      <c r="R1224" s="26" t="str">
        <f t="shared" si="12"/>
        <v/>
      </c>
      <c r="S1224" s="26" t="str">
        <f t="shared" si="13"/>
        <v/>
      </c>
      <c r="T1224" s="26" t="str">
        <f t="shared" si="14"/>
        <v/>
      </c>
      <c r="U1224" s="26" t="str">
        <f t="shared" si="15"/>
        <v/>
      </c>
      <c r="V1224" s="26" t="str">
        <f t="shared" si="16"/>
        <v/>
      </c>
      <c r="W1224" s="26" t="str">
        <f t="shared" si="17"/>
        <v/>
      </c>
      <c r="X1224" s="26" t="str">
        <f t="shared" si="18"/>
        <v/>
      </c>
      <c r="Y1224" s="26" t="str">
        <f t="shared" si="19"/>
        <v/>
      </c>
      <c r="Z1224" s="31" t="str">
        <f t="shared" si="20"/>
        <v/>
      </c>
      <c r="AA1224" s="31" t="str">
        <f>IF(D1224="","",IF(H1224&lt;=$B$16,1,IF(H1224&gt;=$B$17,$B$21,MATCH(H1224,Aux_CAV!$A$2:$A$121,1))))</f>
        <v/>
      </c>
      <c r="AB1224" s="31" t="str">
        <f>IF(D1224="","",IF(L1224&lt;=$B$16,1,IF(L1224&gt;=$B$17,$B$21,MATCH(L1224,Aux_CAV!$A$2:$A$121,1))))</f>
        <v/>
      </c>
      <c r="AC1224" s="3" t="str">
        <f t="shared" si="21"/>
        <v/>
      </c>
    </row>
    <row r="1225" ht="12.75" customHeight="1">
      <c r="A1225" s="25" t="str">
        <f t="shared" si="1"/>
        <v/>
      </c>
      <c r="B1225" s="29" t="str">
        <f t="array" ref="B1225">IF(D1225="","",IFERROR(VALUE(INDEX(Vazoes_COLAR!$A$2:$A$200,INT((ROW()-24)/12)+1)),""))</f>
        <v/>
      </c>
      <c r="C1225" s="29" t="str">
        <f t="shared" si="2"/>
        <v/>
      </c>
      <c r="D1225" s="26" t="str">
        <f t="array" ref="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25" s="26" t="str">
        <f t="shared" si="3"/>
        <v/>
      </c>
      <c r="F1225" s="26" t="str">
        <f t="array" ref="F1225">IF(D1225="","",IFERROR(INDEX(Dados_Evap!$C$2:$N$15,MATCH($B$9,Dados_Evap!$A$2:$A$15,0),C1225),0))</f>
        <v/>
      </c>
      <c r="G1225" s="26" t="str">
        <f t="shared" si="4"/>
        <v/>
      </c>
      <c r="H1225" s="26" t="str">
        <f t="shared" si="22"/>
        <v/>
      </c>
      <c r="I1225" s="26" t="str">
        <f t="array" ref="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/>
      </c>
      <c r="J1225" s="26" t="str">
        <f t="shared" si="5"/>
        <v/>
      </c>
      <c r="K1225" s="26" t="str">
        <f t="shared" si="6"/>
        <v/>
      </c>
      <c r="L1225" s="26" t="str">
        <f t="shared" si="7"/>
        <v/>
      </c>
      <c r="M1225" s="26" t="str">
        <f t="array" ref="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/>
      </c>
      <c r="N1225" s="26" t="str">
        <f t="shared" si="8"/>
        <v/>
      </c>
      <c r="O1225" s="26" t="str">
        <f t="shared" si="9"/>
        <v/>
      </c>
      <c r="P1225" s="26" t="str">
        <f t="shared" si="10"/>
        <v/>
      </c>
      <c r="Q1225" s="26" t="str">
        <f t="shared" si="11"/>
        <v/>
      </c>
      <c r="R1225" s="26" t="str">
        <f t="shared" si="12"/>
        <v/>
      </c>
      <c r="S1225" s="26" t="str">
        <f t="shared" si="13"/>
        <v/>
      </c>
      <c r="T1225" s="26" t="str">
        <f t="shared" si="14"/>
        <v/>
      </c>
      <c r="U1225" s="26" t="str">
        <f t="shared" si="15"/>
        <v/>
      </c>
      <c r="V1225" s="26" t="str">
        <f t="shared" si="16"/>
        <v/>
      </c>
      <c r="W1225" s="26" t="str">
        <f t="shared" si="17"/>
        <v/>
      </c>
      <c r="X1225" s="26" t="str">
        <f t="shared" si="18"/>
        <v/>
      </c>
      <c r="Y1225" s="26" t="str">
        <f t="shared" si="19"/>
        <v/>
      </c>
      <c r="Z1225" s="31" t="str">
        <f t="shared" si="20"/>
        <v/>
      </c>
      <c r="AA1225" s="31" t="str">
        <f>IF(D1225="","",IF(H1225&lt;=$B$16,1,IF(H1225&gt;=$B$17,$B$21,MATCH(H1225,Aux_CAV!$A$2:$A$121,1))))</f>
        <v/>
      </c>
      <c r="AB1225" s="31" t="str">
        <f>IF(D1225="","",IF(L1225&lt;=$B$16,1,IF(L1225&gt;=$B$17,$B$21,MATCH(L1225,Aux_CAV!$A$2:$A$121,1))))</f>
        <v/>
      </c>
      <c r="AC1225" s="3" t="str">
        <f t="shared" si="21"/>
        <v/>
      </c>
    </row>
    <row r="1226" ht="12.75" customHeight="1">
      <c r="A1226" s="25" t="str">
        <f t="shared" si="1"/>
        <v/>
      </c>
      <c r="B1226" s="29" t="str">
        <f t="array" ref="B1226">IF(D1226="","",IFERROR(VALUE(INDEX(Vazoes_COLAR!$A$2:$A$200,INT((ROW()-24)/12)+1)),""))</f>
        <v/>
      </c>
      <c r="C1226" s="29" t="str">
        <f t="shared" si="2"/>
        <v/>
      </c>
      <c r="D1226" s="26" t="str">
        <f t="array" ref="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26" s="26" t="str">
        <f t="shared" si="3"/>
        <v/>
      </c>
      <c r="F1226" s="26" t="str">
        <f t="array" ref="F1226">IF(D1226="","",IFERROR(INDEX(Dados_Evap!$C$2:$N$15,MATCH($B$9,Dados_Evap!$A$2:$A$15,0),C1226),0))</f>
        <v/>
      </c>
      <c r="G1226" s="26" t="str">
        <f t="shared" si="4"/>
        <v/>
      </c>
      <c r="H1226" s="26" t="str">
        <f t="shared" si="22"/>
        <v/>
      </c>
      <c r="I1226" s="26" t="str">
        <f t="array" ref="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/>
      </c>
      <c r="J1226" s="26" t="str">
        <f t="shared" si="5"/>
        <v/>
      </c>
      <c r="K1226" s="26" t="str">
        <f t="shared" si="6"/>
        <v/>
      </c>
      <c r="L1226" s="26" t="str">
        <f t="shared" si="7"/>
        <v/>
      </c>
      <c r="M1226" s="26" t="str">
        <f t="array" ref="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/>
      </c>
      <c r="N1226" s="26" t="str">
        <f t="shared" si="8"/>
        <v/>
      </c>
      <c r="O1226" s="26" t="str">
        <f t="shared" si="9"/>
        <v/>
      </c>
      <c r="P1226" s="26" t="str">
        <f t="shared" si="10"/>
        <v/>
      </c>
      <c r="Q1226" s="26" t="str">
        <f t="shared" si="11"/>
        <v/>
      </c>
      <c r="R1226" s="26" t="str">
        <f t="shared" si="12"/>
        <v/>
      </c>
      <c r="S1226" s="26" t="str">
        <f t="shared" si="13"/>
        <v/>
      </c>
      <c r="T1226" s="26" t="str">
        <f t="shared" si="14"/>
        <v/>
      </c>
      <c r="U1226" s="26" t="str">
        <f t="shared" si="15"/>
        <v/>
      </c>
      <c r="V1226" s="26" t="str">
        <f t="shared" si="16"/>
        <v/>
      </c>
      <c r="W1226" s="26" t="str">
        <f t="shared" si="17"/>
        <v/>
      </c>
      <c r="X1226" s="26" t="str">
        <f t="shared" si="18"/>
        <v/>
      </c>
      <c r="Y1226" s="26" t="str">
        <f t="shared" si="19"/>
        <v/>
      </c>
      <c r="Z1226" s="31" t="str">
        <f t="shared" si="20"/>
        <v/>
      </c>
      <c r="AA1226" s="31" t="str">
        <f>IF(D1226="","",IF(H1226&lt;=$B$16,1,IF(H1226&gt;=$B$17,$B$21,MATCH(H1226,Aux_CAV!$A$2:$A$121,1))))</f>
        <v/>
      </c>
      <c r="AB1226" s="31" t="str">
        <f>IF(D1226="","",IF(L1226&lt;=$B$16,1,IF(L1226&gt;=$B$17,$B$21,MATCH(L1226,Aux_CAV!$A$2:$A$121,1))))</f>
        <v/>
      </c>
      <c r="AC1226" s="3" t="str">
        <f t="shared" si="21"/>
        <v/>
      </c>
    </row>
    <row r="1227" ht="12.75" customHeight="1">
      <c r="A1227" s="25" t="str">
        <f t="shared" si="1"/>
        <v/>
      </c>
      <c r="B1227" s="29" t="str">
        <f t="array" ref="B1227">IF(D1227="","",IFERROR(VALUE(INDEX(Vazoes_COLAR!$A$2:$A$200,INT((ROW()-24)/12)+1)),""))</f>
        <v/>
      </c>
      <c r="C1227" s="29" t="str">
        <f t="shared" si="2"/>
        <v/>
      </c>
      <c r="D1227" s="26" t="str">
        <f t="array" ref="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27" s="26" t="str">
        <f t="shared" si="3"/>
        <v/>
      </c>
      <c r="F1227" s="26" t="str">
        <f t="array" ref="F1227">IF(D1227="","",IFERROR(INDEX(Dados_Evap!$C$2:$N$15,MATCH($B$9,Dados_Evap!$A$2:$A$15,0),C1227),0))</f>
        <v/>
      </c>
      <c r="G1227" s="26" t="str">
        <f t="shared" si="4"/>
        <v/>
      </c>
      <c r="H1227" s="26" t="str">
        <f t="shared" si="22"/>
        <v/>
      </c>
      <c r="I1227" s="26" t="str">
        <f t="array" ref="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/>
      </c>
      <c r="J1227" s="26" t="str">
        <f t="shared" si="5"/>
        <v/>
      </c>
      <c r="K1227" s="26" t="str">
        <f t="shared" si="6"/>
        <v/>
      </c>
      <c r="L1227" s="26" t="str">
        <f t="shared" si="7"/>
        <v/>
      </c>
      <c r="M1227" s="26" t="str">
        <f t="array" ref="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/>
      </c>
      <c r="N1227" s="26" t="str">
        <f t="shared" si="8"/>
        <v/>
      </c>
      <c r="O1227" s="26" t="str">
        <f t="shared" si="9"/>
        <v/>
      </c>
      <c r="P1227" s="26" t="str">
        <f t="shared" si="10"/>
        <v/>
      </c>
      <c r="Q1227" s="26" t="str">
        <f t="shared" si="11"/>
        <v/>
      </c>
      <c r="R1227" s="26" t="str">
        <f t="shared" si="12"/>
        <v/>
      </c>
      <c r="S1227" s="26" t="str">
        <f t="shared" si="13"/>
        <v/>
      </c>
      <c r="T1227" s="26" t="str">
        <f t="shared" si="14"/>
        <v/>
      </c>
      <c r="U1227" s="26" t="str">
        <f t="shared" si="15"/>
        <v/>
      </c>
      <c r="V1227" s="26" t="str">
        <f t="shared" si="16"/>
        <v/>
      </c>
      <c r="W1227" s="26" t="str">
        <f t="shared" si="17"/>
        <v/>
      </c>
      <c r="X1227" s="26" t="str">
        <f t="shared" si="18"/>
        <v/>
      </c>
      <c r="Y1227" s="26" t="str">
        <f t="shared" si="19"/>
        <v/>
      </c>
      <c r="Z1227" s="31" t="str">
        <f t="shared" si="20"/>
        <v/>
      </c>
      <c r="AA1227" s="31" t="str">
        <f>IF(D1227="","",IF(H1227&lt;=$B$16,1,IF(H1227&gt;=$B$17,$B$21,MATCH(H1227,Aux_CAV!$A$2:$A$121,1))))</f>
        <v/>
      </c>
      <c r="AB1227" s="31" t="str">
        <f>IF(D1227="","",IF(L1227&lt;=$B$16,1,IF(L1227&gt;=$B$17,$B$21,MATCH(L1227,Aux_CAV!$A$2:$A$121,1))))</f>
        <v/>
      </c>
      <c r="AC1227" s="3" t="str">
        <f t="shared" si="21"/>
        <v/>
      </c>
    </row>
    <row r="1228" ht="12.75" customHeight="1">
      <c r="A1228" s="25" t="str">
        <f t="shared" si="1"/>
        <v/>
      </c>
      <c r="B1228" s="29" t="str">
        <f t="array" ref="B1228">IF(D1228="","",IFERROR(VALUE(INDEX(Vazoes_COLAR!$A$2:$A$200,INT((ROW()-24)/12)+1)),""))</f>
        <v/>
      </c>
      <c r="C1228" s="29" t="str">
        <f t="shared" si="2"/>
        <v/>
      </c>
      <c r="D1228" s="26" t="str">
        <f t="array" ref="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28" s="26" t="str">
        <f t="shared" si="3"/>
        <v/>
      </c>
      <c r="F1228" s="26" t="str">
        <f t="array" ref="F1228">IF(D1228="","",IFERROR(INDEX(Dados_Evap!$C$2:$N$15,MATCH($B$9,Dados_Evap!$A$2:$A$15,0),C1228),0))</f>
        <v/>
      </c>
      <c r="G1228" s="26" t="str">
        <f t="shared" si="4"/>
        <v/>
      </c>
      <c r="H1228" s="26" t="str">
        <f t="shared" si="22"/>
        <v/>
      </c>
      <c r="I1228" s="26" t="str">
        <f t="array" ref="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/>
      </c>
      <c r="J1228" s="26" t="str">
        <f t="shared" si="5"/>
        <v/>
      </c>
      <c r="K1228" s="26" t="str">
        <f t="shared" si="6"/>
        <v/>
      </c>
      <c r="L1228" s="26" t="str">
        <f t="shared" si="7"/>
        <v/>
      </c>
      <c r="M1228" s="26" t="str">
        <f t="array" ref="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/>
      </c>
      <c r="N1228" s="26" t="str">
        <f t="shared" si="8"/>
        <v/>
      </c>
      <c r="O1228" s="26" t="str">
        <f t="shared" si="9"/>
        <v/>
      </c>
      <c r="P1228" s="26" t="str">
        <f t="shared" si="10"/>
        <v/>
      </c>
      <c r="Q1228" s="26" t="str">
        <f t="shared" si="11"/>
        <v/>
      </c>
      <c r="R1228" s="26" t="str">
        <f t="shared" si="12"/>
        <v/>
      </c>
      <c r="S1228" s="26" t="str">
        <f t="shared" si="13"/>
        <v/>
      </c>
      <c r="T1228" s="26" t="str">
        <f t="shared" si="14"/>
        <v/>
      </c>
      <c r="U1228" s="26" t="str">
        <f t="shared" si="15"/>
        <v/>
      </c>
      <c r="V1228" s="26" t="str">
        <f t="shared" si="16"/>
        <v/>
      </c>
      <c r="W1228" s="26" t="str">
        <f t="shared" si="17"/>
        <v/>
      </c>
      <c r="X1228" s="26" t="str">
        <f t="shared" si="18"/>
        <v/>
      </c>
      <c r="Y1228" s="26" t="str">
        <f t="shared" si="19"/>
        <v/>
      </c>
      <c r="Z1228" s="31" t="str">
        <f t="shared" si="20"/>
        <v/>
      </c>
      <c r="AA1228" s="31" t="str">
        <f>IF(D1228="","",IF(H1228&lt;=$B$16,1,IF(H1228&gt;=$B$17,$B$21,MATCH(H1228,Aux_CAV!$A$2:$A$121,1))))</f>
        <v/>
      </c>
      <c r="AB1228" s="31" t="str">
        <f>IF(D1228="","",IF(L1228&lt;=$B$16,1,IF(L1228&gt;=$B$17,$B$21,MATCH(L1228,Aux_CAV!$A$2:$A$121,1))))</f>
        <v/>
      </c>
      <c r="AC1228" s="3" t="str">
        <f t="shared" si="21"/>
        <v/>
      </c>
    </row>
    <row r="1229" ht="12.75" customHeight="1">
      <c r="A1229" s="25" t="str">
        <f t="shared" si="1"/>
        <v/>
      </c>
      <c r="B1229" s="29" t="str">
        <f t="array" ref="B1229">IF(D1229="","",IFERROR(VALUE(INDEX(Vazoes_COLAR!$A$2:$A$200,INT((ROW()-24)/12)+1)),""))</f>
        <v/>
      </c>
      <c r="C1229" s="29" t="str">
        <f t="shared" si="2"/>
        <v/>
      </c>
      <c r="D1229" s="26" t="str">
        <f t="array" ref="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29" s="26" t="str">
        <f t="shared" si="3"/>
        <v/>
      </c>
      <c r="F1229" s="26" t="str">
        <f t="array" ref="F1229">IF(D1229="","",IFERROR(INDEX(Dados_Evap!$C$2:$N$15,MATCH($B$9,Dados_Evap!$A$2:$A$15,0),C1229),0))</f>
        <v/>
      </c>
      <c r="G1229" s="26" t="str">
        <f t="shared" si="4"/>
        <v/>
      </c>
      <c r="H1229" s="26" t="str">
        <f t="shared" si="22"/>
        <v/>
      </c>
      <c r="I1229" s="26" t="str">
        <f t="array" ref="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/>
      </c>
      <c r="J1229" s="26" t="str">
        <f t="shared" si="5"/>
        <v/>
      </c>
      <c r="K1229" s="26" t="str">
        <f t="shared" si="6"/>
        <v/>
      </c>
      <c r="L1229" s="26" t="str">
        <f t="shared" si="7"/>
        <v/>
      </c>
      <c r="M1229" s="26" t="str">
        <f t="array" ref="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/>
      </c>
      <c r="N1229" s="26" t="str">
        <f t="shared" si="8"/>
        <v/>
      </c>
      <c r="O1229" s="26" t="str">
        <f t="shared" si="9"/>
        <v/>
      </c>
      <c r="P1229" s="26" t="str">
        <f t="shared" si="10"/>
        <v/>
      </c>
      <c r="Q1229" s="26" t="str">
        <f t="shared" si="11"/>
        <v/>
      </c>
      <c r="R1229" s="26" t="str">
        <f t="shared" si="12"/>
        <v/>
      </c>
      <c r="S1229" s="26" t="str">
        <f t="shared" si="13"/>
        <v/>
      </c>
      <c r="T1229" s="26" t="str">
        <f t="shared" si="14"/>
        <v/>
      </c>
      <c r="U1229" s="26" t="str">
        <f t="shared" si="15"/>
        <v/>
      </c>
      <c r="V1229" s="26" t="str">
        <f t="shared" si="16"/>
        <v/>
      </c>
      <c r="W1229" s="26" t="str">
        <f t="shared" si="17"/>
        <v/>
      </c>
      <c r="X1229" s="26" t="str">
        <f t="shared" si="18"/>
        <v/>
      </c>
      <c r="Y1229" s="26" t="str">
        <f t="shared" si="19"/>
        <v/>
      </c>
      <c r="Z1229" s="31" t="str">
        <f t="shared" si="20"/>
        <v/>
      </c>
      <c r="AA1229" s="31" t="str">
        <f>IF(D1229="","",IF(H1229&lt;=$B$16,1,IF(H1229&gt;=$B$17,$B$21,MATCH(H1229,Aux_CAV!$A$2:$A$121,1))))</f>
        <v/>
      </c>
      <c r="AB1229" s="31" t="str">
        <f>IF(D1229="","",IF(L1229&lt;=$B$16,1,IF(L1229&gt;=$B$17,$B$21,MATCH(L1229,Aux_CAV!$A$2:$A$121,1))))</f>
        <v/>
      </c>
      <c r="AC1229" s="3" t="str">
        <f t="shared" si="21"/>
        <v/>
      </c>
    </row>
    <row r="1230" ht="12.75" customHeight="1">
      <c r="A1230" s="25" t="str">
        <f t="shared" si="1"/>
        <v/>
      </c>
      <c r="B1230" s="29" t="str">
        <f t="array" ref="B1230">IF(D1230="","",IFERROR(VALUE(INDEX(Vazoes_COLAR!$A$2:$A$200,INT((ROW()-24)/12)+1)),""))</f>
        <v/>
      </c>
      <c r="C1230" s="29" t="str">
        <f t="shared" si="2"/>
        <v/>
      </c>
      <c r="D1230" s="26" t="str">
        <f t="array" ref="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30" s="26" t="str">
        <f t="shared" si="3"/>
        <v/>
      </c>
      <c r="F1230" s="26" t="str">
        <f t="array" ref="F1230">IF(D1230="","",IFERROR(INDEX(Dados_Evap!$C$2:$N$15,MATCH($B$9,Dados_Evap!$A$2:$A$15,0),C1230),0))</f>
        <v/>
      </c>
      <c r="G1230" s="26" t="str">
        <f t="shared" si="4"/>
        <v/>
      </c>
      <c r="H1230" s="26" t="str">
        <f t="shared" si="22"/>
        <v/>
      </c>
      <c r="I1230" s="26" t="str">
        <f t="array" ref="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/>
      </c>
      <c r="J1230" s="26" t="str">
        <f t="shared" si="5"/>
        <v/>
      </c>
      <c r="K1230" s="26" t="str">
        <f t="shared" si="6"/>
        <v/>
      </c>
      <c r="L1230" s="26" t="str">
        <f t="shared" si="7"/>
        <v/>
      </c>
      <c r="M1230" s="26" t="str">
        <f t="array" ref="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/>
      </c>
      <c r="N1230" s="26" t="str">
        <f t="shared" si="8"/>
        <v/>
      </c>
      <c r="O1230" s="26" t="str">
        <f t="shared" si="9"/>
        <v/>
      </c>
      <c r="P1230" s="26" t="str">
        <f t="shared" si="10"/>
        <v/>
      </c>
      <c r="Q1230" s="26" t="str">
        <f t="shared" si="11"/>
        <v/>
      </c>
      <c r="R1230" s="26" t="str">
        <f t="shared" si="12"/>
        <v/>
      </c>
      <c r="S1230" s="26" t="str">
        <f t="shared" si="13"/>
        <v/>
      </c>
      <c r="T1230" s="26" t="str">
        <f t="shared" si="14"/>
        <v/>
      </c>
      <c r="U1230" s="26" t="str">
        <f t="shared" si="15"/>
        <v/>
      </c>
      <c r="V1230" s="26" t="str">
        <f t="shared" si="16"/>
        <v/>
      </c>
      <c r="W1230" s="26" t="str">
        <f t="shared" si="17"/>
        <v/>
      </c>
      <c r="X1230" s="26" t="str">
        <f t="shared" si="18"/>
        <v/>
      </c>
      <c r="Y1230" s="26" t="str">
        <f t="shared" si="19"/>
        <v/>
      </c>
      <c r="Z1230" s="31" t="str">
        <f t="shared" si="20"/>
        <v/>
      </c>
      <c r="AA1230" s="31" t="str">
        <f>IF(D1230="","",IF(H1230&lt;=$B$16,1,IF(H1230&gt;=$B$17,$B$21,MATCH(H1230,Aux_CAV!$A$2:$A$121,1))))</f>
        <v/>
      </c>
      <c r="AB1230" s="31" t="str">
        <f>IF(D1230="","",IF(L1230&lt;=$B$16,1,IF(L1230&gt;=$B$17,$B$21,MATCH(L1230,Aux_CAV!$A$2:$A$121,1))))</f>
        <v/>
      </c>
      <c r="AC1230" s="3" t="str">
        <f t="shared" si="21"/>
        <v/>
      </c>
    </row>
    <row r="1231" ht="12.75" customHeight="1">
      <c r="A1231" s="25" t="str">
        <f t="shared" si="1"/>
        <v/>
      </c>
      <c r="B1231" s="29" t="str">
        <f t="array" ref="B1231">IF(D1231="","",IFERROR(VALUE(INDEX(Vazoes_COLAR!$A$2:$A$200,INT((ROW()-24)/12)+1)),""))</f>
        <v/>
      </c>
      <c r="C1231" s="29" t="str">
        <f t="shared" si="2"/>
        <v/>
      </c>
      <c r="D1231" s="26" t="str">
        <f t="array" ref="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31" s="26" t="str">
        <f t="shared" si="3"/>
        <v/>
      </c>
      <c r="F1231" s="26" t="str">
        <f t="array" ref="F1231">IF(D1231="","",IFERROR(INDEX(Dados_Evap!$C$2:$N$15,MATCH($B$9,Dados_Evap!$A$2:$A$15,0),C1231),0))</f>
        <v/>
      </c>
      <c r="G1231" s="26" t="str">
        <f t="shared" si="4"/>
        <v/>
      </c>
      <c r="H1231" s="26" t="str">
        <f t="shared" si="22"/>
        <v/>
      </c>
      <c r="I1231" s="26" t="str">
        <f t="array" ref="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/>
      </c>
      <c r="J1231" s="26" t="str">
        <f t="shared" si="5"/>
        <v/>
      </c>
      <c r="K1231" s="26" t="str">
        <f t="shared" si="6"/>
        <v/>
      </c>
      <c r="L1231" s="26" t="str">
        <f t="shared" si="7"/>
        <v/>
      </c>
      <c r="M1231" s="26" t="str">
        <f t="array" ref="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/>
      </c>
      <c r="N1231" s="26" t="str">
        <f t="shared" si="8"/>
        <v/>
      </c>
      <c r="O1231" s="26" t="str">
        <f t="shared" si="9"/>
        <v/>
      </c>
      <c r="P1231" s="26" t="str">
        <f t="shared" si="10"/>
        <v/>
      </c>
      <c r="Q1231" s="26" t="str">
        <f t="shared" si="11"/>
        <v/>
      </c>
      <c r="R1231" s="26" t="str">
        <f t="shared" si="12"/>
        <v/>
      </c>
      <c r="S1231" s="26" t="str">
        <f t="shared" si="13"/>
        <v/>
      </c>
      <c r="T1231" s="26" t="str">
        <f t="shared" si="14"/>
        <v/>
      </c>
      <c r="U1231" s="26" t="str">
        <f t="shared" si="15"/>
        <v/>
      </c>
      <c r="V1231" s="26" t="str">
        <f t="shared" si="16"/>
        <v/>
      </c>
      <c r="W1231" s="26" t="str">
        <f t="shared" si="17"/>
        <v/>
      </c>
      <c r="X1231" s="26" t="str">
        <f t="shared" si="18"/>
        <v/>
      </c>
      <c r="Y1231" s="26" t="str">
        <f t="shared" si="19"/>
        <v/>
      </c>
      <c r="Z1231" s="31" t="str">
        <f t="shared" si="20"/>
        <v/>
      </c>
      <c r="AA1231" s="31" t="str">
        <f>IF(D1231="","",IF(H1231&lt;=$B$16,1,IF(H1231&gt;=$B$17,$B$21,MATCH(H1231,Aux_CAV!$A$2:$A$121,1))))</f>
        <v/>
      </c>
      <c r="AB1231" s="31" t="str">
        <f>IF(D1231="","",IF(L1231&lt;=$B$16,1,IF(L1231&gt;=$B$17,$B$21,MATCH(L1231,Aux_CAV!$A$2:$A$121,1))))</f>
        <v/>
      </c>
      <c r="AC1231" s="3" t="str">
        <f t="shared" si="21"/>
        <v/>
      </c>
    </row>
    <row r="1232" ht="12.75" customHeight="1">
      <c r="A1232" s="25" t="str">
        <f t="shared" si="1"/>
        <v/>
      </c>
      <c r="B1232" s="29" t="str">
        <f t="array" ref="B1232">IF(D1232="","",IFERROR(VALUE(INDEX(Vazoes_COLAR!$A$2:$A$200,INT((ROW()-24)/12)+1)),""))</f>
        <v/>
      </c>
      <c r="C1232" s="29" t="str">
        <f t="shared" si="2"/>
        <v/>
      </c>
      <c r="D1232" s="26" t="str">
        <f t="array" ref="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32" s="26" t="str">
        <f t="shared" si="3"/>
        <v/>
      </c>
      <c r="F1232" s="26" t="str">
        <f t="array" ref="F1232">IF(D1232="","",IFERROR(INDEX(Dados_Evap!$C$2:$N$15,MATCH($B$9,Dados_Evap!$A$2:$A$15,0),C1232),0))</f>
        <v/>
      </c>
      <c r="G1232" s="26" t="str">
        <f t="shared" si="4"/>
        <v/>
      </c>
      <c r="H1232" s="26" t="str">
        <f t="shared" si="22"/>
        <v/>
      </c>
      <c r="I1232" s="26" t="str">
        <f t="array" ref="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/>
      </c>
      <c r="J1232" s="26" t="str">
        <f t="shared" si="5"/>
        <v/>
      </c>
      <c r="K1232" s="26" t="str">
        <f t="shared" si="6"/>
        <v/>
      </c>
      <c r="L1232" s="26" t="str">
        <f t="shared" si="7"/>
        <v/>
      </c>
      <c r="M1232" s="26" t="str">
        <f t="array" ref="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/>
      </c>
      <c r="N1232" s="26" t="str">
        <f t="shared" si="8"/>
        <v/>
      </c>
      <c r="O1232" s="26" t="str">
        <f t="shared" si="9"/>
        <v/>
      </c>
      <c r="P1232" s="26" t="str">
        <f t="shared" si="10"/>
        <v/>
      </c>
      <c r="Q1232" s="26" t="str">
        <f t="shared" si="11"/>
        <v/>
      </c>
      <c r="R1232" s="26" t="str">
        <f t="shared" si="12"/>
        <v/>
      </c>
      <c r="S1232" s="26" t="str">
        <f t="shared" si="13"/>
        <v/>
      </c>
      <c r="T1232" s="26" t="str">
        <f t="shared" si="14"/>
        <v/>
      </c>
      <c r="U1232" s="26" t="str">
        <f t="shared" si="15"/>
        <v/>
      </c>
      <c r="V1232" s="26" t="str">
        <f t="shared" si="16"/>
        <v/>
      </c>
      <c r="W1232" s="26" t="str">
        <f t="shared" si="17"/>
        <v/>
      </c>
      <c r="X1232" s="26" t="str">
        <f t="shared" si="18"/>
        <v/>
      </c>
      <c r="Y1232" s="26" t="str">
        <f t="shared" si="19"/>
        <v/>
      </c>
      <c r="Z1232" s="31" t="str">
        <f t="shared" si="20"/>
        <v/>
      </c>
      <c r="AA1232" s="31" t="str">
        <f>IF(D1232="","",IF(H1232&lt;=$B$16,1,IF(H1232&gt;=$B$17,$B$21,MATCH(H1232,Aux_CAV!$A$2:$A$121,1))))</f>
        <v/>
      </c>
      <c r="AB1232" s="31" t="str">
        <f>IF(D1232="","",IF(L1232&lt;=$B$16,1,IF(L1232&gt;=$B$17,$B$21,MATCH(L1232,Aux_CAV!$A$2:$A$121,1))))</f>
        <v/>
      </c>
      <c r="AC1232" s="3" t="str">
        <f t="shared" si="21"/>
        <v/>
      </c>
    </row>
    <row r="1233" ht="12.75" customHeight="1">
      <c r="A1233" s="25" t="str">
        <f t="shared" si="1"/>
        <v/>
      </c>
      <c r="B1233" s="29" t="str">
        <f t="array" ref="B1233">IF(D1233="","",IFERROR(VALUE(INDEX(Vazoes_COLAR!$A$2:$A$200,INT((ROW()-24)/12)+1)),""))</f>
        <v/>
      </c>
      <c r="C1233" s="29" t="str">
        <f t="shared" si="2"/>
        <v/>
      </c>
      <c r="D1233" s="26" t="str">
        <f t="array" ref="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33" s="26" t="str">
        <f t="shared" si="3"/>
        <v/>
      </c>
      <c r="F1233" s="26" t="str">
        <f t="array" ref="F1233">IF(D1233="","",IFERROR(INDEX(Dados_Evap!$C$2:$N$15,MATCH($B$9,Dados_Evap!$A$2:$A$15,0),C1233),0))</f>
        <v/>
      </c>
      <c r="G1233" s="26" t="str">
        <f t="shared" si="4"/>
        <v/>
      </c>
      <c r="H1233" s="26" t="str">
        <f t="shared" si="22"/>
        <v/>
      </c>
      <c r="I1233" s="26" t="str">
        <f t="array" ref="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/>
      </c>
      <c r="J1233" s="26" t="str">
        <f t="shared" si="5"/>
        <v/>
      </c>
      <c r="K1233" s="26" t="str">
        <f t="shared" si="6"/>
        <v/>
      </c>
      <c r="L1233" s="26" t="str">
        <f t="shared" si="7"/>
        <v/>
      </c>
      <c r="M1233" s="26" t="str">
        <f t="array" ref="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/>
      </c>
      <c r="N1233" s="26" t="str">
        <f t="shared" si="8"/>
        <v/>
      </c>
      <c r="O1233" s="26" t="str">
        <f t="shared" si="9"/>
        <v/>
      </c>
      <c r="P1233" s="26" t="str">
        <f t="shared" si="10"/>
        <v/>
      </c>
      <c r="Q1233" s="26" t="str">
        <f t="shared" si="11"/>
        <v/>
      </c>
      <c r="R1233" s="26" t="str">
        <f t="shared" si="12"/>
        <v/>
      </c>
      <c r="S1233" s="26" t="str">
        <f t="shared" si="13"/>
        <v/>
      </c>
      <c r="T1233" s="26" t="str">
        <f t="shared" si="14"/>
        <v/>
      </c>
      <c r="U1233" s="26" t="str">
        <f t="shared" si="15"/>
        <v/>
      </c>
      <c r="V1233" s="26" t="str">
        <f t="shared" si="16"/>
        <v/>
      </c>
      <c r="W1233" s="26" t="str">
        <f t="shared" si="17"/>
        <v/>
      </c>
      <c r="X1233" s="26" t="str">
        <f t="shared" si="18"/>
        <v/>
      </c>
      <c r="Y1233" s="26" t="str">
        <f t="shared" si="19"/>
        <v/>
      </c>
      <c r="Z1233" s="31" t="str">
        <f t="shared" si="20"/>
        <v/>
      </c>
      <c r="AA1233" s="31" t="str">
        <f>IF(D1233="","",IF(H1233&lt;=$B$16,1,IF(H1233&gt;=$B$17,$B$21,MATCH(H1233,Aux_CAV!$A$2:$A$121,1))))</f>
        <v/>
      </c>
      <c r="AB1233" s="31" t="str">
        <f>IF(D1233="","",IF(L1233&lt;=$B$16,1,IF(L1233&gt;=$B$17,$B$21,MATCH(L1233,Aux_CAV!$A$2:$A$121,1))))</f>
        <v/>
      </c>
      <c r="AC1233" s="3" t="str">
        <f t="shared" si="21"/>
        <v/>
      </c>
    </row>
    <row r="1234" ht="12.75" customHeight="1">
      <c r="A1234" s="25" t="str">
        <f t="shared" si="1"/>
        <v/>
      </c>
      <c r="B1234" s="29" t="str">
        <f t="array" ref="B1234">IF(D1234="","",IFERROR(VALUE(INDEX(Vazoes_COLAR!$A$2:$A$200,INT((ROW()-24)/12)+1)),""))</f>
        <v/>
      </c>
      <c r="C1234" s="29" t="str">
        <f t="shared" si="2"/>
        <v/>
      </c>
      <c r="D1234" s="26" t="str">
        <f t="array" ref="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34" s="26" t="str">
        <f t="shared" si="3"/>
        <v/>
      </c>
      <c r="F1234" s="26" t="str">
        <f t="array" ref="F1234">IF(D1234="","",IFERROR(INDEX(Dados_Evap!$C$2:$N$15,MATCH($B$9,Dados_Evap!$A$2:$A$15,0),C1234),0))</f>
        <v/>
      </c>
      <c r="G1234" s="26" t="str">
        <f t="shared" si="4"/>
        <v/>
      </c>
      <c r="H1234" s="26" t="str">
        <f t="shared" si="22"/>
        <v/>
      </c>
      <c r="I1234" s="26" t="str">
        <f t="array" ref="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/>
      </c>
      <c r="J1234" s="26" t="str">
        <f t="shared" si="5"/>
        <v/>
      </c>
      <c r="K1234" s="26" t="str">
        <f t="shared" si="6"/>
        <v/>
      </c>
      <c r="L1234" s="26" t="str">
        <f t="shared" si="7"/>
        <v/>
      </c>
      <c r="M1234" s="26" t="str">
        <f t="array" ref="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/>
      </c>
      <c r="N1234" s="26" t="str">
        <f t="shared" si="8"/>
        <v/>
      </c>
      <c r="O1234" s="26" t="str">
        <f t="shared" si="9"/>
        <v/>
      </c>
      <c r="P1234" s="26" t="str">
        <f t="shared" si="10"/>
        <v/>
      </c>
      <c r="Q1234" s="26" t="str">
        <f t="shared" si="11"/>
        <v/>
      </c>
      <c r="R1234" s="26" t="str">
        <f t="shared" si="12"/>
        <v/>
      </c>
      <c r="S1234" s="26" t="str">
        <f t="shared" si="13"/>
        <v/>
      </c>
      <c r="T1234" s="26" t="str">
        <f t="shared" si="14"/>
        <v/>
      </c>
      <c r="U1234" s="26" t="str">
        <f t="shared" si="15"/>
        <v/>
      </c>
      <c r="V1234" s="26" t="str">
        <f t="shared" si="16"/>
        <v/>
      </c>
      <c r="W1234" s="26" t="str">
        <f t="shared" si="17"/>
        <v/>
      </c>
      <c r="X1234" s="26" t="str">
        <f t="shared" si="18"/>
        <v/>
      </c>
      <c r="Y1234" s="26" t="str">
        <f t="shared" si="19"/>
        <v/>
      </c>
      <c r="Z1234" s="31" t="str">
        <f t="shared" si="20"/>
        <v/>
      </c>
      <c r="AA1234" s="31" t="str">
        <f>IF(D1234="","",IF(H1234&lt;=$B$16,1,IF(H1234&gt;=$B$17,$B$21,MATCH(H1234,Aux_CAV!$A$2:$A$121,1))))</f>
        <v/>
      </c>
      <c r="AB1234" s="31" t="str">
        <f>IF(D1234="","",IF(L1234&lt;=$B$16,1,IF(L1234&gt;=$B$17,$B$21,MATCH(L1234,Aux_CAV!$A$2:$A$121,1))))</f>
        <v/>
      </c>
      <c r="AC1234" s="3" t="str">
        <f t="shared" si="21"/>
        <v/>
      </c>
    </row>
    <row r="1235" ht="12.75" customHeight="1">
      <c r="A1235" s="25" t="str">
        <f t="shared" si="1"/>
        <v/>
      </c>
      <c r="B1235" s="29" t="str">
        <f t="array" ref="B1235">IF(D1235="","",IFERROR(VALUE(INDEX(Vazoes_COLAR!$A$2:$A$200,INT((ROW()-24)/12)+1)),""))</f>
        <v/>
      </c>
      <c r="C1235" s="29" t="str">
        <f t="shared" si="2"/>
        <v/>
      </c>
      <c r="D1235" s="26" t="str">
        <f t="array" ref="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35" s="26" t="str">
        <f t="shared" si="3"/>
        <v/>
      </c>
      <c r="F1235" s="26" t="str">
        <f t="array" ref="F1235">IF(D1235="","",IFERROR(INDEX(Dados_Evap!$C$2:$N$15,MATCH($B$9,Dados_Evap!$A$2:$A$15,0),C1235),0))</f>
        <v/>
      </c>
      <c r="G1235" s="26" t="str">
        <f t="shared" si="4"/>
        <v/>
      </c>
      <c r="H1235" s="26" t="str">
        <f t="shared" si="22"/>
        <v/>
      </c>
      <c r="I1235" s="26" t="str">
        <f t="array" ref="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/>
      </c>
      <c r="J1235" s="26" t="str">
        <f t="shared" si="5"/>
        <v/>
      </c>
      <c r="K1235" s="26" t="str">
        <f t="shared" si="6"/>
        <v/>
      </c>
      <c r="L1235" s="26" t="str">
        <f t="shared" si="7"/>
        <v/>
      </c>
      <c r="M1235" s="26" t="str">
        <f t="array" ref="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/>
      </c>
      <c r="N1235" s="26" t="str">
        <f t="shared" si="8"/>
        <v/>
      </c>
      <c r="O1235" s="26" t="str">
        <f t="shared" si="9"/>
        <v/>
      </c>
      <c r="P1235" s="26" t="str">
        <f t="shared" si="10"/>
        <v/>
      </c>
      <c r="Q1235" s="26" t="str">
        <f t="shared" si="11"/>
        <v/>
      </c>
      <c r="R1235" s="26" t="str">
        <f t="shared" si="12"/>
        <v/>
      </c>
      <c r="S1235" s="26" t="str">
        <f t="shared" si="13"/>
        <v/>
      </c>
      <c r="T1235" s="26" t="str">
        <f t="shared" si="14"/>
        <v/>
      </c>
      <c r="U1235" s="26" t="str">
        <f t="shared" si="15"/>
        <v/>
      </c>
      <c r="V1235" s="26" t="str">
        <f t="shared" si="16"/>
        <v/>
      </c>
      <c r="W1235" s="26" t="str">
        <f t="shared" si="17"/>
        <v/>
      </c>
      <c r="X1235" s="26" t="str">
        <f t="shared" si="18"/>
        <v/>
      </c>
      <c r="Y1235" s="26" t="str">
        <f t="shared" si="19"/>
        <v/>
      </c>
      <c r="Z1235" s="31" t="str">
        <f t="shared" si="20"/>
        <v/>
      </c>
      <c r="AA1235" s="31" t="str">
        <f>IF(D1235="","",IF(H1235&lt;=$B$16,1,IF(H1235&gt;=$B$17,$B$21,MATCH(H1235,Aux_CAV!$A$2:$A$121,1))))</f>
        <v/>
      </c>
      <c r="AB1235" s="31" t="str">
        <f>IF(D1235="","",IF(L1235&lt;=$B$16,1,IF(L1235&gt;=$B$17,$B$21,MATCH(L1235,Aux_CAV!$A$2:$A$121,1))))</f>
        <v/>
      </c>
      <c r="AC1235" s="3" t="str">
        <f t="shared" si="21"/>
        <v/>
      </c>
    </row>
    <row r="1236" ht="12.75" customHeight="1">
      <c r="A1236" s="25" t="str">
        <f t="shared" si="1"/>
        <v/>
      </c>
      <c r="B1236" s="29" t="str">
        <f t="array" ref="B1236">IF(D1236="","",IFERROR(VALUE(INDEX(Vazoes_COLAR!$A$2:$A$200,INT((ROW()-24)/12)+1)),""))</f>
        <v/>
      </c>
      <c r="C1236" s="29" t="str">
        <f t="shared" si="2"/>
        <v/>
      </c>
      <c r="D1236" s="26" t="str">
        <f t="array" ref="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36" s="26" t="str">
        <f t="shared" si="3"/>
        <v/>
      </c>
      <c r="F1236" s="26" t="str">
        <f t="array" ref="F1236">IF(D1236="","",IFERROR(INDEX(Dados_Evap!$C$2:$N$15,MATCH($B$9,Dados_Evap!$A$2:$A$15,0),C1236),0))</f>
        <v/>
      </c>
      <c r="G1236" s="26" t="str">
        <f t="shared" si="4"/>
        <v/>
      </c>
      <c r="H1236" s="26" t="str">
        <f t="shared" si="22"/>
        <v/>
      </c>
      <c r="I1236" s="26" t="str">
        <f t="array" ref="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/>
      </c>
      <c r="J1236" s="26" t="str">
        <f t="shared" si="5"/>
        <v/>
      </c>
      <c r="K1236" s="26" t="str">
        <f t="shared" si="6"/>
        <v/>
      </c>
      <c r="L1236" s="26" t="str">
        <f t="shared" si="7"/>
        <v/>
      </c>
      <c r="M1236" s="26" t="str">
        <f t="array" ref="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/>
      </c>
      <c r="N1236" s="26" t="str">
        <f t="shared" si="8"/>
        <v/>
      </c>
      <c r="O1236" s="26" t="str">
        <f t="shared" si="9"/>
        <v/>
      </c>
      <c r="P1236" s="26" t="str">
        <f t="shared" si="10"/>
        <v/>
      </c>
      <c r="Q1236" s="26" t="str">
        <f t="shared" si="11"/>
        <v/>
      </c>
      <c r="R1236" s="26" t="str">
        <f t="shared" si="12"/>
        <v/>
      </c>
      <c r="S1236" s="26" t="str">
        <f t="shared" si="13"/>
        <v/>
      </c>
      <c r="T1236" s="26" t="str">
        <f t="shared" si="14"/>
        <v/>
      </c>
      <c r="U1236" s="26" t="str">
        <f t="shared" si="15"/>
        <v/>
      </c>
      <c r="V1236" s="26" t="str">
        <f t="shared" si="16"/>
        <v/>
      </c>
      <c r="W1236" s="26" t="str">
        <f t="shared" si="17"/>
        <v/>
      </c>
      <c r="X1236" s="26" t="str">
        <f t="shared" si="18"/>
        <v/>
      </c>
      <c r="Y1236" s="26" t="str">
        <f t="shared" si="19"/>
        <v/>
      </c>
      <c r="Z1236" s="31" t="str">
        <f t="shared" si="20"/>
        <v/>
      </c>
      <c r="AA1236" s="31" t="str">
        <f>IF(D1236="","",IF(H1236&lt;=$B$16,1,IF(H1236&gt;=$B$17,$B$21,MATCH(H1236,Aux_CAV!$A$2:$A$121,1))))</f>
        <v/>
      </c>
      <c r="AB1236" s="31" t="str">
        <f>IF(D1236="","",IF(L1236&lt;=$B$16,1,IF(L1236&gt;=$B$17,$B$21,MATCH(L1236,Aux_CAV!$A$2:$A$121,1))))</f>
        <v/>
      </c>
      <c r="AC1236" s="3" t="str">
        <f t="shared" si="21"/>
        <v/>
      </c>
    </row>
    <row r="1237" ht="12.75" customHeight="1">
      <c r="A1237" s="25" t="str">
        <f t="shared" si="1"/>
        <v/>
      </c>
      <c r="B1237" s="29" t="str">
        <f t="array" ref="B1237">IF(D1237="","",IFERROR(VALUE(INDEX(Vazoes_COLAR!$A$2:$A$200,INT((ROW()-24)/12)+1)),""))</f>
        <v/>
      </c>
      <c r="C1237" s="29" t="str">
        <f t="shared" si="2"/>
        <v/>
      </c>
      <c r="D1237" s="26" t="str">
        <f t="array" ref="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37" s="26" t="str">
        <f t="shared" si="3"/>
        <v/>
      </c>
      <c r="F1237" s="26" t="str">
        <f t="array" ref="F1237">IF(D1237="","",IFERROR(INDEX(Dados_Evap!$C$2:$N$15,MATCH($B$9,Dados_Evap!$A$2:$A$15,0),C1237),0))</f>
        <v/>
      </c>
      <c r="G1237" s="26" t="str">
        <f t="shared" si="4"/>
        <v/>
      </c>
      <c r="H1237" s="26" t="str">
        <f t="shared" si="22"/>
        <v/>
      </c>
      <c r="I1237" s="26" t="str">
        <f t="array" ref="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/>
      </c>
      <c r="J1237" s="26" t="str">
        <f t="shared" si="5"/>
        <v/>
      </c>
      <c r="K1237" s="26" t="str">
        <f t="shared" si="6"/>
        <v/>
      </c>
      <c r="L1237" s="26" t="str">
        <f t="shared" si="7"/>
        <v/>
      </c>
      <c r="M1237" s="26" t="str">
        <f t="array" ref="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/>
      </c>
      <c r="N1237" s="26" t="str">
        <f t="shared" si="8"/>
        <v/>
      </c>
      <c r="O1237" s="26" t="str">
        <f t="shared" si="9"/>
        <v/>
      </c>
      <c r="P1237" s="26" t="str">
        <f t="shared" si="10"/>
        <v/>
      </c>
      <c r="Q1237" s="26" t="str">
        <f t="shared" si="11"/>
        <v/>
      </c>
      <c r="R1237" s="26" t="str">
        <f t="shared" si="12"/>
        <v/>
      </c>
      <c r="S1237" s="26" t="str">
        <f t="shared" si="13"/>
        <v/>
      </c>
      <c r="T1237" s="26" t="str">
        <f t="shared" si="14"/>
        <v/>
      </c>
      <c r="U1237" s="26" t="str">
        <f t="shared" si="15"/>
        <v/>
      </c>
      <c r="V1237" s="26" t="str">
        <f t="shared" si="16"/>
        <v/>
      </c>
      <c r="W1237" s="26" t="str">
        <f t="shared" si="17"/>
        <v/>
      </c>
      <c r="X1237" s="26" t="str">
        <f t="shared" si="18"/>
        <v/>
      </c>
      <c r="Y1237" s="26" t="str">
        <f t="shared" si="19"/>
        <v/>
      </c>
      <c r="Z1237" s="31" t="str">
        <f t="shared" si="20"/>
        <v/>
      </c>
      <c r="AA1237" s="31" t="str">
        <f>IF(D1237="","",IF(H1237&lt;=$B$16,1,IF(H1237&gt;=$B$17,$B$21,MATCH(H1237,Aux_CAV!$A$2:$A$121,1))))</f>
        <v/>
      </c>
      <c r="AB1237" s="31" t="str">
        <f>IF(D1237="","",IF(L1237&lt;=$B$16,1,IF(L1237&gt;=$B$17,$B$21,MATCH(L1237,Aux_CAV!$A$2:$A$121,1))))</f>
        <v/>
      </c>
      <c r="AC1237" s="3" t="str">
        <f t="shared" si="21"/>
        <v/>
      </c>
    </row>
    <row r="1238" ht="12.75" customHeight="1">
      <c r="A1238" s="25" t="str">
        <f t="shared" si="1"/>
        <v/>
      </c>
      <c r="B1238" s="29" t="str">
        <f t="array" ref="B1238">IF(D1238="","",IFERROR(VALUE(INDEX(Vazoes_COLAR!$A$2:$A$200,INT((ROW()-24)/12)+1)),""))</f>
        <v/>
      </c>
      <c r="C1238" s="29" t="str">
        <f t="shared" si="2"/>
        <v/>
      </c>
      <c r="D1238" s="26" t="str">
        <f t="array" ref="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38" s="26" t="str">
        <f t="shared" si="3"/>
        <v/>
      </c>
      <c r="F1238" s="26" t="str">
        <f t="array" ref="F1238">IF(D1238="","",IFERROR(INDEX(Dados_Evap!$C$2:$N$15,MATCH($B$9,Dados_Evap!$A$2:$A$15,0),C1238),0))</f>
        <v/>
      </c>
      <c r="G1238" s="26" t="str">
        <f t="shared" si="4"/>
        <v/>
      </c>
      <c r="H1238" s="26" t="str">
        <f t="shared" si="22"/>
        <v/>
      </c>
      <c r="I1238" s="26" t="str">
        <f t="array" ref="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/>
      </c>
      <c r="J1238" s="26" t="str">
        <f t="shared" si="5"/>
        <v/>
      </c>
      <c r="K1238" s="26" t="str">
        <f t="shared" si="6"/>
        <v/>
      </c>
      <c r="L1238" s="26" t="str">
        <f t="shared" si="7"/>
        <v/>
      </c>
      <c r="M1238" s="26" t="str">
        <f t="array" ref="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/>
      </c>
      <c r="N1238" s="26" t="str">
        <f t="shared" si="8"/>
        <v/>
      </c>
      <c r="O1238" s="26" t="str">
        <f t="shared" si="9"/>
        <v/>
      </c>
      <c r="P1238" s="26" t="str">
        <f t="shared" si="10"/>
        <v/>
      </c>
      <c r="Q1238" s="26" t="str">
        <f t="shared" si="11"/>
        <v/>
      </c>
      <c r="R1238" s="26" t="str">
        <f t="shared" si="12"/>
        <v/>
      </c>
      <c r="S1238" s="26" t="str">
        <f t="shared" si="13"/>
        <v/>
      </c>
      <c r="T1238" s="26" t="str">
        <f t="shared" si="14"/>
        <v/>
      </c>
      <c r="U1238" s="26" t="str">
        <f t="shared" si="15"/>
        <v/>
      </c>
      <c r="V1238" s="26" t="str">
        <f t="shared" si="16"/>
        <v/>
      </c>
      <c r="W1238" s="26" t="str">
        <f t="shared" si="17"/>
        <v/>
      </c>
      <c r="X1238" s="26" t="str">
        <f t="shared" si="18"/>
        <v/>
      </c>
      <c r="Y1238" s="26" t="str">
        <f t="shared" si="19"/>
        <v/>
      </c>
      <c r="Z1238" s="31" t="str">
        <f t="shared" si="20"/>
        <v/>
      </c>
      <c r="AA1238" s="31" t="str">
        <f>IF(D1238="","",IF(H1238&lt;=$B$16,1,IF(H1238&gt;=$B$17,$B$21,MATCH(H1238,Aux_CAV!$A$2:$A$121,1))))</f>
        <v/>
      </c>
      <c r="AB1238" s="31" t="str">
        <f>IF(D1238="","",IF(L1238&lt;=$B$16,1,IF(L1238&gt;=$B$17,$B$21,MATCH(L1238,Aux_CAV!$A$2:$A$121,1))))</f>
        <v/>
      </c>
      <c r="AC1238" s="3" t="str">
        <f t="shared" si="21"/>
        <v/>
      </c>
    </row>
    <row r="1239" ht="12.75" customHeight="1">
      <c r="A1239" s="25" t="str">
        <f t="shared" si="1"/>
        <v/>
      </c>
      <c r="B1239" s="29" t="str">
        <f t="array" ref="B1239">IF(D1239="","",IFERROR(VALUE(INDEX(Vazoes_COLAR!$A$2:$A$200,INT((ROW()-24)/12)+1)),""))</f>
        <v/>
      </c>
      <c r="C1239" s="29" t="str">
        <f t="shared" si="2"/>
        <v/>
      </c>
      <c r="D1239" s="26" t="str">
        <f t="array" ref="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39" s="26" t="str">
        <f t="shared" si="3"/>
        <v/>
      </c>
      <c r="F1239" s="26" t="str">
        <f t="array" ref="F1239">IF(D1239="","",IFERROR(INDEX(Dados_Evap!$C$2:$N$15,MATCH($B$9,Dados_Evap!$A$2:$A$15,0),C1239),0))</f>
        <v/>
      </c>
      <c r="G1239" s="26" t="str">
        <f t="shared" si="4"/>
        <v/>
      </c>
      <c r="H1239" s="26" t="str">
        <f t="shared" si="22"/>
        <v/>
      </c>
      <c r="I1239" s="26" t="str">
        <f t="array" ref="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/>
      </c>
      <c r="J1239" s="26" t="str">
        <f t="shared" si="5"/>
        <v/>
      </c>
      <c r="K1239" s="26" t="str">
        <f t="shared" si="6"/>
        <v/>
      </c>
      <c r="L1239" s="26" t="str">
        <f t="shared" si="7"/>
        <v/>
      </c>
      <c r="M1239" s="26" t="str">
        <f t="array" ref="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/>
      </c>
      <c r="N1239" s="26" t="str">
        <f t="shared" si="8"/>
        <v/>
      </c>
      <c r="O1239" s="26" t="str">
        <f t="shared" si="9"/>
        <v/>
      </c>
      <c r="P1239" s="26" t="str">
        <f t="shared" si="10"/>
        <v/>
      </c>
      <c r="Q1239" s="26" t="str">
        <f t="shared" si="11"/>
        <v/>
      </c>
      <c r="R1239" s="26" t="str">
        <f t="shared" si="12"/>
        <v/>
      </c>
      <c r="S1239" s="26" t="str">
        <f t="shared" si="13"/>
        <v/>
      </c>
      <c r="T1239" s="26" t="str">
        <f t="shared" si="14"/>
        <v/>
      </c>
      <c r="U1239" s="26" t="str">
        <f t="shared" si="15"/>
        <v/>
      </c>
      <c r="V1239" s="26" t="str">
        <f t="shared" si="16"/>
        <v/>
      </c>
      <c r="W1239" s="26" t="str">
        <f t="shared" si="17"/>
        <v/>
      </c>
      <c r="X1239" s="26" t="str">
        <f t="shared" si="18"/>
        <v/>
      </c>
      <c r="Y1239" s="26" t="str">
        <f t="shared" si="19"/>
        <v/>
      </c>
      <c r="Z1239" s="31" t="str">
        <f t="shared" si="20"/>
        <v/>
      </c>
      <c r="AA1239" s="31" t="str">
        <f>IF(D1239="","",IF(H1239&lt;=$B$16,1,IF(H1239&gt;=$B$17,$B$21,MATCH(H1239,Aux_CAV!$A$2:$A$121,1))))</f>
        <v/>
      </c>
      <c r="AB1239" s="31" t="str">
        <f>IF(D1239="","",IF(L1239&lt;=$B$16,1,IF(L1239&gt;=$B$17,$B$21,MATCH(L1239,Aux_CAV!$A$2:$A$121,1))))</f>
        <v/>
      </c>
      <c r="AC1239" s="3" t="str">
        <f t="shared" si="21"/>
        <v/>
      </c>
    </row>
    <row r="1240" ht="12.75" customHeight="1">
      <c r="A1240" s="25" t="str">
        <f t="shared" si="1"/>
        <v/>
      </c>
      <c r="B1240" s="29" t="str">
        <f t="array" ref="B1240">IF(D1240="","",IFERROR(VALUE(INDEX(Vazoes_COLAR!$A$2:$A$200,INT((ROW()-24)/12)+1)),""))</f>
        <v/>
      </c>
      <c r="C1240" s="29" t="str">
        <f t="shared" si="2"/>
        <v/>
      </c>
      <c r="D1240" s="26" t="str">
        <f t="array" ref="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40" s="26" t="str">
        <f t="shared" si="3"/>
        <v/>
      </c>
      <c r="F1240" s="26" t="str">
        <f t="array" ref="F1240">IF(D1240="","",IFERROR(INDEX(Dados_Evap!$C$2:$N$15,MATCH($B$9,Dados_Evap!$A$2:$A$15,0),C1240),0))</f>
        <v/>
      </c>
      <c r="G1240" s="26" t="str">
        <f t="shared" si="4"/>
        <v/>
      </c>
      <c r="H1240" s="26" t="str">
        <f t="shared" si="22"/>
        <v/>
      </c>
      <c r="I1240" s="26" t="str">
        <f t="array" ref="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/>
      </c>
      <c r="J1240" s="26" t="str">
        <f t="shared" si="5"/>
        <v/>
      </c>
      <c r="K1240" s="26" t="str">
        <f t="shared" si="6"/>
        <v/>
      </c>
      <c r="L1240" s="26" t="str">
        <f t="shared" si="7"/>
        <v/>
      </c>
      <c r="M1240" s="26" t="str">
        <f t="array" ref="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/>
      </c>
      <c r="N1240" s="26" t="str">
        <f t="shared" si="8"/>
        <v/>
      </c>
      <c r="O1240" s="26" t="str">
        <f t="shared" si="9"/>
        <v/>
      </c>
      <c r="P1240" s="26" t="str">
        <f t="shared" si="10"/>
        <v/>
      </c>
      <c r="Q1240" s="26" t="str">
        <f t="shared" si="11"/>
        <v/>
      </c>
      <c r="R1240" s="26" t="str">
        <f t="shared" si="12"/>
        <v/>
      </c>
      <c r="S1240" s="26" t="str">
        <f t="shared" si="13"/>
        <v/>
      </c>
      <c r="T1240" s="26" t="str">
        <f t="shared" si="14"/>
        <v/>
      </c>
      <c r="U1240" s="26" t="str">
        <f t="shared" si="15"/>
        <v/>
      </c>
      <c r="V1240" s="26" t="str">
        <f t="shared" si="16"/>
        <v/>
      </c>
      <c r="W1240" s="26" t="str">
        <f t="shared" si="17"/>
        <v/>
      </c>
      <c r="X1240" s="26" t="str">
        <f t="shared" si="18"/>
        <v/>
      </c>
      <c r="Y1240" s="26" t="str">
        <f t="shared" si="19"/>
        <v/>
      </c>
      <c r="Z1240" s="31" t="str">
        <f t="shared" si="20"/>
        <v/>
      </c>
      <c r="AA1240" s="31" t="str">
        <f>IF(D1240="","",IF(H1240&lt;=$B$16,1,IF(H1240&gt;=$B$17,$B$21,MATCH(H1240,Aux_CAV!$A$2:$A$121,1))))</f>
        <v/>
      </c>
      <c r="AB1240" s="31" t="str">
        <f>IF(D1240="","",IF(L1240&lt;=$B$16,1,IF(L1240&gt;=$B$17,$B$21,MATCH(L1240,Aux_CAV!$A$2:$A$121,1))))</f>
        <v/>
      </c>
      <c r="AC1240" s="3" t="str">
        <f t="shared" si="21"/>
        <v/>
      </c>
    </row>
    <row r="1241" ht="12.75" customHeight="1">
      <c r="A1241" s="25" t="str">
        <f t="shared" si="1"/>
        <v/>
      </c>
      <c r="B1241" s="29" t="str">
        <f t="array" ref="B1241">IF(D1241="","",IFERROR(VALUE(INDEX(Vazoes_COLAR!$A$2:$A$200,INT((ROW()-24)/12)+1)),""))</f>
        <v/>
      </c>
      <c r="C1241" s="29" t="str">
        <f t="shared" si="2"/>
        <v/>
      </c>
      <c r="D1241" s="26" t="str">
        <f t="array" ref="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41" s="26" t="str">
        <f t="shared" si="3"/>
        <v/>
      </c>
      <c r="F1241" s="26" t="str">
        <f t="array" ref="F1241">IF(D1241="","",IFERROR(INDEX(Dados_Evap!$C$2:$N$15,MATCH($B$9,Dados_Evap!$A$2:$A$15,0),C1241),0))</f>
        <v/>
      </c>
      <c r="G1241" s="26" t="str">
        <f t="shared" si="4"/>
        <v/>
      </c>
      <c r="H1241" s="26" t="str">
        <f t="shared" si="22"/>
        <v/>
      </c>
      <c r="I1241" s="26" t="str">
        <f t="array" ref="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/>
      </c>
      <c r="J1241" s="26" t="str">
        <f t="shared" si="5"/>
        <v/>
      </c>
      <c r="K1241" s="26" t="str">
        <f t="shared" si="6"/>
        <v/>
      </c>
      <c r="L1241" s="26" t="str">
        <f t="shared" si="7"/>
        <v/>
      </c>
      <c r="M1241" s="26" t="str">
        <f t="array" ref="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/>
      </c>
      <c r="N1241" s="26" t="str">
        <f t="shared" si="8"/>
        <v/>
      </c>
      <c r="O1241" s="26" t="str">
        <f t="shared" si="9"/>
        <v/>
      </c>
      <c r="P1241" s="26" t="str">
        <f t="shared" si="10"/>
        <v/>
      </c>
      <c r="Q1241" s="26" t="str">
        <f t="shared" si="11"/>
        <v/>
      </c>
      <c r="R1241" s="26" t="str">
        <f t="shared" si="12"/>
        <v/>
      </c>
      <c r="S1241" s="26" t="str">
        <f t="shared" si="13"/>
        <v/>
      </c>
      <c r="T1241" s="26" t="str">
        <f t="shared" si="14"/>
        <v/>
      </c>
      <c r="U1241" s="26" t="str">
        <f t="shared" si="15"/>
        <v/>
      </c>
      <c r="V1241" s="26" t="str">
        <f t="shared" si="16"/>
        <v/>
      </c>
      <c r="W1241" s="26" t="str">
        <f t="shared" si="17"/>
        <v/>
      </c>
      <c r="X1241" s="26" t="str">
        <f t="shared" si="18"/>
        <v/>
      </c>
      <c r="Y1241" s="26" t="str">
        <f t="shared" si="19"/>
        <v/>
      </c>
      <c r="Z1241" s="31" t="str">
        <f t="shared" si="20"/>
        <v/>
      </c>
      <c r="AA1241" s="31" t="str">
        <f>IF(D1241="","",IF(H1241&lt;=$B$16,1,IF(H1241&gt;=$B$17,$B$21,MATCH(H1241,Aux_CAV!$A$2:$A$121,1))))</f>
        <v/>
      </c>
      <c r="AB1241" s="31" t="str">
        <f>IF(D1241="","",IF(L1241&lt;=$B$16,1,IF(L1241&gt;=$B$17,$B$21,MATCH(L1241,Aux_CAV!$A$2:$A$121,1))))</f>
        <v/>
      </c>
      <c r="AC1241" s="3" t="str">
        <f t="shared" si="21"/>
        <v/>
      </c>
    </row>
    <row r="1242" ht="12.75" customHeight="1">
      <c r="A1242" s="25" t="str">
        <f t="shared" si="1"/>
        <v/>
      </c>
      <c r="B1242" s="29" t="str">
        <f t="array" ref="B1242">IF(D1242="","",IFERROR(VALUE(INDEX(Vazoes_COLAR!$A$2:$A$200,INT((ROW()-24)/12)+1)),""))</f>
        <v/>
      </c>
      <c r="C1242" s="29" t="str">
        <f t="shared" si="2"/>
        <v/>
      </c>
      <c r="D1242" s="26" t="str">
        <f t="array" ref="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42" s="26" t="str">
        <f t="shared" si="3"/>
        <v/>
      </c>
      <c r="F1242" s="26" t="str">
        <f t="array" ref="F1242">IF(D1242="","",IFERROR(INDEX(Dados_Evap!$C$2:$N$15,MATCH($B$9,Dados_Evap!$A$2:$A$15,0),C1242),0))</f>
        <v/>
      </c>
      <c r="G1242" s="26" t="str">
        <f t="shared" si="4"/>
        <v/>
      </c>
      <c r="H1242" s="26" t="str">
        <f t="shared" si="22"/>
        <v/>
      </c>
      <c r="I1242" s="26" t="str">
        <f t="array" ref="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/>
      </c>
      <c r="J1242" s="26" t="str">
        <f t="shared" si="5"/>
        <v/>
      </c>
      <c r="K1242" s="26" t="str">
        <f t="shared" si="6"/>
        <v/>
      </c>
      <c r="L1242" s="26" t="str">
        <f t="shared" si="7"/>
        <v/>
      </c>
      <c r="M1242" s="26" t="str">
        <f t="array" ref="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/>
      </c>
      <c r="N1242" s="26" t="str">
        <f t="shared" si="8"/>
        <v/>
      </c>
      <c r="O1242" s="26" t="str">
        <f t="shared" si="9"/>
        <v/>
      </c>
      <c r="P1242" s="26" t="str">
        <f t="shared" si="10"/>
        <v/>
      </c>
      <c r="Q1242" s="26" t="str">
        <f t="shared" si="11"/>
        <v/>
      </c>
      <c r="R1242" s="26" t="str">
        <f t="shared" si="12"/>
        <v/>
      </c>
      <c r="S1242" s="26" t="str">
        <f t="shared" si="13"/>
        <v/>
      </c>
      <c r="T1242" s="26" t="str">
        <f t="shared" si="14"/>
        <v/>
      </c>
      <c r="U1242" s="26" t="str">
        <f t="shared" si="15"/>
        <v/>
      </c>
      <c r="V1242" s="26" t="str">
        <f t="shared" si="16"/>
        <v/>
      </c>
      <c r="W1242" s="26" t="str">
        <f t="shared" si="17"/>
        <v/>
      </c>
      <c r="X1242" s="26" t="str">
        <f t="shared" si="18"/>
        <v/>
      </c>
      <c r="Y1242" s="26" t="str">
        <f t="shared" si="19"/>
        <v/>
      </c>
      <c r="Z1242" s="31" t="str">
        <f t="shared" si="20"/>
        <v/>
      </c>
      <c r="AA1242" s="31" t="str">
        <f>IF(D1242="","",IF(H1242&lt;=$B$16,1,IF(H1242&gt;=$B$17,$B$21,MATCH(H1242,Aux_CAV!$A$2:$A$121,1))))</f>
        <v/>
      </c>
      <c r="AB1242" s="31" t="str">
        <f>IF(D1242="","",IF(L1242&lt;=$B$16,1,IF(L1242&gt;=$B$17,$B$21,MATCH(L1242,Aux_CAV!$A$2:$A$121,1))))</f>
        <v/>
      </c>
      <c r="AC1242" s="3" t="str">
        <f t="shared" si="21"/>
        <v/>
      </c>
    </row>
    <row r="1243" ht="12.75" customHeight="1">
      <c r="A1243" s="25" t="str">
        <f t="shared" si="1"/>
        <v/>
      </c>
      <c r="B1243" s="29" t="str">
        <f t="array" ref="B1243">IF(D1243="","",IFERROR(VALUE(INDEX(Vazoes_COLAR!$A$2:$A$200,INT((ROW()-24)/12)+1)),""))</f>
        <v/>
      </c>
      <c r="C1243" s="29" t="str">
        <f t="shared" si="2"/>
        <v/>
      </c>
      <c r="D1243" s="26" t="str">
        <f t="array" ref="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43" s="26" t="str">
        <f t="shared" si="3"/>
        <v/>
      </c>
      <c r="F1243" s="26" t="str">
        <f t="array" ref="F1243">IF(D1243="","",IFERROR(INDEX(Dados_Evap!$C$2:$N$15,MATCH($B$9,Dados_Evap!$A$2:$A$15,0),C1243),0))</f>
        <v/>
      </c>
      <c r="G1243" s="26" t="str">
        <f t="shared" si="4"/>
        <v/>
      </c>
      <c r="H1243" s="26" t="str">
        <f t="shared" si="22"/>
        <v/>
      </c>
      <c r="I1243" s="26" t="str">
        <f t="array" ref="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/>
      </c>
      <c r="J1243" s="26" t="str">
        <f t="shared" si="5"/>
        <v/>
      </c>
      <c r="K1243" s="26" t="str">
        <f t="shared" si="6"/>
        <v/>
      </c>
      <c r="L1243" s="26" t="str">
        <f t="shared" si="7"/>
        <v/>
      </c>
      <c r="M1243" s="26" t="str">
        <f t="array" ref="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/>
      </c>
      <c r="N1243" s="26" t="str">
        <f t="shared" si="8"/>
        <v/>
      </c>
      <c r="O1243" s="26" t="str">
        <f t="shared" si="9"/>
        <v/>
      </c>
      <c r="P1243" s="26" t="str">
        <f t="shared" si="10"/>
        <v/>
      </c>
      <c r="Q1243" s="26" t="str">
        <f t="shared" si="11"/>
        <v/>
      </c>
      <c r="R1243" s="26" t="str">
        <f t="shared" si="12"/>
        <v/>
      </c>
      <c r="S1243" s="26" t="str">
        <f t="shared" si="13"/>
        <v/>
      </c>
      <c r="T1243" s="26" t="str">
        <f t="shared" si="14"/>
        <v/>
      </c>
      <c r="U1243" s="26" t="str">
        <f t="shared" si="15"/>
        <v/>
      </c>
      <c r="V1243" s="26" t="str">
        <f t="shared" si="16"/>
        <v/>
      </c>
      <c r="W1243" s="26" t="str">
        <f t="shared" si="17"/>
        <v/>
      </c>
      <c r="X1243" s="26" t="str">
        <f t="shared" si="18"/>
        <v/>
      </c>
      <c r="Y1243" s="26" t="str">
        <f t="shared" si="19"/>
        <v/>
      </c>
      <c r="Z1243" s="31" t="str">
        <f t="shared" si="20"/>
        <v/>
      </c>
      <c r="AA1243" s="31" t="str">
        <f>IF(D1243="","",IF(H1243&lt;=$B$16,1,IF(H1243&gt;=$B$17,$B$21,MATCH(H1243,Aux_CAV!$A$2:$A$121,1))))</f>
        <v/>
      </c>
      <c r="AB1243" s="31" t="str">
        <f>IF(D1243="","",IF(L1243&lt;=$B$16,1,IF(L1243&gt;=$B$17,$B$21,MATCH(L1243,Aux_CAV!$A$2:$A$121,1))))</f>
        <v/>
      </c>
      <c r="AC1243" s="3" t="str">
        <f t="shared" si="21"/>
        <v/>
      </c>
    </row>
    <row r="1244" ht="12.75" customHeight="1">
      <c r="A1244" s="25" t="str">
        <f t="shared" si="1"/>
        <v/>
      </c>
      <c r="B1244" s="29" t="str">
        <f t="array" ref="B1244">IF(D1244="","",IFERROR(VALUE(INDEX(Vazoes_COLAR!$A$2:$A$200,INT((ROW()-24)/12)+1)),""))</f>
        <v/>
      </c>
      <c r="C1244" s="29" t="str">
        <f t="shared" si="2"/>
        <v/>
      </c>
      <c r="D1244" s="26" t="str">
        <f t="array" ref="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44" s="26" t="str">
        <f t="shared" si="3"/>
        <v/>
      </c>
      <c r="F1244" s="26" t="str">
        <f t="array" ref="F1244">IF(D1244="","",IFERROR(INDEX(Dados_Evap!$C$2:$N$15,MATCH($B$9,Dados_Evap!$A$2:$A$15,0),C1244),0))</f>
        <v/>
      </c>
      <c r="G1244" s="26" t="str">
        <f t="shared" si="4"/>
        <v/>
      </c>
      <c r="H1244" s="26" t="str">
        <f t="shared" si="22"/>
        <v/>
      </c>
      <c r="I1244" s="26" t="str">
        <f t="array" ref="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/>
      </c>
      <c r="J1244" s="26" t="str">
        <f t="shared" si="5"/>
        <v/>
      </c>
      <c r="K1244" s="26" t="str">
        <f t="shared" si="6"/>
        <v/>
      </c>
      <c r="L1244" s="26" t="str">
        <f t="shared" si="7"/>
        <v/>
      </c>
      <c r="M1244" s="26" t="str">
        <f t="array" ref="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/>
      </c>
      <c r="N1244" s="26" t="str">
        <f t="shared" si="8"/>
        <v/>
      </c>
      <c r="O1244" s="26" t="str">
        <f t="shared" si="9"/>
        <v/>
      </c>
      <c r="P1244" s="26" t="str">
        <f t="shared" si="10"/>
        <v/>
      </c>
      <c r="Q1244" s="26" t="str">
        <f t="shared" si="11"/>
        <v/>
      </c>
      <c r="R1244" s="26" t="str">
        <f t="shared" si="12"/>
        <v/>
      </c>
      <c r="S1244" s="26" t="str">
        <f t="shared" si="13"/>
        <v/>
      </c>
      <c r="T1244" s="26" t="str">
        <f t="shared" si="14"/>
        <v/>
      </c>
      <c r="U1244" s="26" t="str">
        <f t="shared" si="15"/>
        <v/>
      </c>
      <c r="V1244" s="26" t="str">
        <f t="shared" si="16"/>
        <v/>
      </c>
      <c r="W1244" s="26" t="str">
        <f t="shared" si="17"/>
        <v/>
      </c>
      <c r="X1244" s="26" t="str">
        <f t="shared" si="18"/>
        <v/>
      </c>
      <c r="Y1244" s="26" t="str">
        <f t="shared" si="19"/>
        <v/>
      </c>
      <c r="Z1244" s="31" t="str">
        <f t="shared" si="20"/>
        <v/>
      </c>
      <c r="AA1244" s="31" t="str">
        <f>IF(D1244="","",IF(H1244&lt;=$B$16,1,IF(H1244&gt;=$B$17,$B$21,MATCH(H1244,Aux_CAV!$A$2:$A$121,1))))</f>
        <v/>
      </c>
      <c r="AB1244" s="31" t="str">
        <f>IF(D1244="","",IF(L1244&lt;=$B$16,1,IF(L1244&gt;=$B$17,$B$21,MATCH(L1244,Aux_CAV!$A$2:$A$121,1))))</f>
        <v/>
      </c>
      <c r="AC1244" s="3" t="str">
        <f t="shared" si="21"/>
        <v/>
      </c>
    </row>
    <row r="1245" ht="12.75" customHeight="1">
      <c r="A1245" s="25" t="str">
        <f t="shared" si="1"/>
        <v/>
      </c>
      <c r="B1245" s="29" t="str">
        <f t="array" ref="B1245">IF(D1245="","",IFERROR(VALUE(INDEX(Vazoes_COLAR!$A$2:$A$200,INT((ROW()-24)/12)+1)),""))</f>
        <v/>
      </c>
      <c r="C1245" s="29" t="str">
        <f t="shared" si="2"/>
        <v/>
      </c>
      <c r="D1245" s="26" t="str">
        <f t="array" ref="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45" s="26" t="str">
        <f t="shared" si="3"/>
        <v/>
      </c>
      <c r="F1245" s="26" t="str">
        <f t="array" ref="F1245">IF(D1245="","",IFERROR(INDEX(Dados_Evap!$C$2:$N$15,MATCH($B$9,Dados_Evap!$A$2:$A$15,0),C1245),0))</f>
        <v/>
      </c>
      <c r="G1245" s="26" t="str">
        <f t="shared" si="4"/>
        <v/>
      </c>
      <c r="H1245" s="26" t="str">
        <f t="shared" si="22"/>
        <v/>
      </c>
      <c r="I1245" s="26" t="str">
        <f t="array" ref="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/>
      </c>
      <c r="J1245" s="26" t="str">
        <f t="shared" si="5"/>
        <v/>
      </c>
      <c r="K1245" s="26" t="str">
        <f t="shared" si="6"/>
        <v/>
      </c>
      <c r="L1245" s="26" t="str">
        <f t="shared" si="7"/>
        <v/>
      </c>
      <c r="M1245" s="26" t="str">
        <f t="array" ref="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/>
      </c>
      <c r="N1245" s="26" t="str">
        <f t="shared" si="8"/>
        <v/>
      </c>
      <c r="O1245" s="26" t="str">
        <f t="shared" si="9"/>
        <v/>
      </c>
      <c r="P1245" s="26" t="str">
        <f t="shared" si="10"/>
        <v/>
      </c>
      <c r="Q1245" s="26" t="str">
        <f t="shared" si="11"/>
        <v/>
      </c>
      <c r="R1245" s="26" t="str">
        <f t="shared" si="12"/>
        <v/>
      </c>
      <c r="S1245" s="26" t="str">
        <f t="shared" si="13"/>
        <v/>
      </c>
      <c r="T1245" s="26" t="str">
        <f t="shared" si="14"/>
        <v/>
      </c>
      <c r="U1245" s="26" t="str">
        <f t="shared" si="15"/>
        <v/>
      </c>
      <c r="V1245" s="26" t="str">
        <f t="shared" si="16"/>
        <v/>
      </c>
      <c r="W1245" s="26" t="str">
        <f t="shared" si="17"/>
        <v/>
      </c>
      <c r="X1245" s="26" t="str">
        <f t="shared" si="18"/>
        <v/>
      </c>
      <c r="Y1245" s="26" t="str">
        <f t="shared" si="19"/>
        <v/>
      </c>
      <c r="Z1245" s="31" t="str">
        <f t="shared" si="20"/>
        <v/>
      </c>
      <c r="AA1245" s="31" t="str">
        <f>IF(D1245="","",IF(H1245&lt;=$B$16,1,IF(H1245&gt;=$B$17,$B$21,MATCH(H1245,Aux_CAV!$A$2:$A$121,1))))</f>
        <v/>
      </c>
      <c r="AB1245" s="31" t="str">
        <f>IF(D1245="","",IF(L1245&lt;=$B$16,1,IF(L1245&gt;=$B$17,$B$21,MATCH(L1245,Aux_CAV!$A$2:$A$121,1))))</f>
        <v/>
      </c>
      <c r="AC1245" s="3" t="str">
        <f t="shared" si="21"/>
        <v/>
      </c>
    </row>
    <row r="1246" ht="12.75" customHeight="1">
      <c r="A1246" s="25" t="str">
        <f t="shared" si="1"/>
        <v/>
      </c>
      <c r="B1246" s="29" t="str">
        <f t="array" ref="B1246">IF(D1246="","",IFERROR(VALUE(INDEX(Vazoes_COLAR!$A$2:$A$200,INT((ROW()-24)/12)+1)),""))</f>
        <v/>
      </c>
      <c r="C1246" s="29" t="str">
        <f t="shared" si="2"/>
        <v/>
      </c>
      <c r="D1246" s="26" t="str">
        <f t="array" ref="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46" s="26" t="str">
        <f t="shared" si="3"/>
        <v/>
      </c>
      <c r="F1246" s="26" t="str">
        <f t="array" ref="F1246">IF(D1246="","",IFERROR(INDEX(Dados_Evap!$C$2:$N$15,MATCH($B$9,Dados_Evap!$A$2:$A$15,0),C1246),0))</f>
        <v/>
      </c>
      <c r="G1246" s="26" t="str">
        <f t="shared" si="4"/>
        <v/>
      </c>
      <c r="H1246" s="26" t="str">
        <f t="shared" si="22"/>
        <v/>
      </c>
      <c r="I1246" s="26" t="str">
        <f t="array" ref="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/>
      </c>
      <c r="J1246" s="26" t="str">
        <f t="shared" si="5"/>
        <v/>
      </c>
      <c r="K1246" s="26" t="str">
        <f t="shared" si="6"/>
        <v/>
      </c>
      <c r="L1246" s="26" t="str">
        <f t="shared" si="7"/>
        <v/>
      </c>
      <c r="M1246" s="26" t="str">
        <f t="array" ref="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/>
      </c>
      <c r="N1246" s="26" t="str">
        <f t="shared" si="8"/>
        <v/>
      </c>
      <c r="O1246" s="26" t="str">
        <f t="shared" si="9"/>
        <v/>
      </c>
      <c r="P1246" s="26" t="str">
        <f t="shared" si="10"/>
        <v/>
      </c>
      <c r="Q1246" s="26" t="str">
        <f t="shared" si="11"/>
        <v/>
      </c>
      <c r="R1246" s="26" t="str">
        <f t="shared" si="12"/>
        <v/>
      </c>
      <c r="S1246" s="26" t="str">
        <f t="shared" si="13"/>
        <v/>
      </c>
      <c r="T1246" s="26" t="str">
        <f t="shared" si="14"/>
        <v/>
      </c>
      <c r="U1246" s="26" t="str">
        <f t="shared" si="15"/>
        <v/>
      </c>
      <c r="V1246" s="26" t="str">
        <f t="shared" si="16"/>
        <v/>
      </c>
      <c r="W1246" s="26" t="str">
        <f t="shared" si="17"/>
        <v/>
      </c>
      <c r="X1246" s="26" t="str">
        <f t="shared" si="18"/>
        <v/>
      </c>
      <c r="Y1246" s="26" t="str">
        <f t="shared" si="19"/>
        <v/>
      </c>
      <c r="Z1246" s="31" t="str">
        <f t="shared" si="20"/>
        <v/>
      </c>
      <c r="AA1246" s="31" t="str">
        <f>IF(D1246="","",IF(H1246&lt;=$B$16,1,IF(H1246&gt;=$B$17,$B$21,MATCH(H1246,Aux_CAV!$A$2:$A$121,1))))</f>
        <v/>
      </c>
      <c r="AB1246" s="31" t="str">
        <f>IF(D1246="","",IF(L1246&lt;=$B$16,1,IF(L1246&gt;=$B$17,$B$21,MATCH(L1246,Aux_CAV!$A$2:$A$121,1))))</f>
        <v/>
      </c>
      <c r="AC1246" s="3" t="str">
        <f t="shared" si="21"/>
        <v/>
      </c>
    </row>
    <row r="1247" ht="12.75" customHeight="1">
      <c r="A1247" s="25" t="str">
        <f t="shared" si="1"/>
        <v/>
      </c>
      <c r="B1247" s="29" t="str">
        <f t="array" ref="B1247">IF(D1247="","",IFERROR(VALUE(INDEX(Vazoes_COLAR!$A$2:$A$200,INT((ROW()-24)/12)+1)),""))</f>
        <v/>
      </c>
      <c r="C1247" s="29" t="str">
        <f t="shared" si="2"/>
        <v/>
      </c>
      <c r="D1247" s="26" t="str">
        <f t="array" ref="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47" s="26" t="str">
        <f t="shared" si="3"/>
        <v/>
      </c>
      <c r="F1247" s="26" t="str">
        <f t="array" ref="F1247">IF(D1247="","",IFERROR(INDEX(Dados_Evap!$C$2:$N$15,MATCH($B$9,Dados_Evap!$A$2:$A$15,0),C1247),0))</f>
        <v/>
      </c>
      <c r="G1247" s="26" t="str">
        <f t="shared" si="4"/>
        <v/>
      </c>
      <c r="H1247" s="26" t="str">
        <f t="shared" si="22"/>
        <v/>
      </c>
      <c r="I1247" s="26" t="str">
        <f t="array" ref="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/>
      </c>
      <c r="J1247" s="26" t="str">
        <f t="shared" si="5"/>
        <v/>
      </c>
      <c r="K1247" s="26" t="str">
        <f t="shared" si="6"/>
        <v/>
      </c>
      <c r="L1247" s="26" t="str">
        <f t="shared" si="7"/>
        <v/>
      </c>
      <c r="M1247" s="26" t="str">
        <f t="array" ref="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/>
      </c>
      <c r="N1247" s="26" t="str">
        <f t="shared" si="8"/>
        <v/>
      </c>
      <c r="O1247" s="26" t="str">
        <f t="shared" si="9"/>
        <v/>
      </c>
      <c r="P1247" s="26" t="str">
        <f t="shared" si="10"/>
        <v/>
      </c>
      <c r="Q1247" s="26" t="str">
        <f t="shared" si="11"/>
        <v/>
      </c>
      <c r="R1247" s="26" t="str">
        <f t="shared" si="12"/>
        <v/>
      </c>
      <c r="S1247" s="26" t="str">
        <f t="shared" si="13"/>
        <v/>
      </c>
      <c r="T1247" s="26" t="str">
        <f t="shared" si="14"/>
        <v/>
      </c>
      <c r="U1247" s="26" t="str">
        <f t="shared" si="15"/>
        <v/>
      </c>
      <c r="V1247" s="26" t="str">
        <f t="shared" si="16"/>
        <v/>
      </c>
      <c r="W1247" s="26" t="str">
        <f t="shared" si="17"/>
        <v/>
      </c>
      <c r="X1247" s="26" t="str">
        <f t="shared" si="18"/>
        <v/>
      </c>
      <c r="Y1247" s="26" t="str">
        <f t="shared" si="19"/>
        <v/>
      </c>
      <c r="Z1247" s="31" t="str">
        <f t="shared" si="20"/>
        <v/>
      </c>
      <c r="AA1247" s="31" t="str">
        <f>IF(D1247="","",IF(H1247&lt;=$B$16,1,IF(H1247&gt;=$B$17,$B$21,MATCH(H1247,Aux_CAV!$A$2:$A$121,1))))</f>
        <v/>
      </c>
      <c r="AB1247" s="31" t="str">
        <f>IF(D1247="","",IF(L1247&lt;=$B$16,1,IF(L1247&gt;=$B$17,$B$21,MATCH(L1247,Aux_CAV!$A$2:$A$121,1))))</f>
        <v/>
      </c>
      <c r="AC1247" s="3" t="str">
        <f t="shared" si="21"/>
        <v/>
      </c>
    </row>
    <row r="1248" ht="12.75" customHeight="1">
      <c r="A1248" s="25" t="str">
        <f t="shared" si="1"/>
        <v/>
      </c>
      <c r="B1248" s="29" t="str">
        <f t="array" ref="B1248">IF(D1248="","",IFERROR(VALUE(INDEX(Vazoes_COLAR!$A$2:$A$200,INT((ROW()-24)/12)+1)),""))</f>
        <v/>
      </c>
      <c r="C1248" s="29" t="str">
        <f t="shared" si="2"/>
        <v/>
      </c>
      <c r="D1248" s="26" t="str">
        <f t="array" ref="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48" s="26" t="str">
        <f t="shared" si="3"/>
        <v/>
      </c>
      <c r="F1248" s="26" t="str">
        <f t="array" ref="F1248">IF(D1248="","",IFERROR(INDEX(Dados_Evap!$C$2:$N$15,MATCH($B$9,Dados_Evap!$A$2:$A$15,0),C1248),0))</f>
        <v/>
      </c>
      <c r="G1248" s="26" t="str">
        <f t="shared" si="4"/>
        <v/>
      </c>
      <c r="H1248" s="26" t="str">
        <f t="shared" si="22"/>
        <v/>
      </c>
      <c r="I1248" s="26" t="str">
        <f t="array" ref="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/>
      </c>
      <c r="J1248" s="26" t="str">
        <f t="shared" si="5"/>
        <v/>
      </c>
      <c r="K1248" s="26" t="str">
        <f t="shared" si="6"/>
        <v/>
      </c>
      <c r="L1248" s="26" t="str">
        <f t="shared" si="7"/>
        <v/>
      </c>
      <c r="M1248" s="26" t="str">
        <f t="array" ref="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/>
      </c>
      <c r="N1248" s="26" t="str">
        <f t="shared" si="8"/>
        <v/>
      </c>
      <c r="O1248" s="26" t="str">
        <f t="shared" si="9"/>
        <v/>
      </c>
      <c r="P1248" s="26" t="str">
        <f t="shared" si="10"/>
        <v/>
      </c>
      <c r="Q1248" s="26" t="str">
        <f t="shared" si="11"/>
        <v/>
      </c>
      <c r="R1248" s="26" t="str">
        <f t="shared" si="12"/>
        <v/>
      </c>
      <c r="S1248" s="26" t="str">
        <f t="shared" si="13"/>
        <v/>
      </c>
      <c r="T1248" s="26" t="str">
        <f t="shared" si="14"/>
        <v/>
      </c>
      <c r="U1248" s="26" t="str">
        <f t="shared" si="15"/>
        <v/>
      </c>
      <c r="V1248" s="26" t="str">
        <f t="shared" si="16"/>
        <v/>
      </c>
      <c r="W1248" s="26" t="str">
        <f t="shared" si="17"/>
        <v/>
      </c>
      <c r="X1248" s="26" t="str">
        <f t="shared" si="18"/>
        <v/>
      </c>
      <c r="Y1248" s="26" t="str">
        <f t="shared" si="19"/>
        <v/>
      </c>
      <c r="Z1248" s="31" t="str">
        <f t="shared" si="20"/>
        <v/>
      </c>
      <c r="AA1248" s="31" t="str">
        <f>IF(D1248="","",IF(H1248&lt;=$B$16,1,IF(H1248&gt;=$B$17,$B$21,MATCH(H1248,Aux_CAV!$A$2:$A$121,1))))</f>
        <v/>
      </c>
      <c r="AB1248" s="31" t="str">
        <f>IF(D1248="","",IF(L1248&lt;=$B$16,1,IF(L1248&gt;=$B$17,$B$21,MATCH(L1248,Aux_CAV!$A$2:$A$121,1))))</f>
        <v/>
      </c>
      <c r="AC1248" s="3" t="str">
        <f t="shared" si="21"/>
        <v/>
      </c>
    </row>
    <row r="1249" ht="12.75" customHeight="1">
      <c r="A1249" s="25" t="str">
        <f t="shared" si="1"/>
        <v/>
      </c>
      <c r="B1249" s="29" t="str">
        <f t="array" ref="B1249">IF(D1249="","",IFERROR(VALUE(INDEX(Vazoes_COLAR!$A$2:$A$200,INT((ROW()-24)/12)+1)),""))</f>
        <v/>
      </c>
      <c r="C1249" s="29" t="str">
        <f t="shared" si="2"/>
        <v/>
      </c>
      <c r="D1249" s="26" t="str">
        <f t="array" ref="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49" s="26" t="str">
        <f t="shared" si="3"/>
        <v/>
      </c>
      <c r="F1249" s="26" t="str">
        <f t="array" ref="F1249">IF(D1249="","",IFERROR(INDEX(Dados_Evap!$C$2:$N$15,MATCH($B$9,Dados_Evap!$A$2:$A$15,0),C1249),0))</f>
        <v/>
      </c>
      <c r="G1249" s="26" t="str">
        <f t="shared" si="4"/>
        <v/>
      </c>
      <c r="H1249" s="26" t="str">
        <f t="shared" si="22"/>
        <v/>
      </c>
      <c r="I1249" s="26" t="str">
        <f t="array" ref="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/>
      </c>
      <c r="J1249" s="26" t="str">
        <f t="shared" si="5"/>
        <v/>
      </c>
      <c r="K1249" s="26" t="str">
        <f t="shared" si="6"/>
        <v/>
      </c>
      <c r="L1249" s="26" t="str">
        <f t="shared" si="7"/>
        <v/>
      </c>
      <c r="M1249" s="26" t="str">
        <f t="array" ref="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/>
      </c>
      <c r="N1249" s="26" t="str">
        <f t="shared" si="8"/>
        <v/>
      </c>
      <c r="O1249" s="26" t="str">
        <f t="shared" si="9"/>
        <v/>
      </c>
      <c r="P1249" s="26" t="str">
        <f t="shared" si="10"/>
        <v/>
      </c>
      <c r="Q1249" s="26" t="str">
        <f t="shared" si="11"/>
        <v/>
      </c>
      <c r="R1249" s="26" t="str">
        <f t="shared" si="12"/>
        <v/>
      </c>
      <c r="S1249" s="26" t="str">
        <f t="shared" si="13"/>
        <v/>
      </c>
      <c r="T1249" s="26" t="str">
        <f t="shared" si="14"/>
        <v/>
      </c>
      <c r="U1249" s="26" t="str">
        <f t="shared" si="15"/>
        <v/>
      </c>
      <c r="V1249" s="26" t="str">
        <f t="shared" si="16"/>
        <v/>
      </c>
      <c r="W1249" s="26" t="str">
        <f t="shared" si="17"/>
        <v/>
      </c>
      <c r="X1249" s="26" t="str">
        <f t="shared" si="18"/>
        <v/>
      </c>
      <c r="Y1249" s="26" t="str">
        <f t="shared" si="19"/>
        <v/>
      </c>
      <c r="Z1249" s="31" t="str">
        <f t="shared" si="20"/>
        <v/>
      </c>
      <c r="AA1249" s="31" t="str">
        <f>IF(D1249="","",IF(H1249&lt;=$B$16,1,IF(H1249&gt;=$B$17,$B$21,MATCH(H1249,Aux_CAV!$A$2:$A$121,1))))</f>
        <v/>
      </c>
      <c r="AB1249" s="31" t="str">
        <f>IF(D1249="","",IF(L1249&lt;=$B$16,1,IF(L1249&gt;=$B$17,$B$21,MATCH(L1249,Aux_CAV!$A$2:$A$121,1))))</f>
        <v/>
      </c>
      <c r="AC1249" s="3" t="str">
        <f t="shared" si="21"/>
        <v/>
      </c>
    </row>
    <row r="1250" ht="12.75" customHeight="1">
      <c r="A1250" s="25" t="str">
        <f t="shared" si="1"/>
        <v/>
      </c>
      <c r="B1250" s="29" t="str">
        <f t="array" ref="B1250">IF(D1250="","",IFERROR(VALUE(INDEX(Vazoes_COLAR!$A$2:$A$200,INT((ROW()-24)/12)+1)),""))</f>
        <v/>
      </c>
      <c r="C1250" s="29" t="str">
        <f t="shared" si="2"/>
        <v/>
      </c>
      <c r="D1250" s="26" t="str">
        <f t="array" ref="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50" s="26" t="str">
        <f t="shared" si="3"/>
        <v/>
      </c>
      <c r="F1250" s="26" t="str">
        <f t="array" ref="F1250">IF(D1250="","",IFERROR(INDEX(Dados_Evap!$C$2:$N$15,MATCH($B$9,Dados_Evap!$A$2:$A$15,0),C1250),0))</f>
        <v/>
      </c>
      <c r="G1250" s="26" t="str">
        <f t="shared" si="4"/>
        <v/>
      </c>
      <c r="H1250" s="26" t="str">
        <f t="shared" si="22"/>
        <v/>
      </c>
      <c r="I1250" s="26" t="str">
        <f t="array" ref="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/>
      </c>
      <c r="J1250" s="26" t="str">
        <f t="shared" si="5"/>
        <v/>
      </c>
      <c r="K1250" s="26" t="str">
        <f t="shared" si="6"/>
        <v/>
      </c>
      <c r="L1250" s="26" t="str">
        <f t="shared" si="7"/>
        <v/>
      </c>
      <c r="M1250" s="26" t="str">
        <f t="array" ref="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/>
      </c>
      <c r="N1250" s="26" t="str">
        <f t="shared" si="8"/>
        <v/>
      </c>
      <c r="O1250" s="26" t="str">
        <f t="shared" si="9"/>
        <v/>
      </c>
      <c r="P1250" s="26" t="str">
        <f t="shared" si="10"/>
        <v/>
      </c>
      <c r="Q1250" s="26" t="str">
        <f t="shared" si="11"/>
        <v/>
      </c>
      <c r="R1250" s="26" t="str">
        <f t="shared" si="12"/>
        <v/>
      </c>
      <c r="S1250" s="26" t="str">
        <f t="shared" si="13"/>
        <v/>
      </c>
      <c r="T1250" s="26" t="str">
        <f t="shared" si="14"/>
        <v/>
      </c>
      <c r="U1250" s="26" t="str">
        <f t="shared" si="15"/>
        <v/>
      </c>
      <c r="V1250" s="26" t="str">
        <f t="shared" si="16"/>
        <v/>
      </c>
      <c r="W1250" s="26" t="str">
        <f t="shared" si="17"/>
        <v/>
      </c>
      <c r="X1250" s="26" t="str">
        <f t="shared" si="18"/>
        <v/>
      </c>
      <c r="Y1250" s="26" t="str">
        <f t="shared" si="19"/>
        <v/>
      </c>
      <c r="Z1250" s="31" t="str">
        <f t="shared" si="20"/>
        <v/>
      </c>
      <c r="AA1250" s="31" t="str">
        <f>IF(D1250="","",IF(H1250&lt;=$B$16,1,IF(H1250&gt;=$B$17,$B$21,MATCH(H1250,Aux_CAV!$A$2:$A$121,1))))</f>
        <v/>
      </c>
      <c r="AB1250" s="31" t="str">
        <f>IF(D1250="","",IF(L1250&lt;=$B$16,1,IF(L1250&gt;=$B$17,$B$21,MATCH(L1250,Aux_CAV!$A$2:$A$121,1))))</f>
        <v/>
      </c>
      <c r="AC1250" s="3" t="str">
        <f t="shared" si="21"/>
        <v/>
      </c>
    </row>
    <row r="1251" ht="12.75" customHeight="1">
      <c r="A1251" s="25" t="str">
        <f t="shared" si="1"/>
        <v/>
      </c>
      <c r="B1251" s="29" t="str">
        <f t="array" ref="B1251">IF(D1251="","",IFERROR(VALUE(INDEX(Vazoes_COLAR!$A$2:$A$200,INT((ROW()-24)/12)+1)),""))</f>
        <v/>
      </c>
      <c r="C1251" s="29" t="str">
        <f t="shared" si="2"/>
        <v/>
      </c>
      <c r="D1251" s="26" t="str">
        <f t="array" ref="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51" s="26" t="str">
        <f t="shared" si="3"/>
        <v/>
      </c>
      <c r="F1251" s="26" t="str">
        <f t="array" ref="F1251">IF(D1251="","",IFERROR(INDEX(Dados_Evap!$C$2:$N$15,MATCH($B$9,Dados_Evap!$A$2:$A$15,0),C1251),0))</f>
        <v/>
      </c>
      <c r="G1251" s="26" t="str">
        <f t="shared" si="4"/>
        <v/>
      </c>
      <c r="H1251" s="26" t="str">
        <f t="shared" si="22"/>
        <v/>
      </c>
      <c r="I1251" s="26" t="str">
        <f t="array" ref="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/>
      </c>
      <c r="J1251" s="26" t="str">
        <f t="shared" si="5"/>
        <v/>
      </c>
      <c r="K1251" s="26" t="str">
        <f t="shared" si="6"/>
        <v/>
      </c>
      <c r="L1251" s="26" t="str">
        <f t="shared" si="7"/>
        <v/>
      </c>
      <c r="M1251" s="26" t="str">
        <f t="array" ref="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/>
      </c>
      <c r="N1251" s="26" t="str">
        <f t="shared" si="8"/>
        <v/>
      </c>
      <c r="O1251" s="26" t="str">
        <f t="shared" si="9"/>
        <v/>
      </c>
      <c r="P1251" s="26" t="str">
        <f t="shared" si="10"/>
        <v/>
      </c>
      <c r="Q1251" s="26" t="str">
        <f t="shared" si="11"/>
        <v/>
      </c>
      <c r="R1251" s="26" t="str">
        <f t="shared" si="12"/>
        <v/>
      </c>
      <c r="S1251" s="26" t="str">
        <f t="shared" si="13"/>
        <v/>
      </c>
      <c r="T1251" s="26" t="str">
        <f t="shared" si="14"/>
        <v/>
      </c>
      <c r="U1251" s="26" t="str">
        <f t="shared" si="15"/>
        <v/>
      </c>
      <c r="V1251" s="26" t="str">
        <f t="shared" si="16"/>
        <v/>
      </c>
      <c r="W1251" s="26" t="str">
        <f t="shared" si="17"/>
        <v/>
      </c>
      <c r="X1251" s="26" t="str">
        <f t="shared" si="18"/>
        <v/>
      </c>
      <c r="Y1251" s="26" t="str">
        <f t="shared" si="19"/>
        <v/>
      </c>
      <c r="Z1251" s="31" t="str">
        <f t="shared" si="20"/>
        <v/>
      </c>
      <c r="AA1251" s="31" t="str">
        <f>IF(D1251="","",IF(H1251&lt;=$B$16,1,IF(H1251&gt;=$B$17,$B$21,MATCH(H1251,Aux_CAV!$A$2:$A$121,1))))</f>
        <v/>
      </c>
      <c r="AB1251" s="31" t="str">
        <f>IF(D1251="","",IF(L1251&lt;=$B$16,1,IF(L1251&gt;=$B$17,$B$21,MATCH(L1251,Aux_CAV!$A$2:$A$121,1))))</f>
        <v/>
      </c>
      <c r="AC1251" s="3" t="str">
        <f t="shared" si="21"/>
        <v/>
      </c>
    </row>
    <row r="1252" ht="12.75" customHeight="1">
      <c r="A1252" s="25" t="str">
        <f t="shared" si="1"/>
        <v/>
      </c>
      <c r="B1252" s="29" t="str">
        <f t="array" ref="B1252">IF(D1252="","",IFERROR(VALUE(INDEX(Vazoes_COLAR!$A$2:$A$200,INT((ROW()-24)/12)+1)),""))</f>
        <v/>
      </c>
      <c r="C1252" s="29" t="str">
        <f t="shared" si="2"/>
        <v/>
      </c>
      <c r="D1252" s="26" t="str">
        <f t="array" ref="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52" s="26" t="str">
        <f t="shared" si="3"/>
        <v/>
      </c>
      <c r="F1252" s="26" t="str">
        <f t="array" ref="F1252">IF(D1252="","",IFERROR(INDEX(Dados_Evap!$C$2:$N$15,MATCH($B$9,Dados_Evap!$A$2:$A$15,0),C1252),0))</f>
        <v/>
      </c>
      <c r="G1252" s="26" t="str">
        <f t="shared" si="4"/>
        <v/>
      </c>
      <c r="H1252" s="26" t="str">
        <f t="shared" si="22"/>
        <v/>
      </c>
      <c r="I1252" s="26" t="str">
        <f t="array" ref="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/>
      </c>
      <c r="J1252" s="26" t="str">
        <f t="shared" si="5"/>
        <v/>
      </c>
      <c r="K1252" s="26" t="str">
        <f t="shared" si="6"/>
        <v/>
      </c>
      <c r="L1252" s="26" t="str">
        <f t="shared" si="7"/>
        <v/>
      </c>
      <c r="M1252" s="26" t="str">
        <f t="array" ref="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/>
      </c>
      <c r="N1252" s="26" t="str">
        <f t="shared" si="8"/>
        <v/>
      </c>
      <c r="O1252" s="26" t="str">
        <f t="shared" si="9"/>
        <v/>
      </c>
      <c r="P1252" s="26" t="str">
        <f t="shared" si="10"/>
        <v/>
      </c>
      <c r="Q1252" s="26" t="str">
        <f t="shared" si="11"/>
        <v/>
      </c>
      <c r="R1252" s="26" t="str">
        <f t="shared" si="12"/>
        <v/>
      </c>
      <c r="S1252" s="26" t="str">
        <f t="shared" si="13"/>
        <v/>
      </c>
      <c r="T1252" s="26" t="str">
        <f t="shared" si="14"/>
        <v/>
      </c>
      <c r="U1252" s="26" t="str">
        <f t="shared" si="15"/>
        <v/>
      </c>
      <c r="V1252" s="26" t="str">
        <f t="shared" si="16"/>
        <v/>
      </c>
      <c r="W1252" s="26" t="str">
        <f t="shared" si="17"/>
        <v/>
      </c>
      <c r="X1252" s="26" t="str">
        <f t="shared" si="18"/>
        <v/>
      </c>
      <c r="Y1252" s="26" t="str">
        <f t="shared" si="19"/>
        <v/>
      </c>
      <c r="Z1252" s="31" t="str">
        <f t="shared" si="20"/>
        <v/>
      </c>
      <c r="AA1252" s="31" t="str">
        <f>IF(D1252="","",IF(H1252&lt;=$B$16,1,IF(H1252&gt;=$B$17,$B$21,MATCH(H1252,Aux_CAV!$A$2:$A$121,1))))</f>
        <v/>
      </c>
      <c r="AB1252" s="31" t="str">
        <f>IF(D1252="","",IF(L1252&lt;=$B$16,1,IF(L1252&gt;=$B$17,$B$21,MATCH(L1252,Aux_CAV!$A$2:$A$121,1))))</f>
        <v/>
      </c>
      <c r="AC1252" s="3" t="str">
        <f t="shared" si="21"/>
        <v/>
      </c>
    </row>
    <row r="1253" ht="12.75" customHeight="1">
      <c r="A1253" s="25" t="str">
        <f t="shared" si="1"/>
        <v/>
      </c>
      <c r="B1253" s="29" t="str">
        <f t="array" ref="B1253">IF(D1253="","",IFERROR(VALUE(INDEX(Vazoes_COLAR!$A$2:$A$200,INT((ROW()-24)/12)+1)),""))</f>
        <v/>
      </c>
      <c r="C1253" s="29" t="str">
        <f t="shared" si="2"/>
        <v/>
      </c>
      <c r="D1253" s="26" t="str">
        <f t="array" ref="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53" s="26" t="str">
        <f t="shared" si="3"/>
        <v/>
      </c>
      <c r="F1253" s="26" t="str">
        <f t="array" ref="F1253">IF(D1253="","",IFERROR(INDEX(Dados_Evap!$C$2:$N$15,MATCH($B$9,Dados_Evap!$A$2:$A$15,0),C1253),0))</f>
        <v/>
      </c>
      <c r="G1253" s="26" t="str">
        <f t="shared" si="4"/>
        <v/>
      </c>
      <c r="H1253" s="26" t="str">
        <f t="shared" si="22"/>
        <v/>
      </c>
      <c r="I1253" s="26" t="str">
        <f t="array" ref="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/>
      </c>
      <c r="J1253" s="26" t="str">
        <f t="shared" si="5"/>
        <v/>
      </c>
      <c r="K1253" s="26" t="str">
        <f t="shared" si="6"/>
        <v/>
      </c>
      <c r="L1253" s="26" t="str">
        <f t="shared" si="7"/>
        <v/>
      </c>
      <c r="M1253" s="26" t="str">
        <f t="array" ref="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/>
      </c>
      <c r="N1253" s="26" t="str">
        <f t="shared" si="8"/>
        <v/>
      </c>
      <c r="O1253" s="26" t="str">
        <f t="shared" si="9"/>
        <v/>
      </c>
      <c r="P1253" s="26" t="str">
        <f t="shared" si="10"/>
        <v/>
      </c>
      <c r="Q1253" s="26" t="str">
        <f t="shared" si="11"/>
        <v/>
      </c>
      <c r="R1253" s="26" t="str">
        <f t="shared" si="12"/>
        <v/>
      </c>
      <c r="S1253" s="26" t="str">
        <f t="shared" si="13"/>
        <v/>
      </c>
      <c r="T1253" s="26" t="str">
        <f t="shared" si="14"/>
        <v/>
      </c>
      <c r="U1253" s="26" t="str">
        <f t="shared" si="15"/>
        <v/>
      </c>
      <c r="V1253" s="26" t="str">
        <f t="shared" si="16"/>
        <v/>
      </c>
      <c r="W1253" s="26" t="str">
        <f t="shared" si="17"/>
        <v/>
      </c>
      <c r="X1253" s="26" t="str">
        <f t="shared" si="18"/>
        <v/>
      </c>
      <c r="Y1253" s="26" t="str">
        <f t="shared" si="19"/>
        <v/>
      </c>
      <c r="Z1253" s="31" t="str">
        <f t="shared" si="20"/>
        <v/>
      </c>
      <c r="AA1253" s="31" t="str">
        <f>IF(D1253="","",IF(H1253&lt;=$B$16,1,IF(H1253&gt;=$B$17,$B$21,MATCH(H1253,Aux_CAV!$A$2:$A$121,1))))</f>
        <v/>
      </c>
      <c r="AB1253" s="31" t="str">
        <f>IF(D1253="","",IF(L1253&lt;=$B$16,1,IF(L1253&gt;=$B$17,$B$21,MATCH(L1253,Aux_CAV!$A$2:$A$121,1))))</f>
        <v/>
      </c>
      <c r="AC1253" s="3" t="str">
        <f t="shared" si="21"/>
        <v/>
      </c>
    </row>
    <row r="1254" ht="12.75" customHeight="1">
      <c r="A1254" s="25" t="str">
        <f t="shared" si="1"/>
        <v/>
      </c>
      <c r="B1254" s="29" t="str">
        <f t="array" ref="B1254">IF(D1254="","",IFERROR(VALUE(INDEX(Vazoes_COLAR!$A$2:$A$200,INT((ROW()-24)/12)+1)),""))</f>
        <v/>
      </c>
      <c r="C1254" s="29" t="str">
        <f t="shared" si="2"/>
        <v/>
      </c>
      <c r="D1254" s="26" t="str">
        <f t="array" ref="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54" s="26" t="str">
        <f t="shared" si="3"/>
        <v/>
      </c>
      <c r="F1254" s="26" t="str">
        <f t="array" ref="F1254">IF(D1254="","",IFERROR(INDEX(Dados_Evap!$C$2:$N$15,MATCH($B$9,Dados_Evap!$A$2:$A$15,0),C1254),0))</f>
        <v/>
      </c>
      <c r="G1254" s="26" t="str">
        <f t="shared" si="4"/>
        <v/>
      </c>
      <c r="H1254" s="26" t="str">
        <f t="shared" si="22"/>
        <v/>
      </c>
      <c r="I1254" s="26" t="str">
        <f t="array" ref="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/>
      </c>
      <c r="J1254" s="26" t="str">
        <f t="shared" si="5"/>
        <v/>
      </c>
      <c r="K1254" s="26" t="str">
        <f t="shared" si="6"/>
        <v/>
      </c>
      <c r="L1254" s="26" t="str">
        <f t="shared" si="7"/>
        <v/>
      </c>
      <c r="M1254" s="26" t="str">
        <f t="array" ref="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/>
      </c>
      <c r="N1254" s="26" t="str">
        <f t="shared" si="8"/>
        <v/>
      </c>
      <c r="O1254" s="26" t="str">
        <f t="shared" si="9"/>
        <v/>
      </c>
      <c r="P1254" s="26" t="str">
        <f t="shared" si="10"/>
        <v/>
      </c>
      <c r="Q1254" s="26" t="str">
        <f t="shared" si="11"/>
        <v/>
      </c>
      <c r="R1254" s="26" t="str">
        <f t="shared" si="12"/>
        <v/>
      </c>
      <c r="S1254" s="26" t="str">
        <f t="shared" si="13"/>
        <v/>
      </c>
      <c r="T1254" s="26" t="str">
        <f t="shared" si="14"/>
        <v/>
      </c>
      <c r="U1254" s="26" t="str">
        <f t="shared" si="15"/>
        <v/>
      </c>
      <c r="V1254" s="26" t="str">
        <f t="shared" si="16"/>
        <v/>
      </c>
      <c r="W1254" s="26" t="str">
        <f t="shared" si="17"/>
        <v/>
      </c>
      <c r="X1254" s="26" t="str">
        <f t="shared" si="18"/>
        <v/>
      </c>
      <c r="Y1254" s="26" t="str">
        <f t="shared" si="19"/>
        <v/>
      </c>
      <c r="Z1254" s="31" t="str">
        <f t="shared" si="20"/>
        <v/>
      </c>
      <c r="AA1254" s="31" t="str">
        <f>IF(D1254="","",IF(H1254&lt;=$B$16,1,IF(H1254&gt;=$B$17,$B$21,MATCH(H1254,Aux_CAV!$A$2:$A$121,1))))</f>
        <v/>
      </c>
      <c r="AB1254" s="31" t="str">
        <f>IF(D1254="","",IF(L1254&lt;=$B$16,1,IF(L1254&gt;=$B$17,$B$21,MATCH(L1254,Aux_CAV!$A$2:$A$121,1))))</f>
        <v/>
      </c>
      <c r="AC1254" s="3" t="str">
        <f t="shared" si="21"/>
        <v/>
      </c>
    </row>
    <row r="1255" ht="12.75" customHeight="1">
      <c r="A1255" s="25" t="str">
        <f t="shared" si="1"/>
        <v/>
      </c>
      <c r="B1255" s="29" t="str">
        <f t="array" ref="B1255">IF(D1255="","",IFERROR(VALUE(INDEX(Vazoes_COLAR!$A$2:$A$200,INT((ROW()-24)/12)+1)),""))</f>
        <v/>
      </c>
      <c r="C1255" s="29" t="str">
        <f t="shared" si="2"/>
        <v/>
      </c>
      <c r="D1255" s="26" t="str">
        <f t="array" ref="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55" s="26" t="str">
        <f t="shared" si="3"/>
        <v/>
      </c>
      <c r="F1255" s="26" t="str">
        <f t="array" ref="F1255">IF(D1255="","",IFERROR(INDEX(Dados_Evap!$C$2:$N$15,MATCH($B$9,Dados_Evap!$A$2:$A$15,0),C1255),0))</f>
        <v/>
      </c>
      <c r="G1255" s="26" t="str">
        <f t="shared" si="4"/>
        <v/>
      </c>
      <c r="H1255" s="26" t="str">
        <f t="shared" si="22"/>
        <v/>
      </c>
      <c r="I1255" s="26" t="str">
        <f t="array" ref="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/>
      </c>
      <c r="J1255" s="26" t="str">
        <f t="shared" si="5"/>
        <v/>
      </c>
      <c r="K1255" s="26" t="str">
        <f t="shared" si="6"/>
        <v/>
      </c>
      <c r="L1255" s="26" t="str">
        <f t="shared" si="7"/>
        <v/>
      </c>
      <c r="M1255" s="26" t="str">
        <f t="array" ref="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/>
      </c>
      <c r="N1255" s="26" t="str">
        <f t="shared" si="8"/>
        <v/>
      </c>
      <c r="O1255" s="26" t="str">
        <f t="shared" si="9"/>
        <v/>
      </c>
      <c r="P1255" s="26" t="str">
        <f t="shared" si="10"/>
        <v/>
      </c>
      <c r="Q1255" s="26" t="str">
        <f t="shared" si="11"/>
        <v/>
      </c>
      <c r="R1255" s="26" t="str">
        <f t="shared" si="12"/>
        <v/>
      </c>
      <c r="S1255" s="26" t="str">
        <f t="shared" si="13"/>
        <v/>
      </c>
      <c r="T1255" s="26" t="str">
        <f t="shared" si="14"/>
        <v/>
      </c>
      <c r="U1255" s="26" t="str">
        <f t="shared" si="15"/>
        <v/>
      </c>
      <c r="V1255" s="26" t="str">
        <f t="shared" si="16"/>
        <v/>
      </c>
      <c r="W1255" s="26" t="str">
        <f t="shared" si="17"/>
        <v/>
      </c>
      <c r="X1255" s="26" t="str">
        <f t="shared" si="18"/>
        <v/>
      </c>
      <c r="Y1255" s="26" t="str">
        <f t="shared" si="19"/>
        <v/>
      </c>
      <c r="Z1255" s="31" t="str">
        <f t="shared" si="20"/>
        <v/>
      </c>
      <c r="AA1255" s="31" t="str">
        <f>IF(D1255="","",IF(H1255&lt;=$B$16,1,IF(H1255&gt;=$B$17,$B$21,MATCH(H1255,Aux_CAV!$A$2:$A$121,1))))</f>
        <v/>
      </c>
      <c r="AB1255" s="31" t="str">
        <f>IF(D1255="","",IF(L1255&lt;=$B$16,1,IF(L1255&gt;=$B$17,$B$21,MATCH(L1255,Aux_CAV!$A$2:$A$121,1))))</f>
        <v/>
      </c>
      <c r="AC1255" s="3" t="str">
        <f t="shared" si="21"/>
        <v/>
      </c>
    </row>
    <row r="1256" ht="12.75" customHeight="1">
      <c r="A1256" s="25" t="str">
        <f t="shared" si="1"/>
        <v/>
      </c>
      <c r="B1256" s="29" t="str">
        <f t="array" ref="B1256">IF(D1256="","",IFERROR(VALUE(INDEX(Vazoes_COLAR!$A$2:$A$200,INT((ROW()-24)/12)+1)),""))</f>
        <v/>
      </c>
      <c r="C1256" s="29" t="str">
        <f t="shared" si="2"/>
        <v/>
      </c>
      <c r="D1256" s="26" t="str">
        <f t="array" ref="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56" s="26" t="str">
        <f t="shared" si="3"/>
        <v/>
      </c>
      <c r="F1256" s="26" t="str">
        <f t="array" ref="F1256">IF(D1256="","",IFERROR(INDEX(Dados_Evap!$C$2:$N$15,MATCH($B$9,Dados_Evap!$A$2:$A$15,0),C1256),0))</f>
        <v/>
      </c>
      <c r="G1256" s="26" t="str">
        <f t="shared" si="4"/>
        <v/>
      </c>
      <c r="H1256" s="26" t="str">
        <f t="shared" si="22"/>
        <v/>
      </c>
      <c r="I1256" s="26" t="str">
        <f t="array" ref="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/>
      </c>
      <c r="J1256" s="26" t="str">
        <f t="shared" si="5"/>
        <v/>
      </c>
      <c r="K1256" s="26" t="str">
        <f t="shared" si="6"/>
        <v/>
      </c>
      <c r="L1256" s="26" t="str">
        <f t="shared" si="7"/>
        <v/>
      </c>
      <c r="M1256" s="26" t="str">
        <f t="array" ref="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/>
      </c>
      <c r="N1256" s="26" t="str">
        <f t="shared" si="8"/>
        <v/>
      </c>
      <c r="O1256" s="26" t="str">
        <f t="shared" si="9"/>
        <v/>
      </c>
      <c r="P1256" s="26" t="str">
        <f t="shared" si="10"/>
        <v/>
      </c>
      <c r="Q1256" s="26" t="str">
        <f t="shared" si="11"/>
        <v/>
      </c>
      <c r="R1256" s="26" t="str">
        <f t="shared" si="12"/>
        <v/>
      </c>
      <c r="S1256" s="26" t="str">
        <f t="shared" si="13"/>
        <v/>
      </c>
      <c r="T1256" s="26" t="str">
        <f t="shared" si="14"/>
        <v/>
      </c>
      <c r="U1256" s="26" t="str">
        <f t="shared" si="15"/>
        <v/>
      </c>
      <c r="V1256" s="26" t="str">
        <f t="shared" si="16"/>
        <v/>
      </c>
      <c r="W1256" s="26" t="str">
        <f t="shared" si="17"/>
        <v/>
      </c>
      <c r="X1256" s="26" t="str">
        <f t="shared" si="18"/>
        <v/>
      </c>
      <c r="Y1256" s="26" t="str">
        <f t="shared" si="19"/>
        <v/>
      </c>
      <c r="Z1256" s="31" t="str">
        <f t="shared" si="20"/>
        <v/>
      </c>
      <c r="AA1256" s="31" t="str">
        <f>IF(D1256="","",IF(H1256&lt;=$B$16,1,IF(H1256&gt;=$B$17,$B$21,MATCH(H1256,Aux_CAV!$A$2:$A$121,1))))</f>
        <v/>
      </c>
      <c r="AB1256" s="31" t="str">
        <f>IF(D1256="","",IF(L1256&lt;=$B$16,1,IF(L1256&gt;=$B$17,$B$21,MATCH(L1256,Aux_CAV!$A$2:$A$121,1))))</f>
        <v/>
      </c>
      <c r="AC1256" s="3" t="str">
        <f t="shared" si="21"/>
        <v/>
      </c>
    </row>
    <row r="1257" ht="12.75" customHeight="1">
      <c r="A1257" s="25" t="str">
        <f t="shared" si="1"/>
        <v/>
      </c>
      <c r="B1257" s="29" t="str">
        <f t="array" ref="B1257">IF(D1257="","",IFERROR(VALUE(INDEX(Vazoes_COLAR!$A$2:$A$200,INT((ROW()-24)/12)+1)),""))</f>
        <v/>
      </c>
      <c r="C1257" s="29" t="str">
        <f t="shared" si="2"/>
        <v/>
      </c>
      <c r="D1257" s="26" t="str">
        <f t="array" ref="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57" s="26" t="str">
        <f t="shared" si="3"/>
        <v/>
      </c>
      <c r="F1257" s="26" t="str">
        <f t="array" ref="F1257">IF(D1257="","",IFERROR(INDEX(Dados_Evap!$C$2:$N$15,MATCH($B$9,Dados_Evap!$A$2:$A$15,0),C1257),0))</f>
        <v/>
      </c>
      <c r="G1257" s="26" t="str">
        <f t="shared" si="4"/>
        <v/>
      </c>
      <c r="H1257" s="26" t="str">
        <f t="shared" si="22"/>
        <v/>
      </c>
      <c r="I1257" s="26" t="str">
        <f t="array" ref="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/>
      </c>
      <c r="J1257" s="26" t="str">
        <f t="shared" si="5"/>
        <v/>
      </c>
      <c r="K1257" s="26" t="str">
        <f t="shared" si="6"/>
        <v/>
      </c>
      <c r="L1257" s="26" t="str">
        <f t="shared" si="7"/>
        <v/>
      </c>
      <c r="M1257" s="26" t="str">
        <f t="array" ref="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/>
      </c>
      <c r="N1257" s="26" t="str">
        <f t="shared" si="8"/>
        <v/>
      </c>
      <c r="O1257" s="26" t="str">
        <f t="shared" si="9"/>
        <v/>
      </c>
      <c r="P1257" s="26" t="str">
        <f t="shared" si="10"/>
        <v/>
      </c>
      <c r="Q1257" s="26" t="str">
        <f t="shared" si="11"/>
        <v/>
      </c>
      <c r="R1257" s="26" t="str">
        <f t="shared" si="12"/>
        <v/>
      </c>
      <c r="S1257" s="26" t="str">
        <f t="shared" si="13"/>
        <v/>
      </c>
      <c r="T1257" s="26" t="str">
        <f t="shared" si="14"/>
        <v/>
      </c>
      <c r="U1257" s="26" t="str">
        <f t="shared" si="15"/>
        <v/>
      </c>
      <c r="V1257" s="26" t="str">
        <f t="shared" si="16"/>
        <v/>
      </c>
      <c r="W1257" s="26" t="str">
        <f t="shared" si="17"/>
        <v/>
      </c>
      <c r="X1257" s="26" t="str">
        <f t="shared" si="18"/>
        <v/>
      </c>
      <c r="Y1257" s="26" t="str">
        <f t="shared" si="19"/>
        <v/>
      </c>
      <c r="Z1257" s="31" t="str">
        <f t="shared" si="20"/>
        <v/>
      </c>
      <c r="AA1257" s="31" t="str">
        <f>IF(D1257="","",IF(H1257&lt;=$B$16,1,IF(H1257&gt;=$B$17,$B$21,MATCH(H1257,Aux_CAV!$A$2:$A$121,1))))</f>
        <v/>
      </c>
      <c r="AB1257" s="31" t="str">
        <f>IF(D1257="","",IF(L1257&lt;=$B$16,1,IF(L1257&gt;=$B$17,$B$21,MATCH(L1257,Aux_CAV!$A$2:$A$121,1))))</f>
        <v/>
      </c>
      <c r="AC1257" s="3" t="str">
        <f t="shared" si="21"/>
        <v/>
      </c>
    </row>
    <row r="1258" ht="12.75" customHeight="1">
      <c r="A1258" s="25" t="str">
        <f t="shared" si="1"/>
        <v/>
      </c>
      <c r="B1258" s="29" t="str">
        <f t="array" ref="B1258">IF(D1258="","",IFERROR(VALUE(INDEX(Vazoes_COLAR!$A$2:$A$200,INT((ROW()-24)/12)+1)),""))</f>
        <v/>
      </c>
      <c r="C1258" s="29" t="str">
        <f t="shared" si="2"/>
        <v/>
      </c>
      <c r="D1258" s="26" t="str">
        <f t="array" ref="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58" s="26" t="str">
        <f t="shared" si="3"/>
        <v/>
      </c>
      <c r="F1258" s="26" t="str">
        <f t="array" ref="F1258">IF(D1258="","",IFERROR(INDEX(Dados_Evap!$C$2:$N$15,MATCH($B$9,Dados_Evap!$A$2:$A$15,0),C1258),0))</f>
        <v/>
      </c>
      <c r="G1258" s="26" t="str">
        <f t="shared" si="4"/>
        <v/>
      </c>
      <c r="H1258" s="26" t="str">
        <f t="shared" si="22"/>
        <v/>
      </c>
      <c r="I1258" s="26" t="str">
        <f t="array" ref="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/>
      </c>
      <c r="J1258" s="26" t="str">
        <f t="shared" si="5"/>
        <v/>
      </c>
      <c r="K1258" s="26" t="str">
        <f t="shared" si="6"/>
        <v/>
      </c>
      <c r="L1258" s="26" t="str">
        <f t="shared" si="7"/>
        <v/>
      </c>
      <c r="M1258" s="26" t="str">
        <f t="array" ref="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/>
      </c>
      <c r="N1258" s="26" t="str">
        <f t="shared" si="8"/>
        <v/>
      </c>
      <c r="O1258" s="26" t="str">
        <f t="shared" si="9"/>
        <v/>
      </c>
      <c r="P1258" s="26" t="str">
        <f t="shared" si="10"/>
        <v/>
      </c>
      <c r="Q1258" s="26" t="str">
        <f t="shared" si="11"/>
        <v/>
      </c>
      <c r="R1258" s="26" t="str">
        <f t="shared" si="12"/>
        <v/>
      </c>
      <c r="S1258" s="26" t="str">
        <f t="shared" si="13"/>
        <v/>
      </c>
      <c r="T1258" s="26" t="str">
        <f t="shared" si="14"/>
        <v/>
      </c>
      <c r="U1258" s="26" t="str">
        <f t="shared" si="15"/>
        <v/>
      </c>
      <c r="V1258" s="26" t="str">
        <f t="shared" si="16"/>
        <v/>
      </c>
      <c r="W1258" s="26" t="str">
        <f t="shared" si="17"/>
        <v/>
      </c>
      <c r="X1258" s="26" t="str">
        <f t="shared" si="18"/>
        <v/>
      </c>
      <c r="Y1258" s="26" t="str">
        <f t="shared" si="19"/>
        <v/>
      </c>
      <c r="Z1258" s="31" t="str">
        <f t="shared" si="20"/>
        <v/>
      </c>
      <c r="AA1258" s="31" t="str">
        <f>IF(D1258="","",IF(H1258&lt;=$B$16,1,IF(H1258&gt;=$B$17,$B$21,MATCH(H1258,Aux_CAV!$A$2:$A$121,1))))</f>
        <v/>
      </c>
      <c r="AB1258" s="31" t="str">
        <f>IF(D1258="","",IF(L1258&lt;=$B$16,1,IF(L1258&gt;=$B$17,$B$21,MATCH(L1258,Aux_CAV!$A$2:$A$121,1))))</f>
        <v/>
      </c>
      <c r="AC1258" s="3" t="str">
        <f t="shared" si="21"/>
        <v/>
      </c>
    </row>
    <row r="1259" ht="12.75" customHeight="1">
      <c r="A1259" s="25" t="str">
        <f t="shared" si="1"/>
        <v/>
      </c>
      <c r="B1259" s="29" t="str">
        <f t="array" ref="B1259">IF(D1259="","",IFERROR(VALUE(INDEX(Vazoes_COLAR!$A$2:$A$200,INT((ROW()-24)/12)+1)),""))</f>
        <v/>
      </c>
      <c r="C1259" s="29" t="str">
        <f t="shared" si="2"/>
        <v/>
      </c>
      <c r="D1259" s="26" t="str">
        <f t="array" ref="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59" s="26" t="str">
        <f t="shared" si="3"/>
        <v/>
      </c>
      <c r="F1259" s="26" t="str">
        <f t="array" ref="F1259">IF(D1259="","",IFERROR(INDEX(Dados_Evap!$C$2:$N$15,MATCH($B$9,Dados_Evap!$A$2:$A$15,0),C1259),0))</f>
        <v/>
      </c>
      <c r="G1259" s="26" t="str">
        <f t="shared" si="4"/>
        <v/>
      </c>
      <c r="H1259" s="26" t="str">
        <f t="shared" si="22"/>
        <v/>
      </c>
      <c r="I1259" s="26" t="str">
        <f t="array" ref="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/>
      </c>
      <c r="J1259" s="26" t="str">
        <f t="shared" si="5"/>
        <v/>
      </c>
      <c r="K1259" s="26" t="str">
        <f t="shared" si="6"/>
        <v/>
      </c>
      <c r="L1259" s="26" t="str">
        <f t="shared" si="7"/>
        <v/>
      </c>
      <c r="M1259" s="26" t="str">
        <f t="array" ref="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/>
      </c>
      <c r="N1259" s="26" t="str">
        <f t="shared" si="8"/>
        <v/>
      </c>
      <c r="O1259" s="26" t="str">
        <f t="shared" si="9"/>
        <v/>
      </c>
      <c r="P1259" s="26" t="str">
        <f t="shared" si="10"/>
        <v/>
      </c>
      <c r="Q1259" s="26" t="str">
        <f t="shared" si="11"/>
        <v/>
      </c>
      <c r="R1259" s="26" t="str">
        <f t="shared" si="12"/>
        <v/>
      </c>
      <c r="S1259" s="26" t="str">
        <f t="shared" si="13"/>
        <v/>
      </c>
      <c r="T1259" s="26" t="str">
        <f t="shared" si="14"/>
        <v/>
      </c>
      <c r="U1259" s="26" t="str">
        <f t="shared" si="15"/>
        <v/>
      </c>
      <c r="V1259" s="26" t="str">
        <f t="shared" si="16"/>
        <v/>
      </c>
      <c r="W1259" s="26" t="str">
        <f t="shared" si="17"/>
        <v/>
      </c>
      <c r="X1259" s="26" t="str">
        <f t="shared" si="18"/>
        <v/>
      </c>
      <c r="Y1259" s="26" t="str">
        <f t="shared" si="19"/>
        <v/>
      </c>
      <c r="Z1259" s="31" t="str">
        <f t="shared" si="20"/>
        <v/>
      </c>
      <c r="AA1259" s="31" t="str">
        <f>IF(D1259="","",IF(H1259&lt;=$B$16,1,IF(H1259&gt;=$B$17,$B$21,MATCH(H1259,Aux_CAV!$A$2:$A$121,1))))</f>
        <v/>
      </c>
      <c r="AB1259" s="31" t="str">
        <f>IF(D1259="","",IF(L1259&lt;=$B$16,1,IF(L1259&gt;=$B$17,$B$21,MATCH(L1259,Aux_CAV!$A$2:$A$121,1))))</f>
        <v/>
      </c>
      <c r="AC1259" s="3" t="str">
        <f t="shared" si="21"/>
        <v/>
      </c>
    </row>
    <row r="1260" ht="12.75" customHeight="1">
      <c r="A1260" s="25" t="str">
        <f t="shared" si="1"/>
        <v/>
      </c>
      <c r="B1260" s="29" t="str">
        <f t="array" ref="B1260">IF(D1260="","",IFERROR(VALUE(INDEX(Vazoes_COLAR!$A$2:$A$200,INT((ROW()-24)/12)+1)),""))</f>
        <v/>
      </c>
      <c r="C1260" s="29" t="str">
        <f t="shared" si="2"/>
        <v/>
      </c>
      <c r="D1260" s="26" t="str">
        <f t="array" ref="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60" s="26" t="str">
        <f t="shared" si="3"/>
        <v/>
      </c>
      <c r="F1260" s="26" t="str">
        <f t="array" ref="F1260">IF(D1260="","",IFERROR(INDEX(Dados_Evap!$C$2:$N$15,MATCH($B$9,Dados_Evap!$A$2:$A$15,0),C1260),0))</f>
        <v/>
      </c>
      <c r="G1260" s="26" t="str">
        <f t="shared" si="4"/>
        <v/>
      </c>
      <c r="H1260" s="26" t="str">
        <f t="shared" si="22"/>
        <v/>
      </c>
      <c r="I1260" s="26" t="str">
        <f t="array" ref="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/>
      </c>
      <c r="J1260" s="26" t="str">
        <f t="shared" si="5"/>
        <v/>
      </c>
      <c r="K1260" s="26" t="str">
        <f t="shared" si="6"/>
        <v/>
      </c>
      <c r="L1260" s="26" t="str">
        <f t="shared" si="7"/>
        <v/>
      </c>
      <c r="M1260" s="26" t="str">
        <f t="array" ref="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/>
      </c>
      <c r="N1260" s="26" t="str">
        <f t="shared" si="8"/>
        <v/>
      </c>
      <c r="O1260" s="26" t="str">
        <f t="shared" si="9"/>
        <v/>
      </c>
      <c r="P1260" s="26" t="str">
        <f t="shared" si="10"/>
        <v/>
      </c>
      <c r="Q1260" s="26" t="str">
        <f t="shared" si="11"/>
        <v/>
      </c>
      <c r="R1260" s="26" t="str">
        <f t="shared" si="12"/>
        <v/>
      </c>
      <c r="S1260" s="26" t="str">
        <f t="shared" si="13"/>
        <v/>
      </c>
      <c r="T1260" s="26" t="str">
        <f t="shared" si="14"/>
        <v/>
      </c>
      <c r="U1260" s="26" t="str">
        <f t="shared" si="15"/>
        <v/>
      </c>
      <c r="V1260" s="26" t="str">
        <f t="shared" si="16"/>
        <v/>
      </c>
      <c r="W1260" s="26" t="str">
        <f t="shared" si="17"/>
        <v/>
      </c>
      <c r="X1260" s="26" t="str">
        <f t="shared" si="18"/>
        <v/>
      </c>
      <c r="Y1260" s="26" t="str">
        <f t="shared" si="19"/>
        <v/>
      </c>
      <c r="Z1260" s="31" t="str">
        <f t="shared" si="20"/>
        <v/>
      </c>
      <c r="AA1260" s="31" t="str">
        <f>IF(D1260="","",IF(H1260&lt;=$B$16,1,IF(H1260&gt;=$B$17,$B$21,MATCH(H1260,Aux_CAV!$A$2:$A$121,1))))</f>
        <v/>
      </c>
      <c r="AB1260" s="31" t="str">
        <f>IF(D1260="","",IF(L1260&lt;=$B$16,1,IF(L1260&gt;=$B$17,$B$21,MATCH(L1260,Aux_CAV!$A$2:$A$121,1))))</f>
        <v/>
      </c>
      <c r="AC1260" s="3" t="str">
        <f t="shared" si="21"/>
        <v/>
      </c>
    </row>
    <row r="1261" ht="12.75" customHeight="1">
      <c r="A1261" s="25" t="str">
        <f t="shared" si="1"/>
        <v/>
      </c>
      <c r="B1261" s="29" t="str">
        <f t="array" ref="B1261">IF(D1261="","",IFERROR(VALUE(INDEX(Vazoes_COLAR!$A$2:$A$200,INT((ROW()-24)/12)+1)),""))</f>
        <v/>
      </c>
      <c r="C1261" s="29" t="str">
        <f t="shared" si="2"/>
        <v/>
      </c>
      <c r="D1261" s="26" t="str">
        <f t="array" ref="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61" s="26" t="str">
        <f t="shared" si="3"/>
        <v/>
      </c>
      <c r="F1261" s="26" t="str">
        <f t="array" ref="F1261">IF(D1261="","",IFERROR(INDEX(Dados_Evap!$C$2:$N$15,MATCH($B$9,Dados_Evap!$A$2:$A$15,0),C1261),0))</f>
        <v/>
      </c>
      <c r="G1261" s="26" t="str">
        <f t="shared" si="4"/>
        <v/>
      </c>
      <c r="H1261" s="26" t="str">
        <f t="shared" si="22"/>
        <v/>
      </c>
      <c r="I1261" s="26" t="str">
        <f t="array" ref="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/>
      </c>
      <c r="J1261" s="26" t="str">
        <f t="shared" si="5"/>
        <v/>
      </c>
      <c r="K1261" s="26" t="str">
        <f t="shared" si="6"/>
        <v/>
      </c>
      <c r="L1261" s="26" t="str">
        <f t="shared" si="7"/>
        <v/>
      </c>
      <c r="M1261" s="26" t="str">
        <f t="array" ref="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/>
      </c>
      <c r="N1261" s="26" t="str">
        <f t="shared" si="8"/>
        <v/>
      </c>
      <c r="O1261" s="26" t="str">
        <f t="shared" si="9"/>
        <v/>
      </c>
      <c r="P1261" s="26" t="str">
        <f t="shared" si="10"/>
        <v/>
      </c>
      <c r="Q1261" s="26" t="str">
        <f t="shared" si="11"/>
        <v/>
      </c>
      <c r="R1261" s="26" t="str">
        <f t="shared" si="12"/>
        <v/>
      </c>
      <c r="S1261" s="26" t="str">
        <f t="shared" si="13"/>
        <v/>
      </c>
      <c r="T1261" s="26" t="str">
        <f t="shared" si="14"/>
        <v/>
      </c>
      <c r="U1261" s="26" t="str">
        <f t="shared" si="15"/>
        <v/>
      </c>
      <c r="V1261" s="26" t="str">
        <f t="shared" si="16"/>
        <v/>
      </c>
      <c r="W1261" s="26" t="str">
        <f t="shared" si="17"/>
        <v/>
      </c>
      <c r="X1261" s="26" t="str">
        <f t="shared" si="18"/>
        <v/>
      </c>
      <c r="Y1261" s="26" t="str">
        <f t="shared" si="19"/>
        <v/>
      </c>
      <c r="Z1261" s="31" t="str">
        <f t="shared" si="20"/>
        <v/>
      </c>
      <c r="AA1261" s="31" t="str">
        <f>IF(D1261="","",IF(H1261&lt;=$B$16,1,IF(H1261&gt;=$B$17,$B$21,MATCH(H1261,Aux_CAV!$A$2:$A$121,1))))</f>
        <v/>
      </c>
      <c r="AB1261" s="31" t="str">
        <f>IF(D1261="","",IF(L1261&lt;=$B$16,1,IF(L1261&gt;=$B$17,$B$21,MATCH(L1261,Aux_CAV!$A$2:$A$121,1))))</f>
        <v/>
      </c>
      <c r="AC1261" s="3" t="str">
        <f t="shared" si="21"/>
        <v/>
      </c>
    </row>
    <row r="1262" ht="12.75" customHeight="1">
      <c r="A1262" s="25" t="str">
        <f t="shared" si="1"/>
        <v/>
      </c>
      <c r="B1262" s="29" t="str">
        <f t="array" ref="B1262">IF(D1262="","",IFERROR(VALUE(INDEX(Vazoes_COLAR!$A$2:$A$200,INT((ROW()-24)/12)+1)),""))</f>
        <v/>
      </c>
      <c r="C1262" s="29" t="str">
        <f t="shared" si="2"/>
        <v/>
      </c>
      <c r="D1262" s="26" t="str">
        <f t="array" ref="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62" s="26" t="str">
        <f t="shared" si="3"/>
        <v/>
      </c>
      <c r="F1262" s="26" t="str">
        <f t="array" ref="F1262">IF(D1262="","",IFERROR(INDEX(Dados_Evap!$C$2:$N$15,MATCH($B$9,Dados_Evap!$A$2:$A$15,0),C1262),0))</f>
        <v/>
      </c>
      <c r="G1262" s="26" t="str">
        <f t="shared" si="4"/>
        <v/>
      </c>
      <c r="H1262" s="26" t="str">
        <f t="shared" si="22"/>
        <v/>
      </c>
      <c r="I1262" s="26" t="str">
        <f t="array" ref="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/>
      </c>
      <c r="J1262" s="26" t="str">
        <f t="shared" si="5"/>
        <v/>
      </c>
      <c r="K1262" s="26" t="str">
        <f t="shared" si="6"/>
        <v/>
      </c>
      <c r="L1262" s="26" t="str">
        <f t="shared" si="7"/>
        <v/>
      </c>
      <c r="M1262" s="26" t="str">
        <f t="array" ref="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/>
      </c>
      <c r="N1262" s="26" t="str">
        <f t="shared" si="8"/>
        <v/>
      </c>
      <c r="O1262" s="26" t="str">
        <f t="shared" si="9"/>
        <v/>
      </c>
      <c r="P1262" s="26" t="str">
        <f t="shared" si="10"/>
        <v/>
      </c>
      <c r="Q1262" s="26" t="str">
        <f t="shared" si="11"/>
        <v/>
      </c>
      <c r="R1262" s="26" t="str">
        <f t="shared" si="12"/>
        <v/>
      </c>
      <c r="S1262" s="26" t="str">
        <f t="shared" si="13"/>
        <v/>
      </c>
      <c r="T1262" s="26" t="str">
        <f t="shared" si="14"/>
        <v/>
      </c>
      <c r="U1262" s="26" t="str">
        <f t="shared" si="15"/>
        <v/>
      </c>
      <c r="V1262" s="26" t="str">
        <f t="shared" si="16"/>
        <v/>
      </c>
      <c r="W1262" s="26" t="str">
        <f t="shared" si="17"/>
        <v/>
      </c>
      <c r="X1262" s="26" t="str">
        <f t="shared" si="18"/>
        <v/>
      </c>
      <c r="Y1262" s="26" t="str">
        <f t="shared" si="19"/>
        <v/>
      </c>
      <c r="Z1262" s="31" t="str">
        <f t="shared" si="20"/>
        <v/>
      </c>
      <c r="AA1262" s="31" t="str">
        <f>IF(D1262="","",IF(H1262&lt;=$B$16,1,IF(H1262&gt;=$B$17,$B$21,MATCH(H1262,Aux_CAV!$A$2:$A$121,1))))</f>
        <v/>
      </c>
      <c r="AB1262" s="31" t="str">
        <f>IF(D1262="","",IF(L1262&lt;=$B$16,1,IF(L1262&gt;=$B$17,$B$21,MATCH(L1262,Aux_CAV!$A$2:$A$121,1))))</f>
        <v/>
      </c>
      <c r="AC1262" s="3" t="str">
        <f t="shared" si="21"/>
        <v/>
      </c>
    </row>
    <row r="1263" ht="12.75" customHeight="1">
      <c r="A1263" s="25" t="str">
        <f t="shared" si="1"/>
        <v/>
      </c>
      <c r="B1263" s="29" t="str">
        <f t="array" ref="B1263">IF(D1263="","",IFERROR(VALUE(INDEX(Vazoes_COLAR!$A$2:$A$200,INT((ROW()-24)/12)+1)),""))</f>
        <v/>
      </c>
      <c r="C1263" s="29" t="str">
        <f t="shared" si="2"/>
        <v/>
      </c>
      <c r="D1263" s="26" t="str">
        <f t="array" ref="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63" s="26" t="str">
        <f t="shared" si="3"/>
        <v/>
      </c>
      <c r="F1263" s="26" t="str">
        <f t="array" ref="F1263">IF(D1263="","",IFERROR(INDEX(Dados_Evap!$C$2:$N$15,MATCH($B$9,Dados_Evap!$A$2:$A$15,0),C1263),0))</f>
        <v/>
      </c>
      <c r="G1263" s="26" t="str">
        <f t="shared" si="4"/>
        <v/>
      </c>
      <c r="H1263" s="26" t="str">
        <f t="shared" si="22"/>
        <v/>
      </c>
      <c r="I1263" s="26" t="str">
        <f t="array" ref="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/>
      </c>
      <c r="J1263" s="26" t="str">
        <f t="shared" si="5"/>
        <v/>
      </c>
      <c r="K1263" s="26" t="str">
        <f t="shared" si="6"/>
        <v/>
      </c>
      <c r="L1263" s="26" t="str">
        <f t="shared" si="7"/>
        <v/>
      </c>
      <c r="M1263" s="26" t="str">
        <f t="array" ref="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/>
      </c>
      <c r="N1263" s="26" t="str">
        <f t="shared" si="8"/>
        <v/>
      </c>
      <c r="O1263" s="26" t="str">
        <f t="shared" si="9"/>
        <v/>
      </c>
      <c r="P1263" s="26" t="str">
        <f t="shared" si="10"/>
        <v/>
      </c>
      <c r="Q1263" s="26" t="str">
        <f t="shared" si="11"/>
        <v/>
      </c>
      <c r="R1263" s="26" t="str">
        <f t="shared" si="12"/>
        <v/>
      </c>
      <c r="S1263" s="26" t="str">
        <f t="shared" si="13"/>
        <v/>
      </c>
      <c r="T1263" s="26" t="str">
        <f t="shared" si="14"/>
        <v/>
      </c>
      <c r="U1263" s="26" t="str">
        <f t="shared" si="15"/>
        <v/>
      </c>
      <c r="V1263" s="26" t="str">
        <f t="shared" si="16"/>
        <v/>
      </c>
      <c r="W1263" s="26" t="str">
        <f t="shared" si="17"/>
        <v/>
      </c>
      <c r="X1263" s="26" t="str">
        <f t="shared" si="18"/>
        <v/>
      </c>
      <c r="Y1263" s="26" t="str">
        <f t="shared" si="19"/>
        <v/>
      </c>
      <c r="Z1263" s="31" t="str">
        <f t="shared" si="20"/>
        <v/>
      </c>
      <c r="AA1263" s="31" t="str">
        <f>IF(D1263="","",IF(H1263&lt;=$B$16,1,IF(H1263&gt;=$B$17,$B$21,MATCH(H1263,Aux_CAV!$A$2:$A$121,1))))</f>
        <v/>
      </c>
      <c r="AB1263" s="31" t="str">
        <f>IF(D1263="","",IF(L1263&lt;=$B$16,1,IF(L1263&gt;=$B$17,$B$21,MATCH(L1263,Aux_CAV!$A$2:$A$121,1))))</f>
        <v/>
      </c>
      <c r="AC1263" s="3" t="str">
        <f t="shared" si="21"/>
        <v/>
      </c>
    </row>
    <row r="1264" ht="12.75" customHeight="1">
      <c r="A1264" s="25" t="str">
        <f t="shared" si="1"/>
        <v/>
      </c>
      <c r="B1264" s="29" t="str">
        <f t="array" ref="B1264">IF(D1264="","",IFERROR(VALUE(INDEX(Vazoes_COLAR!$A$2:$A$200,INT((ROW()-24)/12)+1)),""))</f>
        <v/>
      </c>
      <c r="C1264" s="29" t="str">
        <f t="shared" si="2"/>
        <v/>
      </c>
      <c r="D1264" s="26" t="str">
        <f t="array" ref="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64" s="26" t="str">
        <f t="shared" si="3"/>
        <v/>
      </c>
      <c r="F1264" s="26" t="str">
        <f t="array" ref="F1264">IF(D1264="","",IFERROR(INDEX(Dados_Evap!$C$2:$N$15,MATCH($B$9,Dados_Evap!$A$2:$A$15,0),C1264),0))</f>
        <v/>
      </c>
      <c r="G1264" s="26" t="str">
        <f t="shared" si="4"/>
        <v/>
      </c>
      <c r="H1264" s="26" t="str">
        <f t="shared" si="22"/>
        <v/>
      </c>
      <c r="I1264" s="26" t="str">
        <f t="array" ref="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/>
      </c>
      <c r="J1264" s="26" t="str">
        <f t="shared" si="5"/>
        <v/>
      </c>
      <c r="K1264" s="26" t="str">
        <f t="shared" si="6"/>
        <v/>
      </c>
      <c r="L1264" s="26" t="str">
        <f t="shared" si="7"/>
        <v/>
      </c>
      <c r="M1264" s="26" t="str">
        <f t="array" ref="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/>
      </c>
      <c r="N1264" s="26" t="str">
        <f t="shared" si="8"/>
        <v/>
      </c>
      <c r="O1264" s="26" t="str">
        <f t="shared" si="9"/>
        <v/>
      </c>
      <c r="P1264" s="26" t="str">
        <f t="shared" si="10"/>
        <v/>
      </c>
      <c r="Q1264" s="26" t="str">
        <f t="shared" si="11"/>
        <v/>
      </c>
      <c r="R1264" s="26" t="str">
        <f t="shared" si="12"/>
        <v/>
      </c>
      <c r="S1264" s="26" t="str">
        <f t="shared" si="13"/>
        <v/>
      </c>
      <c r="T1264" s="26" t="str">
        <f t="shared" si="14"/>
        <v/>
      </c>
      <c r="U1264" s="26" t="str">
        <f t="shared" si="15"/>
        <v/>
      </c>
      <c r="V1264" s="26" t="str">
        <f t="shared" si="16"/>
        <v/>
      </c>
      <c r="W1264" s="26" t="str">
        <f t="shared" si="17"/>
        <v/>
      </c>
      <c r="X1264" s="26" t="str">
        <f t="shared" si="18"/>
        <v/>
      </c>
      <c r="Y1264" s="26" t="str">
        <f t="shared" si="19"/>
        <v/>
      </c>
      <c r="Z1264" s="31" t="str">
        <f t="shared" si="20"/>
        <v/>
      </c>
      <c r="AA1264" s="31" t="str">
        <f>IF(D1264="","",IF(H1264&lt;=$B$16,1,IF(H1264&gt;=$B$17,$B$21,MATCH(H1264,Aux_CAV!$A$2:$A$121,1))))</f>
        <v/>
      </c>
      <c r="AB1264" s="31" t="str">
        <f>IF(D1264="","",IF(L1264&lt;=$B$16,1,IF(L1264&gt;=$B$17,$B$21,MATCH(L1264,Aux_CAV!$A$2:$A$121,1))))</f>
        <v/>
      </c>
      <c r="AC1264" s="3" t="str">
        <f t="shared" si="21"/>
        <v/>
      </c>
    </row>
    <row r="1265" ht="12.75" customHeight="1">
      <c r="A1265" s="25" t="str">
        <f t="shared" si="1"/>
        <v/>
      </c>
      <c r="B1265" s="29" t="str">
        <f t="array" ref="B1265">IF(D1265="","",IFERROR(VALUE(INDEX(Vazoes_COLAR!$A$2:$A$200,INT((ROW()-24)/12)+1)),""))</f>
        <v/>
      </c>
      <c r="C1265" s="29" t="str">
        <f t="shared" si="2"/>
        <v/>
      </c>
      <c r="D1265" s="26" t="str">
        <f t="array" ref="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65" s="26" t="str">
        <f t="shared" si="3"/>
        <v/>
      </c>
      <c r="F1265" s="26" t="str">
        <f t="array" ref="F1265">IF(D1265="","",IFERROR(INDEX(Dados_Evap!$C$2:$N$15,MATCH($B$9,Dados_Evap!$A$2:$A$15,0),C1265),0))</f>
        <v/>
      </c>
      <c r="G1265" s="26" t="str">
        <f t="shared" si="4"/>
        <v/>
      </c>
      <c r="H1265" s="26" t="str">
        <f t="shared" si="22"/>
        <v/>
      </c>
      <c r="I1265" s="26" t="str">
        <f t="array" ref="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/>
      </c>
      <c r="J1265" s="26" t="str">
        <f t="shared" si="5"/>
        <v/>
      </c>
      <c r="K1265" s="26" t="str">
        <f t="shared" si="6"/>
        <v/>
      </c>
      <c r="L1265" s="26" t="str">
        <f t="shared" si="7"/>
        <v/>
      </c>
      <c r="M1265" s="26" t="str">
        <f t="array" ref="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/>
      </c>
      <c r="N1265" s="26" t="str">
        <f t="shared" si="8"/>
        <v/>
      </c>
      <c r="O1265" s="26" t="str">
        <f t="shared" si="9"/>
        <v/>
      </c>
      <c r="P1265" s="26" t="str">
        <f t="shared" si="10"/>
        <v/>
      </c>
      <c r="Q1265" s="26" t="str">
        <f t="shared" si="11"/>
        <v/>
      </c>
      <c r="R1265" s="26" t="str">
        <f t="shared" si="12"/>
        <v/>
      </c>
      <c r="S1265" s="26" t="str">
        <f t="shared" si="13"/>
        <v/>
      </c>
      <c r="T1265" s="26" t="str">
        <f t="shared" si="14"/>
        <v/>
      </c>
      <c r="U1265" s="26" t="str">
        <f t="shared" si="15"/>
        <v/>
      </c>
      <c r="V1265" s="26" t="str">
        <f t="shared" si="16"/>
        <v/>
      </c>
      <c r="W1265" s="26" t="str">
        <f t="shared" si="17"/>
        <v/>
      </c>
      <c r="X1265" s="26" t="str">
        <f t="shared" si="18"/>
        <v/>
      </c>
      <c r="Y1265" s="26" t="str">
        <f t="shared" si="19"/>
        <v/>
      </c>
      <c r="Z1265" s="31" t="str">
        <f t="shared" si="20"/>
        <v/>
      </c>
      <c r="AA1265" s="31" t="str">
        <f>IF(D1265="","",IF(H1265&lt;=$B$16,1,IF(H1265&gt;=$B$17,$B$21,MATCH(H1265,Aux_CAV!$A$2:$A$121,1))))</f>
        <v/>
      </c>
      <c r="AB1265" s="31" t="str">
        <f>IF(D1265="","",IF(L1265&lt;=$B$16,1,IF(L1265&gt;=$B$17,$B$21,MATCH(L1265,Aux_CAV!$A$2:$A$121,1))))</f>
        <v/>
      </c>
      <c r="AC1265" s="3" t="str">
        <f t="shared" si="21"/>
        <v/>
      </c>
    </row>
    <row r="1266" ht="12.75" customHeight="1">
      <c r="A1266" s="25" t="str">
        <f t="shared" si="1"/>
        <v/>
      </c>
      <c r="B1266" s="29" t="str">
        <f t="array" ref="B1266">IF(D1266="","",IFERROR(VALUE(INDEX(Vazoes_COLAR!$A$2:$A$200,INT((ROW()-24)/12)+1)),""))</f>
        <v/>
      </c>
      <c r="C1266" s="29" t="str">
        <f t="shared" si="2"/>
        <v/>
      </c>
      <c r="D1266" s="26" t="str">
        <f t="array" ref="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66" s="26" t="str">
        <f t="shared" si="3"/>
        <v/>
      </c>
      <c r="F1266" s="26" t="str">
        <f t="array" ref="F1266">IF(D1266="","",IFERROR(INDEX(Dados_Evap!$C$2:$N$15,MATCH($B$9,Dados_Evap!$A$2:$A$15,0),C1266),0))</f>
        <v/>
      </c>
      <c r="G1266" s="26" t="str">
        <f t="shared" si="4"/>
        <v/>
      </c>
      <c r="H1266" s="26" t="str">
        <f t="shared" si="22"/>
        <v/>
      </c>
      <c r="I1266" s="26" t="str">
        <f t="array" ref="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/>
      </c>
      <c r="J1266" s="26" t="str">
        <f t="shared" si="5"/>
        <v/>
      </c>
      <c r="K1266" s="26" t="str">
        <f t="shared" si="6"/>
        <v/>
      </c>
      <c r="L1266" s="26" t="str">
        <f t="shared" si="7"/>
        <v/>
      </c>
      <c r="M1266" s="26" t="str">
        <f t="array" ref="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/>
      </c>
      <c r="N1266" s="26" t="str">
        <f t="shared" si="8"/>
        <v/>
      </c>
      <c r="O1266" s="26" t="str">
        <f t="shared" si="9"/>
        <v/>
      </c>
      <c r="P1266" s="26" t="str">
        <f t="shared" si="10"/>
        <v/>
      </c>
      <c r="Q1266" s="26" t="str">
        <f t="shared" si="11"/>
        <v/>
      </c>
      <c r="R1266" s="26" t="str">
        <f t="shared" si="12"/>
        <v/>
      </c>
      <c r="S1266" s="26" t="str">
        <f t="shared" si="13"/>
        <v/>
      </c>
      <c r="T1266" s="26" t="str">
        <f t="shared" si="14"/>
        <v/>
      </c>
      <c r="U1266" s="26" t="str">
        <f t="shared" si="15"/>
        <v/>
      </c>
      <c r="V1266" s="26" t="str">
        <f t="shared" si="16"/>
        <v/>
      </c>
      <c r="W1266" s="26" t="str">
        <f t="shared" si="17"/>
        <v/>
      </c>
      <c r="X1266" s="26" t="str">
        <f t="shared" si="18"/>
        <v/>
      </c>
      <c r="Y1266" s="26" t="str">
        <f t="shared" si="19"/>
        <v/>
      </c>
      <c r="Z1266" s="31" t="str">
        <f t="shared" si="20"/>
        <v/>
      </c>
      <c r="AA1266" s="31" t="str">
        <f>IF(D1266="","",IF(H1266&lt;=$B$16,1,IF(H1266&gt;=$B$17,$B$21,MATCH(H1266,Aux_CAV!$A$2:$A$121,1))))</f>
        <v/>
      </c>
      <c r="AB1266" s="31" t="str">
        <f>IF(D1266="","",IF(L1266&lt;=$B$16,1,IF(L1266&gt;=$B$17,$B$21,MATCH(L1266,Aux_CAV!$A$2:$A$121,1))))</f>
        <v/>
      </c>
      <c r="AC1266" s="3" t="str">
        <f t="shared" si="21"/>
        <v/>
      </c>
    </row>
    <row r="1267" ht="12.75" customHeight="1">
      <c r="A1267" s="25" t="str">
        <f t="shared" si="1"/>
        <v/>
      </c>
      <c r="B1267" s="29" t="str">
        <f t="array" ref="B1267">IF(D1267="","",IFERROR(VALUE(INDEX(Vazoes_COLAR!$A$2:$A$200,INT((ROW()-24)/12)+1)),""))</f>
        <v/>
      </c>
      <c r="C1267" s="29" t="str">
        <f t="shared" si="2"/>
        <v/>
      </c>
      <c r="D1267" s="26" t="str">
        <f t="array" ref="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67" s="26" t="str">
        <f t="shared" si="3"/>
        <v/>
      </c>
      <c r="F1267" s="26" t="str">
        <f t="array" ref="F1267">IF(D1267="","",IFERROR(INDEX(Dados_Evap!$C$2:$N$15,MATCH($B$9,Dados_Evap!$A$2:$A$15,0),C1267),0))</f>
        <v/>
      </c>
      <c r="G1267" s="26" t="str">
        <f t="shared" si="4"/>
        <v/>
      </c>
      <c r="H1267" s="26" t="str">
        <f t="shared" si="22"/>
        <v/>
      </c>
      <c r="I1267" s="26" t="str">
        <f t="array" ref="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/>
      </c>
      <c r="J1267" s="26" t="str">
        <f t="shared" si="5"/>
        <v/>
      </c>
      <c r="K1267" s="26" t="str">
        <f t="shared" si="6"/>
        <v/>
      </c>
      <c r="L1267" s="26" t="str">
        <f t="shared" si="7"/>
        <v/>
      </c>
      <c r="M1267" s="26" t="str">
        <f t="array" ref="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/>
      </c>
      <c r="N1267" s="26" t="str">
        <f t="shared" si="8"/>
        <v/>
      </c>
      <c r="O1267" s="26" t="str">
        <f t="shared" si="9"/>
        <v/>
      </c>
      <c r="P1267" s="26" t="str">
        <f t="shared" si="10"/>
        <v/>
      </c>
      <c r="Q1267" s="26" t="str">
        <f t="shared" si="11"/>
        <v/>
      </c>
      <c r="R1267" s="26" t="str">
        <f t="shared" si="12"/>
        <v/>
      </c>
      <c r="S1267" s="26" t="str">
        <f t="shared" si="13"/>
        <v/>
      </c>
      <c r="T1267" s="26" t="str">
        <f t="shared" si="14"/>
        <v/>
      </c>
      <c r="U1267" s="26" t="str">
        <f t="shared" si="15"/>
        <v/>
      </c>
      <c r="V1267" s="26" t="str">
        <f t="shared" si="16"/>
        <v/>
      </c>
      <c r="W1267" s="26" t="str">
        <f t="shared" si="17"/>
        <v/>
      </c>
      <c r="X1267" s="26" t="str">
        <f t="shared" si="18"/>
        <v/>
      </c>
      <c r="Y1267" s="26" t="str">
        <f t="shared" si="19"/>
        <v/>
      </c>
      <c r="Z1267" s="31" t="str">
        <f t="shared" si="20"/>
        <v/>
      </c>
      <c r="AA1267" s="31" t="str">
        <f>IF(D1267="","",IF(H1267&lt;=$B$16,1,IF(H1267&gt;=$B$17,$B$21,MATCH(H1267,Aux_CAV!$A$2:$A$121,1))))</f>
        <v/>
      </c>
      <c r="AB1267" s="31" t="str">
        <f>IF(D1267="","",IF(L1267&lt;=$B$16,1,IF(L1267&gt;=$B$17,$B$21,MATCH(L1267,Aux_CAV!$A$2:$A$121,1))))</f>
        <v/>
      </c>
      <c r="AC1267" s="3" t="str">
        <f t="shared" si="21"/>
        <v/>
      </c>
    </row>
    <row r="1268" ht="12.75" customHeight="1">
      <c r="A1268" s="25" t="str">
        <f t="shared" si="1"/>
        <v/>
      </c>
      <c r="B1268" s="29" t="str">
        <f t="array" ref="B1268">IF(D1268="","",IFERROR(VALUE(INDEX(Vazoes_COLAR!$A$2:$A$200,INT((ROW()-24)/12)+1)),""))</f>
        <v/>
      </c>
      <c r="C1268" s="29" t="str">
        <f t="shared" si="2"/>
        <v/>
      </c>
      <c r="D1268" s="26" t="str">
        <f t="array" ref="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68" s="26" t="str">
        <f t="shared" si="3"/>
        <v/>
      </c>
      <c r="F1268" s="26" t="str">
        <f t="array" ref="F1268">IF(D1268="","",IFERROR(INDEX(Dados_Evap!$C$2:$N$15,MATCH($B$9,Dados_Evap!$A$2:$A$15,0),C1268),0))</f>
        <v/>
      </c>
      <c r="G1268" s="26" t="str">
        <f t="shared" si="4"/>
        <v/>
      </c>
      <c r="H1268" s="26" t="str">
        <f t="shared" si="22"/>
        <v/>
      </c>
      <c r="I1268" s="26" t="str">
        <f t="array" ref="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/>
      </c>
      <c r="J1268" s="26" t="str">
        <f t="shared" si="5"/>
        <v/>
      </c>
      <c r="K1268" s="26" t="str">
        <f t="shared" si="6"/>
        <v/>
      </c>
      <c r="L1268" s="26" t="str">
        <f t="shared" si="7"/>
        <v/>
      </c>
      <c r="M1268" s="26" t="str">
        <f t="array" ref="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/>
      </c>
      <c r="N1268" s="26" t="str">
        <f t="shared" si="8"/>
        <v/>
      </c>
      <c r="O1268" s="26" t="str">
        <f t="shared" si="9"/>
        <v/>
      </c>
      <c r="P1268" s="26" t="str">
        <f t="shared" si="10"/>
        <v/>
      </c>
      <c r="Q1268" s="26" t="str">
        <f t="shared" si="11"/>
        <v/>
      </c>
      <c r="R1268" s="26" t="str">
        <f t="shared" si="12"/>
        <v/>
      </c>
      <c r="S1268" s="26" t="str">
        <f t="shared" si="13"/>
        <v/>
      </c>
      <c r="T1268" s="26" t="str">
        <f t="shared" si="14"/>
        <v/>
      </c>
      <c r="U1268" s="26" t="str">
        <f t="shared" si="15"/>
        <v/>
      </c>
      <c r="V1268" s="26" t="str">
        <f t="shared" si="16"/>
        <v/>
      </c>
      <c r="W1268" s="26" t="str">
        <f t="shared" si="17"/>
        <v/>
      </c>
      <c r="X1268" s="26" t="str">
        <f t="shared" si="18"/>
        <v/>
      </c>
      <c r="Y1268" s="26" t="str">
        <f t="shared" si="19"/>
        <v/>
      </c>
      <c r="Z1268" s="31" t="str">
        <f t="shared" si="20"/>
        <v/>
      </c>
      <c r="AA1268" s="31" t="str">
        <f>IF(D1268="","",IF(H1268&lt;=$B$16,1,IF(H1268&gt;=$B$17,$B$21,MATCH(H1268,Aux_CAV!$A$2:$A$121,1))))</f>
        <v/>
      </c>
      <c r="AB1268" s="31" t="str">
        <f>IF(D1268="","",IF(L1268&lt;=$B$16,1,IF(L1268&gt;=$B$17,$B$21,MATCH(L1268,Aux_CAV!$A$2:$A$121,1))))</f>
        <v/>
      </c>
      <c r="AC1268" s="3" t="str">
        <f t="shared" si="21"/>
        <v/>
      </c>
    </row>
    <row r="1269" ht="12.75" customHeight="1">
      <c r="A1269" s="25" t="str">
        <f t="shared" si="1"/>
        <v/>
      </c>
      <c r="B1269" s="29" t="str">
        <f t="array" ref="B1269">IF(D1269="","",IFERROR(VALUE(INDEX(Vazoes_COLAR!$A$2:$A$200,INT((ROW()-24)/12)+1)),""))</f>
        <v/>
      </c>
      <c r="C1269" s="29" t="str">
        <f t="shared" si="2"/>
        <v/>
      </c>
      <c r="D1269" s="26" t="str">
        <f t="array" ref="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69" s="26" t="str">
        <f t="shared" si="3"/>
        <v/>
      </c>
      <c r="F1269" s="26" t="str">
        <f t="array" ref="F1269">IF(D1269="","",IFERROR(INDEX(Dados_Evap!$C$2:$N$15,MATCH($B$9,Dados_Evap!$A$2:$A$15,0),C1269),0))</f>
        <v/>
      </c>
      <c r="G1269" s="26" t="str">
        <f t="shared" si="4"/>
        <v/>
      </c>
      <c r="H1269" s="26" t="str">
        <f t="shared" si="22"/>
        <v/>
      </c>
      <c r="I1269" s="26" t="str">
        <f t="array" ref="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/>
      </c>
      <c r="J1269" s="26" t="str">
        <f t="shared" si="5"/>
        <v/>
      </c>
      <c r="K1269" s="26" t="str">
        <f t="shared" si="6"/>
        <v/>
      </c>
      <c r="L1269" s="26" t="str">
        <f t="shared" si="7"/>
        <v/>
      </c>
      <c r="M1269" s="26" t="str">
        <f t="array" ref="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/>
      </c>
      <c r="N1269" s="26" t="str">
        <f t="shared" si="8"/>
        <v/>
      </c>
      <c r="O1269" s="26" t="str">
        <f t="shared" si="9"/>
        <v/>
      </c>
      <c r="P1269" s="26" t="str">
        <f t="shared" si="10"/>
        <v/>
      </c>
      <c r="Q1269" s="26" t="str">
        <f t="shared" si="11"/>
        <v/>
      </c>
      <c r="R1269" s="26" t="str">
        <f t="shared" si="12"/>
        <v/>
      </c>
      <c r="S1269" s="26" t="str">
        <f t="shared" si="13"/>
        <v/>
      </c>
      <c r="T1269" s="26" t="str">
        <f t="shared" si="14"/>
        <v/>
      </c>
      <c r="U1269" s="26" t="str">
        <f t="shared" si="15"/>
        <v/>
      </c>
      <c r="V1269" s="26" t="str">
        <f t="shared" si="16"/>
        <v/>
      </c>
      <c r="W1269" s="26" t="str">
        <f t="shared" si="17"/>
        <v/>
      </c>
      <c r="X1269" s="26" t="str">
        <f t="shared" si="18"/>
        <v/>
      </c>
      <c r="Y1269" s="26" t="str">
        <f t="shared" si="19"/>
        <v/>
      </c>
      <c r="Z1269" s="31" t="str">
        <f t="shared" si="20"/>
        <v/>
      </c>
      <c r="AA1269" s="31" t="str">
        <f>IF(D1269="","",IF(H1269&lt;=$B$16,1,IF(H1269&gt;=$B$17,$B$21,MATCH(H1269,Aux_CAV!$A$2:$A$121,1))))</f>
        <v/>
      </c>
      <c r="AB1269" s="31" t="str">
        <f>IF(D1269="","",IF(L1269&lt;=$B$16,1,IF(L1269&gt;=$B$17,$B$21,MATCH(L1269,Aux_CAV!$A$2:$A$121,1))))</f>
        <v/>
      </c>
      <c r="AC1269" s="3" t="str">
        <f t="shared" si="21"/>
        <v/>
      </c>
    </row>
    <row r="1270" ht="12.75" customHeight="1">
      <c r="A1270" s="25" t="str">
        <f t="shared" si="1"/>
        <v/>
      </c>
      <c r="B1270" s="29" t="str">
        <f t="array" ref="B1270">IF(D1270="","",IFERROR(VALUE(INDEX(Vazoes_COLAR!$A$2:$A$200,INT((ROW()-24)/12)+1)),""))</f>
        <v/>
      </c>
      <c r="C1270" s="29" t="str">
        <f t="shared" si="2"/>
        <v/>
      </c>
      <c r="D1270" s="26" t="str">
        <f t="array" ref="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70" s="26" t="str">
        <f t="shared" si="3"/>
        <v/>
      </c>
      <c r="F1270" s="26" t="str">
        <f t="array" ref="F1270">IF(D1270="","",IFERROR(INDEX(Dados_Evap!$C$2:$N$15,MATCH($B$9,Dados_Evap!$A$2:$A$15,0),C1270),0))</f>
        <v/>
      </c>
      <c r="G1270" s="26" t="str">
        <f t="shared" si="4"/>
        <v/>
      </c>
      <c r="H1270" s="26" t="str">
        <f t="shared" si="22"/>
        <v/>
      </c>
      <c r="I1270" s="26" t="str">
        <f t="array" ref="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/>
      </c>
      <c r="J1270" s="26" t="str">
        <f t="shared" si="5"/>
        <v/>
      </c>
      <c r="K1270" s="26" t="str">
        <f t="shared" si="6"/>
        <v/>
      </c>
      <c r="L1270" s="26" t="str">
        <f t="shared" si="7"/>
        <v/>
      </c>
      <c r="M1270" s="26" t="str">
        <f t="array" ref="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/>
      </c>
      <c r="N1270" s="26" t="str">
        <f t="shared" si="8"/>
        <v/>
      </c>
      <c r="O1270" s="26" t="str">
        <f t="shared" si="9"/>
        <v/>
      </c>
      <c r="P1270" s="26" t="str">
        <f t="shared" si="10"/>
        <v/>
      </c>
      <c r="Q1270" s="26" t="str">
        <f t="shared" si="11"/>
        <v/>
      </c>
      <c r="R1270" s="26" t="str">
        <f t="shared" si="12"/>
        <v/>
      </c>
      <c r="S1270" s="26" t="str">
        <f t="shared" si="13"/>
        <v/>
      </c>
      <c r="T1270" s="26" t="str">
        <f t="shared" si="14"/>
        <v/>
      </c>
      <c r="U1270" s="26" t="str">
        <f t="shared" si="15"/>
        <v/>
      </c>
      <c r="V1270" s="26" t="str">
        <f t="shared" si="16"/>
        <v/>
      </c>
      <c r="W1270" s="26" t="str">
        <f t="shared" si="17"/>
        <v/>
      </c>
      <c r="X1270" s="26" t="str">
        <f t="shared" si="18"/>
        <v/>
      </c>
      <c r="Y1270" s="26" t="str">
        <f t="shared" si="19"/>
        <v/>
      </c>
      <c r="Z1270" s="31" t="str">
        <f t="shared" si="20"/>
        <v/>
      </c>
      <c r="AA1270" s="31" t="str">
        <f>IF(D1270="","",IF(H1270&lt;=$B$16,1,IF(H1270&gt;=$B$17,$B$21,MATCH(H1270,Aux_CAV!$A$2:$A$121,1))))</f>
        <v/>
      </c>
      <c r="AB1270" s="31" t="str">
        <f>IF(D1270="","",IF(L1270&lt;=$B$16,1,IF(L1270&gt;=$B$17,$B$21,MATCH(L1270,Aux_CAV!$A$2:$A$121,1))))</f>
        <v/>
      </c>
      <c r="AC1270" s="3" t="str">
        <f t="shared" si="21"/>
        <v/>
      </c>
    </row>
    <row r="1271" ht="12.75" customHeight="1">
      <c r="A1271" s="25" t="str">
        <f t="shared" si="1"/>
        <v/>
      </c>
      <c r="B1271" s="29" t="str">
        <f t="array" ref="B1271">IF(D1271="","",IFERROR(VALUE(INDEX(Vazoes_COLAR!$A$2:$A$200,INT((ROW()-24)/12)+1)),""))</f>
        <v/>
      </c>
      <c r="C1271" s="29" t="str">
        <f t="shared" si="2"/>
        <v/>
      </c>
      <c r="D1271" s="26" t="str">
        <f t="array" ref="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71" s="26" t="str">
        <f t="shared" si="3"/>
        <v/>
      </c>
      <c r="F1271" s="26" t="str">
        <f t="array" ref="F1271">IF(D1271="","",IFERROR(INDEX(Dados_Evap!$C$2:$N$15,MATCH($B$9,Dados_Evap!$A$2:$A$15,0),C1271),0))</f>
        <v/>
      </c>
      <c r="G1271" s="26" t="str">
        <f t="shared" si="4"/>
        <v/>
      </c>
      <c r="H1271" s="26" t="str">
        <f t="shared" si="22"/>
        <v/>
      </c>
      <c r="I1271" s="26" t="str">
        <f t="array" ref="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/>
      </c>
      <c r="J1271" s="26" t="str">
        <f t="shared" si="5"/>
        <v/>
      </c>
      <c r="K1271" s="26" t="str">
        <f t="shared" si="6"/>
        <v/>
      </c>
      <c r="L1271" s="26" t="str">
        <f t="shared" si="7"/>
        <v/>
      </c>
      <c r="M1271" s="26" t="str">
        <f t="array" ref="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/>
      </c>
      <c r="N1271" s="26" t="str">
        <f t="shared" si="8"/>
        <v/>
      </c>
      <c r="O1271" s="26" t="str">
        <f t="shared" si="9"/>
        <v/>
      </c>
      <c r="P1271" s="26" t="str">
        <f t="shared" si="10"/>
        <v/>
      </c>
      <c r="Q1271" s="26" t="str">
        <f t="shared" si="11"/>
        <v/>
      </c>
      <c r="R1271" s="26" t="str">
        <f t="shared" si="12"/>
        <v/>
      </c>
      <c r="S1271" s="26" t="str">
        <f t="shared" si="13"/>
        <v/>
      </c>
      <c r="T1271" s="26" t="str">
        <f t="shared" si="14"/>
        <v/>
      </c>
      <c r="U1271" s="26" t="str">
        <f t="shared" si="15"/>
        <v/>
      </c>
      <c r="V1271" s="26" t="str">
        <f t="shared" si="16"/>
        <v/>
      </c>
      <c r="W1271" s="26" t="str">
        <f t="shared" si="17"/>
        <v/>
      </c>
      <c r="X1271" s="26" t="str">
        <f t="shared" si="18"/>
        <v/>
      </c>
      <c r="Y1271" s="26" t="str">
        <f t="shared" si="19"/>
        <v/>
      </c>
      <c r="Z1271" s="31" t="str">
        <f t="shared" si="20"/>
        <v/>
      </c>
      <c r="AA1271" s="31" t="str">
        <f>IF(D1271="","",IF(H1271&lt;=$B$16,1,IF(H1271&gt;=$B$17,$B$21,MATCH(H1271,Aux_CAV!$A$2:$A$121,1))))</f>
        <v/>
      </c>
      <c r="AB1271" s="31" t="str">
        <f>IF(D1271="","",IF(L1271&lt;=$B$16,1,IF(L1271&gt;=$B$17,$B$21,MATCH(L1271,Aux_CAV!$A$2:$A$121,1))))</f>
        <v/>
      </c>
      <c r="AC1271" s="3" t="str">
        <f t="shared" si="21"/>
        <v/>
      </c>
    </row>
    <row r="1272" ht="12.75" customHeight="1">
      <c r="A1272" s="25" t="str">
        <f t="shared" si="1"/>
        <v/>
      </c>
      <c r="B1272" s="29" t="str">
        <f t="array" ref="B1272">IF(D1272="","",IFERROR(VALUE(INDEX(Vazoes_COLAR!$A$2:$A$200,INT((ROW()-24)/12)+1)),""))</f>
        <v/>
      </c>
      <c r="C1272" s="29" t="str">
        <f t="shared" si="2"/>
        <v/>
      </c>
      <c r="D1272" s="26" t="str">
        <f t="array" ref="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72" s="26" t="str">
        <f t="shared" si="3"/>
        <v/>
      </c>
      <c r="F1272" s="26" t="str">
        <f t="array" ref="F1272">IF(D1272="","",IFERROR(INDEX(Dados_Evap!$C$2:$N$15,MATCH($B$9,Dados_Evap!$A$2:$A$15,0),C1272),0))</f>
        <v/>
      </c>
      <c r="G1272" s="26" t="str">
        <f t="shared" si="4"/>
        <v/>
      </c>
      <c r="H1272" s="26" t="str">
        <f t="shared" si="22"/>
        <v/>
      </c>
      <c r="I1272" s="26" t="str">
        <f t="array" ref="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/>
      </c>
      <c r="J1272" s="26" t="str">
        <f t="shared" si="5"/>
        <v/>
      </c>
      <c r="K1272" s="26" t="str">
        <f t="shared" si="6"/>
        <v/>
      </c>
      <c r="L1272" s="26" t="str">
        <f t="shared" si="7"/>
        <v/>
      </c>
      <c r="M1272" s="26" t="str">
        <f t="array" ref="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/>
      </c>
      <c r="N1272" s="26" t="str">
        <f t="shared" si="8"/>
        <v/>
      </c>
      <c r="O1272" s="26" t="str">
        <f t="shared" si="9"/>
        <v/>
      </c>
      <c r="P1272" s="26" t="str">
        <f t="shared" si="10"/>
        <v/>
      </c>
      <c r="Q1272" s="26" t="str">
        <f t="shared" si="11"/>
        <v/>
      </c>
      <c r="R1272" s="26" t="str">
        <f t="shared" si="12"/>
        <v/>
      </c>
      <c r="S1272" s="26" t="str">
        <f t="shared" si="13"/>
        <v/>
      </c>
      <c r="T1272" s="26" t="str">
        <f t="shared" si="14"/>
        <v/>
      </c>
      <c r="U1272" s="26" t="str">
        <f t="shared" si="15"/>
        <v/>
      </c>
      <c r="V1272" s="26" t="str">
        <f t="shared" si="16"/>
        <v/>
      </c>
      <c r="W1272" s="26" t="str">
        <f t="shared" si="17"/>
        <v/>
      </c>
      <c r="X1272" s="26" t="str">
        <f t="shared" si="18"/>
        <v/>
      </c>
      <c r="Y1272" s="26" t="str">
        <f t="shared" si="19"/>
        <v/>
      </c>
      <c r="Z1272" s="31" t="str">
        <f t="shared" si="20"/>
        <v/>
      </c>
      <c r="AA1272" s="31" t="str">
        <f>IF(D1272="","",IF(H1272&lt;=$B$16,1,IF(H1272&gt;=$B$17,$B$21,MATCH(H1272,Aux_CAV!$A$2:$A$121,1))))</f>
        <v/>
      </c>
      <c r="AB1272" s="31" t="str">
        <f>IF(D1272="","",IF(L1272&lt;=$B$16,1,IF(L1272&gt;=$B$17,$B$21,MATCH(L1272,Aux_CAV!$A$2:$A$121,1))))</f>
        <v/>
      </c>
      <c r="AC1272" s="3" t="str">
        <f t="shared" si="21"/>
        <v/>
      </c>
    </row>
    <row r="1273" ht="12.75" customHeight="1">
      <c r="A1273" s="25" t="str">
        <f t="shared" si="1"/>
        <v/>
      </c>
      <c r="B1273" s="29" t="str">
        <f t="array" ref="B1273">IF(D1273="","",IFERROR(VALUE(INDEX(Vazoes_COLAR!$A$2:$A$200,INT((ROW()-24)/12)+1)),""))</f>
        <v/>
      </c>
      <c r="C1273" s="29" t="str">
        <f t="shared" si="2"/>
        <v/>
      </c>
      <c r="D1273" s="26" t="str">
        <f t="array" ref="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73" s="26" t="str">
        <f t="shared" si="3"/>
        <v/>
      </c>
      <c r="F1273" s="26" t="str">
        <f t="array" ref="F1273">IF(D1273="","",IFERROR(INDEX(Dados_Evap!$C$2:$N$15,MATCH($B$9,Dados_Evap!$A$2:$A$15,0),C1273),0))</f>
        <v/>
      </c>
      <c r="G1273" s="26" t="str">
        <f t="shared" si="4"/>
        <v/>
      </c>
      <c r="H1273" s="26" t="str">
        <f t="shared" si="22"/>
        <v/>
      </c>
      <c r="I1273" s="26" t="str">
        <f t="array" ref="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/>
      </c>
      <c r="J1273" s="26" t="str">
        <f t="shared" si="5"/>
        <v/>
      </c>
      <c r="K1273" s="26" t="str">
        <f t="shared" si="6"/>
        <v/>
      </c>
      <c r="L1273" s="26" t="str">
        <f t="shared" si="7"/>
        <v/>
      </c>
      <c r="M1273" s="26" t="str">
        <f t="array" ref="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/>
      </c>
      <c r="N1273" s="26" t="str">
        <f t="shared" si="8"/>
        <v/>
      </c>
      <c r="O1273" s="26" t="str">
        <f t="shared" si="9"/>
        <v/>
      </c>
      <c r="P1273" s="26" t="str">
        <f t="shared" si="10"/>
        <v/>
      </c>
      <c r="Q1273" s="26" t="str">
        <f t="shared" si="11"/>
        <v/>
      </c>
      <c r="R1273" s="26" t="str">
        <f t="shared" si="12"/>
        <v/>
      </c>
      <c r="S1273" s="26" t="str">
        <f t="shared" si="13"/>
        <v/>
      </c>
      <c r="T1273" s="26" t="str">
        <f t="shared" si="14"/>
        <v/>
      </c>
      <c r="U1273" s="26" t="str">
        <f t="shared" si="15"/>
        <v/>
      </c>
      <c r="V1273" s="26" t="str">
        <f t="shared" si="16"/>
        <v/>
      </c>
      <c r="W1273" s="26" t="str">
        <f t="shared" si="17"/>
        <v/>
      </c>
      <c r="X1273" s="26" t="str">
        <f t="shared" si="18"/>
        <v/>
      </c>
      <c r="Y1273" s="26" t="str">
        <f t="shared" si="19"/>
        <v/>
      </c>
      <c r="Z1273" s="31" t="str">
        <f t="shared" si="20"/>
        <v/>
      </c>
      <c r="AA1273" s="31" t="str">
        <f>IF(D1273="","",IF(H1273&lt;=$B$16,1,IF(H1273&gt;=$B$17,$B$21,MATCH(H1273,Aux_CAV!$A$2:$A$121,1))))</f>
        <v/>
      </c>
      <c r="AB1273" s="31" t="str">
        <f>IF(D1273="","",IF(L1273&lt;=$B$16,1,IF(L1273&gt;=$B$17,$B$21,MATCH(L1273,Aux_CAV!$A$2:$A$121,1))))</f>
        <v/>
      </c>
      <c r="AC1273" s="3" t="str">
        <f t="shared" si="21"/>
        <v/>
      </c>
    </row>
    <row r="1274" ht="12.75" customHeight="1">
      <c r="A1274" s="25" t="str">
        <f t="shared" si="1"/>
        <v/>
      </c>
      <c r="B1274" s="29" t="str">
        <f t="array" ref="B1274">IF(D1274="","",IFERROR(VALUE(INDEX(Vazoes_COLAR!$A$2:$A$200,INT((ROW()-24)/12)+1)),""))</f>
        <v/>
      </c>
      <c r="C1274" s="29" t="str">
        <f t="shared" si="2"/>
        <v/>
      </c>
      <c r="D1274" s="26" t="str">
        <f t="array" ref="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74" s="26" t="str">
        <f t="shared" si="3"/>
        <v/>
      </c>
      <c r="F1274" s="26" t="str">
        <f t="array" ref="F1274">IF(D1274="","",IFERROR(INDEX(Dados_Evap!$C$2:$N$15,MATCH($B$9,Dados_Evap!$A$2:$A$15,0),C1274),0))</f>
        <v/>
      </c>
      <c r="G1274" s="26" t="str">
        <f t="shared" si="4"/>
        <v/>
      </c>
      <c r="H1274" s="26" t="str">
        <f t="shared" si="22"/>
        <v/>
      </c>
      <c r="I1274" s="26" t="str">
        <f t="array" ref="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/>
      </c>
      <c r="J1274" s="26" t="str">
        <f t="shared" si="5"/>
        <v/>
      </c>
      <c r="K1274" s="26" t="str">
        <f t="shared" si="6"/>
        <v/>
      </c>
      <c r="L1274" s="26" t="str">
        <f t="shared" si="7"/>
        <v/>
      </c>
      <c r="M1274" s="26" t="str">
        <f t="array" ref="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/>
      </c>
      <c r="N1274" s="26" t="str">
        <f t="shared" si="8"/>
        <v/>
      </c>
      <c r="O1274" s="26" t="str">
        <f t="shared" si="9"/>
        <v/>
      </c>
      <c r="P1274" s="26" t="str">
        <f t="shared" si="10"/>
        <v/>
      </c>
      <c r="Q1274" s="26" t="str">
        <f t="shared" si="11"/>
        <v/>
      </c>
      <c r="R1274" s="26" t="str">
        <f t="shared" si="12"/>
        <v/>
      </c>
      <c r="S1274" s="26" t="str">
        <f t="shared" si="13"/>
        <v/>
      </c>
      <c r="T1274" s="26" t="str">
        <f t="shared" si="14"/>
        <v/>
      </c>
      <c r="U1274" s="26" t="str">
        <f t="shared" si="15"/>
        <v/>
      </c>
      <c r="V1274" s="26" t="str">
        <f t="shared" si="16"/>
        <v/>
      </c>
      <c r="W1274" s="26" t="str">
        <f t="shared" si="17"/>
        <v/>
      </c>
      <c r="X1274" s="26" t="str">
        <f t="shared" si="18"/>
        <v/>
      </c>
      <c r="Y1274" s="26" t="str">
        <f t="shared" si="19"/>
        <v/>
      </c>
      <c r="Z1274" s="31" t="str">
        <f t="shared" si="20"/>
        <v/>
      </c>
      <c r="AA1274" s="31" t="str">
        <f>IF(D1274="","",IF(H1274&lt;=$B$16,1,IF(H1274&gt;=$B$17,$B$21,MATCH(H1274,Aux_CAV!$A$2:$A$121,1))))</f>
        <v/>
      </c>
      <c r="AB1274" s="31" t="str">
        <f>IF(D1274="","",IF(L1274&lt;=$B$16,1,IF(L1274&gt;=$B$17,$B$21,MATCH(L1274,Aux_CAV!$A$2:$A$121,1))))</f>
        <v/>
      </c>
      <c r="AC1274" s="3" t="str">
        <f t="shared" si="21"/>
        <v/>
      </c>
    </row>
    <row r="1275" ht="12.75" customHeight="1">
      <c r="A1275" s="25" t="str">
        <f t="shared" si="1"/>
        <v/>
      </c>
      <c r="B1275" s="29" t="str">
        <f t="array" ref="B1275">IF(D1275="","",IFERROR(VALUE(INDEX(Vazoes_COLAR!$A$2:$A$200,INT((ROW()-24)/12)+1)),""))</f>
        <v/>
      </c>
      <c r="C1275" s="29" t="str">
        <f t="shared" si="2"/>
        <v/>
      </c>
      <c r="D1275" s="26" t="str">
        <f t="array" ref="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75" s="26" t="str">
        <f t="shared" si="3"/>
        <v/>
      </c>
      <c r="F1275" s="26" t="str">
        <f t="array" ref="F1275">IF(D1275="","",IFERROR(INDEX(Dados_Evap!$C$2:$N$15,MATCH($B$9,Dados_Evap!$A$2:$A$15,0),C1275),0))</f>
        <v/>
      </c>
      <c r="G1275" s="26" t="str">
        <f t="shared" si="4"/>
        <v/>
      </c>
      <c r="H1275" s="26" t="str">
        <f t="shared" si="22"/>
        <v/>
      </c>
      <c r="I1275" s="26" t="str">
        <f t="array" ref="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/>
      </c>
      <c r="J1275" s="26" t="str">
        <f t="shared" si="5"/>
        <v/>
      </c>
      <c r="K1275" s="26" t="str">
        <f t="shared" si="6"/>
        <v/>
      </c>
      <c r="L1275" s="26" t="str">
        <f t="shared" si="7"/>
        <v/>
      </c>
      <c r="M1275" s="26" t="str">
        <f t="array" ref="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/>
      </c>
      <c r="N1275" s="26" t="str">
        <f t="shared" si="8"/>
        <v/>
      </c>
      <c r="O1275" s="26" t="str">
        <f t="shared" si="9"/>
        <v/>
      </c>
      <c r="P1275" s="26" t="str">
        <f t="shared" si="10"/>
        <v/>
      </c>
      <c r="Q1275" s="26" t="str">
        <f t="shared" si="11"/>
        <v/>
      </c>
      <c r="R1275" s="26" t="str">
        <f t="shared" si="12"/>
        <v/>
      </c>
      <c r="S1275" s="26" t="str">
        <f t="shared" si="13"/>
        <v/>
      </c>
      <c r="T1275" s="26" t="str">
        <f t="shared" si="14"/>
        <v/>
      </c>
      <c r="U1275" s="26" t="str">
        <f t="shared" si="15"/>
        <v/>
      </c>
      <c r="V1275" s="26" t="str">
        <f t="shared" si="16"/>
        <v/>
      </c>
      <c r="W1275" s="26" t="str">
        <f t="shared" si="17"/>
        <v/>
      </c>
      <c r="X1275" s="26" t="str">
        <f t="shared" si="18"/>
        <v/>
      </c>
      <c r="Y1275" s="26" t="str">
        <f t="shared" si="19"/>
        <v/>
      </c>
      <c r="Z1275" s="31" t="str">
        <f t="shared" si="20"/>
        <v/>
      </c>
      <c r="AA1275" s="31" t="str">
        <f>IF(D1275="","",IF(H1275&lt;=$B$16,1,IF(H1275&gt;=$B$17,$B$21,MATCH(H1275,Aux_CAV!$A$2:$A$121,1))))</f>
        <v/>
      </c>
      <c r="AB1275" s="31" t="str">
        <f>IF(D1275="","",IF(L1275&lt;=$B$16,1,IF(L1275&gt;=$B$17,$B$21,MATCH(L1275,Aux_CAV!$A$2:$A$121,1))))</f>
        <v/>
      </c>
      <c r="AC1275" s="3" t="str">
        <f t="shared" si="21"/>
        <v/>
      </c>
    </row>
    <row r="1276" ht="12.75" customHeight="1">
      <c r="A1276" s="25" t="str">
        <f t="shared" si="1"/>
        <v/>
      </c>
      <c r="B1276" s="29" t="str">
        <f t="array" ref="B1276">IF(D1276="","",IFERROR(VALUE(INDEX(Vazoes_COLAR!$A$2:$A$200,INT((ROW()-24)/12)+1)),""))</f>
        <v/>
      </c>
      <c r="C1276" s="29" t="str">
        <f t="shared" si="2"/>
        <v/>
      </c>
      <c r="D1276" s="26" t="str">
        <f t="array" ref="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76" s="26" t="str">
        <f t="shared" si="3"/>
        <v/>
      </c>
      <c r="F1276" s="26" t="str">
        <f t="array" ref="F1276">IF(D1276="","",IFERROR(INDEX(Dados_Evap!$C$2:$N$15,MATCH($B$9,Dados_Evap!$A$2:$A$15,0),C1276),0))</f>
        <v/>
      </c>
      <c r="G1276" s="26" t="str">
        <f t="shared" si="4"/>
        <v/>
      </c>
      <c r="H1276" s="26" t="str">
        <f t="shared" si="22"/>
        <v/>
      </c>
      <c r="I1276" s="26" t="str">
        <f t="array" ref="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/>
      </c>
      <c r="J1276" s="26" t="str">
        <f t="shared" si="5"/>
        <v/>
      </c>
      <c r="K1276" s="26" t="str">
        <f t="shared" si="6"/>
        <v/>
      </c>
      <c r="L1276" s="26" t="str">
        <f t="shared" si="7"/>
        <v/>
      </c>
      <c r="M1276" s="26" t="str">
        <f t="array" ref="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/>
      </c>
      <c r="N1276" s="26" t="str">
        <f t="shared" si="8"/>
        <v/>
      </c>
      <c r="O1276" s="26" t="str">
        <f t="shared" si="9"/>
        <v/>
      </c>
      <c r="P1276" s="26" t="str">
        <f t="shared" si="10"/>
        <v/>
      </c>
      <c r="Q1276" s="26" t="str">
        <f t="shared" si="11"/>
        <v/>
      </c>
      <c r="R1276" s="26" t="str">
        <f t="shared" si="12"/>
        <v/>
      </c>
      <c r="S1276" s="26" t="str">
        <f t="shared" si="13"/>
        <v/>
      </c>
      <c r="T1276" s="26" t="str">
        <f t="shared" si="14"/>
        <v/>
      </c>
      <c r="U1276" s="26" t="str">
        <f t="shared" si="15"/>
        <v/>
      </c>
      <c r="V1276" s="26" t="str">
        <f t="shared" si="16"/>
        <v/>
      </c>
      <c r="W1276" s="26" t="str">
        <f t="shared" si="17"/>
        <v/>
      </c>
      <c r="X1276" s="26" t="str">
        <f t="shared" si="18"/>
        <v/>
      </c>
      <c r="Y1276" s="26" t="str">
        <f t="shared" si="19"/>
        <v/>
      </c>
      <c r="Z1276" s="31" t="str">
        <f t="shared" si="20"/>
        <v/>
      </c>
      <c r="AA1276" s="31" t="str">
        <f>IF(D1276="","",IF(H1276&lt;=$B$16,1,IF(H1276&gt;=$B$17,$B$21,MATCH(H1276,Aux_CAV!$A$2:$A$121,1))))</f>
        <v/>
      </c>
      <c r="AB1276" s="31" t="str">
        <f>IF(D1276="","",IF(L1276&lt;=$B$16,1,IF(L1276&gt;=$B$17,$B$21,MATCH(L1276,Aux_CAV!$A$2:$A$121,1))))</f>
        <v/>
      </c>
      <c r="AC1276" s="3" t="str">
        <f t="shared" si="21"/>
        <v/>
      </c>
    </row>
    <row r="1277" ht="12.75" customHeight="1">
      <c r="A1277" s="25" t="str">
        <f t="shared" si="1"/>
        <v/>
      </c>
      <c r="B1277" s="29" t="str">
        <f t="array" ref="B1277">IF(D1277="","",IFERROR(VALUE(INDEX(Vazoes_COLAR!$A$2:$A$200,INT((ROW()-24)/12)+1)),""))</f>
        <v/>
      </c>
      <c r="C1277" s="29" t="str">
        <f t="shared" si="2"/>
        <v/>
      </c>
      <c r="D1277" s="26" t="str">
        <f t="array" ref="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77" s="26" t="str">
        <f t="shared" si="3"/>
        <v/>
      </c>
      <c r="F1277" s="26" t="str">
        <f t="array" ref="F1277">IF(D1277="","",IFERROR(INDEX(Dados_Evap!$C$2:$N$15,MATCH($B$9,Dados_Evap!$A$2:$A$15,0),C1277),0))</f>
        <v/>
      </c>
      <c r="G1277" s="26" t="str">
        <f t="shared" si="4"/>
        <v/>
      </c>
      <c r="H1277" s="26" t="str">
        <f t="shared" si="22"/>
        <v/>
      </c>
      <c r="I1277" s="26" t="str">
        <f t="array" ref="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/>
      </c>
      <c r="J1277" s="26" t="str">
        <f t="shared" si="5"/>
        <v/>
      </c>
      <c r="K1277" s="26" t="str">
        <f t="shared" si="6"/>
        <v/>
      </c>
      <c r="L1277" s="26" t="str">
        <f t="shared" si="7"/>
        <v/>
      </c>
      <c r="M1277" s="26" t="str">
        <f t="array" ref="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/>
      </c>
      <c r="N1277" s="26" t="str">
        <f t="shared" si="8"/>
        <v/>
      </c>
      <c r="O1277" s="26" t="str">
        <f t="shared" si="9"/>
        <v/>
      </c>
      <c r="P1277" s="26" t="str">
        <f t="shared" si="10"/>
        <v/>
      </c>
      <c r="Q1277" s="26" t="str">
        <f t="shared" si="11"/>
        <v/>
      </c>
      <c r="R1277" s="26" t="str">
        <f t="shared" si="12"/>
        <v/>
      </c>
      <c r="S1277" s="26" t="str">
        <f t="shared" si="13"/>
        <v/>
      </c>
      <c r="T1277" s="26" t="str">
        <f t="shared" si="14"/>
        <v/>
      </c>
      <c r="U1277" s="26" t="str">
        <f t="shared" si="15"/>
        <v/>
      </c>
      <c r="V1277" s="26" t="str">
        <f t="shared" si="16"/>
        <v/>
      </c>
      <c r="W1277" s="26" t="str">
        <f t="shared" si="17"/>
        <v/>
      </c>
      <c r="X1277" s="26" t="str">
        <f t="shared" si="18"/>
        <v/>
      </c>
      <c r="Y1277" s="26" t="str">
        <f t="shared" si="19"/>
        <v/>
      </c>
      <c r="Z1277" s="31" t="str">
        <f t="shared" si="20"/>
        <v/>
      </c>
      <c r="AA1277" s="31" t="str">
        <f>IF(D1277="","",IF(H1277&lt;=$B$16,1,IF(H1277&gt;=$B$17,$B$21,MATCH(H1277,Aux_CAV!$A$2:$A$121,1))))</f>
        <v/>
      </c>
      <c r="AB1277" s="31" t="str">
        <f>IF(D1277="","",IF(L1277&lt;=$B$16,1,IF(L1277&gt;=$B$17,$B$21,MATCH(L1277,Aux_CAV!$A$2:$A$121,1))))</f>
        <v/>
      </c>
      <c r="AC1277" s="3" t="str">
        <f t="shared" si="21"/>
        <v/>
      </c>
    </row>
    <row r="1278" ht="12.75" customHeight="1">
      <c r="A1278" s="25" t="str">
        <f t="shared" si="1"/>
        <v/>
      </c>
      <c r="B1278" s="29" t="str">
        <f t="array" ref="B1278">IF(D1278="","",IFERROR(VALUE(INDEX(Vazoes_COLAR!$A$2:$A$200,INT((ROW()-24)/12)+1)),""))</f>
        <v/>
      </c>
      <c r="C1278" s="29" t="str">
        <f t="shared" si="2"/>
        <v/>
      </c>
      <c r="D1278" s="26" t="str">
        <f t="array" ref="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78" s="26" t="str">
        <f t="shared" si="3"/>
        <v/>
      </c>
      <c r="F1278" s="26" t="str">
        <f t="array" ref="F1278">IF(D1278="","",IFERROR(INDEX(Dados_Evap!$C$2:$N$15,MATCH($B$9,Dados_Evap!$A$2:$A$15,0),C1278),0))</f>
        <v/>
      </c>
      <c r="G1278" s="26" t="str">
        <f t="shared" si="4"/>
        <v/>
      </c>
      <c r="H1278" s="26" t="str">
        <f t="shared" si="22"/>
        <v/>
      </c>
      <c r="I1278" s="26" t="str">
        <f t="array" ref="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/>
      </c>
      <c r="J1278" s="26" t="str">
        <f t="shared" si="5"/>
        <v/>
      </c>
      <c r="K1278" s="26" t="str">
        <f t="shared" si="6"/>
        <v/>
      </c>
      <c r="L1278" s="26" t="str">
        <f t="shared" si="7"/>
        <v/>
      </c>
      <c r="M1278" s="26" t="str">
        <f t="array" ref="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/>
      </c>
      <c r="N1278" s="26" t="str">
        <f t="shared" si="8"/>
        <v/>
      </c>
      <c r="O1278" s="26" t="str">
        <f t="shared" si="9"/>
        <v/>
      </c>
      <c r="P1278" s="26" t="str">
        <f t="shared" si="10"/>
        <v/>
      </c>
      <c r="Q1278" s="26" t="str">
        <f t="shared" si="11"/>
        <v/>
      </c>
      <c r="R1278" s="26" t="str">
        <f t="shared" si="12"/>
        <v/>
      </c>
      <c r="S1278" s="26" t="str">
        <f t="shared" si="13"/>
        <v/>
      </c>
      <c r="T1278" s="26" t="str">
        <f t="shared" si="14"/>
        <v/>
      </c>
      <c r="U1278" s="26" t="str">
        <f t="shared" si="15"/>
        <v/>
      </c>
      <c r="V1278" s="26" t="str">
        <f t="shared" si="16"/>
        <v/>
      </c>
      <c r="W1278" s="26" t="str">
        <f t="shared" si="17"/>
        <v/>
      </c>
      <c r="X1278" s="26" t="str">
        <f t="shared" si="18"/>
        <v/>
      </c>
      <c r="Y1278" s="26" t="str">
        <f t="shared" si="19"/>
        <v/>
      </c>
      <c r="Z1278" s="31" t="str">
        <f t="shared" si="20"/>
        <v/>
      </c>
      <c r="AA1278" s="31" t="str">
        <f>IF(D1278="","",IF(H1278&lt;=$B$16,1,IF(H1278&gt;=$B$17,$B$21,MATCH(H1278,Aux_CAV!$A$2:$A$121,1))))</f>
        <v/>
      </c>
      <c r="AB1278" s="31" t="str">
        <f>IF(D1278="","",IF(L1278&lt;=$B$16,1,IF(L1278&gt;=$B$17,$B$21,MATCH(L1278,Aux_CAV!$A$2:$A$121,1))))</f>
        <v/>
      </c>
      <c r="AC1278" s="3" t="str">
        <f t="shared" si="21"/>
        <v/>
      </c>
    </row>
    <row r="1279" ht="12.75" customHeight="1">
      <c r="A1279" s="25" t="str">
        <f t="shared" si="1"/>
        <v/>
      </c>
      <c r="B1279" s="29" t="str">
        <f t="array" ref="B1279">IF(D1279="","",IFERROR(VALUE(INDEX(Vazoes_COLAR!$A$2:$A$200,INT((ROW()-24)/12)+1)),""))</f>
        <v/>
      </c>
      <c r="C1279" s="29" t="str">
        <f t="shared" si="2"/>
        <v/>
      </c>
      <c r="D1279" s="26" t="str">
        <f t="array" ref="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79" s="26" t="str">
        <f t="shared" si="3"/>
        <v/>
      </c>
      <c r="F1279" s="26" t="str">
        <f t="array" ref="F1279">IF(D1279="","",IFERROR(INDEX(Dados_Evap!$C$2:$N$15,MATCH($B$9,Dados_Evap!$A$2:$A$15,0),C1279),0))</f>
        <v/>
      </c>
      <c r="G1279" s="26" t="str">
        <f t="shared" si="4"/>
        <v/>
      </c>
      <c r="H1279" s="26" t="str">
        <f t="shared" si="22"/>
        <v/>
      </c>
      <c r="I1279" s="26" t="str">
        <f t="array" ref="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/>
      </c>
      <c r="J1279" s="26" t="str">
        <f t="shared" si="5"/>
        <v/>
      </c>
      <c r="K1279" s="26" t="str">
        <f t="shared" si="6"/>
        <v/>
      </c>
      <c r="L1279" s="26" t="str">
        <f t="shared" si="7"/>
        <v/>
      </c>
      <c r="M1279" s="26" t="str">
        <f t="array" ref="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/>
      </c>
      <c r="N1279" s="26" t="str">
        <f t="shared" si="8"/>
        <v/>
      </c>
      <c r="O1279" s="26" t="str">
        <f t="shared" si="9"/>
        <v/>
      </c>
      <c r="P1279" s="26" t="str">
        <f t="shared" si="10"/>
        <v/>
      </c>
      <c r="Q1279" s="26" t="str">
        <f t="shared" si="11"/>
        <v/>
      </c>
      <c r="R1279" s="26" t="str">
        <f t="shared" si="12"/>
        <v/>
      </c>
      <c r="S1279" s="26" t="str">
        <f t="shared" si="13"/>
        <v/>
      </c>
      <c r="T1279" s="26" t="str">
        <f t="shared" si="14"/>
        <v/>
      </c>
      <c r="U1279" s="26" t="str">
        <f t="shared" si="15"/>
        <v/>
      </c>
      <c r="V1279" s="26" t="str">
        <f t="shared" si="16"/>
        <v/>
      </c>
      <c r="W1279" s="26" t="str">
        <f t="shared" si="17"/>
        <v/>
      </c>
      <c r="X1279" s="26" t="str">
        <f t="shared" si="18"/>
        <v/>
      </c>
      <c r="Y1279" s="26" t="str">
        <f t="shared" si="19"/>
        <v/>
      </c>
      <c r="Z1279" s="31" t="str">
        <f t="shared" si="20"/>
        <v/>
      </c>
      <c r="AA1279" s="31" t="str">
        <f>IF(D1279="","",IF(H1279&lt;=$B$16,1,IF(H1279&gt;=$B$17,$B$21,MATCH(H1279,Aux_CAV!$A$2:$A$121,1))))</f>
        <v/>
      </c>
      <c r="AB1279" s="31" t="str">
        <f>IF(D1279="","",IF(L1279&lt;=$B$16,1,IF(L1279&gt;=$B$17,$B$21,MATCH(L1279,Aux_CAV!$A$2:$A$121,1))))</f>
        <v/>
      </c>
      <c r="AC1279" s="3" t="str">
        <f t="shared" si="21"/>
        <v/>
      </c>
    </row>
    <row r="1280" ht="12.75" customHeight="1">
      <c r="A1280" s="25" t="str">
        <f t="shared" si="1"/>
        <v/>
      </c>
      <c r="B1280" s="29" t="str">
        <f t="array" ref="B1280">IF(D1280="","",IFERROR(VALUE(INDEX(Vazoes_COLAR!$A$2:$A$200,INT((ROW()-24)/12)+1)),""))</f>
        <v/>
      </c>
      <c r="C1280" s="29" t="str">
        <f t="shared" si="2"/>
        <v/>
      </c>
      <c r="D1280" s="26" t="str">
        <f t="array" ref="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80" s="26" t="str">
        <f t="shared" si="3"/>
        <v/>
      </c>
      <c r="F1280" s="26" t="str">
        <f t="array" ref="F1280">IF(D1280="","",IFERROR(INDEX(Dados_Evap!$C$2:$N$15,MATCH($B$9,Dados_Evap!$A$2:$A$15,0),C1280),0))</f>
        <v/>
      </c>
      <c r="G1280" s="26" t="str">
        <f t="shared" si="4"/>
        <v/>
      </c>
      <c r="H1280" s="26" t="str">
        <f t="shared" si="22"/>
        <v/>
      </c>
      <c r="I1280" s="26" t="str">
        <f t="array" ref="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/>
      </c>
      <c r="J1280" s="26" t="str">
        <f t="shared" si="5"/>
        <v/>
      </c>
      <c r="K1280" s="26" t="str">
        <f t="shared" si="6"/>
        <v/>
      </c>
      <c r="L1280" s="26" t="str">
        <f t="shared" si="7"/>
        <v/>
      </c>
      <c r="M1280" s="26" t="str">
        <f t="array" ref="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/>
      </c>
      <c r="N1280" s="26" t="str">
        <f t="shared" si="8"/>
        <v/>
      </c>
      <c r="O1280" s="26" t="str">
        <f t="shared" si="9"/>
        <v/>
      </c>
      <c r="P1280" s="26" t="str">
        <f t="shared" si="10"/>
        <v/>
      </c>
      <c r="Q1280" s="26" t="str">
        <f t="shared" si="11"/>
        <v/>
      </c>
      <c r="R1280" s="26" t="str">
        <f t="shared" si="12"/>
        <v/>
      </c>
      <c r="S1280" s="26" t="str">
        <f t="shared" si="13"/>
        <v/>
      </c>
      <c r="T1280" s="26" t="str">
        <f t="shared" si="14"/>
        <v/>
      </c>
      <c r="U1280" s="26" t="str">
        <f t="shared" si="15"/>
        <v/>
      </c>
      <c r="V1280" s="26" t="str">
        <f t="shared" si="16"/>
        <v/>
      </c>
      <c r="W1280" s="26" t="str">
        <f t="shared" si="17"/>
        <v/>
      </c>
      <c r="X1280" s="26" t="str">
        <f t="shared" si="18"/>
        <v/>
      </c>
      <c r="Y1280" s="26" t="str">
        <f t="shared" si="19"/>
        <v/>
      </c>
      <c r="Z1280" s="31" t="str">
        <f t="shared" si="20"/>
        <v/>
      </c>
      <c r="AA1280" s="31" t="str">
        <f>IF(D1280="","",IF(H1280&lt;=$B$16,1,IF(H1280&gt;=$B$17,$B$21,MATCH(H1280,Aux_CAV!$A$2:$A$121,1))))</f>
        <v/>
      </c>
      <c r="AB1280" s="31" t="str">
        <f>IF(D1280="","",IF(L1280&lt;=$B$16,1,IF(L1280&gt;=$B$17,$B$21,MATCH(L1280,Aux_CAV!$A$2:$A$121,1))))</f>
        <v/>
      </c>
      <c r="AC1280" s="3" t="str">
        <f t="shared" si="21"/>
        <v/>
      </c>
    </row>
    <row r="1281" ht="12.75" customHeight="1">
      <c r="A1281" s="25" t="str">
        <f t="shared" si="1"/>
        <v/>
      </c>
      <c r="B1281" s="29" t="str">
        <f t="array" ref="B1281">IF(D1281="","",IFERROR(VALUE(INDEX(Vazoes_COLAR!$A$2:$A$200,INT((ROW()-24)/12)+1)),""))</f>
        <v/>
      </c>
      <c r="C1281" s="29" t="str">
        <f t="shared" si="2"/>
        <v/>
      </c>
      <c r="D1281" s="26" t="str">
        <f t="array" ref="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81" s="26" t="str">
        <f t="shared" si="3"/>
        <v/>
      </c>
      <c r="F1281" s="26" t="str">
        <f t="array" ref="F1281">IF(D1281="","",IFERROR(INDEX(Dados_Evap!$C$2:$N$15,MATCH($B$9,Dados_Evap!$A$2:$A$15,0),C1281),0))</f>
        <v/>
      </c>
      <c r="G1281" s="26" t="str">
        <f t="shared" si="4"/>
        <v/>
      </c>
      <c r="H1281" s="26" t="str">
        <f t="shared" si="22"/>
        <v/>
      </c>
      <c r="I1281" s="26" t="str">
        <f t="array" ref="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/>
      </c>
      <c r="J1281" s="26" t="str">
        <f t="shared" si="5"/>
        <v/>
      </c>
      <c r="K1281" s="26" t="str">
        <f t="shared" si="6"/>
        <v/>
      </c>
      <c r="L1281" s="26" t="str">
        <f t="shared" si="7"/>
        <v/>
      </c>
      <c r="M1281" s="26" t="str">
        <f t="array" ref="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/>
      </c>
      <c r="N1281" s="26" t="str">
        <f t="shared" si="8"/>
        <v/>
      </c>
      <c r="O1281" s="26" t="str">
        <f t="shared" si="9"/>
        <v/>
      </c>
      <c r="P1281" s="26" t="str">
        <f t="shared" si="10"/>
        <v/>
      </c>
      <c r="Q1281" s="26" t="str">
        <f t="shared" si="11"/>
        <v/>
      </c>
      <c r="R1281" s="26" t="str">
        <f t="shared" si="12"/>
        <v/>
      </c>
      <c r="S1281" s="26" t="str">
        <f t="shared" si="13"/>
        <v/>
      </c>
      <c r="T1281" s="26" t="str">
        <f t="shared" si="14"/>
        <v/>
      </c>
      <c r="U1281" s="26" t="str">
        <f t="shared" si="15"/>
        <v/>
      </c>
      <c r="V1281" s="26" t="str">
        <f t="shared" si="16"/>
        <v/>
      </c>
      <c r="W1281" s="26" t="str">
        <f t="shared" si="17"/>
        <v/>
      </c>
      <c r="X1281" s="26" t="str">
        <f t="shared" si="18"/>
        <v/>
      </c>
      <c r="Y1281" s="26" t="str">
        <f t="shared" si="19"/>
        <v/>
      </c>
      <c r="Z1281" s="31" t="str">
        <f t="shared" si="20"/>
        <v/>
      </c>
      <c r="AA1281" s="31" t="str">
        <f>IF(D1281="","",IF(H1281&lt;=$B$16,1,IF(H1281&gt;=$B$17,$B$21,MATCH(H1281,Aux_CAV!$A$2:$A$121,1))))</f>
        <v/>
      </c>
      <c r="AB1281" s="31" t="str">
        <f>IF(D1281="","",IF(L1281&lt;=$B$16,1,IF(L1281&gt;=$B$17,$B$21,MATCH(L1281,Aux_CAV!$A$2:$A$121,1))))</f>
        <v/>
      </c>
      <c r="AC1281" s="3" t="str">
        <f t="shared" si="21"/>
        <v/>
      </c>
    </row>
    <row r="1282" ht="12.75" customHeight="1">
      <c r="A1282" s="25" t="str">
        <f t="shared" si="1"/>
        <v/>
      </c>
      <c r="B1282" s="29" t="str">
        <f t="array" ref="B1282">IF(D1282="","",IFERROR(VALUE(INDEX(Vazoes_COLAR!$A$2:$A$200,INT((ROW()-24)/12)+1)),""))</f>
        <v/>
      </c>
      <c r="C1282" s="29" t="str">
        <f t="shared" si="2"/>
        <v/>
      </c>
      <c r="D1282" s="26" t="str">
        <f t="array" ref="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82" s="26" t="str">
        <f t="shared" si="3"/>
        <v/>
      </c>
      <c r="F1282" s="26" t="str">
        <f t="array" ref="F1282">IF(D1282="","",IFERROR(INDEX(Dados_Evap!$C$2:$N$15,MATCH($B$9,Dados_Evap!$A$2:$A$15,0),C1282),0))</f>
        <v/>
      </c>
      <c r="G1282" s="26" t="str">
        <f t="shared" si="4"/>
        <v/>
      </c>
      <c r="H1282" s="26" t="str">
        <f t="shared" si="22"/>
        <v/>
      </c>
      <c r="I1282" s="26" t="str">
        <f t="array" ref="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/>
      </c>
      <c r="J1282" s="26" t="str">
        <f t="shared" si="5"/>
        <v/>
      </c>
      <c r="K1282" s="26" t="str">
        <f t="shared" si="6"/>
        <v/>
      </c>
      <c r="L1282" s="26" t="str">
        <f t="shared" si="7"/>
        <v/>
      </c>
      <c r="M1282" s="26" t="str">
        <f t="array" ref="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/>
      </c>
      <c r="N1282" s="26" t="str">
        <f t="shared" si="8"/>
        <v/>
      </c>
      <c r="O1282" s="26" t="str">
        <f t="shared" si="9"/>
        <v/>
      </c>
      <c r="P1282" s="26" t="str">
        <f t="shared" si="10"/>
        <v/>
      </c>
      <c r="Q1282" s="26" t="str">
        <f t="shared" si="11"/>
        <v/>
      </c>
      <c r="R1282" s="26" t="str">
        <f t="shared" si="12"/>
        <v/>
      </c>
      <c r="S1282" s="26" t="str">
        <f t="shared" si="13"/>
        <v/>
      </c>
      <c r="T1282" s="26" t="str">
        <f t="shared" si="14"/>
        <v/>
      </c>
      <c r="U1282" s="26" t="str">
        <f t="shared" si="15"/>
        <v/>
      </c>
      <c r="V1282" s="26" t="str">
        <f t="shared" si="16"/>
        <v/>
      </c>
      <c r="W1282" s="26" t="str">
        <f t="shared" si="17"/>
        <v/>
      </c>
      <c r="X1282" s="26" t="str">
        <f t="shared" si="18"/>
        <v/>
      </c>
      <c r="Y1282" s="26" t="str">
        <f t="shared" si="19"/>
        <v/>
      </c>
      <c r="Z1282" s="31" t="str">
        <f t="shared" si="20"/>
        <v/>
      </c>
      <c r="AA1282" s="31" t="str">
        <f>IF(D1282="","",IF(H1282&lt;=$B$16,1,IF(H1282&gt;=$B$17,$B$21,MATCH(H1282,Aux_CAV!$A$2:$A$121,1))))</f>
        <v/>
      </c>
      <c r="AB1282" s="31" t="str">
        <f>IF(D1282="","",IF(L1282&lt;=$B$16,1,IF(L1282&gt;=$B$17,$B$21,MATCH(L1282,Aux_CAV!$A$2:$A$121,1))))</f>
        <v/>
      </c>
      <c r="AC1282" s="3" t="str">
        <f t="shared" si="21"/>
        <v/>
      </c>
    </row>
    <row r="1283" ht="12.75" customHeight="1">
      <c r="A1283" s="25" t="str">
        <f t="shared" si="1"/>
        <v/>
      </c>
      <c r="B1283" s="29" t="str">
        <f t="array" ref="B1283">IF(D1283="","",IFERROR(VALUE(INDEX(Vazoes_COLAR!$A$2:$A$200,INT((ROW()-24)/12)+1)),""))</f>
        <v/>
      </c>
      <c r="C1283" s="29" t="str">
        <f t="shared" si="2"/>
        <v/>
      </c>
      <c r="D1283" s="26" t="str">
        <f t="array" ref="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83" s="26" t="str">
        <f t="shared" si="3"/>
        <v/>
      </c>
      <c r="F1283" s="26" t="str">
        <f t="array" ref="F1283">IF(D1283="","",IFERROR(INDEX(Dados_Evap!$C$2:$N$15,MATCH($B$9,Dados_Evap!$A$2:$A$15,0),C1283),0))</f>
        <v/>
      </c>
      <c r="G1283" s="26" t="str">
        <f t="shared" si="4"/>
        <v/>
      </c>
      <c r="H1283" s="26" t="str">
        <f t="shared" si="22"/>
        <v/>
      </c>
      <c r="I1283" s="26" t="str">
        <f t="array" ref="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/>
      </c>
      <c r="J1283" s="26" t="str">
        <f t="shared" si="5"/>
        <v/>
      </c>
      <c r="K1283" s="26" t="str">
        <f t="shared" si="6"/>
        <v/>
      </c>
      <c r="L1283" s="26" t="str">
        <f t="shared" si="7"/>
        <v/>
      </c>
      <c r="M1283" s="26" t="str">
        <f t="array" ref="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/>
      </c>
      <c r="N1283" s="26" t="str">
        <f t="shared" si="8"/>
        <v/>
      </c>
      <c r="O1283" s="26" t="str">
        <f t="shared" si="9"/>
        <v/>
      </c>
      <c r="P1283" s="26" t="str">
        <f t="shared" si="10"/>
        <v/>
      </c>
      <c r="Q1283" s="26" t="str">
        <f t="shared" si="11"/>
        <v/>
      </c>
      <c r="R1283" s="26" t="str">
        <f t="shared" si="12"/>
        <v/>
      </c>
      <c r="S1283" s="26" t="str">
        <f t="shared" si="13"/>
        <v/>
      </c>
      <c r="T1283" s="26" t="str">
        <f t="shared" si="14"/>
        <v/>
      </c>
      <c r="U1283" s="26" t="str">
        <f t="shared" si="15"/>
        <v/>
      </c>
      <c r="V1283" s="26" t="str">
        <f t="shared" si="16"/>
        <v/>
      </c>
      <c r="W1283" s="26" t="str">
        <f t="shared" si="17"/>
        <v/>
      </c>
      <c r="X1283" s="26" t="str">
        <f t="shared" si="18"/>
        <v/>
      </c>
      <c r="Y1283" s="26" t="str">
        <f t="shared" si="19"/>
        <v/>
      </c>
      <c r="Z1283" s="31" t="str">
        <f t="shared" si="20"/>
        <v/>
      </c>
      <c r="AA1283" s="31" t="str">
        <f>IF(D1283="","",IF(H1283&lt;=$B$16,1,IF(H1283&gt;=$B$17,$B$21,MATCH(H1283,Aux_CAV!$A$2:$A$121,1))))</f>
        <v/>
      </c>
      <c r="AB1283" s="31" t="str">
        <f>IF(D1283="","",IF(L1283&lt;=$B$16,1,IF(L1283&gt;=$B$17,$B$21,MATCH(L1283,Aux_CAV!$A$2:$A$121,1))))</f>
        <v/>
      </c>
      <c r="AC1283" s="3" t="str">
        <f t="shared" si="21"/>
        <v/>
      </c>
    </row>
    <row r="1284" ht="12.75" customHeight="1">
      <c r="A1284" s="25" t="str">
        <f t="shared" si="1"/>
        <v/>
      </c>
      <c r="B1284" s="29" t="str">
        <f t="array" ref="B1284">IF(D1284="","",IFERROR(VALUE(INDEX(Vazoes_COLAR!$A$2:$A$200,INT((ROW()-24)/12)+1)),""))</f>
        <v/>
      </c>
      <c r="C1284" s="29" t="str">
        <f t="shared" si="2"/>
        <v/>
      </c>
      <c r="D1284" s="26" t="str">
        <f t="array" ref="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84" s="26" t="str">
        <f t="shared" si="3"/>
        <v/>
      </c>
      <c r="F1284" s="26" t="str">
        <f t="array" ref="F1284">IF(D1284="","",IFERROR(INDEX(Dados_Evap!$C$2:$N$15,MATCH($B$9,Dados_Evap!$A$2:$A$15,0),C1284),0))</f>
        <v/>
      </c>
      <c r="G1284" s="26" t="str">
        <f t="shared" si="4"/>
        <v/>
      </c>
      <c r="H1284" s="26" t="str">
        <f t="shared" si="22"/>
        <v/>
      </c>
      <c r="I1284" s="26" t="str">
        <f t="array" ref="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/>
      </c>
      <c r="J1284" s="26" t="str">
        <f t="shared" si="5"/>
        <v/>
      </c>
      <c r="K1284" s="26" t="str">
        <f t="shared" si="6"/>
        <v/>
      </c>
      <c r="L1284" s="26" t="str">
        <f t="shared" si="7"/>
        <v/>
      </c>
      <c r="M1284" s="26" t="str">
        <f t="array" ref="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/>
      </c>
      <c r="N1284" s="26" t="str">
        <f t="shared" si="8"/>
        <v/>
      </c>
      <c r="O1284" s="26" t="str">
        <f t="shared" si="9"/>
        <v/>
      </c>
      <c r="P1284" s="26" t="str">
        <f t="shared" si="10"/>
        <v/>
      </c>
      <c r="Q1284" s="26" t="str">
        <f t="shared" si="11"/>
        <v/>
      </c>
      <c r="R1284" s="26" t="str">
        <f t="shared" si="12"/>
        <v/>
      </c>
      <c r="S1284" s="26" t="str">
        <f t="shared" si="13"/>
        <v/>
      </c>
      <c r="T1284" s="26" t="str">
        <f t="shared" si="14"/>
        <v/>
      </c>
      <c r="U1284" s="26" t="str">
        <f t="shared" si="15"/>
        <v/>
      </c>
      <c r="V1284" s="26" t="str">
        <f t="shared" si="16"/>
        <v/>
      </c>
      <c r="W1284" s="26" t="str">
        <f t="shared" si="17"/>
        <v/>
      </c>
      <c r="X1284" s="26" t="str">
        <f t="shared" si="18"/>
        <v/>
      </c>
      <c r="Y1284" s="26" t="str">
        <f t="shared" si="19"/>
        <v/>
      </c>
      <c r="Z1284" s="31" t="str">
        <f t="shared" si="20"/>
        <v/>
      </c>
      <c r="AA1284" s="31" t="str">
        <f>IF(D1284="","",IF(H1284&lt;=$B$16,1,IF(H1284&gt;=$B$17,$B$21,MATCH(H1284,Aux_CAV!$A$2:$A$121,1))))</f>
        <v/>
      </c>
      <c r="AB1284" s="31" t="str">
        <f>IF(D1284="","",IF(L1284&lt;=$B$16,1,IF(L1284&gt;=$B$17,$B$21,MATCH(L1284,Aux_CAV!$A$2:$A$121,1))))</f>
        <v/>
      </c>
      <c r="AC1284" s="3" t="str">
        <f t="shared" si="21"/>
        <v/>
      </c>
    </row>
    <row r="1285" ht="12.75" customHeight="1">
      <c r="A1285" s="25" t="str">
        <f t="shared" si="1"/>
        <v/>
      </c>
      <c r="B1285" s="29" t="str">
        <f t="array" ref="B1285">IF(D1285="","",IFERROR(VALUE(INDEX(Vazoes_COLAR!$A$2:$A$200,INT((ROW()-24)/12)+1)),""))</f>
        <v/>
      </c>
      <c r="C1285" s="29" t="str">
        <f t="shared" si="2"/>
        <v/>
      </c>
      <c r="D1285" s="26" t="str">
        <f t="array" ref="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85" s="26" t="str">
        <f t="shared" si="3"/>
        <v/>
      </c>
      <c r="F1285" s="26" t="str">
        <f t="array" ref="F1285">IF(D1285="","",IFERROR(INDEX(Dados_Evap!$C$2:$N$15,MATCH($B$9,Dados_Evap!$A$2:$A$15,0),C1285),0))</f>
        <v/>
      </c>
      <c r="G1285" s="26" t="str">
        <f t="shared" si="4"/>
        <v/>
      </c>
      <c r="H1285" s="26" t="str">
        <f t="shared" si="22"/>
        <v/>
      </c>
      <c r="I1285" s="26" t="str">
        <f t="array" ref="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/>
      </c>
      <c r="J1285" s="26" t="str">
        <f t="shared" si="5"/>
        <v/>
      </c>
      <c r="K1285" s="26" t="str">
        <f t="shared" si="6"/>
        <v/>
      </c>
      <c r="L1285" s="26" t="str">
        <f t="shared" si="7"/>
        <v/>
      </c>
      <c r="M1285" s="26" t="str">
        <f t="array" ref="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/>
      </c>
      <c r="N1285" s="26" t="str">
        <f t="shared" si="8"/>
        <v/>
      </c>
      <c r="O1285" s="26" t="str">
        <f t="shared" si="9"/>
        <v/>
      </c>
      <c r="P1285" s="26" t="str">
        <f t="shared" si="10"/>
        <v/>
      </c>
      <c r="Q1285" s="26" t="str">
        <f t="shared" si="11"/>
        <v/>
      </c>
      <c r="R1285" s="26" t="str">
        <f t="shared" si="12"/>
        <v/>
      </c>
      <c r="S1285" s="26" t="str">
        <f t="shared" si="13"/>
        <v/>
      </c>
      <c r="T1285" s="26" t="str">
        <f t="shared" si="14"/>
        <v/>
      </c>
      <c r="U1285" s="26" t="str">
        <f t="shared" si="15"/>
        <v/>
      </c>
      <c r="V1285" s="26" t="str">
        <f t="shared" si="16"/>
        <v/>
      </c>
      <c r="W1285" s="26" t="str">
        <f t="shared" si="17"/>
        <v/>
      </c>
      <c r="X1285" s="26" t="str">
        <f t="shared" si="18"/>
        <v/>
      </c>
      <c r="Y1285" s="26" t="str">
        <f t="shared" si="19"/>
        <v/>
      </c>
      <c r="Z1285" s="31" t="str">
        <f t="shared" si="20"/>
        <v/>
      </c>
      <c r="AA1285" s="31" t="str">
        <f>IF(D1285="","",IF(H1285&lt;=$B$16,1,IF(H1285&gt;=$B$17,$B$21,MATCH(H1285,Aux_CAV!$A$2:$A$121,1))))</f>
        <v/>
      </c>
      <c r="AB1285" s="31" t="str">
        <f>IF(D1285="","",IF(L1285&lt;=$B$16,1,IF(L1285&gt;=$B$17,$B$21,MATCH(L1285,Aux_CAV!$A$2:$A$121,1))))</f>
        <v/>
      </c>
      <c r="AC1285" s="3" t="str">
        <f t="shared" si="21"/>
        <v/>
      </c>
    </row>
    <row r="1286" ht="12.75" customHeight="1">
      <c r="A1286" s="25" t="str">
        <f t="shared" si="1"/>
        <v/>
      </c>
      <c r="B1286" s="29" t="str">
        <f t="array" ref="B1286">IF(D1286="","",IFERROR(VALUE(INDEX(Vazoes_COLAR!$A$2:$A$200,INT((ROW()-24)/12)+1)),""))</f>
        <v/>
      </c>
      <c r="C1286" s="29" t="str">
        <f t="shared" si="2"/>
        <v/>
      </c>
      <c r="D1286" s="26" t="str">
        <f t="array" ref="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86" s="26" t="str">
        <f t="shared" si="3"/>
        <v/>
      </c>
      <c r="F1286" s="26" t="str">
        <f t="array" ref="F1286">IF(D1286="","",IFERROR(INDEX(Dados_Evap!$C$2:$N$15,MATCH($B$9,Dados_Evap!$A$2:$A$15,0),C1286),0))</f>
        <v/>
      </c>
      <c r="G1286" s="26" t="str">
        <f t="shared" si="4"/>
        <v/>
      </c>
      <c r="H1286" s="26" t="str">
        <f t="shared" si="22"/>
        <v/>
      </c>
      <c r="I1286" s="26" t="str">
        <f t="array" ref="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/>
      </c>
      <c r="J1286" s="26" t="str">
        <f t="shared" si="5"/>
        <v/>
      </c>
      <c r="K1286" s="26" t="str">
        <f t="shared" si="6"/>
        <v/>
      </c>
      <c r="L1286" s="26" t="str">
        <f t="shared" si="7"/>
        <v/>
      </c>
      <c r="M1286" s="26" t="str">
        <f t="array" ref="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/>
      </c>
      <c r="N1286" s="26" t="str">
        <f t="shared" si="8"/>
        <v/>
      </c>
      <c r="O1286" s="26" t="str">
        <f t="shared" si="9"/>
        <v/>
      </c>
      <c r="P1286" s="26" t="str">
        <f t="shared" si="10"/>
        <v/>
      </c>
      <c r="Q1286" s="26" t="str">
        <f t="shared" si="11"/>
        <v/>
      </c>
      <c r="R1286" s="26" t="str">
        <f t="shared" si="12"/>
        <v/>
      </c>
      <c r="S1286" s="26" t="str">
        <f t="shared" si="13"/>
        <v/>
      </c>
      <c r="T1286" s="26" t="str">
        <f t="shared" si="14"/>
        <v/>
      </c>
      <c r="U1286" s="26" t="str">
        <f t="shared" si="15"/>
        <v/>
      </c>
      <c r="V1286" s="26" t="str">
        <f t="shared" si="16"/>
        <v/>
      </c>
      <c r="W1286" s="26" t="str">
        <f t="shared" si="17"/>
        <v/>
      </c>
      <c r="X1286" s="26" t="str">
        <f t="shared" si="18"/>
        <v/>
      </c>
      <c r="Y1286" s="26" t="str">
        <f t="shared" si="19"/>
        <v/>
      </c>
      <c r="Z1286" s="31" t="str">
        <f t="shared" si="20"/>
        <v/>
      </c>
      <c r="AA1286" s="31" t="str">
        <f>IF(D1286="","",IF(H1286&lt;=$B$16,1,IF(H1286&gt;=$B$17,$B$21,MATCH(H1286,Aux_CAV!$A$2:$A$121,1))))</f>
        <v/>
      </c>
      <c r="AB1286" s="31" t="str">
        <f>IF(D1286="","",IF(L1286&lt;=$B$16,1,IF(L1286&gt;=$B$17,$B$21,MATCH(L1286,Aux_CAV!$A$2:$A$121,1))))</f>
        <v/>
      </c>
      <c r="AC1286" s="3" t="str">
        <f t="shared" si="21"/>
        <v/>
      </c>
    </row>
    <row r="1287" ht="12.75" customHeight="1">
      <c r="A1287" s="25" t="str">
        <f t="shared" si="1"/>
        <v/>
      </c>
      <c r="B1287" s="29" t="str">
        <f t="array" ref="B1287">IF(D1287="","",IFERROR(VALUE(INDEX(Vazoes_COLAR!$A$2:$A$200,INT((ROW()-24)/12)+1)),""))</f>
        <v/>
      </c>
      <c r="C1287" s="29" t="str">
        <f t="shared" si="2"/>
        <v/>
      </c>
      <c r="D1287" s="26" t="str">
        <f t="array" ref="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87" s="26" t="str">
        <f t="shared" si="3"/>
        <v/>
      </c>
      <c r="F1287" s="26" t="str">
        <f t="array" ref="F1287">IF(D1287="","",IFERROR(INDEX(Dados_Evap!$C$2:$N$15,MATCH($B$9,Dados_Evap!$A$2:$A$15,0),C1287),0))</f>
        <v/>
      </c>
      <c r="G1287" s="26" t="str">
        <f t="shared" si="4"/>
        <v/>
      </c>
      <c r="H1287" s="26" t="str">
        <f t="shared" si="22"/>
        <v/>
      </c>
      <c r="I1287" s="26" t="str">
        <f t="array" ref="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/>
      </c>
      <c r="J1287" s="26" t="str">
        <f t="shared" si="5"/>
        <v/>
      </c>
      <c r="K1287" s="26" t="str">
        <f t="shared" si="6"/>
        <v/>
      </c>
      <c r="L1287" s="26" t="str">
        <f t="shared" si="7"/>
        <v/>
      </c>
      <c r="M1287" s="26" t="str">
        <f t="array" ref="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/>
      </c>
      <c r="N1287" s="26" t="str">
        <f t="shared" si="8"/>
        <v/>
      </c>
      <c r="O1287" s="26" t="str">
        <f t="shared" si="9"/>
        <v/>
      </c>
      <c r="P1287" s="26" t="str">
        <f t="shared" si="10"/>
        <v/>
      </c>
      <c r="Q1287" s="26" t="str">
        <f t="shared" si="11"/>
        <v/>
      </c>
      <c r="R1287" s="26" t="str">
        <f t="shared" si="12"/>
        <v/>
      </c>
      <c r="S1287" s="26" t="str">
        <f t="shared" si="13"/>
        <v/>
      </c>
      <c r="T1287" s="26" t="str">
        <f t="shared" si="14"/>
        <v/>
      </c>
      <c r="U1287" s="26" t="str">
        <f t="shared" si="15"/>
        <v/>
      </c>
      <c r="V1287" s="26" t="str">
        <f t="shared" si="16"/>
        <v/>
      </c>
      <c r="W1287" s="26" t="str">
        <f t="shared" si="17"/>
        <v/>
      </c>
      <c r="X1287" s="26" t="str">
        <f t="shared" si="18"/>
        <v/>
      </c>
      <c r="Y1287" s="26" t="str">
        <f t="shared" si="19"/>
        <v/>
      </c>
      <c r="Z1287" s="31" t="str">
        <f t="shared" si="20"/>
        <v/>
      </c>
      <c r="AA1287" s="31" t="str">
        <f>IF(D1287="","",IF(H1287&lt;=$B$16,1,IF(H1287&gt;=$B$17,$B$21,MATCH(H1287,Aux_CAV!$A$2:$A$121,1))))</f>
        <v/>
      </c>
      <c r="AB1287" s="31" t="str">
        <f>IF(D1287="","",IF(L1287&lt;=$B$16,1,IF(L1287&gt;=$B$17,$B$21,MATCH(L1287,Aux_CAV!$A$2:$A$121,1))))</f>
        <v/>
      </c>
      <c r="AC1287" s="3" t="str">
        <f t="shared" si="21"/>
        <v/>
      </c>
    </row>
    <row r="1288" ht="12.75" customHeight="1">
      <c r="A1288" s="25" t="str">
        <f t="shared" si="1"/>
        <v/>
      </c>
      <c r="B1288" s="29" t="str">
        <f t="array" ref="B1288">IF(D1288="","",IFERROR(VALUE(INDEX(Vazoes_COLAR!$A$2:$A$200,INT((ROW()-24)/12)+1)),""))</f>
        <v/>
      </c>
      <c r="C1288" s="29" t="str">
        <f t="shared" si="2"/>
        <v/>
      </c>
      <c r="D1288" s="26" t="str">
        <f t="array" ref="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88" s="26" t="str">
        <f t="shared" si="3"/>
        <v/>
      </c>
      <c r="F1288" s="26" t="str">
        <f t="array" ref="F1288">IF(D1288="","",IFERROR(INDEX(Dados_Evap!$C$2:$N$15,MATCH($B$9,Dados_Evap!$A$2:$A$15,0),C1288),0))</f>
        <v/>
      </c>
      <c r="G1288" s="26" t="str">
        <f t="shared" si="4"/>
        <v/>
      </c>
      <c r="H1288" s="26" t="str">
        <f t="shared" si="22"/>
        <v/>
      </c>
      <c r="I1288" s="26" t="str">
        <f t="array" ref="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/>
      </c>
      <c r="J1288" s="26" t="str">
        <f t="shared" si="5"/>
        <v/>
      </c>
      <c r="K1288" s="26" t="str">
        <f t="shared" si="6"/>
        <v/>
      </c>
      <c r="L1288" s="26" t="str">
        <f t="shared" si="7"/>
        <v/>
      </c>
      <c r="M1288" s="26" t="str">
        <f t="array" ref="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/>
      </c>
      <c r="N1288" s="26" t="str">
        <f t="shared" si="8"/>
        <v/>
      </c>
      <c r="O1288" s="26" t="str">
        <f t="shared" si="9"/>
        <v/>
      </c>
      <c r="P1288" s="26" t="str">
        <f t="shared" si="10"/>
        <v/>
      </c>
      <c r="Q1288" s="26" t="str">
        <f t="shared" si="11"/>
        <v/>
      </c>
      <c r="R1288" s="26" t="str">
        <f t="shared" si="12"/>
        <v/>
      </c>
      <c r="S1288" s="26" t="str">
        <f t="shared" si="13"/>
        <v/>
      </c>
      <c r="T1288" s="26" t="str">
        <f t="shared" si="14"/>
        <v/>
      </c>
      <c r="U1288" s="26" t="str">
        <f t="shared" si="15"/>
        <v/>
      </c>
      <c r="V1288" s="26" t="str">
        <f t="shared" si="16"/>
        <v/>
      </c>
      <c r="W1288" s="26" t="str">
        <f t="shared" si="17"/>
        <v/>
      </c>
      <c r="X1288" s="26" t="str">
        <f t="shared" si="18"/>
        <v/>
      </c>
      <c r="Y1288" s="26" t="str">
        <f t="shared" si="19"/>
        <v/>
      </c>
      <c r="Z1288" s="31" t="str">
        <f t="shared" si="20"/>
        <v/>
      </c>
      <c r="AA1288" s="31" t="str">
        <f>IF(D1288="","",IF(H1288&lt;=$B$16,1,IF(H1288&gt;=$B$17,$B$21,MATCH(H1288,Aux_CAV!$A$2:$A$121,1))))</f>
        <v/>
      </c>
      <c r="AB1288" s="31" t="str">
        <f>IF(D1288="","",IF(L1288&lt;=$B$16,1,IF(L1288&gt;=$B$17,$B$21,MATCH(L1288,Aux_CAV!$A$2:$A$121,1))))</f>
        <v/>
      </c>
      <c r="AC1288" s="3" t="str">
        <f t="shared" si="21"/>
        <v/>
      </c>
    </row>
    <row r="1289" ht="12.75" customHeight="1">
      <c r="A1289" s="25" t="str">
        <f t="shared" si="1"/>
        <v/>
      </c>
      <c r="B1289" s="29" t="str">
        <f t="array" ref="B1289">IF(D1289="","",IFERROR(VALUE(INDEX(Vazoes_COLAR!$A$2:$A$200,INT((ROW()-24)/12)+1)),""))</f>
        <v/>
      </c>
      <c r="C1289" s="29" t="str">
        <f t="shared" si="2"/>
        <v/>
      </c>
      <c r="D1289" s="26" t="str">
        <f t="array" ref="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89" s="26" t="str">
        <f t="shared" si="3"/>
        <v/>
      </c>
      <c r="F1289" s="26" t="str">
        <f t="array" ref="F1289">IF(D1289="","",IFERROR(INDEX(Dados_Evap!$C$2:$N$15,MATCH($B$9,Dados_Evap!$A$2:$A$15,0),C1289),0))</f>
        <v/>
      </c>
      <c r="G1289" s="26" t="str">
        <f t="shared" si="4"/>
        <v/>
      </c>
      <c r="H1289" s="26" t="str">
        <f t="shared" si="22"/>
        <v/>
      </c>
      <c r="I1289" s="26" t="str">
        <f t="array" ref="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/>
      </c>
      <c r="J1289" s="26" t="str">
        <f t="shared" si="5"/>
        <v/>
      </c>
      <c r="K1289" s="26" t="str">
        <f t="shared" si="6"/>
        <v/>
      </c>
      <c r="L1289" s="26" t="str">
        <f t="shared" si="7"/>
        <v/>
      </c>
      <c r="M1289" s="26" t="str">
        <f t="array" ref="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/>
      </c>
      <c r="N1289" s="26" t="str">
        <f t="shared" si="8"/>
        <v/>
      </c>
      <c r="O1289" s="26" t="str">
        <f t="shared" si="9"/>
        <v/>
      </c>
      <c r="P1289" s="26" t="str">
        <f t="shared" si="10"/>
        <v/>
      </c>
      <c r="Q1289" s="26" t="str">
        <f t="shared" si="11"/>
        <v/>
      </c>
      <c r="R1289" s="26" t="str">
        <f t="shared" si="12"/>
        <v/>
      </c>
      <c r="S1289" s="26" t="str">
        <f t="shared" si="13"/>
        <v/>
      </c>
      <c r="T1289" s="26" t="str">
        <f t="shared" si="14"/>
        <v/>
      </c>
      <c r="U1289" s="26" t="str">
        <f t="shared" si="15"/>
        <v/>
      </c>
      <c r="V1289" s="26" t="str">
        <f t="shared" si="16"/>
        <v/>
      </c>
      <c r="W1289" s="26" t="str">
        <f t="shared" si="17"/>
        <v/>
      </c>
      <c r="X1289" s="26" t="str">
        <f t="shared" si="18"/>
        <v/>
      </c>
      <c r="Y1289" s="26" t="str">
        <f t="shared" si="19"/>
        <v/>
      </c>
      <c r="Z1289" s="31" t="str">
        <f t="shared" si="20"/>
        <v/>
      </c>
      <c r="AA1289" s="31" t="str">
        <f>IF(D1289="","",IF(H1289&lt;=$B$16,1,IF(H1289&gt;=$B$17,$B$21,MATCH(H1289,Aux_CAV!$A$2:$A$121,1))))</f>
        <v/>
      </c>
      <c r="AB1289" s="31" t="str">
        <f>IF(D1289="","",IF(L1289&lt;=$B$16,1,IF(L1289&gt;=$B$17,$B$21,MATCH(L1289,Aux_CAV!$A$2:$A$121,1))))</f>
        <v/>
      </c>
      <c r="AC1289" s="3" t="str">
        <f t="shared" si="21"/>
        <v/>
      </c>
    </row>
    <row r="1290" ht="12.75" customHeight="1">
      <c r="A1290" s="25" t="str">
        <f t="shared" si="1"/>
        <v/>
      </c>
      <c r="B1290" s="29" t="str">
        <f t="array" ref="B1290">IF(D1290="","",IFERROR(VALUE(INDEX(Vazoes_COLAR!$A$2:$A$200,INT((ROW()-24)/12)+1)),""))</f>
        <v/>
      </c>
      <c r="C1290" s="29" t="str">
        <f t="shared" si="2"/>
        <v/>
      </c>
      <c r="D1290" s="26" t="str">
        <f t="array" ref="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90" s="26" t="str">
        <f t="shared" si="3"/>
        <v/>
      </c>
      <c r="F1290" s="26" t="str">
        <f t="array" ref="F1290">IF(D1290="","",IFERROR(INDEX(Dados_Evap!$C$2:$N$15,MATCH($B$9,Dados_Evap!$A$2:$A$15,0),C1290),0))</f>
        <v/>
      </c>
      <c r="G1290" s="26" t="str">
        <f t="shared" si="4"/>
        <v/>
      </c>
      <c r="H1290" s="26" t="str">
        <f t="shared" si="22"/>
        <v/>
      </c>
      <c r="I1290" s="26" t="str">
        <f t="array" ref="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/>
      </c>
      <c r="J1290" s="26" t="str">
        <f t="shared" si="5"/>
        <v/>
      </c>
      <c r="K1290" s="26" t="str">
        <f t="shared" si="6"/>
        <v/>
      </c>
      <c r="L1290" s="26" t="str">
        <f t="shared" si="7"/>
        <v/>
      </c>
      <c r="M1290" s="26" t="str">
        <f t="array" ref="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/>
      </c>
      <c r="N1290" s="26" t="str">
        <f t="shared" si="8"/>
        <v/>
      </c>
      <c r="O1290" s="26" t="str">
        <f t="shared" si="9"/>
        <v/>
      </c>
      <c r="P1290" s="26" t="str">
        <f t="shared" si="10"/>
        <v/>
      </c>
      <c r="Q1290" s="26" t="str">
        <f t="shared" si="11"/>
        <v/>
      </c>
      <c r="R1290" s="26" t="str">
        <f t="shared" si="12"/>
        <v/>
      </c>
      <c r="S1290" s="26" t="str">
        <f t="shared" si="13"/>
        <v/>
      </c>
      <c r="T1290" s="26" t="str">
        <f t="shared" si="14"/>
        <v/>
      </c>
      <c r="U1290" s="26" t="str">
        <f t="shared" si="15"/>
        <v/>
      </c>
      <c r="V1290" s="26" t="str">
        <f t="shared" si="16"/>
        <v/>
      </c>
      <c r="W1290" s="26" t="str">
        <f t="shared" si="17"/>
        <v/>
      </c>
      <c r="X1290" s="26" t="str">
        <f t="shared" si="18"/>
        <v/>
      </c>
      <c r="Y1290" s="26" t="str">
        <f t="shared" si="19"/>
        <v/>
      </c>
      <c r="Z1290" s="31" t="str">
        <f t="shared" si="20"/>
        <v/>
      </c>
      <c r="AA1290" s="31" t="str">
        <f>IF(D1290="","",IF(H1290&lt;=$B$16,1,IF(H1290&gt;=$B$17,$B$21,MATCH(H1290,Aux_CAV!$A$2:$A$121,1))))</f>
        <v/>
      </c>
      <c r="AB1290" s="31" t="str">
        <f>IF(D1290="","",IF(L1290&lt;=$B$16,1,IF(L1290&gt;=$B$17,$B$21,MATCH(L1290,Aux_CAV!$A$2:$A$121,1))))</f>
        <v/>
      </c>
      <c r="AC1290" s="3" t="str">
        <f t="shared" si="21"/>
        <v/>
      </c>
    </row>
    <row r="1291" ht="12.75" customHeight="1">
      <c r="A1291" s="25" t="str">
        <f t="shared" si="1"/>
        <v/>
      </c>
      <c r="B1291" s="29" t="str">
        <f t="array" ref="B1291">IF(D1291="","",IFERROR(VALUE(INDEX(Vazoes_COLAR!$A$2:$A$200,INT((ROW()-24)/12)+1)),""))</f>
        <v/>
      </c>
      <c r="C1291" s="29" t="str">
        <f t="shared" si="2"/>
        <v/>
      </c>
      <c r="D1291" s="26" t="str">
        <f t="array" ref="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91" s="26" t="str">
        <f t="shared" si="3"/>
        <v/>
      </c>
      <c r="F1291" s="26" t="str">
        <f t="array" ref="F1291">IF(D1291="","",IFERROR(INDEX(Dados_Evap!$C$2:$N$15,MATCH($B$9,Dados_Evap!$A$2:$A$15,0),C1291),0))</f>
        <v/>
      </c>
      <c r="G1291" s="26" t="str">
        <f t="shared" si="4"/>
        <v/>
      </c>
      <c r="H1291" s="26" t="str">
        <f t="shared" si="22"/>
        <v/>
      </c>
      <c r="I1291" s="26" t="str">
        <f t="array" ref="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/>
      </c>
      <c r="J1291" s="26" t="str">
        <f t="shared" si="5"/>
        <v/>
      </c>
      <c r="K1291" s="26" t="str">
        <f t="shared" si="6"/>
        <v/>
      </c>
      <c r="L1291" s="26" t="str">
        <f t="shared" si="7"/>
        <v/>
      </c>
      <c r="M1291" s="26" t="str">
        <f t="array" ref="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/>
      </c>
      <c r="N1291" s="26" t="str">
        <f t="shared" si="8"/>
        <v/>
      </c>
      <c r="O1291" s="26" t="str">
        <f t="shared" si="9"/>
        <v/>
      </c>
      <c r="P1291" s="26" t="str">
        <f t="shared" si="10"/>
        <v/>
      </c>
      <c r="Q1291" s="26" t="str">
        <f t="shared" si="11"/>
        <v/>
      </c>
      <c r="R1291" s="26" t="str">
        <f t="shared" si="12"/>
        <v/>
      </c>
      <c r="S1291" s="26" t="str">
        <f t="shared" si="13"/>
        <v/>
      </c>
      <c r="T1291" s="26" t="str">
        <f t="shared" si="14"/>
        <v/>
      </c>
      <c r="U1291" s="26" t="str">
        <f t="shared" si="15"/>
        <v/>
      </c>
      <c r="V1291" s="26" t="str">
        <f t="shared" si="16"/>
        <v/>
      </c>
      <c r="W1291" s="26" t="str">
        <f t="shared" si="17"/>
        <v/>
      </c>
      <c r="X1291" s="26" t="str">
        <f t="shared" si="18"/>
        <v/>
      </c>
      <c r="Y1291" s="26" t="str">
        <f t="shared" si="19"/>
        <v/>
      </c>
      <c r="Z1291" s="31" t="str">
        <f t="shared" si="20"/>
        <v/>
      </c>
      <c r="AA1291" s="31" t="str">
        <f>IF(D1291="","",IF(H1291&lt;=$B$16,1,IF(H1291&gt;=$B$17,$B$21,MATCH(H1291,Aux_CAV!$A$2:$A$121,1))))</f>
        <v/>
      </c>
      <c r="AB1291" s="31" t="str">
        <f>IF(D1291="","",IF(L1291&lt;=$B$16,1,IF(L1291&gt;=$B$17,$B$21,MATCH(L1291,Aux_CAV!$A$2:$A$121,1))))</f>
        <v/>
      </c>
      <c r="AC1291" s="3" t="str">
        <f t="shared" si="21"/>
        <v/>
      </c>
    </row>
    <row r="1292" ht="12.75" customHeight="1">
      <c r="A1292" s="25" t="str">
        <f t="shared" si="1"/>
        <v/>
      </c>
      <c r="B1292" s="29" t="str">
        <f t="array" ref="B1292">IF(D1292="","",IFERROR(VALUE(INDEX(Vazoes_COLAR!$A$2:$A$200,INT((ROW()-24)/12)+1)),""))</f>
        <v/>
      </c>
      <c r="C1292" s="29" t="str">
        <f t="shared" si="2"/>
        <v/>
      </c>
      <c r="D1292" s="26" t="str">
        <f t="array" ref="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92" s="26" t="str">
        <f t="shared" si="3"/>
        <v/>
      </c>
      <c r="F1292" s="26" t="str">
        <f t="array" ref="F1292">IF(D1292="","",IFERROR(INDEX(Dados_Evap!$C$2:$N$15,MATCH($B$9,Dados_Evap!$A$2:$A$15,0),C1292),0))</f>
        <v/>
      </c>
      <c r="G1292" s="26" t="str">
        <f t="shared" si="4"/>
        <v/>
      </c>
      <c r="H1292" s="26" t="str">
        <f t="shared" si="22"/>
        <v/>
      </c>
      <c r="I1292" s="26" t="str">
        <f t="array" ref="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/>
      </c>
      <c r="J1292" s="26" t="str">
        <f t="shared" si="5"/>
        <v/>
      </c>
      <c r="K1292" s="26" t="str">
        <f t="shared" si="6"/>
        <v/>
      </c>
      <c r="L1292" s="26" t="str">
        <f t="shared" si="7"/>
        <v/>
      </c>
      <c r="M1292" s="26" t="str">
        <f t="array" ref="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/>
      </c>
      <c r="N1292" s="26" t="str">
        <f t="shared" si="8"/>
        <v/>
      </c>
      <c r="O1292" s="26" t="str">
        <f t="shared" si="9"/>
        <v/>
      </c>
      <c r="P1292" s="26" t="str">
        <f t="shared" si="10"/>
        <v/>
      </c>
      <c r="Q1292" s="26" t="str">
        <f t="shared" si="11"/>
        <v/>
      </c>
      <c r="R1292" s="26" t="str">
        <f t="shared" si="12"/>
        <v/>
      </c>
      <c r="S1292" s="26" t="str">
        <f t="shared" si="13"/>
        <v/>
      </c>
      <c r="T1292" s="26" t="str">
        <f t="shared" si="14"/>
        <v/>
      </c>
      <c r="U1292" s="26" t="str">
        <f t="shared" si="15"/>
        <v/>
      </c>
      <c r="V1292" s="26" t="str">
        <f t="shared" si="16"/>
        <v/>
      </c>
      <c r="W1292" s="26" t="str">
        <f t="shared" si="17"/>
        <v/>
      </c>
      <c r="X1292" s="26" t="str">
        <f t="shared" si="18"/>
        <v/>
      </c>
      <c r="Y1292" s="26" t="str">
        <f t="shared" si="19"/>
        <v/>
      </c>
      <c r="Z1292" s="31" t="str">
        <f t="shared" si="20"/>
        <v/>
      </c>
      <c r="AA1292" s="31" t="str">
        <f>IF(D1292="","",IF(H1292&lt;=$B$16,1,IF(H1292&gt;=$B$17,$B$21,MATCH(H1292,Aux_CAV!$A$2:$A$121,1))))</f>
        <v/>
      </c>
      <c r="AB1292" s="31" t="str">
        <f>IF(D1292="","",IF(L1292&lt;=$B$16,1,IF(L1292&gt;=$B$17,$B$21,MATCH(L1292,Aux_CAV!$A$2:$A$121,1))))</f>
        <v/>
      </c>
      <c r="AC1292" s="3" t="str">
        <f t="shared" si="21"/>
        <v/>
      </c>
    </row>
    <row r="1293" ht="12.75" customHeight="1">
      <c r="A1293" s="25" t="str">
        <f t="shared" si="1"/>
        <v/>
      </c>
      <c r="B1293" s="29" t="str">
        <f t="array" ref="B1293">IF(D1293="","",IFERROR(VALUE(INDEX(Vazoes_COLAR!$A$2:$A$200,INT((ROW()-24)/12)+1)),""))</f>
        <v/>
      </c>
      <c r="C1293" s="29" t="str">
        <f t="shared" si="2"/>
        <v/>
      </c>
      <c r="D1293" s="26" t="str">
        <f t="array" ref="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93" s="26" t="str">
        <f t="shared" si="3"/>
        <v/>
      </c>
      <c r="F1293" s="26" t="str">
        <f t="array" ref="F1293">IF(D1293="","",IFERROR(INDEX(Dados_Evap!$C$2:$N$15,MATCH($B$9,Dados_Evap!$A$2:$A$15,0),C1293),0))</f>
        <v/>
      </c>
      <c r="G1293" s="26" t="str">
        <f t="shared" si="4"/>
        <v/>
      </c>
      <c r="H1293" s="26" t="str">
        <f t="shared" si="22"/>
        <v/>
      </c>
      <c r="I1293" s="26" t="str">
        <f t="array" ref="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/>
      </c>
      <c r="J1293" s="26" t="str">
        <f t="shared" si="5"/>
        <v/>
      </c>
      <c r="K1293" s="26" t="str">
        <f t="shared" si="6"/>
        <v/>
      </c>
      <c r="L1293" s="26" t="str">
        <f t="shared" si="7"/>
        <v/>
      </c>
      <c r="M1293" s="26" t="str">
        <f t="array" ref="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/>
      </c>
      <c r="N1293" s="26" t="str">
        <f t="shared" si="8"/>
        <v/>
      </c>
      <c r="O1293" s="26" t="str">
        <f t="shared" si="9"/>
        <v/>
      </c>
      <c r="P1293" s="26" t="str">
        <f t="shared" si="10"/>
        <v/>
      </c>
      <c r="Q1293" s="26" t="str">
        <f t="shared" si="11"/>
        <v/>
      </c>
      <c r="R1293" s="26" t="str">
        <f t="shared" si="12"/>
        <v/>
      </c>
      <c r="S1293" s="26" t="str">
        <f t="shared" si="13"/>
        <v/>
      </c>
      <c r="T1293" s="26" t="str">
        <f t="shared" si="14"/>
        <v/>
      </c>
      <c r="U1293" s="26" t="str">
        <f t="shared" si="15"/>
        <v/>
      </c>
      <c r="V1293" s="26" t="str">
        <f t="shared" si="16"/>
        <v/>
      </c>
      <c r="W1293" s="26" t="str">
        <f t="shared" si="17"/>
        <v/>
      </c>
      <c r="X1293" s="26" t="str">
        <f t="shared" si="18"/>
        <v/>
      </c>
      <c r="Y1293" s="26" t="str">
        <f t="shared" si="19"/>
        <v/>
      </c>
      <c r="Z1293" s="31" t="str">
        <f t="shared" si="20"/>
        <v/>
      </c>
      <c r="AA1293" s="31" t="str">
        <f>IF(D1293="","",IF(H1293&lt;=$B$16,1,IF(H1293&gt;=$B$17,$B$21,MATCH(H1293,Aux_CAV!$A$2:$A$121,1))))</f>
        <v/>
      </c>
      <c r="AB1293" s="31" t="str">
        <f>IF(D1293="","",IF(L1293&lt;=$B$16,1,IF(L1293&gt;=$B$17,$B$21,MATCH(L1293,Aux_CAV!$A$2:$A$121,1))))</f>
        <v/>
      </c>
      <c r="AC1293" s="3" t="str">
        <f t="shared" si="21"/>
        <v/>
      </c>
    </row>
    <row r="1294" ht="12.75" customHeight="1">
      <c r="A1294" s="25" t="str">
        <f t="shared" si="1"/>
        <v/>
      </c>
      <c r="B1294" s="29" t="str">
        <f t="array" ref="B1294">IF(D1294="","",IFERROR(VALUE(INDEX(Vazoes_COLAR!$A$2:$A$200,INT((ROW()-24)/12)+1)),""))</f>
        <v/>
      </c>
      <c r="C1294" s="29" t="str">
        <f t="shared" si="2"/>
        <v/>
      </c>
      <c r="D1294" s="26" t="str">
        <f t="array" ref="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94" s="26" t="str">
        <f t="shared" si="3"/>
        <v/>
      </c>
      <c r="F1294" s="26" t="str">
        <f t="array" ref="F1294">IF(D1294="","",IFERROR(INDEX(Dados_Evap!$C$2:$N$15,MATCH($B$9,Dados_Evap!$A$2:$A$15,0),C1294),0))</f>
        <v/>
      </c>
      <c r="G1294" s="26" t="str">
        <f t="shared" si="4"/>
        <v/>
      </c>
      <c r="H1294" s="26" t="str">
        <f t="shared" si="22"/>
        <v/>
      </c>
      <c r="I1294" s="26" t="str">
        <f t="array" ref="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/>
      </c>
      <c r="J1294" s="26" t="str">
        <f t="shared" si="5"/>
        <v/>
      </c>
      <c r="K1294" s="26" t="str">
        <f t="shared" si="6"/>
        <v/>
      </c>
      <c r="L1294" s="26" t="str">
        <f t="shared" si="7"/>
        <v/>
      </c>
      <c r="M1294" s="26" t="str">
        <f t="array" ref="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/>
      </c>
      <c r="N1294" s="26" t="str">
        <f t="shared" si="8"/>
        <v/>
      </c>
      <c r="O1294" s="26" t="str">
        <f t="shared" si="9"/>
        <v/>
      </c>
      <c r="P1294" s="26" t="str">
        <f t="shared" si="10"/>
        <v/>
      </c>
      <c r="Q1294" s="26" t="str">
        <f t="shared" si="11"/>
        <v/>
      </c>
      <c r="R1294" s="26" t="str">
        <f t="shared" si="12"/>
        <v/>
      </c>
      <c r="S1294" s="26" t="str">
        <f t="shared" si="13"/>
        <v/>
      </c>
      <c r="T1294" s="26" t="str">
        <f t="shared" si="14"/>
        <v/>
      </c>
      <c r="U1294" s="26" t="str">
        <f t="shared" si="15"/>
        <v/>
      </c>
      <c r="V1294" s="26" t="str">
        <f t="shared" si="16"/>
        <v/>
      </c>
      <c r="W1294" s="26" t="str">
        <f t="shared" si="17"/>
        <v/>
      </c>
      <c r="X1294" s="26" t="str">
        <f t="shared" si="18"/>
        <v/>
      </c>
      <c r="Y1294" s="26" t="str">
        <f t="shared" si="19"/>
        <v/>
      </c>
      <c r="Z1294" s="31" t="str">
        <f t="shared" si="20"/>
        <v/>
      </c>
      <c r="AA1294" s="31" t="str">
        <f>IF(D1294="","",IF(H1294&lt;=$B$16,1,IF(H1294&gt;=$B$17,$B$21,MATCH(H1294,Aux_CAV!$A$2:$A$121,1))))</f>
        <v/>
      </c>
      <c r="AB1294" s="31" t="str">
        <f>IF(D1294="","",IF(L1294&lt;=$B$16,1,IF(L1294&gt;=$B$17,$B$21,MATCH(L1294,Aux_CAV!$A$2:$A$121,1))))</f>
        <v/>
      </c>
      <c r="AC1294" s="3" t="str">
        <f t="shared" si="21"/>
        <v/>
      </c>
    </row>
    <row r="1295" ht="12.75" customHeight="1">
      <c r="A1295" s="25" t="str">
        <f t="shared" si="1"/>
        <v/>
      </c>
      <c r="B1295" s="29" t="str">
        <f t="array" ref="B1295">IF(D1295="","",IFERROR(VALUE(INDEX(Vazoes_COLAR!$A$2:$A$200,INT((ROW()-24)/12)+1)),""))</f>
        <v/>
      </c>
      <c r="C1295" s="29" t="str">
        <f t="shared" si="2"/>
        <v/>
      </c>
      <c r="D1295" s="26" t="str">
        <f t="array" ref="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95" s="26" t="str">
        <f t="shared" si="3"/>
        <v/>
      </c>
      <c r="F1295" s="26" t="str">
        <f t="array" ref="F1295">IF(D1295="","",IFERROR(INDEX(Dados_Evap!$C$2:$N$15,MATCH($B$9,Dados_Evap!$A$2:$A$15,0),C1295),0))</f>
        <v/>
      </c>
      <c r="G1295" s="26" t="str">
        <f t="shared" si="4"/>
        <v/>
      </c>
      <c r="H1295" s="26" t="str">
        <f t="shared" si="22"/>
        <v/>
      </c>
      <c r="I1295" s="26" t="str">
        <f t="array" ref="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/>
      </c>
      <c r="J1295" s="26" t="str">
        <f t="shared" si="5"/>
        <v/>
      </c>
      <c r="K1295" s="26" t="str">
        <f t="shared" si="6"/>
        <v/>
      </c>
      <c r="L1295" s="26" t="str">
        <f t="shared" si="7"/>
        <v/>
      </c>
      <c r="M1295" s="26" t="str">
        <f t="array" ref="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/>
      </c>
      <c r="N1295" s="26" t="str">
        <f t="shared" si="8"/>
        <v/>
      </c>
      <c r="O1295" s="26" t="str">
        <f t="shared" si="9"/>
        <v/>
      </c>
      <c r="P1295" s="26" t="str">
        <f t="shared" si="10"/>
        <v/>
      </c>
      <c r="Q1295" s="26" t="str">
        <f t="shared" si="11"/>
        <v/>
      </c>
      <c r="R1295" s="26" t="str">
        <f t="shared" si="12"/>
        <v/>
      </c>
      <c r="S1295" s="26" t="str">
        <f t="shared" si="13"/>
        <v/>
      </c>
      <c r="T1295" s="26" t="str">
        <f t="shared" si="14"/>
        <v/>
      </c>
      <c r="U1295" s="26" t="str">
        <f t="shared" si="15"/>
        <v/>
      </c>
      <c r="V1295" s="26" t="str">
        <f t="shared" si="16"/>
        <v/>
      </c>
      <c r="W1295" s="26" t="str">
        <f t="shared" si="17"/>
        <v/>
      </c>
      <c r="X1295" s="26" t="str">
        <f t="shared" si="18"/>
        <v/>
      </c>
      <c r="Y1295" s="26" t="str">
        <f t="shared" si="19"/>
        <v/>
      </c>
      <c r="Z1295" s="31" t="str">
        <f t="shared" si="20"/>
        <v/>
      </c>
      <c r="AA1295" s="31" t="str">
        <f>IF(D1295="","",IF(H1295&lt;=$B$16,1,IF(H1295&gt;=$B$17,$B$21,MATCH(H1295,Aux_CAV!$A$2:$A$121,1))))</f>
        <v/>
      </c>
      <c r="AB1295" s="31" t="str">
        <f>IF(D1295="","",IF(L1295&lt;=$B$16,1,IF(L1295&gt;=$B$17,$B$21,MATCH(L1295,Aux_CAV!$A$2:$A$121,1))))</f>
        <v/>
      </c>
      <c r="AC1295" s="3" t="str">
        <f t="shared" si="21"/>
        <v/>
      </c>
    </row>
    <row r="1296" ht="12.75" customHeight="1">
      <c r="A1296" s="25" t="str">
        <f t="shared" si="1"/>
        <v/>
      </c>
      <c r="B1296" s="29" t="str">
        <f t="array" ref="B1296">IF(D1296="","",IFERROR(VALUE(INDEX(Vazoes_COLAR!$A$2:$A$200,INT((ROW()-24)/12)+1)),""))</f>
        <v/>
      </c>
      <c r="C1296" s="29" t="str">
        <f t="shared" si="2"/>
        <v/>
      </c>
      <c r="D1296" s="26" t="str">
        <f t="array" ref="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96" s="26" t="str">
        <f t="shared" si="3"/>
        <v/>
      </c>
      <c r="F1296" s="26" t="str">
        <f t="array" ref="F1296">IF(D1296="","",IFERROR(INDEX(Dados_Evap!$C$2:$N$15,MATCH($B$9,Dados_Evap!$A$2:$A$15,0),C1296),0))</f>
        <v/>
      </c>
      <c r="G1296" s="26" t="str">
        <f t="shared" si="4"/>
        <v/>
      </c>
      <c r="H1296" s="26" t="str">
        <f t="shared" si="22"/>
        <v/>
      </c>
      <c r="I1296" s="26" t="str">
        <f t="array" ref="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/>
      </c>
      <c r="J1296" s="26" t="str">
        <f t="shared" si="5"/>
        <v/>
      </c>
      <c r="K1296" s="26" t="str">
        <f t="shared" si="6"/>
        <v/>
      </c>
      <c r="L1296" s="26" t="str">
        <f t="shared" si="7"/>
        <v/>
      </c>
      <c r="M1296" s="26" t="str">
        <f t="array" ref="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/>
      </c>
      <c r="N1296" s="26" t="str">
        <f t="shared" si="8"/>
        <v/>
      </c>
      <c r="O1296" s="26" t="str">
        <f t="shared" si="9"/>
        <v/>
      </c>
      <c r="P1296" s="26" t="str">
        <f t="shared" si="10"/>
        <v/>
      </c>
      <c r="Q1296" s="26" t="str">
        <f t="shared" si="11"/>
        <v/>
      </c>
      <c r="R1296" s="26" t="str">
        <f t="shared" si="12"/>
        <v/>
      </c>
      <c r="S1296" s="26" t="str">
        <f t="shared" si="13"/>
        <v/>
      </c>
      <c r="T1296" s="26" t="str">
        <f t="shared" si="14"/>
        <v/>
      </c>
      <c r="U1296" s="26" t="str">
        <f t="shared" si="15"/>
        <v/>
      </c>
      <c r="V1296" s="26" t="str">
        <f t="shared" si="16"/>
        <v/>
      </c>
      <c r="W1296" s="26" t="str">
        <f t="shared" si="17"/>
        <v/>
      </c>
      <c r="X1296" s="26" t="str">
        <f t="shared" si="18"/>
        <v/>
      </c>
      <c r="Y1296" s="26" t="str">
        <f t="shared" si="19"/>
        <v/>
      </c>
      <c r="Z1296" s="31" t="str">
        <f t="shared" si="20"/>
        <v/>
      </c>
      <c r="AA1296" s="31" t="str">
        <f>IF(D1296="","",IF(H1296&lt;=$B$16,1,IF(H1296&gt;=$B$17,$B$21,MATCH(H1296,Aux_CAV!$A$2:$A$121,1))))</f>
        <v/>
      </c>
      <c r="AB1296" s="31" t="str">
        <f>IF(D1296="","",IF(L1296&lt;=$B$16,1,IF(L1296&gt;=$B$17,$B$21,MATCH(L1296,Aux_CAV!$A$2:$A$121,1))))</f>
        <v/>
      </c>
      <c r="AC1296" s="3" t="str">
        <f t="shared" si="21"/>
        <v/>
      </c>
    </row>
    <row r="1297" ht="12.75" customHeight="1">
      <c r="A1297" s="25" t="str">
        <f t="shared" si="1"/>
        <v/>
      </c>
      <c r="B1297" s="29" t="str">
        <f t="array" ref="B1297">IF(D1297="","",IFERROR(VALUE(INDEX(Vazoes_COLAR!$A$2:$A$200,INT((ROW()-24)/12)+1)),""))</f>
        <v/>
      </c>
      <c r="C1297" s="29" t="str">
        <f t="shared" si="2"/>
        <v/>
      </c>
      <c r="D1297" s="26" t="str">
        <f t="array" ref="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97" s="26" t="str">
        <f t="shared" si="3"/>
        <v/>
      </c>
      <c r="F1297" s="26" t="str">
        <f t="array" ref="F1297">IF(D1297="","",IFERROR(INDEX(Dados_Evap!$C$2:$N$15,MATCH($B$9,Dados_Evap!$A$2:$A$15,0),C1297),0))</f>
        <v/>
      </c>
      <c r="G1297" s="26" t="str">
        <f t="shared" si="4"/>
        <v/>
      </c>
      <c r="H1297" s="26" t="str">
        <f t="shared" si="22"/>
        <v/>
      </c>
      <c r="I1297" s="26" t="str">
        <f t="array" ref="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/>
      </c>
      <c r="J1297" s="26" t="str">
        <f t="shared" si="5"/>
        <v/>
      </c>
      <c r="K1297" s="26" t="str">
        <f t="shared" si="6"/>
        <v/>
      </c>
      <c r="L1297" s="26" t="str">
        <f t="shared" si="7"/>
        <v/>
      </c>
      <c r="M1297" s="26" t="str">
        <f t="array" ref="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/>
      </c>
      <c r="N1297" s="26" t="str">
        <f t="shared" si="8"/>
        <v/>
      </c>
      <c r="O1297" s="26" t="str">
        <f t="shared" si="9"/>
        <v/>
      </c>
      <c r="P1297" s="26" t="str">
        <f t="shared" si="10"/>
        <v/>
      </c>
      <c r="Q1297" s="26" t="str">
        <f t="shared" si="11"/>
        <v/>
      </c>
      <c r="R1297" s="26" t="str">
        <f t="shared" si="12"/>
        <v/>
      </c>
      <c r="S1297" s="26" t="str">
        <f t="shared" si="13"/>
        <v/>
      </c>
      <c r="T1297" s="26" t="str">
        <f t="shared" si="14"/>
        <v/>
      </c>
      <c r="U1297" s="26" t="str">
        <f t="shared" si="15"/>
        <v/>
      </c>
      <c r="V1297" s="26" t="str">
        <f t="shared" si="16"/>
        <v/>
      </c>
      <c r="W1297" s="26" t="str">
        <f t="shared" si="17"/>
        <v/>
      </c>
      <c r="X1297" s="26" t="str">
        <f t="shared" si="18"/>
        <v/>
      </c>
      <c r="Y1297" s="26" t="str">
        <f t="shared" si="19"/>
        <v/>
      </c>
      <c r="Z1297" s="31" t="str">
        <f t="shared" si="20"/>
        <v/>
      </c>
      <c r="AA1297" s="31" t="str">
        <f>IF(D1297="","",IF(H1297&lt;=$B$16,1,IF(H1297&gt;=$B$17,$B$21,MATCH(H1297,Aux_CAV!$A$2:$A$121,1))))</f>
        <v/>
      </c>
      <c r="AB1297" s="31" t="str">
        <f>IF(D1297="","",IF(L1297&lt;=$B$16,1,IF(L1297&gt;=$B$17,$B$21,MATCH(L1297,Aux_CAV!$A$2:$A$121,1))))</f>
        <v/>
      </c>
      <c r="AC1297" s="3" t="str">
        <f t="shared" si="21"/>
        <v/>
      </c>
    </row>
    <row r="1298" ht="12.75" customHeight="1">
      <c r="A1298" s="25" t="str">
        <f t="shared" si="1"/>
        <v/>
      </c>
      <c r="B1298" s="29" t="str">
        <f t="array" ref="B1298">IF(D1298="","",IFERROR(VALUE(INDEX(Vazoes_COLAR!$A$2:$A$200,INT((ROW()-24)/12)+1)),""))</f>
        <v/>
      </c>
      <c r="C1298" s="29" t="str">
        <f t="shared" si="2"/>
        <v/>
      </c>
      <c r="D1298" s="26" t="str">
        <f t="array" ref="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98" s="26" t="str">
        <f t="shared" si="3"/>
        <v/>
      </c>
      <c r="F1298" s="26" t="str">
        <f t="array" ref="F1298">IF(D1298="","",IFERROR(INDEX(Dados_Evap!$C$2:$N$15,MATCH($B$9,Dados_Evap!$A$2:$A$15,0),C1298),0))</f>
        <v/>
      </c>
      <c r="G1298" s="26" t="str">
        <f t="shared" si="4"/>
        <v/>
      </c>
      <c r="H1298" s="26" t="str">
        <f t="shared" si="22"/>
        <v/>
      </c>
      <c r="I1298" s="26" t="str">
        <f t="array" ref="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/>
      </c>
      <c r="J1298" s="26" t="str">
        <f t="shared" si="5"/>
        <v/>
      </c>
      <c r="K1298" s="26" t="str">
        <f t="shared" si="6"/>
        <v/>
      </c>
      <c r="L1298" s="26" t="str">
        <f t="shared" si="7"/>
        <v/>
      </c>
      <c r="M1298" s="26" t="str">
        <f t="array" ref="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/>
      </c>
      <c r="N1298" s="26" t="str">
        <f t="shared" si="8"/>
        <v/>
      </c>
      <c r="O1298" s="26" t="str">
        <f t="shared" si="9"/>
        <v/>
      </c>
      <c r="P1298" s="26" t="str">
        <f t="shared" si="10"/>
        <v/>
      </c>
      <c r="Q1298" s="26" t="str">
        <f t="shared" si="11"/>
        <v/>
      </c>
      <c r="R1298" s="26" t="str">
        <f t="shared" si="12"/>
        <v/>
      </c>
      <c r="S1298" s="26" t="str">
        <f t="shared" si="13"/>
        <v/>
      </c>
      <c r="T1298" s="26" t="str">
        <f t="shared" si="14"/>
        <v/>
      </c>
      <c r="U1298" s="26" t="str">
        <f t="shared" si="15"/>
        <v/>
      </c>
      <c r="V1298" s="26" t="str">
        <f t="shared" si="16"/>
        <v/>
      </c>
      <c r="W1298" s="26" t="str">
        <f t="shared" si="17"/>
        <v/>
      </c>
      <c r="X1298" s="26" t="str">
        <f t="shared" si="18"/>
        <v/>
      </c>
      <c r="Y1298" s="26" t="str">
        <f t="shared" si="19"/>
        <v/>
      </c>
      <c r="Z1298" s="31" t="str">
        <f t="shared" si="20"/>
        <v/>
      </c>
      <c r="AA1298" s="31" t="str">
        <f>IF(D1298="","",IF(H1298&lt;=$B$16,1,IF(H1298&gt;=$B$17,$B$21,MATCH(H1298,Aux_CAV!$A$2:$A$121,1))))</f>
        <v/>
      </c>
      <c r="AB1298" s="31" t="str">
        <f>IF(D1298="","",IF(L1298&lt;=$B$16,1,IF(L1298&gt;=$B$17,$B$21,MATCH(L1298,Aux_CAV!$A$2:$A$121,1))))</f>
        <v/>
      </c>
      <c r="AC1298" s="3" t="str">
        <f t="shared" si="21"/>
        <v/>
      </c>
    </row>
    <row r="1299" ht="12.75" customHeight="1">
      <c r="A1299" s="25" t="str">
        <f t="shared" si="1"/>
        <v/>
      </c>
      <c r="B1299" s="29" t="str">
        <f t="array" ref="B1299">IF(D1299="","",IFERROR(VALUE(INDEX(Vazoes_COLAR!$A$2:$A$200,INT((ROW()-24)/12)+1)),""))</f>
        <v/>
      </c>
      <c r="C1299" s="29" t="str">
        <f t="shared" si="2"/>
        <v/>
      </c>
      <c r="D1299" s="26" t="str">
        <f t="array" ref="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299" s="26" t="str">
        <f t="shared" si="3"/>
        <v/>
      </c>
      <c r="F1299" s="26" t="str">
        <f t="array" ref="F1299">IF(D1299="","",IFERROR(INDEX(Dados_Evap!$C$2:$N$15,MATCH($B$9,Dados_Evap!$A$2:$A$15,0),C1299),0))</f>
        <v/>
      </c>
      <c r="G1299" s="26" t="str">
        <f t="shared" si="4"/>
        <v/>
      </c>
      <c r="H1299" s="26" t="str">
        <f t="shared" si="22"/>
        <v/>
      </c>
      <c r="I1299" s="26" t="str">
        <f t="array" ref="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/>
      </c>
      <c r="J1299" s="26" t="str">
        <f t="shared" si="5"/>
        <v/>
      </c>
      <c r="K1299" s="26" t="str">
        <f t="shared" si="6"/>
        <v/>
      </c>
      <c r="L1299" s="26" t="str">
        <f t="shared" si="7"/>
        <v/>
      </c>
      <c r="M1299" s="26" t="str">
        <f t="array" ref="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/>
      </c>
      <c r="N1299" s="26" t="str">
        <f t="shared" si="8"/>
        <v/>
      </c>
      <c r="O1299" s="26" t="str">
        <f t="shared" si="9"/>
        <v/>
      </c>
      <c r="P1299" s="26" t="str">
        <f t="shared" si="10"/>
        <v/>
      </c>
      <c r="Q1299" s="26" t="str">
        <f t="shared" si="11"/>
        <v/>
      </c>
      <c r="R1299" s="26" t="str">
        <f t="shared" si="12"/>
        <v/>
      </c>
      <c r="S1299" s="26" t="str">
        <f t="shared" si="13"/>
        <v/>
      </c>
      <c r="T1299" s="26" t="str">
        <f t="shared" si="14"/>
        <v/>
      </c>
      <c r="U1299" s="26" t="str">
        <f t="shared" si="15"/>
        <v/>
      </c>
      <c r="V1299" s="26" t="str">
        <f t="shared" si="16"/>
        <v/>
      </c>
      <c r="W1299" s="26" t="str">
        <f t="shared" si="17"/>
        <v/>
      </c>
      <c r="X1299" s="26" t="str">
        <f t="shared" si="18"/>
        <v/>
      </c>
      <c r="Y1299" s="26" t="str">
        <f t="shared" si="19"/>
        <v/>
      </c>
      <c r="Z1299" s="31" t="str">
        <f t="shared" si="20"/>
        <v/>
      </c>
      <c r="AA1299" s="31" t="str">
        <f>IF(D1299="","",IF(H1299&lt;=$B$16,1,IF(H1299&gt;=$B$17,$B$21,MATCH(H1299,Aux_CAV!$A$2:$A$121,1))))</f>
        <v/>
      </c>
      <c r="AB1299" s="31" t="str">
        <f>IF(D1299="","",IF(L1299&lt;=$B$16,1,IF(L1299&gt;=$B$17,$B$21,MATCH(L1299,Aux_CAV!$A$2:$A$121,1))))</f>
        <v/>
      </c>
      <c r="AC1299" s="3" t="str">
        <f t="shared" si="21"/>
        <v/>
      </c>
    </row>
    <row r="1300" ht="12.75" customHeight="1">
      <c r="A1300" s="25" t="str">
        <f t="shared" si="1"/>
        <v/>
      </c>
      <c r="B1300" s="29" t="str">
        <f t="array" ref="B1300">IF(D1300="","",IFERROR(VALUE(INDEX(Vazoes_COLAR!$A$2:$A$200,INT((ROW()-24)/12)+1)),""))</f>
        <v/>
      </c>
      <c r="C1300" s="29" t="str">
        <f t="shared" si="2"/>
        <v/>
      </c>
      <c r="D1300" s="26" t="str">
        <f t="array" ref="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00" s="26" t="str">
        <f t="shared" si="3"/>
        <v/>
      </c>
      <c r="F1300" s="26" t="str">
        <f t="array" ref="F1300">IF(D1300="","",IFERROR(INDEX(Dados_Evap!$C$2:$N$15,MATCH($B$9,Dados_Evap!$A$2:$A$15,0),C1300),0))</f>
        <v/>
      </c>
      <c r="G1300" s="26" t="str">
        <f t="shared" si="4"/>
        <v/>
      </c>
      <c r="H1300" s="26" t="str">
        <f t="shared" si="22"/>
        <v/>
      </c>
      <c r="I1300" s="26" t="str">
        <f t="array" ref="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/>
      </c>
      <c r="J1300" s="26" t="str">
        <f t="shared" si="5"/>
        <v/>
      </c>
      <c r="K1300" s="26" t="str">
        <f t="shared" si="6"/>
        <v/>
      </c>
      <c r="L1300" s="26" t="str">
        <f t="shared" si="7"/>
        <v/>
      </c>
      <c r="M1300" s="26" t="str">
        <f t="array" ref="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/>
      </c>
      <c r="N1300" s="26" t="str">
        <f t="shared" si="8"/>
        <v/>
      </c>
      <c r="O1300" s="26" t="str">
        <f t="shared" si="9"/>
        <v/>
      </c>
      <c r="P1300" s="26" t="str">
        <f t="shared" si="10"/>
        <v/>
      </c>
      <c r="Q1300" s="26" t="str">
        <f t="shared" si="11"/>
        <v/>
      </c>
      <c r="R1300" s="26" t="str">
        <f t="shared" si="12"/>
        <v/>
      </c>
      <c r="S1300" s="26" t="str">
        <f t="shared" si="13"/>
        <v/>
      </c>
      <c r="T1300" s="26" t="str">
        <f t="shared" si="14"/>
        <v/>
      </c>
      <c r="U1300" s="26" t="str">
        <f t="shared" si="15"/>
        <v/>
      </c>
      <c r="V1300" s="26" t="str">
        <f t="shared" si="16"/>
        <v/>
      </c>
      <c r="W1300" s="26" t="str">
        <f t="shared" si="17"/>
        <v/>
      </c>
      <c r="X1300" s="26" t="str">
        <f t="shared" si="18"/>
        <v/>
      </c>
      <c r="Y1300" s="26" t="str">
        <f t="shared" si="19"/>
        <v/>
      </c>
      <c r="Z1300" s="31" t="str">
        <f t="shared" si="20"/>
        <v/>
      </c>
      <c r="AA1300" s="31" t="str">
        <f>IF(D1300="","",IF(H1300&lt;=$B$16,1,IF(H1300&gt;=$B$17,$B$21,MATCH(H1300,Aux_CAV!$A$2:$A$121,1))))</f>
        <v/>
      </c>
      <c r="AB1300" s="31" t="str">
        <f>IF(D1300="","",IF(L1300&lt;=$B$16,1,IF(L1300&gt;=$B$17,$B$21,MATCH(L1300,Aux_CAV!$A$2:$A$121,1))))</f>
        <v/>
      </c>
      <c r="AC1300" s="3" t="str">
        <f t="shared" si="21"/>
        <v/>
      </c>
    </row>
    <row r="1301" ht="12.75" customHeight="1">
      <c r="A1301" s="25" t="str">
        <f t="shared" si="1"/>
        <v/>
      </c>
      <c r="B1301" s="29" t="str">
        <f t="array" ref="B1301">IF(D1301="","",IFERROR(VALUE(INDEX(Vazoes_COLAR!$A$2:$A$200,INT((ROW()-24)/12)+1)),""))</f>
        <v/>
      </c>
      <c r="C1301" s="29" t="str">
        <f t="shared" si="2"/>
        <v/>
      </c>
      <c r="D1301" s="26" t="str">
        <f t="array" ref="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01" s="26" t="str">
        <f t="shared" si="3"/>
        <v/>
      </c>
      <c r="F1301" s="26" t="str">
        <f t="array" ref="F1301">IF(D1301="","",IFERROR(INDEX(Dados_Evap!$C$2:$N$15,MATCH($B$9,Dados_Evap!$A$2:$A$15,0),C1301),0))</f>
        <v/>
      </c>
      <c r="G1301" s="26" t="str">
        <f t="shared" si="4"/>
        <v/>
      </c>
      <c r="H1301" s="26" t="str">
        <f t="shared" si="22"/>
        <v/>
      </c>
      <c r="I1301" s="26" t="str">
        <f t="array" ref="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/>
      </c>
      <c r="J1301" s="26" t="str">
        <f t="shared" si="5"/>
        <v/>
      </c>
      <c r="K1301" s="26" t="str">
        <f t="shared" si="6"/>
        <v/>
      </c>
      <c r="L1301" s="26" t="str">
        <f t="shared" si="7"/>
        <v/>
      </c>
      <c r="M1301" s="26" t="str">
        <f t="array" ref="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/>
      </c>
      <c r="N1301" s="26" t="str">
        <f t="shared" si="8"/>
        <v/>
      </c>
      <c r="O1301" s="26" t="str">
        <f t="shared" si="9"/>
        <v/>
      </c>
      <c r="P1301" s="26" t="str">
        <f t="shared" si="10"/>
        <v/>
      </c>
      <c r="Q1301" s="26" t="str">
        <f t="shared" si="11"/>
        <v/>
      </c>
      <c r="R1301" s="26" t="str">
        <f t="shared" si="12"/>
        <v/>
      </c>
      <c r="S1301" s="26" t="str">
        <f t="shared" si="13"/>
        <v/>
      </c>
      <c r="T1301" s="26" t="str">
        <f t="shared" si="14"/>
        <v/>
      </c>
      <c r="U1301" s="26" t="str">
        <f t="shared" si="15"/>
        <v/>
      </c>
      <c r="V1301" s="26" t="str">
        <f t="shared" si="16"/>
        <v/>
      </c>
      <c r="W1301" s="26" t="str">
        <f t="shared" si="17"/>
        <v/>
      </c>
      <c r="X1301" s="26" t="str">
        <f t="shared" si="18"/>
        <v/>
      </c>
      <c r="Y1301" s="26" t="str">
        <f t="shared" si="19"/>
        <v/>
      </c>
      <c r="Z1301" s="31" t="str">
        <f t="shared" si="20"/>
        <v/>
      </c>
      <c r="AA1301" s="31" t="str">
        <f>IF(D1301="","",IF(H1301&lt;=$B$16,1,IF(H1301&gt;=$B$17,$B$21,MATCH(H1301,Aux_CAV!$A$2:$A$121,1))))</f>
        <v/>
      </c>
      <c r="AB1301" s="31" t="str">
        <f>IF(D1301="","",IF(L1301&lt;=$B$16,1,IF(L1301&gt;=$B$17,$B$21,MATCH(L1301,Aux_CAV!$A$2:$A$121,1))))</f>
        <v/>
      </c>
      <c r="AC1301" s="3" t="str">
        <f t="shared" si="21"/>
        <v/>
      </c>
    </row>
    <row r="1302" ht="12.75" customHeight="1">
      <c r="A1302" s="25" t="str">
        <f t="shared" si="1"/>
        <v/>
      </c>
      <c r="B1302" s="29" t="str">
        <f t="array" ref="B1302">IF(D1302="","",IFERROR(VALUE(INDEX(Vazoes_COLAR!$A$2:$A$200,INT((ROW()-24)/12)+1)),""))</f>
        <v/>
      </c>
      <c r="C1302" s="29" t="str">
        <f t="shared" si="2"/>
        <v/>
      </c>
      <c r="D1302" s="26" t="str">
        <f t="array" ref="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02" s="26" t="str">
        <f t="shared" si="3"/>
        <v/>
      </c>
      <c r="F1302" s="26" t="str">
        <f t="array" ref="F1302">IF(D1302="","",IFERROR(INDEX(Dados_Evap!$C$2:$N$15,MATCH($B$9,Dados_Evap!$A$2:$A$15,0),C1302),0))</f>
        <v/>
      </c>
      <c r="G1302" s="26" t="str">
        <f t="shared" si="4"/>
        <v/>
      </c>
      <c r="H1302" s="26" t="str">
        <f t="shared" si="22"/>
        <v/>
      </c>
      <c r="I1302" s="26" t="str">
        <f t="array" ref="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/>
      </c>
      <c r="J1302" s="26" t="str">
        <f t="shared" si="5"/>
        <v/>
      </c>
      <c r="K1302" s="26" t="str">
        <f t="shared" si="6"/>
        <v/>
      </c>
      <c r="L1302" s="26" t="str">
        <f t="shared" si="7"/>
        <v/>
      </c>
      <c r="M1302" s="26" t="str">
        <f t="array" ref="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/>
      </c>
      <c r="N1302" s="26" t="str">
        <f t="shared" si="8"/>
        <v/>
      </c>
      <c r="O1302" s="26" t="str">
        <f t="shared" si="9"/>
        <v/>
      </c>
      <c r="P1302" s="26" t="str">
        <f t="shared" si="10"/>
        <v/>
      </c>
      <c r="Q1302" s="26" t="str">
        <f t="shared" si="11"/>
        <v/>
      </c>
      <c r="R1302" s="26" t="str">
        <f t="shared" si="12"/>
        <v/>
      </c>
      <c r="S1302" s="26" t="str">
        <f t="shared" si="13"/>
        <v/>
      </c>
      <c r="T1302" s="26" t="str">
        <f t="shared" si="14"/>
        <v/>
      </c>
      <c r="U1302" s="26" t="str">
        <f t="shared" si="15"/>
        <v/>
      </c>
      <c r="V1302" s="26" t="str">
        <f t="shared" si="16"/>
        <v/>
      </c>
      <c r="W1302" s="26" t="str">
        <f t="shared" si="17"/>
        <v/>
      </c>
      <c r="X1302" s="26" t="str">
        <f t="shared" si="18"/>
        <v/>
      </c>
      <c r="Y1302" s="26" t="str">
        <f t="shared" si="19"/>
        <v/>
      </c>
      <c r="Z1302" s="31" t="str">
        <f t="shared" si="20"/>
        <v/>
      </c>
      <c r="AA1302" s="31" t="str">
        <f>IF(D1302="","",IF(H1302&lt;=$B$16,1,IF(H1302&gt;=$B$17,$B$21,MATCH(H1302,Aux_CAV!$A$2:$A$121,1))))</f>
        <v/>
      </c>
      <c r="AB1302" s="31" t="str">
        <f>IF(D1302="","",IF(L1302&lt;=$B$16,1,IF(L1302&gt;=$B$17,$B$21,MATCH(L1302,Aux_CAV!$A$2:$A$121,1))))</f>
        <v/>
      </c>
      <c r="AC1302" s="3" t="str">
        <f t="shared" si="21"/>
        <v/>
      </c>
    </row>
    <row r="1303" ht="12.75" customHeight="1">
      <c r="A1303" s="25" t="str">
        <f t="shared" si="1"/>
        <v/>
      </c>
      <c r="B1303" s="29" t="str">
        <f t="array" ref="B1303">IF(D1303="","",IFERROR(VALUE(INDEX(Vazoes_COLAR!$A$2:$A$200,INT((ROW()-24)/12)+1)),""))</f>
        <v/>
      </c>
      <c r="C1303" s="29" t="str">
        <f t="shared" si="2"/>
        <v/>
      </c>
      <c r="D1303" s="26" t="str">
        <f t="array" ref="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03" s="26" t="str">
        <f t="shared" si="3"/>
        <v/>
      </c>
      <c r="F1303" s="26" t="str">
        <f t="array" ref="F1303">IF(D1303="","",IFERROR(INDEX(Dados_Evap!$C$2:$N$15,MATCH($B$9,Dados_Evap!$A$2:$A$15,0),C1303),0))</f>
        <v/>
      </c>
      <c r="G1303" s="26" t="str">
        <f t="shared" si="4"/>
        <v/>
      </c>
      <c r="H1303" s="26" t="str">
        <f t="shared" si="22"/>
        <v/>
      </c>
      <c r="I1303" s="26" t="str">
        <f t="array" ref="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/>
      </c>
      <c r="J1303" s="26" t="str">
        <f t="shared" si="5"/>
        <v/>
      </c>
      <c r="K1303" s="26" t="str">
        <f t="shared" si="6"/>
        <v/>
      </c>
      <c r="L1303" s="26" t="str">
        <f t="shared" si="7"/>
        <v/>
      </c>
      <c r="M1303" s="26" t="str">
        <f t="array" ref="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/>
      </c>
      <c r="N1303" s="26" t="str">
        <f t="shared" si="8"/>
        <v/>
      </c>
      <c r="O1303" s="26" t="str">
        <f t="shared" si="9"/>
        <v/>
      </c>
      <c r="P1303" s="26" t="str">
        <f t="shared" si="10"/>
        <v/>
      </c>
      <c r="Q1303" s="26" t="str">
        <f t="shared" si="11"/>
        <v/>
      </c>
      <c r="R1303" s="26" t="str">
        <f t="shared" si="12"/>
        <v/>
      </c>
      <c r="S1303" s="26" t="str">
        <f t="shared" si="13"/>
        <v/>
      </c>
      <c r="T1303" s="26" t="str">
        <f t="shared" si="14"/>
        <v/>
      </c>
      <c r="U1303" s="26" t="str">
        <f t="shared" si="15"/>
        <v/>
      </c>
      <c r="V1303" s="26" t="str">
        <f t="shared" si="16"/>
        <v/>
      </c>
      <c r="W1303" s="26" t="str">
        <f t="shared" si="17"/>
        <v/>
      </c>
      <c r="X1303" s="26" t="str">
        <f t="shared" si="18"/>
        <v/>
      </c>
      <c r="Y1303" s="26" t="str">
        <f t="shared" si="19"/>
        <v/>
      </c>
      <c r="Z1303" s="31" t="str">
        <f t="shared" si="20"/>
        <v/>
      </c>
      <c r="AA1303" s="31" t="str">
        <f>IF(D1303="","",IF(H1303&lt;=$B$16,1,IF(H1303&gt;=$B$17,$B$21,MATCH(H1303,Aux_CAV!$A$2:$A$121,1))))</f>
        <v/>
      </c>
      <c r="AB1303" s="31" t="str">
        <f>IF(D1303="","",IF(L1303&lt;=$B$16,1,IF(L1303&gt;=$B$17,$B$21,MATCH(L1303,Aux_CAV!$A$2:$A$121,1))))</f>
        <v/>
      </c>
      <c r="AC1303" s="3" t="str">
        <f t="shared" si="21"/>
        <v/>
      </c>
    </row>
    <row r="1304" ht="12.75" customHeight="1">
      <c r="A1304" s="25" t="str">
        <f t="shared" si="1"/>
        <v/>
      </c>
      <c r="B1304" s="29" t="str">
        <f t="array" ref="B1304">IF(D1304="","",IFERROR(VALUE(INDEX(Vazoes_COLAR!$A$2:$A$200,INT((ROW()-24)/12)+1)),""))</f>
        <v/>
      </c>
      <c r="C1304" s="29" t="str">
        <f t="shared" si="2"/>
        <v/>
      </c>
      <c r="D1304" s="26" t="str">
        <f t="array" ref="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04" s="26" t="str">
        <f t="shared" si="3"/>
        <v/>
      </c>
      <c r="F1304" s="26" t="str">
        <f t="array" ref="F1304">IF(D1304="","",IFERROR(INDEX(Dados_Evap!$C$2:$N$15,MATCH($B$9,Dados_Evap!$A$2:$A$15,0),C1304),0))</f>
        <v/>
      </c>
      <c r="G1304" s="26" t="str">
        <f t="shared" si="4"/>
        <v/>
      </c>
      <c r="H1304" s="26" t="str">
        <f t="shared" si="22"/>
        <v/>
      </c>
      <c r="I1304" s="26" t="str">
        <f t="array" ref="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/>
      </c>
      <c r="J1304" s="26" t="str">
        <f t="shared" si="5"/>
        <v/>
      </c>
      <c r="K1304" s="26" t="str">
        <f t="shared" si="6"/>
        <v/>
      </c>
      <c r="L1304" s="26" t="str">
        <f t="shared" si="7"/>
        <v/>
      </c>
      <c r="M1304" s="26" t="str">
        <f t="array" ref="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/>
      </c>
      <c r="N1304" s="26" t="str">
        <f t="shared" si="8"/>
        <v/>
      </c>
      <c r="O1304" s="26" t="str">
        <f t="shared" si="9"/>
        <v/>
      </c>
      <c r="P1304" s="26" t="str">
        <f t="shared" si="10"/>
        <v/>
      </c>
      <c r="Q1304" s="26" t="str">
        <f t="shared" si="11"/>
        <v/>
      </c>
      <c r="R1304" s="26" t="str">
        <f t="shared" si="12"/>
        <v/>
      </c>
      <c r="S1304" s="26" t="str">
        <f t="shared" si="13"/>
        <v/>
      </c>
      <c r="T1304" s="26" t="str">
        <f t="shared" si="14"/>
        <v/>
      </c>
      <c r="U1304" s="26" t="str">
        <f t="shared" si="15"/>
        <v/>
      </c>
      <c r="V1304" s="26" t="str">
        <f t="shared" si="16"/>
        <v/>
      </c>
      <c r="W1304" s="26" t="str">
        <f t="shared" si="17"/>
        <v/>
      </c>
      <c r="X1304" s="26" t="str">
        <f t="shared" si="18"/>
        <v/>
      </c>
      <c r="Y1304" s="26" t="str">
        <f t="shared" si="19"/>
        <v/>
      </c>
      <c r="Z1304" s="31" t="str">
        <f t="shared" si="20"/>
        <v/>
      </c>
      <c r="AA1304" s="31" t="str">
        <f>IF(D1304="","",IF(H1304&lt;=$B$16,1,IF(H1304&gt;=$B$17,$B$21,MATCH(H1304,Aux_CAV!$A$2:$A$121,1))))</f>
        <v/>
      </c>
      <c r="AB1304" s="31" t="str">
        <f>IF(D1304="","",IF(L1304&lt;=$B$16,1,IF(L1304&gt;=$B$17,$B$21,MATCH(L1304,Aux_CAV!$A$2:$A$121,1))))</f>
        <v/>
      </c>
      <c r="AC1304" s="3" t="str">
        <f t="shared" si="21"/>
        <v/>
      </c>
    </row>
    <row r="1305" ht="12.75" customHeight="1">
      <c r="A1305" s="25" t="str">
        <f t="shared" si="1"/>
        <v/>
      </c>
      <c r="B1305" s="29" t="str">
        <f t="array" ref="B1305">IF(D1305="","",IFERROR(VALUE(INDEX(Vazoes_COLAR!$A$2:$A$200,INT((ROW()-24)/12)+1)),""))</f>
        <v/>
      </c>
      <c r="C1305" s="29" t="str">
        <f t="shared" si="2"/>
        <v/>
      </c>
      <c r="D1305" s="26" t="str">
        <f t="array" ref="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05" s="26" t="str">
        <f t="shared" si="3"/>
        <v/>
      </c>
      <c r="F1305" s="26" t="str">
        <f t="array" ref="F1305">IF(D1305="","",IFERROR(INDEX(Dados_Evap!$C$2:$N$15,MATCH($B$9,Dados_Evap!$A$2:$A$15,0),C1305),0))</f>
        <v/>
      </c>
      <c r="G1305" s="26" t="str">
        <f t="shared" si="4"/>
        <v/>
      </c>
      <c r="H1305" s="26" t="str">
        <f t="shared" si="22"/>
        <v/>
      </c>
      <c r="I1305" s="26" t="str">
        <f t="array" ref="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/>
      </c>
      <c r="J1305" s="26" t="str">
        <f t="shared" si="5"/>
        <v/>
      </c>
      <c r="K1305" s="26" t="str">
        <f t="shared" si="6"/>
        <v/>
      </c>
      <c r="L1305" s="26" t="str">
        <f t="shared" si="7"/>
        <v/>
      </c>
      <c r="M1305" s="26" t="str">
        <f t="array" ref="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/>
      </c>
      <c r="N1305" s="26" t="str">
        <f t="shared" si="8"/>
        <v/>
      </c>
      <c r="O1305" s="26" t="str">
        <f t="shared" si="9"/>
        <v/>
      </c>
      <c r="P1305" s="26" t="str">
        <f t="shared" si="10"/>
        <v/>
      </c>
      <c r="Q1305" s="26" t="str">
        <f t="shared" si="11"/>
        <v/>
      </c>
      <c r="R1305" s="26" t="str">
        <f t="shared" si="12"/>
        <v/>
      </c>
      <c r="S1305" s="26" t="str">
        <f t="shared" si="13"/>
        <v/>
      </c>
      <c r="T1305" s="26" t="str">
        <f t="shared" si="14"/>
        <v/>
      </c>
      <c r="U1305" s="26" t="str">
        <f t="shared" si="15"/>
        <v/>
      </c>
      <c r="V1305" s="26" t="str">
        <f t="shared" si="16"/>
        <v/>
      </c>
      <c r="W1305" s="26" t="str">
        <f t="shared" si="17"/>
        <v/>
      </c>
      <c r="X1305" s="26" t="str">
        <f t="shared" si="18"/>
        <v/>
      </c>
      <c r="Y1305" s="26" t="str">
        <f t="shared" si="19"/>
        <v/>
      </c>
      <c r="Z1305" s="31" t="str">
        <f t="shared" si="20"/>
        <v/>
      </c>
      <c r="AA1305" s="31" t="str">
        <f>IF(D1305="","",IF(H1305&lt;=$B$16,1,IF(H1305&gt;=$B$17,$B$21,MATCH(H1305,Aux_CAV!$A$2:$A$121,1))))</f>
        <v/>
      </c>
      <c r="AB1305" s="31" t="str">
        <f>IF(D1305="","",IF(L1305&lt;=$B$16,1,IF(L1305&gt;=$B$17,$B$21,MATCH(L1305,Aux_CAV!$A$2:$A$121,1))))</f>
        <v/>
      </c>
      <c r="AC1305" s="3" t="str">
        <f t="shared" si="21"/>
        <v/>
      </c>
    </row>
    <row r="1306" ht="12.75" customHeight="1">
      <c r="A1306" s="25" t="str">
        <f t="shared" si="1"/>
        <v/>
      </c>
      <c r="B1306" s="29" t="str">
        <f t="array" ref="B1306">IF(D1306="","",IFERROR(VALUE(INDEX(Vazoes_COLAR!$A$2:$A$200,INT((ROW()-24)/12)+1)),""))</f>
        <v/>
      </c>
      <c r="C1306" s="29" t="str">
        <f t="shared" si="2"/>
        <v/>
      </c>
      <c r="D1306" s="26" t="str">
        <f t="array" ref="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06" s="26" t="str">
        <f t="shared" si="3"/>
        <v/>
      </c>
      <c r="F1306" s="26" t="str">
        <f t="array" ref="F1306">IF(D1306="","",IFERROR(INDEX(Dados_Evap!$C$2:$N$15,MATCH($B$9,Dados_Evap!$A$2:$A$15,0),C1306),0))</f>
        <v/>
      </c>
      <c r="G1306" s="26" t="str">
        <f t="shared" si="4"/>
        <v/>
      </c>
      <c r="H1306" s="26" t="str">
        <f t="shared" si="22"/>
        <v/>
      </c>
      <c r="I1306" s="26" t="str">
        <f t="array" ref="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/>
      </c>
      <c r="J1306" s="26" t="str">
        <f t="shared" si="5"/>
        <v/>
      </c>
      <c r="K1306" s="26" t="str">
        <f t="shared" si="6"/>
        <v/>
      </c>
      <c r="L1306" s="26" t="str">
        <f t="shared" si="7"/>
        <v/>
      </c>
      <c r="M1306" s="26" t="str">
        <f t="array" ref="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/>
      </c>
      <c r="N1306" s="26" t="str">
        <f t="shared" si="8"/>
        <v/>
      </c>
      <c r="O1306" s="26" t="str">
        <f t="shared" si="9"/>
        <v/>
      </c>
      <c r="P1306" s="26" t="str">
        <f t="shared" si="10"/>
        <v/>
      </c>
      <c r="Q1306" s="26" t="str">
        <f t="shared" si="11"/>
        <v/>
      </c>
      <c r="R1306" s="26" t="str">
        <f t="shared" si="12"/>
        <v/>
      </c>
      <c r="S1306" s="26" t="str">
        <f t="shared" si="13"/>
        <v/>
      </c>
      <c r="T1306" s="26" t="str">
        <f t="shared" si="14"/>
        <v/>
      </c>
      <c r="U1306" s="26" t="str">
        <f t="shared" si="15"/>
        <v/>
      </c>
      <c r="V1306" s="26" t="str">
        <f t="shared" si="16"/>
        <v/>
      </c>
      <c r="W1306" s="26" t="str">
        <f t="shared" si="17"/>
        <v/>
      </c>
      <c r="X1306" s="26" t="str">
        <f t="shared" si="18"/>
        <v/>
      </c>
      <c r="Y1306" s="26" t="str">
        <f t="shared" si="19"/>
        <v/>
      </c>
      <c r="Z1306" s="31" t="str">
        <f t="shared" si="20"/>
        <v/>
      </c>
      <c r="AA1306" s="31" t="str">
        <f>IF(D1306="","",IF(H1306&lt;=$B$16,1,IF(H1306&gt;=$B$17,$B$21,MATCH(H1306,Aux_CAV!$A$2:$A$121,1))))</f>
        <v/>
      </c>
      <c r="AB1306" s="31" t="str">
        <f>IF(D1306="","",IF(L1306&lt;=$B$16,1,IF(L1306&gt;=$B$17,$B$21,MATCH(L1306,Aux_CAV!$A$2:$A$121,1))))</f>
        <v/>
      </c>
      <c r="AC1306" s="3" t="str">
        <f t="shared" si="21"/>
        <v/>
      </c>
    </row>
    <row r="1307" ht="12.75" customHeight="1">
      <c r="A1307" s="25" t="str">
        <f t="shared" si="1"/>
        <v/>
      </c>
      <c r="B1307" s="29" t="str">
        <f t="array" ref="B1307">IF(D1307="","",IFERROR(VALUE(INDEX(Vazoes_COLAR!$A$2:$A$200,INT((ROW()-24)/12)+1)),""))</f>
        <v/>
      </c>
      <c r="C1307" s="29" t="str">
        <f t="shared" si="2"/>
        <v/>
      </c>
      <c r="D1307" s="26" t="str">
        <f t="array" ref="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07" s="26" t="str">
        <f t="shared" si="3"/>
        <v/>
      </c>
      <c r="F1307" s="26" t="str">
        <f t="array" ref="F1307">IF(D1307="","",IFERROR(INDEX(Dados_Evap!$C$2:$N$15,MATCH($B$9,Dados_Evap!$A$2:$A$15,0),C1307),0))</f>
        <v/>
      </c>
      <c r="G1307" s="26" t="str">
        <f t="shared" si="4"/>
        <v/>
      </c>
      <c r="H1307" s="26" t="str">
        <f t="shared" si="22"/>
        <v/>
      </c>
      <c r="I1307" s="26" t="str">
        <f t="array" ref="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/>
      </c>
      <c r="J1307" s="26" t="str">
        <f t="shared" si="5"/>
        <v/>
      </c>
      <c r="K1307" s="26" t="str">
        <f t="shared" si="6"/>
        <v/>
      </c>
      <c r="L1307" s="26" t="str">
        <f t="shared" si="7"/>
        <v/>
      </c>
      <c r="M1307" s="26" t="str">
        <f t="array" ref="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/>
      </c>
      <c r="N1307" s="26" t="str">
        <f t="shared" si="8"/>
        <v/>
      </c>
      <c r="O1307" s="26" t="str">
        <f t="shared" si="9"/>
        <v/>
      </c>
      <c r="P1307" s="26" t="str">
        <f t="shared" si="10"/>
        <v/>
      </c>
      <c r="Q1307" s="26" t="str">
        <f t="shared" si="11"/>
        <v/>
      </c>
      <c r="R1307" s="26" t="str">
        <f t="shared" si="12"/>
        <v/>
      </c>
      <c r="S1307" s="26" t="str">
        <f t="shared" si="13"/>
        <v/>
      </c>
      <c r="T1307" s="26" t="str">
        <f t="shared" si="14"/>
        <v/>
      </c>
      <c r="U1307" s="26" t="str">
        <f t="shared" si="15"/>
        <v/>
      </c>
      <c r="V1307" s="26" t="str">
        <f t="shared" si="16"/>
        <v/>
      </c>
      <c r="W1307" s="26" t="str">
        <f t="shared" si="17"/>
        <v/>
      </c>
      <c r="X1307" s="26" t="str">
        <f t="shared" si="18"/>
        <v/>
      </c>
      <c r="Y1307" s="26" t="str">
        <f t="shared" si="19"/>
        <v/>
      </c>
      <c r="Z1307" s="31" t="str">
        <f t="shared" si="20"/>
        <v/>
      </c>
      <c r="AA1307" s="31" t="str">
        <f>IF(D1307="","",IF(H1307&lt;=$B$16,1,IF(H1307&gt;=$B$17,$B$21,MATCH(H1307,Aux_CAV!$A$2:$A$121,1))))</f>
        <v/>
      </c>
      <c r="AB1307" s="31" t="str">
        <f>IF(D1307="","",IF(L1307&lt;=$B$16,1,IF(L1307&gt;=$B$17,$B$21,MATCH(L1307,Aux_CAV!$A$2:$A$121,1))))</f>
        <v/>
      </c>
      <c r="AC1307" s="3" t="str">
        <f t="shared" si="21"/>
        <v/>
      </c>
    </row>
    <row r="1308" ht="12.75" customHeight="1">
      <c r="A1308" s="25" t="str">
        <f t="shared" si="1"/>
        <v/>
      </c>
      <c r="B1308" s="29" t="str">
        <f t="array" ref="B1308">IF(D1308="","",IFERROR(VALUE(INDEX(Vazoes_COLAR!$A$2:$A$200,INT((ROW()-24)/12)+1)),""))</f>
        <v/>
      </c>
      <c r="C1308" s="29" t="str">
        <f t="shared" si="2"/>
        <v/>
      </c>
      <c r="D1308" s="26" t="str">
        <f t="array" ref="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08" s="26" t="str">
        <f t="shared" si="3"/>
        <v/>
      </c>
      <c r="F1308" s="26" t="str">
        <f t="array" ref="F1308">IF(D1308="","",IFERROR(INDEX(Dados_Evap!$C$2:$N$15,MATCH($B$9,Dados_Evap!$A$2:$A$15,0),C1308),0))</f>
        <v/>
      </c>
      <c r="G1308" s="26" t="str">
        <f t="shared" si="4"/>
        <v/>
      </c>
      <c r="H1308" s="26" t="str">
        <f t="shared" si="22"/>
        <v/>
      </c>
      <c r="I1308" s="26" t="str">
        <f t="array" ref="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/>
      </c>
      <c r="J1308" s="26" t="str">
        <f t="shared" si="5"/>
        <v/>
      </c>
      <c r="K1308" s="26" t="str">
        <f t="shared" si="6"/>
        <v/>
      </c>
      <c r="L1308" s="26" t="str">
        <f t="shared" si="7"/>
        <v/>
      </c>
      <c r="M1308" s="26" t="str">
        <f t="array" ref="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/>
      </c>
      <c r="N1308" s="26" t="str">
        <f t="shared" si="8"/>
        <v/>
      </c>
      <c r="O1308" s="26" t="str">
        <f t="shared" si="9"/>
        <v/>
      </c>
      <c r="P1308" s="26" t="str">
        <f t="shared" si="10"/>
        <v/>
      </c>
      <c r="Q1308" s="26" t="str">
        <f t="shared" si="11"/>
        <v/>
      </c>
      <c r="R1308" s="26" t="str">
        <f t="shared" si="12"/>
        <v/>
      </c>
      <c r="S1308" s="26" t="str">
        <f t="shared" si="13"/>
        <v/>
      </c>
      <c r="T1308" s="26" t="str">
        <f t="shared" si="14"/>
        <v/>
      </c>
      <c r="U1308" s="26" t="str">
        <f t="shared" si="15"/>
        <v/>
      </c>
      <c r="V1308" s="26" t="str">
        <f t="shared" si="16"/>
        <v/>
      </c>
      <c r="W1308" s="26" t="str">
        <f t="shared" si="17"/>
        <v/>
      </c>
      <c r="X1308" s="26" t="str">
        <f t="shared" si="18"/>
        <v/>
      </c>
      <c r="Y1308" s="26" t="str">
        <f t="shared" si="19"/>
        <v/>
      </c>
      <c r="Z1308" s="31" t="str">
        <f t="shared" si="20"/>
        <v/>
      </c>
      <c r="AA1308" s="31" t="str">
        <f>IF(D1308="","",IF(H1308&lt;=$B$16,1,IF(H1308&gt;=$B$17,$B$21,MATCH(H1308,Aux_CAV!$A$2:$A$121,1))))</f>
        <v/>
      </c>
      <c r="AB1308" s="31" t="str">
        <f>IF(D1308="","",IF(L1308&lt;=$B$16,1,IF(L1308&gt;=$B$17,$B$21,MATCH(L1308,Aux_CAV!$A$2:$A$121,1))))</f>
        <v/>
      </c>
      <c r="AC1308" s="3" t="str">
        <f t="shared" si="21"/>
        <v/>
      </c>
    </row>
    <row r="1309" ht="12.75" customHeight="1">
      <c r="A1309" s="25" t="str">
        <f t="shared" si="1"/>
        <v/>
      </c>
      <c r="B1309" s="29" t="str">
        <f t="array" ref="B1309">IF(D1309="","",IFERROR(VALUE(INDEX(Vazoes_COLAR!$A$2:$A$200,INT((ROW()-24)/12)+1)),""))</f>
        <v/>
      </c>
      <c r="C1309" s="29" t="str">
        <f t="shared" si="2"/>
        <v/>
      </c>
      <c r="D1309" s="26" t="str">
        <f t="array" ref="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09" s="26" t="str">
        <f t="shared" si="3"/>
        <v/>
      </c>
      <c r="F1309" s="26" t="str">
        <f t="array" ref="F1309">IF(D1309="","",IFERROR(INDEX(Dados_Evap!$C$2:$N$15,MATCH($B$9,Dados_Evap!$A$2:$A$15,0),C1309),0))</f>
        <v/>
      </c>
      <c r="G1309" s="26" t="str">
        <f t="shared" si="4"/>
        <v/>
      </c>
      <c r="H1309" s="26" t="str">
        <f t="shared" si="22"/>
        <v/>
      </c>
      <c r="I1309" s="26" t="str">
        <f t="array" ref="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/>
      </c>
      <c r="J1309" s="26" t="str">
        <f t="shared" si="5"/>
        <v/>
      </c>
      <c r="K1309" s="26" t="str">
        <f t="shared" si="6"/>
        <v/>
      </c>
      <c r="L1309" s="26" t="str">
        <f t="shared" si="7"/>
        <v/>
      </c>
      <c r="M1309" s="26" t="str">
        <f t="array" ref="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/>
      </c>
      <c r="N1309" s="26" t="str">
        <f t="shared" si="8"/>
        <v/>
      </c>
      <c r="O1309" s="26" t="str">
        <f t="shared" si="9"/>
        <v/>
      </c>
      <c r="P1309" s="26" t="str">
        <f t="shared" si="10"/>
        <v/>
      </c>
      <c r="Q1309" s="26" t="str">
        <f t="shared" si="11"/>
        <v/>
      </c>
      <c r="R1309" s="26" t="str">
        <f t="shared" si="12"/>
        <v/>
      </c>
      <c r="S1309" s="26" t="str">
        <f t="shared" si="13"/>
        <v/>
      </c>
      <c r="T1309" s="26" t="str">
        <f t="shared" si="14"/>
        <v/>
      </c>
      <c r="U1309" s="26" t="str">
        <f t="shared" si="15"/>
        <v/>
      </c>
      <c r="V1309" s="26" t="str">
        <f t="shared" si="16"/>
        <v/>
      </c>
      <c r="W1309" s="26" t="str">
        <f t="shared" si="17"/>
        <v/>
      </c>
      <c r="X1309" s="26" t="str">
        <f t="shared" si="18"/>
        <v/>
      </c>
      <c r="Y1309" s="26" t="str">
        <f t="shared" si="19"/>
        <v/>
      </c>
      <c r="Z1309" s="31" t="str">
        <f t="shared" si="20"/>
        <v/>
      </c>
      <c r="AA1309" s="31" t="str">
        <f>IF(D1309="","",IF(H1309&lt;=$B$16,1,IF(H1309&gt;=$B$17,$B$21,MATCH(H1309,Aux_CAV!$A$2:$A$121,1))))</f>
        <v/>
      </c>
      <c r="AB1309" s="31" t="str">
        <f>IF(D1309="","",IF(L1309&lt;=$B$16,1,IF(L1309&gt;=$B$17,$B$21,MATCH(L1309,Aux_CAV!$A$2:$A$121,1))))</f>
        <v/>
      </c>
      <c r="AC1309" s="3" t="str">
        <f t="shared" si="21"/>
        <v/>
      </c>
    </row>
    <row r="1310" ht="12.75" customHeight="1">
      <c r="A1310" s="25" t="str">
        <f t="shared" si="1"/>
        <v/>
      </c>
      <c r="B1310" s="29" t="str">
        <f t="array" ref="B1310">IF(D1310="","",IFERROR(VALUE(INDEX(Vazoes_COLAR!$A$2:$A$200,INT((ROW()-24)/12)+1)),""))</f>
        <v/>
      </c>
      <c r="C1310" s="29" t="str">
        <f t="shared" si="2"/>
        <v/>
      </c>
      <c r="D1310" s="26" t="str">
        <f t="array" ref="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10" s="26" t="str">
        <f t="shared" si="3"/>
        <v/>
      </c>
      <c r="F1310" s="26" t="str">
        <f t="array" ref="F1310">IF(D1310="","",IFERROR(INDEX(Dados_Evap!$C$2:$N$15,MATCH($B$9,Dados_Evap!$A$2:$A$15,0),C1310),0))</f>
        <v/>
      </c>
      <c r="G1310" s="26" t="str">
        <f t="shared" si="4"/>
        <v/>
      </c>
      <c r="H1310" s="26" t="str">
        <f t="shared" si="22"/>
        <v/>
      </c>
      <c r="I1310" s="26" t="str">
        <f t="array" ref="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/>
      </c>
      <c r="J1310" s="26" t="str">
        <f t="shared" si="5"/>
        <v/>
      </c>
      <c r="K1310" s="26" t="str">
        <f t="shared" si="6"/>
        <v/>
      </c>
      <c r="L1310" s="26" t="str">
        <f t="shared" si="7"/>
        <v/>
      </c>
      <c r="M1310" s="26" t="str">
        <f t="array" ref="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/>
      </c>
      <c r="N1310" s="26" t="str">
        <f t="shared" si="8"/>
        <v/>
      </c>
      <c r="O1310" s="26" t="str">
        <f t="shared" si="9"/>
        <v/>
      </c>
      <c r="P1310" s="26" t="str">
        <f t="shared" si="10"/>
        <v/>
      </c>
      <c r="Q1310" s="26" t="str">
        <f t="shared" si="11"/>
        <v/>
      </c>
      <c r="R1310" s="26" t="str">
        <f t="shared" si="12"/>
        <v/>
      </c>
      <c r="S1310" s="26" t="str">
        <f t="shared" si="13"/>
        <v/>
      </c>
      <c r="T1310" s="26" t="str">
        <f t="shared" si="14"/>
        <v/>
      </c>
      <c r="U1310" s="26" t="str">
        <f t="shared" si="15"/>
        <v/>
      </c>
      <c r="V1310" s="26" t="str">
        <f t="shared" si="16"/>
        <v/>
      </c>
      <c r="W1310" s="26" t="str">
        <f t="shared" si="17"/>
        <v/>
      </c>
      <c r="X1310" s="26" t="str">
        <f t="shared" si="18"/>
        <v/>
      </c>
      <c r="Y1310" s="26" t="str">
        <f t="shared" si="19"/>
        <v/>
      </c>
      <c r="Z1310" s="31" t="str">
        <f t="shared" si="20"/>
        <v/>
      </c>
      <c r="AA1310" s="31" t="str">
        <f>IF(D1310="","",IF(H1310&lt;=$B$16,1,IF(H1310&gt;=$B$17,$B$21,MATCH(H1310,Aux_CAV!$A$2:$A$121,1))))</f>
        <v/>
      </c>
      <c r="AB1310" s="31" t="str">
        <f>IF(D1310="","",IF(L1310&lt;=$B$16,1,IF(L1310&gt;=$B$17,$B$21,MATCH(L1310,Aux_CAV!$A$2:$A$121,1))))</f>
        <v/>
      </c>
      <c r="AC1310" s="3" t="str">
        <f t="shared" si="21"/>
        <v/>
      </c>
    </row>
    <row r="1311" ht="12.75" customHeight="1">
      <c r="A1311" s="25" t="str">
        <f t="shared" si="1"/>
        <v/>
      </c>
      <c r="B1311" s="29" t="str">
        <f t="array" ref="B1311">IF(D1311="","",IFERROR(VALUE(INDEX(Vazoes_COLAR!$A$2:$A$200,INT((ROW()-24)/12)+1)),""))</f>
        <v/>
      </c>
      <c r="C1311" s="29" t="str">
        <f t="shared" si="2"/>
        <v/>
      </c>
      <c r="D1311" s="26" t="str">
        <f t="array" ref="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11" s="26" t="str">
        <f t="shared" si="3"/>
        <v/>
      </c>
      <c r="F1311" s="26" t="str">
        <f t="array" ref="F1311">IF(D1311="","",IFERROR(INDEX(Dados_Evap!$C$2:$N$15,MATCH($B$9,Dados_Evap!$A$2:$A$15,0),C1311),0))</f>
        <v/>
      </c>
      <c r="G1311" s="26" t="str">
        <f t="shared" si="4"/>
        <v/>
      </c>
      <c r="H1311" s="26" t="str">
        <f t="shared" si="22"/>
        <v/>
      </c>
      <c r="I1311" s="26" t="str">
        <f t="array" ref="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/>
      </c>
      <c r="J1311" s="26" t="str">
        <f t="shared" si="5"/>
        <v/>
      </c>
      <c r="K1311" s="26" t="str">
        <f t="shared" si="6"/>
        <v/>
      </c>
      <c r="L1311" s="26" t="str">
        <f t="shared" si="7"/>
        <v/>
      </c>
      <c r="M1311" s="26" t="str">
        <f t="array" ref="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/>
      </c>
      <c r="N1311" s="26" t="str">
        <f t="shared" si="8"/>
        <v/>
      </c>
      <c r="O1311" s="26" t="str">
        <f t="shared" si="9"/>
        <v/>
      </c>
      <c r="P1311" s="26" t="str">
        <f t="shared" si="10"/>
        <v/>
      </c>
      <c r="Q1311" s="26" t="str">
        <f t="shared" si="11"/>
        <v/>
      </c>
      <c r="R1311" s="26" t="str">
        <f t="shared" si="12"/>
        <v/>
      </c>
      <c r="S1311" s="26" t="str">
        <f t="shared" si="13"/>
        <v/>
      </c>
      <c r="T1311" s="26" t="str">
        <f t="shared" si="14"/>
        <v/>
      </c>
      <c r="U1311" s="26" t="str">
        <f t="shared" si="15"/>
        <v/>
      </c>
      <c r="V1311" s="26" t="str">
        <f t="shared" si="16"/>
        <v/>
      </c>
      <c r="W1311" s="26" t="str">
        <f t="shared" si="17"/>
        <v/>
      </c>
      <c r="X1311" s="26" t="str">
        <f t="shared" si="18"/>
        <v/>
      </c>
      <c r="Y1311" s="26" t="str">
        <f t="shared" si="19"/>
        <v/>
      </c>
      <c r="Z1311" s="31" t="str">
        <f t="shared" si="20"/>
        <v/>
      </c>
      <c r="AA1311" s="31" t="str">
        <f>IF(D1311="","",IF(H1311&lt;=$B$16,1,IF(H1311&gt;=$B$17,$B$21,MATCH(H1311,Aux_CAV!$A$2:$A$121,1))))</f>
        <v/>
      </c>
      <c r="AB1311" s="31" t="str">
        <f>IF(D1311="","",IF(L1311&lt;=$B$16,1,IF(L1311&gt;=$B$17,$B$21,MATCH(L1311,Aux_CAV!$A$2:$A$121,1))))</f>
        <v/>
      </c>
      <c r="AC1311" s="3" t="str">
        <f t="shared" si="21"/>
        <v/>
      </c>
    </row>
    <row r="1312" ht="12.75" customHeight="1">
      <c r="A1312" s="25" t="str">
        <f t="shared" si="1"/>
        <v/>
      </c>
      <c r="B1312" s="29" t="str">
        <f t="array" ref="B1312">IF(D1312="","",IFERROR(VALUE(INDEX(Vazoes_COLAR!$A$2:$A$200,INT((ROW()-24)/12)+1)),""))</f>
        <v/>
      </c>
      <c r="C1312" s="29" t="str">
        <f t="shared" si="2"/>
        <v/>
      </c>
      <c r="D1312" s="26" t="str">
        <f t="array" ref="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12" s="26" t="str">
        <f t="shared" si="3"/>
        <v/>
      </c>
      <c r="F1312" s="26" t="str">
        <f t="array" ref="F1312">IF(D1312="","",IFERROR(INDEX(Dados_Evap!$C$2:$N$15,MATCH($B$9,Dados_Evap!$A$2:$A$15,0),C1312),0))</f>
        <v/>
      </c>
      <c r="G1312" s="26" t="str">
        <f t="shared" si="4"/>
        <v/>
      </c>
      <c r="H1312" s="26" t="str">
        <f t="shared" si="22"/>
        <v/>
      </c>
      <c r="I1312" s="26" t="str">
        <f t="array" ref="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/>
      </c>
      <c r="J1312" s="26" t="str">
        <f t="shared" si="5"/>
        <v/>
      </c>
      <c r="K1312" s="26" t="str">
        <f t="shared" si="6"/>
        <v/>
      </c>
      <c r="L1312" s="26" t="str">
        <f t="shared" si="7"/>
        <v/>
      </c>
      <c r="M1312" s="26" t="str">
        <f t="array" ref="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/>
      </c>
      <c r="N1312" s="26" t="str">
        <f t="shared" si="8"/>
        <v/>
      </c>
      <c r="O1312" s="26" t="str">
        <f t="shared" si="9"/>
        <v/>
      </c>
      <c r="P1312" s="26" t="str">
        <f t="shared" si="10"/>
        <v/>
      </c>
      <c r="Q1312" s="26" t="str">
        <f t="shared" si="11"/>
        <v/>
      </c>
      <c r="R1312" s="26" t="str">
        <f t="shared" si="12"/>
        <v/>
      </c>
      <c r="S1312" s="26" t="str">
        <f t="shared" si="13"/>
        <v/>
      </c>
      <c r="T1312" s="26" t="str">
        <f t="shared" si="14"/>
        <v/>
      </c>
      <c r="U1312" s="26" t="str">
        <f t="shared" si="15"/>
        <v/>
      </c>
      <c r="V1312" s="26" t="str">
        <f t="shared" si="16"/>
        <v/>
      </c>
      <c r="W1312" s="26" t="str">
        <f t="shared" si="17"/>
        <v/>
      </c>
      <c r="X1312" s="26" t="str">
        <f t="shared" si="18"/>
        <v/>
      </c>
      <c r="Y1312" s="26" t="str">
        <f t="shared" si="19"/>
        <v/>
      </c>
      <c r="Z1312" s="31" t="str">
        <f t="shared" si="20"/>
        <v/>
      </c>
      <c r="AA1312" s="31" t="str">
        <f>IF(D1312="","",IF(H1312&lt;=$B$16,1,IF(H1312&gt;=$B$17,$B$21,MATCH(H1312,Aux_CAV!$A$2:$A$121,1))))</f>
        <v/>
      </c>
      <c r="AB1312" s="31" t="str">
        <f>IF(D1312="","",IF(L1312&lt;=$B$16,1,IF(L1312&gt;=$B$17,$B$21,MATCH(L1312,Aux_CAV!$A$2:$A$121,1))))</f>
        <v/>
      </c>
      <c r="AC1312" s="3" t="str">
        <f t="shared" si="21"/>
        <v/>
      </c>
    </row>
    <row r="1313" ht="12.75" customHeight="1">
      <c r="A1313" s="25" t="str">
        <f t="shared" si="1"/>
        <v/>
      </c>
      <c r="B1313" s="29" t="str">
        <f t="array" ref="B1313">IF(D1313="","",IFERROR(VALUE(INDEX(Vazoes_COLAR!$A$2:$A$200,INT((ROW()-24)/12)+1)),""))</f>
        <v/>
      </c>
      <c r="C1313" s="29" t="str">
        <f t="shared" si="2"/>
        <v/>
      </c>
      <c r="D1313" s="26" t="str">
        <f t="array" ref="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13" s="26" t="str">
        <f t="shared" si="3"/>
        <v/>
      </c>
      <c r="F1313" s="26" t="str">
        <f t="array" ref="F1313">IF(D1313="","",IFERROR(INDEX(Dados_Evap!$C$2:$N$15,MATCH($B$9,Dados_Evap!$A$2:$A$15,0),C1313),0))</f>
        <v/>
      </c>
      <c r="G1313" s="26" t="str">
        <f t="shared" si="4"/>
        <v/>
      </c>
      <c r="H1313" s="26" t="str">
        <f t="shared" si="22"/>
        <v/>
      </c>
      <c r="I1313" s="26" t="str">
        <f t="array" ref="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/>
      </c>
      <c r="J1313" s="26" t="str">
        <f t="shared" si="5"/>
        <v/>
      </c>
      <c r="K1313" s="26" t="str">
        <f t="shared" si="6"/>
        <v/>
      </c>
      <c r="L1313" s="26" t="str">
        <f t="shared" si="7"/>
        <v/>
      </c>
      <c r="M1313" s="26" t="str">
        <f t="array" ref="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/>
      </c>
      <c r="N1313" s="26" t="str">
        <f t="shared" si="8"/>
        <v/>
      </c>
      <c r="O1313" s="26" t="str">
        <f t="shared" si="9"/>
        <v/>
      </c>
      <c r="P1313" s="26" t="str">
        <f t="shared" si="10"/>
        <v/>
      </c>
      <c r="Q1313" s="26" t="str">
        <f t="shared" si="11"/>
        <v/>
      </c>
      <c r="R1313" s="26" t="str">
        <f t="shared" si="12"/>
        <v/>
      </c>
      <c r="S1313" s="26" t="str">
        <f t="shared" si="13"/>
        <v/>
      </c>
      <c r="T1313" s="26" t="str">
        <f t="shared" si="14"/>
        <v/>
      </c>
      <c r="U1313" s="26" t="str">
        <f t="shared" si="15"/>
        <v/>
      </c>
      <c r="V1313" s="26" t="str">
        <f t="shared" si="16"/>
        <v/>
      </c>
      <c r="W1313" s="26" t="str">
        <f t="shared" si="17"/>
        <v/>
      </c>
      <c r="X1313" s="26" t="str">
        <f t="shared" si="18"/>
        <v/>
      </c>
      <c r="Y1313" s="26" t="str">
        <f t="shared" si="19"/>
        <v/>
      </c>
      <c r="Z1313" s="31" t="str">
        <f t="shared" si="20"/>
        <v/>
      </c>
      <c r="AA1313" s="31" t="str">
        <f>IF(D1313="","",IF(H1313&lt;=$B$16,1,IF(H1313&gt;=$B$17,$B$21,MATCH(H1313,Aux_CAV!$A$2:$A$121,1))))</f>
        <v/>
      </c>
      <c r="AB1313" s="31" t="str">
        <f>IF(D1313="","",IF(L1313&lt;=$B$16,1,IF(L1313&gt;=$B$17,$B$21,MATCH(L1313,Aux_CAV!$A$2:$A$121,1))))</f>
        <v/>
      </c>
      <c r="AC1313" s="3" t="str">
        <f t="shared" si="21"/>
        <v/>
      </c>
    </row>
    <row r="1314" ht="12.75" customHeight="1">
      <c r="A1314" s="25" t="str">
        <f t="shared" si="1"/>
        <v/>
      </c>
      <c r="B1314" s="29" t="str">
        <f t="array" ref="B1314">IF(D1314="","",IFERROR(VALUE(INDEX(Vazoes_COLAR!$A$2:$A$200,INT((ROW()-24)/12)+1)),""))</f>
        <v/>
      </c>
      <c r="C1314" s="29" t="str">
        <f t="shared" si="2"/>
        <v/>
      </c>
      <c r="D1314" s="26" t="str">
        <f t="array" ref="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14" s="26" t="str">
        <f t="shared" si="3"/>
        <v/>
      </c>
      <c r="F1314" s="26" t="str">
        <f t="array" ref="F1314">IF(D1314="","",IFERROR(INDEX(Dados_Evap!$C$2:$N$15,MATCH($B$9,Dados_Evap!$A$2:$A$15,0),C1314),0))</f>
        <v/>
      </c>
      <c r="G1314" s="26" t="str">
        <f t="shared" si="4"/>
        <v/>
      </c>
      <c r="H1314" s="26" t="str">
        <f t="shared" si="22"/>
        <v/>
      </c>
      <c r="I1314" s="26" t="str">
        <f t="array" ref="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/>
      </c>
      <c r="J1314" s="26" t="str">
        <f t="shared" si="5"/>
        <v/>
      </c>
      <c r="K1314" s="26" t="str">
        <f t="shared" si="6"/>
        <v/>
      </c>
      <c r="L1314" s="26" t="str">
        <f t="shared" si="7"/>
        <v/>
      </c>
      <c r="M1314" s="26" t="str">
        <f t="array" ref="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/>
      </c>
      <c r="N1314" s="26" t="str">
        <f t="shared" si="8"/>
        <v/>
      </c>
      <c r="O1314" s="26" t="str">
        <f t="shared" si="9"/>
        <v/>
      </c>
      <c r="P1314" s="26" t="str">
        <f t="shared" si="10"/>
        <v/>
      </c>
      <c r="Q1314" s="26" t="str">
        <f t="shared" si="11"/>
        <v/>
      </c>
      <c r="R1314" s="26" t="str">
        <f t="shared" si="12"/>
        <v/>
      </c>
      <c r="S1314" s="26" t="str">
        <f t="shared" si="13"/>
        <v/>
      </c>
      <c r="T1314" s="26" t="str">
        <f t="shared" si="14"/>
        <v/>
      </c>
      <c r="U1314" s="26" t="str">
        <f t="shared" si="15"/>
        <v/>
      </c>
      <c r="V1314" s="26" t="str">
        <f t="shared" si="16"/>
        <v/>
      </c>
      <c r="W1314" s="26" t="str">
        <f t="shared" si="17"/>
        <v/>
      </c>
      <c r="X1314" s="26" t="str">
        <f t="shared" si="18"/>
        <v/>
      </c>
      <c r="Y1314" s="26" t="str">
        <f t="shared" si="19"/>
        <v/>
      </c>
      <c r="Z1314" s="31" t="str">
        <f t="shared" si="20"/>
        <v/>
      </c>
      <c r="AA1314" s="31" t="str">
        <f>IF(D1314="","",IF(H1314&lt;=$B$16,1,IF(H1314&gt;=$B$17,$B$21,MATCH(H1314,Aux_CAV!$A$2:$A$121,1))))</f>
        <v/>
      </c>
      <c r="AB1314" s="31" t="str">
        <f>IF(D1314="","",IF(L1314&lt;=$B$16,1,IF(L1314&gt;=$B$17,$B$21,MATCH(L1314,Aux_CAV!$A$2:$A$121,1))))</f>
        <v/>
      </c>
      <c r="AC1314" s="3" t="str">
        <f t="shared" si="21"/>
        <v/>
      </c>
    </row>
    <row r="1315" ht="12.75" customHeight="1">
      <c r="A1315" s="25" t="str">
        <f t="shared" si="1"/>
        <v/>
      </c>
      <c r="B1315" s="29" t="str">
        <f t="array" ref="B1315">IF(D1315="","",IFERROR(VALUE(INDEX(Vazoes_COLAR!$A$2:$A$200,INT((ROW()-24)/12)+1)),""))</f>
        <v/>
      </c>
      <c r="C1315" s="29" t="str">
        <f t="shared" si="2"/>
        <v/>
      </c>
      <c r="D1315" s="26" t="str">
        <f t="array" ref="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15" s="26" t="str">
        <f t="shared" si="3"/>
        <v/>
      </c>
      <c r="F1315" s="26" t="str">
        <f t="array" ref="F1315">IF(D1315="","",IFERROR(INDEX(Dados_Evap!$C$2:$N$15,MATCH($B$9,Dados_Evap!$A$2:$A$15,0),C1315),0))</f>
        <v/>
      </c>
      <c r="G1315" s="26" t="str">
        <f t="shared" si="4"/>
        <v/>
      </c>
      <c r="H1315" s="26" t="str">
        <f t="shared" si="22"/>
        <v/>
      </c>
      <c r="I1315" s="26" t="str">
        <f t="array" ref="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/>
      </c>
      <c r="J1315" s="26" t="str">
        <f t="shared" si="5"/>
        <v/>
      </c>
      <c r="K1315" s="26" t="str">
        <f t="shared" si="6"/>
        <v/>
      </c>
      <c r="L1315" s="26" t="str">
        <f t="shared" si="7"/>
        <v/>
      </c>
      <c r="M1315" s="26" t="str">
        <f t="array" ref="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/>
      </c>
      <c r="N1315" s="26" t="str">
        <f t="shared" si="8"/>
        <v/>
      </c>
      <c r="O1315" s="26" t="str">
        <f t="shared" si="9"/>
        <v/>
      </c>
      <c r="P1315" s="26" t="str">
        <f t="shared" si="10"/>
        <v/>
      </c>
      <c r="Q1315" s="26" t="str">
        <f t="shared" si="11"/>
        <v/>
      </c>
      <c r="R1315" s="26" t="str">
        <f t="shared" si="12"/>
        <v/>
      </c>
      <c r="S1315" s="26" t="str">
        <f t="shared" si="13"/>
        <v/>
      </c>
      <c r="T1315" s="26" t="str">
        <f t="shared" si="14"/>
        <v/>
      </c>
      <c r="U1315" s="26" t="str">
        <f t="shared" si="15"/>
        <v/>
      </c>
      <c r="V1315" s="26" t="str">
        <f t="shared" si="16"/>
        <v/>
      </c>
      <c r="W1315" s="26" t="str">
        <f t="shared" si="17"/>
        <v/>
      </c>
      <c r="X1315" s="26" t="str">
        <f t="shared" si="18"/>
        <v/>
      </c>
      <c r="Y1315" s="26" t="str">
        <f t="shared" si="19"/>
        <v/>
      </c>
      <c r="Z1315" s="31" t="str">
        <f t="shared" si="20"/>
        <v/>
      </c>
      <c r="AA1315" s="31" t="str">
        <f>IF(D1315="","",IF(H1315&lt;=$B$16,1,IF(H1315&gt;=$B$17,$B$21,MATCH(H1315,Aux_CAV!$A$2:$A$121,1))))</f>
        <v/>
      </c>
      <c r="AB1315" s="31" t="str">
        <f>IF(D1315="","",IF(L1315&lt;=$B$16,1,IF(L1315&gt;=$B$17,$B$21,MATCH(L1315,Aux_CAV!$A$2:$A$121,1))))</f>
        <v/>
      </c>
      <c r="AC1315" s="3" t="str">
        <f t="shared" si="21"/>
        <v/>
      </c>
    </row>
    <row r="1316" ht="12.75" customHeight="1">
      <c r="A1316" s="25" t="str">
        <f t="shared" si="1"/>
        <v/>
      </c>
      <c r="B1316" s="29" t="str">
        <f t="array" ref="B1316">IF(D1316="","",IFERROR(VALUE(INDEX(Vazoes_COLAR!$A$2:$A$200,INT((ROW()-24)/12)+1)),""))</f>
        <v/>
      </c>
      <c r="C1316" s="29" t="str">
        <f t="shared" si="2"/>
        <v/>
      </c>
      <c r="D1316" s="26" t="str">
        <f t="array" ref="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16" s="26" t="str">
        <f t="shared" si="3"/>
        <v/>
      </c>
      <c r="F1316" s="26" t="str">
        <f t="array" ref="F1316">IF(D1316="","",IFERROR(INDEX(Dados_Evap!$C$2:$N$15,MATCH($B$9,Dados_Evap!$A$2:$A$15,0),C1316),0))</f>
        <v/>
      </c>
      <c r="G1316" s="26" t="str">
        <f t="shared" si="4"/>
        <v/>
      </c>
      <c r="H1316" s="26" t="str">
        <f t="shared" si="22"/>
        <v/>
      </c>
      <c r="I1316" s="26" t="str">
        <f t="array" ref="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/>
      </c>
      <c r="J1316" s="26" t="str">
        <f t="shared" si="5"/>
        <v/>
      </c>
      <c r="K1316" s="26" t="str">
        <f t="shared" si="6"/>
        <v/>
      </c>
      <c r="L1316" s="26" t="str">
        <f t="shared" si="7"/>
        <v/>
      </c>
      <c r="M1316" s="26" t="str">
        <f t="array" ref="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/>
      </c>
      <c r="N1316" s="26" t="str">
        <f t="shared" si="8"/>
        <v/>
      </c>
      <c r="O1316" s="26" t="str">
        <f t="shared" si="9"/>
        <v/>
      </c>
      <c r="P1316" s="26" t="str">
        <f t="shared" si="10"/>
        <v/>
      </c>
      <c r="Q1316" s="26" t="str">
        <f t="shared" si="11"/>
        <v/>
      </c>
      <c r="R1316" s="26" t="str">
        <f t="shared" si="12"/>
        <v/>
      </c>
      <c r="S1316" s="26" t="str">
        <f t="shared" si="13"/>
        <v/>
      </c>
      <c r="T1316" s="26" t="str">
        <f t="shared" si="14"/>
        <v/>
      </c>
      <c r="U1316" s="26" t="str">
        <f t="shared" si="15"/>
        <v/>
      </c>
      <c r="V1316" s="26" t="str">
        <f t="shared" si="16"/>
        <v/>
      </c>
      <c r="W1316" s="26" t="str">
        <f t="shared" si="17"/>
        <v/>
      </c>
      <c r="X1316" s="26" t="str">
        <f t="shared" si="18"/>
        <v/>
      </c>
      <c r="Y1316" s="26" t="str">
        <f t="shared" si="19"/>
        <v/>
      </c>
      <c r="Z1316" s="31" t="str">
        <f t="shared" si="20"/>
        <v/>
      </c>
      <c r="AA1316" s="31" t="str">
        <f>IF(D1316="","",IF(H1316&lt;=$B$16,1,IF(H1316&gt;=$B$17,$B$21,MATCH(H1316,Aux_CAV!$A$2:$A$121,1))))</f>
        <v/>
      </c>
      <c r="AB1316" s="31" t="str">
        <f>IF(D1316="","",IF(L1316&lt;=$B$16,1,IF(L1316&gt;=$B$17,$B$21,MATCH(L1316,Aux_CAV!$A$2:$A$121,1))))</f>
        <v/>
      </c>
      <c r="AC1316" s="3" t="str">
        <f t="shared" si="21"/>
        <v/>
      </c>
    </row>
    <row r="1317" ht="12.75" customHeight="1">
      <c r="A1317" s="25" t="str">
        <f t="shared" si="1"/>
        <v/>
      </c>
      <c r="B1317" s="29" t="str">
        <f t="array" ref="B1317">IF(D1317="","",IFERROR(VALUE(INDEX(Vazoes_COLAR!$A$2:$A$200,INT((ROW()-24)/12)+1)),""))</f>
        <v/>
      </c>
      <c r="C1317" s="29" t="str">
        <f t="shared" si="2"/>
        <v/>
      </c>
      <c r="D1317" s="26" t="str">
        <f t="array" ref="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17" s="26" t="str">
        <f t="shared" si="3"/>
        <v/>
      </c>
      <c r="F1317" s="26" t="str">
        <f t="array" ref="F1317">IF(D1317="","",IFERROR(INDEX(Dados_Evap!$C$2:$N$15,MATCH($B$9,Dados_Evap!$A$2:$A$15,0),C1317),0))</f>
        <v/>
      </c>
      <c r="G1317" s="26" t="str">
        <f t="shared" si="4"/>
        <v/>
      </c>
      <c r="H1317" s="26" t="str">
        <f t="shared" si="22"/>
        <v/>
      </c>
      <c r="I1317" s="26" t="str">
        <f t="array" ref="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/>
      </c>
      <c r="J1317" s="26" t="str">
        <f t="shared" si="5"/>
        <v/>
      </c>
      <c r="K1317" s="26" t="str">
        <f t="shared" si="6"/>
        <v/>
      </c>
      <c r="L1317" s="26" t="str">
        <f t="shared" si="7"/>
        <v/>
      </c>
      <c r="M1317" s="26" t="str">
        <f t="array" ref="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/>
      </c>
      <c r="N1317" s="26" t="str">
        <f t="shared" si="8"/>
        <v/>
      </c>
      <c r="O1317" s="26" t="str">
        <f t="shared" si="9"/>
        <v/>
      </c>
      <c r="P1317" s="26" t="str">
        <f t="shared" si="10"/>
        <v/>
      </c>
      <c r="Q1317" s="26" t="str">
        <f t="shared" si="11"/>
        <v/>
      </c>
      <c r="R1317" s="26" t="str">
        <f t="shared" si="12"/>
        <v/>
      </c>
      <c r="S1317" s="26" t="str">
        <f t="shared" si="13"/>
        <v/>
      </c>
      <c r="T1317" s="26" t="str">
        <f t="shared" si="14"/>
        <v/>
      </c>
      <c r="U1317" s="26" t="str">
        <f t="shared" si="15"/>
        <v/>
      </c>
      <c r="V1317" s="26" t="str">
        <f t="shared" si="16"/>
        <v/>
      </c>
      <c r="W1317" s="26" t="str">
        <f t="shared" si="17"/>
        <v/>
      </c>
      <c r="X1317" s="26" t="str">
        <f t="shared" si="18"/>
        <v/>
      </c>
      <c r="Y1317" s="26" t="str">
        <f t="shared" si="19"/>
        <v/>
      </c>
      <c r="Z1317" s="31" t="str">
        <f t="shared" si="20"/>
        <v/>
      </c>
      <c r="AA1317" s="31" t="str">
        <f>IF(D1317="","",IF(H1317&lt;=$B$16,1,IF(H1317&gt;=$B$17,$B$21,MATCH(H1317,Aux_CAV!$A$2:$A$121,1))))</f>
        <v/>
      </c>
      <c r="AB1317" s="31" t="str">
        <f>IF(D1317="","",IF(L1317&lt;=$B$16,1,IF(L1317&gt;=$B$17,$B$21,MATCH(L1317,Aux_CAV!$A$2:$A$121,1))))</f>
        <v/>
      </c>
      <c r="AC1317" s="3" t="str">
        <f t="shared" si="21"/>
        <v/>
      </c>
    </row>
    <row r="1318" ht="12.75" customHeight="1">
      <c r="A1318" s="25" t="str">
        <f t="shared" si="1"/>
        <v/>
      </c>
      <c r="B1318" s="29" t="str">
        <f t="array" ref="B1318">IF(D1318="","",IFERROR(VALUE(INDEX(Vazoes_COLAR!$A$2:$A$200,INT((ROW()-24)/12)+1)),""))</f>
        <v/>
      </c>
      <c r="C1318" s="29" t="str">
        <f t="shared" si="2"/>
        <v/>
      </c>
      <c r="D1318" s="26" t="str">
        <f t="array" ref="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18" s="26" t="str">
        <f t="shared" si="3"/>
        <v/>
      </c>
      <c r="F1318" s="26" t="str">
        <f t="array" ref="F1318">IF(D1318="","",IFERROR(INDEX(Dados_Evap!$C$2:$N$15,MATCH($B$9,Dados_Evap!$A$2:$A$15,0),C1318),0))</f>
        <v/>
      </c>
      <c r="G1318" s="26" t="str">
        <f t="shared" si="4"/>
        <v/>
      </c>
      <c r="H1318" s="26" t="str">
        <f t="shared" si="22"/>
        <v/>
      </c>
      <c r="I1318" s="26" t="str">
        <f t="array" ref="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/>
      </c>
      <c r="J1318" s="26" t="str">
        <f t="shared" si="5"/>
        <v/>
      </c>
      <c r="K1318" s="26" t="str">
        <f t="shared" si="6"/>
        <v/>
      </c>
      <c r="L1318" s="26" t="str">
        <f t="shared" si="7"/>
        <v/>
      </c>
      <c r="M1318" s="26" t="str">
        <f t="array" ref="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/>
      </c>
      <c r="N1318" s="26" t="str">
        <f t="shared" si="8"/>
        <v/>
      </c>
      <c r="O1318" s="26" t="str">
        <f t="shared" si="9"/>
        <v/>
      </c>
      <c r="P1318" s="26" t="str">
        <f t="shared" si="10"/>
        <v/>
      </c>
      <c r="Q1318" s="26" t="str">
        <f t="shared" si="11"/>
        <v/>
      </c>
      <c r="R1318" s="26" t="str">
        <f t="shared" si="12"/>
        <v/>
      </c>
      <c r="S1318" s="26" t="str">
        <f t="shared" si="13"/>
        <v/>
      </c>
      <c r="T1318" s="26" t="str">
        <f t="shared" si="14"/>
        <v/>
      </c>
      <c r="U1318" s="26" t="str">
        <f t="shared" si="15"/>
        <v/>
      </c>
      <c r="V1318" s="26" t="str">
        <f t="shared" si="16"/>
        <v/>
      </c>
      <c r="W1318" s="26" t="str">
        <f t="shared" si="17"/>
        <v/>
      </c>
      <c r="X1318" s="26" t="str">
        <f t="shared" si="18"/>
        <v/>
      </c>
      <c r="Y1318" s="26" t="str">
        <f t="shared" si="19"/>
        <v/>
      </c>
      <c r="Z1318" s="31" t="str">
        <f t="shared" si="20"/>
        <v/>
      </c>
      <c r="AA1318" s="31" t="str">
        <f>IF(D1318="","",IF(H1318&lt;=$B$16,1,IF(H1318&gt;=$B$17,$B$21,MATCH(H1318,Aux_CAV!$A$2:$A$121,1))))</f>
        <v/>
      </c>
      <c r="AB1318" s="31" t="str">
        <f>IF(D1318="","",IF(L1318&lt;=$B$16,1,IF(L1318&gt;=$B$17,$B$21,MATCH(L1318,Aux_CAV!$A$2:$A$121,1))))</f>
        <v/>
      </c>
      <c r="AC1318" s="3" t="str">
        <f t="shared" si="21"/>
        <v/>
      </c>
    </row>
    <row r="1319" ht="12.75" customHeight="1">
      <c r="A1319" s="25" t="str">
        <f t="shared" si="1"/>
        <v/>
      </c>
      <c r="B1319" s="29" t="str">
        <f t="array" ref="B1319">IF(D1319="","",IFERROR(VALUE(INDEX(Vazoes_COLAR!$A$2:$A$200,INT((ROW()-24)/12)+1)),""))</f>
        <v/>
      </c>
      <c r="C1319" s="29" t="str">
        <f t="shared" si="2"/>
        <v/>
      </c>
      <c r="D1319" s="26" t="str">
        <f t="array" ref="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19" s="26" t="str">
        <f t="shared" si="3"/>
        <v/>
      </c>
      <c r="F1319" s="26" t="str">
        <f t="array" ref="F1319">IF(D1319="","",IFERROR(INDEX(Dados_Evap!$C$2:$N$15,MATCH($B$9,Dados_Evap!$A$2:$A$15,0),C1319),0))</f>
        <v/>
      </c>
      <c r="G1319" s="26" t="str">
        <f t="shared" si="4"/>
        <v/>
      </c>
      <c r="H1319" s="26" t="str">
        <f t="shared" si="22"/>
        <v/>
      </c>
      <c r="I1319" s="26" t="str">
        <f t="array" ref="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/>
      </c>
      <c r="J1319" s="26" t="str">
        <f t="shared" si="5"/>
        <v/>
      </c>
      <c r="K1319" s="26" t="str">
        <f t="shared" si="6"/>
        <v/>
      </c>
      <c r="L1319" s="26" t="str">
        <f t="shared" si="7"/>
        <v/>
      </c>
      <c r="M1319" s="26" t="str">
        <f t="array" ref="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/>
      </c>
      <c r="N1319" s="26" t="str">
        <f t="shared" si="8"/>
        <v/>
      </c>
      <c r="O1319" s="26" t="str">
        <f t="shared" si="9"/>
        <v/>
      </c>
      <c r="P1319" s="26" t="str">
        <f t="shared" si="10"/>
        <v/>
      </c>
      <c r="Q1319" s="26" t="str">
        <f t="shared" si="11"/>
        <v/>
      </c>
      <c r="R1319" s="26" t="str">
        <f t="shared" si="12"/>
        <v/>
      </c>
      <c r="S1319" s="26" t="str">
        <f t="shared" si="13"/>
        <v/>
      </c>
      <c r="T1319" s="26" t="str">
        <f t="shared" si="14"/>
        <v/>
      </c>
      <c r="U1319" s="26" t="str">
        <f t="shared" si="15"/>
        <v/>
      </c>
      <c r="V1319" s="26" t="str">
        <f t="shared" si="16"/>
        <v/>
      </c>
      <c r="W1319" s="26" t="str">
        <f t="shared" si="17"/>
        <v/>
      </c>
      <c r="X1319" s="26" t="str">
        <f t="shared" si="18"/>
        <v/>
      </c>
      <c r="Y1319" s="26" t="str">
        <f t="shared" si="19"/>
        <v/>
      </c>
      <c r="Z1319" s="31" t="str">
        <f t="shared" si="20"/>
        <v/>
      </c>
      <c r="AA1319" s="31" t="str">
        <f>IF(D1319="","",IF(H1319&lt;=$B$16,1,IF(H1319&gt;=$B$17,$B$21,MATCH(H1319,Aux_CAV!$A$2:$A$121,1))))</f>
        <v/>
      </c>
      <c r="AB1319" s="31" t="str">
        <f>IF(D1319="","",IF(L1319&lt;=$B$16,1,IF(L1319&gt;=$B$17,$B$21,MATCH(L1319,Aux_CAV!$A$2:$A$121,1))))</f>
        <v/>
      </c>
      <c r="AC1319" s="3" t="str">
        <f t="shared" si="21"/>
        <v/>
      </c>
    </row>
    <row r="1320" ht="12.75" customHeight="1">
      <c r="A1320" s="25" t="str">
        <f t="shared" si="1"/>
        <v/>
      </c>
      <c r="B1320" s="29" t="str">
        <f t="array" ref="B1320">IF(D1320="","",IFERROR(VALUE(INDEX(Vazoes_COLAR!$A$2:$A$200,INT((ROW()-24)/12)+1)),""))</f>
        <v/>
      </c>
      <c r="C1320" s="29" t="str">
        <f t="shared" si="2"/>
        <v/>
      </c>
      <c r="D1320" s="26" t="str">
        <f t="array" ref="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0" s="26" t="str">
        <f t="shared" si="3"/>
        <v/>
      </c>
      <c r="F1320" s="26" t="str">
        <f t="array" ref="F1320">IF(D1320="","",IFERROR(INDEX(Dados_Evap!$C$2:$N$15,MATCH($B$9,Dados_Evap!$A$2:$A$15,0),C1320),0))</f>
        <v/>
      </c>
      <c r="G1320" s="26" t="str">
        <f t="shared" si="4"/>
        <v/>
      </c>
      <c r="H1320" s="26" t="str">
        <f t="shared" si="22"/>
        <v/>
      </c>
      <c r="I1320" s="26" t="str">
        <f t="array" ref="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/>
      </c>
      <c r="J1320" s="26" t="str">
        <f t="shared" si="5"/>
        <v/>
      </c>
      <c r="K1320" s="26" t="str">
        <f t="shared" si="6"/>
        <v/>
      </c>
      <c r="L1320" s="26" t="str">
        <f t="shared" si="7"/>
        <v/>
      </c>
      <c r="M1320" s="26" t="str">
        <f t="array" ref="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/>
      </c>
      <c r="N1320" s="26" t="str">
        <f t="shared" si="8"/>
        <v/>
      </c>
      <c r="O1320" s="26" t="str">
        <f t="shared" si="9"/>
        <v/>
      </c>
      <c r="P1320" s="26" t="str">
        <f t="shared" si="10"/>
        <v/>
      </c>
      <c r="Q1320" s="26" t="str">
        <f t="shared" si="11"/>
        <v/>
      </c>
      <c r="R1320" s="26" t="str">
        <f t="shared" si="12"/>
        <v/>
      </c>
      <c r="S1320" s="26" t="str">
        <f t="shared" si="13"/>
        <v/>
      </c>
      <c r="T1320" s="26" t="str">
        <f t="shared" si="14"/>
        <v/>
      </c>
      <c r="U1320" s="26" t="str">
        <f t="shared" si="15"/>
        <v/>
      </c>
      <c r="V1320" s="26" t="str">
        <f t="shared" si="16"/>
        <v/>
      </c>
      <c r="W1320" s="26" t="str">
        <f t="shared" si="17"/>
        <v/>
      </c>
      <c r="X1320" s="26" t="str">
        <f t="shared" si="18"/>
        <v/>
      </c>
      <c r="Y1320" s="26" t="str">
        <f t="shared" si="19"/>
        <v/>
      </c>
      <c r="Z1320" s="31" t="str">
        <f t="shared" si="20"/>
        <v/>
      </c>
      <c r="AA1320" s="31" t="str">
        <f>IF(D1320="","",IF(H1320&lt;=$B$16,1,IF(H1320&gt;=$B$17,$B$21,MATCH(H1320,Aux_CAV!$A$2:$A$121,1))))</f>
        <v/>
      </c>
      <c r="AB1320" s="31" t="str">
        <f>IF(D1320="","",IF(L1320&lt;=$B$16,1,IF(L1320&gt;=$B$17,$B$21,MATCH(L1320,Aux_CAV!$A$2:$A$121,1))))</f>
        <v/>
      </c>
      <c r="AC1320" s="3" t="str">
        <f t="shared" si="21"/>
        <v/>
      </c>
    </row>
    <row r="1321" ht="12.75" customHeight="1">
      <c r="A1321" s="25" t="str">
        <f t="shared" si="1"/>
        <v/>
      </c>
      <c r="B1321" s="29" t="str">
        <f t="array" ref="B1321">IF(D1321="","",IFERROR(VALUE(INDEX(Vazoes_COLAR!$A$2:$A$200,INT((ROW()-24)/12)+1)),""))</f>
        <v/>
      </c>
      <c r="C1321" s="29" t="str">
        <f t="shared" si="2"/>
        <v/>
      </c>
      <c r="D1321" s="26" t="str">
        <f t="array" ref="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1" s="26" t="str">
        <f t="shared" si="3"/>
        <v/>
      </c>
      <c r="F1321" s="26" t="str">
        <f t="array" ref="F1321">IF(D1321="","",IFERROR(INDEX(Dados_Evap!$C$2:$N$15,MATCH($B$9,Dados_Evap!$A$2:$A$15,0),C1321),0))</f>
        <v/>
      </c>
      <c r="G1321" s="26" t="str">
        <f t="shared" si="4"/>
        <v/>
      </c>
      <c r="H1321" s="26" t="str">
        <f t="shared" si="22"/>
        <v/>
      </c>
      <c r="I1321" s="26" t="str">
        <f t="array" ref="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/>
      </c>
      <c r="J1321" s="26" t="str">
        <f t="shared" si="5"/>
        <v/>
      </c>
      <c r="K1321" s="26" t="str">
        <f t="shared" si="6"/>
        <v/>
      </c>
      <c r="L1321" s="26" t="str">
        <f t="shared" si="7"/>
        <v/>
      </c>
      <c r="M1321" s="26" t="str">
        <f t="array" ref="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/>
      </c>
      <c r="N1321" s="26" t="str">
        <f t="shared" si="8"/>
        <v/>
      </c>
      <c r="O1321" s="26" t="str">
        <f t="shared" si="9"/>
        <v/>
      </c>
      <c r="P1321" s="26" t="str">
        <f t="shared" si="10"/>
        <v/>
      </c>
      <c r="Q1321" s="26" t="str">
        <f t="shared" si="11"/>
        <v/>
      </c>
      <c r="R1321" s="26" t="str">
        <f t="shared" si="12"/>
        <v/>
      </c>
      <c r="S1321" s="26" t="str">
        <f t="shared" si="13"/>
        <v/>
      </c>
      <c r="T1321" s="26" t="str">
        <f t="shared" si="14"/>
        <v/>
      </c>
      <c r="U1321" s="26" t="str">
        <f t="shared" si="15"/>
        <v/>
      </c>
      <c r="V1321" s="26" t="str">
        <f t="shared" si="16"/>
        <v/>
      </c>
      <c r="W1321" s="26" t="str">
        <f t="shared" si="17"/>
        <v/>
      </c>
      <c r="X1321" s="26" t="str">
        <f t="shared" si="18"/>
        <v/>
      </c>
      <c r="Y1321" s="26" t="str">
        <f t="shared" si="19"/>
        <v/>
      </c>
      <c r="Z1321" s="31" t="str">
        <f t="shared" si="20"/>
        <v/>
      </c>
      <c r="AA1321" s="31" t="str">
        <f>IF(D1321="","",IF(H1321&lt;=$B$16,1,IF(H1321&gt;=$B$17,$B$21,MATCH(H1321,Aux_CAV!$A$2:$A$121,1))))</f>
        <v/>
      </c>
      <c r="AB1321" s="31" t="str">
        <f>IF(D1321="","",IF(L1321&lt;=$B$16,1,IF(L1321&gt;=$B$17,$B$21,MATCH(L1321,Aux_CAV!$A$2:$A$121,1))))</f>
        <v/>
      </c>
      <c r="AC1321" s="3" t="str">
        <f t="shared" si="21"/>
        <v/>
      </c>
    </row>
    <row r="1322" ht="12.75" customHeight="1">
      <c r="A1322" s="25" t="str">
        <f t="shared" si="1"/>
        <v/>
      </c>
      <c r="B1322" s="29" t="str">
        <f t="array" ref="B1322">IF(D1322="","",IFERROR(VALUE(INDEX(Vazoes_COLAR!$A$2:$A$200,INT((ROW()-24)/12)+1)),""))</f>
        <v/>
      </c>
      <c r="C1322" s="29" t="str">
        <f t="shared" si="2"/>
        <v/>
      </c>
      <c r="D1322" s="26" t="str">
        <f t="array" ref="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2" s="26" t="str">
        <f t="shared" si="3"/>
        <v/>
      </c>
      <c r="F1322" s="26" t="str">
        <f t="array" ref="F1322">IF(D1322="","",IFERROR(INDEX(Dados_Evap!$C$2:$N$15,MATCH($B$9,Dados_Evap!$A$2:$A$15,0),C1322),0))</f>
        <v/>
      </c>
      <c r="G1322" s="26" t="str">
        <f t="shared" si="4"/>
        <v/>
      </c>
      <c r="H1322" s="26" t="str">
        <f t="shared" si="22"/>
        <v/>
      </c>
      <c r="I1322" s="26" t="str">
        <f t="array" ref="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/>
      </c>
      <c r="J1322" s="26" t="str">
        <f t="shared" si="5"/>
        <v/>
      </c>
      <c r="K1322" s="26" t="str">
        <f t="shared" si="6"/>
        <v/>
      </c>
      <c r="L1322" s="26" t="str">
        <f t="shared" si="7"/>
        <v/>
      </c>
      <c r="M1322" s="26" t="str">
        <f t="array" ref="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/>
      </c>
      <c r="N1322" s="26" t="str">
        <f t="shared" si="8"/>
        <v/>
      </c>
      <c r="O1322" s="26" t="str">
        <f t="shared" si="9"/>
        <v/>
      </c>
      <c r="P1322" s="26" t="str">
        <f t="shared" si="10"/>
        <v/>
      </c>
      <c r="Q1322" s="26" t="str">
        <f t="shared" si="11"/>
        <v/>
      </c>
      <c r="R1322" s="26" t="str">
        <f t="shared" si="12"/>
        <v/>
      </c>
      <c r="S1322" s="26" t="str">
        <f t="shared" si="13"/>
        <v/>
      </c>
      <c r="T1322" s="26" t="str">
        <f t="shared" si="14"/>
        <v/>
      </c>
      <c r="U1322" s="26" t="str">
        <f t="shared" si="15"/>
        <v/>
      </c>
      <c r="V1322" s="26" t="str">
        <f t="shared" si="16"/>
        <v/>
      </c>
      <c r="W1322" s="26" t="str">
        <f t="shared" si="17"/>
        <v/>
      </c>
      <c r="X1322" s="26" t="str">
        <f t="shared" si="18"/>
        <v/>
      </c>
      <c r="Y1322" s="26" t="str">
        <f t="shared" si="19"/>
        <v/>
      </c>
      <c r="Z1322" s="31" t="str">
        <f t="shared" si="20"/>
        <v/>
      </c>
      <c r="AA1322" s="31" t="str">
        <f>IF(D1322="","",IF(H1322&lt;=$B$16,1,IF(H1322&gt;=$B$17,$B$21,MATCH(H1322,Aux_CAV!$A$2:$A$121,1))))</f>
        <v/>
      </c>
      <c r="AB1322" s="31" t="str">
        <f>IF(D1322="","",IF(L1322&lt;=$B$16,1,IF(L1322&gt;=$B$17,$B$21,MATCH(L1322,Aux_CAV!$A$2:$A$121,1))))</f>
        <v/>
      </c>
      <c r="AC1322" s="3" t="str">
        <f t="shared" si="21"/>
        <v/>
      </c>
    </row>
    <row r="1323" ht="12.75" customHeight="1">
      <c r="A1323" s="25" t="str">
        <f t="shared" si="1"/>
        <v/>
      </c>
      <c r="B1323" s="29" t="str">
        <f t="array" ref="B1323">IF(D1323="","",IFERROR(VALUE(INDEX(Vazoes_COLAR!$A$2:$A$200,INT((ROW()-24)/12)+1)),""))</f>
        <v/>
      </c>
      <c r="C1323" s="29" t="str">
        <f t="shared" si="2"/>
        <v/>
      </c>
      <c r="D1323" s="26" t="str">
        <f t="array" ref="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3" s="26" t="str">
        <f t="shared" si="3"/>
        <v/>
      </c>
      <c r="F1323" s="26" t="str">
        <f t="array" ref="F1323">IF(D1323="","",IFERROR(INDEX(Dados_Evap!$C$2:$N$15,MATCH($B$9,Dados_Evap!$A$2:$A$15,0),C1323),0))</f>
        <v/>
      </c>
      <c r="G1323" s="26" t="str">
        <f t="shared" si="4"/>
        <v/>
      </c>
      <c r="H1323" s="26" t="str">
        <f t="shared" si="22"/>
        <v/>
      </c>
      <c r="I1323" s="26" t="str">
        <f t="array" ref="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/>
      </c>
      <c r="J1323" s="26" t="str">
        <f t="shared" si="5"/>
        <v/>
      </c>
      <c r="K1323" s="26" t="str">
        <f t="shared" si="6"/>
        <v/>
      </c>
      <c r="L1323" s="26" t="str">
        <f t="shared" si="7"/>
        <v/>
      </c>
      <c r="M1323" s="26" t="str">
        <f t="array" ref="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/>
      </c>
      <c r="N1323" s="26" t="str">
        <f t="shared" si="8"/>
        <v/>
      </c>
      <c r="O1323" s="26" t="str">
        <f t="shared" si="9"/>
        <v/>
      </c>
      <c r="P1323" s="26" t="str">
        <f t="shared" si="10"/>
        <v/>
      </c>
      <c r="Q1323" s="26" t="str">
        <f t="shared" si="11"/>
        <v/>
      </c>
      <c r="R1323" s="26" t="str">
        <f t="shared" si="12"/>
        <v/>
      </c>
      <c r="S1323" s="26" t="str">
        <f t="shared" si="13"/>
        <v/>
      </c>
      <c r="T1323" s="26" t="str">
        <f t="shared" si="14"/>
        <v/>
      </c>
      <c r="U1323" s="26" t="str">
        <f t="shared" si="15"/>
        <v/>
      </c>
      <c r="V1323" s="26" t="str">
        <f t="shared" si="16"/>
        <v/>
      </c>
      <c r="W1323" s="26" t="str">
        <f t="shared" si="17"/>
        <v/>
      </c>
      <c r="X1323" s="26" t="str">
        <f t="shared" si="18"/>
        <v/>
      </c>
      <c r="Y1323" s="26" t="str">
        <f t="shared" si="19"/>
        <v/>
      </c>
      <c r="Z1323" s="31" t="str">
        <f t="shared" si="20"/>
        <v/>
      </c>
      <c r="AA1323" s="31" t="str">
        <f>IF(D1323="","",IF(H1323&lt;=$B$16,1,IF(H1323&gt;=$B$17,$B$21,MATCH(H1323,Aux_CAV!$A$2:$A$121,1))))</f>
        <v/>
      </c>
      <c r="AB1323" s="31" t="str">
        <f>IF(D1323="","",IF(L1323&lt;=$B$16,1,IF(L1323&gt;=$B$17,$B$21,MATCH(L1323,Aux_CAV!$A$2:$A$121,1))))</f>
        <v/>
      </c>
      <c r="AC1323" s="3" t="str">
        <f t="shared" si="21"/>
        <v/>
      </c>
    </row>
    <row r="1324" ht="12.75" customHeight="1">
      <c r="A1324" s="25" t="str">
        <f t="shared" si="1"/>
        <v/>
      </c>
      <c r="B1324" s="29" t="str">
        <f t="array" ref="B1324">IF(D1324="","",IFERROR(VALUE(INDEX(Vazoes_COLAR!$A$2:$A$200,INT((ROW()-24)/12)+1)),""))</f>
        <v/>
      </c>
      <c r="C1324" s="29" t="str">
        <f t="shared" si="2"/>
        <v/>
      </c>
      <c r="D1324" s="26" t="str">
        <f t="array" ref="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4" s="26" t="str">
        <f t="shared" si="3"/>
        <v/>
      </c>
      <c r="F1324" s="26" t="str">
        <f t="array" ref="F1324">IF(D1324="","",IFERROR(INDEX(Dados_Evap!$C$2:$N$15,MATCH($B$9,Dados_Evap!$A$2:$A$15,0),C1324),0))</f>
        <v/>
      </c>
      <c r="G1324" s="26" t="str">
        <f t="shared" si="4"/>
        <v/>
      </c>
      <c r="H1324" s="26" t="str">
        <f t="shared" si="22"/>
        <v/>
      </c>
      <c r="I1324" s="26" t="str">
        <f t="array" ref="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/>
      </c>
      <c r="J1324" s="26" t="str">
        <f t="shared" si="5"/>
        <v/>
      </c>
      <c r="K1324" s="26" t="str">
        <f t="shared" si="6"/>
        <v/>
      </c>
      <c r="L1324" s="26" t="str">
        <f t="shared" si="7"/>
        <v/>
      </c>
      <c r="M1324" s="26" t="str">
        <f t="array" ref="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/>
      </c>
      <c r="N1324" s="26" t="str">
        <f t="shared" si="8"/>
        <v/>
      </c>
      <c r="O1324" s="26" t="str">
        <f t="shared" si="9"/>
        <v/>
      </c>
      <c r="P1324" s="26" t="str">
        <f t="shared" si="10"/>
        <v/>
      </c>
      <c r="Q1324" s="26" t="str">
        <f t="shared" si="11"/>
        <v/>
      </c>
      <c r="R1324" s="26" t="str">
        <f t="shared" si="12"/>
        <v/>
      </c>
      <c r="S1324" s="26" t="str">
        <f t="shared" si="13"/>
        <v/>
      </c>
      <c r="T1324" s="26" t="str">
        <f t="shared" si="14"/>
        <v/>
      </c>
      <c r="U1324" s="26" t="str">
        <f t="shared" si="15"/>
        <v/>
      </c>
      <c r="V1324" s="26" t="str">
        <f t="shared" si="16"/>
        <v/>
      </c>
      <c r="W1324" s="26" t="str">
        <f t="shared" si="17"/>
        <v/>
      </c>
      <c r="X1324" s="26" t="str">
        <f t="shared" si="18"/>
        <v/>
      </c>
      <c r="Y1324" s="26" t="str">
        <f t="shared" si="19"/>
        <v/>
      </c>
      <c r="Z1324" s="31" t="str">
        <f t="shared" si="20"/>
        <v/>
      </c>
      <c r="AA1324" s="31" t="str">
        <f>IF(D1324="","",IF(H1324&lt;=$B$16,1,IF(H1324&gt;=$B$17,$B$21,MATCH(H1324,Aux_CAV!$A$2:$A$121,1))))</f>
        <v/>
      </c>
      <c r="AB1324" s="31" t="str">
        <f>IF(D1324="","",IF(L1324&lt;=$B$16,1,IF(L1324&gt;=$B$17,$B$21,MATCH(L1324,Aux_CAV!$A$2:$A$121,1))))</f>
        <v/>
      </c>
      <c r="AC1324" s="3" t="str">
        <f t="shared" si="21"/>
        <v/>
      </c>
    </row>
    <row r="1325" ht="12.75" customHeight="1">
      <c r="A1325" s="25" t="str">
        <f t="shared" si="1"/>
        <v/>
      </c>
      <c r="B1325" s="29" t="str">
        <f t="array" ref="B1325">IF(D1325="","",IFERROR(VALUE(INDEX(Vazoes_COLAR!$A$2:$A$200,INT((ROW()-24)/12)+1)),""))</f>
        <v/>
      </c>
      <c r="C1325" s="29" t="str">
        <f t="shared" si="2"/>
        <v/>
      </c>
      <c r="D1325" s="26" t="str">
        <f t="array" ref="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5" s="26" t="str">
        <f t="shared" si="3"/>
        <v/>
      </c>
      <c r="F1325" s="26" t="str">
        <f t="array" ref="F1325">IF(D1325="","",IFERROR(INDEX(Dados_Evap!$C$2:$N$15,MATCH($B$9,Dados_Evap!$A$2:$A$15,0),C1325),0))</f>
        <v/>
      </c>
      <c r="G1325" s="26" t="str">
        <f t="shared" si="4"/>
        <v/>
      </c>
      <c r="H1325" s="26" t="str">
        <f t="shared" si="22"/>
        <v/>
      </c>
      <c r="I1325" s="26" t="str">
        <f t="array" ref="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/>
      </c>
      <c r="J1325" s="26" t="str">
        <f t="shared" si="5"/>
        <v/>
      </c>
      <c r="K1325" s="26" t="str">
        <f t="shared" si="6"/>
        <v/>
      </c>
      <c r="L1325" s="26" t="str">
        <f t="shared" si="7"/>
        <v/>
      </c>
      <c r="M1325" s="26" t="str">
        <f t="array" ref="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/>
      </c>
      <c r="N1325" s="26" t="str">
        <f t="shared" si="8"/>
        <v/>
      </c>
      <c r="O1325" s="26" t="str">
        <f t="shared" si="9"/>
        <v/>
      </c>
      <c r="P1325" s="26" t="str">
        <f t="shared" si="10"/>
        <v/>
      </c>
      <c r="Q1325" s="26" t="str">
        <f t="shared" si="11"/>
        <v/>
      </c>
      <c r="R1325" s="26" t="str">
        <f t="shared" si="12"/>
        <v/>
      </c>
      <c r="S1325" s="26" t="str">
        <f t="shared" si="13"/>
        <v/>
      </c>
      <c r="T1325" s="26" t="str">
        <f t="shared" si="14"/>
        <v/>
      </c>
      <c r="U1325" s="26" t="str">
        <f t="shared" si="15"/>
        <v/>
      </c>
      <c r="V1325" s="26" t="str">
        <f t="shared" si="16"/>
        <v/>
      </c>
      <c r="W1325" s="26" t="str">
        <f t="shared" si="17"/>
        <v/>
      </c>
      <c r="X1325" s="26" t="str">
        <f t="shared" si="18"/>
        <v/>
      </c>
      <c r="Y1325" s="26" t="str">
        <f t="shared" si="19"/>
        <v/>
      </c>
      <c r="Z1325" s="31" t="str">
        <f t="shared" si="20"/>
        <v/>
      </c>
      <c r="AA1325" s="31" t="str">
        <f>IF(D1325="","",IF(H1325&lt;=$B$16,1,IF(H1325&gt;=$B$17,$B$21,MATCH(H1325,Aux_CAV!$A$2:$A$121,1))))</f>
        <v/>
      </c>
      <c r="AB1325" s="31" t="str">
        <f>IF(D1325="","",IF(L1325&lt;=$B$16,1,IF(L1325&gt;=$B$17,$B$21,MATCH(L1325,Aux_CAV!$A$2:$A$121,1))))</f>
        <v/>
      </c>
      <c r="AC1325" s="3" t="str">
        <f t="shared" si="21"/>
        <v/>
      </c>
    </row>
    <row r="1326" ht="12.75" customHeight="1">
      <c r="A1326" s="25" t="str">
        <f t="shared" si="1"/>
        <v/>
      </c>
      <c r="B1326" s="29" t="str">
        <f t="array" ref="B1326">IF(D1326="","",IFERROR(VALUE(INDEX(Vazoes_COLAR!$A$2:$A$200,INT((ROW()-24)/12)+1)),""))</f>
        <v/>
      </c>
      <c r="C1326" s="29" t="str">
        <f t="shared" si="2"/>
        <v/>
      </c>
      <c r="D1326" s="26" t="str">
        <f t="array" ref="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6" s="26" t="str">
        <f t="shared" si="3"/>
        <v/>
      </c>
      <c r="F1326" s="26" t="str">
        <f t="array" ref="F1326">IF(D1326="","",IFERROR(INDEX(Dados_Evap!$C$2:$N$15,MATCH($B$9,Dados_Evap!$A$2:$A$15,0),C1326),0))</f>
        <v/>
      </c>
      <c r="G1326" s="26" t="str">
        <f t="shared" si="4"/>
        <v/>
      </c>
      <c r="H1326" s="26" t="str">
        <f t="shared" si="22"/>
        <v/>
      </c>
      <c r="I1326" s="26" t="str">
        <f t="array" ref="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/>
      </c>
      <c r="J1326" s="26" t="str">
        <f t="shared" si="5"/>
        <v/>
      </c>
      <c r="K1326" s="26" t="str">
        <f t="shared" si="6"/>
        <v/>
      </c>
      <c r="L1326" s="26" t="str">
        <f t="shared" si="7"/>
        <v/>
      </c>
      <c r="M1326" s="26" t="str">
        <f t="array" ref="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/>
      </c>
      <c r="N1326" s="26" t="str">
        <f t="shared" si="8"/>
        <v/>
      </c>
      <c r="O1326" s="26" t="str">
        <f t="shared" si="9"/>
        <v/>
      </c>
      <c r="P1326" s="26" t="str">
        <f t="shared" si="10"/>
        <v/>
      </c>
      <c r="Q1326" s="26" t="str">
        <f t="shared" si="11"/>
        <v/>
      </c>
      <c r="R1326" s="26" t="str">
        <f t="shared" si="12"/>
        <v/>
      </c>
      <c r="S1326" s="26" t="str">
        <f t="shared" si="13"/>
        <v/>
      </c>
      <c r="T1326" s="26" t="str">
        <f t="shared" si="14"/>
        <v/>
      </c>
      <c r="U1326" s="26" t="str">
        <f t="shared" si="15"/>
        <v/>
      </c>
      <c r="V1326" s="26" t="str">
        <f t="shared" si="16"/>
        <v/>
      </c>
      <c r="W1326" s="26" t="str">
        <f t="shared" si="17"/>
        <v/>
      </c>
      <c r="X1326" s="26" t="str">
        <f t="shared" si="18"/>
        <v/>
      </c>
      <c r="Y1326" s="26" t="str">
        <f t="shared" si="19"/>
        <v/>
      </c>
      <c r="Z1326" s="31" t="str">
        <f t="shared" si="20"/>
        <v/>
      </c>
      <c r="AA1326" s="31" t="str">
        <f>IF(D1326="","",IF(H1326&lt;=$B$16,1,IF(H1326&gt;=$B$17,$B$21,MATCH(H1326,Aux_CAV!$A$2:$A$121,1))))</f>
        <v/>
      </c>
      <c r="AB1326" s="31" t="str">
        <f>IF(D1326="","",IF(L1326&lt;=$B$16,1,IF(L1326&gt;=$B$17,$B$21,MATCH(L1326,Aux_CAV!$A$2:$A$121,1))))</f>
        <v/>
      </c>
      <c r="AC1326" s="3" t="str">
        <f t="shared" si="21"/>
        <v/>
      </c>
    </row>
    <row r="1327" ht="12.75" customHeight="1">
      <c r="A1327" s="25" t="str">
        <f t="shared" si="1"/>
        <v/>
      </c>
      <c r="B1327" s="29" t="str">
        <f t="array" ref="B1327">IF(D1327="","",IFERROR(VALUE(INDEX(Vazoes_COLAR!$A$2:$A$200,INT((ROW()-24)/12)+1)),""))</f>
        <v/>
      </c>
      <c r="C1327" s="29" t="str">
        <f t="shared" si="2"/>
        <v/>
      </c>
      <c r="D1327" s="26" t="str">
        <f t="array" ref="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7" s="26" t="str">
        <f t="shared" si="3"/>
        <v/>
      </c>
      <c r="F1327" s="26" t="str">
        <f t="array" ref="F1327">IF(D1327="","",IFERROR(INDEX(Dados_Evap!$C$2:$N$15,MATCH($B$9,Dados_Evap!$A$2:$A$15,0),C1327),0))</f>
        <v/>
      </c>
      <c r="G1327" s="26" t="str">
        <f t="shared" si="4"/>
        <v/>
      </c>
      <c r="H1327" s="26" t="str">
        <f t="shared" si="22"/>
        <v/>
      </c>
      <c r="I1327" s="26" t="str">
        <f t="array" ref="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/>
      </c>
      <c r="J1327" s="26" t="str">
        <f t="shared" si="5"/>
        <v/>
      </c>
      <c r="K1327" s="26" t="str">
        <f t="shared" si="6"/>
        <v/>
      </c>
      <c r="L1327" s="26" t="str">
        <f t="shared" si="7"/>
        <v/>
      </c>
      <c r="M1327" s="26" t="str">
        <f t="array" ref="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/>
      </c>
      <c r="N1327" s="26" t="str">
        <f t="shared" si="8"/>
        <v/>
      </c>
      <c r="O1327" s="26" t="str">
        <f t="shared" si="9"/>
        <v/>
      </c>
      <c r="P1327" s="26" t="str">
        <f t="shared" si="10"/>
        <v/>
      </c>
      <c r="Q1327" s="26" t="str">
        <f t="shared" si="11"/>
        <v/>
      </c>
      <c r="R1327" s="26" t="str">
        <f t="shared" si="12"/>
        <v/>
      </c>
      <c r="S1327" s="26" t="str">
        <f t="shared" si="13"/>
        <v/>
      </c>
      <c r="T1327" s="26" t="str">
        <f t="shared" si="14"/>
        <v/>
      </c>
      <c r="U1327" s="26" t="str">
        <f t="shared" si="15"/>
        <v/>
      </c>
      <c r="V1327" s="26" t="str">
        <f t="shared" si="16"/>
        <v/>
      </c>
      <c r="W1327" s="26" t="str">
        <f t="shared" si="17"/>
        <v/>
      </c>
      <c r="X1327" s="26" t="str">
        <f t="shared" si="18"/>
        <v/>
      </c>
      <c r="Y1327" s="26" t="str">
        <f t="shared" si="19"/>
        <v/>
      </c>
      <c r="Z1327" s="31" t="str">
        <f t="shared" si="20"/>
        <v/>
      </c>
      <c r="AA1327" s="31" t="str">
        <f>IF(D1327="","",IF(H1327&lt;=$B$16,1,IF(H1327&gt;=$B$17,$B$21,MATCH(H1327,Aux_CAV!$A$2:$A$121,1))))</f>
        <v/>
      </c>
      <c r="AB1327" s="31" t="str">
        <f>IF(D1327="","",IF(L1327&lt;=$B$16,1,IF(L1327&gt;=$B$17,$B$21,MATCH(L1327,Aux_CAV!$A$2:$A$121,1))))</f>
        <v/>
      </c>
      <c r="AC1327" s="3" t="str">
        <f t="shared" si="21"/>
        <v/>
      </c>
    </row>
    <row r="1328" ht="12.75" customHeight="1">
      <c r="A1328" s="25" t="str">
        <f t="shared" si="1"/>
        <v/>
      </c>
      <c r="B1328" s="29" t="str">
        <f t="array" ref="B1328">IF(D1328="","",IFERROR(VALUE(INDEX(Vazoes_COLAR!$A$2:$A$200,INT((ROW()-24)/12)+1)),""))</f>
        <v/>
      </c>
      <c r="C1328" s="29" t="str">
        <f t="shared" si="2"/>
        <v/>
      </c>
      <c r="D1328" s="26" t="str">
        <f t="array" ref="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8" s="26" t="str">
        <f t="shared" si="3"/>
        <v/>
      </c>
      <c r="F1328" s="26" t="str">
        <f t="array" ref="F1328">IF(D1328="","",IFERROR(INDEX(Dados_Evap!$C$2:$N$15,MATCH($B$9,Dados_Evap!$A$2:$A$15,0),C1328),0))</f>
        <v/>
      </c>
      <c r="G1328" s="26" t="str">
        <f t="shared" si="4"/>
        <v/>
      </c>
      <c r="H1328" s="26" t="str">
        <f t="shared" si="22"/>
        <v/>
      </c>
      <c r="I1328" s="26" t="str">
        <f t="array" ref="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/>
      </c>
      <c r="J1328" s="26" t="str">
        <f t="shared" si="5"/>
        <v/>
      </c>
      <c r="K1328" s="26" t="str">
        <f t="shared" si="6"/>
        <v/>
      </c>
      <c r="L1328" s="26" t="str">
        <f t="shared" si="7"/>
        <v/>
      </c>
      <c r="M1328" s="26" t="str">
        <f t="array" ref="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/>
      </c>
      <c r="N1328" s="26" t="str">
        <f t="shared" si="8"/>
        <v/>
      </c>
      <c r="O1328" s="26" t="str">
        <f t="shared" si="9"/>
        <v/>
      </c>
      <c r="P1328" s="26" t="str">
        <f t="shared" si="10"/>
        <v/>
      </c>
      <c r="Q1328" s="26" t="str">
        <f t="shared" si="11"/>
        <v/>
      </c>
      <c r="R1328" s="26" t="str">
        <f t="shared" si="12"/>
        <v/>
      </c>
      <c r="S1328" s="26" t="str">
        <f t="shared" si="13"/>
        <v/>
      </c>
      <c r="T1328" s="26" t="str">
        <f t="shared" si="14"/>
        <v/>
      </c>
      <c r="U1328" s="26" t="str">
        <f t="shared" si="15"/>
        <v/>
      </c>
      <c r="V1328" s="26" t="str">
        <f t="shared" si="16"/>
        <v/>
      </c>
      <c r="W1328" s="26" t="str">
        <f t="shared" si="17"/>
        <v/>
      </c>
      <c r="X1328" s="26" t="str">
        <f t="shared" si="18"/>
        <v/>
      </c>
      <c r="Y1328" s="26" t="str">
        <f t="shared" si="19"/>
        <v/>
      </c>
      <c r="Z1328" s="31" t="str">
        <f t="shared" si="20"/>
        <v/>
      </c>
      <c r="AA1328" s="31" t="str">
        <f>IF(D1328="","",IF(H1328&lt;=$B$16,1,IF(H1328&gt;=$B$17,$B$21,MATCH(H1328,Aux_CAV!$A$2:$A$121,1))))</f>
        <v/>
      </c>
      <c r="AB1328" s="31" t="str">
        <f>IF(D1328="","",IF(L1328&lt;=$B$16,1,IF(L1328&gt;=$B$17,$B$21,MATCH(L1328,Aux_CAV!$A$2:$A$121,1))))</f>
        <v/>
      </c>
      <c r="AC1328" s="3" t="str">
        <f t="shared" si="21"/>
        <v/>
      </c>
    </row>
    <row r="1329" ht="12.75" customHeight="1">
      <c r="A1329" s="25" t="str">
        <f t="shared" si="1"/>
        <v/>
      </c>
      <c r="B1329" s="29" t="str">
        <f t="array" ref="B1329">IF(D1329="","",IFERROR(VALUE(INDEX(Vazoes_COLAR!$A$2:$A$200,INT((ROW()-24)/12)+1)),""))</f>
        <v/>
      </c>
      <c r="C1329" s="29" t="str">
        <f t="shared" si="2"/>
        <v/>
      </c>
      <c r="D1329" s="26" t="str">
        <f t="array" ref="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9" s="26" t="str">
        <f t="shared" si="3"/>
        <v/>
      </c>
      <c r="F1329" s="26" t="str">
        <f t="array" ref="F1329">IF(D1329="","",IFERROR(INDEX(Dados_Evap!$C$2:$N$15,MATCH($B$9,Dados_Evap!$A$2:$A$15,0),C1329),0))</f>
        <v/>
      </c>
      <c r="G1329" s="26" t="str">
        <f t="shared" si="4"/>
        <v/>
      </c>
      <c r="H1329" s="26" t="str">
        <f t="shared" si="22"/>
        <v/>
      </c>
      <c r="I1329" s="26" t="str">
        <f t="array" ref="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/>
      </c>
      <c r="J1329" s="26" t="str">
        <f t="shared" si="5"/>
        <v/>
      </c>
      <c r="K1329" s="26" t="str">
        <f t="shared" si="6"/>
        <v/>
      </c>
      <c r="L1329" s="26" t="str">
        <f t="shared" si="7"/>
        <v/>
      </c>
      <c r="M1329" s="26" t="str">
        <f t="array" ref="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/>
      </c>
      <c r="N1329" s="26" t="str">
        <f t="shared" si="8"/>
        <v/>
      </c>
      <c r="O1329" s="26" t="str">
        <f t="shared" si="9"/>
        <v/>
      </c>
      <c r="P1329" s="26" t="str">
        <f t="shared" si="10"/>
        <v/>
      </c>
      <c r="Q1329" s="26" t="str">
        <f t="shared" si="11"/>
        <v/>
      </c>
      <c r="R1329" s="26" t="str">
        <f t="shared" si="12"/>
        <v/>
      </c>
      <c r="S1329" s="26" t="str">
        <f t="shared" si="13"/>
        <v/>
      </c>
      <c r="T1329" s="26" t="str">
        <f t="shared" si="14"/>
        <v/>
      </c>
      <c r="U1329" s="26" t="str">
        <f t="shared" si="15"/>
        <v/>
      </c>
      <c r="V1329" s="26" t="str">
        <f t="shared" si="16"/>
        <v/>
      </c>
      <c r="W1329" s="26" t="str">
        <f t="shared" si="17"/>
        <v/>
      </c>
      <c r="X1329" s="26" t="str">
        <f t="shared" si="18"/>
        <v/>
      </c>
      <c r="Y1329" s="26" t="str">
        <f t="shared" si="19"/>
        <v/>
      </c>
      <c r="Z1329" s="31" t="str">
        <f t="shared" si="20"/>
        <v/>
      </c>
      <c r="AA1329" s="31" t="str">
        <f>IF(D1329="","",IF(H1329&lt;=$B$16,1,IF(H1329&gt;=$B$17,$B$21,MATCH(H1329,Aux_CAV!$A$2:$A$121,1))))</f>
        <v/>
      </c>
      <c r="AB1329" s="31" t="str">
        <f>IF(D1329="","",IF(L1329&lt;=$B$16,1,IF(L1329&gt;=$B$17,$B$21,MATCH(L1329,Aux_CAV!$A$2:$A$121,1))))</f>
        <v/>
      </c>
      <c r="AC1329" s="3" t="str">
        <f t="shared" si="21"/>
        <v/>
      </c>
    </row>
    <row r="1330" ht="12.75" customHeight="1">
      <c r="A1330" s="25" t="str">
        <f t="shared" si="1"/>
        <v/>
      </c>
      <c r="B1330" s="29" t="str">
        <f t="array" ref="B1330">IF(D1330="","",IFERROR(VALUE(INDEX(Vazoes_COLAR!$A$2:$A$200,INT((ROW()-24)/12)+1)),""))</f>
        <v/>
      </c>
      <c r="C1330" s="29" t="str">
        <f t="shared" si="2"/>
        <v/>
      </c>
      <c r="D1330" s="26" t="str">
        <f t="array" ref="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0" s="26" t="str">
        <f t="shared" si="3"/>
        <v/>
      </c>
      <c r="F1330" s="26" t="str">
        <f t="array" ref="F1330">IF(D1330="","",IFERROR(INDEX(Dados_Evap!$C$2:$N$15,MATCH($B$9,Dados_Evap!$A$2:$A$15,0),C1330),0))</f>
        <v/>
      </c>
      <c r="G1330" s="26" t="str">
        <f t="shared" si="4"/>
        <v/>
      </c>
      <c r="H1330" s="26" t="str">
        <f t="shared" si="22"/>
        <v/>
      </c>
      <c r="I1330" s="26" t="str">
        <f t="array" ref="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/>
      </c>
      <c r="J1330" s="26" t="str">
        <f t="shared" si="5"/>
        <v/>
      </c>
      <c r="K1330" s="26" t="str">
        <f t="shared" si="6"/>
        <v/>
      </c>
      <c r="L1330" s="26" t="str">
        <f t="shared" si="7"/>
        <v/>
      </c>
      <c r="M1330" s="26" t="str">
        <f t="array" ref="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/>
      </c>
      <c r="N1330" s="26" t="str">
        <f t="shared" si="8"/>
        <v/>
      </c>
      <c r="O1330" s="26" t="str">
        <f t="shared" si="9"/>
        <v/>
      </c>
      <c r="P1330" s="26" t="str">
        <f t="shared" si="10"/>
        <v/>
      </c>
      <c r="Q1330" s="26" t="str">
        <f t="shared" si="11"/>
        <v/>
      </c>
      <c r="R1330" s="26" t="str">
        <f t="shared" si="12"/>
        <v/>
      </c>
      <c r="S1330" s="26" t="str">
        <f t="shared" si="13"/>
        <v/>
      </c>
      <c r="T1330" s="26" t="str">
        <f t="shared" si="14"/>
        <v/>
      </c>
      <c r="U1330" s="26" t="str">
        <f t="shared" si="15"/>
        <v/>
      </c>
      <c r="V1330" s="26" t="str">
        <f t="shared" si="16"/>
        <v/>
      </c>
      <c r="W1330" s="26" t="str">
        <f t="shared" si="17"/>
        <v/>
      </c>
      <c r="X1330" s="26" t="str">
        <f t="shared" si="18"/>
        <v/>
      </c>
      <c r="Y1330" s="26" t="str">
        <f t="shared" si="19"/>
        <v/>
      </c>
      <c r="Z1330" s="31" t="str">
        <f t="shared" si="20"/>
        <v/>
      </c>
      <c r="AA1330" s="31" t="str">
        <f>IF(D1330="","",IF(H1330&lt;=$B$16,1,IF(H1330&gt;=$B$17,$B$21,MATCH(H1330,Aux_CAV!$A$2:$A$121,1))))</f>
        <v/>
      </c>
      <c r="AB1330" s="31" t="str">
        <f>IF(D1330="","",IF(L1330&lt;=$B$16,1,IF(L1330&gt;=$B$17,$B$21,MATCH(L1330,Aux_CAV!$A$2:$A$121,1))))</f>
        <v/>
      </c>
      <c r="AC1330" s="3" t="str">
        <f t="shared" si="21"/>
        <v/>
      </c>
    </row>
    <row r="1331" ht="12.75" customHeight="1">
      <c r="A1331" s="25" t="str">
        <f t="shared" si="1"/>
        <v/>
      </c>
      <c r="B1331" s="29" t="str">
        <f t="array" ref="B1331">IF(D1331="","",IFERROR(VALUE(INDEX(Vazoes_COLAR!$A$2:$A$200,INT((ROW()-24)/12)+1)),""))</f>
        <v/>
      </c>
      <c r="C1331" s="29" t="str">
        <f t="shared" si="2"/>
        <v/>
      </c>
      <c r="D1331" s="26" t="str">
        <f t="array" ref="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1" s="26" t="str">
        <f t="shared" si="3"/>
        <v/>
      </c>
      <c r="F1331" s="26" t="str">
        <f t="array" ref="F1331">IF(D1331="","",IFERROR(INDEX(Dados_Evap!$C$2:$N$15,MATCH($B$9,Dados_Evap!$A$2:$A$15,0),C1331),0))</f>
        <v/>
      </c>
      <c r="G1331" s="26" t="str">
        <f t="shared" si="4"/>
        <v/>
      </c>
      <c r="H1331" s="26" t="str">
        <f t="shared" si="22"/>
        <v/>
      </c>
      <c r="I1331" s="26" t="str">
        <f t="array" ref="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/>
      </c>
      <c r="J1331" s="26" t="str">
        <f t="shared" si="5"/>
        <v/>
      </c>
      <c r="K1331" s="26" t="str">
        <f t="shared" si="6"/>
        <v/>
      </c>
      <c r="L1331" s="26" t="str">
        <f t="shared" si="7"/>
        <v/>
      </c>
      <c r="M1331" s="26" t="str">
        <f t="array" ref="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/>
      </c>
      <c r="N1331" s="26" t="str">
        <f t="shared" si="8"/>
        <v/>
      </c>
      <c r="O1331" s="26" t="str">
        <f t="shared" si="9"/>
        <v/>
      </c>
      <c r="P1331" s="26" t="str">
        <f t="shared" si="10"/>
        <v/>
      </c>
      <c r="Q1331" s="26" t="str">
        <f t="shared" si="11"/>
        <v/>
      </c>
      <c r="R1331" s="26" t="str">
        <f t="shared" si="12"/>
        <v/>
      </c>
      <c r="S1331" s="26" t="str">
        <f t="shared" si="13"/>
        <v/>
      </c>
      <c r="T1331" s="26" t="str">
        <f t="shared" si="14"/>
        <v/>
      </c>
      <c r="U1331" s="26" t="str">
        <f t="shared" si="15"/>
        <v/>
      </c>
      <c r="V1331" s="26" t="str">
        <f t="shared" si="16"/>
        <v/>
      </c>
      <c r="W1331" s="26" t="str">
        <f t="shared" si="17"/>
        <v/>
      </c>
      <c r="X1331" s="26" t="str">
        <f t="shared" si="18"/>
        <v/>
      </c>
      <c r="Y1331" s="26" t="str">
        <f t="shared" si="19"/>
        <v/>
      </c>
      <c r="Z1331" s="31" t="str">
        <f t="shared" si="20"/>
        <v/>
      </c>
      <c r="AA1331" s="31" t="str">
        <f>IF(D1331="","",IF(H1331&lt;=$B$16,1,IF(H1331&gt;=$B$17,$B$21,MATCH(H1331,Aux_CAV!$A$2:$A$121,1))))</f>
        <v/>
      </c>
      <c r="AB1331" s="31" t="str">
        <f>IF(D1331="","",IF(L1331&lt;=$B$16,1,IF(L1331&gt;=$B$17,$B$21,MATCH(L1331,Aux_CAV!$A$2:$A$121,1))))</f>
        <v/>
      </c>
      <c r="AC1331" s="3" t="str">
        <f t="shared" si="21"/>
        <v/>
      </c>
    </row>
    <row r="1332" ht="12.75" customHeight="1">
      <c r="A1332" s="25" t="str">
        <f t="shared" si="1"/>
        <v/>
      </c>
      <c r="B1332" s="29" t="str">
        <f t="array" ref="B1332">IF(D1332="","",IFERROR(VALUE(INDEX(Vazoes_COLAR!$A$2:$A$200,INT((ROW()-24)/12)+1)),""))</f>
        <v/>
      </c>
      <c r="C1332" s="29" t="str">
        <f t="shared" si="2"/>
        <v/>
      </c>
      <c r="D1332" s="26" t="str">
        <f t="array" ref="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2" s="26" t="str">
        <f t="shared" si="3"/>
        <v/>
      </c>
      <c r="F1332" s="26" t="str">
        <f t="array" ref="F1332">IF(D1332="","",IFERROR(INDEX(Dados_Evap!$C$2:$N$15,MATCH($B$9,Dados_Evap!$A$2:$A$15,0),C1332),0))</f>
        <v/>
      </c>
      <c r="G1332" s="26" t="str">
        <f t="shared" si="4"/>
        <v/>
      </c>
      <c r="H1332" s="26" t="str">
        <f t="shared" si="22"/>
        <v/>
      </c>
      <c r="I1332" s="26" t="str">
        <f t="array" ref="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/>
      </c>
      <c r="J1332" s="26" t="str">
        <f t="shared" si="5"/>
        <v/>
      </c>
      <c r="K1332" s="26" t="str">
        <f t="shared" si="6"/>
        <v/>
      </c>
      <c r="L1332" s="26" t="str">
        <f t="shared" si="7"/>
        <v/>
      </c>
      <c r="M1332" s="26" t="str">
        <f t="array" ref="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/>
      </c>
      <c r="N1332" s="26" t="str">
        <f t="shared" si="8"/>
        <v/>
      </c>
      <c r="O1332" s="26" t="str">
        <f t="shared" si="9"/>
        <v/>
      </c>
      <c r="P1332" s="26" t="str">
        <f t="shared" si="10"/>
        <v/>
      </c>
      <c r="Q1332" s="26" t="str">
        <f t="shared" si="11"/>
        <v/>
      </c>
      <c r="R1332" s="26" t="str">
        <f t="shared" si="12"/>
        <v/>
      </c>
      <c r="S1332" s="26" t="str">
        <f t="shared" si="13"/>
        <v/>
      </c>
      <c r="T1332" s="26" t="str">
        <f t="shared" si="14"/>
        <v/>
      </c>
      <c r="U1332" s="26" t="str">
        <f t="shared" si="15"/>
        <v/>
      </c>
      <c r="V1332" s="26" t="str">
        <f t="shared" si="16"/>
        <v/>
      </c>
      <c r="W1332" s="26" t="str">
        <f t="shared" si="17"/>
        <v/>
      </c>
      <c r="X1332" s="26" t="str">
        <f t="shared" si="18"/>
        <v/>
      </c>
      <c r="Y1332" s="26" t="str">
        <f t="shared" si="19"/>
        <v/>
      </c>
      <c r="Z1332" s="31" t="str">
        <f t="shared" si="20"/>
        <v/>
      </c>
      <c r="AA1332" s="31" t="str">
        <f>IF(D1332="","",IF(H1332&lt;=$B$16,1,IF(H1332&gt;=$B$17,$B$21,MATCH(H1332,Aux_CAV!$A$2:$A$121,1))))</f>
        <v/>
      </c>
      <c r="AB1332" s="31" t="str">
        <f>IF(D1332="","",IF(L1332&lt;=$B$16,1,IF(L1332&gt;=$B$17,$B$21,MATCH(L1332,Aux_CAV!$A$2:$A$121,1))))</f>
        <v/>
      </c>
      <c r="AC1332" s="3" t="str">
        <f t="shared" si="21"/>
        <v/>
      </c>
    </row>
    <row r="1333" ht="12.75" customHeight="1">
      <c r="A1333" s="25" t="str">
        <f t="shared" si="1"/>
        <v/>
      </c>
      <c r="B1333" s="29" t="str">
        <f t="array" ref="B1333">IF(D1333="","",IFERROR(VALUE(INDEX(Vazoes_COLAR!$A$2:$A$200,INT((ROW()-24)/12)+1)),""))</f>
        <v/>
      </c>
      <c r="C1333" s="29" t="str">
        <f t="shared" si="2"/>
        <v/>
      </c>
      <c r="D1333" s="26" t="str">
        <f t="array" ref="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3" s="26" t="str">
        <f t="shared" si="3"/>
        <v/>
      </c>
      <c r="F1333" s="26" t="str">
        <f t="array" ref="F1333">IF(D1333="","",IFERROR(INDEX(Dados_Evap!$C$2:$N$15,MATCH($B$9,Dados_Evap!$A$2:$A$15,0),C1333),0))</f>
        <v/>
      </c>
      <c r="G1333" s="26" t="str">
        <f t="shared" si="4"/>
        <v/>
      </c>
      <c r="H1333" s="26" t="str">
        <f t="shared" si="22"/>
        <v/>
      </c>
      <c r="I1333" s="26" t="str">
        <f t="array" ref="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/>
      </c>
      <c r="J1333" s="26" t="str">
        <f t="shared" si="5"/>
        <v/>
      </c>
      <c r="K1333" s="26" t="str">
        <f t="shared" si="6"/>
        <v/>
      </c>
      <c r="L1333" s="26" t="str">
        <f t="shared" si="7"/>
        <v/>
      </c>
      <c r="M1333" s="26" t="str">
        <f t="array" ref="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/>
      </c>
      <c r="N1333" s="26" t="str">
        <f t="shared" si="8"/>
        <v/>
      </c>
      <c r="O1333" s="26" t="str">
        <f t="shared" si="9"/>
        <v/>
      </c>
      <c r="P1333" s="26" t="str">
        <f t="shared" si="10"/>
        <v/>
      </c>
      <c r="Q1333" s="26" t="str">
        <f t="shared" si="11"/>
        <v/>
      </c>
      <c r="R1333" s="26" t="str">
        <f t="shared" si="12"/>
        <v/>
      </c>
      <c r="S1333" s="26" t="str">
        <f t="shared" si="13"/>
        <v/>
      </c>
      <c r="T1333" s="26" t="str">
        <f t="shared" si="14"/>
        <v/>
      </c>
      <c r="U1333" s="26" t="str">
        <f t="shared" si="15"/>
        <v/>
      </c>
      <c r="V1333" s="26" t="str">
        <f t="shared" si="16"/>
        <v/>
      </c>
      <c r="W1333" s="26" t="str">
        <f t="shared" si="17"/>
        <v/>
      </c>
      <c r="X1333" s="26" t="str">
        <f t="shared" si="18"/>
        <v/>
      </c>
      <c r="Y1333" s="26" t="str">
        <f t="shared" si="19"/>
        <v/>
      </c>
      <c r="Z1333" s="31" t="str">
        <f t="shared" si="20"/>
        <v/>
      </c>
      <c r="AA1333" s="31" t="str">
        <f>IF(D1333="","",IF(H1333&lt;=$B$16,1,IF(H1333&gt;=$B$17,$B$21,MATCH(H1333,Aux_CAV!$A$2:$A$121,1))))</f>
        <v/>
      </c>
      <c r="AB1333" s="31" t="str">
        <f>IF(D1333="","",IF(L1333&lt;=$B$16,1,IF(L1333&gt;=$B$17,$B$21,MATCH(L1333,Aux_CAV!$A$2:$A$121,1))))</f>
        <v/>
      </c>
      <c r="AC1333" s="3" t="str">
        <f t="shared" si="21"/>
        <v/>
      </c>
    </row>
    <row r="1334" ht="12.75" customHeight="1">
      <c r="A1334" s="25" t="str">
        <f t="shared" si="1"/>
        <v/>
      </c>
      <c r="B1334" s="29" t="str">
        <f t="array" ref="B1334">IF(D1334="","",IFERROR(VALUE(INDEX(Vazoes_COLAR!$A$2:$A$200,INT((ROW()-24)/12)+1)),""))</f>
        <v/>
      </c>
      <c r="C1334" s="29" t="str">
        <f t="shared" si="2"/>
        <v/>
      </c>
      <c r="D1334" s="26" t="str">
        <f t="array" ref="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4" s="26" t="str">
        <f t="shared" si="3"/>
        <v/>
      </c>
      <c r="F1334" s="26" t="str">
        <f t="array" ref="F1334">IF(D1334="","",IFERROR(INDEX(Dados_Evap!$C$2:$N$15,MATCH($B$9,Dados_Evap!$A$2:$A$15,0),C1334),0))</f>
        <v/>
      </c>
      <c r="G1334" s="26" t="str">
        <f t="shared" si="4"/>
        <v/>
      </c>
      <c r="H1334" s="26" t="str">
        <f t="shared" si="22"/>
        <v/>
      </c>
      <c r="I1334" s="26" t="str">
        <f t="array" ref="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/>
      </c>
      <c r="J1334" s="26" t="str">
        <f t="shared" si="5"/>
        <v/>
      </c>
      <c r="K1334" s="26" t="str">
        <f t="shared" si="6"/>
        <v/>
      </c>
      <c r="L1334" s="26" t="str">
        <f t="shared" si="7"/>
        <v/>
      </c>
      <c r="M1334" s="26" t="str">
        <f t="array" ref="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/>
      </c>
      <c r="N1334" s="26" t="str">
        <f t="shared" si="8"/>
        <v/>
      </c>
      <c r="O1334" s="26" t="str">
        <f t="shared" si="9"/>
        <v/>
      </c>
      <c r="P1334" s="26" t="str">
        <f t="shared" si="10"/>
        <v/>
      </c>
      <c r="Q1334" s="26" t="str">
        <f t="shared" si="11"/>
        <v/>
      </c>
      <c r="R1334" s="26" t="str">
        <f t="shared" si="12"/>
        <v/>
      </c>
      <c r="S1334" s="26" t="str">
        <f t="shared" si="13"/>
        <v/>
      </c>
      <c r="T1334" s="26" t="str">
        <f t="shared" si="14"/>
        <v/>
      </c>
      <c r="U1334" s="26" t="str">
        <f t="shared" si="15"/>
        <v/>
      </c>
      <c r="V1334" s="26" t="str">
        <f t="shared" si="16"/>
        <v/>
      </c>
      <c r="W1334" s="26" t="str">
        <f t="shared" si="17"/>
        <v/>
      </c>
      <c r="X1334" s="26" t="str">
        <f t="shared" si="18"/>
        <v/>
      </c>
      <c r="Y1334" s="26" t="str">
        <f t="shared" si="19"/>
        <v/>
      </c>
      <c r="Z1334" s="31" t="str">
        <f t="shared" si="20"/>
        <v/>
      </c>
      <c r="AA1334" s="31" t="str">
        <f>IF(D1334="","",IF(H1334&lt;=$B$16,1,IF(H1334&gt;=$B$17,$B$21,MATCH(H1334,Aux_CAV!$A$2:$A$121,1))))</f>
        <v/>
      </c>
      <c r="AB1334" s="31" t="str">
        <f>IF(D1334="","",IF(L1334&lt;=$B$16,1,IF(L1334&gt;=$B$17,$B$21,MATCH(L1334,Aux_CAV!$A$2:$A$121,1))))</f>
        <v/>
      </c>
      <c r="AC1334" s="3" t="str">
        <f t="shared" si="21"/>
        <v/>
      </c>
    </row>
    <row r="1335" ht="12.75" customHeight="1">
      <c r="A1335" s="25" t="str">
        <f t="shared" si="1"/>
        <v/>
      </c>
      <c r="B1335" s="29" t="str">
        <f t="array" ref="B1335">IF(D1335="","",IFERROR(VALUE(INDEX(Vazoes_COLAR!$A$2:$A$200,INT((ROW()-24)/12)+1)),""))</f>
        <v/>
      </c>
      <c r="C1335" s="29" t="str">
        <f t="shared" si="2"/>
        <v/>
      </c>
      <c r="D1335" s="26" t="str">
        <f t="array" ref="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5" s="26" t="str">
        <f t="shared" si="3"/>
        <v/>
      </c>
      <c r="F1335" s="26" t="str">
        <f t="array" ref="F1335">IF(D1335="","",IFERROR(INDEX(Dados_Evap!$C$2:$N$15,MATCH($B$9,Dados_Evap!$A$2:$A$15,0),C1335),0))</f>
        <v/>
      </c>
      <c r="G1335" s="26" t="str">
        <f t="shared" si="4"/>
        <v/>
      </c>
      <c r="H1335" s="26" t="str">
        <f t="shared" si="22"/>
        <v/>
      </c>
      <c r="I1335" s="26" t="str">
        <f t="array" ref="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/>
      </c>
      <c r="J1335" s="26" t="str">
        <f t="shared" si="5"/>
        <v/>
      </c>
      <c r="K1335" s="26" t="str">
        <f t="shared" si="6"/>
        <v/>
      </c>
      <c r="L1335" s="26" t="str">
        <f t="shared" si="7"/>
        <v/>
      </c>
      <c r="M1335" s="26" t="str">
        <f t="array" ref="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/>
      </c>
      <c r="N1335" s="26" t="str">
        <f t="shared" si="8"/>
        <v/>
      </c>
      <c r="O1335" s="26" t="str">
        <f t="shared" si="9"/>
        <v/>
      </c>
      <c r="P1335" s="26" t="str">
        <f t="shared" si="10"/>
        <v/>
      </c>
      <c r="Q1335" s="26" t="str">
        <f t="shared" si="11"/>
        <v/>
      </c>
      <c r="R1335" s="26" t="str">
        <f t="shared" si="12"/>
        <v/>
      </c>
      <c r="S1335" s="26" t="str">
        <f t="shared" si="13"/>
        <v/>
      </c>
      <c r="T1335" s="26" t="str">
        <f t="shared" si="14"/>
        <v/>
      </c>
      <c r="U1335" s="26" t="str">
        <f t="shared" si="15"/>
        <v/>
      </c>
      <c r="V1335" s="26" t="str">
        <f t="shared" si="16"/>
        <v/>
      </c>
      <c r="W1335" s="26" t="str">
        <f t="shared" si="17"/>
        <v/>
      </c>
      <c r="X1335" s="26" t="str">
        <f t="shared" si="18"/>
        <v/>
      </c>
      <c r="Y1335" s="26" t="str">
        <f t="shared" si="19"/>
        <v/>
      </c>
      <c r="Z1335" s="31" t="str">
        <f t="shared" si="20"/>
        <v/>
      </c>
      <c r="AA1335" s="31" t="str">
        <f>IF(D1335="","",IF(H1335&lt;=$B$16,1,IF(H1335&gt;=$B$17,$B$21,MATCH(H1335,Aux_CAV!$A$2:$A$121,1))))</f>
        <v/>
      </c>
      <c r="AB1335" s="31" t="str">
        <f>IF(D1335="","",IF(L1335&lt;=$B$16,1,IF(L1335&gt;=$B$17,$B$21,MATCH(L1335,Aux_CAV!$A$2:$A$121,1))))</f>
        <v/>
      </c>
      <c r="AC1335" s="3" t="str">
        <f t="shared" si="21"/>
        <v/>
      </c>
    </row>
    <row r="1336" ht="12.75" customHeight="1">
      <c r="A1336" s="25" t="str">
        <f t="shared" si="1"/>
        <v/>
      </c>
      <c r="B1336" s="29" t="str">
        <f t="array" ref="B1336">IF(D1336="","",IFERROR(VALUE(INDEX(Vazoes_COLAR!$A$2:$A$200,INT((ROW()-24)/12)+1)),""))</f>
        <v/>
      </c>
      <c r="C1336" s="29" t="str">
        <f t="shared" si="2"/>
        <v/>
      </c>
      <c r="D1336" s="26" t="str">
        <f t="array" ref="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6" s="26" t="str">
        <f t="shared" si="3"/>
        <v/>
      </c>
      <c r="F1336" s="26" t="str">
        <f t="array" ref="F1336">IF(D1336="","",IFERROR(INDEX(Dados_Evap!$C$2:$N$15,MATCH($B$9,Dados_Evap!$A$2:$A$15,0),C1336),0))</f>
        <v/>
      </c>
      <c r="G1336" s="26" t="str">
        <f t="shared" si="4"/>
        <v/>
      </c>
      <c r="H1336" s="26" t="str">
        <f t="shared" si="22"/>
        <v/>
      </c>
      <c r="I1336" s="26" t="str">
        <f t="array" ref="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/>
      </c>
      <c r="J1336" s="26" t="str">
        <f t="shared" si="5"/>
        <v/>
      </c>
      <c r="K1336" s="26" t="str">
        <f t="shared" si="6"/>
        <v/>
      </c>
      <c r="L1336" s="26" t="str">
        <f t="shared" si="7"/>
        <v/>
      </c>
      <c r="M1336" s="26" t="str">
        <f t="array" ref="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/>
      </c>
      <c r="N1336" s="26" t="str">
        <f t="shared" si="8"/>
        <v/>
      </c>
      <c r="O1336" s="26" t="str">
        <f t="shared" si="9"/>
        <v/>
      </c>
      <c r="P1336" s="26" t="str">
        <f t="shared" si="10"/>
        <v/>
      </c>
      <c r="Q1336" s="26" t="str">
        <f t="shared" si="11"/>
        <v/>
      </c>
      <c r="R1336" s="26" t="str">
        <f t="shared" si="12"/>
        <v/>
      </c>
      <c r="S1336" s="26" t="str">
        <f t="shared" si="13"/>
        <v/>
      </c>
      <c r="T1336" s="26" t="str">
        <f t="shared" si="14"/>
        <v/>
      </c>
      <c r="U1336" s="26" t="str">
        <f t="shared" si="15"/>
        <v/>
      </c>
      <c r="V1336" s="26" t="str">
        <f t="shared" si="16"/>
        <v/>
      </c>
      <c r="W1336" s="26" t="str">
        <f t="shared" si="17"/>
        <v/>
      </c>
      <c r="X1336" s="26" t="str">
        <f t="shared" si="18"/>
        <v/>
      </c>
      <c r="Y1336" s="26" t="str">
        <f t="shared" si="19"/>
        <v/>
      </c>
      <c r="Z1336" s="31" t="str">
        <f t="shared" si="20"/>
        <v/>
      </c>
      <c r="AA1336" s="31" t="str">
        <f>IF(D1336="","",IF(H1336&lt;=$B$16,1,IF(H1336&gt;=$B$17,$B$21,MATCH(H1336,Aux_CAV!$A$2:$A$121,1))))</f>
        <v/>
      </c>
      <c r="AB1336" s="31" t="str">
        <f>IF(D1336="","",IF(L1336&lt;=$B$16,1,IF(L1336&gt;=$B$17,$B$21,MATCH(L1336,Aux_CAV!$A$2:$A$121,1))))</f>
        <v/>
      </c>
      <c r="AC1336" s="3" t="str">
        <f t="shared" si="21"/>
        <v/>
      </c>
    </row>
    <row r="1337" ht="12.75" customHeight="1">
      <c r="A1337" s="25" t="str">
        <f t="shared" si="1"/>
        <v/>
      </c>
      <c r="B1337" s="29" t="str">
        <f t="array" ref="B1337">IF(D1337="","",IFERROR(VALUE(INDEX(Vazoes_COLAR!$A$2:$A$200,INT((ROW()-24)/12)+1)),""))</f>
        <v/>
      </c>
      <c r="C1337" s="29" t="str">
        <f t="shared" si="2"/>
        <v/>
      </c>
      <c r="D1337" s="26" t="str">
        <f t="array" ref="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7" s="26" t="str">
        <f t="shared" si="3"/>
        <v/>
      </c>
      <c r="F1337" s="26" t="str">
        <f t="array" ref="F1337">IF(D1337="","",IFERROR(INDEX(Dados_Evap!$C$2:$N$15,MATCH($B$9,Dados_Evap!$A$2:$A$15,0),C1337),0))</f>
        <v/>
      </c>
      <c r="G1337" s="26" t="str">
        <f t="shared" si="4"/>
        <v/>
      </c>
      <c r="H1337" s="26" t="str">
        <f t="shared" si="22"/>
        <v/>
      </c>
      <c r="I1337" s="26" t="str">
        <f t="array" ref="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/>
      </c>
      <c r="J1337" s="26" t="str">
        <f t="shared" si="5"/>
        <v/>
      </c>
      <c r="K1337" s="26" t="str">
        <f t="shared" si="6"/>
        <v/>
      </c>
      <c r="L1337" s="26" t="str">
        <f t="shared" si="7"/>
        <v/>
      </c>
      <c r="M1337" s="26" t="str">
        <f t="array" ref="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/>
      </c>
      <c r="N1337" s="26" t="str">
        <f t="shared" si="8"/>
        <v/>
      </c>
      <c r="O1337" s="26" t="str">
        <f t="shared" si="9"/>
        <v/>
      </c>
      <c r="P1337" s="26" t="str">
        <f t="shared" si="10"/>
        <v/>
      </c>
      <c r="Q1337" s="26" t="str">
        <f t="shared" si="11"/>
        <v/>
      </c>
      <c r="R1337" s="26" t="str">
        <f t="shared" si="12"/>
        <v/>
      </c>
      <c r="S1337" s="26" t="str">
        <f t="shared" si="13"/>
        <v/>
      </c>
      <c r="T1337" s="26" t="str">
        <f t="shared" si="14"/>
        <v/>
      </c>
      <c r="U1337" s="26" t="str">
        <f t="shared" si="15"/>
        <v/>
      </c>
      <c r="V1337" s="26" t="str">
        <f t="shared" si="16"/>
        <v/>
      </c>
      <c r="W1337" s="26" t="str">
        <f t="shared" si="17"/>
        <v/>
      </c>
      <c r="X1337" s="26" t="str">
        <f t="shared" si="18"/>
        <v/>
      </c>
      <c r="Y1337" s="26" t="str">
        <f t="shared" si="19"/>
        <v/>
      </c>
      <c r="Z1337" s="31" t="str">
        <f t="shared" si="20"/>
        <v/>
      </c>
      <c r="AA1337" s="31" t="str">
        <f>IF(D1337="","",IF(H1337&lt;=$B$16,1,IF(H1337&gt;=$B$17,$B$21,MATCH(H1337,Aux_CAV!$A$2:$A$121,1))))</f>
        <v/>
      </c>
      <c r="AB1337" s="31" t="str">
        <f>IF(D1337="","",IF(L1337&lt;=$B$16,1,IF(L1337&gt;=$B$17,$B$21,MATCH(L1337,Aux_CAV!$A$2:$A$121,1))))</f>
        <v/>
      </c>
      <c r="AC1337" s="3" t="str">
        <f t="shared" si="21"/>
        <v/>
      </c>
    </row>
    <row r="1338" ht="12.75" customHeight="1">
      <c r="A1338" s="25" t="str">
        <f t="shared" si="1"/>
        <v/>
      </c>
      <c r="B1338" s="29" t="str">
        <f t="array" ref="B1338">IF(D1338="","",IFERROR(VALUE(INDEX(Vazoes_COLAR!$A$2:$A$200,INT((ROW()-24)/12)+1)),""))</f>
        <v/>
      </c>
      <c r="C1338" s="29" t="str">
        <f t="shared" si="2"/>
        <v/>
      </c>
      <c r="D1338" s="26" t="str">
        <f t="array" ref="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8" s="26" t="str">
        <f t="shared" si="3"/>
        <v/>
      </c>
      <c r="F1338" s="26" t="str">
        <f t="array" ref="F1338">IF(D1338="","",IFERROR(INDEX(Dados_Evap!$C$2:$N$15,MATCH($B$9,Dados_Evap!$A$2:$A$15,0),C1338),0))</f>
        <v/>
      </c>
      <c r="G1338" s="26" t="str">
        <f t="shared" si="4"/>
        <v/>
      </c>
      <c r="H1338" s="26" t="str">
        <f t="shared" si="22"/>
        <v/>
      </c>
      <c r="I1338" s="26" t="str">
        <f t="array" ref="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/>
      </c>
      <c r="J1338" s="26" t="str">
        <f t="shared" si="5"/>
        <v/>
      </c>
      <c r="K1338" s="26" t="str">
        <f t="shared" si="6"/>
        <v/>
      </c>
      <c r="L1338" s="26" t="str">
        <f t="shared" si="7"/>
        <v/>
      </c>
      <c r="M1338" s="26" t="str">
        <f t="array" ref="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/>
      </c>
      <c r="N1338" s="26" t="str">
        <f t="shared" si="8"/>
        <v/>
      </c>
      <c r="O1338" s="26" t="str">
        <f t="shared" si="9"/>
        <v/>
      </c>
      <c r="P1338" s="26" t="str">
        <f t="shared" si="10"/>
        <v/>
      </c>
      <c r="Q1338" s="26" t="str">
        <f t="shared" si="11"/>
        <v/>
      </c>
      <c r="R1338" s="26" t="str">
        <f t="shared" si="12"/>
        <v/>
      </c>
      <c r="S1338" s="26" t="str">
        <f t="shared" si="13"/>
        <v/>
      </c>
      <c r="T1338" s="26" t="str">
        <f t="shared" si="14"/>
        <v/>
      </c>
      <c r="U1338" s="26" t="str">
        <f t="shared" si="15"/>
        <v/>
      </c>
      <c r="V1338" s="26" t="str">
        <f t="shared" si="16"/>
        <v/>
      </c>
      <c r="W1338" s="26" t="str">
        <f t="shared" si="17"/>
        <v/>
      </c>
      <c r="X1338" s="26" t="str">
        <f t="shared" si="18"/>
        <v/>
      </c>
      <c r="Y1338" s="26" t="str">
        <f t="shared" si="19"/>
        <v/>
      </c>
      <c r="Z1338" s="31" t="str">
        <f t="shared" si="20"/>
        <v/>
      </c>
      <c r="AA1338" s="31" t="str">
        <f>IF(D1338="","",IF(H1338&lt;=$B$16,1,IF(H1338&gt;=$B$17,$B$21,MATCH(H1338,Aux_CAV!$A$2:$A$121,1))))</f>
        <v/>
      </c>
      <c r="AB1338" s="31" t="str">
        <f>IF(D1338="","",IF(L1338&lt;=$B$16,1,IF(L1338&gt;=$B$17,$B$21,MATCH(L1338,Aux_CAV!$A$2:$A$121,1))))</f>
        <v/>
      </c>
      <c r="AC1338" s="3" t="str">
        <f t="shared" si="21"/>
        <v/>
      </c>
    </row>
    <row r="1339" ht="12.75" customHeight="1">
      <c r="A1339" s="25" t="str">
        <f t="shared" si="1"/>
        <v/>
      </c>
      <c r="B1339" s="29" t="str">
        <f t="array" ref="B1339">IF(D1339="","",IFERROR(VALUE(INDEX(Vazoes_COLAR!$A$2:$A$200,INT((ROW()-24)/12)+1)),""))</f>
        <v/>
      </c>
      <c r="C1339" s="29" t="str">
        <f t="shared" si="2"/>
        <v/>
      </c>
      <c r="D1339" s="26" t="str">
        <f t="array" ref="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9" s="26" t="str">
        <f t="shared" si="3"/>
        <v/>
      </c>
      <c r="F1339" s="26" t="str">
        <f t="array" ref="F1339">IF(D1339="","",IFERROR(INDEX(Dados_Evap!$C$2:$N$15,MATCH($B$9,Dados_Evap!$A$2:$A$15,0),C1339),0))</f>
        <v/>
      </c>
      <c r="G1339" s="26" t="str">
        <f t="shared" si="4"/>
        <v/>
      </c>
      <c r="H1339" s="26" t="str">
        <f t="shared" si="22"/>
        <v/>
      </c>
      <c r="I1339" s="26" t="str">
        <f t="array" ref="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/>
      </c>
      <c r="J1339" s="26" t="str">
        <f t="shared" si="5"/>
        <v/>
      </c>
      <c r="K1339" s="26" t="str">
        <f t="shared" si="6"/>
        <v/>
      </c>
      <c r="L1339" s="26" t="str">
        <f t="shared" si="7"/>
        <v/>
      </c>
      <c r="M1339" s="26" t="str">
        <f t="array" ref="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/>
      </c>
      <c r="N1339" s="26" t="str">
        <f t="shared" si="8"/>
        <v/>
      </c>
      <c r="O1339" s="26" t="str">
        <f t="shared" si="9"/>
        <v/>
      </c>
      <c r="P1339" s="26" t="str">
        <f t="shared" si="10"/>
        <v/>
      </c>
      <c r="Q1339" s="26" t="str">
        <f t="shared" si="11"/>
        <v/>
      </c>
      <c r="R1339" s="26" t="str">
        <f t="shared" si="12"/>
        <v/>
      </c>
      <c r="S1339" s="26" t="str">
        <f t="shared" si="13"/>
        <v/>
      </c>
      <c r="T1339" s="26" t="str">
        <f t="shared" si="14"/>
        <v/>
      </c>
      <c r="U1339" s="26" t="str">
        <f t="shared" si="15"/>
        <v/>
      </c>
      <c r="V1339" s="26" t="str">
        <f t="shared" si="16"/>
        <v/>
      </c>
      <c r="W1339" s="26" t="str">
        <f t="shared" si="17"/>
        <v/>
      </c>
      <c r="X1339" s="26" t="str">
        <f t="shared" si="18"/>
        <v/>
      </c>
      <c r="Y1339" s="26" t="str">
        <f t="shared" si="19"/>
        <v/>
      </c>
      <c r="Z1339" s="31" t="str">
        <f t="shared" si="20"/>
        <v/>
      </c>
      <c r="AA1339" s="31" t="str">
        <f>IF(D1339="","",IF(H1339&lt;=$B$16,1,IF(H1339&gt;=$B$17,$B$21,MATCH(H1339,Aux_CAV!$A$2:$A$121,1))))</f>
        <v/>
      </c>
      <c r="AB1339" s="31" t="str">
        <f>IF(D1339="","",IF(L1339&lt;=$B$16,1,IF(L1339&gt;=$B$17,$B$21,MATCH(L1339,Aux_CAV!$A$2:$A$121,1))))</f>
        <v/>
      </c>
      <c r="AC1339" s="3" t="str">
        <f t="shared" si="21"/>
        <v/>
      </c>
    </row>
    <row r="1340" ht="12.75" customHeight="1">
      <c r="A1340" s="25" t="str">
        <f t="shared" si="1"/>
        <v/>
      </c>
      <c r="B1340" s="29" t="str">
        <f t="array" ref="B1340">IF(D1340="","",IFERROR(VALUE(INDEX(Vazoes_COLAR!$A$2:$A$200,INT((ROW()-24)/12)+1)),""))</f>
        <v/>
      </c>
      <c r="C1340" s="29" t="str">
        <f t="shared" si="2"/>
        <v/>
      </c>
      <c r="D1340" s="26" t="str">
        <f t="array" ref="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0" s="26" t="str">
        <f t="shared" si="3"/>
        <v/>
      </c>
      <c r="F1340" s="26" t="str">
        <f t="array" ref="F1340">IF(D1340="","",IFERROR(INDEX(Dados_Evap!$C$2:$N$15,MATCH($B$9,Dados_Evap!$A$2:$A$15,0),C1340),0))</f>
        <v/>
      </c>
      <c r="G1340" s="26" t="str">
        <f t="shared" si="4"/>
        <v/>
      </c>
      <c r="H1340" s="26" t="str">
        <f t="shared" si="22"/>
        <v/>
      </c>
      <c r="I1340" s="26" t="str">
        <f t="array" ref="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/>
      </c>
      <c r="J1340" s="26" t="str">
        <f t="shared" si="5"/>
        <v/>
      </c>
      <c r="K1340" s="26" t="str">
        <f t="shared" si="6"/>
        <v/>
      </c>
      <c r="L1340" s="26" t="str">
        <f t="shared" si="7"/>
        <v/>
      </c>
      <c r="M1340" s="26" t="str">
        <f t="array" ref="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/>
      </c>
      <c r="N1340" s="26" t="str">
        <f t="shared" si="8"/>
        <v/>
      </c>
      <c r="O1340" s="26" t="str">
        <f t="shared" si="9"/>
        <v/>
      </c>
      <c r="P1340" s="26" t="str">
        <f t="shared" si="10"/>
        <v/>
      </c>
      <c r="Q1340" s="26" t="str">
        <f t="shared" si="11"/>
        <v/>
      </c>
      <c r="R1340" s="26" t="str">
        <f t="shared" si="12"/>
        <v/>
      </c>
      <c r="S1340" s="26" t="str">
        <f t="shared" si="13"/>
        <v/>
      </c>
      <c r="T1340" s="26" t="str">
        <f t="shared" si="14"/>
        <v/>
      </c>
      <c r="U1340" s="26" t="str">
        <f t="shared" si="15"/>
        <v/>
      </c>
      <c r="V1340" s="26" t="str">
        <f t="shared" si="16"/>
        <v/>
      </c>
      <c r="W1340" s="26" t="str">
        <f t="shared" si="17"/>
        <v/>
      </c>
      <c r="X1340" s="26" t="str">
        <f t="shared" si="18"/>
        <v/>
      </c>
      <c r="Y1340" s="26" t="str">
        <f t="shared" si="19"/>
        <v/>
      </c>
      <c r="Z1340" s="31" t="str">
        <f t="shared" si="20"/>
        <v/>
      </c>
      <c r="AA1340" s="31" t="str">
        <f>IF(D1340="","",IF(H1340&lt;=$B$16,1,IF(H1340&gt;=$B$17,$B$21,MATCH(H1340,Aux_CAV!$A$2:$A$121,1))))</f>
        <v/>
      </c>
      <c r="AB1340" s="31" t="str">
        <f>IF(D1340="","",IF(L1340&lt;=$B$16,1,IF(L1340&gt;=$B$17,$B$21,MATCH(L1340,Aux_CAV!$A$2:$A$121,1))))</f>
        <v/>
      </c>
      <c r="AC1340" s="3" t="str">
        <f t="shared" si="21"/>
        <v/>
      </c>
    </row>
    <row r="1341" ht="12.75" customHeight="1">
      <c r="A1341" s="25" t="str">
        <f t="shared" si="1"/>
        <v/>
      </c>
      <c r="B1341" s="29" t="str">
        <f t="array" ref="B1341">IF(D1341="","",IFERROR(VALUE(INDEX(Vazoes_COLAR!$A$2:$A$200,INT((ROW()-24)/12)+1)),""))</f>
        <v/>
      </c>
      <c r="C1341" s="29" t="str">
        <f t="shared" si="2"/>
        <v/>
      </c>
      <c r="D1341" s="26" t="str">
        <f t="array" ref="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1" s="26" t="str">
        <f t="shared" si="3"/>
        <v/>
      </c>
      <c r="F1341" s="26" t="str">
        <f t="array" ref="F1341">IF(D1341="","",IFERROR(INDEX(Dados_Evap!$C$2:$N$15,MATCH($B$9,Dados_Evap!$A$2:$A$15,0),C1341),0))</f>
        <v/>
      </c>
      <c r="G1341" s="26" t="str">
        <f t="shared" si="4"/>
        <v/>
      </c>
      <c r="H1341" s="26" t="str">
        <f t="shared" si="22"/>
        <v/>
      </c>
      <c r="I1341" s="26" t="str">
        <f t="array" ref="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/>
      </c>
      <c r="J1341" s="26" t="str">
        <f t="shared" si="5"/>
        <v/>
      </c>
      <c r="K1341" s="26" t="str">
        <f t="shared" si="6"/>
        <v/>
      </c>
      <c r="L1341" s="26" t="str">
        <f t="shared" si="7"/>
        <v/>
      </c>
      <c r="M1341" s="26" t="str">
        <f t="array" ref="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/>
      </c>
      <c r="N1341" s="26" t="str">
        <f t="shared" si="8"/>
        <v/>
      </c>
      <c r="O1341" s="26" t="str">
        <f t="shared" si="9"/>
        <v/>
      </c>
      <c r="P1341" s="26" t="str">
        <f t="shared" si="10"/>
        <v/>
      </c>
      <c r="Q1341" s="26" t="str">
        <f t="shared" si="11"/>
        <v/>
      </c>
      <c r="R1341" s="26" t="str">
        <f t="shared" si="12"/>
        <v/>
      </c>
      <c r="S1341" s="26" t="str">
        <f t="shared" si="13"/>
        <v/>
      </c>
      <c r="T1341" s="26" t="str">
        <f t="shared" si="14"/>
        <v/>
      </c>
      <c r="U1341" s="26" t="str">
        <f t="shared" si="15"/>
        <v/>
      </c>
      <c r="V1341" s="26" t="str">
        <f t="shared" si="16"/>
        <v/>
      </c>
      <c r="W1341" s="26" t="str">
        <f t="shared" si="17"/>
        <v/>
      </c>
      <c r="X1341" s="26" t="str">
        <f t="shared" si="18"/>
        <v/>
      </c>
      <c r="Y1341" s="26" t="str">
        <f t="shared" si="19"/>
        <v/>
      </c>
      <c r="Z1341" s="31" t="str">
        <f t="shared" si="20"/>
        <v/>
      </c>
      <c r="AA1341" s="31" t="str">
        <f>IF(D1341="","",IF(H1341&lt;=$B$16,1,IF(H1341&gt;=$B$17,$B$21,MATCH(H1341,Aux_CAV!$A$2:$A$121,1))))</f>
        <v/>
      </c>
      <c r="AB1341" s="31" t="str">
        <f>IF(D1341="","",IF(L1341&lt;=$B$16,1,IF(L1341&gt;=$B$17,$B$21,MATCH(L1341,Aux_CAV!$A$2:$A$121,1))))</f>
        <v/>
      </c>
      <c r="AC1341" s="3" t="str">
        <f t="shared" si="21"/>
        <v/>
      </c>
    </row>
    <row r="1342" ht="12.75" customHeight="1">
      <c r="A1342" s="25" t="str">
        <f t="shared" si="1"/>
        <v/>
      </c>
      <c r="B1342" s="29" t="str">
        <f t="array" ref="B1342">IF(D1342="","",IFERROR(VALUE(INDEX(Vazoes_COLAR!$A$2:$A$200,INT((ROW()-24)/12)+1)),""))</f>
        <v/>
      </c>
      <c r="C1342" s="29" t="str">
        <f t="shared" si="2"/>
        <v/>
      </c>
      <c r="D1342" s="26" t="str">
        <f t="array" ref="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2" s="26" t="str">
        <f t="shared" si="3"/>
        <v/>
      </c>
      <c r="F1342" s="26" t="str">
        <f t="array" ref="F1342">IF(D1342="","",IFERROR(INDEX(Dados_Evap!$C$2:$N$15,MATCH($B$9,Dados_Evap!$A$2:$A$15,0),C1342),0))</f>
        <v/>
      </c>
      <c r="G1342" s="26" t="str">
        <f t="shared" si="4"/>
        <v/>
      </c>
      <c r="H1342" s="26" t="str">
        <f t="shared" si="22"/>
        <v/>
      </c>
      <c r="I1342" s="26" t="str">
        <f t="array" ref="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/>
      </c>
      <c r="J1342" s="26" t="str">
        <f t="shared" si="5"/>
        <v/>
      </c>
      <c r="K1342" s="26" t="str">
        <f t="shared" si="6"/>
        <v/>
      </c>
      <c r="L1342" s="26" t="str">
        <f t="shared" si="7"/>
        <v/>
      </c>
      <c r="M1342" s="26" t="str">
        <f t="array" ref="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/>
      </c>
      <c r="N1342" s="26" t="str">
        <f t="shared" si="8"/>
        <v/>
      </c>
      <c r="O1342" s="26" t="str">
        <f t="shared" si="9"/>
        <v/>
      </c>
      <c r="P1342" s="26" t="str">
        <f t="shared" si="10"/>
        <v/>
      </c>
      <c r="Q1342" s="26" t="str">
        <f t="shared" si="11"/>
        <v/>
      </c>
      <c r="R1342" s="26" t="str">
        <f t="shared" si="12"/>
        <v/>
      </c>
      <c r="S1342" s="26" t="str">
        <f t="shared" si="13"/>
        <v/>
      </c>
      <c r="T1342" s="26" t="str">
        <f t="shared" si="14"/>
        <v/>
      </c>
      <c r="U1342" s="26" t="str">
        <f t="shared" si="15"/>
        <v/>
      </c>
      <c r="V1342" s="26" t="str">
        <f t="shared" si="16"/>
        <v/>
      </c>
      <c r="W1342" s="26" t="str">
        <f t="shared" si="17"/>
        <v/>
      </c>
      <c r="X1342" s="26" t="str">
        <f t="shared" si="18"/>
        <v/>
      </c>
      <c r="Y1342" s="26" t="str">
        <f t="shared" si="19"/>
        <v/>
      </c>
      <c r="Z1342" s="31" t="str">
        <f t="shared" si="20"/>
        <v/>
      </c>
      <c r="AA1342" s="31" t="str">
        <f>IF(D1342="","",IF(H1342&lt;=$B$16,1,IF(H1342&gt;=$B$17,$B$21,MATCH(H1342,Aux_CAV!$A$2:$A$121,1))))</f>
        <v/>
      </c>
      <c r="AB1342" s="31" t="str">
        <f>IF(D1342="","",IF(L1342&lt;=$B$16,1,IF(L1342&gt;=$B$17,$B$21,MATCH(L1342,Aux_CAV!$A$2:$A$121,1))))</f>
        <v/>
      </c>
      <c r="AC1342" s="3" t="str">
        <f t="shared" si="21"/>
        <v/>
      </c>
    </row>
    <row r="1343" ht="12.75" customHeight="1">
      <c r="A1343" s="25" t="str">
        <f t="shared" si="1"/>
        <v/>
      </c>
      <c r="B1343" s="29" t="str">
        <f t="array" ref="B1343">IF(D1343="","",IFERROR(VALUE(INDEX(Vazoes_COLAR!$A$2:$A$200,INT((ROW()-24)/12)+1)),""))</f>
        <v/>
      </c>
      <c r="C1343" s="29" t="str">
        <f t="shared" si="2"/>
        <v/>
      </c>
      <c r="D1343" s="26" t="str">
        <f t="array" ref="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3" s="26" t="str">
        <f t="shared" si="3"/>
        <v/>
      </c>
      <c r="F1343" s="26" t="str">
        <f t="array" ref="F1343">IF(D1343="","",IFERROR(INDEX(Dados_Evap!$C$2:$N$15,MATCH($B$9,Dados_Evap!$A$2:$A$15,0),C1343),0))</f>
        <v/>
      </c>
      <c r="G1343" s="26" t="str">
        <f t="shared" si="4"/>
        <v/>
      </c>
      <c r="H1343" s="26" t="str">
        <f t="shared" si="22"/>
        <v/>
      </c>
      <c r="I1343" s="26" t="str">
        <f t="array" ref="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/>
      </c>
      <c r="J1343" s="26" t="str">
        <f t="shared" si="5"/>
        <v/>
      </c>
      <c r="K1343" s="26" t="str">
        <f t="shared" si="6"/>
        <v/>
      </c>
      <c r="L1343" s="26" t="str">
        <f t="shared" si="7"/>
        <v/>
      </c>
      <c r="M1343" s="26" t="str">
        <f t="array" ref="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/>
      </c>
      <c r="N1343" s="26" t="str">
        <f t="shared" si="8"/>
        <v/>
      </c>
      <c r="O1343" s="26" t="str">
        <f t="shared" si="9"/>
        <v/>
      </c>
      <c r="P1343" s="26" t="str">
        <f t="shared" si="10"/>
        <v/>
      </c>
      <c r="Q1343" s="26" t="str">
        <f t="shared" si="11"/>
        <v/>
      </c>
      <c r="R1343" s="26" t="str">
        <f t="shared" si="12"/>
        <v/>
      </c>
      <c r="S1343" s="26" t="str">
        <f t="shared" si="13"/>
        <v/>
      </c>
      <c r="T1343" s="26" t="str">
        <f t="shared" si="14"/>
        <v/>
      </c>
      <c r="U1343" s="26" t="str">
        <f t="shared" si="15"/>
        <v/>
      </c>
      <c r="V1343" s="26" t="str">
        <f t="shared" si="16"/>
        <v/>
      </c>
      <c r="W1343" s="26" t="str">
        <f t="shared" si="17"/>
        <v/>
      </c>
      <c r="X1343" s="26" t="str">
        <f t="shared" si="18"/>
        <v/>
      </c>
      <c r="Y1343" s="26" t="str">
        <f t="shared" si="19"/>
        <v/>
      </c>
      <c r="Z1343" s="31" t="str">
        <f t="shared" si="20"/>
        <v/>
      </c>
      <c r="AA1343" s="31" t="str">
        <f>IF(D1343="","",IF(H1343&lt;=$B$16,1,IF(H1343&gt;=$B$17,$B$21,MATCH(H1343,Aux_CAV!$A$2:$A$121,1))))</f>
        <v/>
      </c>
      <c r="AB1343" s="31" t="str">
        <f>IF(D1343="","",IF(L1343&lt;=$B$16,1,IF(L1343&gt;=$B$17,$B$21,MATCH(L1343,Aux_CAV!$A$2:$A$121,1))))</f>
        <v/>
      </c>
      <c r="AC1343" s="3" t="str">
        <f t="shared" si="21"/>
        <v/>
      </c>
    </row>
    <row r="1344" ht="12.75" customHeight="1">
      <c r="A1344" s="25" t="str">
        <f t="shared" si="1"/>
        <v/>
      </c>
      <c r="B1344" s="29" t="str">
        <f t="array" ref="B1344">IF(D1344="","",IFERROR(VALUE(INDEX(Vazoes_COLAR!$A$2:$A$200,INT((ROW()-24)/12)+1)),""))</f>
        <v/>
      </c>
      <c r="C1344" s="29" t="str">
        <f t="shared" si="2"/>
        <v/>
      </c>
      <c r="D1344" s="26" t="str">
        <f t="array" ref="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4" s="26" t="str">
        <f t="shared" si="3"/>
        <v/>
      </c>
      <c r="F1344" s="26" t="str">
        <f t="array" ref="F1344">IF(D1344="","",IFERROR(INDEX(Dados_Evap!$C$2:$N$15,MATCH($B$9,Dados_Evap!$A$2:$A$15,0),C1344),0))</f>
        <v/>
      </c>
      <c r="G1344" s="26" t="str">
        <f t="shared" si="4"/>
        <v/>
      </c>
      <c r="H1344" s="26" t="str">
        <f t="shared" si="22"/>
        <v/>
      </c>
      <c r="I1344" s="26" t="str">
        <f t="array" ref="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/>
      </c>
      <c r="J1344" s="26" t="str">
        <f t="shared" si="5"/>
        <v/>
      </c>
      <c r="K1344" s="26" t="str">
        <f t="shared" si="6"/>
        <v/>
      </c>
      <c r="L1344" s="26" t="str">
        <f t="shared" si="7"/>
        <v/>
      </c>
      <c r="M1344" s="26" t="str">
        <f t="array" ref="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/>
      </c>
      <c r="N1344" s="26" t="str">
        <f t="shared" si="8"/>
        <v/>
      </c>
      <c r="O1344" s="26" t="str">
        <f t="shared" si="9"/>
        <v/>
      </c>
      <c r="P1344" s="26" t="str">
        <f t="shared" si="10"/>
        <v/>
      </c>
      <c r="Q1344" s="26" t="str">
        <f t="shared" si="11"/>
        <v/>
      </c>
      <c r="R1344" s="26" t="str">
        <f t="shared" si="12"/>
        <v/>
      </c>
      <c r="S1344" s="26" t="str">
        <f t="shared" si="13"/>
        <v/>
      </c>
      <c r="T1344" s="26" t="str">
        <f t="shared" si="14"/>
        <v/>
      </c>
      <c r="U1344" s="26" t="str">
        <f t="shared" si="15"/>
        <v/>
      </c>
      <c r="V1344" s="26" t="str">
        <f t="shared" si="16"/>
        <v/>
      </c>
      <c r="W1344" s="26" t="str">
        <f t="shared" si="17"/>
        <v/>
      </c>
      <c r="X1344" s="26" t="str">
        <f t="shared" si="18"/>
        <v/>
      </c>
      <c r="Y1344" s="26" t="str">
        <f t="shared" si="19"/>
        <v/>
      </c>
      <c r="Z1344" s="31" t="str">
        <f t="shared" si="20"/>
        <v/>
      </c>
      <c r="AA1344" s="31" t="str">
        <f>IF(D1344="","",IF(H1344&lt;=$B$16,1,IF(H1344&gt;=$B$17,$B$21,MATCH(H1344,Aux_CAV!$A$2:$A$121,1))))</f>
        <v/>
      </c>
      <c r="AB1344" s="31" t="str">
        <f>IF(D1344="","",IF(L1344&lt;=$B$16,1,IF(L1344&gt;=$B$17,$B$21,MATCH(L1344,Aux_CAV!$A$2:$A$121,1))))</f>
        <v/>
      </c>
      <c r="AC1344" s="3" t="str">
        <f t="shared" si="21"/>
        <v/>
      </c>
    </row>
    <row r="1345" ht="12.75" customHeight="1">
      <c r="A1345" s="25" t="str">
        <f t="shared" si="1"/>
        <v/>
      </c>
      <c r="B1345" s="29" t="str">
        <f t="array" ref="B1345">IF(D1345="","",IFERROR(VALUE(INDEX(Vazoes_COLAR!$A$2:$A$200,INT((ROW()-24)/12)+1)),""))</f>
        <v/>
      </c>
      <c r="C1345" s="29" t="str">
        <f t="shared" si="2"/>
        <v/>
      </c>
      <c r="D1345" s="26" t="str">
        <f t="array" ref="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5" s="26" t="str">
        <f t="shared" si="3"/>
        <v/>
      </c>
      <c r="F1345" s="26" t="str">
        <f t="array" ref="F1345">IF(D1345="","",IFERROR(INDEX(Dados_Evap!$C$2:$N$15,MATCH($B$9,Dados_Evap!$A$2:$A$15,0),C1345),0))</f>
        <v/>
      </c>
      <c r="G1345" s="26" t="str">
        <f t="shared" si="4"/>
        <v/>
      </c>
      <c r="H1345" s="26" t="str">
        <f t="shared" si="22"/>
        <v/>
      </c>
      <c r="I1345" s="26" t="str">
        <f t="array" ref="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/>
      </c>
      <c r="J1345" s="26" t="str">
        <f t="shared" si="5"/>
        <v/>
      </c>
      <c r="K1345" s="26" t="str">
        <f t="shared" si="6"/>
        <v/>
      </c>
      <c r="L1345" s="26" t="str">
        <f t="shared" si="7"/>
        <v/>
      </c>
      <c r="M1345" s="26" t="str">
        <f t="array" ref="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/>
      </c>
      <c r="N1345" s="26" t="str">
        <f t="shared" si="8"/>
        <v/>
      </c>
      <c r="O1345" s="26" t="str">
        <f t="shared" si="9"/>
        <v/>
      </c>
      <c r="P1345" s="26" t="str">
        <f t="shared" si="10"/>
        <v/>
      </c>
      <c r="Q1345" s="26" t="str">
        <f t="shared" si="11"/>
        <v/>
      </c>
      <c r="R1345" s="26" t="str">
        <f t="shared" si="12"/>
        <v/>
      </c>
      <c r="S1345" s="26" t="str">
        <f t="shared" si="13"/>
        <v/>
      </c>
      <c r="T1345" s="26" t="str">
        <f t="shared" si="14"/>
        <v/>
      </c>
      <c r="U1345" s="26" t="str">
        <f t="shared" si="15"/>
        <v/>
      </c>
      <c r="V1345" s="26" t="str">
        <f t="shared" si="16"/>
        <v/>
      </c>
      <c r="W1345" s="26" t="str">
        <f t="shared" si="17"/>
        <v/>
      </c>
      <c r="X1345" s="26" t="str">
        <f t="shared" si="18"/>
        <v/>
      </c>
      <c r="Y1345" s="26" t="str">
        <f t="shared" si="19"/>
        <v/>
      </c>
      <c r="Z1345" s="31" t="str">
        <f t="shared" si="20"/>
        <v/>
      </c>
      <c r="AA1345" s="31" t="str">
        <f>IF(D1345="","",IF(H1345&lt;=$B$16,1,IF(H1345&gt;=$B$17,$B$21,MATCH(H1345,Aux_CAV!$A$2:$A$121,1))))</f>
        <v/>
      </c>
      <c r="AB1345" s="31" t="str">
        <f>IF(D1345="","",IF(L1345&lt;=$B$16,1,IF(L1345&gt;=$B$17,$B$21,MATCH(L1345,Aux_CAV!$A$2:$A$121,1))))</f>
        <v/>
      </c>
      <c r="AC1345" s="3" t="str">
        <f t="shared" si="21"/>
        <v/>
      </c>
    </row>
    <row r="1346" ht="12.75" customHeight="1">
      <c r="A1346" s="25" t="str">
        <f t="shared" si="1"/>
        <v/>
      </c>
      <c r="B1346" s="29" t="str">
        <f t="array" ref="B1346">IF(D1346="","",IFERROR(VALUE(INDEX(Vazoes_COLAR!$A$2:$A$200,INT((ROW()-24)/12)+1)),""))</f>
        <v/>
      </c>
      <c r="C1346" s="29" t="str">
        <f t="shared" si="2"/>
        <v/>
      </c>
      <c r="D1346" s="26" t="str">
        <f t="array" ref="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6" s="26" t="str">
        <f t="shared" si="3"/>
        <v/>
      </c>
      <c r="F1346" s="26" t="str">
        <f t="array" ref="F1346">IF(D1346="","",IFERROR(INDEX(Dados_Evap!$C$2:$N$15,MATCH($B$9,Dados_Evap!$A$2:$A$15,0),C1346),0))</f>
        <v/>
      </c>
      <c r="G1346" s="26" t="str">
        <f t="shared" si="4"/>
        <v/>
      </c>
      <c r="H1346" s="26" t="str">
        <f t="shared" si="22"/>
        <v/>
      </c>
      <c r="I1346" s="26" t="str">
        <f t="array" ref="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/>
      </c>
      <c r="J1346" s="26" t="str">
        <f t="shared" si="5"/>
        <v/>
      </c>
      <c r="K1346" s="26" t="str">
        <f t="shared" si="6"/>
        <v/>
      </c>
      <c r="L1346" s="26" t="str">
        <f t="shared" si="7"/>
        <v/>
      </c>
      <c r="M1346" s="26" t="str">
        <f t="array" ref="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/>
      </c>
      <c r="N1346" s="26" t="str">
        <f t="shared" si="8"/>
        <v/>
      </c>
      <c r="O1346" s="26" t="str">
        <f t="shared" si="9"/>
        <v/>
      </c>
      <c r="P1346" s="26" t="str">
        <f t="shared" si="10"/>
        <v/>
      </c>
      <c r="Q1346" s="26" t="str">
        <f t="shared" si="11"/>
        <v/>
      </c>
      <c r="R1346" s="26" t="str">
        <f t="shared" si="12"/>
        <v/>
      </c>
      <c r="S1346" s="26" t="str">
        <f t="shared" si="13"/>
        <v/>
      </c>
      <c r="T1346" s="26" t="str">
        <f t="shared" si="14"/>
        <v/>
      </c>
      <c r="U1346" s="26" t="str">
        <f t="shared" si="15"/>
        <v/>
      </c>
      <c r="V1346" s="26" t="str">
        <f t="shared" si="16"/>
        <v/>
      </c>
      <c r="W1346" s="26" t="str">
        <f t="shared" si="17"/>
        <v/>
      </c>
      <c r="X1346" s="26" t="str">
        <f t="shared" si="18"/>
        <v/>
      </c>
      <c r="Y1346" s="26" t="str">
        <f t="shared" si="19"/>
        <v/>
      </c>
      <c r="Z1346" s="31" t="str">
        <f t="shared" si="20"/>
        <v/>
      </c>
      <c r="AA1346" s="31" t="str">
        <f>IF(D1346="","",IF(H1346&lt;=$B$16,1,IF(H1346&gt;=$B$17,$B$21,MATCH(H1346,Aux_CAV!$A$2:$A$121,1))))</f>
        <v/>
      </c>
      <c r="AB1346" s="31" t="str">
        <f>IF(D1346="","",IF(L1346&lt;=$B$16,1,IF(L1346&gt;=$B$17,$B$21,MATCH(L1346,Aux_CAV!$A$2:$A$121,1))))</f>
        <v/>
      </c>
      <c r="AC1346" s="3" t="str">
        <f t="shared" si="21"/>
        <v/>
      </c>
    </row>
    <row r="1347" ht="12.75" customHeight="1">
      <c r="A1347" s="25" t="str">
        <f t="shared" si="1"/>
        <v/>
      </c>
      <c r="B1347" s="29" t="str">
        <f t="array" ref="B1347">IF(D1347="","",IFERROR(VALUE(INDEX(Vazoes_COLAR!$A$2:$A$200,INT((ROW()-24)/12)+1)),""))</f>
        <v/>
      </c>
      <c r="C1347" s="29" t="str">
        <f t="shared" si="2"/>
        <v/>
      </c>
      <c r="D1347" s="26" t="str">
        <f t="array" ref="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7" s="26" t="str">
        <f t="shared" si="3"/>
        <v/>
      </c>
      <c r="F1347" s="26" t="str">
        <f t="array" ref="F1347">IF(D1347="","",IFERROR(INDEX(Dados_Evap!$C$2:$N$15,MATCH($B$9,Dados_Evap!$A$2:$A$15,0),C1347),0))</f>
        <v/>
      </c>
      <c r="G1347" s="26" t="str">
        <f t="shared" si="4"/>
        <v/>
      </c>
      <c r="H1347" s="26" t="str">
        <f t="shared" si="22"/>
        <v/>
      </c>
      <c r="I1347" s="26" t="str">
        <f t="array" ref="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/>
      </c>
      <c r="J1347" s="26" t="str">
        <f t="shared" si="5"/>
        <v/>
      </c>
      <c r="K1347" s="26" t="str">
        <f t="shared" si="6"/>
        <v/>
      </c>
      <c r="L1347" s="26" t="str">
        <f t="shared" si="7"/>
        <v/>
      </c>
      <c r="M1347" s="26" t="str">
        <f t="array" ref="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/>
      </c>
      <c r="N1347" s="26" t="str">
        <f t="shared" si="8"/>
        <v/>
      </c>
      <c r="O1347" s="26" t="str">
        <f t="shared" si="9"/>
        <v/>
      </c>
      <c r="P1347" s="26" t="str">
        <f t="shared" si="10"/>
        <v/>
      </c>
      <c r="Q1347" s="26" t="str">
        <f t="shared" si="11"/>
        <v/>
      </c>
      <c r="R1347" s="26" t="str">
        <f t="shared" si="12"/>
        <v/>
      </c>
      <c r="S1347" s="26" t="str">
        <f t="shared" si="13"/>
        <v/>
      </c>
      <c r="T1347" s="26" t="str">
        <f t="shared" si="14"/>
        <v/>
      </c>
      <c r="U1347" s="26" t="str">
        <f t="shared" si="15"/>
        <v/>
      </c>
      <c r="V1347" s="26" t="str">
        <f t="shared" si="16"/>
        <v/>
      </c>
      <c r="W1347" s="26" t="str">
        <f t="shared" si="17"/>
        <v/>
      </c>
      <c r="X1347" s="26" t="str">
        <f t="shared" si="18"/>
        <v/>
      </c>
      <c r="Y1347" s="26" t="str">
        <f t="shared" si="19"/>
        <v/>
      </c>
      <c r="Z1347" s="31" t="str">
        <f t="shared" si="20"/>
        <v/>
      </c>
      <c r="AA1347" s="31" t="str">
        <f>IF(D1347="","",IF(H1347&lt;=$B$16,1,IF(H1347&gt;=$B$17,$B$21,MATCH(H1347,Aux_CAV!$A$2:$A$121,1))))</f>
        <v/>
      </c>
      <c r="AB1347" s="31" t="str">
        <f>IF(D1347="","",IF(L1347&lt;=$B$16,1,IF(L1347&gt;=$B$17,$B$21,MATCH(L1347,Aux_CAV!$A$2:$A$121,1))))</f>
        <v/>
      </c>
      <c r="AC1347" s="3" t="str">
        <f t="shared" si="21"/>
        <v/>
      </c>
    </row>
    <row r="1348" ht="12.75" customHeight="1">
      <c r="A1348" s="25" t="str">
        <f t="shared" si="1"/>
        <v/>
      </c>
      <c r="B1348" s="29" t="str">
        <f t="array" ref="B1348">IF(D1348="","",IFERROR(VALUE(INDEX(Vazoes_COLAR!$A$2:$A$200,INT((ROW()-24)/12)+1)),""))</f>
        <v/>
      </c>
      <c r="C1348" s="29" t="str">
        <f t="shared" si="2"/>
        <v/>
      </c>
      <c r="D1348" s="26" t="str">
        <f t="array" ref="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8" s="26" t="str">
        <f t="shared" si="3"/>
        <v/>
      </c>
      <c r="F1348" s="26" t="str">
        <f t="array" ref="F1348">IF(D1348="","",IFERROR(INDEX(Dados_Evap!$C$2:$N$15,MATCH($B$9,Dados_Evap!$A$2:$A$15,0),C1348),0))</f>
        <v/>
      </c>
      <c r="G1348" s="26" t="str">
        <f t="shared" si="4"/>
        <v/>
      </c>
      <c r="H1348" s="26" t="str">
        <f t="shared" si="22"/>
        <v/>
      </c>
      <c r="I1348" s="26" t="str">
        <f t="array" ref="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/>
      </c>
      <c r="J1348" s="26" t="str">
        <f t="shared" si="5"/>
        <v/>
      </c>
      <c r="K1348" s="26" t="str">
        <f t="shared" si="6"/>
        <v/>
      </c>
      <c r="L1348" s="26" t="str">
        <f t="shared" si="7"/>
        <v/>
      </c>
      <c r="M1348" s="26" t="str">
        <f t="array" ref="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/>
      </c>
      <c r="N1348" s="26" t="str">
        <f t="shared" si="8"/>
        <v/>
      </c>
      <c r="O1348" s="26" t="str">
        <f t="shared" si="9"/>
        <v/>
      </c>
      <c r="P1348" s="26" t="str">
        <f t="shared" si="10"/>
        <v/>
      </c>
      <c r="Q1348" s="26" t="str">
        <f t="shared" si="11"/>
        <v/>
      </c>
      <c r="R1348" s="26" t="str">
        <f t="shared" si="12"/>
        <v/>
      </c>
      <c r="S1348" s="26" t="str">
        <f t="shared" si="13"/>
        <v/>
      </c>
      <c r="T1348" s="26" t="str">
        <f t="shared" si="14"/>
        <v/>
      </c>
      <c r="U1348" s="26" t="str">
        <f t="shared" si="15"/>
        <v/>
      </c>
      <c r="V1348" s="26" t="str">
        <f t="shared" si="16"/>
        <v/>
      </c>
      <c r="W1348" s="26" t="str">
        <f t="shared" si="17"/>
        <v/>
      </c>
      <c r="X1348" s="26" t="str">
        <f t="shared" si="18"/>
        <v/>
      </c>
      <c r="Y1348" s="26" t="str">
        <f t="shared" si="19"/>
        <v/>
      </c>
      <c r="Z1348" s="31" t="str">
        <f t="shared" si="20"/>
        <v/>
      </c>
      <c r="AA1348" s="31" t="str">
        <f>IF(D1348="","",IF(H1348&lt;=$B$16,1,IF(H1348&gt;=$B$17,$B$21,MATCH(H1348,Aux_CAV!$A$2:$A$121,1))))</f>
        <v/>
      </c>
      <c r="AB1348" s="31" t="str">
        <f>IF(D1348="","",IF(L1348&lt;=$B$16,1,IF(L1348&gt;=$B$17,$B$21,MATCH(L1348,Aux_CAV!$A$2:$A$121,1))))</f>
        <v/>
      </c>
      <c r="AC1348" s="3" t="str">
        <f t="shared" si="21"/>
        <v/>
      </c>
    </row>
    <row r="1349" ht="12.75" customHeight="1">
      <c r="A1349" s="25" t="str">
        <f t="shared" si="1"/>
        <v/>
      </c>
      <c r="B1349" s="29" t="str">
        <f t="array" ref="B1349">IF(D1349="","",IFERROR(VALUE(INDEX(Vazoes_COLAR!$A$2:$A$200,INT((ROW()-24)/12)+1)),""))</f>
        <v/>
      </c>
      <c r="C1349" s="29" t="str">
        <f t="shared" si="2"/>
        <v/>
      </c>
      <c r="D1349" s="26" t="str">
        <f t="array" ref="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9" s="26" t="str">
        <f t="shared" si="3"/>
        <v/>
      </c>
      <c r="F1349" s="26" t="str">
        <f t="array" ref="F1349">IF(D1349="","",IFERROR(INDEX(Dados_Evap!$C$2:$N$15,MATCH($B$9,Dados_Evap!$A$2:$A$15,0),C1349),0))</f>
        <v/>
      </c>
      <c r="G1349" s="26" t="str">
        <f t="shared" si="4"/>
        <v/>
      </c>
      <c r="H1349" s="26" t="str">
        <f t="shared" si="22"/>
        <v/>
      </c>
      <c r="I1349" s="26" t="str">
        <f t="array" ref="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/>
      </c>
      <c r="J1349" s="26" t="str">
        <f t="shared" si="5"/>
        <v/>
      </c>
      <c r="K1349" s="26" t="str">
        <f t="shared" si="6"/>
        <v/>
      </c>
      <c r="L1349" s="26" t="str">
        <f t="shared" si="7"/>
        <v/>
      </c>
      <c r="M1349" s="26" t="str">
        <f t="array" ref="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/>
      </c>
      <c r="N1349" s="26" t="str">
        <f t="shared" si="8"/>
        <v/>
      </c>
      <c r="O1349" s="26" t="str">
        <f t="shared" si="9"/>
        <v/>
      </c>
      <c r="P1349" s="26" t="str">
        <f t="shared" si="10"/>
        <v/>
      </c>
      <c r="Q1349" s="26" t="str">
        <f t="shared" si="11"/>
        <v/>
      </c>
      <c r="R1349" s="26" t="str">
        <f t="shared" si="12"/>
        <v/>
      </c>
      <c r="S1349" s="26" t="str">
        <f t="shared" si="13"/>
        <v/>
      </c>
      <c r="T1349" s="26" t="str">
        <f t="shared" si="14"/>
        <v/>
      </c>
      <c r="U1349" s="26" t="str">
        <f t="shared" si="15"/>
        <v/>
      </c>
      <c r="V1349" s="26" t="str">
        <f t="shared" si="16"/>
        <v/>
      </c>
      <c r="W1349" s="26" t="str">
        <f t="shared" si="17"/>
        <v/>
      </c>
      <c r="X1349" s="26" t="str">
        <f t="shared" si="18"/>
        <v/>
      </c>
      <c r="Y1349" s="26" t="str">
        <f t="shared" si="19"/>
        <v/>
      </c>
      <c r="Z1349" s="31" t="str">
        <f t="shared" si="20"/>
        <v/>
      </c>
      <c r="AA1349" s="31" t="str">
        <f>IF(D1349="","",IF(H1349&lt;=$B$16,1,IF(H1349&gt;=$B$17,$B$21,MATCH(H1349,Aux_CAV!$A$2:$A$121,1))))</f>
        <v/>
      </c>
      <c r="AB1349" s="31" t="str">
        <f>IF(D1349="","",IF(L1349&lt;=$B$16,1,IF(L1349&gt;=$B$17,$B$21,MATCH(L1349,Aux_CAV!$A$2:$A$121,1))))</f>
        <v/>
      </c>
      <c r="AC1349" s="3" t="str">
        <f t="shared" si="21"/>
        <v/>
      </c>
    </row>
    <row r="1350" ht="12.75" customHeight="1">
      <c r="A1350" s="25" t="str">
        <f t="shared" si="1"/>
        <v/>
      </c>
      <c r="B1350" s="29" t="str">
        <f t="array" ref="B1350">IF(D1350="","",IFERROR(VALUE(INDEX(Vazoes_COLAR!$A$2:$A$200,INT((ROW()-24)/12)+1)),""))</f>
        <v/>
      </c>
      <c r="C1350" s="29" t="str">
        <f t="shared" si="2"/>
        <v/>
      </c>
      <c r="D1350" s="26" t="str">
        <f t="array" ref="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0" s="26" t="str">
        <f t="shared" si="3"/>
        <v/>
      </c>
      <c r="F1350" s="26" t="str">
        <f t="array" ref="F1350">IF(D1350="","",IFERROR(INDEX(Dados_Evap!$C$2:$N$15,MATCH($B$9,Dados_Evap!$A$2:$A$15,0),C1350),0))</f>
        <v/>
      </c>
      <c r="G1350" s="26" t="str">
        <f t="shared" si="4"/>
        <v/>
      </c>
      <c r="H1350" s="26" t="str">
        <f t="shared" si="22"/>
        <v/>
      </c>
      <c r="I1350" s="26" t="str">
        <f t="array" ref="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/>
      </c>
      <c r="J1350" s="26" t="str">
        <f t="shared" si="5"/>
        <v/>
      </c>
      <c r="K1350" s="26" t="str">
        <f t="shared" si="6"/>
        <v/>
      </c>
      <c r="L1350" s="26" t="str">
        <f t="shared" si="7"/>
        <v/>
      </c>
      <c r="M1350" s="26" t="str">
        <f t="array" ref="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/>
      </c>
      <c r="N1350" s="26" t="str">
        <f t="shared" si="8"/>
        <v/>
      </c>
      <c r="O1350" s="26" t="str">
        <f t="shared" si="9"/>
        <v/>
      </c>
      <c r="P1350" s="26" t="str">
        <f t="shared" si="10"/>
        <v/>
      </c>
      <c r="Q1350" s="26" t="str">
        <f t="shared" si="11"/>
        <v/>
      </c>
      <c r="R1350" s="26" t="str">
        <f t="shared" si="12"/>
        <v/>
      </c>
      <c r="S1350" s="26" t="str">
        <f t="shared" si="13"/>
        <v/>
      </c>
      <c r="T1350" s="26" t="str">
        <f t="shared" si="14"/>
        <v/>
      </c>
      <c r="U1350" s="26" t="str">
        <f t="shared" si="15"/>
        <v/>
      </c>
      <c r="V1350" s="26" t="str">
        <f t="shared" si="16"/>
        <v/>
      </c>
      <c r="W1350" s="26" t="str">
        <f t="shared" si="17"/>
        <v/>
      </c>
      <c r="X1350" s="26" t="str">
        <f t="shared" si="18"/>
        <v/>
      </c>
      <c r="Y1350" s="26" t="str">
        <f t="shared" si="19"/>
        <v/>
      </c>
      <c r="Z1350" s="31" t="str">
        <f t="shared" si="20"/>
        <v/>
      </c>
      <c r="AA1350" s="31" t="str">
        <f>IF(D1350="","",IF(H1350&lt;=$B$16,1,IF(H1350&gt;=$B$17,$B$21,MATCH(H1350,Aux_CAV!$A$2:$A$121,1))))</f>
        <v/>
      </c>
      <c r="AB1350" s="31" t="str">
        <f>IF(D1350="","",IF(L1350&lt;=$B$16,1,IF(L1350&gt;=$B$17,$B$21,MATCH(L1350,Aux_CAV!$A$2:$A$121,1))))</f>
        <v/>
      </c>
      <c r="AC1350" s="3" t="str">
        <f t="shared" si="21"/>
        <v/>
      </c>
    </row>
    <row r="1351" ht="12.75" customHeight="1">
      <c r="A1351" s="25" t="str">
        <f t="shared" si="1"/>
        <v/>
      </c>
      <c r="B1351" s="29" t="str">
        <f t="array" ref="B1351">IF(D1351="","",IFERROR(VALUE(INDEX(Vazoes_COLAR!$A$2:$A$200,INT((ROW()-24)/12)+1)),""))</f>
        <v/>
      </c>
      <c r="C1351" s="29" t="str">
        <f t="shared" si="2"/>
        <v/>
      </c>
      <c r="D1351" s="26" t="str">
        <f t="array" ref="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1" s="26" t="str">
        <f t="shared" si="3"/>
        <v/>
      </c>
      <c r="F1351" s="26" t="str">
        <f t="array" ref="F1351">IF(D1351="","",IFERROR(INDEX(Dados_Evap!$C$2:$N$15,MATCH($B$9,Dados_Evap!$A$2:$A$15,0),C1351),0))</f>
        <v/>
      </c>
      <c r="G1351" s="26" t="str">
        <f t="shared" si="4"/>
        <v/>
      </c>
      <c r="H1351" s="26" t="str">
        <f t="shared" si="22"/>
        <v/>
      </c>
      <c r="I1351" s="26" t="str">
        <f t="array" ref="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/>
      </c>
      <c r="J1351" s="26" t="str">
        <f t="shared" si="5"/>
        <v/>
      </c>
      <c r="K1351" s="26" t="str">
        <f t="shared" si="6"/>
        <v/>
      </c>
      <c r="L1351" s="26" t="str">
        <f t="shared" si="7"/>
        <v/>
      </c>
      <c r="M1351" s="26" t="str">
        <f t="array" ref="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/>
      </c>
      <c r="N1351" s="26" t="str">
        <f t="shared" si="8"/>
        <v/>
      </c>
      <c r="O1351" s="26" t="str">
        <f t="shared" si="9"/>
        <v/>
      </c>
      <c r="P1351" s="26" t="str">
        <f t="shared" si="10"/>
        <v/>
      </c>
      <c r="Q1351" s="26" t="str">
        <f t="shared" si="11"/>
        <v/>
      </c>
      <c r="R1351" s="26" t="str">
        <f t="shared" si="12"/>
        <v/>
      </c>
      <c r="S1351" s="26" t="str">
        <f t="shared" si="13"/>
        <v/>
      </c>
      <c r="T1351" s="26" t="str">
        <f t="shared" si="14"/>
        <v/>
      </c>
      <c r="U1351" s="26" t="str">
        <f t="shared" si="15"/>
        <v/>
      </c>
      <c r="V1351" s="26" t="str">
        <f t="shared" si="16"/>
        <v/>
      </c>
      <c r="W1351" s="26" t="str">
        <f t="shared" si="17"/>
        <v/>
      </c>
      <c r="X1351" s="26" t="str">
        <f t="shared" si="18"/>
        <v/>
      </c>
      <c r="Y1351" s="26" t="str">
        <f t="shared" si="19"/>
        <v/>
      </c>
      <c r="Z1351" s="31" t="str">
        <f t="shared" si="20"/>
        <v/>
      </c>
      <c r="AA1351" s="31" t="str">
        <f>IF(D1351="","",IF(H1351&lt;=$B$16,1,IF(H1351&gt;=$B$17,$B$21,MATCH(H1351,Aux_CAV!$A$2:$A$121,1))))</f>
        <v/>
      </c>
      <c r="AB1351" s="31" t="str">
        <f>IF(D1351="","",IF(L1351&lt;=$B$16,1,IF(L1351&gt;=$B$17,$B$21,MATCH(L1351,Aux_CAV!$A$2:$A$121,1))))</f>
        <v/>
      </c>
      <c r="AC1351" s="3" t="str">
        <f t="shared" si="21"/>
        <v/>
      </c>
    </row>
    <row r="1352" ht="12.75" customHeight="1">
      <c r="A1352" s="25" t="str">
        <f t="shared" si="1"/>
        <v/>
      </c>
      <c r="B1352" s="29" t="str">
        <f t="array" ref="B1352">IF(D1352="","",IFERROR(VALUE(INDEX(Vazoes_COLAR!$A$2:$A$200,INT((ROW()-24)/12)+1)),""))</f>
        <v/>
      </c>
      <c r="C1352" s="29" t="str">
        <f t="shared" si="2"/>
        <v/>
      </c>
      <c r="D1352" s="26" t="str">
        <f t="array" ref="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2" s="26" t="str">
        <f t="shared" si="3"/>
        <v/>
      </c>
      <c r="F1352" s="26" t="str">
        <f t="array" ref="F1352">IF(D1352="","",IFERROR(INDEX(Dados_Evap!$C$2:$N$15,MATCH($B$9,Dados_Evap!$A$2:$A$15,0),C1352),0))</f>
        <v/>
      </c>
      <c r="G1352" s="26" t="str">
        <f t="shared" si="4"/>
        <v/>
      </c>
      <c r="H1352" s="26" t="str">
        <f t="shared" si="22"/>
        <v/>
      </c>
      <c r="I1352" s="26" t="str">
        <f t="array" ref="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/>
      </c>
      <c r="J1352" s="26" t="str">
        <f t="shared" si="5"/>
        <v/>
      </c>
      <c r="K1352" s="26" t="str">
        <f t="shared" si="6"/>
        <v/>
      </c>
      <c r="L1352" s="26" t="str">
        <f t="shared" si="7"/>
        <v/>
      </c>
      <c r="M1352" s="26" t="str">
        <f t="array" ref="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/>
      </c>
      <c r="N1352" s="26" t="str">
        <f t="shared" si="8"/>
        <v/>
      </c>
      <c r="O1352" s="26" t="str">
        <f t="shared" si="9"/>
        <v/>
      </c>
      <c r="P1352" s="26" t="str">
        <f t="shared" si="10"/>
        <v/>
      </c>
      <c r="Q1352" s="26" t="str">
        <f t="shared" si="11"/>
        <v/>
      </c>
      <c r="R1352" s="26" t="str">
        <f t="shared" si="12"/>
        <v/>
      </c>
      <c r="S1352" s="26" t="str">
        <f t="shared" si="13"/>
        <v/>
      </c>
      <c r="T1352" s="26" t="str">
        <f t="shared" si="14"/>
        <v/>
      </c>
      <c r="U1352" s="26" t="str">
        <f t="shared" si="15"/>
        <v/>
      </c>
      <c r="V1352" s="26" t="str">
        <f t="shared" si="16"/>
        <v/>
      </c>
      <c r="W1352" s="26" t="str">
        <f t="shared" si="17"/>
        <v/>
      </c>
      <c r="X1352" s="26" t="str">
        <f t="shared" si="18"/>
        <v/>
      </c>
      <c r="Y1352" s="26" t="str">
        <f t="shared" si="19"/>
        <v/>
      </c>
      <c r="Z1352" s="31" t="str">
        <f t="shared" si="20"/>
        <v/>
      </c>
      <c r="AA1352" s="31" t="str">
        <f>IF(D1352="","",IF(H1352&lt;=$B$16,1,IF(H1352&gt;=$B$17,$B$21,MATCH(H1352,Aux_CAV!$A$2:$A$121,1))))</f>
        <v/>
      </c>
      <c r="AB1352" s="31" t="str">
        <f>IF(D1352="","",IF(L1352&lt;=$B$16,1,IF(L1352&gt;=$B$17,$B$21,MATCH(L1352,Aux_CAV!$A$2:$A$121,1))))</f>
        <v/>
      </c>
      <c r="AC1352" s="3" t="str">
        <f t="shared" si="21"/>
        <v/>
      </c>
    </row>
    <row r="1353" ht="12.75" customHeight="1">
      <c r="A1353" s="25" t="str">
        <f t="shared" si="1"/>
        <v/>
      </c>
      <c r="B1353" s="29" t="str">
        <f t="array" ref="B1353">IF(D1353="","",IFERROR(VALUE(INDEX(Vazoes_COLAR!$A$2:$A$200,INT((ROW()-24)/12)+1)),""))</f>
        <v/>
      </c>
      <c r="C1353" s="29" t="str">
        <f t="shared" si="2"/>
        <v/>
      </c>
      <c r="D1353" s="26" t="str">
        <f t="array" ref="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3" s="26" t="str">
        <f t="shared" si="3"/>
        <v/>
      </c>
      <c r="F1353" s="26" t="str">
        <f t="array" ref="F1353">IF(D1353="","",IFERROR(INDEX(Dados_Evap!$C$2:$N$15,MATCH($B$9,Dados_Evap!$A$2:$A$15,0),C1353),0))</f>
        <v/>
      </c>
      <c r="G1353" s="26" t="str">
        <f t="shared" si="4"/>
        <v/>
      </c>
      <c r="H1353" s="26" t="str">
        <f t="shared" si="22"/>
        <v/>
      </c>
      <c r="I1353" s="26" t="str">
        <f t="array" ref="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/>
      </c>
      <c r="J1353" s="26" t="str">
        <f t="shared" si="5"/>
        <v/>
      </c>
      <c r="K1353" s="26" t="str">
        <f t="shared" si="6"/>
        <v/>
      </c>
      <c r="L1353" s="26" t="str">
        <f t="shared" si="7"/>
        <v/>
      </c>
      <c r="M1353" s="26" t="str">
        <f t="array" ref="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/>
      </c>
      <c r="N1353" s="26" t="str">
        <f t="shared" si="8"/>
        <v/>
      </c>
      <c r="O1353" s="26" t="str">
        <f t="shared" si="9"/>
        <v/>
      </c>
      <c r="P1353" s="26" t="str">
        <f t="shared" si="10"/>
        <v/>
      </c>
      <c r="Q1353" s="26" t="str">
        <f t="shared" si="11"/>
        <v/>
      </c>
      <c r="R1353" s="26" t="str">
        <f t="shared" si="12"/>
        <v/>
      </c>
      <c r="S1353" s="26" t="str">
        <f t="shared" si="13"/>
        <v/>
      </c>
      <c r="T1353" s="26" t="str">
        <f t="shared" si="14"/>
        <v/>
      </c>
      <c r="U1353" s="26" t="str">
        <f t="shared" si="15"/>
        <v/>
      </c>
      <c r="V1353" s="26" t="str">
        <f t="shared" si="16"/>
        <v/>
      </c>
      <c r="W1353" s="26" t="str">
        <f t="shared" si="17"/>
        <v/>
      </c>
      <c r="X1353" s="26" t="str">
        <f t="shared" si="18"/>
        <v/>
      </c>
      <c r="Y1353" s="26" t="str">
        <f t="shared" si="19"/>
        <v/>
      </c>
      <c r="Z1353" s="31" t="str">
        <f t="shared" si="20"/>
        <v/>
      </c>
      <c r="AA1353" s="31" t="str">
        <f>IF(D1353="","",IF(H1353&lt;=$B$16,1,IF(H1353&gt;=$B$17,$B$21,MATCH(H1353,Aux_CAV!$A$2:$A$121,1))))</f>
        <v/>
      </c>
      <c r="AB1353" s="31" t="str">
        <f>IF(D1353="","",IF(L1353&lt;=$B$16,1,IF(L1353&gt;=$B$17,$B$21,MATCH(L1353,Aux_CAV!$A$2:$A$121,1))))</f>
        <v/>
      </c>
      <c r="AC1353" s="3" t="str">
        <f t="shared" si="21"/>
        <v/>
      </c>
    </row>
    <row r="1354" ht="12.75" customHeight="1">
      <c r="A1354" s="25" t="str">
        <f t="shared" si="1"/>
        <v/>
      </c>
      <c r="B1354" s="29" t="str">
        <f t="array" ref="B1354">IF(D1354="","",IFERROR(VALUE(INDEX(Vazoes_COLAR!$A$2:$A$200,INT((ROW()-24)/12)+1)),""))</f>
        <v/>
      </c>
      <c r="C1354" s="29" t="str">
        <f t="shared" si="2"/>
        <v/>
      </c>
      <c r="D1354" s="26" t="str">
        <f t="array" ref="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4" s="26" t="str">
        <f t="shared" si="3"/>
        <v/>
      </c>
      <c r="F1354" s="26" t="str">
        <f t="array" ref="F1354">IF(D1354="","",IFERROR(INDEX(Dados_Evap!$C$2:$N$15,MATCH($B$9,Dados_Evap!$A$2:$A$15,0),C1354),0))</f>
        <v/>
      </c>
      <c r="G1354" s="26" t="str">
        <f t="shared" si="4"/>
        <v/>
      </c>
      <c r="H1354" s="26" t="str">
        <f t="shared" si="22"/>
        <v/>
      </c>
      <c r="I1354" s="26" t="str">
        <f t="array" ref="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/>
      </c>
      <c r="J1354" s="26" t="str">
        <f t="shared" si="5"/>
        <v/>
      </c>
      <c r="K1354" s="26" t="str">
        <f t="shared" si="6"/>
        <v/>
      </c>
      <c r="L1354" s="26" t="str">
        <f t="shared" si="7"/>
        <v/>
      </c>
      <c r="M1354" s="26" t="str">
        <f t="array" ref="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/>
      </c>
      <c r="N1354" s="26" t="str">
        <f t="shared" si="8"/>
        <v/>
      </c>
      <c r="O1354" s="26" t="str">
        <f t="shared" si="9"/>
        <v/>
      </c>
      <c r="P1354" s="26" t="str">
        <f t="shared" si="10"/>
        <v/>
      </c>
      <c r="Q1354" s="26" t="str">
        <f t="shared" si="11"/>
        <v/>
      </c>
      <c r="R1354" s="26" t="str">
        <f t="shared" si="12"/>
        <v/>
      </c>
      <c r="S1354" s="26" t="str">
        <f t="shared" si="13"/>
        <v/>
      </c>
      <c r="T1354" s="26" t="str">
        <f t="shared" si="14"/>
        <v/>
      </c>
      <c r="U1354" s="26" t="str">
        <f t="shared" si="15"/>
        <v/>
      </c>
      <c r="V1354" s="26" t="str">
        <f t="shared" si="16"/>
        <v/>
      </c>
      <c r="W1354" s="26" t="str">
        <f t="shared" si="17"/>
        <v/>
      </c>
      <c r="X1354" s="26" t="str">
        <f t="shared" si="18"/>
        <v/>
      </c>
      <c r="Y1354" s="26" t="str">
        <f t="shared" si="19"/>
        <v/>
      </c>
      <c r="Z1354" s="31" t="str">
        <f t="shared" si="20"/>
        <v/>
      </c>
      <c r="AA1354" s="31" t="str">
        <f>IF(D1354="","",IF(H1354&lt;=$B$16,1,IF(H1354&gt;=$B$17,$B$21,MATCH(H1354,Aux_CAV!$A$2:$A$121,1))))</f>
        <v/>
      </c>
      <c r="AB1354" s="31" t="str">
        <f>IF(D1354="","",IF(L1354&lt;=$B$16,1,IF(L1354&gt;=$B$17,$B$21,MATCH(L1354,Aux_CAV!$A$2:$A$121,1))))</f>
        <v/>
      </c>
      <c r="AC1354" s="3" t="str">
        <f t="shared" si="21"/>
        <v/>
      </c>
    </row>
    <row r="1355" ht="12.75" customHeight="1">
      <c r="A1355" s="25" t="str">
        <f t="shared" si="1"/>
        <v/>
      </c>
      <c r="B1355" s="29" t="str">
        <f t="array" ref="B1355">IF(D1355="","",IFERROR(VALUE(INDEX(Vazoes_COLAR!$A$2:$A$200,INT((ROW()-24)/12)+1)),""))</f>
        <v/>
      </c>
      <c r="C1355" s="29" t="str">
        <f t="shared" si="2"/>
        <v/>
      </c>
      <c r="D1355" s="26" t="str">
        <f t="array" ref="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5" s="26" t="str">
        <f t="shared" si="3"/>
        <v/>
      </c>
      <c r="F1355" s="26" t="str">
        <f t="array" ref="F1355">IF(D1355="","",IFERROR(INDEX(Dados_Evap!$C$2:$N$15,MATCH($B$9,Dados_Evap!$A$2:$A$15,0),C1355),0))</f>
        <v/>
      </c>
      <c r="G1355" s="26" t="str">
        <f t="shared" si="4"/>
        <v/>
      </c>
      <c r="H1355" s="26" t="str">
        <f t="shared" si="22"/>
        <v/>
      </c>
      <c r="I1355" s="26" t="str">
        <f t="array" ref="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/>
      </c>
      <c r="J1355" s="26" t="str">
        <f t="shared" si="5"/>
        <v/>
      </c>
      <c r="K1355" s="26" t="str">
        <f t="shared" si="6"/>
        <v/>
      </c>
      <c r="L1355" s="26" t="str">
        <f t="shared" si="7"/>
        <v/>
      </c>
      <c r="M1355" s="26" t="str">
        <f t="array" ref="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/>
      </c>
      <c r="N1355" s="26" t="str">
        <f t="shared" si="8"/>
        <v/>
      </c>
      <c r="O1355" s="26" t="str">
        <f t="shared" si="9"/>
        <v/>
      </c>
      <c r="P1355" s="26" t="str">
        <f t="shared" si="10"/>
        <v/>
      </c>
      <c r="Q1355" s="26" t="str">
        <f t="shared" si="11"/>
        <v/>
      </c>
      <c r="R1355" s="26" t="str">
        <f t="shared" si="12"/>
        <v/>
      </c>
      <c r="S1355" s="26" t="str">
        <f t="shared" si="13"/>
        <v/>
      </c>
      <c r="T1355" s="26" t="str">
        <f t="shared" si="14"/>
        <v/>
      </c>
      <c r="U1355" s="26" t="str">
        <f t="shared" si="15"/>
        <v/>
      </c>
      <c r="V1355" s="26" t="str">
        <f t="shared" si="16"/>
        <v/>
      </c>
      <c r="W1355" s="26" t="str">
        <f t="shared" si="17"/>
        <v/>
      </c>
      <c r="X1355" s="26" t="str">
        <f t="shared" si="18"/>
        <v/>
      </c>
      <c r="Y1355" s="26" t="str">
        <f t="shared" si="19"/>
        <v/>
      </c>
      <c r="Z1355" s="31" t="str">
        <f t="shared" si="20"/>
        <v/>
      </c>
      <c r="AA1355" s="31" t="str">
        <f>IF(D1355="","",IF(H1355&lt;=$B$16,1,IF(H1355&gt;=$B$17,$B$21,MATCH(H1355,Aux_CAV!$A$2:$A$121,1))))</f>
        <v/>
      </c>
      <c r="AB1355" s="31" t="str">
        <f>IF(D1355="","",IF(L1355&lt;=$B$16,1,IF(L1355&gt;=$B$17,$B$21,MATCH(L1355,Aux_CAV!$A$2:$A$121,1))))</f>
        <v/>
      </c>
      <c r="AC1355" s="3" t="str">
        <f t="shared" si="21"/>
        <v/>
      </c>
    </row>
    <row r="1356" ht="12.75" customHeight="1">
      <c r="A1356" s="25" t="str">
        <f t="shared" si="1"/>
        <v/>
      </c>
      <c r="B1356" s="29" t="str">
        <f t="array" ref="B1356">IF(D1356="","",IFERROR(VALUE(INDEX(Vazoes_COLAR!$A$2:$A$200,INT((ROW()-24)/12)+1)),""))</f>
        <v/>
      </c>
      <c r="C1356" s="29" t="str">
        <f t="shared" si="2"/>
        <v/>
      </c>
      <c r="D1356" s="26" t="str">
        <f t="array" ref="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6" s="26" t="str">
        <f t="shared" si="3"/>
        <v/>
      </c>
      <c r="F1356" s="26" t="str">
        <f t="array" ref="F1356">IF(D1356="","",IFERROR(INDEX(Dados_Evap!$C$2:$N$15,MATCH($B$9,Dados_Evap!$A$2:$A$15,0),C1356),0))</f>
        <v/>
      </c>
      <c r="G1356" s="26" t="str">
        <f t="shared" si="4"/>
        <v/>
      </c>
      <c r="H1356" s="26" t="str">
        <f t="shared" si="22"/>
        <v/>
      </c>
      <c r="I1356" s="26" t="str">
        <f t="array" ref="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/>
      </c>
      <c r="J1356" s="26" t="str">
        <f t="shared" si="5"/>
        <v/>
      </c>
      <c r="K1356" s="26" t="str">
        <f t="shared" si="6"/>
        <v/>
      </c>
      <c r="L1356" s="26" t="str">
        <f t="shared" si="7"/>
        <v/>
      </c>
      <c r="M1356" s="26" t="str">
        <f t="array" ref="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/>
      </c>
      <c r="N1356" s="26" t="str">
        <f t="shared" si="8"/>
        <v/>
      </c>
      <c r="O1356" s="26" t="str">
        <f t="shared" si="9"/>
        <v/>
      </c>
      <c r="P1356" s="26" t="str">
        <f t="shared" si="10"/>
        <v/>
      </c>
      <c r="Q1356" s="26" t="str">
        <f t="shared" si="11"/>
        <v/>
      </c>
      <c r="R1356" s="26" t="str">
        <f t="shared" si="12"/>
        <v/>
      </c>
      <c r="S1356" s="26" t="str">
        <f t="shared" si="13"/>
        <v/>
      </c>
      <c r="T1356" s="26" t="str">
        <f t="shared" si="14"/>
        <v/>
      </c>
      <c r="U1356" s="26" t="str">
        <f t="shared" si="15"/>
        <v/>
      </c>
      <c r="V1356" s="26" t="str">
        <f t="shared" si="16"/>
        <v/>
      </c>
      <c r="W1356" s="26" t="str">
        <f t="shared" si="17"/>
        <v/>
      </c>
      <c r="X1356" s="26" t="str">
        <f t="shared" si="18"/>
        <v/>
      </c>
      <c r="Y1356" s="26" t="str">
        <f t="shared" si="19"/>
        <v/>
      </c>
      <c r="Z1356" s="31" t="str">
        <f t="shared" si="20"/>
        <v/>
      </c>
      <c r="AA1356" s="31" t="str">
        <f>IF(D1356="","",IF(H1356&lt;=$B$16,1,IF(H1356&gt;=$B$17,$B$21,MATCH(H1356,Aux_CAV!$A$2:$A$121,1))))</f>
        <v/>
      </c>
      <c r="AB1356" s="31" t="str">
        <f>IF(D1356="","",IF(L1356&lt;=$B$16,1,IF(L1356&gt;=$B$17,$B$21,MATCH(L1356,Aux_CAV!$A$2:$A$121,1))))</f>
        <v/>
      </c>
      <c r="AC1356" s="3" t="str">
        <f t="shared" si="21"/>
        <v/>
      </c>
    </row>
    <row r="1357" ht="12.75" customHeight="1">
      <c r="A1357" s="25" t="str">
        <f t="shared" si="1"/>
        <v/>
      </c>
      <c r="B1357" s="29" t="str">
        <f t="array" ref="B1357">IF(D1357="","",IFERROR(VALUE(INDEX(Vazoes_COLAR!$A$2:$A$200,INT((ROW()-24)/12)+1)),""))</f>
        <v/>
      </c>
      <c r="C1357" s="29" t="str">
        <f t="shared" si="2"/>
        <v/>
      </c>
      <c r="D1357" s="26" t="str">
        <f t="array" ref="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7" s="26" t="str">
        <f t="shared" si="3"/>
        <v/>
      </c>
      <c r="F1357" s="26" t="str">
        <f t="array" ref="F1357">IF(D1357="","",IFERROR(INDEX(Dados_Evap!$C$2:$N$15,MATCH($B$9,Dados_Evap!$A$2:$A$15,0),C1357),0))</f>
        <v/>
      </c>
      <c r="G1357" s="26" t="str">
        <f t="shared" si="4"/>
        <v/>
      </c>
      <c r="H1357" s="26" t="str">
        <f t="shared" si="22"/>
        <v/>
      </c>
      <c r="I1357" s="26" t="str">
        <f t="array" ref="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/>
      </c>
      <c r="J1357" s="26" t="str">
        <f t="shared" si="5"/>
        <v/>
      </c>
      <c r="K1357" s="26" t="str">
        <f t="shared" si="6"/>
        <v/>
      </c>
      <c r="L1357" s="26" t="str">
        <f t="shared" si="7"/>
        <v/>
      </c>
      <c r="M1357" s="26" t="str">
        <f t="array" ref="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/>
      </c>
      <c r="N1357" s="26" t="str">
        <f t="shared" si="8"/>
        <v/>
      </c>
      <c r="O1357" s="26" t="str">
        <f t="shared" si="9"/>
        <v/>
      </c>
      <c r="P1357" s="26" t="str">
        <f t="shared" si="10"/>
        <v/>
      </c>
      <c r="Q1357" s="26" t="str">
        <f t="shared" si="11"/>
        <v/>
      </c>
      <c r="R1357" s="26" t="str">
        <f t="shared" si="12"/>
        <v/>
      </c>
      <c r="S1357" s="26" t="str">
        <f t="shared" si="13"/>
        <v/>
      </c>
      <c r="T1357" s="26" t="str">
        <f t="shared" si="14"/>
        <v/>
      </c>
      <c r="U1357" s="26" t="str">
        <f t="shared" si="15"/>
        <v/>
      </c>
      <c r="V1357" s="26" t="str">
        <f t="shared" si="16"/>
        <v/>
      </c>
      <c r="W1357" s="26" t="str">
        <f t="shared" si="17"/>
        <v/>
      </c>
      <c r="X1357" s="26" t="str">
        <f t="shared" si="18"/>
        <v/>
      </c>
      <c r="Y1357" s="26" t="str">
        <f t="shared" si="19"/>
        <v/>
      </c>
      <c r="Z1357" s="31" t="str">
        <f t="shared" si="20"/>
        <v/>
      </c>
      <c r="AA1357" s="31" t="str">
        <f>IF(D1357="","",IF(H1357&lt;=$B$16,1,IF(H1357&gt;=$B$17,$B$21,MATCH(H1357,Aux_CAV!$A$2:$A$121,1))))</f>
        <v/>
      </c>
      <c r="AB1357" s="31" t="str">
        <f>IF(D1357="","",IF(L1357&lt;=$B$16,1,IF(L1357&gt;=$B$17,$B$21,MATCH(L1357,Aux_CAV!$A$2:$A$121,1))))</f>
        <v/>
      </c>
      <c r="AC1357" s="3" t="str">
        <f t="shared" si="21"/>
        <v/>
      </c>
    </row>
    <row r="1358" ht="12.75" customHeight="1">
      <c r="A1358" s="25" t="str">
        <f t="shared" si="1"/>
        <v/>
      </c>
      <c r="B1358" s="29" t="str">
        <f t="array" ref="B1358">IF(D1358="","",IFERROR(VALUE(INDEX(Vazoes_COLAR!$A$2:$A$200,INT((ROW()-24)/12)+1)),""))</f>
        <v/>
      </c>
      <c r="C1358" s="29" t="str">
        <f t="shared" si="2"/>
        <v/>
      </c>
      <c r="D1358" s="26" t="str">
        <f t="array" ref="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8" s="26" t="str">
        <f t="shared" si="3"/>
        <v/>
      </c>
      <c r="F1358" s="26" t="str">
        <f t="array" ref="F1358">IF(D1358="","",IFERROR(INDEX(Dados_Evap!$C$2:$N$15,MATCH($B$9,Dados_Evap!$A$2:$A$15,0),C1358),0))</f>
        <v/>
      </c>
      <c r="G1358" s="26" t="str">
        <f t="shared" si="4"/>
        <v/>
      </c>
      <c r="H1358" s="26" t="str">
        <f t="shared" si="22"/>
        <v/>
      </c>
      <c r="I1358" s="26" t="str">
        <f t="array" ref="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/>
      </c>
      <c r="J1358" s="26" t="str">
        <f t="shared" si="5"/>
        <v/>
      </c>
      <c r="K1358" s="26" t="str">
        <f t="shared" si="6"/>
        <v/>
      </c>
      <c r="L1358" s="26" t="str">
        <f t="shared" si="7"/>
        <v/>
      </c>
      <c r="M1358" s="26" t="str">
        <f t="array" ref="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/>
      </c>
      <c r="N1358" s="26" t="str">
        <f t="shared" si="8"/>
        <v/>
      </c>
      <c r="O1358" s="26" t="str">
        <f t="shared" si="9"/>
        <v/>
      </c>
      <c r="P1358" s="26" t="str">
        <f t="shared" si="10"/>
        <v/>
      </c>
      <c r="Q1358" s="26" t="str">
        <f t="shared" si="11"/>
        <v/>
      </c>
      <c r="R1358" s="26" t="str">
        <f t="shared" si="12"/>
        <v/>
      </c>
      <c r="S1358" s="26" t="str">
        <f t="shared" si="13"/>
        <v/>
      </c>
      <c r="T1358" s="26" t="str">
        <f t="shared" si="14"/>
        <v/>
      </c>
      <c r="U1358" s="26" t="str">
        <f t="shared" si="15"/>
        <v/>
      </c>
      <c r="V1358" s="26" t="str">
        <f t="shared" si="16"/>
        <v/>
      </c>
      <c r="W1358" s="26" t="str">
        <f t="shared" si="17"/>
        <v/>
      </c>
      <c r="X1358" s="26" t="str">
        <f t="shared" si="18"/>
        <v/>
      </c>
      <c r="Y1358" s="26" t="str">
        <f t="shared" si="19"/>
        <v/>
      </c>
      <c r="Z1358" s="31" t="str">
        <f t="shared" si="20"/>
        <v/>
      </c>
      <c r="AA1358" s="31" t="str">
        <f>IF(D1358="","",IF(H1358&lt;=$B$16,1,IF(H1358&gt;=$B$17,$B$21,MATCH(H1358,Aux_CAV!$A$2:$A$121,1))))</f>
        <v/>
      </c>
      <c r="AB1358" s="31" t="str">
        <f>IF(D1358="","",IF(L1358&lt;=$B$16,1,IF(L1358&gt;=$B$17,$B$21,MATCH(L1358,Aux_CAV!$A$2:$A$121,1))))</f>
        <v/>
      </c>
      <c r="AC1358" s="3" t="str">
        <f t="shared" si="21"/>
        <v/>
      </c>
    </row>
    <row r="1359" ht="12.75" customHeight="1">
      <c r="A1359" s="25" t="str">
        <f t="shared" si="1"/>
        <v/>
      </c>
      <c r="B1359" s="29" t="str">
        <f t="array" ref="B1359">IF(D1359="","",IFERROR(VALUE(INDEX(Vazoes_COLAR!$A$2:$A$200,INT((ROW()-24)/12)+1)),""))</f>
        <v/>
      </c>
      <c r="C1359" s="29" t="str">
        <f t="shared" si="2"/>
        <v/>
      </c>
      <c r="D1359" s="26" t="str">
        <f t="array" ref="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9" s="26" t="str">
        <f t="shared" si="3"/>
        <v/>
      </c>
      <c r="F1359" s="26" t="str">
        <f t="array" ref="F1359">IF(D1359="","",IFERROR(INDEX(Dados_Evap!$C$2:$N$15,MATCH($B$9,Dados_Evap!$A$2:$A$15,0),C1359),0))</f>
        <v/>
      </c>
      <c r="G1359" s="26" t="str">
        <f t="shared" si="4"/>
        <v/>
      </c>
      <c r="H1359" s="26" t="str">
        <f t="shared" si="22"/>
        <v/>
      </c>
      <c r="I1359" s="26" t="str">
        <f t="array" ref="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/>
      </c>
      <c r="J1359" s="26" t="str">
        <f t="shared" si="5"/>
        <v/>
      </c>
      <c r="K1359" s="26" t="str">
        <f t="shared" si="6"/>
        <v/>
      </c>
      <c r="L1359" s="26" t="str">
        <f t="shared" si="7"/>
        <v/>
      </c>
      <c r="M1359" s="26" t="str">
        <f t="array" ref="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/>
      </c>
      <c r="N1359" s="26" t="str">
        <f t="shared" si="8"/>
        <v/>
      </c>
      <c r="O1359" s="26" t="str">
        <f t="shared" si="9"/>
        <v/>
      </c>
      <c r="P1359" s="26" t="str">
        <f t="shared" si="10"/>
        <v/>
      </c>
      <c r="Q1359" s="26" t="str">
        <f t="shared" si="11"/>
        <v/>
      </c>
      <c r="R1359" s="26" t="str">
        <f t="shared" si="12"/>
        <v/>
      </c>
      <c r="S1359" s="26" t="str">
        <f t="shared" si="13"/>
        <v/>
      </c>
      <c r="T1359" s="26" t="str">
        <f t="shared" si="14"/>
        <v/>
      </c>
      <c r="U1359" s="26" t="str">
        <f t="shared" si="15"/>
        <v/>
      </c>
      <c r="V1359" s="26" t="str">
        <f t="shared" si="16"/>
        <v/>
      </c>
      <c r="W1359" s="26" t="str">
        <f t="shared" si="17"/>
        <v/>
      </c>
      <c r="X1359" s="26" t="str">
        <f t="shared" si="18"/>
        <v/>
      </c>
      <c r="Y1359" s="26" t="str">
        <f t="shared" si="19"/>
        <v/>
      </c>
      <c r="Z1359" s="31" t="str">
        <f t="shared" si="20"/>
        <v/>
      </c>
      <c r="AA1359" s="31" t="str">
        <f>IF(D1359="","",IF(H1359&lt;=$B$16,1,IF(H1359&gt;=$B$17,$B$21,MATCH(H1359,Aux_CAV!$A$2:$A$121,1))))</f>
        <v/>
      </c>
      <c r="AB1359" s="31" t="str">
        <f>IF(D1359="","",IF(L1359&lt;=$B$16,1,IF(L1359&gt;=$B$17,$B$21,MATCH(L1359,Aux_CAV!$A$2:$A$121,1))))</f>
        <v/>
      </c>
      <c r="AC1359" s="3" t="str">
        <f t="shared" si="21"/>
        <v/>
      </c>
    </row>
    <row r="1360" ht="12.75" customHeight="1">
      <c r="A1360" s="25" t="str">
        <f t="shared" si="1"/>
        <v/>
      </c>
      <c r="B1360" s="29" t="str">
        <f t="array" ref="B1360">IF(D1360="","",IFERROR(VALUE(INDEX(Vazoes_COLAR!$A$2:$A$200,INT((ROW()-24)/12)+1)),""))</f>
        <v/>
      </c>
      <c r="C1360" s="29" t="str">
        <f t="shared" si="2"/>
        <v/>
      </c>
      <c r="D1360" s="26" t="str">
        <f t="array" ref="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0" s="26" t="str">
        <f t="shared" si="3"/>
        <v/>
      </c>
      <c r="F1360" s="26" t="str">
        <f t="array" ref="F1360">IF(D1360="","",IFERROR(INDEX(Dados_Evap!$C$2:$N$15,MATCH($B$9,Dados_Evap!$A$2:$A$15,0),C1360),0))</f>
        <v/>
      </c>
      <c r="G1360" s="26" t="str">
        <f t="shared" si="4"/>
        <v/>
      </c>
      <c r="H1360" s="26" t="str">
        <f t="shared" si="22"/>
        <v/>
      </c>
      <c r="I1360" s="26" t="str">
        <f t="array" ref="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/>
      </c>
      <c r="J1360" s="26" t="str">
        <f t="shared" si="5"/>
        <v/>
      </c>
      <c r="K1360" s="26" t="str">
        <f t="shared" si="6"/>
        <v/>
      </c>
      <c r="L1360" s="26" t="str">
        <f t="shared" si="7"/>
        <v/>
      </c>
      <c r="M1360" s="26" t="str">
        <f t="array" ref="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/>
      </c>
      <c r="N1360" s="26" t="str">
        <f t="shared" si="8"/>
        <v/>
      </c>
      <c r="O1360" s="26" t="str">
        <f t="shared" si="9"/>
        <v/>
      </c>
      <c r="P1360" s="26" t="str">
        <f t="shared" si="10"/>
        <v/>
      </c>
      <c r="Q1360" s="26" t="str">
        <f t="shared" si="11"/>
        <v/>
      </c>
      <c r="R1360" s="26" t="str">
        <f t="shared" si="12"/>
        <v/>
      </c>
      <c r="S1360" s="26" t="str">
        <f t="shared" si="13"/>
        <v/>
      </c>
      <c r="T1360" s="26" t="str">
        <f t="shared" si="14"/>
        <v/>
      </c>
      <c r="U1360" s="26" t="str">
        <f t="shared" si="15"/>
        <v/>
      </c>
      <c r="V1360" s="26" t="str">
        <f t="shared" si="16"/>
        <v/>
      </c>
      <c r="W1360" s="26" t="str">
        <f t="shared" si="17"/>
        <v/>
      </c>
      <c r="X1360" s="26" t="str">
        <f t="shared" si="18"/>
        <v/>
      </c>
      <c r="Y1360" s="26" t="str">
        <f t="shared" si="19"/>
        <v/>
      </c>
      <c r="Z1360" s="31" t="str">
        <f t="shared" si="20"/>
        <v/>
      </c>
      <c r="AA1360" s="31" t="str">
        <f>IF(D1360="","",IF(H1360&lt;=$B$16,1,IF(H1360&gt;=$B$17,$B$21,MATCH(H1360,Aux_CAV!$A$2:$A$121,1))))</f>
        <v/>
      </c>
      <c r="AB1360" s="31" t="str">
        <f>IF(D1360="","",IF(L1360&lt;=$B$16,1,IF(L1360&gt;=$B$17,$B$21,MATCH(L1360,Aux_CAV!$A$2:$A$121,1))))</f>
        <v/>
      </c>
      <c r="AC1360" s="3" t="str">
        <f t="shared" si="21"/>
        <v/>
      </c>
    </row>
    <row r="1361" ht="12.75" customHeight="1">
      <c r="A1361" s="25" t="str">
        <f t="shared" si="1"/>
        <v/>
      </c>
      <c r="B1361" s="29" t="str">
        <f t="array" ref="B1361">IF(D1361="","",IFERROR(VALUE(INDEX(Vazoes_COLAR!$A$2:$A$200,INT((ROW()-24)/12)+1)),""))</f>
        <v/>
      </c>
      <c r="C1361" s="29" t="str">
        <f t="shared" si="2"/>
        <v/>
      </c>
      <c r="D1361" s="26" t="str">
        <f t="array" ref="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1" s="26" t="str">
        <f t="shared" si="3"/>
        <v/>
      </c>
      <c r="F1361" s="26" t="str">
        <f t="array" ref="F1361">IF(D1361="","",IFERROR(INDEX(Dados_Evap!$C$2:$N$15,MATCH($B$9,Dados_Evap!$A$2:$A$15,0),C1361),0))</f>
        <v/>
      </c>
      <c r="G1361" s="26" t="str">
        <f t="shared" si="4"/>
        <v/>
      </c>
      <c r="H1361" s="26" t="str">
        <f t="shared" si="22"/>
        <v/>
      </c>
      <c r="I1361" s="26" t="str">
        <f t="array" ref="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/>
      </c>
      <c r="J1361" s="26" t="str">
        <f t="shared" si="5"/>
        <v/>
      </c>
      <c r="K1361" s="26" t="str">
        <f t="shared" si="6"/>
        <v/>
      </c>
      <c r="L1361" s="26" t="str">
        <f t="shared" si="7"/>
        <v/>
      </c>
      <c r="M1361" s="26" t="str">
        <f t="array" ref="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/>
      </c>
      <c r="N1361" s="26" t="str">
        <f t="shared" si="8"/>
        <v/>
      </c>
      <c r="O1361" s="26" t="str">
        <f t="shared" si="9"/>
        <v/>
      </c>
      <c r="P1361" s="26" t="str">
        <f t="shared" si="10"/>
        <v/>
      </c>
      <c r="Q1361" s="26" t="str">
        <f t="shared" si="11"/>
        <v/>
      </c>
      <c r="R1361" s="26" t="str">
        <f t="shared" si="12"/>
        <v/>
      </c>
      <c r="S1361" s="26" t="str">
        <f t="shared" si="13"/>
        <v/>
      </c>
      <c r="T1361" s="26" t="str">
        <f t="shared" si="14"/>
        <v/>
      </c>
      <c r="U1361" s="26" t="str">
        <f t="shared" si="15"/>
        <v/>
      </c>
      <c r="V1361" s="26" t="str">
        <f t="shared" si="16"/>
        <v/>
      </c>
      <c r="W1361" s="26" t="str">
        <f t="shared" si="17"/>
        <v/>
      </c>
      <c r="X1361" s="26" t="str">
        <f t="shared" si="18"/>
        <v/>
      </c>
      <c r="Y1361" s="26" t="str">
        <f t="shared" si="19"/>
        <v/>
      </c>
      <c r="Z1361" s="31" t="str">
        <f t="shared" si="20"/>
        <v/>
      </c>
      <c r="AA1361" s="31" t="str">
        <f>IF(D1361="","",IF(H1361&lt;=$B$16,1,IF(H1361&gt;=$B$17,$B$21,MATCH(H1361,Aux_CAV!$A$2:$A$121,1))))</f>
        <v/>
      </c>
      <c r="AB1361" s="31" t="str">
        <f>IF(D1361="","",IF(L1361&lt;=$B$16,1,IF(L1361&gt;=$B$17,$B$21,MATCH(L1361,Aux_CAV!$A$2:$A$121,1))))</f>
        <v/>
      </c>
      <c r="AC1361" s="3" t="str">
        <f t="shared" si="21"/>
        <v/>
      </c>
    </row>
    <row r="1362" ht="12.75" customHeight="1">
      <c r="A1362" s="25" t="str">
        <f t="shared" si="1"/>
        <v/>
      </c>
      <c r="B1362" s="29" t="str">
        <f t="array" ref="B1362">IF(D1362="","",IFERROR(VALUE(INDEX(Vazoes_COLAR!$A$2:$A$200,INT((ROW()-24)/12)+1)),""))</f>
        <v/>
      </c>
      <c r="C1362" s="29" t="str">
        <f t="shared" si="2"/>
        <v/>
      </c>
      <c r="D1362" s="26" t="str">
        <f t="array" ref="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2" s="26" t="str">
        <f t="shared" si="3"/>
        <v/>
      </c>
      <c r="F1362" s="26" t="str">
        <f t="array" ref="F1362">IF(D1362="","",IFERROR(INDEX(Dados_Evap!$C$2:$N$15,MATCH($B$9,Dados_Evap!$A$2:$A$15,0),C1362),0))</f>
        <v/>
      </c>
      <c r="G1362" s="26" t="str">
        <f t="shared" si="4"/>
        <v/>
      </c>
      <c r="H1362" s="26" t="str">
        <f t="shared" si="22"/>
        <v/>
      </c>
      <c r="I1362" s="26" t="str">
        <f t="array" ref="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/>
      </c>
      <c r="J1362" s="26" t="str">
        <f t="shared" si="5"/>
        <v/>
      </c>
      <c r="K1362" s="26" t="str">
        <f t="shared" si="6"/>
        <v/>
      </c>
      <c r="L1362" s="26" t="str">
        <f t="shared" si="7"/>
        <v/>
      </c>
      <c r="M1362" s="26" t="str">
        <f t="array" ref="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/>
      </c>
      <c r="N1362" s="26" t="str">
        <f t="shared" si="8"/>
        <v/>
      </c>
      <c r="O1362" s="26" t="str">
        <f t="shared" si="9"/>
        <v/>
      </c>
      <c r="P1362" s="26" t="str">
        <f t="shared" si="10"/>
        <v/>
      </c>
      <c r="Q1362" s="26" t="str">
        <f t="shared" si="11"/>
        <v/>
      </c>
      <c r="R1362" s="26" t="str">
        <f t="shared" si="12"/>
        <v/>
      </c>
      <c r="S1362" s="26" t="str">
        <f t="shared" si="13"/>
        <v/>
      </c>
      <c r="T1362" s="26" t="str">
        <f t="shared" si="14"/>
        <v/>
      </c>
      <c r="U1362" s="26" t="str">
        <f t="shared" si="15"/>
        <v/>
      </c>
      <c r="V1362" s="26" t="str">
        <f t="shared" si="16"/>
        <v/>
      </c>
      <c r="W1362" s="26" t="str">
        <f t="shared" si="17"/>
        <v/>
      </c>
      <c r="X1362" s="26" t="str">
        <f t="shared" si="18"/>
        <v/>
      </c>
      <c r="Y1362" s="26" t="str">
        <f t="shared" si="19"/>
        <v/>
      </c>
      <c r="Z1362" s="31" t="str">
        <f t="shared" si="20"/>
        <v/>
      </c>
      <c r="AA1362" s="31" t="str">
        <f>IF(D1362="","",IF(H1362&lt;=$B$16,1,IF(H1362&gt;=$B$17,$B$21,MATCH(H1362,Aux_CAV!$A$2:$A$121,1))))</f>
        <v/>
      </c>
      <c r="AB1362" s="31" t="str">
        <f>IF(D1362="","",IF(L1362&lt;=$B$16,1,IF(L1362&gt;=$B$17,$B$21,MATCH(L1362,Aux_CAV!$A$2:$A$121,1))))</f>
        <v/>
      </c>
      <c r="AC1362" s="3" t="str">
        <f t="shared" si="21"/>
        <v/>
      </c>
    </row>
    <row r="1363" ht="12.75" customHeight="1">
      <c r="A1363" s="25" t="str">
        <f t="shared" si="1"/>
        <v/>
      </c>
      <c r="B1363" s="29" t="str">
        <f t="array" ref="B1363">IF(D1363="","",IFERROR(VALUE(INDEX(Vazoes_COLAR!$A$2:$A$200,INT((ROW()-24)/12)+1)),""))</f>
        <v/>
      </c>
      <c r="C1363" s="29" t="str">
        <f t="shared" si="2"/>
        <v/>
      </c>
      <c r="D1363" s="26" t="str">
        <f t="array" ref="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3" s="26" t="str">
        <f t="shared" si="3"/>
        <v/>
      </c>
      <c r="F1363" s="26" t="str">
        <f t="array" ref="F1363">IF(D1363="","",IFERROR(INDEX(Dados_Evap!$C$2:$N$15,MATCH($B$9,Dados_Evap!$A$2:$A$15,0),C1363),0))</f>
        <v/>
      </c>
      <c r="G1363" s="26" t="str">
        <f t="shared" si="4"/>
        <v/>
      </c>
      <c r="H1363" s="26" t="str">
        <f t="shared" si="22"/>
        <v/>
      </c>
      <c r="I1363" s="26" t="str">
        <f t="array" ref="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/>
      </c>
      <c r="J1363" s="26" t="str">
        <f t="shared" si="5"/>
        <v/>
      </c>
      <c r="K1363" s="26" t="str">
        <f t="shared" si="6"/>
        <v/>
      </c>
      <c r="L1363" s="26" t="str">
        <f t="shared" si="7"/>
        <v/>
      </c>
      <c r="M1363" s="26" t="str">
        <f t="array" ref="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/>
      </c>
      <c r="N1363" s="26" t="str">
        <f t="shared" si="8"/>
        <v/>
      </c>
      <c r="O1363" s="26" t="str">
        <f t="shared" si="9"/>
        <v/>
      </c>
      <c r="P1363" s="26" t="str">
        <f t="shared" si="10"/>
        <v/>
      </c>
      <c r="Q1363" s="26" t="str">
        <f t="shared" si="11"/>
        <v/>
      </c>
      <c r="R1363" s="26" t="str">
        <f t="shared" si="12"/>
        <v/>
      </c>
      <c r="S1363" s="26" t="str">
        <f t="shared" si="13"/>
        <v/>
      </c>
      <c r="T1363" s="26" t="str">
        <f t="shared" si="14"/>
        <v/>
      </c>
      <c r="U1363" s="26" t="str">
        <f t="shared" si="15"/>
        <v/>
      </c>
      <c r="V1363" s="26" t="str">
        <f t="shared" si="16"/>
        <v/>
      </c>
      <c r="W1363" s="26" t="str">
        <f t="shared" si="17"/>
        <v/>
      </c>
      <c r="X1363" s="26" t="str">
        <f t="shared" si="18"/>
        <v/>
      </c>
      <c r="Y1363" s="26" t="str">
        <f t="shared" si="19"/>
        <v/>
      </c>
      <c r="Z1363" s="31" t="str">
        <f t="shared" si="20"/>
        <v/>
      </c>
      <c r="AA1363" s="31" t="str">
        <f>IF(D1363="","",IF(H1363&lt;=$B$16,1,IF(H1363&gt;=$B$17,$B$21,MATCH(H1363,Aux_CAV!$A$2:$A$121,1))))</f>
        <v/>
      </c>
      <c r="AB1363" s="31" t="str">
        <f>IF(D1363="","",IF(L1363&lt;=$B$16,1,IF(L1363&gt;=$B$17,$B$21,MATCH(L1363,Aux_CAV!$A$2:$A$121,1))))</f>
        <v/>
      </c>
      <c r="AC1363" s="3" t="str">
        <f t="shared" si="21"/>
        <v/>
      </c>
    </row>
    <row r="1364" ht="12.75" customHeight="1">
      <c r="A1364" s="25" t="str">
        <f t="shared" si="1"/>
        <v/>
      </c>
      <c r="B1364" s="29" t="str">
        <f t="array" ref="B1364">IF(D1364="","",IFERROR(VALUE(INDEX(Vazoes_COLAR!$A$2:$A$200,INT((ROW()-24)/12)+1)),""))</f>
        <v/>
      </c>
      <c r="C1364" s="29" t="str">
        <f t="shared" si="2"/>
        <v/>
      </c>
      <c r="D1364" s="26" t="str">
        <f t="array" ref="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4" s="26" t="str">
        <f t="shared" si="3"/>
        <v/>
      </c>
      <c r="F1364" s="26" t="str">
        <f t="array" ref="F1364">IF(D1364="","",IFERROR(INDEX(Dados_Evap!$C$2:$N$15,MATCH($B$9,Dados_Evap!$A$2:$A$15,0),C1364),0))</f>
        <v/>
      </c>
      <c r="G1364" s="26" t="str">
        <f t="shared" si="4"/>
        <v/>
      </c>
      <c r="H1364" s="26" t="str">
        <f t="shared" si="22"/>
        <v/>
      </c>
      <c r="I1364" s="26" t="str">
        <f t="array" ref="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/>
      </c>
      <c r="J1364" s="26" t="str">
        <f t="shared" si="5"/>
        <v/>
      </c>
      <c r="K1364" s="26" t="str">
        <f t="shared" si="6"/>
        <v/>
      </c>
      <c r="L1364" s="26" t="str">
        <f t="shared" si="7"/>
        <v/>
      </c>
      <c r="M1364" s="26" t="str">
        <f t="array" ref="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/>
      </c>
      <c r="N1364" s="26" t="str">
        <f t="shared" si="8"/>
        <v/>
      </c>
      <c r="O1364" s="26" t="str">
        <f t="shared" si="9"/>
        <v/>
      </c>
      <c r="P1364" s="26" t="str">
        <f t="shared" si="10"/>
        <v/>
      </c>
      <c r="Q1364" s="26" t="str">
        <f t="shared" si="11"/>
        <v/>
      </c>
      <c r="R1364" s="26" t="str">
        <f t="shared" si="12"/>
        <v/>
      </c>
      <c r="S1364" s="26" t="str">
        <f t="shared" si="13"/>
        <v/>
      </c>
      <c r="T1364" s="26" t="str">
        <f t="shared" si="14"/>
        <v/>
      </c>
      <c r="U1364" s="26" t="str">
        <f t="shared" si="15"/>
        <v/>
      </c>
      <c r="V1364" s="26" t="str">
        <f t="shared" si="16"/>
        <v/>
      </c>
      <c r="W1364" s="26" t="str">
        <f t="shared" si="17"/>
        <v/>
      </c>
      <c r="X1364" s="26" t="str">
        <f t="shared" si="18"/>
        <v/>
      </c>
      <c r="Y1364" s="26" t="str">
        <f t="shared" si="19"/>
        <v/>
      </c>
      <c r="Z1364" s="31" t="str">
        <f t="shared" si="20"/>
        <v/>
      </c>
      <c r="AA1364" s="31" t="str">
        <f>IF(D1364="","",IF(H1364&lt;=$B$16,1,IF(H1364&gt;=$B$17,$B$21,MATCH(H1364,Aux_CAV!$A$2:$A$121,1))))</f>
        <v/>
      </c>
      <c r="AB1364" s="31" t="str">
        <f>IF(D1364="","",IF(L1364&lt;=$B$16,1,IF(L1364&gt;=$B$17,$B$21,MATCH(L1364,Aux_CAV!$A$2:$A$121,1))))</f>
        <v/>
      </c>
      <c r="AC1364" s="3" t="str">
        <f t="shared" si="21"/>
        <v/>
      </c>
    </row>
    <row r="1365" ht="12.75" customHeight="1">
      <c r="A1365" s="25" t="str">
        <f t="shared" si="1"/>
        <v/>
      </c>
      <c r="B1365" s="29" t="str">
        <f t="array" ref="B1365">IF(D1365="","",IFERROR(VALUE(INDEX(Vazoes_COLAR!$A$2:$A$200,INT((ROW()-24)/12)+1)),""))</f>
        <v/>
      </c>
      <c r="C1365" s="29" t="str">
        <f t="shared" si="2"/>
        <v/>
      </c>
      <c r="D1365" s="26" t="str">
        <f t="array" ref="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5" s="26" t="str">
        <f t="shared" si="3"/>
        <v/>
      </c>
      <c r="F1365" s="26" t="str">
        <f t="array" ref="F1365">IF(D1365="","",IFERROR(INDEX(Dados_Evap!$C$2:$N$15,MATCH($B$9,Dados_Evap!$A$2:$A$15,0),C1365),0))</f>
        <v/>
      </c>
      <c r="G1365" s="26" t="str">
        <f t="shared" si="4"/>
        <v/>
      </c>
      <c r="H1365" s="26" t="str">
        <f t="shared" si="22"/>
        <v/>
      </c>
      <c r="I1365" s="26" t="str">
        <f t="array" ref="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/>
      </c>
      <c r="J1365" s="26" t="str">
        <f t="shared" si="5"/>
        <v/>
      </c>
      <c r="K1365" s="26" t="str">
        <f t="shared" si="6"/>
        <v/>
      </c>
      <c r="L1365" s="26" t="str">
        <f t="shared" si="7"/>
        <v/>
      </c>
      <c r="M1365" s="26" t="str">
        <f t="array" ref="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/>
      </c>
      <c r="N1365" s="26" t="str">
        <f t="shared" si="8"/>
        <v/>
      </c>
      <c r="O1365" s="26" t="str">
        <f t="shared" si="9"/>
        <v/>
      </c>
      <c r="P1365" s="26" t="str">
        <f t="shared" si="10"/>
        <v/>
      </c>
      <c r="Q1365" s="26" t="str">
        <f t="shared" si="11"/>
        <v/>
      </c>
      <c r="R1365" s="26" t="str">
        <f t="shared" si="12"/>
        <v/>
      </c>
      <c r="S1365" s="26" t="str">
        <f t="shared" si="13"/>
        <v/>
      </c>
      <c r="T1365" s="26" t="str">
        <f t="shared" si="14"/>
        <v/>
      </c>
      <c r="U1365" s="26" t="str">
        <f t="shared" si="15"/>
        <v/>
      </c>
      <c r="V1365" s="26" t="str">
        <f t="shared" si="16"/>
        <v/>
      </c>
      <c r="W1365" s="26" t="str">
        <f t="shared" si="17"/>
        <v/>
      </c>
      <c r="X1365" s="26" t="str">
        <f t="shared" si="18"/>
        <v/>
      </c>
      <c r="Y1365" s="26" t="str">
        <f t="shared" si="19"/>
        <v/>
      </c>
      <c r="Z1365" s="31" t="str">
        <f t="shared" si="20"/>
        <v/>
      </c>
      <c r="AA1365" s="31" t="str">
        <f>IF(D1365="","",IF(H1365&lt;=$B$16,1,IF(H1365&gt;=$B$17,$B$21,MATCH(H1365,Aux_CAV!$A$2:$A$121,1))))</f>
        <v/>
      </c>
      <c r="AB1365" s="31" t="str">
        <f>IF(D1365="","",IF(L1365&lt;=$B$16,1,IF(L1365&gt;=$B$17,$B$21,MATCH(L1365,Aux_CAV!$A$2:$A$121,1))))</f>
        <v/>
      </c>
      <c r="AC1365" s="3" t="str">
        <f t="shared" si="21"/>
        <v/>
      </c>
    </row>
    <row r="1366" ht="12.75" customHeight="1">
      <c r="A1366" s="25" t="str">
        <f t="shared" si="1"/>
        <v/>
      </c>
      <c r="B1366" s="29" t="str">
        <f t="array" ref="B1366">IF(D1366="","",IFERROR(VALUE(INDEX(Vazoes_COLAR!$A$2:$A$200,INT((ROW()-24)/12)+1)),""))</f>
        <v/>
      </c>
      <c r="C1366" s="29" t="str">
        <f t="shared" si="2"/>
        <v/>
      </c>
      <c r="D1366" s="26" t="str">
        <f t="array" ref="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6" s="26" t="str">
        <f t="shared" si="3"/>
        <v/>
      </c>
      <c r="F1366" s="26" t="str">
        <f t="array" ref="F1366">IF(D1366="","",IFERROR(INDEX(Dados_Evap!$C$2:$N$15,MATCH($B$9,Dados_Evap!$A$2:$A$15,0),C1366),0))</f>
        <v/>
      </c>
      <c r="G1366" s="26" t="str">
        <f t="shared" si="4"/>
        <v/>
      </c>
      <c r="H1366" s="26" t="str">
        <f t="shared" si="22"/>
        <v/>
      </c>
      <c r="I1366" s="26" t="str">
        <f t="array" ref="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/>
      </c>
      <c r="J1366" s="26" t="str">
        <f t="shared" si="5"/>
        <v/>
      </c>
      <c r="K1366" s="26" t="str">
        <f t="shared" si="6"/>
        <v/>
      </c>
      <c r="L1366" s="26" t="str">
        <f t="shared" si="7"/>
        <v/>
      </c>
      <c r="M1366" s="26" t="str">
        <f t="array" ref="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/>
      </c>
      <c r="N1366" s="26" t="str">
        <f t="shared" si="8"/>
        <v/>
      </c>
      <c r="O1366" s="26" t="str">
        <f t="shared" si="9"/>
        <v/>
      </c>
      <c r="P1366" s="26" t="str">
        <f t="shared" si="10"/>
        <v/>
      </c>
      <c r="Q1366" s="26" t="str">
        <f t="shared" si="11"/>
        <v/>
      </c>
      <c r="R1366" s="26" t="str">
        <f t="shared" si="12"/>
        <v/>
      </c>
      <c r="S1366" s="26" t="str">
        <f t="shared" si="13"/>
        <v/>
      </c>
      <c r="T1366" s="26" t="str">
        <f t="shared" si="14"/>
        <v/>
      </c>
      <c r="U1366" s="26" t="str">
        <f t="shared" si="15"/>
        <v/>
      </c>
      <c r="V1366" s="26" t="str">
        <f t="shared" si="16"/>
        <v/>
      </c>
      <c r="W1366" s="26" t="str">
        <f t="shared" si="17"/>
        <v/>
      </c>
      <c r="X1366" s="26" t="str">
        <f t="shared" si="18"/>
        <v/>
      </c>
      <c r="Y1366" s="26" t="str">
        <f t="shared" si="19"/>
        <v/>
      </c>
      <c r="Z1366" s="31" t="str">
        <f t="shared" si="20"/>
        <v/>
      </c>
      <c r="AA1366" s="31" t="str">
        <f>IF(D1366="","",IF(H1366&lt;=$B$16,1,IF(H1366&gt;=$B$17,$B$21,MATCH(H1366,Aux_CAV!$A$2:$A$121,1))))</f>
        <v/>
      </c>
      <c r="AB1366" s="31" t="str">
        <f>IF(D1366="","",IF(L1366&lt;=$B$16,1,IF(L1366&gt;=$B$17,$B$21,MATCH(L1366,Aux_CAV!$A$2:$A$121,1))))</f>
        <v/>
      </c>
      <c r="AC1366" s="3" t="str">
        <f t="shared" si="21"/>
        <v/>
      </c>
    </row>
    <row r="1367" ht="12.75" customHeight="1">
      <c r="A1367" s="25" t="str">
        <f t="shared" si="1"/>
        <v/>
      </c>
      <c r="B1367" s="29" t="str">
        <f t="array" ref="B1367">IF(D1367="","",IFERROR(VALUE(INDEX(Vazoes_COLAR!$A$2:$A$200,INT((ROW()-24)/12)+1)),""))</f>
        <v/>
      </c>
      <c r="C1367" s="29" t="str">
        <f t="shared" si="2"/>
        <v/>
      </c>
      <c r="D1367" s="26" t="str">
        <f t="array" ref="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7" s="26" t="str">
        <f t="shared" si="3"/>
        <v/>
      </c>
      <c r="F1367" s="26" t="str">
        <f t="array" ref="F1367">IF(D1367="","",IFERROR(INDEX(Dados_Evap!$C$2:$N$15,MATCH($B$9,Dados_Evap!$A$2:$A$15,0),C1367),0))</f>
        <v/>
      </c>
      <c r="G1367" s="26" t="str">
        <f t="shared" si="4"/>
        <v/>
      </c>
      <c r="H1367" s="26" t="str">
        <f t="shared" si="22"/>
        <v/>
      </c>
      <c r="I1367" s="26" t="str">
        <f t="array" ref="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/>
      </c>
      <c r="J1367" s="26" t="str">
        <f t="shared" si="5"/>
        <v/>
      </c>
      <c r="K1367" s="26" t="str">
        <f t="shared" si="6"/>
        <v/>
      </c>
      <c r="L1367" s="26" t="str">
        <f t="shared" si="7"/>
        <v/>
      </c>
      <c r="M1367" s="26" t="str">
        <f t="array" ref="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/>
      </c>
      <c r="N1367" s="26" t="str">
        <f t="shared" si="8"/>
        <v/>
      </c>
      <c r="O1367" s="26" t="str">
        <f t="shared" si="9"/>
        <v/>
      </c>
      <c r="P1367" s="26" t="str">
        <f t="shared" si="10"/>
        <v/>
      </c>
      <c r="Q1367" s="26" t="str">
        <f t="shared" si="11"/>
        <v/>
      </c>
      <c r="R1367" s="26" t="str">
        <f t="shared" si="12"/>
        <v/>
      </c>
      <c r="S1367" s="26" t="str">
        <f t="shared" si="13"/>
        <v/>
      </c>
      <c r="T1367" s="26" t="str">
        <f t="shared" si="14"/>
        <v/>
      </c>
      <c r="U1367" s="26" t="str">
        <f t="shared" si="15"/>
        <v/>
      </c>
      <c r="V1367" s="26" t="str">
        <f t="shared" si="16"/>
        <v/>
      </c>
      <c r="W1367" s="26" t="str">
        <f t="shared" si="17"/>
        <v/>
      </c>
      <c r="X1367" s="26" t="str">
        <f t="shared" si="18"/>
        <v/>
      </c>
      <c r="Y1367" s="26" t="str">
        <f t="shared" si="19"/>
        <v/>
      </c>
      <c r="Z1367" s="31" t="str">
        <f t="shared" si="20"/>
        <v/>
      </c>
      <c r="AA1367" s="31" t="str">
        <f>IF(D1367="","",IF(H1367&lt;=$B$16,1,IF(H1367&gt;=$B$17,$B$21,MATCH(H1367,Aux_CAV!$A$2:$A$121,1))))</f>
        <v/>
      </c>
      <c r="AB1367" s="31" t="str">
        <f>IF(D1367="","",IF(L1367&lt;=$B$16,1,IF(L1367&gt;=$B$17,$B$21,MATCH(L1367,Aux_CAV!$A$2:$A$121,1))))</f>
        <v/>
      </c>
      <c r="AC1367" s="31" t="str">
        <f t="shared" si="21"/>
        <v/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dxfId="0" priority="1">
      <formula>V24="Sim"</formula>
    </cfRule>
  </conditionalFormatting>
  <conditionalFormatting sqref="X24:X1367">
    <cfRule type="expression" dxfId="1" priority="2">
      <formula>X24&gt;$B$19</formula>
    </cfRule>
  </conditionalFormatting>
  <conditionalFormatting sqref="E14">
    <cfRule type="expression" dxfId="2" priority="3">
      <formula>E14="OK"</formula>
    </cfRule>
  </conditionalFormatting>
  <conditionalFormatting sqref="E14">
    <cfRule type="expression" dxfId="0" priority="4">
      <formula>E14="VERIFICAR"</formula>
    </cfRule>
  </conditionalFormatting>
  <dataValidations>
    <dataValidation type="list" allowBlank="1" sqref="B6">
      <formula1>Dados_Acudes!$A$2:$A$156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13" width="12.0"/>
    <col customWidth="1" min="14" max="14" width="8.63"/>
    <col customWidth="1" min="15" max="18" width="18.0"/>
    <col customWidth="1" min="19" max="26" width="8.63"/>
  </cols>
  <sheetData>
    <row r="1" ht="12.75" customHeight="1">
      <c r="A1" s="2" t="s">
        <v>1</v>
      </c>
      <c r="B1" s="1" t="s">
        <v>15</v>
      </c>
      <c r="C1" s="1" t="s">
        <v>17</v>
      </c>
      <c r="D1" s="1" t="s">
        <v>18</v>
      </c>
      <c r="E1" s="1" t="s">
        <v>20</v>
      </c>
      <c r="F1" s="1" t="s">
        <v>22</v>
      </c>
      <c r="G1" s="1" t="s">
        <v>23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31</v>
      </c>
      <c r="O1" s="6" t="s">
        <v>33</v>
      </c>
      <c r="P1" s="7"/>
      <c r="Q1" s="7"/>
      <c r="R1" s="8"/>
    </row>
    <row r="2" ht="12.75" customHeight="1">
      <c r="A2" s="3">
        <v>1910.0</v>
      </c>
      <c r="L2" s="3">
        <v>0.0</v>
      </c>
      <c r="M2" s="3">
        <v>0.0</v>
      </c>
      <c r="O2" s="9" t="s">
        <v>42</v>
      </c>
      <c r="P2" s="5"/>
      <c r="Q2" s="5"/>
      <c r="R2" s="10"/>
    </row>
    <row r="3" ht="12.75" customHeight="1">
      <c r="A3" s="3">
        <v>1911.0</v>
      </c>
      <c r="O3" s="11"/>
      <c r="R3" s="12"/>
    </row>
    <row r="4" ht="12.75" customHeight="1">
      <c r="A4" s="3">
        <v>1912.0</v>
      </c>
      <c r="O4" s="11"/>
      <c r="R4" s="12"/>
    </row>
    <row r="5" ht="12.75" customHeight="1">
      <c r="A5" s="3">
        <v>1913.0</v>
      </c>
      <c r="O5" s="11"/>
      <c r="R5" s="12"/>
    </row>
    <row r="6" ht="12.75" customHeight="1">
      <c r="A6" s="3">
        <v>1914.0</v>
      </c>
      <c r="O6" s="11"/>
      <c r="R6" s="12"/>
    </row>
    <row r="7" ht="12.75" customHeight="1">
      <c r="A7" s="3">
        <v>1915.0</v>
      </c>
      <c r="O7" s="13"/>
      <c r="P7" s="14"/>
      <c r="Q7" s="14"/>
      <c r="R7" s="15"/>
    </row>
    <row r="8" ht="12.75" customHeight="1">
      <c r="A8" s="3">
        <v>1916.0</v>
      </c>
    </row>
    <row r="9" ht="12.75" customHeight="1">
      <c r="A9" s="3">
        <v>1917.0</v>
      </c>
    </row>
    <row r="10" ht="12.75" customHeight="1">
      <c r="A10" s="3">
        <v>1918.0</v>
      </c>
    </row>
    <row r="11" ht="12.75" customHeight="1">
      <c r="A11" s="3">
        <v>1919.0</v>
      </c>
    </row>
    <row r="12" ht="12.75" customHeight="1">
      <c r="A12" s="3">
        <v>1920.0</v>
      </c>
    </row>
    <row r="13" ht="12.75" customHeight="1">
      <c r="A13" s="3">
        <v>1921.0</v>
      </c>
    </row>
    <row r="14" ht="12.75" customHeight="1">
      <c r="A14" s="3">
        <v>1922.0</v>
      </c>
    </row>
    <row r="15" ht="12.75" customHeight="1">
      <c r="A15" s="3">
        <v>1923.0</v>
      </c>
    </row>
    <row r="16" ht="12.75" customHeight="1">
      <c r="A16" s="3">
        <v>1924.0</v>
      </c>
    </row>
    <row r="17" ht="12.75" customHeight="1">
      <c r="A17" s="3">
        <v>1925.0</v>
      </c>
    </row>
    <row r="18" ht="12.75" customHeight="1">
      <c r="A18" s="3">
        <v>1926.0</v>
      </c>
    </row>
    <row r="19" ht="12.75" customHeight="1">
      <c r="A19" s="3">
        <v>1927.0</v>
      </c>
    </row>
    <row r="20" ht="12.75" customHeight="1">
      <c r="A20" s="3">
        <v>1928.0</v>
      </c>
    </row>
    <row r="21" ht="12.75" customHeight="1">
      <c r="A21" s="3">
        <v>1929.0</v>
      </c>
    </row>
    <row r="22" ht="12.75" customHeight="1">
      <c r="A22" s="3">
        <v>1930.0</v>
      </c>
    </row>
    <row r="23" ht="12.75" customHeight="1">
      <c r="A23" s="3">
        <v>1931.0</v>
      </c>
    </row>
    <row r="24" ht="12.75" customHeight="1">
      <c r="A24" s="3">
        <v>1932.0</v>
      </c>
    </row>
    <row r="25" ht="12.75" customHeight="1">
      <c r="A25" s="3">
        <v>1933.0</v>
      </c>
    </row>
    <row r="26" ht="12.75" customHeight="1">
      <c r="A26" s="3">
        <v>1934.0</v>
      </c>
    </row>
    <row r="27" ht="12.75" customHeight="1">
      <c r="A27" s="3">
        <v>1935.0</v>
      </c>
    </row>
    <row r="28" ht="12.75" customHeight="1">
      <c r="A28" s="3">
        <v>1936.0</v>
      </c>
    </row>
    <row r="29" ht="12.75" customHeight="1">
      <c r="A29" s="3">
        <v>1937.0</v>
      </c>
    </row>
    <row r="30" ht="12.75" customHeight="1">
      <c r="A30" s="3">
        <v>1938.0</v>
      </c>
    </row>
    <row r="31" ht="12.75" customHeight="1">
      <c r="A31" s="3">
        <v>1939.0</v>
      </c>
    </row>
    <row r="32" ht="12.75" customHeight="1">
      <c r="A32" s="3">
        <v>1940.0</v>
      </c>
    </row>
    <row r="33" ht="12.75" customHeight="1">
      <c r="A33" s="3">
        <v>1941.0</v>
      </c>
    </row>
    <row r="34" ht="12.75" customHeight="1">
      <c r="A34" s="3">
        <v>1942.0</v>
      </c>
    </row>
    <row r="35" ht="12.75" customHeight="1">
      <c r="A35" s="3">
        <v>1943.0</v>
      </c>
    </row>
    <row r="36" ht="12.75" customHeight="1">
      <c r="A36" s="3">
        <v>1944.0</v>
      </c>
    </row>
    <row r="37" ht="12.75" customHeight="1">
      <c r="A37" s="3">
        <v>1945.0</v>
      </c>
    </row>
    <row r="38" ht="12.75" customHeight="1">
      <c r="A38" s="3">
        <v>1946.0</v>
      </c>
    </row>
    <row r="39" ht="12.75" customHeight="1">
      <c r="A39" s="3">
        <v>1947.0</v>
      </c>
    </row>
    <row r="40" ht="12.75" customHeight="1">
      <c r="A40" s="3">
        <v>1948.0</v>
      </c>
    </row>
    <row r="41" ht="12.75" customHeight="1">
      <c r="A41" s="3">
        <v>1949.0</v>
      </c>
    </row>
    <row r="42" ht="12.75" customHeight="1">
      <c r="A42" s="3">
        <v>1950.0</v>
      </c>
    </row>
    <row r="43" ht="12.75" customHeight="1">
      <c r="A43" s="3">
        <v>1951.0</v>
      </c>
    </row>
    <row r="44" ht="12.75" customHeight="1">
      <c r="A44" s="3">
        <v>1952.0</v>
      </c>
    </row>
    <row r="45" ht="12.75" customHeight="1">
      <c r="A45" s="3">
        <v>1953.0</v>
      </c>
    </row>
    <row r="46" ht="12.75" customHeight="1">
      <c r="A46" s="3">
        <v>1954.0</v>
      </c>
    </row>
    <row r="47" ht="12.75" customHeight="1">
      <c r="A47" s="3">
        <v>1955.0</v>
      </c>
    </row>
    <row r="48" ht="12.75" customHeight="1">
      <c r="A48" s="3">
        <v>1956.0</v>
      </c>
    </row>
    <row r="49" ht="12.75" customHeight="1">
      <c r="A49" s="3">
        <v>1957.0</v>
      </c>
    </row>
    <row r="50" ht="12.75" customHeight="1">
      <c r="A50" s="3">
        <v>1958.0</v>
      </c>
    </row>
    <row r="51" ht="12.75" customHeight="1">
      <c r="A51" s="3">
        <v>1959.0</v>
      </c>
    </row>
    <row r="52" ht="12.75" customHeight="1">
      <c r="A52" s="3">
        <v>1960.0</v>
      </c>
    </row>
    <row r="53" ht="12.75" customHeight="1">
      <c r="A53" s="3">
        <v>1961.0</v>
      </c>
    </row>
    <row r="54" ht="12.75" customHeight="1">
      <c r="A54" s="3">
        <v>1962.0</v>
      </c>
    </row>
    <row r="55" ht="12.75" customHeight="1">
      <c r="A55" s="3">
        <v>1963.0</v>
      </c>
    </row>
    <row r="56" ht="12.75" customHeight="1">
      <c r="A56" s="3">
        <v>1964.0</v>
      </c>
    </row>
    <row r="57" ht="12.75" customHeight="1">
      <c r="A57" s="3">
        <v>1965.0</v>
      </c>
    </row>
    <row r="58" ht="12.75" customHeight="1">
      <c r="A58" s="3">
        <v>1966.0</v>
      </c>
    </row>
    <row r="59" ht="12.75" customHeight="1">
      <c r="A59" s="3">
        <v>1967.0</v>
      </c>
    </row>
    <row r="60" ht="12.75" customHeight="1">
      <c r="A60" s="3">
        <v>1968.0</v>
      </c>
    </row>
    <row r="61" ht="12.75" customHeight="1">
      <c r="A61" s="3">
        <v>1969.0</v>
      </c>
    </row>
    <row r="62" ht="12.75" customHeight="1">
      <c r="A62" s="3">
        <v>1970.0</v>
      </c>
    </row>
    <row r="63" ht="12.75" customHeight="1">
      <c r="A63" s="3">
        <v>1971.0</v>
      </c>
    </row>
    <row r="64" ht="12.75" customHeight="1">
      <c r="A64" s="3">
        <v>1972.0</v>
      </c>
    </row>
    <row r="65" ht="12.75" customHeight="1">
      <c r="A65" s="3">
        <v>1973.0</v>
      </c>
    </row>
    <row r="66" ht="12.75" customHeight="1">
      <c r="A66" s="3">
        <v>1974.0</v>
      </c>
    </row>
    <row r="67" ht="12.75" customHeight="1">
      <c r="A67" s="3">
        <v>1975.0</v>
      </c>
    </row>
    <row r="68" ht="12.75" customHeight="1">
      <c r="A68" s="3">
        <v>1976.0</v>
      </c>
    </row>
    <row r="69" ht="12.75" customHeight="1">
      <c r="A69" s="3">
        <v>1977.0</v>
      </c>
    </row>
    <row r="70" ht="12.75" customHeight="1">
      <c r="A70" s="3">
        <v>1978.0</v>
      </c>
    </row>
    <row r="71" ht="12.75" customHeight="1">
      <c r="A71" s="3">
        <v>1979.0</v>
      </c>
    </row>
    <row r="72" ht="12.75" customHeight="1">
      <c r="A72" s="3">
        <v>1980.0</v>
      </c>
    </row>
    <row r="73" ht="12.75" customHeight="1">
      <c r="A73" s="3">
        <v>1981.0</v>
      </c>
    </row>
    <row r="74" ht="12.75" customHeight="1">
      <c r="A74" s="3">
        <v>1982.0</v>
      </c>
    </row>
    <row r="75" ht="12.75" customHeight="1">
      <c r="A75" s="3">
        <v>1983.0</v>
      </c>
    </row>
    <row r="76" ht="12.75" customHeight="1">
      <c r="A76" s="3">
        <v>1984.0</v>
      </c>
    </row>
    <row r="77" ht="12.75" customHeight="1">
      <c r="A77" s="3">
        <v>1985.0</v>
      </c>
    </row>
    <row r="78" ht="12.75" customHeight="1">
      <c r="A78" s="3">
        <v>1986.0</v>
      </c>
    </row>
    <row r="79" ht="12.75" customHeight="1">
      <c r="A79" s="3">
        <v>1987.0</v>
      </c>
    </row>
    <row r="80" ht="12.75" customHeight="1">
      <c r="A80" s="3">
        <v>1988.0</v>
      </c>
    </row>
    <row r="81" ht="12.75" customHeight="1">
      <c r="A81" s="3">
        <v>1989.0</v>
      </c>
    </row>
    <row r="82" ht="12.75" customHeight="1">
      <c r="A82" s="3">
        <v>1990.0</v>
      </c>
    </row>
    <row r="83" ht="12.75" customHeight="1">
      <c r="A83" s="3">
        <v>1991.0</v>
      </c>
    </row>
    <row r="84" ht="12.75" customHeight="1">
      <c r="A84" s="3">
        <v>1992.0</v>
      </c>
    </row>
    <row r="85" ht="12.75" customHeight="1">
      <c r="A85" s="3">
        <v>1993.0</v>
      </c>
    </row>
    <row r="86" ht="12.75" customHeight="1">
      <c r="A86" s="3">
        <v>1994.0</v>
      </c>
    </row>
    <row r="87" ht="12.75" customHeight="1">
      <c r="A87" s="3">
        <v>1995.0</v>
      </c>
    </row>
    <row r="88" ht="12.75" customHeight="1">
      <c r="A88" s="3">
        <v>1996.0</v>
      </c>
    </row>
    <row r="89" ht="12.75" customHeight="1">
      <c r="A89" s="3">
        <v>1997.0</v>
      </c>
    </row>
    <row r="90" ht="12.75" customHeight="1">
      <c r="A90" s="3">
        <v>1998.0</v>
      </c>
    </row>
    <row r="91" ht="12.75" customHeight="1">
      <c r="A91" s="3">
        <v>1999.0</v>
      </c>
    </row>
    <row r="92" ht="12.75" customHeight="1">
      <c r="A92" s="3">
        <v>2000.0</v>
      </c>
    </row>
    <row r="93" ht="12.75" customHeight="1">
      <c r="A93" s="3">
        <v>2001.0</v>
      </c>
    </row>
    <row r="94" ht="12.75" customHeight="1">
      <c r="A94" s="3">
        <v>2002.0</v>
      </c>
    </row>
    <row r="95" ht="12.75" customHeight="1">
      <c r="A95" s="3">
        <v>2003.0</v>
      </c>
    </row>
    <row r="96" ht="12.75" customHeight="1">
      <c r="A96" s="3">
        <v>2004.0</v>
      </c>
    </row>
    <row r="97" ht="12.75" customHeight="1">
      <c r="A97" s="3">
        <v>2005.0</v>
      </c>
    </row>
    <row r="98" ht="12.75" customHeight="1">
      <c r="A98" s="3">
        <v>2006.0</v>
      </c>
    </row>
    <row r="99" ht="12.75" customHeight="1">
      <c r="A99" s="3">
        <v>2007.0</v>
      </c>
    </row>
    <row r="100" ht="12.75" customHeight="1">
      <c r="A100" s="3">
        <v>2008.0</v>
      </c>
    </row>
    <row r="101" ht="12.75" customHeight="1">
      <c r="A101" s="3">
        <v>2009.0</v>
      </c>
    </row>
    <row r="102" ht="12.75" customHeight="1">
      <c r="A102" s="3">
        <v>2010.0</v>
      </c>
    </row>
    <row r="103" ht="12.75" customHeight="1">
      <c r="A103" s="3">
        <v>2011.0</v>
      </c>
    </row>
    <row r="104" ht="12.75" customHeight="1">
      <c r="A104" s="3">
        <v>2012.0</v>
      </c>
    </row>
    <row r="105" ht="12.75" customHeight="1">
      <c r="A105" s="3">
        <v>2013.0</v>
      </c>
    </row>
    <row r="106" ht="12.75" customHeight="1">
      <c r="A106" s="3">
        <v>2014.0</v>
      </c>
    </row>
    <row r="107" ht="12.75" customHeight="1">
      <c r="A107" s="3">
        <v>2015.0</v>
      </c>
    </row>
    <row r="108" ht="12.75" customHeight="1">
      <c r="A108" s="3">
        <v>2016.0</v>
      </c>
    </row>
    <row r="109" ht="12.75" customHeight="1">
      <c r="A109" s="3">
        <v>2017.0</v>
      </c>
    </row>
    <row r="110" ht="12.75" customHeight="1">
      <c r="A110" s="3">
        <v>2018.0</v>
      </c>
    </row>
    <row r="111" ht="12.75" customHeight="1">
      <c r="A111" s="3">
        <v>2019.0</v>
      </c>
    </row>
    <row r="112" ht="12.75" customHeight="1">
      <c r="A112" s="3">
        <v>2020.0</v>
      </c>
    </row>
    <row r="113" ht="12.75" customHeight="1">
      <c r="A113" s="3">
        <v>2021.0</v>
      </c>
    </row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O1:R1"/>
    <mergeCell ref="O2:R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2.0"/>
    <col customWidth="1" min="3" max="13" width="14.0"/>
    <col customWidth="1" min="14" max="14" width="9.0"/>
    <col customWidth="1" min="15" max="21" width="14.0"/>
    <col customWidth="1" min="22" max="26" width="8.63"/>
  </cols>
  <sheetData>
    <row r="1" ht="12.75" customHeight="1">
      <c r="A1" s="4" t="s">
        <v>212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10"/>
    </row>
    <row r="2" ht="12.75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</row>
    <row r="3" ht="14.25" customHeight="1">
      <c r="A3" s="16" t="s">
        <v>225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</row>
    <row r="4" ht="12.75" customHeight="1"/>
    <row r="5" ht="27.75" customHeight="1">
      <c r="A5" s="3" t="s">
        <v>231</v>
      </c>
      <c r="B5" s="19">
        <v>1910.0</v>
      </c>
      <c r="D5" s="16" t="s">
        <v>235</v>
      </c>
      <c r="E5" s="7"/>
      <c r="F5" s="7"/>
      <c r="G5" s="7"/>
      <c r="H5" s="7"/>
      <c r="I5" s="7"/>
      <c r="J5" s="7"/>
      <c r="K5" s="8"/>
    </row>
    <row r="6" ht="12.75" customHeight="1"/>
    <row r="7" ht="12.75" customHeight="1">
      <c r="A7" s="1" t="s">
        <v>239</v>
      </c>
      <c r="B7" s="1" t="s">
        <v>240</v>
      </c>
      <c r="C7" s="1" t="s">
        <v>241</v>
      </c>
      <c r="D7" s="1" t="s">
        <v>242</v>
      </c>
      <c r="E7" s="1" t="s">
        <v>244</v>
      </c>
      <c r="F7" s="1" t="s">
        <v>245</v>
      </c>
      <c r="G7" s="1" t="s">
        <v>247</v>
      </c>
      <c r="H7" s="1" t="s">
        <v>248</v>
      </c>
      <c r="I7" s="1" t="s">
        <v>249</v>
      </c>
      <c r="J7" s="1" t="s">
        <v>251</v>
      </c>
      <c r="K7" s="1" t="s">
        <v>253</v>
      </c>
      <c r="L7" s="1" t="s">
        <v>254</v>
      </c>
      <c r="M7" s="1" t="s">
        <v>255</v>
      </c>
      <c r="N7" s="1" t="s">
        <v>257</v>
      </c>
      <c r="O7" s="1" t="s">
        <v>258</v>
      </c>
      <c r="P7" s="1" t="s">
        <v>259</v>
      </c>
      <c r="Q7" s="1" t="s">
        <v>260</v>
      </c>
      <c r="R7" s="1" t="s">
        <v>261</v>
      </c>
      <c r="S7" s="1" t="s">
        <v>264</v>
      </c>
      <c r="T7" s="1" t="s">
        <v>265</v>
      </c>
      <c r="U7" s="1" t="s">
        <v>266</v>
      </c>
    </row>
    <row r="8" ht="12.75" customHeight="1">
      <c r="A8" s="3" t="s">
        <v>15</v>
      </c>
      <c r="B8" s="25">
        <f>DATE($B$5,1,1)</f>
        <v>3654</v>
      </c>
      <c r="C8" s="26" t="str">
        <f t="array" ref="C8">IFERROR(INDEX(Verificacao!$D$24:$D$1367,MATCH($B8,Verificacao!$A$24:$A$1367,0)),"")</f>
        <v/>
      </c>
      <c r="D8" s="26" t="str">
        <f t="array" ref="D8">IFERROR(INDEX(Verificacao!$E$24:$E$1367,MATCH($B8,Verificacao!$A$24:$A$1367,0)),"")</f>
        <v/>
      </c>
      <c r="E8" s="26" t="str">
        <f t="array" ref="E8">IFERROR(INDEX(Verificacao!$H$24:$H$1367,MATCH($B8,Verificacao!$A$24:$A$1367,0)),"")</f>
        <v/>
      </c>
      <c r="F8" s="26" t="str">
        <f t="array" ref="F8">IFERROR(INDEX(Verificacao!$F$24:$F$1367,MATCH($B8,Verificacao!$A$24:$A$1367,0)),"")</f>
        <v/>
      </c>
      <c r="G8" s="26" t="str">
        <f t="array" ref="G8">IFERROR(INDEX(Verificacao!$N$24:$N$1367,MATCH($B8,Verificacao!$A$24:$A$1367,0)),"")</f>
        <v/>
      </c>
      <c r="H8" s="26" t="str">
        <f t="array" ref="H8">IFERROR(INDEX(Verificacao!$O$24:$O$1367,MATCH($B8,Verificacao!$A$24:$A$1367,0)),"")</f>
        <v/>
      </c>
      <c r="I8" s="26" t="str">
        <f t="array" ref="I8">IFERROR(INDEX(Verificacao!$J$24:$J$1367,MATCH($B8,Verificacao!$A$24:$A$1367,0)),"")</f>
        <v/>
      </c>
      <c r="J8" s="26" t="str">
        <f t="array" ref="J8">IFERROR(INDEX(Verificacao!$R$24:$R$1367,MATCH($B8,Verificacao!$A$24:$A$1367,0)),"")</f>
        <v/>
      </c>
      <c r="K8" s="26" t="str">
        <f t="array" ref="K8">IFERROR(INDEX(Verificacao!$S$24:$S$1367,MATCH($B8,Verificacao!$A$24:$A$1367,0)),"")</f>
        <v/>
      </c>
      <c r="L8" s="26" t="str">
        <f t="array" ref="L8">IFERROR(INDEX(Verificacao!$T$24:$T$1367,MATCH($B8,Verificacao!$A$24:$A$1367,0)),"")</f>
        <v/>
      </c>
      <c r="M8" s="26" t="str">
        <f t="array" ref="M8">IFERROR(INDEX(Verificacao!$U$24:$U$1367,MATCH($B8,Verificacao!$A$24:$A$1367,0)),"")</f>
        <v/>
      </c>
      <c r="N8" s="26" t="str">
        <f t="array" ref="N8">IFERROR(INDEX(Verificacao!$V$24:$V$1367,MATCH($B8,Verificacao!$A$24:$A$1367,0)),"")</f>
        <v/>
      </c>
      <c r="O8" s="26" t="str">
        <f t="array" ref="O8">IFERROR(INDEX(Verificacao!$W$24:$W$1367,MATCH($B8,Verificacao!$A$24:$A$1367,0)),"")</f>
        <v/>
      </c>
      <c r="P8" s="24"/>
      <c r="Q8" s="26" t="str">
        <f t="shared" ref="Q8:Q19" si="1">IF(OR(P8="",M8=""),"",P8-M8)</f>
        <v/>
      </c>
      <c r="R8" s="24"/>
      <c r="S8" s="26" t="str">
        <f t="shared" ref="S8:S19" si="2">IF(OR(R8="",H8=""),"",R8-H8)</f>
        <v/>
      </c>
      <c r="T8" s="24"/>
      <c r="U8" s="26" t="str">
        <f t="shared" ref="U8:U19" si="3">IF(OR(T8="",L8=""),"",T8-L8)</f>
        <v/>
      </c>
    </row>
    <row r="9" ht="12.75" customHeight="1">
      <c r="A9" s="3" t="s">
        <v>17</v>
      </c>
      <c r="B9" s="25">
        <f>DATE($B$5,2,1)</f>
        <v>3685</v>
      </c>
      <c r="C9" s="26" t="str">
        <f t="array" ref="C9">IFERROR(INDEX(Verificacao!$D$24:$D$1367,MATCH($B9,Verificacao!$A$24:$A$1367,0)),"")</f>
        <v/>
      </c>
      <c r="D9" s="26" t="str">
        <f t="array" ref="D9">IFERROR(INDEX(Verificacao!$E$24:$E$1367,MATCH($B9,Verificacao!$A$24:$A$1367,0)),"")</f>
        <v/>
      </c>
      <c r="E9" s="26" t="str">
        <f t="array" ref="E9">IFERROR(INDEX(Verificacao!$H$24:$H$1367,MATCH($B9,Verificacao!$A$24:$A$1367,0)),"")</f>
        <v/>
      </c>
      <c r="F9" s="26" t="str">
        <f t="array" ref="F9">IFERROR(INDEX(Verificacao!$F$24:$F$1367,MATCH($B9,Verificacao!$A$24:$A$1367,0)),"")</f>
        <v/>
      </c>
      <c r="G9" s="26" t="str">
        <f t="array" ref="G9">IFERROR(INDEX(Verificacao!$N$24:$N$1367,MATCH($B9,Verificacao!$A$24:$A$1367,0)),"")</f>
        <v/>
      </c>
      <c r="H9" s="26" t="str">
        <f t="array" ref="H9">IFERROR(INDEX(Verificacao!$O$24:$O$1367,MATCH($B9,Verificacao!$A$24:$A$1367,0)),"")</f>
        <v/>
      </c>
      <c r="I9" s="26" t="str">
        <f t="array" ref="I9">IFERROR(INDEX(Verificacao!$J$24:$J$1367,MATCH($B9,Verificacao!$A$24:$A$1367,0)),"")</f>
        <v/>
      </c>
      <c r="J9" s="26" t="str">
        <f t="array" ref="J9">IFERROR(INDEX(Verificacao!$R$24:$R$1367,MATCH($B9,Verificacao!$A$24:$A$1367,0)),"")</f>
        <v/>
      </c>
      <c r="K9" s="26" t="str">
        <f t="array" ref="K9">IFERROR(INDEX(Verificacao!$S$24:$S$1367,MATCH($B9,Verificacao!$A$24:$A$1367,0)),"")</f>
        <v/>
      </c>
      <c r="L9" s="26" t="str">
        <f t="array" ref="L9">IFERROR(INDEX(Verificacao!$T$24:$T$1367,MATCH($B9,Verificacao!$A$24:$A$1367,0)),"")</f>
        <v/>
      </c>
      <c r="M9" s="26" t="str">
        <f t="array" ref="M9">IFERROR(INDEX(Verificacao!$U$24:$U$1367,MATCH($B9,Verificacao!$A$24:$A$1367,0)),"")</f>
        <v/>
      </c>
      <c r="N9" s="26" t="str">
        <f t="array" ref="N9">IFERROR(INDEX(Verificacao!$V$24:$V$1367,MATCH($B9,Verificacao!$A$24:$A$1367,0)),"")</f>
        <v/>
      </c>
      <c r="O9" s="26" t="str">
        <f t="array" ref="O9">IFERROR(INDEX(Verificacao!$W$24:$W$1367,MATCH($B9,Verificacao!$A$24:$A$1367,0)),"")</f>
        <v/>
      </c>
      <c r="P9" s="24"/>
      <c r="Q9" s="26" t="str">
        <f t="shared" si="1"/>
        <v/>
      </c>
      <c r="R9" s="24"/>
      <c r="S9" s="26" t="str">
        <f t="shared" si="2"/>
        <v/>
      </c>
      <c r="T9" s="24"/>
      <c r="U9" s="26" t="str">
        <f t="shared" si="3"/>
        <v/>
      </c>
    </row>
    <row r="10" ht="12.75" customHeight="1">
      <c r="A10" s="3" t="s">
        <v>18</v>
      </c>
      <c r="B10" s="25">
        <f>DATE($B$5,3,1)</f>
        <v>3713</v>
      </c>
      <c r="C10" s="26" t="str">
        <f t="array" ref="C10">IFERROR(INDEX(Verificacao!$D$24:$D$1367,MATCH($B10,Verificacao!$A$24:$A$1367,0)),"")</f>
        <v/>
      </c>
      <c r="D10" s="26" t="str">
        <f t="array" ref="D10">IFERROR(INDEX(Verificacao!$E$24:$E$1367,MATCH($B10,Verificacao!$A$24:$A$1367,0)),"")</f>
        <v/>
      </c>
      <c r="E10" s="26" t="str">
        <f t="array" ref="E10">IFERROR(INDEX(Verificacao!$H$24:$H$1367,MATCH($B10,Verificacao!$A$24:$A$1367,0)),"")</f>
        <v/>
      </c>
      <c r="F10" s="26" t="str">
        <f t="array" ref="F10">IFERROR(INDEX(Verificacao!$F$24:$F$1367,MATCH($B10,Verificacao!$A$24:$A$1367,0)),"")</f>
        <v/>
      </c>
      <c r="G10" s="26" t="str">
        <f t="array" ref="G10">IFERROR(INDEX(Verificacao!$N$24:$N$1367,MATCH($B10,Verificacao!$A$24:$A$1367,0)),"")</f>
        <v/>
      </c>
      <c r="H10" s="26" t="str">
        <f t="array" ref="H10">IFERROR(INDEX(Verificacao!$O$24:$O$1367,MATCH($B10,Verificacao!$A$24:$A$1367,0)),"")</f>
        <v/>
      </c>
      <c r="I10" s="26" t="str">
        <f t="array" ref="I10">IFERROR(INDEX(Verificacao!$J$24:$J$1367,MATCH($B10,Verificacao!$A$24:$A$1367,0)),"")</f>
        <v/>
      </c>
      <c r="J10" s="26" t="str">
        <f t="array" ref="J10">IFERROR(INDEX(Verificacao!$R$24:$R$1367,MATCH($B10,Verificacao!$A$24:$A$1367,0)),"")</f>
        <v/>
      </c>
      <c r="K10" s="26" t="str">
        <f t="array" ref="K10">IFERROR(INDEX(Verificacao!$S$24:$S$1367,MATCH($B10,Verificacao!$A$24:$A$1367,0)),"")</f>
        <v/>
      </c>
      <c r="L10" s="26" t="str">
        <f t="array" ref="L10">IFERROR(INDEX(Verificacao!$T$24:$T$1367,MATCH($B10,Verificacao!$A$24:$A$1367,0)),"")</f>
        <v/>
      </c>
      <c r="M10" s="26" t="str">
        <f t="array" ref="M10">IFERROR(INDEX(Verificacao!$U$24:$U$1367,MATCH($B10,Verificacao!$A$24:$A$1367,0)),"")</f>
        <v/>
      </c>
      <c r="N10" s="26" t="str">
        <f t="array" ref="N10">IFERROR(INDEX(Verificacao!$V$24:$V$1367,MATCH($B10,Verificacao!$A$24:$A$1367,0)),"")</f>
        <v/>
      </c>
      <c r="O10" s="26" t="str">
        <f t="array" ref="O10">IFERROR(INDEX(Verificacao!$W$24:$W$1367,MATCH($B10,Verificacao!$A$24:$A$1367,0)),"")</f>
        <v/>
      </c>
      <c r="P10" s="24"/>
      <c r="Q10" s="26" t="str">
        <f t="shared" si="1"/>
        <v/>
      </c>
      <c r="R10" s="24"/>
      <c r="S10" s="26" t="str">
        <f t="shared" si="2"/>
        <v/>
      </c>
      <c r="T10" s="24"/>
      <c r="U10" s="26" t="str">
        <f t="shared" si="3"/>
        <v/>
      </c>
    </row>
    <row r="11" ht="12.75" customHeight="1">
      <c r="A11" s="3" t="s">
        <v>20</v>
      </c>
      <c r="B11" s="25">
        <f>DATE($B$5,4,1)</f>
        <v>3744</v>
      </c>
      <c r="C11" s="26" t="str">
        <f t="array" ref="C11">IFERROR(INDEX(Verificacao!$D$24:$D$1367,MATCH($B11,Verificacao!$A$24:$A$1367,0)),"")</f>
        <v/>
      </c>
      <c r="D11" s="26" t="str">
        <f t="array" ref="D11">IFERROR(INDEX(Verificacao!$E$24:$E$1367,MATCH($B11,Verificacao!$A$24:$A$1367,0)),"")</f>
        <v/>
      </c>
      <c r="E11" s="26" t="str">
        <f t="array" ref="E11">IFERROR(INDEX(Verificacao!$H$24:$H$1367,MATCH($B11,Verificacao!$A$24:$A$1367,0)),"")</f>
        <v/>
      </c>
      <c r="F11" s="26" t="str">
        <f t="array" ref="F11">IFERROR(INDEX(Verificacao!$F$24:$F$1367,MATCH($B11,Verificacao!$A$24:$A$1367,0)),"")</f>
        <v/>
      </c>
      <c r="G11" s="26" t="str">
        <f t="array" ref="G11">IFERROR(INDEX(Verificacao!$N$24:$N$1367,MATCH($B11,Verificacao!$A$24:$A$1367,0)),"")</f>
        <v/>
      </c>
      <c r="H11" s="26" t="str">
        <f t="array" ref="H11">IFERROR(INDEX(Verificacao!$O$24:$O$1367,MATCH($B11,Verificacao!$A$24:$A$1367,0)),"")</f>
        <v/>
      </c>
      <c r="I11" s="26" t="str">
        <f t="array" ref="I11">IFERROR(INDEX(Verificacao!$J$24:$J$1367,MATCH($B11,Verificacao!$A$24:$A$1367,0)),"")</f>
        <v/>
      </c>
      <c r="J11" s="26" t="str">
        <f t="array" ref="J11">IFERROR(INDEX(Verificacao!$R$24:$R$1367,MATCH($B11,Verificacao!$A$24:$A$1367,0)),"")</f>
        <v/>
      </c>
      <c r="K11" s="26" t="str">
        <f t="array" ref="K11">IFERROR(INDEX(Verificacao!$S$24:$S$1367,MATCH($B11,Verificacao!$A$24:$A$1367,0)),"")</f>
        <v/>
      </c>
      <c r="L11" s="26" t="str">
        <f t="array" ref="L11">IFERROR(INDEX(Verificacao!$T$24:$T$1367,MATCH($B11,Verificacao!$A$24:$A$1367,0)),"")</f>
        <v/>
      </c>
      <c r="M11" s="26" t="str">
        <f t="array" ref="M11">IFERROR(INDEX(Verificacao!$U$24:$U$1367,MATCH($B11,Verificacao!$A$24:$A$1367,0)),"")</f>
        <v/>
      </c>
      <c r="N11" s="26" t="str">
        <f t="array" ref="N11">IFERROR(INDEX(Verificacao!$V$24:$V$1367,MATCH($B11,Verificacao!$A$24:$A$1367,0)),"")</f>
        <v/>
      </c>
      <c r="O11" s="26" t="str">
        <f t="array" ref="O11">IFERROR(INDEX(Verificacao!$W$24:$W$1367,MATCH($B11,Verificacao!$A$24:$A$1367,0)),"")</f>
        <v/>
      </c>
      <c r="P11" s="24"/>
      <c r="Q11" s="26" t="str">
        <f t="shared" si="1"/>
        <v/>
      </c>
      <c r="R11" s="24"/>
      <c r="S11" s="26" t="str">
        <f t="shared" si="2"/>
        <v/>
      </c>
      <c r="T11" s="24"/>
      <c r="U11" s="26" t="str">
        <f t="shared" si="3"/>
        <v/>
      </c>
    </row>
    <row r="12" ht="12.75" customHeight="1">
      <c r="A12" s="3" t="s">
        <v>22</v>
      </c>
      <c r="B12" s="25">
        <f>DATE($B$5,5,1)</f>
        <v>3774</v>
      </c>
      <c r="C12" s="26" t="str">
        <f t="array" ref="C12">IFERROR(INDEX(Verificacao!$D$24:$D$1367,MATCH($B12,Verificacao!$A$24:$A$1367,0)),"")</f>
        <v/>
      </c>
      <c r="D12" s="26" t="str">
        <f t="array" ref="D12">IFERROR(INDEX(Verificacao!$E$24:$E$1367,MATCH($B12,Verificacao!$A$24:$A$1367,0)),"")</f>
        <v/>
      </c>
      <c r="E12" s="26" t="str">
        <f t="array" ref="E12">IFERROR(INDEX(Verificacao!$H$24:$H$1367,MATCH($B12,Verificacao!$A$24:$A$1367,0)),"")</f>
        <v/>
      </c>
      <c r="F12" s="26" t="str">
        <f t="array" ref="F12">IFERROR(INDEX(Verificacao!$F$24:$F$1367,MATCH($B12,Verificacao!$A$24:$A$1367,0)),"")</f>
        <v/>
      </c>
      <c r="G12" s="26" t="str">
        <f t="array" ref="G12">IFERROR(INDEX(Verificacao!$N$24:$N$1367,MATCH($B12,Verificacao!$A$24:$A$1367,0)),"")</f>
        <v/>
      </c>
      <c r="H12" s="26" t="str">
        <f t="array" ref="H12">IFERROR(INDEX(Verificacao!$O$24:$O$1367,MATCH($B12,Verificacao!$A$24:$A$1367,0)),"")</f>
        <v/>
      </c>
      <c r="I12" s="26" t="str">
        <f t="array" ref="I12">IFERROR(INDEX(Verificacao!$J$24:$J$1367,MATCH($B12,Verificacao!$A$24:$A$1367,0)),"")</f>
        <v/>
      </c>
      <c r="J12" s="26" t="str">
        <f t="array" ref="J12">IFERROR(INDEX(Verificacao!$R$24:$R$1367,MATCH($B12,Verificacao!$A$24:$A$1367,0)),"")</f>
        <v/>
      </c>
      <c r="K12" s="26" t="str">
        <f t="array" ref="K12">IFERROR(INDEX(Verificacao!$S$24:$S$1367,MATCH($B12,Verificacao!$A$24:$A$1367,0)),"")</f>
        <v/>
      </c>
      <c r="L12" s="26" t="str">
        <f t="array" ref="L12">IFERROR(INDEX(Verificacao!$T$24:$T$1367,MATCH($B12,Verificacao!$A$24:$A$1367,0)),"")</f>
        <v/>
      </c>
      <c r="M12" s="26" t="str">
        <f t="array" ref="M12">IFERROR(INDEX(Verificacao!$U$24:$U$1367,MATCH($B12,Verificacao!$A$24:$A$1367,0)),"")</f>
        <v/>
      </c>
      <c r="N12" s="26" t="str">
        <f t="array" ref="N12">IFERROR(INDEX(Verificacao!$V$24:$V$1367,MATCH($B12,Verificacao!$A$24:$A$1367,0)),"")</f>
        <v/>
      </c>
      <c r="O12" s="26" t="str">
        <f t="array" ref="O12">IFERROR(INDEX(Verificacao!$W$24:$W$1367,MATCH($B12,Verificacao!$A$24:$A$1367,0)),"")</f>
        <v/>
      </c>
      <c r="P12" s="24"/>
      <c r="Q12" s="26" t="str">
        <f t="shared" si="1"/>
        <v/>
      </c>
      <c r="R12" s="24"/>
      <c r="S12" s="26" t="str">
        <f t="shared" si="2"/>
        <v/>
      </c>
      <c r="T12" s="24"/>
      <c r="U12" s="26" t="str">
        <f t="shared" si="3"/>
        <v/>
      </c>
    </row>
    <row r="13" ht="12.75" customHeight="1">
      <c r="A13" s="3" t="s">
        <v>23</v>
      </c>
      <c r="B13" s="25">
        <f>DATE($B$5,6,1)</f>
        <v>3805</v>
      </c>
      <c r="C13" s="26" t="str">
        <f t="array" ref="C13">IFERROR(INDEX(Verificacao!$D$24:$D$1367,MATCH($B13,Verificacao!$A$24:$A$1367,0)),"")</f>
        <v/>
      </c>
      <c r="D13" s="26" t="str">
        <f t="array" ref="D13">IFERROR(INDEX(Verificacao!$E$24:$E$1367,MATCH($B13,Verificacao!$A$24:$A$1367,0)),"")</f>
        <v/>
      </c>
      <c r="E13" s="26" t="str">
        <f t="array" ref="E13">IFERROR(INDEX(Verificacao!$H$24:$H$1367,MATCH($B13,Verificacao!$A$24:$A$1367,0)),"")</f>
        <v/>
      </c>
      <c r="F13" s="26" t="str">
        <f t="array" ref="F13">IFERROR(INDEX(Verificacao!$F$24:$F$1367,MATCH($B13,Verificacao!$A$24:$A$1367,0)),"")</f>
        <v/>
      </c>
      <c r="G13" s="26" t="str">
        <f t="array" ref="G13">IFERROR(INDEX(Verificacao!$N$24:$N$1367,MATCH($B13,Verificacao!$A$24:$A$1367,0)),"")</f>
        <v/>
      </c>
      <c r="H13" s="26" t="str">
        <f t="array" ref="H13">IFERROR(INDEX(Verificacao!$O$24:$O$1367,MATCH($B13,Verificacao!$A$24:$A$1367,0)),"")</f>
        <v/>
      </c>
      <c r="I13" s="26" t="str">
        <f t="array" ref="I13">IFERROR(INDEX(Verificacao!$J$24:$J$1367,MATCH($B13,Verificacao!$A$24:$A$1367,0)),"")</f>
        <v/>
      </c>
      <c r="J13" s="26" t="str">
        <f t="array" ref="J13">IFERROR(INDEX(Verificacao!$R$24:$R$1367,MATCH($B13,Verificacao!$A$24:$A$1367,0)),"")</f>
        <v/>
      </c>
      <c r="K13" s="26" t="str">
        <f t="array" ref="K13">IFERROR(INDEX(Verificacao!$S$24:$S$1367,MATCH($B13,Verificacao!$A$24:$A$1367,0)),"")</f>
        <v/>
      </c>
      <c r="L13" s="26" t="str">
        <f t="array" ref="L13">IFERROR(INDEX(Verificacao!$T$24:$T$1367,MATCH($B13,Verificacao!$A$24:$A$1367,0)),"")</f>
        <v/>
      </c>
      <c r="M13" s="26" t="str">
        <f t="array" ref="M13">IFERROR(INDEX(Verificacao!$U$24:$U$1367,MATCH($B13,Verificacao!$A$24:$A$1367,0)),"")</f>
        <v/>
      </c>
      <c r="N13" s="26" t="str">
        <f t="array" ref="N13">IFERROR(INDEX(Verificacao!$V$24:$V$1367,MATCH($B13,Verificacao!$A$24:$A$1367,0)),"")</f>
        <v/>
      </c>
      <c r="O13" s="26" t="str">
        <f t="array" ref="O13">IFERROR(INDEX(Verificacao!$W$24:$W$1367,MATCH($B13,Verificacao!$A$24:$A$1367,0)),"")</f>
        <v/>
      </c>
      <c r="P13" s="24"/>
      <c r="Q13" s="26" t="str">
        <f t="shared" si="1"/>
        <v/>
      </c>
      <c r="R13" s="24"/>
      <c r="S13" s="26" t="str">
        <f t="shared" si="2"/>
        <v/>
      </c>
      <c r="T13" s="24"/>
      <c r="U13" s="26" t="str">
        <f t="shared" si="3"/>
        <v/>
      </c>
    </row>
    <row r="14" ht="12.75" customHeight="1">
      <c r="A14" s="3" t="s">
        <v>25</v>
      </c>
      <c r="B14" s="25">
        <f>DATE($B$5,7,1)</f>
        <v>3835</v>
      </c>
      <c r="C14" s="26" t="str">
        <f t="array" ref="C14">IFERROR(INDEX(Verificacao!$D$24:$D$1367,MATCH($B14,Verificacao!$A$24:$A$1367,0)),"")</f>
        <v/>
      </c>
      <c r="D14" s="26" t="str">
        <f t="array" ref="D14">IFERROR(INDEX(Verificacao!$E$24:$E$1367,MATCH($B14,Verificacao!$A$24:$A$1367,0)),"")</f>
        <v/>
      </c>
      <c r="E14" s="26" t="str">
        <f t="array" ref="E14">IFERROR(INDEX(Verificacao!$H$24:$H$1367,MATCH($B14,Verificacao!$A$24:$A$1367,0)),"")</f>
        <v/>
      </c>
      <c r="F14" s="26" t="str">
        <f t="array" ref="F14">IFERROR(INDEX(Verificacao!$F$24:$F$1367,MATCH($B14,Verificacao!$A$24:$A$1367,0)),"")</f>
        <v/>
      </c>
      <c r="G14" s="26" t="str">
        <f t="array" ref="G14">IFERROR(INDEX(Verificacao!$N$24:$N$1367,MATCH($B14,Verificacao!$A$24:$A$1367,0)),"")</f>
        <v/>
      </c>
      <c r="H14" s="26" t="str">
        <f t="array" ref="H14">IFERROR(INDEX(Verificacao!$O$24:$O$1367,MATCH($B14,Verificacao!$A$24:$A$1367,0)),"")</f>
        <v/>
      </c>
      <c r="I14" s="26" t="str">
        <f t="array" ref="I14">IFERROR(INDEX(Verificacao!$J$24:$J$1367,MATCH($B14,Verificacao!$A$24:$A$1367,0)),"")</f>
        <v/>
      </c>
      <c r="J14" s="26" t="str">
        <f t="array" ref="J14">IFERROR(INDEX(Verificacao!$R$24:$R$1367,MATCH($B14,Verificacao!$A$24:$A$1367,0)),"")</f>
        <v/>
      </c>
      <c r="K14" s="26" t="str">
        <f t="array" ref="K14">IFERROR(INDEX(Verificacao!$S$24:$S$1367,MATCH($B14,Verificacao!$A$24:$A$1367,0)),"")</f>
        <v/>
      </c>
      <c r="L14" s="26" t="str">
        <f t="array" ref="L14">IFERROR(INDEX(Verificacao!$T$24:$T$1367,MATCH($B14,Verificacao!$A$24:$A$1367,0)),"")</f>
        <v/>
      </c>
      <c r="M14" s="26" t="str">
        <f t="array" ref="M14">IFERROR(INDEX(Verificacao!$U$24:$U$1367,MATCH($B14,Verificacao!$A$24:$A$1367,0)),"")</f>
        <v/>
      </c>
      <c r="N14" s="26" t="str">
        <f t="array" ref="N14">IFERROR(INDEX(Verificacao!$V$24:$V$1367,MATCH($B14,Verificacao!$A$24:$A$1367,0)),"")</f>
        <v/>
      </c>
      <c r="O14" s="26" t="str">
        <f t="array" ref="O14">IFERROR(INDEX(Verificacao!$W$24:$W$1367,MATCH($B14,Verificacao!$A$24:$A$1367,0)),"")</f>
        <v/>
      </c>
      <c r="P14" s="24"/>
      <c r="Q14" s="26" t="str">
        <f t="shared" si="1"/>
        <v/>
      </c>
      <c r="R14" s="24"/>
      <c r="S14" s="26" t="str">
        <f t="shared" si="2"/>
        <v/>
      </c>
      <c r="T14" s="24"/>
      <c r="U14" s="26" t="str">
        <f t="shared" si="3"/>
        <v/>
      </c>
    </row>
    <row r="15" ht="12.75" customHeight="1">
      <c r="A15" s="3" t="s">
        <v>26</v>
      </c>
      <c r="B15" s="25">
        <f>DATE($B$5,8,1)</f>
        <v>3866</v>
      </c>
      <c r="C15" s="26" t="str">
        <f t="array" ref="C15">IFERROR(INDEX(Verificacao!$D$24:$D$1367,MATCH($B15,Verificacao!$A$24:$A$1367,0)),"")</f>
        <v/>
      </c>
      <c r="D15" s="26" t="str">
        <f t="array" ref="D15">IFERROR(INDEX(Verificacao!$E$24:$E$1367,MATCH($B15,Verificacao!$A$24:$A$1367,0)),"")</f>
        <v/>
      </c>
      <c r="E15" s="26" t="str">
        <f t="array" ref="E15">IFERROR(INDEX(Verificacao!$H$24:$H$1367,MATCH($B15,Verificacao!$A$24:$A$1367,0)),"")</f>
        <v/>
      </c>
      <c r="F15" s="26" t="str">
        <f t="array" ref="F15">IFERROR(INDEX(Verificacao!$F$24:$F$1367,MATCH($B15,Verificacao!$A$24:$A$1367,0)),"")</f>
        <v/>
      </c>
      <c r="G15" s="26" t="str">
        <f t="array" ref="G15">IFERROR(INDEX(Verificacao!$N$24:$N$1367,MATCH($B15,Verificacao!$A$24:$A$1367,0)),"")</f>
        <v/>
      </c>
      <c r="H15" s="26" t="str">
        <f t="array" ref="H15">IFERROR(INDEX(Verificacao!$O$24:$O$1367,MATCH($B15,Verificacao!$A$24:$A$1367,0)),"")</f>
        <v/>
      </c>
      <c r="I15" s="26" t="str">
        <f t="array" ref="I15">IFERROR(INDEX(Verificacao!$J$24:$J$1367,MATCH($B15,Verificacao!$A$24:$A$1367,0)),"")</f>
        <v/>
      </c>
      <c r="J15" s="26" t="str">
        <f t="array" ref="J15">IFERROR(INDEX(Verificacao!$R$24:$R$1367,MATCH($B15,Verificacao!$A$24:$A$1367,0)),"")</f>
        <v/>
      </c>
      <c r="K15" s="26" t="str">
        <f t="array" ref="K15">IFERROR(INDEX(Verificacao!$S$24:$S$1367,MATCH($B15,Verificacao!$A$24:$A$1367,0)),"")</f>
        <v/>
      </c>
      <c r="L15" s="26" t="str">
        <f t="array" ref="L15">IFERROR(INDEX(Verificacao!$T$24:$T$1367,MATCH($B15,Verificacao!$A$24:$A$1367,0)),"")</f>
        <v/>
      </c>
      <c r="M15" s="26" t="str">
        <f t="array" ref="M15">IFERROR(INDEX(Verificacao!$U$24:$U$1367,MATCH($B15,Verificacao!$A$24:$A$1367,0)),"")</f>
        <v/>
      </c>
      <c r="N15" s="26" t="str">
        <f t="array" ref="N15">IFERROR(INDEX(Verificacao!$V$24:$V$1367,MATCH($B15,Verificacao!$A$24:$A$1367,0)),"")</f>
        <v/>
      </c>
      <c r="O15" s="26" t="str">
        <f t="array" ref="O15">IFERROR(INDEX(Verificacao!$W$24:$W$1367,MATCH($B15,Verificacao!$A$24:$A$1367,0)),"")</f>
        <v/>
      </c>
      <c r="P15" s="24"/>
      <c r="Q15" s="26" t="str">
        <f t="shared" si="1"/>
        <v/>
      </c>
      <c r="R15" s="24"/>
      <c r="S15" s="26" t="str">
        <f t="shared" si="2"/>
        <v/>
      </c>
      <c r="T15" s="24"/>
      <c r="U15" s="26" t="str">
        <f t="shared" si="3"/>
        <v/>
      </c>
    </row>
    <row r="16" ht="12.75" customHeight="1">
      <c r="A16" s="3" t="s">
        <v>27</v>
      </c>
      <c r="B16" s="25">
        <f>DATE($B$5,9,1)</f>
        <v>3897</v>
      </c>
      <c r="C16" s="26" t="str">
        <f t="array" ref="C16">IFERROR(INDEX(Verificacao!$D$24:$D$1367,MATCH($B16,Verificacao!$A$24:$A$1367,0)),"")</f>
        <v/>
      </c>
      <c r="D16" s="26" t="str">
        <f t="array" ref="D16">IFERROR(INDEX(Verificacao!$E$24:$E$1367,MATCH($B16,Verificacao!$A$24:$A$1367,0)),"")</f>
        <v/>
      </c>
      <c r="E16" s="26" t="str">
        <f t="array" ref="E16">IFERROR(INDEX(Verificacao!$H$24:$H$1367,MATCH($B16,Verificacao!$A$24:$A$1367,0)),"")</f>
        <v/>
      </c>
      <c r="F16" s="26" t="str">
        <f t="array" ref="F16">IFERROR(INDEX(Verificacao!$F$24:$F$1367,MATCH($B16,Verificacao!$A$24:$A$1367,0)),"")</f>
        <v/>
      </c>
      <c r="G16" s="26" t="str">
        <f t="array" ref="G16">IFERROR(INDEX(Verificacao!$N$24:$N$1367,MATCH($B16,Verificacao!$A$24:$A$1367,0)),"")</f>
        <v/>
      </c>
      <c r="H16" s="26" t="str">
        <f t="array" ref="H16">IFERROR(INDEX(Verificacao!$O$24:$O$1367,MATCH($B16,Verificacao!$A$24:$A$1367,0)),"")</f>
        <v/>
      </c>
      <c r="I16" s="26" t="str">
        <f t="array" ref="I16">IFERROR(INDEX(Verificacao!$J$24:$J$1367,MATCH($B16,Verificacao!$A$24:$A$1367,0)),"")</f>
        <v/>
      </c>
      <c r="J16" s="26" t="str">
        <f t="array" ref="J16">IFERROR(INDEX(Verificacao!$R$24:$R$1367,MATCH($B16,Verificacao!$A$24:$A$1367,0)),"")</f>
        <v/>
      </c>
      <c r="K16" s="26" t="str">
        <f t="array" ref="K16">IFERROR(INDEX(Verificacao!$S$24:$S$1367,MATCH($B16,Verificacao!$A$24:$A$1367,0)),"")</f>
        <v/>
      </c>
      <c r="L16" s="26" t="str">
        <f t="array" ref="L16">IFERROR(INDEX(Verificacao!$T$24:$T$1367,MATCH($B16,Verificacao!$A$24:$A$1367,0)),"")</f>
        <v/>
      </c>
      <c r="M16" s="26" t="str">
        <f t="array" ref="M16">IFERROR(INDEX(Verificacao!$U$24:$U$1367,MATCH($B16,Verificacao!$A$24:$A$1367,0)),"")</f>
        <v/>
      </c>
      <c r="N16" s="26" t="str">
        <f t="array" ref="N16">IFERROR(INDEX(Verificacao!$V$24:$V$1367,MATCH($B16,Verificacao!$A$24:$A$1367,0)),"")</f>
        <v/>
      </c>
      <c r="O16" s="26" t="str">
        <f t="array" ref="O16">IFERROR(INDEX(Verificacao!$W$24:$W$1367,MATCH($B16,Verificacao!$A$24:$A$1367,0)),"")</f>
        <v/>
      </c>
      <c r="P16" s="24"/>
      <c r="Q16" s="26" t="str">
        <f t="shared" si="1"/>
        <v/>
      </c>
      <c r="R16" s="24"/>
      <c r="S16" s="26" t="str">
        <f t="shared" si="2"/>
        <v/>
      </c>
      <c r="T16" s="24"/>
      <c r="U16" s="26" t="str">
        <f t="shared" si="3"/>
        <v/>
      </c>
    </row>
    <row r="17" ht="12.75" customHeight="1">
      <c r="A17" s="3" t="s">
        <v>28</v>
      </c>
      <c r="B17" s="25">
        <f>DATE($B$5,10,1)</f>
        <v>3927</v>
      </c>
      <c r="C17" s="26" t="str">
        <f t="array" ref="C17">IFERROR(INDEX(Verificacao!$D$24:$D$1367,MATCH($B17,Verificacao!$A$24:$A$1367,0)),"")</f>
        <v/>
      </c>
      <c r="D17" s="26" t="str">
        <f t="array" ref="D17">IFERROR(INDEX(Verificacao!$E$24:$E$1367,MATCH($B17,Verificacao!$A$24:$A$1367,0)),"")</f>
        <v/>
      </c>
      <c r="E17" s="26" t="str">
        <f t="array" ref="E17">IFERROR(INDEX(Verificacao!$H$24:$H$1367,MATCH($B17,Verificacao!$A$24:$A$1367,0)),"")</f>
        <v/>
      </c>
      <c r="F17" s="26" t="str">
        <f t="array" ref="F17">IFERROR(INDEX(Verificacao!$F$24:$F$1367,MATCH($B17,Verificacao!$A$24:$A$1367,0)),"")</f>
        <v/>
      </c>
      <c r="G17" s="26" t="str">
        <f t="array" ref="G17">IFERROR(INDEX(Verificacao!$N$24:$N$1367,MATCH($B17,Verificacao!$A$24:$A$1367,0)),"")</f>
        <v/>
      </c>
      <c r="H17" s="26" t="str">
        <f t="array" ref="H17">IFERROR(INDEX(Verificacao!$O$24:$O$1367,MATCH($B17,Verificacao!$A$24:$A$1367,0)),"")</f>
        <v/>
      </c>
      <c r="I17" s="26" t="str">
        <f t="array" ref="I17">IFERROR(INDEX(Verificacao!$J$24:$J$1367,MATCH($B17,Verificacao!$A$24:$A$1367,0)),"")</f>
        <v/>
      </c>
      <c r="J17" s="26" t="str">
        <f t="array" ref="J17">IFERROR(INDEX(Verificacao!$R$24:$R$1367,MATCH($B17,Verificacao!$A$24:$A$1367,0)),"")</f>
        <v/>
      </c>
      <c r="K17" s="26" t="str">
        <f t="array" ref="K17">IFERROR(INDEX(Verificacao!$S$24:$S$1367,MATCH($B17,Verificacao!$A$24:$A$1367,0)),"")</f>
        <v/>
      </c>
      <c r="L17" s="26" t="str">
        <f t="array" ref="L17">IFERROR(INDEX(Verificacao!$T$24:$T$1367,MATCH($B17,Verificacao!$A$24:$A$1367,0)),"")</f>
        <v/>
      </c>
      <c r="M17" s="26" t="str">
        <f t="array" ref="M17">IFERROR(INDEX(Verificacao!$U$24:$U$1367,MATCH($B17,Verificacao!$A$24:$A$1367,0)),"")</f>
        <v/>
      </c>
      <c r="N17" s="26" t="str">
        <f t="array" ref="N17">IFERROR(INDEX(Verificacao!$V$24:$V$1367,MATCH($B17,Verificacao!$A$24:$A$1367,0)),"")</f>
        <v/>
      </c>
      <c r="O17" s="26" t="str">
        <f t="array" ref="O17">IFERROR(INDEX(Verificacao!$W$24:$W$1367,MATCH($B17,Verificacao!$A$24:$A$1367,0)),"")</f>
        <v/>
      </c>
      <c r="P17" s="24"/>
      <c r="Q17" s="26" t="str">
        <f t="shared" si="1"/>
        <v/>
      </c>
      <c r="R17" s="24"/>
      <c r="S17" s="26" t="str">
        <f t="shared" si="2"/>
        <v/>
      </c>
      <c r="T17" s="24"/>
      <c r="U17" s="26" t="str">
        <f t="shared" si="3"/>
        <v/>
      </c>
    </row>
    <row r="18" ht="12.75" customHeight="1">
      <c r="A18" s="3" t="s">
        <v>29</v>
      </c>
      <c r="B18" s="25">
        <f>DATE($B$5,11,1)</f>
        <v>3958</v>
      </c>
      <c r="C18" s="26">
        <f t="array" ref="C18">IFERROR(INDEX(Verificacao!$D$24:$D$1367,MATCH($B18,Verificacao!$A$24:$A$1367,0)),"")</f>
        <v>0</v>
      </c>
      <c r="D18" s="26">
        <f t="array" ref="D18">IFERROR(INDEX(Verificacao!$E$24:$E$1367,MATCH($B18,Verificacao!$A$24:$A$1367,0)),"")</f>
        <v>0</v>
      </c>
      <c r="E18" s="26">
        <f t="array" ref="E18">IFERROR(INDEX(Verificacao!$H$24:$H$1367,MATCH($B18,Verificacao!$A$24:$A$1367,0)),"")</f>
        <v>10.65</v>
      </c>
      <c r="F18" s="26">
        <f t="array" ref="F18">IFERROR(INDEX(Verificacao!$F$24:$F$1367,MATCH($B18,Verificacao!$A$24:$A$1367,0)),"")</f>
        <v>225.9</v>
      </c>
      <c r="G18" s="26">
        <f t="array" ref="G18">IFERROR(INDEX(Verificacao!$N$24:$N$1367,MATCH($B18,Verificacao!$A$24:$A$1367,0)),"")</f>
        <v>0.9260146589</v>
      </c>
      <c r="H18" s="26">
        <f t="array" ref="H18">IFERROR(INDEX(Verificacao!$O$24:$O$1367,MATCH($B18,Verificacao!$A$24:$A$1367,0)),"")</f>
        <v>0.2091867114</v>
      </c>
      <c r="I18" s="26">
        <f t="array" ref="I18">IFERROR(INDEX(Verificacao!$J$24:$J$1367,MATCH($B18,Verificacao!$A$24:$A$1367,0)),"")</f>
        <v>0.5</v>
      </c>
      <c r="J18" s="26">
        <f t="array" ref="J18">IFERROR(INDEX(Verificacao!$R$24:$R$1367,MATCH($B18,Verificacao!$A$24:$A$1367,0)),"")</f>
        <v>0.5</v>
      </c>
      <c r="K18" s="26">
        <f t="array" ref="K18">IFERROR(INDEX(Verificacao!$S$24:$S$1367,MATCH($B18,Verificacao!$A$24:$A$1367,0)),"")</f>
        <v>0</v>
      </c>
      <c r="L18" s="26">
        <f t="array" ref="L18">IFERROR(INDEX(Verificacao!$T$24:$T$1367,MATCH($B18,Verificacao!$A$24:$A$1367,0)),"")</f>
        <v>0</v>
      </c>
      <c r="M18" s="26">
        <f t="array" ref="M18">IFERROR(INDEX(Verificacao!$U$24:$U$1367,MATCH($B18,Verificacao!$A$24:$A$1367,0)),"")</f>
        <v>9.144813289</v>
      </c>
      <c r="N18" s="26" t="str">
        <f t="array" ref="N18">IFERROR(INDEX(Verificacao!$V$24:$V$1367,MATCH($B18,Verificacao!$A$24:$A$1367,0)),"")</f>
        <v>Não</v>
      </c>
      <c r="O18" s="26">
        <f t="array" ref="O18">IFERROR(INDEX(Verificacao!$W$24:$W$1367,MATCH($B18,Verificacao!$A$24:$A$1367,0)),"")</f>
        <v>0</v>
      </c>
      <c r="P18" s="24"/>
      <c r="Q18" s="26" t="str">
        <f t="shared" si="1"/>
        <v/>
      </c>
      <c r="R18" s="24"/>
      <c r="S18" s="26" t="str">
        <f t="shared" si="2"/>
        <v/>
      </c>
      <c r="T18" s="24"/>
      <c r="U18" s="26" t="str">
        <f t="shared" si="3"/>
        <v/>
      </c>
    </row>
    <row r="19" ht="12.75" customHeight="1">
      <c r="A19" s="3" t="s">
        <v>31</v>
      </c>
      <c r="B19" s="25">
        <f>DATE($B$5,12,1)</f>
        <v>3988</v>
      </c>
      <c r="C19" s="26">
        <f t="array" ref="C19">IFERROR(INDEX(Verificacao!$D$24:$D$1367,MATCH($B19,Verificacao!$A$24:$A$1367,0)),"")</f>
        <v>0</v>
      </c>
      <c r="D19" s="26">
        <f t="array" ref="D19">IFERROR(INDEX(Verificacao!$E$24:$E$1367,MATCH($B19,Verificacao!$A$24:$A$1367,0)),"")</f>
        <v>0</v>
      </c>
      <c r="E19" s="26">
        <f t="array" ref="E19">IFERROR(INDEX(Verificacao!$H$24:$H$1367,MATCH($B19,Verificacao!$A$24:$A$1367,0)),"")</f>
        <v>10.65</v>
      </c>
      <c r="F19" s="26">
        <f t="array" ref="F19">IFERROR(INDEX(Verificacao!$F$24:$F$1367,MATCH($B19,Verificacao!$A$24:$A$1367,0)),"")</f>
        <v>206</v>
      </c>
      <c r="G19" s="26">
        <f t="array" ref="G19">IFERROR(INDEX(Verificacao!$N$24:$N$1367,MATCH($B19,Verificacao!$A$24:$A$1367,0)),"")</f>
        <v>0.926328706</v>
      </c>
      <c r="H19" s="26">
        <f t="array" ref="H19">IFERROR(INDEX(Verificacao!$O$24:$O$1367,MATCH($B19,Verificacao!$A$24:$A$1367,0)),"")</f>
        <v>0.1908237134</v>
      </c>
      <c r="I19" s="26">
        <f t="array" ref="I19">IFERROR(INDEX(Verificacao!$J$24:$J$1367,MATCH($B19,Verificacao!$A$24:$A$1367,0)),"")</f>
        <v>0.5</v>
      </c>
      <c r="J19" s="26">
        <f t="array" ref="J19">IFERROR(INDEX(Verificacao!$R$24:$R$1367,MATCH($B19,Verificacao!$A$24:$A$1367,0)),"")</f>
        <v>0.5</v>
      </c>
      <c r="K19" s="26">
        <f t="array" ref="K19">IFERROR(INDEX(Verificacao!$S$24:$S$1367,MATCH($B19,Verificacao!$A$24:$A$1367,0)),"")</f>
        <v>0</v>
      </c>
      <c r="L19" s="26">
        <f t="array" ref="L19">IFERROR(INDEX(Verificacao!$T$24:$T$1367,MATCH($B19,Verificacao!$A$24:$A$1367,0)),"")</f>
        <v>0</v>
      </c>
      <c r="M19" s="26">
        <f t="array" ref="M19">IFERROR(INDEX(Verificacao!$U$24:$U$1367,MATCH($B19,Verificacao!$A$24:$A$1367,0)),"")</f>
        <v>9.163176287</v>
      </c>
      <c r="N19" s="26" t="str">
        <f t="array" ref="N19">IFERROR(INDEX(Verificacao!$V$24:$V$1367,MATCH($B19,Verificacao!$A$24:$A$1367,0)),"")</f>
        <v>Não</v>
      </c>
      <c r="O19" s="26">
        <f t="array" ref="O19">IFERROR(INDEX(Verificacao!$W$24:$W$1367,MATCH($B19,Verificacao!$A$24:$A$1367,0)),"")</f>
        <v>0</v>
      </c>
      <c r="P19" s="24"/>
      <c r="Q19" s="26" t="str">
        <f t="shared" si="1"/>
        <v/>
      </c>
      <c r="R19" s="24"/>
      <c r="S19" s="26" t="str">
        <f t="shared" si="2"/>
        <v/>
      </c>
      <c r="T19" s="24"/>
      <c r="U19" s="26" t="str">
        <f t="shared" si="3"/>
        <v/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U2"/>
    <mergeCell ref="A3:U3"/>
    <mergeCell ref="D5:K5"/>
  </mergeCells>
  <dataValidations>
    <dataValidation type="list" allowBlank="1" sqref="B5">
      <formula1>Vazoes_COLAR!$A$2:$A$300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3" width="14.0"/>
    <col customWidth="1" min="4" max="4" width="20.0"/>
    <col customWidth="1" min="5" max="12" width="14.0"/>
    <col customWidth="1" min="13" max="26" width="8.63"/>
  </cols>
  <sheetData>
    <row r="1" ht="12.7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ht="12.75" customHeight="1">
      <c r="A2" s="3" t="s">
        <v>14</v>
      </c>
      <c r="B2" s="3">
        <v>78.0</v>
      </c>
      <c r="C2" s="3">
        <v>2.96E7</v>
      </c>
      <c r="D2" s="3" t="s">
        <v>16</v>
      </c>
      <c r="E2" s="3">
        <v>10.0</v>
      </c>
      <c r="F2" s="3">
        <v>6.0</v>
      </c>
      <c r="G2" s="3">
        <v>130.02</v>
      </c>
      <c r="H2" s="3">
        <v>105.5</v>
      </c>
      <c r="I2" s="3">
        <v>53.0</v>
      </c>
      <c r="J2" s="3">
        <v>1.71</v>
      </c>
      <c r="K2" s="3">
        <v>1491.0</v>
      </c>
      <c r="L2" s="3">
        <v>32.0</v>
      </c>
    </row>
    <row r="3" ht="12.75" customHeight="1">
      <c r="A3" s="3" t="s">
        <v>19</v>
      </c>
      <c r="B3" s="3">
        <v>1.0</v>
      </c>
      <c r="C3" s="3">
        <v>3.6715658E7</v>
      </c>
      <c r="D3" s="3" t="s">
        <v>21</v>
      </c>
      <c r="E3" s="3">
        <v>6.0</v>
      </c>
      <c r="F3" s="3">
        <v>11.0</v>
      </c>
      <c r="G3" s="3">
        <v>115.0</v>
      </c>
      <c r="H3" s="3">
        <v>106.5</v>
      </c>
      <c r="I3" s="3">
        <v>60.0</v>
      </c>
      <c r="J3" s="3">
        <v>1.6</v>
      </c>
      <c r="K3" s="3">
        <v>2.0</v>
      </c>
      <c r="L3" s="3">
        <v>17.0</v>
      </c>
    </row>
    <row r="4" ht="12.75" customHeight="1">
      <c r="A4" s="3" t="s">
        <v>24</v>
      </c>
      <c r="B4" s="3">
        <v>32.0</v>
      </c>
      <c r="C4" s="3">
        <v>4790000.0</v>
      </c>
      <c r="D4" s="3" t="s">
        <v>30</v>
      </c>
      <c r="E4" s="3">
        <v>4.0</v>
      </c>
      <c r="F4" s="3">
        <v>1.0</v>
      </c>
      <c r="G4" s="3">
        <v>100.0</v>
      </c>
      <c r="I4" s="3">
        <v>24.0</v>
      </c>
      <c r="J4" s="3">
        <v>1.6</v>
      </c>
      <c r="K4" s="3">
        <v>668.0</v>
      </c>
      <c r="L4" s="3">
        <v>13.0</v>
      </c>
    </row>
    <row r="5" ht="12.75" customHeight="1">
      <c r="A5" s="3" t="s">
        <v>32</v>
      </c>
      <c r="B5" s="3">
        <v>45.0</v>
      </c>
      <c r="C5" s="3">
        <v>1.101E7</v>
      </c>
      <c r="D5" s="3" t="s">
        <v>34</v>
      </c>
      <c r="E5" s="3">
        <v>10.0</v>
      </c>
      <c r="F5" s="3">
        <v>13.0</v>
      </c>
      <c r="G5" s="3">
        <v>96.0</v>
      </c>
      <c r="I5" s="3">
        <v>19.0</v>
      </c>
      <c r="J5" s="3">
        <v>1.71</v>
      </c>
      <c r="K5" s="3">
        <v>858.0</v>
      </c>
      <c r="L5" s="3">
        <v>17.0</v>
      </c>
    </row>
    <row r="6" ht="12.75" customHeight="1">
      <c r="A6" s="3" t="s">
        <v>35</v>
      </c>
      <c r="B6" s="3">
        <v>112.0</v>
      </c>
      <c r="C6" s="3">
        <v>5.605E7</v>
      </c>
      <c r="D6" s="3" t="s">
        <v>36</v>
      </c>
      <c r="E6" s="3">
        <v>7.0</v>
      </c>
      <c r="F6" s="3">
        <v>11.0</v>
      </c>
      <c r="G6" s="3">
        <v>105.5</v>
      </c>
      <c r="H6" s="3">
        <v>97.17</v>
      </c>
      <c r="I6" s="3">
        <v>100.0</v>
      </c>
      <c r="J6" s="3">
        <v>2.0</v>
      </c>
      <c r="K6" s="3">
        <v>1940.0</v>
      </c>
      <c r="L6" s="3">
        <v>22.0</v>
      </c>
    </row>
    <row r="7" ht="12.75" customHeight="1">
      <c r="A7" s="3" t="s">
        <v>37</v>
      </c>
      <c r="B7" s="3">
        <v>234.0</v>
      </c>
      <c r="C7" s="3">
        <v>1.62E8</v>
      </c>
      <c r="D7" s="3" t="s">
        <v>37</v>
      </c>
      <c r="E7" s="3">
        <v>10.0</v>
      </c>
      <c r="F7" s="3">
        <v>10.0</v>
      </c>
      <c r="G7" s="3">
        <v>95.0</v>
      </c>
      <c r="H7" s="3">
        <v>75.0</v>
      </c>
      <c r="I7" s="3">
        <v>32.0</v>
      </c>
      <c r="J7" s="3">
        <v>1.6</v>
      </c>
      <c r="K7" s="3">
        <v>3430.0</v>
      </c>
      <c r="L7" s="3">
        <v>24.0</v>
      </c>
    </row>
    <row r="8" ht="12.75" customHeight="1">
      <c r="A8" s="3" t="s">
        <v>38</v>
      </c>
      <c r="B8" s="3">
        <v>31.0</v>
      </c>
      <c r="C8" s="3">
        <v>8.59533E8</v>
      </c>
      <c r="D8" s="3" t="s">
        <v>39</v>
      </c>
      <c r="E8" s="3">
        <v>6.0</v>
      </c>
      <c r="F8" s="3">
        <v>11.0</v>
      </c>
      <c r="G8" s="3">
        <v>153.0</v>
      </c>
      <c r="H8" s="3">
        <v>129.5</v>
      </c>
      <c r="I8" s="3">
        <v>265.0</v>
      </c>
      <c r="J8" s="3">
        <v>2.0</v>
      </c>
      <c r="K8" s="3">
        <v>630.0</v>
      </c>
      <c r="L8" s="3">
        <v>38.0</v>
      </c>
    </row>
    <row r="9" ht="12.75" customHeight="1">
      <c r="A9" s="3" t="s">
        <v>40</v>
      </c>
      <c r="B9" s="3">
        <v>240.0</v>
      </c>
      <c r="C9" s="3">
        <v>1.877E8</v>
      </c>
      <c r="D9" s="3" t="s">
        <v>41</v>
      </c>
      <c r="E9" s="3">
        <v>1.0</v>
      </c>
      <c r="F9" s="3">
        <v>12.0</v>
      </c>
      <c r="G9" s="3">
        <v>368.0</v>
      </c>
      <c r="H9" s="3">
        <v>345.0</v>
      </c>
      <c r="I9" s="3">
        <v>300.0</v>
      </c>
      <c r="J9" s="3">
        <v>1.6</v>
      </c>
      <c r="K9" s="3">
        <v>3528.0</v>
      </c>
      <c r="L9" s="3">
        <v>22.0</v>
      </c>
    </row>
    <row r="10" ht="12.75" customHeight="1">
      <c r="A10" s="3" t="s">
        <v>43</v>
      </c>
      <c r="B10" s="3">
        <v>83.0</v>
      </c>
      <c r="C10" s="3">
        <v>1.853E7</v>
      </c>
      <c r="D10" s="3" t="s">
        <v>44</v>
      </c>
      <c r="E10" s="3">
        <v>6.0</v>
      </c>
      <c r="F10" s="3">
        <v>11.0</v>
      </c>
      <c r="G10" s="3">
        <v>112.0</v>
      </c>
      <c r="H10" s="3">
        <v>102.0</v>
      </c>
      <c r="I10" s="3">
        <v>70.0</v>
      </c>
      <c r="J10" s="3">
        <v>1.6</v>
      </c>
      <c r="K10" s="3">
        <v>1599.0</v>
      </c>
      <c r="L10" s="3">
        <v>21.0</v>
      </c>
    </row>
    <row r="11" ht="12.75" customHeight="1">
      <c r="A11" s="3" t="s">
        <v>45</v>
      </c>
      <c r="B11" s="3">
        <v>47.0</v>
      </c>
      <c r="C11" s="3">
        <v>7.2552E7</v>
      </c>
      <c r="D11" s="3" t="s">
        <v>46</v>
      </c>
      <c r="E11" s="3">
        <v>2.0</v>
      </c>
      <c r="F11" s="3">
        <v>2.0</v>
      </c>
      <c r="G11" s="3">
        <v>425.0</v>
      </c>
      <c r="H11" s="3">
        <v>400.0</v>
      </c>
      <c r="I11" s="3">
        <v>90.0</v>
      </c>
      <c r="J11" s="3">
        <v>2.0</v>
      </c>
      <c r="K11" s="3">
        <v>890.0</v>
      </c>
      <c r="L11" s="3">
        <v>39.0</v>
      </c>
    </row>
    <row r="12" ht="12.75" customHeight="1">
      <c r="A12" s="3" t="s">
        <v>47</v>
      </c>
      <c r="B12" s="3">
        <v>49.0</v>
      </c>
      <c r="C12" s="3">
        <v>9.68E7</v>
      </c>
      <c r="D12" s="3" t="s">
        <v>48</v>
      </c>
      <c r="E12" s="3">
        <v>6.0</v>
      </c>
      <c r="F12" s="3">
        <v>11.0</v>
      </c>
      <c r="G12" s="3">
        <v>95.0</v>
      </c>
      <c r="H12" s="3">
        <v>82.0</v>
      </c>
      <c r="I12" s="3">
        <v>106.05</v>
      </c>
      <c r="J12" s="3">
        <v>2.0</v>
      </c>
      <c r="K12" s="3">
        <v>941.0</v>
      </c>
      <c r="L12" s="3">
        <v>54.0</v>
      </c>
    </row>
    <row r="13" ht="12.75" customHeight="1">
      <c r="A13" s="3" t="s">
        <v>49</v>
      </c>
      <c r="B13" s="3">
        <v>2.0</v>
      </c>
      <c r="C13" s="3">
        <v>1.601E9</v>
      </c>
      <c r="D13" s="3" t="s">
        <v>49</v>
      </c>
      <c r="E13" s="3">
        <v>3.0</v>
      </c>
      <c r="F13" s="3">
        <v>10.0</v>
      </c>
      <c r="G13" s="3">
        <v>142.5</v>
      </c>
      <c r="H13" s="3">
        <v>94.12</v>
      </c>
      <c r="I13" s="3">
        <v>100.0</v>
      </c>
      <c r="J13" s="3">
        <v>2.0</v>
      </c>
      <c r="K13" s="3">
        <v>19.0</v>
      </c>
      <c r="L13" s="3">
        <v>30.0</v>
      </c>
    </row>
    <row r="14" ht="12.75" customHeight="1">
      <c r="A14" s="3" t="s">
        <v>50</v>
      </c>
      <c r="B14" s="3">
        <v>163.0</v>
      </c>
      <c r="C14" s="3">
        <v>9.956E7</v>
      </c>
      <c r="D14" s="3" t="s">
        <v>51</v>
      </c>
      <c r="E14" s="3">
        <v>9.0</v>
      </c>
      <c r="F14" s="3">
        <v>4.0</v>
      </c>
      <c r="G14" s="3">
        <v>333.6</v>
      </c>
      <c r="H14" s="3">
        <v>324.5</v>
      </c>
      <c r="I14" s="3">
        <v>310.0</v>
      </c>
      <c r="J14" s="3">
        <v>1.6</v>
      </c>
      <c r="K14" s="3">
        <v>2496.0</v>
      </c>
      <c r="L14" s="3">
        <v>19.0</v>
      </c>
    </row>
    <row r="15" ht="12.75" customHeight="1">
      <c r="A15" s="3" t="s">
        <v>52</v>
      </c>
      <c r="B15" s="3">
        <v>202.0</v>
      </c>
      <c r="C15" s="3">
        <v>1638800.0</v>
      </c>
      <c r="D15" s="3" t="s">
        <v>53</v>
      </c>
      <c r="E15" s="3">
        <v>9.0</v>
      </c>
      <c r="F15" s="3">
        <v>4.0</v>
      </c>
      <c r="G15" s="3">
        <v>99.85</v>
      </c>
      <c r="H15" s="3">
        <v>97.7</v>
      </c>
      <c r="I15" s="3">
        <v>600.0</v>
      </c>
      <c r="K15" s="3">
        <v>3121.0</v>
      </c>
      <c r="L15" s="3">
        <v>15.0</v>
      </c>
    </row>
    <row r="16" ht="12.75" customHeight="1">
      <c r="A16" s="3" t="s">
        <v>54</v>
      </c>
      <c r="B16" s="3">
        <v>173.0</v>
      </c>
      <c r="C16" s="3">
        <v>3.7E7</v>
      </c>
      <c r="D16" s="3" t="s">
        <v>55</v>
      </c>
      <c r="E16" s="3">
        <v>10.0</v>
      </c>
      <c r="F16" s="3">
        <v>9.0</v>
      </c>
      <c r="G16" s="3">
        <v>71.86</v>
      </c>
      <c r="I16" s="3">
        <v>180.0</v>
      </c>
      <c r="K16" s="3">
        <v>2669.0</v>
      </c>
      <c r="L16" s="3">
        <v>18.0</v>
      </c>
    </row>
    <row r="17" ht="12.75" customHeight="1">
      <c r="A17" s="3" t="s">
        <v>56</v>
      </c>
      <c r="B17" s="3">
        <v>177.0</v>
      </c>
      <c r="C17" s="3">
        <v>1.8425E7</v>
      </c>
      <c r="D17" s="3" t="s">
        <v>57</v>
      </c>
      <c r="E17" s="3">
        <v>1.0</v>
      </c>
      <c r="F17" s="3">
        <v>3.0</v>
      </c>
      <c r="G17" s="3">
        <v>448.54</v>
      </c>
      <c r="H17" s="3">
        <v>438.0</v>
      </c>
      <c r="I17" s="3">
        <v>150.0</v>
      </c>
      <c r="J17" s="3">
        <v>2.0</v>
      </c>
      <c r="K17" s="3">
        <v>2717.0</v>
      </c>
      <c r="L17" s="3">
        <v>28.0</v>
      </c>
    </row>
    <row r="18" ht="12.75" customHeight="1">
      <c r="A18" s="3" t="s">
        <v>58</v>
      </c>
      <c r="B18" s="3">
        <v>64.0</v>
      </c>
      <c r="C18" s="3">
        <v>6000000.0</v>
      </c>
      <c r="D18" s="3" t="s">
        <v>59</v>
      </c>
      <c r="E18" s="3">
        <v>6.0</v>
      </c>
      <c r="F18" s="3">
        <v>4.0</v>
      </c>
      <c r="G18" s="3">
        <v>104.5</v>
      </c>
      <c r="H18" s="3">
        <v>99.0</v>
      </c>
      <c r="J18" s="3">
        <v>1.6</v>
      </c>
      <c r="K18" s="3">
        <v>1224.0</v>
      </c>
      <c r="L18" s="3">
        <v>14.0</v>
      </c>
    </row>
    <row r="19" ht="12.75" customHeight="1">
      <c r="A19" s="3" t="s">
        <v>60</v>
      </c>
      <c r="B19" s="3">
        <v>125.0</v>
      </c>
      <c r="C19" s="3">
        <v>8442000.0</v>
      </c>
      <c r="D19" s="3" t="s">
        <v>61</v>
      </c>
      <c r="E19" s="3">
        <v>1.0</v>
      </c>
      <c r="F19" s="3">
        <v>12.0</v>
      </c>
      <c r="G19" s="3">
        <v>100.0</v>
      </c>
      <c r="H19" s="3">
        <v>96.0</v>
      </c>
      <c r="K19" s="3">
        <v>2101.0</v>
      </c>
      <c r="L19" s="3">
        <v>16.0</v>
      </c>
    </row>
    <row r="20" ht="12.75" customHeight="1">
      <c r="A20" s="3" t="s">
        <v>62</v>
      </c>
      <c r="B20" s="3">
        <v>170.0</v>
      </c>
      <c r="C20" s="3">
        <v>3.433E7</v>
      </c>
      <c r="D20" s="3" t="s">
        <v>63</v>
      </c>
      <c r="E20" s="3">
        <v>2.0</v>
      </c>
      <c r="F20" s="3">
        <v>2.0</v>
      </c>
      <c r="G20" s="3">
        <v>305.0</v>
      </c>
      <c r="H20" s="3">
        <v>289.0</v>
      </c>
      <c r="I20" s="3">
        <v>76.0</v>
      </c>
      <c r="J20" s="3">
        <v>2.0</v>
      </c>
      <c r="K20" s="3">
        <v>2611.0</v>
      </c>
      <c r="L20" s="3">
        <v>20.0</v>
      </c>
    </row>
    <row r="21" ht="12.75" customHeight="1">
      <c r="A21" s="3" t="s">
        <v>64</v>
      </c>
      <c r="B21" s="3">
        <v>217.0</v>
      </c>
      <c r="C21" s="3">
        <v>1130000.0</v>
      </c>
      <c r="D21" s="3" t="s">
        <v>65</v>
      </c>
      <c r="E21" s="3">
        <v>1.0</v>
      </c>
      <c r="F21" s="3">
        <v>12.0</v>
      </c>
      <c r="G21" s="3">
        <v>100.0</v>
      </c>
      <c r="I21" s="3">
        <v>257.8</v>
      </c>
      <c r="J21" s="3">
        <v>1.2</v>
      </c>
      <c r="K21" s="3">
        <v>3360.0</v>
      </c>
      <c r="L21" s="3">
        <v>13.0</v>
      </c>
    </row>
    <row r="22" ht="12.75" customHeight="1">
      <c r="A22" s="3" t="s">
        <v>66</v>
      </c>
      <c r="B22" s="3">
        <v>74.0</v>
      </c>
      <c r="C22" s="3">
        <v>1.311E7</v>
      </c>
      <c r="D22" s="3" t="s">
        <v>67</v>
      </c>
      <c r="E22" s="3">
        <v>4.0</v>
      </c>
      <c r="F22" s="3">
        <v>1.0</v>
      </c>
      <c r="G22" s="3">
        <v>101.0</v>
      </c>
      <c r="H22" s="3">
        <v>94.5</v>
      </c>
      <c r="I22" s="3">
        <v>60.0</v>
      </c>
      <c r="J22" s="3">
        <v>1.6</v>
      </c>
      <c r="K22" s="3">
        <v>1431.0</v>
      </c>
      <c r="L22" s="3">
        <v>14.0</v>
      </c>
    </row>
    <row r="23" ht="12.75" customHeight="1">
      <c r="A23" s="3" t="s">
        <v>68</v>
      </c>
      <c r="B23" s="3">
        <v>127.0</v>
      </c>
      <c r="C23" s="3">
        <v>6.925E7</v>
      </c>
      <c r="D23" s="3" t="s">
        <v>70</v>
      </c>
      <c r="E23" s="3">
        <v>1.0</v>
      </c>
      <c r="F23" s="3">
        <v>3.0</v>
      </c>
      <c r="G23" s="3">
        <v>393.0</v>
      </c>
      <c r="H23" s="3">
        <v>354.0</v>
      </c>
      <c r="I23" s="3">
        <v>50.0</v>
      </c>
      <c r="J23" s="3">
        <v>2.0</v>
      </c>
      <c r="K23" s="3">
        <v>2133.0</v>
      </c>
      <c r="L23" s="3">
        <v>42.0</v>
      </c>
    </row>
    <row r="24" ht="12.75" customHeight="1">
      <c r="A24" s="3" t="s">
        <v>71</v>
      </c>
      <c r="B24" s="3">
        <v>33.0</v>
      </c>
      <c r="C24" s="3">
        <v>6000000.0</v>
      </c>
      <c r="D24" s="3" t="s">
        <v>72</v>
      </c>
      <c r="E24" s="3">
        <v>3.0</v>
      </c>
      <c r="F24" s="3">
        <v>12.0</v>
      </c>
      <c r="G24" s="3">
        <v>97.3</v>
      </c>
      <c r="H24" s="3">
        <v>90.0</v>
      </c>
      <c r="I24" s="3">
        <v>90.0</v>
      </c>
      <c r="J24" s="3">
        <v>1.6</v>
      </c>
      <c r="K24" s="3">
        <v>681.0</v>
      </c>
      <c r="L24" s="3">
        <v>24.0</v>
      </c>
    </row>
    <row r="25" ht="12.75" customHeight="1">
      <c r="A25" s="3" t="s">
        <v>73</v>
      </c>
      <c r="B25" s="3">
        <v>65.0</v>
      </c>
      <c r="C25" s="3">
        <v>2.623E7</v>
      </c>
      <c r="D25" s="3" t="s">
        <v>74</v>
      </c>
      <c r="E25" s="3">
        <v>6.0</v>
      </c>
      <c r="F25" s="3">
        <v>4.0</v>
      </c>
      <c r="G25" s="3">
        <v>96.0</v>
      </c>
      <c r="H25" s="3">
        <v>86.5</v>
      </c>
      <c r="I25" s="3">
        <v>192.9</v>
      </c>
      <c r="J25" s="3">
        <v>1.6</v>
      </c>
      <c r="K25" s="3">
        <v>1238.0</v>
      </c>
      <c r="L25" s="3">
        <v>16.0</v>
      </c>
    </row>
    <row r="26" ht="12.75" customHeight="1">
      <c r="A26" s="3" t="s">
        <v>75</v>
      </c>
      <c r="B26" s="3">
        <v>236.0</v>
      </c>
      <c r="C26" s="3">
        <v>1.348E7</v>
      </c>
      <c r="D26" s="3" t="s">
        <v>76</v>
      </c>
      <c r="E26" s="3">
        <v>6.0</v>
      </c>
      <c r="F26" s="3">
        <v>4.0</v>
      </c>
      <c r="G26" s="3">
        <v>280.0</v>
      </c>
      <c r="H26" s="3">
        <v>267.0</v>
      </c>
      <c r="I26" s="3">
        <v>65.0</v>
      </c>
      <c r="J26" s="3">
        <v>1.6</v>
      </c>
      <c r="K26" s="3">
        <v>3473.0</v>
      </c>
      <c r="L26" s="3">
        <v>21.0</v>
      </c>
    </row>
    <row r="27" ht="12.75" customHeight="1">
      <c r="A27" s="3" t="s">
        <v>77</v>
      </c>
      <c r="B27" s="3">
        <v>53.0</v>
      </c>
      <c r="C27" s="3">
        <v>4.6621E7</v>
      </c>
      <c r="D27" s="3" t="s">
        <v>53</v>
      </c>
      <c r="E27" s="3">
        <v>9.0</v>
      </c>
      <c r="F27" s="3">
        <v>4.0</v>
      </c>
      <c r="G27" s="3">
        <v>300.0</v>
      </c>
      <c r="H27" s="3">
        <v>290.0</v>
      </c>
      <c r="I27" s="3">
        <v>200.0</v>
      </c>
      <c r="J27" s="3">
        <v>2.0</v>
      </c>
      <c r="K27" s="3">
        <v>1055.0</v>
      </c>
      <c r="L27" s="3">
        <v>18.0</v>
      </c>
    </row>
    <row r="28" ht="12.75" customHeight="1">
      <c r="A28" s="3" t="s">
        <v>78</v>
      </c>
      <c r="B28" s="3">
        <v>194.0</v>
      </c>
      <c r="C28" s="3">
        <v>6.7E9</v>
      </c>
      <c r="D28" s="3" t="s">
        <v>79</v>
      </c>
      <c r="E28" s="3">
        <v>4.0</v>
      </c>
      <c r="F28" s="3">
        <v>9.0</v>
      </c>
      <c r="G28" s="3">
        <v>106.0</v>
      </c>
      <c r="H28" s="3">
        <v>57.0</v>
      </c>
      <c r="I28" s="3">
        <v>153.0</v>
      </c>
      <c r="J28" s="3">
        <v>2.0</v>
      </c>
      <c r="K28" s="3">
        <v>2962.0</v>
      </c>
      <c r="L28" s="3">
        <v>103.0</v>
      </c>
    </row>
    <row r="29" ht="12.75" customHeight="1">
      <c r="A29" s="3" t="s">
        <v>80</v>
      </c>
      <c r="B29" s="3">
        <v>97.0</v>
      </c>
      <c r="C29" s="3">
        <v>6.231E7</v>
      </c>
      <c r="D29" s="3" t="s">
        <v>81</v>
      </c>
      <c r="E29" s="3">
        <v>10.0</v>
      </c>
      <c r="F29" s="3">
        <v>10.0</v>
      </c>
      <c r="G29" s="3">
        <v>151.5</v>
      </c>
      <c r="H29" s="3">
        <v>137.0</v>
      </c>
      <c r="I29" s="3">
        <v>80.0</v>
      </c>
      <c r="J29" s="3">
        <v>2.0</v>
      </c>
      <c r="K29" s="3">
        <v>1846.0</v>
      </c>
      <c r="L29" s="3">
        <v>16.0</v>
      </c>
    </row>
    <row r="30" ht="12.75" customHeight="1">
      <c r="A30" s="3" t="s">
        <v>82</v>
      </c>
      <c r="B30" s="3">
        <v>223.0</v>
      </c>
      <c r="C30" s="3">
        <v>2.49E7</v>
      </c>
      <c r="D30" s="3" t="s">
        <v>83</v>
      </c>
      <c r="E30" s="3">
        <v>10.0</v>
      </c>
      <c r="F30" s="3">
        <v>5.0</v>
      </c>
      <c r="G30" s="3">
        <v>45.0</v>
      </c>
      <c r="H30" s="3">
        <v>38.13</v>
      </c>
      <c r="I30" s="3">
        <v>50.0</v>
      </c>
      <c r="J30" s="3">
        <v>2.0</v>
      </c>
      <c r="K30" s="3">
        <v>3399.0</v>
      </c>
      <c r="L30" s="3">
        <v>18.0</v>
      </c>
    </row>
    <row r="31" ht="12.75" customHeight="1">
      <c r="A31" s="3" t="s">
        <v>84</v>
      </c>
      <c r="B31" s="3">
        <v>158.0</v>
      </c>
      <c r="C31" s="3">
        <v>1.2E7</v>
      </c>
      <c r="D31" s="3" t="s">
        <v>85</v>
      </c>
      <c r="E31" s="3">
        <v>10.0</v>
      </c>
      <c r="F31" s="3">
        <v>13.0</v>
      </c>
      <c r="G31" s="3">
        <v>36.89</v>
      </c>
      <c r="H31" s="3">
        <v>31.5</v>
      </c>
      <c r="I31" s="3">
        <v>120.0</v>
      </c>
      <c r="J31" s="3">
        <v>2.0</v>
      </c>
      <c r="K31" s="3">
        <v>2417.0</v>
      </c>
      <c r="L31" s="3">
        <v>13.0</v>
      </c>
    </row>
    <row r="32" ht="12.75" customHeight="1">
      <c r="A32" s="3" t="s">
        <v>86</v>
      </c>
      <c r="B32" s="3">
        <v>3.0</v>
      </c>
      <c r="C32" s="3">
        <v>2.02E8</v>
      </c>
      <c r="D32" s="3" t="s">
        <v>87</v>
      </c>
      <c r="E32" s="3">
        <v>8.0</v>
      </c>
      <c r="F32" s="3">
        <v>13.0</v>
      </c>
      <c r="G32" s="3">
        <v>73.0</v>
      </c>
      <c r="H32" s="3">
        <v>55.0</v>
      </c>
      <c r="I32" s="3">
        <v>63.6</v>
      </c>
      <c r="J32" s="3">
        <v>1.6</v>
      </c>
      <c r="K32" s="3">
        <v>49.0</v>
      </c>
      <c r="L32" s="3">
        <v>33.0</v>
      </c>
    </row>
    <row r="33" ht="12.75" customHeight="1">
      <c r="A33" s="3" t="s">
        <v>88</v>
      </c>
      <c r="B33" s="3">
        <v>4.0</v>
      </c>
      <c r="C33" s="3">
        <v>1.26E8</v>
      </c>
      <c r="D33" s="3" t="s">
        <v>89</v>
      </c>
      <c r="E33" s="3">
        <v>3.0</v>
      </c>
      <c r="F33" s="3">
        <v>10.0</v>
      </c>
      <c r="G33" s="3">
        <v>114.5</v>
      </c>
      <c r="H33" s="3">
        <v>100.5</v>
      </c>
      <c r="I33" s="3">
        <v>75.27</v>
      </c>
      <c r="J33" s="3">
        <v>2.0</v>
      </c>
      <c r="K33" s="3">
        <v>82.0</v>
      </c>
      <c r="L33" s="3">
        <v>27.0</v>
      </c>
    </row>
    <row r="34" ht="12.75" customHeight="1">
      <c r="A34" s="3" t="s">
        <v>90</v>
      </c>
      <c r="B34" s="3">
        <v>84.0</v>
      </c>
      <c r="C34" s="3">
        <v>8.609E7</v>
      </c>
      <c r="D34" s="3" t="s">
        <v>91</v>
      </c>
      <c r="E34" s="3">
        <v>3.0</v>
      </c>
      <c r="F34" s="3">
        <v>9.0</v>
      </c>
      <c r="G34" s="3">
        <v>103.0</v>
      </c>
      <c r="H34" s="3">
        <v>92.15</v>
      </c>
      <c r="I34" s="3">
        <v>150.0</v>
      </c>
      <c r="J34" s="3">
        <v>1.6</v>
      </c>
      <c r="K34" s="3">
        <v>1620.0</v>
      </c>
      <c r="L34" s="3">
        <v>20.0</v>
      </c>
    </row>
    <row r="35" ht="12.75" customHeight="1">
      <c r="A35" s="3" t="s">
        <v>92</v>
      </c>
      <c r="B35" s="3">
        <v>220.0</v>
      </c>
      <c r="C35" s="3">
        <v>5095672.0</v>
      </c>
      <c r="D35" s="3" t="s">
        <v>93</v>
      </c>
      <c r="E35" s="3">
        <v>10.0</v>
      </c>
      <c r="F35" s="3">
        <v>5.0</v>
      </c>
      <c r="G35" s="3">
        <v>14.9</v>
      </c>
      <c r="H35" s="3">
        <v>9.0</v>
      </c>
      <c r="I35" s="3">
        <v>261.24</v>
      </c>
      <c r="J35" s="3">
        <v>2.0</v>
      </c>
      <c r="K35" s="3">
        <v>3386.0</v>
      </c>
      <c r="L35" s="3">
        <v>13.0</v>
      </c>
    </row>
    <row r="36" ht="12.75" customHeight="1">
      <c r="A36" s="3" t="s">
        <v>94</v>
      </c>
      <c r="B36" s="3">
        <v>133.0</v>
      </c>
      <c r="C36" s="3">
        <v>4297203.0</v>
      </c>
      <c r="D36" s="3" t="s">
        <v>95</v>
      </c>
      <c r="E36" s="3">
        <v>9.0</v>
      </c>
      <c r="F36" s="3">
        <v>12.0</v>
      </c>
      <c r="G36" s="3">
        <v>98.0</v>
      </c>
      <c r="H36" s="3">
        <v>94.0</v>
      </c>
      <c r="I36" s="3">
        <v>73.0</v>
      </c>
      <c r="J36" s="3">
        <v>1.6</v>
      </c>
      <c r="K36" s="3">
        <v>2266.0</v>
      </c>
      <c r="L36" s="3">
        <v>13.0</v>
      </c>
    </row>
    <row r="37" ht="12.75" customHeight="1">
      <c r="A37" s="3" t="s">
        <v>96</v>
      </c>
      <c r="B37" s="3">
        <v>34.0</v>
      </c>
      <c r="C37" s="3">
        <v>4604394.0</v>
      </c>
      <c r="D37" s="3" t="s">
        <v>51</v>
      </c>
      <c r="E37" s="3">
        <v>9.0</v>
      </c>
      <c r="F37" s="3">
        <v>4.0</v>
      </c>
      <c r="G37" s="3">
        <v>98.0</v>
      </c>
      <c r="I37" s="3">
        <v>102.0</v>
      </c>
      <c r="J37" s="3">
        <v>1.6</v>
      </c>
      <c r="K37" s="3">
        <v>705.0</v>
      </c>
      <c r="L37" s="3">
        <v>13.0</v>
      </c>
    </row>
    <row r="38" ht="12.75" customHeight="1">
      <c r="A38" s="3" t="s">
        <v>97</v>
      </c>
      <c r="B38" s="3">
        <v>197.0</v>
      </c>
      <c r="C38" s="3">
        <v>1.217E7</v>
      </c>
      <c r="D38" s="3" t="s">
        <v>91</v>
      </c>
      <c r="E38" s="3">
        <v>3.0</v>
      </c>
      <c r="F38" s="3">
        <v>9.0</v>
      </c>
      <c r="G38" s="3">
        <v>84.6</v>
      </c>
      <c r="K38" s="3">
        <v>3065.0</v>
      </c>
      <c r="L38" s="3">
        <v>15.0</v>
      </c>
    </row>
    <row r="39" ht="12.75" customHeight="1">
      <c r="A39" s="3" t="s">
        <v>98</v>
      </c>
      <c r="B39" s="3">
        <v>178.0</v>
      </c>
      <c r="C39" s="3">
        <v>5600000.0</v>
      </c>
      <c r="D39" s="3" t="s">
        <v>99</v>
      </c>
      <c r="E39" s="3">
        <v>8.0</v>
      </c>
      <c r="F39" s="3">
        <v>13.0</v>
      </c>
      <c r="G39" s="3">
        <v>999.1</v>
      </c>
      <c r="I39" s="3">
        <v>80.0</v>
      </c>
      <c r="J39" s="3">
        <v>1.6</v>
      </c>
      <c r="K39" s="3">
        <v>2745.0</v>
      </c>
      <c r="L39" s="3">
        <v>14.0</v>
      </c>
    </row>
    <row r="40" ht="12.75" customHeight="1">
      <c r="A40" s="3" t="s">
        <v>100</v>
      </c>
      <c r="B40" s="3">
        <v>60.0</v>
      </c>
      <c r="C40" s="3">
        <v>1.32E7</v>
      </c>
      <c r="D40" s="3" t="s">
        <v>36</v>
      </c>
      <c r="E40" s="3">
        <v>7.0</v>
      </c>
      <c r="F40" s="3">
        <v>11.0</v>
      </c>
      <c r="G40" s="3">
        <v>98.0</v>
      </c>
      <c r="I40" s="3">
        <v>100.0</v>
      </c>
      <c r="J40" s="3">
        <v>1.6</v>
      </c>
      <c r="K40" s="3">
        <v>1163.0</v>
      </c>
      <c r="L40" s="3">
        <v>14.0</v>
      </c>
    </row>
    <row r="41" ht="12.75" customHeight="1">
      <c r="A41" s="3" t="s">
        <v>101</v>
      </c>
      <c r="B41" s="3">
        <v>215.0</v>
      </c>
      <c r="C41" s="3">
        <v>1.804E7</v>
      </c>
      <c r="D41" s="3" t="s">
        <v>102</v>
      </c>
      <c r="E41" s="3">
        <v>7.0</v>
      </c>
      <c r="F41" s="3">
        <v>11.0</v>
      </c>
      <c r="G41" s="3">
        <v>57.0</v>
      </c>
      <c r="H41" s="3">
        <v>50.5</v>
      </c>
      <c r="I41" s="3">
        <v>100.0</v>
      </c>
      <c r="J41" s="3">
        <v>1.2</v>
      </c>
      <c r="K41" s="3">
        <v>3323.0</v>
      </c>
      <c r="L41" s="3">
        <v>11.0</v>
      </c>
    </row>
    <row r="42" ht="12.75" customHeight="1">
      <c r="A42" s="3" t="s">
        <v>103</v>
      </c>
      <c r="B42" s="3">
        <v>134.0</v>
      </c>
      <c r="C42" s="3">
        <v>1770000.0</v>
      </c>
      <c r="D42" s="3" t="s">
        <v>104</v>
      </c>
      <c r="E42" s="3">
        <v>1.0</v>
      </c>
      <c r="F42" s="3">
        <v>3.0</v>
      </c>
      <c r="G42" s="3">
        <v>334.0</v>
      </c>
      <c r="H42" s="3">
        <v>323.0</v>
      </c>
      <c r="I42" s="3">
        <v>25.7</v>
      </c>
      <c r="J42" s="3">
        <v>1.6</v>
      </c>
      <c r="K42" s="3">
        <v>2279.0</v>
      </c>
      <c r="L42" s="3">
        <v>16.0</v>
      </c>
    </row>
    <row r="43" ht="12.75" customHeight="1">
      <c r="A43" s="3" t="s">
        <v>105</v>
      </c>
      <c r="B43" s="3">
        <v>5.0</v>
      </c>
      <c r="C43" s="3">
        <v>2.54E8</v>
      </c>
      <c r="D43" s="3" t="s">
        <v>106</v>
      </c>
      <c r="E43" s="3">
        <v>6.0</v>
      </c>
      <c r="F43" s="3">
        <v>11.0</v>
      </c>
      <c r="G43" s="3">
        <v>201.0</v>
      </c>
      <c r="H43" s="3">
        <v>178.02</v>
      </c>
      <c r="I43" s="3">
        <v>250.75</v>
      </c>
      <c r="J43" s="3">
        <v>2.0</v>
      </c>
      <c r="K43" s="3">
        <v>109.0</v>
      </c>
      <c r="L43" s="3">
        <v>8.0</v>
      </c>
    </row>
    <row r="44" ht="12.75" customHeight="1">
      <c r="A44" s="3" t="s">
        <v>108</v>
      </c>
      <c r="B44" s="3">
        <v>30.0</v>
      </c>
      <c r="C44" s="3">
        <v>1.039E7</v>
      </c>
      <c r="D44" s="3" t="s">
        <v>67</v>
      </c>
      <c r="E44" s="3">
        <v>4.0</v>
      </c>
      <c r="F44" s="3">
        <v>1.0</v>
      </c>
      <c r="G44" s="3">
        <v>23.5</v>
      </c>
      <c r="H44" s="3">
        <v>16.0</v>
      </c>
      <c r="I44" s="3">
        <v>70.0</v>
      </c>
      <c r="J44" s="3">
        <v>1.6</v>
      </c>
      <c r="K44" s="3">
        <v>613.0</v>
      </c>
      <c r="L44" s="3">
        <v>17.0</v>
      </c>
    </row>
    <row r="45" ht="12.75" customHeight="1">
      <c r="A45" s="3" t="s">
        <v>109</v>
      </c>
      <c r="B45" s="3">
        <v>44.0</v>
      </c>
      <c r="C45" s="3">
        <v>2720000.0</v>
      </c>
      <c r="D45" s="3" t="s">
        <v>110</v>
      </c>
      <c r="E45" s="3">
        <v>8.0</v>
      </c>
      <c r="F45" s="3">
        <v>10.0</v>
      </c>
      <c r="G45" s="3">
        <v>108.5</v>
      </c>
      <c r="H45" s="3">
        <v>98.38</v>
      </c>
      <c r="I45" s="3">
        <v>60.0</v>
      </c>
      <c r="J45" s="3">
        <v>1.6</v>
      </c>
      <c r="K45" s="3">
        <v>835.0</v>
      </c>
      <c r="L45" s="3">
        <v>23.0</v>
      </c>
    </row>
    <row r="46" ht="12.75" customHeight="1">
      <c r="A46" s="3" t="s">
        <v>112</v>
      </c>
      <c r="B46" s="3">
        <v>208.0</v>
      </c>
      <c r="C46" s="3">
        <v>1750000.0</v>
      </c>
      <c r="D46" s="3" t="s">
        <v>113</v>
      </c>
      <c r="E46" s="3">
        <v>1.0</v>
      </c>
      <c r="F46" s="3">
        <v>12.0</v>
      </c>
      <c r="G46" s="3">
        <v>100.0</v>
      </c>
      <c r="I46" s="3">
        <v>40.0</v>
      </c>
      <c r="J46" s="3">
        <v>1.2</v>
      </c>
      <c r="K46" s="3">
        <v>3190.0</v>
      </c>
      <c r="L46" s="3">
        <v>15.0</v>
      </c>
    </row>
    <row r="47" ht="12.75" customHeight="1">
      <c r="A47" s="3" t="s">
        <v>115</v>
      </c>
      <c r="B47" s="3">
        <v>239.0</v>
      </c>
      <c r="C47" s="3">
        <v>1.92E7</v>
      </c>
      <c r="D47" s="3" t="s">
        <v>116</v>
      </c>
      <c r="E47" s="3">
        <v>1.0</v>
      </c>
      <c r="F47" s="3">
        <v>7.0</v>
      </c>
      <c r="G47" s="3">
        <v>241.17</v>
      </c>
      <c r="H47" s="3">
        <v>232.0</v>
      </c>
      <c r="I47" s="3">
        <v>78.0</v>
      </c>
      <c r="J47" s="3">
        <v>1.6</v>
      </c>
      <c r="K47" s="3">
        <v>3501.0</v>
      </c>
      <c r="L47" s="3">
        <v>27.0</v>
      </c>
    </row>
    <row r="48" ht="12.75" customHeight="1">
      <c r="A48" s="3" t="s">
        <v>118</v>
      </c>
      <c r="B48" s="3">
        <v>59.0</v>
      </c>
      <c r="C48" s="3">
        <v>1.223E7</v>
      </c>
      <c r="D48" s="3" t="s">
        <v>120</v>
      </c>
      <c r="E48" s="3">
        <v>6.0</v>
      </c>
      <c r="F48" s="3">
        <v>4.0</v>
      </c>
      <c r="G48" s="3">
        <v>98.0</v>
      </c>
      <c r="H48" s="3">
        <v>89.5</v>
      </c>
      <c r="I48" s="3">
        <v>80.0</v>
      </c>
      <c r="J48" s="3">
        <v>1.6</v>
      </c>
      <c r="K48" s="3">
        <v>1147.0</v>
      </c>
      <c r="L48" s="3">
        <v>16.0</v>
      </c>
    </row>
    <row r="49" ht="12.75" customHeight="1">
      <c r="A49" s="3" t="s">
        <v>121</v>
      </c>
      <c r="B49" s="3">
        <v>6.0</v>
      </c>
      <c r="C49" s="3">
        <v>3.01E7</v>
      </c>
      <c r="D49" s="3" t="s">
        <v>61</v>
      </c>
      <c r="E49" s="3">
        <v>1.0</v>
      </c>
      <c r="F49" s="3">
        <v>12.0</v>
      </c>
      <c r="G49" s="3">
        <v>436.0</v>
      </c>
      <c r="H49" s="3">
        <v>428.0</v>
      </c>
      <c r="I49" s="3">
        <v>200.0</v>
      </c>
      <c r="J49" s="3">
        <v>1.6</v>
      </c>
      <c r="K49" s="3">
        <v>117.0</v>
      </c>
      <c r="L49" s="3">
        <v>13.0</v>
      </c>
    </row>
    <row r="50" ht="12.75" customHeight="1">
      <c r="A50" s="3" t="s">
        <v>122</v>
      </c>
      <c r="B50" s="3">
        <v>212.0</v>
      </c>
      <c r="C50" s="3">
        <v>5.09693E8</v>
      </c>
      <c r="D50" s="3" t="s">
        <v>79</v>
      </c>
      <c r="E50" s="3">
        <v>4.0</v>
      </c>
      <c r="F50" s="3">
        <v>9.0</v>
      </c>
      <c r="G50" s="3">
        <v>99.0</v>
      </c>
      <c r="H50" s="3">
        <v>75.0</v>
      </c>
      <c r="I50" s="3">
        <v>250.0</v>
      </c>
      <c r="K50" s="3">
        <v>3247.0</v>
      </c>
      <c r="L50" s="3">
        <v>45.0</v>
      </c>
    </row>
    <row r="51" ht="12.75" customHeight="1">
      <c r="A51" s="3" t="s">
        <v>123</v>
      </c>
      <c r="B51" s="3">
        <v>172.0</v>
      </c>
      <c r="C51" s="3">
        <v>1.05E8</v>
      </c>
      <c r="D51" s="3" t="s">
        <v>124</v>
      </c>
      <c r="E51" s="3">
        <v>9.0</v>
      </c>
      <c r="F51" s="3">
        <v>4.0</v>
      </c>
      <c r="G51" s="3">
        <v>351.0</v>
      </c>
      <c r="H51" s="3">
        <v>340.5</v>
      </c>
      <c r="I51" s="3">
        <v>80.0</v>
      </c>
      <c r="J51" s="3">
        <v>2.0</v>
      </c>
      <c r="K51" s="3">
        <v>2645.0</v>
      </c>
      <c r="L51" s="3">
        <v>24.0</v>
      </c>
    </row>
    <row r="52" ht="12.75" customHeight="1">
      <c r="A52" s="3" t="s">
        <v>126</v>
      </c>
      <c r="B52" s="3">
        <v>119.0</v>
      </c>
      <c r="C52" s="3">
        <v>1.18E8</v>
      </c>
      <c r="D52" s="3" t="s">
        <v>127</v>
      </c>
      <c r="E52" s="3">
        <v>3.0</v>
      </c>
      <c r="F52" s="3">
        <v>10.0</v>
      </c>
      <c r="G52" s="3">
        <v>236.2</v>
      </c>
      <c r="H52" s="3">
        <v>215.03</v>
      </c>
      <c r="I52" s="3">
        <v>160.12</v>
      </c>
      <c r="J52" s="3">
        <v>1.6</v>
      </c>
      <c r="K52" s="3">
        <v>2024.0</v>
      </c>
      <c r="L52" s="3">
        <v>22.0</v>
      </c>
    </row>
    <row r="53" ht="12.75" customHeight="1">
      <c r="A53" s="3" t="s">
        <v>44</v>
      </c>
      <c r="B53" s="3">
        <v>51.0</v>
      </c>
      <c r="C53" s="3">
        <v>5.013E7</v>
      </c>
      <c r="D53" s="3" t="s">
        <v>44</v>
      </c>
      <c r="E53" s="3">
        <v>6.0</v>
      </c>
      <c r="F53" s="3">
        <v>11.0</v>
      </c>
      <c r="G53" s="3">
        <v>112.0</v>
      </c>
      <c r="H53" s="3">
        <v>105.6</v>
      </c>
      <c r="I53" s="3">
        <v>50.0</v>
      </c>
      <c r="J53" s="3">
        <v>1.6</v>
      </c>
      <c r="K53" s="3">
        <v>1012.0</v>
      </c>
      <c r="L53" s="3">
        <v>23.0</v>
      </c>
    </row>
    <row r="54" ht="12.75" customHeight="1">
      <c r="A54" s="3" t="s">
        <v>128</v>
      </c>
      <c r="B54" s="3">
        <v>72.0</v>
      </c>
      <c r="C54" s="3">
        <v>3400000.0</v>
      </c>
      <c r="D54" s="3" t="s">
        <v>61</v>
      </c>
      <c r="E54" s="3">
        <v>1.0</v>
      </c>
      <c r="F54" s="3">
        <v>12.0</v>
      </c>
      <c r="G54" s="3">
        <v>98.0</v>
      </c>
      <c r="H54" s="3">
        <v>91.5</v>
      </c>
      <c r="I54" s="3">
        <v>40.0</v>
      </c>
      <c r="J54" s="3">
        <v>1.6</v>
      </c>
      <c r="K54" s="3">
        <v>1400.0</v>
      </c>
      <c r="L54" s="3">
        <v>13.0</v>
      </c>
    </row>
    <row r="55" ht="12.75" customHeight="1">
      <c r="A55" s="3" t="s">
        <v>129</v>
      </c>
      <c r="B55" s="3">
        <v>77.0</v>
      </c>
      <c r="C55" s="3">
        <v>3.302E7</v>
      </c>
      <c r="D55" s="3" t="s">
        <v>87</v>
      </c>
      <c r="E55" s="3">
        <v>8.0</v>
      </c>
      <c r="F55" s="3">
        <v>13.0</v>
      </c>
      <c r="G55" s="3">
        <v>50.0</v>
      </c>
      <c r="H55" s="3">
        <v>39.0</v>
      </c>
      <c r="I55" s="3">
        <v>100.0</v>
      </c>
      <c r="J55" s="3">
        <v>2.0</v>
      </c>
      <c r="K55" s="3">
        <v>1469.0</v>
      </c>
      <c r="L55" s="3">
        <v>22.0</v>
      </c>
    </row>
    <row r="56" ht="12.75" customHeight="1">
      <c r="A56" s="3" t="s">
        <v>130</v>
      </c>
      <c r="B56" s="3">
        <v>210.0</v>
      </c>
      <c r="C56" s="3">
        <v>5.2642392E7</v>
      </c>
      <c r="D56" s="3" t="s">
        <v>131</v>
      </c>
      <c r="E56" s="3">
        <v>11.0</v>
      </c>
      <c r="F56" s="3">
        <v>13.0</v>
      </c>
      <c r="G56" s="3">
        <v>37.0</v>
      </c>
      <c r="H56" s="3">
        <v>25.15</v>
      </c>
      <c r="I56" s="3">
        <v>80.0</v>
      </c>
      <c r="J56" s="3">
        <v>2.0</v>
      </c>
      <c r="K56" s="3">
        <v>3205.0</v>
      </c>
      <c r="L56" s="3">
        <v>19.0</v>
      </c>
    </row>
    <row r="57" ht="12.75" customHeight="1">
      <c r="A57" s="3" t="s">
        <v>132</v>
      </c>
      <c r="B57" s="3">
        <v>169.0</v>
      </c>
      <c r="C57" s="3">
        <v>5.44E7</v>
      </c>
      <c r="D57" s="3" t="s">
        <v>133</v>
      </c>
      <c r="E57" s="3">
        <v>7.0</v>
      </c>
      <c r="F57" s="3">
        <v>11.0</v>
      </c>
      <c r="G57" s="3">
        <v>38.0</v>
      </c>
      <c r="H57" s="3">
        <v>29.7</v>
      </c>
      <c r="I57" s="3">
        <v>40.0</v>
      </c>
      <c r="J57" s="3">
        <v>1.6</v>
      </c>
      <c r="K57" s="3">
        <v>2590.0</v>
      </c>
      <c r="L57" s="3">
        <v>21.0</v>
      </c>
    </row>
    <row r="58" ht="12.75" customHeight="1">
      <c r="A58" s="3" t="s">
        <v>134</v>
      </c>
      <c r="B58" s="3">
        <v>95.0</v>
      </c>
      <c r="C58" s="3">
        <v>3.33E7</v>
      </c>
      <c r="D58" s="3" t="s">
        <v>135</v>
      </c>
      <c r="E58" s="3">
        <v>10.0</v>
      </c>
      <c r="F58" s="3">
        <v>5.0</v>
      </c>
      <c r="G58" s="3">
        <v>36.0</v>
      </c>
      <c r="H58" s="3">
        <v>34.0</v>
      </c>
      <c r="I58" s="3">
        <v>20.0</v>
      </c>
      <c r="J58" s="3">
        <v>2.0</v>
      </c>
      <c r="K58" s="3">
        <v>1808.0</v>
      </c>
      <c r="L58" s="3">
        <v>18.0</v>
      </c>
    </row>
    <row r="59" ht="12.75" customHeight="1">
      <c r="A59" s="3" t="s">
        <v>136</v>
      </c>
      <c r="B59" s="3">
        <v>7.0</v>
      </c>
      <c r="C59" s="3">
        <v>3.222E8</v>
      </c>
      <c r="D59" s="3" t="s">
        <v>136</v>
      </c>
      <c r="E59" s="3">
        <v>8.0</v>
      </c>
      <c r="F59" s="3">
        <v>13.0</v>
      </c>
      <c r="G59" s="3">
        <v>124.5</v>
      </c>
      <c r="H59" s="3">
        <v>102.07</v>
      </c>
      <c r="I59" s="3">
        <v>150.0</v>
      </c>
      <c r="J59" s="3">
        <v>2.0</v>
      </c>
      <c r="K59" s="3">
        <v>130.0</v>
      </c>
      <c r="L59" s="3">
        <v>23.0</v>
      </c>
    </row>
    <row r="60" ht="12.75" customHeight="1">
      <c r="A60" s="3" t="s">
        <v>137</v>
      </c>
      <c r="B60" s="3">
        <v>1123.0</v>
      </c>
      <c r="C60" s="3">
        <v>4000000.0</v>
      </c>
      <c r="D60" s="3" t="s">
        <v>48</v>
      </c>
      <c r="E60" s="3">
        <v>11.0</v>
      </c>
      <c r="F60" s="3">
        <v>11.0</v>
      </c>
      <c r="G60" s="3">
        <v>100.0</v>
      </c>
      <c r="K60" s="3">
        <v>3624.0</v>
      </c>
      <c r="L60" s="3">
        <v>14.0</v>
      </c>
    </row>
    <row r="61" ht="12.75" customHeight="1">
      <c r="A61" s="3" t="s">
        <v>138</v>
      </c>
      <c r="B61" s="3">
        <v>205.0</v>
      </c>
      <c r="C61" s="3">
        <v>2107201.0</v>
      </c>
      <c r="D61" s="3" t="s">
        <v>139</v>
      </c>
      <c r="E61" s="3">
        <v>10.0</v>
      </c>
      <c r="F61" s="3">
        <v>6.0</v>
      </c>
      <c r="G61" s="3">
        <v>354.0</v>
      </c>
      <c r="H61" s="3">
        <v>335.0</v>
      </c>
      <c r="I61" s="3">
        <v>50.0</v>
      </c>
      <c r="K61" s="3">
        <v>3149.0</v>
      </c>
      <c r="L61" s="3">
        <v>27.0</v>
      </c>
    </row>
    <row r="62" ht="12.75" customHeight="1">
      <c r="A62" s="3" t="s">
        <v>140</v>
      </c>
      <c r="B62" s="3">
        <v>36.0</v>
      </c>
      <c r="C62" s="3">
        <v>2390000.0</v>
      </c>
      <c r="D62" s="3" t="s">
        <v>141</v>
      </c>
      <c r="E62" s="3">
        <v>2.0</v>
      </c>
      <c r="F62" s="3">
        <v>2.0</v>
      </c>
      <c r="G62" s="3">
        <v>425.0</v>
      </c>
      <c r="H62" s="3">
        <v>412.5</v>
      </c>
      <c r="I62" s="3">
        <v>25.5</v>
      </c>
      <c r="J62" s="3">
        <v>1.6</v>
      </c>
      <c r="K62" s="3">
        <v>730.0</v>
      </c>
      <c r="L62" s="3">
        <v>8.0</v>
      </c>
    </row>
    <row r="63" ht="12.75" customHeight="1">
      <c r="A63" s="3" t="s">
        <v>143</v>
      </c>
      <c r="B63" s="3">
        <v>211.0</v>
      </c>
      <c r="C63" s="3">
        <v>4240000.0</v>
      </c>
      <c r="D63" s="3" t="s">
        <v>143</v>
      </c>
      <c r="E63" s="3">
        <v>8.0</v>
      </c>
      <c r="F63" s="3">
        <v>13.0</v>
      </c>
      <c r="G63" s="3">
        <v>278.0</v>
      </c>
      <c r="H63" s="3">
        <v>264.83</v>
      </c>
      <c r="I63" s="3">
        <v>30.0</v>
      </c>
      <c r="J63" s="3">
        <v>2.0</v>
      </c>
      <c r="K63" s="3">
        <v>3224.0</v>
      </c>
      <c r="L63" s="3">
        <v>23.0</v>
      </c>
    </row>
    <row r="64" ht="12.75" customHeight="1">
      <c r="A64" s="3" t="s">
        <v>145</v>
      </c>
      <c r="B64" s="3">
        <v>244.0</v>
      </c>
      <c r="C64" s="3">
        <v>6000000.0</v>
      </c>
      <c r="D64" s="3" t="s">
        <v>34</v>
      </c>
      <c r="E64" s="3">
        <v>10.0</v>
      </c>
      <c r="F64" s="3">
        <v>13.0</v>
      </c>
      <c r="G64" s="3">
        <v>116.0</v>
      </c>
      <c r="H64" s="3">
        <v>110.1</v>
      </c>
      <c r="I64" s="3">
        <v>90.0</v>
      </c>
      <c r="J64" s="3">
        <v>1.71</v>
      </c>
      <c r="K64" s="3">
        <v>3550.0</v>
      </c>
      <c r="L64" s="3">
        <v>15.0</v>
      </c>
    </row>
    <row r="65" ht="12.75" customHeight="1">
      <c r="A65" s="3" t="s">
        <v>146</v>
      </c>
      <c r="B65" s="3">
        <v>180.0</v>
      </c>
      <c r="C65" s="3">
        <v>7.2396177E7</v>
      </c>
      <c r="D65" s="3" t="s">
        <v>133</v>
      </c>
      <c r="E65" s="3">
        <v>7.0</v>
      </c>
      <c r="F65" s="3">
        <v>11.0</v>
      </c>
      <c r="G65" s="3">
        <v>32.5</v>
      </c>
      <c r="H65" s="3">
        <v>25.8</v>
      </c>
      <c r="I65" s="3">
        <v>60.0</v>
      </c>
      <c r="J65" s="3">
        <v>2.0</v>
      </c>
      <c r="K65" s="3">
        <v>2774.0</v>
      </c>
      <c r="L65" s="3">
        <v>21.0</v>
      </c>
    </row>
    <row r="66" ht="12.75" customHeight="1">
      <c r="A66" s="3" t="s">
        <v>147</v>
      </c>
      <c r="B66" s="3">
        <v>69.0</v>
      </c>
      <c r="C66" s="3">
        <v>1.41E8</v>
      </c>
      <c r="D66" s="3" t="s">
        <v>148</v>
      </c>
      <c r="E66" s="3">
        <v>12.0</v>
      </c>
      <c r="F66" s="3">
        <v>14.0</v>
      </c>
      <c r="G66" s="3">
        <v>716.38</v>
      </c>
      <c r="H66" s="3">
        <v>694.05</v>
      </c>
      <c r="I66" s="3">
        <v>25.5</v>
      </c>
      <c r="J66" s="3">
        <v>2.0</v>
      </c>
      <c r="K66" s="3">
        <v>1313.0</v>
      </c>
      <c r="L66" s="3">
        <v>47.0</v>
      </c>
    </row>
    <row r="67" ht="12.75" customHeight="1">
      <c r="A67" s="3" t="s">
        <v>149</v>
      </c>
      <c r="B67" s="3">
        <v>52.0</v>
      </c>
      <c r="C67" s="3">
        <v>1.01641E8</v>
      </c>
      <c r="D67" s="3" t="s">
        <v>51</v>
      </c>
      <c r="E67" s="3">
        <v>9.0</v>
      </c>
      <c r="F67" s="3">
        <v>4.0</v>
      </c>
      <c r="G67" s="3">
        <v>102.08</v>
      </c>
      <c r="H67" s="3">
        <v>94.2</v>
      </c>
      <c r="I67" s="3">
        <v>126.35</v>
      </c>
      <c r="J67" s="3">
        <v>1.6</v>
      </c>
      <c r="K67" s="3">
        <v>1035.0</v>
      </c>
      <c r="L67" s="3">
        <v>20.0</v>
      </c>
    </row>
    <row r="68" ht="12.75" customHeight="1">
      <c r="A68" s="3" t="s">
        <v>150</v>
      </c>
      <c r="B68" s="3">
        <v>135.0</v>
      </c>
      <c r="C68" s="3">
        <v>1070000.0</v>
      </c>
      <c r="D68" s="3" t="s">
        <v>151</v>
      </c>
      <c r="E68" s="3">
        <v>3.0</v>
      </c>
      <c r="F68" s="3">
        <v>10.0</v>
      </c>
      <c r="G68" s="3">
        <v>214.0</v>
      </c>
      <c r="H68" s="3">
        <v>209.3</v>
      </c>
      <c r="I68" s="3">
        <v>32.0</v>
      </c>
      <c r="J68" s="3">
        <v>1.6</v>
      </c>
      <c r="K68" s="3">
        <v>2295.0</v>
      </c>
      <c r="L68" s="3">
        <v>13.0</v>
      </c>
    </row>
    <row r="69" ht="12.75" customHeight="1">
      <c r="A69" s="3" t="s">
        <v>152</v>
      </c>
      <c r="B69" s="3">
        <v>216.0</v>
      </c>
      <c r="C69" s="3">
        <v>6240000.0</v>
      </c>
      <c r="D69" s="3" t="s">
        <v>153</v>
      </c>
      <c r="E69" s="3">
        <v>6.0</v>
      </c>
      <c r="F69" s="3">
        <v>11.0</v>
      </c>
      <c r="G69" s="3">
        <v>266.0</v>
      </c>
      <c r="I69" s="3">
        <v>30.0</v>
      </c>
      <c r="J69" s="3">
        <v>2.0</v>
      </c>
      <c r="K69" s="3">
        <v>3334.0</v>
      </c>
      <c r="L69" s="3">
        <v>26.0</v>
      </c>
    </row>
    <row r="70" ht="12.75" customHeight="1">
      <c r="A70" s="3" t="s">
        <v>154</v>
      </c>
      <c r="B70" s="3">
        <v>171.0</v>
      </c>
      <c r="C70" s="3">
        <v>1.4586823E7</v>
      </c>
      <c r="D70" s="3" t="s">
        <v>156</v>
      </c>
      <c r="E70" s="3">
        <v>4.0</v>
      </c>
      <c r="F70" s="3">
        <v>7.0</v>
      </c>
      <c r="G70" s="3">
        <v>98.5</v>
      </c>
      <c r="H70" s="3">
        <v>90.0</v>
      </c>
      <c r="I70" s="3">
        <v>60.0</v>
      </c>
      <c r="J70" s="3">
        <v>2.0</v>
      </c>
      <c r="K70" s="3">
        <v>2631.0</v>
      </c>
      <c r="L70" s="3">
        <v>14.0</v>
      </c>
    </row>
    <row r="71" ht="12.75" customHeight="1">
      <c r="A71" s="3" t="s">
        <v>157</v>
      </c>
      <c r="B71" s="3">
        <v>1120.0</v>
      </c>
      <c r="C71" s="3">
        <v>4.14E7</v>
      </c>
      <c r="D71" s="3" t="s">
        <v>158</v>
      </c>
      <c r="E71" s="3">
        <v>2.0</v>
      </c>
      <c r="F71" s="3">
        <v>7.0</v>
      </c>
      <c r="G71" s="3">
        <v>260.0</v>
      </c>
      <c r="H71" s="3">
        <v>251.5</v>
      </c>
      <c r="I71" s="3">
        <v>75.0</v>
      </c>
      <c r="K71" s="3">
        <v>3604.0</v>
      </c>
      <c r="L71" s="3">
        <v>20.0</v>
      </c>
    </row>
    <row r="72" ht="12.75" customHeight="1">
      <c r="A72" s="3" t="s">
        <v>159</v>
      </c>
      <c r="B72" s="3">
        <v>213.0</v>
      </c>
      <c r="C72" s="3">
        <v>4939000.0</v>
      </c>
      <c r="D72" s="3" t="s">
        <v>160</v>
      </c>
      <c r="E72" s="3">
        <v>6.0</v>
      </c>
      <c r="F72" s="3">
        <v>6.0</v>
      </c>
      <c r="G72" s="3">
        <v>100.0</v>
      </c>
      <c r="K72" s="3">
        <v>3292.0</v>
      </c>
      <c r="L72" s="3">
        <v>31.0</v>
      </c>
    </row>
    <row r="73" ht="12.75" customHeight="1">
      <c r="A73" s="3" t="s">
        <v>161</v>
      </c>
      <c r="B73" s="3">
        <v>121.0</v>
      </c>
      <c r="C73" s="3">
        <v>2.05E7</v>
      </c>
      <c r="D73" s="3" t="s">
        <v>162</v>
      </c>
      <c r="E73" s="3">
        <v>8.0</v>
      </c>
      <c r="F73" s="3">
        <v>13.0</v>
      </c>
      <c r="G73" s="3">
        <v>147.0</v>
      </c>
      <c r="H73" s="3">
        <v>132.5</v>
      </c>
      <c r="I73" s="3">
        <v>80.0</v>
      </c>
      <c r="J73" s="3">
        <v>1.6</v>
      </c>
      <c r="K73" s="3">
        <v>2046.0</v>
      </c>
      <c r="L73" s="3">
        <v>24.0</v>
      </c>
    </row>
    <row r="74" ht="12.75" customHeight="1">
      <c r="A74" s="3" t="s">
        <v>163</v>
      </c>
      <c r="B74" s="3">
        <v>147.0</v>
      </c>
      <c r="C74" s="3">
        <v>4300000.0</v>
      </c>
      <c r="D74" s="3" t="s">
        <v>165</v>
      </c>
      <c r="E74" s="3">
        <v>1.0</v>
      </c>
      <c r="F74" s="3">
        <v>8.0</v>
      </c>
      <c r="G74" s="3">
        <v>100.0</v>
      </c>
      <c r="I74" s="3">
        <v>28.0</v>
      </c>
      <c r="J74" s="3">
        <v>1.2</v>
      </c>
      <c r="K74" s="3">
        <v>2346.0</v>
      </c>
      <c r="L74" s="3">
        <v>21.0</v>
      </c>
    </row>
    <row r="75" ht="12.75" customHeight="1">
      <c r="A75" s="3" t="s">
        <v>166</v>
      </c>
      <c r="B75" s="3">
        <v>28.0</v>
      </c>
      <c r="C75" s="3">
        <v>2.67728E7</v>
      </c>
      <c r="D75" s="3" t="s">
        <v>167</v>
      </c>
      <c r="E75" s="3">
        <v>4.0</v>
      </c>
      <c r="F75" s="3">
        <v>7.0</v>
      </c>
      <c r="G75" s="3">
        <v>114.45</v>
      </c>
      <c r="H75" s="3">
        <v>106.0</v>
      </c>
      <c r="I75" s="3">
        <v>20.0</v>
      </c>
      <c r="J75" s="3">
        <v>1.6</v>
      </c>
      <c r="K75" s="3">
        <v>596.0</v>
      </c>
      <c r="L75" s="3">
        <v>10.0</v>
      </c>
    </row>
    <row r="76" ht="12.75" customHeight="1">
      <c r="A76" s="3" t="s">
        <v>169</v>
      </c>
      <c r="B76" s="3">
        <v>189.0</v>
      </c>
      <c r="C76" s="3">
        <v>2030000.0</v>
      </c>
      <c r="D76" s="3" t="s">
        <v>170</v>
      </c>
      <c r="E76" s="3">
        <v>2.0</v>
      </c>
      <c r="F76" s="3">
        <v>2.0</v>
      </c>
      <c r="G76" s="3">
        <v>292.92</v>
      </c>
      <c r="K76" s="3">
        <v>2854.0</v>
      </c>
      <c r="L76" s="3">
        <v>20.0</v>
      </c>
    </row>
    <row r="77" ht="12.75" customHeight="1">
      <c r="A77" s="3" t="s">
        <v>171</v>
      </c>
      <c r="B77" s="3">
        <v>63.0</v>
      </c>
      <c r="C77" s="3">
        <v>6.638E7</v>
      </c>
      <c r="D77" s="3" t="s">
        <v>172</v>
      </c>
      <c r="E77" s="3">
        <v>2.0</v>
      </c>
      <c r="F77" s="3">
        <v>7.0</v>
      </c>
      <c r="G77" s="3">
        <v>175.5</v>
      </c>
      <c r="H77" s="3">
        <v>165.8</v>
      </c>
      <c r="I77" s="3">
        <v>51.07</v>
      </c>
      <c r="J77" s="3">
        <v>1.6</v>
      </c>
      <c r="K77" s="3">
        <v>1203.0</v>
      </c>
      <c r="L77" s="3">
        <v>21.0</v>
      </c>
    </row>
    <row r="78" ht="12.75" customHeight="1">
      <c r="A78" s="3" t="s">
        <v>173</v>
      </c>
      <c r="B78" s="3">
        <v>199.0</v>
      </c>
      <c r="C78" s="3">
        <v>1.032E7</v>
      </c>
      <c r="D78" s="3" t="s">
        <v>174</v>
      </c>
      <c r="E78" s="3">
        <v>10.0</v>
      </c>
      <c r="F78" s="3">
        <v>10.0</v>
      </c>
      <c r="G78" s="3">
        <v>120.0</v>
      </c>
      <c r="H78" s="3">
        <v>110.4</v>
      </c>
      <c r="I78" s="3">
        <v>80.0</v>
      </c>
      <c r="J78" s="3">
        <v>1.71</v>
      </c>
      <c r="K78" s="3">
        <v>3080.0</v>
      </c>
      <c r="L78" s="3">
        <v>18.0</v>
      </c>
    </row>
    <row r="79" ht="12.75" customHeight="1">
      <c r="A79" s="3" t="s">
        <v>175</v>
      </c>
      <c r="B79" s="3">
        <v>164.0</v>
      </c>
      <c r="C79" s="3">
        <v>2810000.0</v>
      </c>
      <c r="D79" s="3" t="s">
        <v>30</v>
      </c>
      <c r="E79" s="3">
        <v>4.0</v>
      </c>
      <c r="F79" s="3">
        <v>1.0</v>
      </c>
      <c r="G79" s="3">
        <v>93.0</v>
      </c>
      <c r="I79" s="3">
        <v>50.0</v>
      </c>
      <c r="J79" s="3">
        <v>1.6</v>
      </c>
      <c r="K79" s="3">
        <v>2515.0</v>
      </c>
      <c r="L79" s="3">
        <v>13.0</v>
      </c>
    </row>
    <row r="80" ht="12.75" customHeight="1">
      <c r="A80" s="3" t="s">
        <v>176</v>
      </c>
      <c r="B80" s="3">
        <v>235.0</v>
      </c>
      <c r="C80" s="3">
        <v>3.65E7</v>
      </c>
      <c r="D80" s="3" t="s">
        <v>177</v>
      </c>
      <c r="E80" s="3">
        <v>10.0</v>
      </c>
      <c r="F80" s="3">
        <v>5.0</v>
      </c>
      <c r="G80" s="3">
        <v>24.0</v>
      </c>
      <c r="H80" s="3">
        <v>16.21</v>
      </c>
      <c r="I80" s="3">
        <v>60.0</v>
      </c>
      <c r="J80" s="3">
        <v>2.0</v>
      </c>
      <c r="K80" s="3">
        <v>3454.0</v>
      </c>
      <c r="L80" s="3">
        <v>19.0</v>
      </c>
    </row>
    <row r="81" ht="12.75" customHeight="1">
      <c r="A81" s="3" t="s">
        <v>178</v>
      </c>
      <c r="B81" s="3">
        <v>201.0</v>
      </c>
      <c r="C81" s="3">
        <v>2.049E7</v>
      </c>
      <c r="D81" s="3" t="s">
        <v>104</v>
      </c>
      <c r="E81" s="3">
        <v>1.0</v>
      </c>
      <c r="F81" s="3">
        <v>3.0</v>
      </c>
      <c r="G81" s="3">
        <v>355.0</v>
      </c>
      <c r="H81" s="3">
        <v>346.55</v>
      </c>
      <c r="I81" s="3">
        <v>80.0</v>
      </c>
      <c r="J81" s="3">
        <v>2.0</v>
      </c>
      <c r="K81" s="3">
        <v>3098.0</v>
      </c>
      <c r="L81" s="3">
        <v>23.0</v>
      </c>
    </row>
    <row r="82" ht="12.75" customHeight="1">
      <c r="A82" s="3" t="s">
        <v>179</v>
      </c>
      <c r="B82" s="3">
        <v>8.0</v>
      </c>
      <c r="C82" s="3">
        <v>3.718E7</v>
      </c>
      <c r="D82" s="3" t="s">
        <v>180</v>
      </c>
      <c r="E82" s="3">
        <v>2.0</v>
      </c>
      <c r="F82" s="3">
        <v>2.0</v>
      </c>
      <c r="G82" s="3">
        <v>427.0</v>
      </c>
      <c r="H82" s="3">
        <v>401.0</v>
      </c>
      <c r="I82" s="3">
        <v>119.0</v>
      </c>
      <c r="J82" s="3">
        <v>1.6</v>
      </c>
      <c r="K82" s="3">
        <v>153.0</v>
      </c>
      <c r="L82" s="3">
        <v>38.0</v>
      </c>
    </row>
    <row r="83" ht="12.75" customHeight="1">
      <c r="A83" s="3" t="s">
        <v>181</v>
      </c>
      <c r="B83" s="3">
        <v>1124.0</v>
      </c>
      <c r="C83" s="3">
        <v>9350000.0</v>
      </c>
      <c r="D83" s="3" t="s">
        <v>34</v>
      </c>
      <c r="E83" s="3">
        <v>10.0</v>
      </c>
      <c r="F83" s="3">
        <v>5.0</v>
      </c>
      <c r="G83" s="3">
        <v>51.5</v>
      </c>
      <c r="H83" s="3">
        <v>47.2</v>
      </c>
      <c r="I83" s="3">
        <v>160.0</v>
      </c>
      <c r="J83" s="3">
        <v>1.6</v>
      </c>
      <c r="K83" s="3">
        <v>3638.0</v>
      </c>
      <c r="L83" s="3">
        <v>15.0</v>
      </c>
    </row>
    <row r="84" ht="12.75" customHeight="1">
      <c r="A84" s="3" t="s">
        <v>182</v>
      </c>
      <c r="B84" s="3">
        <v>126.0</v>
      </c>
      <c r="C84" s="3">
        <v>2.483E7</v>
      </c>
      <c r="D84" s="3" t="s">
        <v>182</v>
      </c>
      <c r="E84" s="3">
        <v>7.0</v>
      </c>
      <c r="F84" s="3">
        <v>11.0</v>
      </c>
      <c r="G84" s="3">
        <v>99.0</v>
      </c>
      <c r="H84" s="3">
        <v>93.48</v>
      </c>
      <c r="I84" s="3">
        <v>100.0</v>
      </c>
      <c r="J84" s="3">
        <v>1.6</v>
      </c>
      <c r="K84" s="3">
        <v>2117.0</v>
      </c>
      <c r="L84" s="3">
        <v>16.0</v>
      </c>
    </row>
    <row r="85" ht="12.75" customHeight="1">
      <c r="A85" s="3" t="s">
        <v>184</v>
      </c>
      <c r="B85" s="3">
        <v>1119.0</v>
      </c>
      <c r="C85" s="3">
        <v>5.436909E7</v>
      </c>
      <c r="D85" s="3" t="s">
        <v>185</v>
      </c>
      <c r="E85" s="3">
        <v>11.0</v>
      </c>
      <c r="F85" s="3">
        <v>11.0</v>
      </c>
      <c r="G85" s="3">
        <v>54.7</v>
      </c>
      <c r="H85" s="3">
        <v>43.75</v>
      </c>
      <c r="I85" s="3">
        <v>150.0</v>
      </c>
      <c r="K85" s="3">
        <v>3584.0</v>
      </c>
      <c r="L85" s="3">
        <v>20.0</v>
      </c>
    </row>
    <row r="86" ht="12.75" customHeight="1">
      <c r="A86" s="3" t="s">
        <v>186</v>
      </c>
      <c r="B86" s="3">
        <v>161.0</v>
      </c>
      <c r="C86" s="3">
        <v>1.17E7</v>
      </c>
      <c r="D86" s="3" t="s">
        <v>186</v>
      </c>
      <c r="E86" s="3">
        <v>3.0</v>
      </c>
      <c r="F86" s="3">
        <v>10.0</v>
      </c>
      <c r="G86" s="3">
        <v>655.0</v>
      </c>
      <c r="H86" s="3">
        <v>643.65</v>
      </c>
      <c r="I86" s="3">
        <v>50.0</v>
      </c>
      <c r="J86" s="3">
        <v>1.6</v>
      </c>
      <c r="K86" s="3">
        <v>2476.0</v>
      </c>
      <c r="L86" s="3">
        <v>13.0</v>
      </c>
    </row>
    <row r="87" ht="12.75" customHeight="1">
      <c r="A87" s="3" t="s">
        <v>187</v>
      </c>
      <c r="B87" s="3">
        <v>206.0</v>
      </c>
      <c r="C87" s="3">
        <v>3964000.0</v>
      </c>
      <c r="D87" s="3" t="s">
        <v>165</v>
      </c>
      <c r="E87" s="3">
        <v>1.0</v>
      </c>
      <c r="F87" s="3">
        <v>3.0</v>
      </c>
      <c r="G87" s="3">
        <v>100.0</v>
      </c>
      <c r="I87" s="3">
        <v>25.0</v>
      </c>
      <c r="J87" s="3">
        <v>1.2</v>
      </c>
      <c r="K87" s="3">
        <v>3176.0</v>
      </c>
      <c r="L87" s="3">
        <v>14.0</v>
      </c>
    </row>
    <row r="88" ht="12.75" customHeight="1">
      <c r="A88" s="3" t="s">
        <v>142</v>
      </c>
      <c r="B88" s="3">
        <v>61.0</v>
      </c>
      <c r="C88" s="3">
        <v>2.13E7</v>
      </c>
      <c r="D88" s="3" t="s">
        <v>188</v>
      </c>
      <c r="E88" s="3">
        <v>11.0</v>
      </c>
      <c r="F88" s="3">
        <v>13.0</v>
      </c>
      <c r="G88" s="3">
        <v>166.38</v>
      </c>
      <c r="H88" s="3">
        <v>138.0</v>
      </c>
      <c r="I88" s="3">
        <v>46.0</v>
      </c>
      <c r="J88" s="3">
        <v>1.6</v>
      </c>
      <c r="K88" s="3">
        <v>1177.0</v>
      </c>
      <c r="L88" s="3">
        <v>12.0</v>
      </c>
    </row>
    <row r="89" ht="12.75" customHeight="1">
      <c r="A89" s="3" t="s">
        <v>190</v>
      </c>
      <c r="B89" s="3">
        <v>168.0</v>
      </c>
      <c r="C89" s="3">
        <v>4.655E7</v>
      </c>
      <c r="D89" s="3" t="s">
        <v>191</v>
      </c>
      <c r="E89" s="3">
        <v>1.0</v>
      </c>
      <c r="F89" s="3">
        <v>7.0</v>
      </c>
      <c r="G89" s="3">
        <v>267.0</v>
      </c>
      <c r="H89" s="3">
        <v>252.8</v>
      </c>
      <c r="I89" s="3">
        <v>110.0</v>
      </c>
      <c r="J89" s="3">
        <v>2.0</v>
      </c>
      <c r="K89" s="3">
        <v>2557.0</v>
      </c>
      <c r="L89" s="3">
        <v>33.0</v>
      </c>
    </row>
    <row r="90" ht="12.75" customHeight="1">
      <c r="A90" s="3" t="s">
        <v>193</v>
      </c>
      <c r="B90" s="3">
        <v>26.0</v>
      </c>
      <c r="C90" s="3">
        <v>5194457.0</v>
      </c>
      <c r="D90" s="3" t="s">
        <v>167</v>
      </c>
      <c r="E90" s="3">
        <v>4.0</v>
      </c>
      <c r="F90" s="3">
        <v>7.0</v>
      </c>
      <c r="G90" s="3">
        <v>111.0</v>
      </c>
      <c r="H90" s="3">
        <v>104.0</v>
      </c>
      <c r="I90" s="3">
        <v>80.35</v>
      </c>
      <c r="J90" s="3">
        <v>1.6</v>
      </c>
      <c r="K90" s="3">
        <v>552.0</v>
      </c>
      <c r="L90" s="3">
        <v>19.0</v>
      </c>
    </row>
    <row r="91" ht="12.75" customHeight="1">
      <c r="A91" s="3" t="s">
        <v>194</v>
      </c>
      <c r="B91" s="3">
        <v>155.0</v>
      </c>
      <c r="C91" s="3">
        <v>1.9E7</v>
      </c>
      <c r="D91" s="3" t="s">
        <v>195</v>
      </c>
      <c r="E91" s="3">
        <v>2.0</v>
      </c>
      <c r="F91" s="3">
        <v>2.0</v>
      </c>
      <c r="G91" s="3">
        <v>350.0</v>
      </c>
      <c r="H91" s="3">
        <v>336.5</v>
      </c>
      <c r="I91" s="3">
        <v>50.0</v>
      </c>
      <c r="J91" s="3">
        <v>1.6</v>
      </c>
      <c r="K91" s="3">
        <v>2384.0</v>
      </c>
      <c r="L91" s="3">
        <v>26.0</v>
      </c>
    </row>
    <row r="92" ht="12.75" customHeight="1">
      <c r="A92" s="3" t="s">
        <v>196</v>
      </c>
      <c r="B92" s="3">
        <v>9.0</v>
      </c>
      <c r="C92" s="3">
        <v>1.94E9</v>
      </c>
      <c r="D92" s="3" t="s">
        <v>196</v>
      </c>
      <c r="E92" s="3">
        <v>1.0</v>
      </c>
      <c r="F92" s="3">
        <v>7.0</v>
      </c>
      <c r="G92" s="3">
        <v>199.5</v>
      </c>
      <c r="H92" s="3">
        <v>169.0</v>
      </c>
      <c r="I92" s="3">
        <v>150.0</v>
      </c>
      <c r="J92" s="3">
        <v>2.0</v>
      </c>
      <c r="K92" s="3">
        <v>191.0</v>
      </c>
      <c r="L92" s="3">
        <v>44.0</v>
      </c>
    </row>
    <row r="93" ht="12.75" customHeight="1">
      <c r="A93" s="3" t="s">
        <v>197</v>
      </c>
      <c r="B93" s="3">
        <v>80.0</v>
      </c>
      <c r="C93" s="3">
        <v>2.32E8</v>
      </c>
      <c r="D93" s="3" t="s">
        <v>197</v>
      </c>
      <c r="E93" s="3">
        <v>10.0</v>
      </c>
      <c r="F93" s="3">
        <v>5.0</v>
      </c>
      <c r="G93" s="3">
        <v>38.0</v>
      </c>
      <c r="H93" s="3">
        <v>25.0</v>
      </c>
      <c r="I93" s="3">
        <v>867.0</v>
      </c>
      <c r="J93" s="3">
        <v>1.6</v>
      </c>
      <c r="K93" s="3">
        <v>1544.0</v>
      </c>
      <c r="L93" s="3">
        <v>19.0</v>
      </c>
    </row>
    <row r="94" ht="12.75" customHeight="1">
      <c r="A94" s="3" t="s">
        <v>198</v>
      </c>
      <c r="B94" s="3">
        <v>88.0</v>
      </c>
      <c r="C94" s="3">
        <v>3.8E8</v>
      </c>
      <c r="D94" s="3" t="s">
        <v>199</v>
      </c>
      <c r="E94" s="3">
        <v>10.0</v>
      </c>
      <c r="F94" s="3">
        <v>5.0</v>
      </c>
      <c r="G94" s="3">
        <v>45.0</v>
      </c>
      <c r="H94" s="3">
        <v>31.0</v>
      </c>
      <c r="I94" s="3">
        <v>790.0</v>
      </c>
      <c r="J94" s="3">
        <v>1.6</v>
      </c>
      <c r="K94" s="3">
        <v>1679.0</v>
      </c>
      <c r="L94" s="3">
        <v>28.0</v>
      </c>
    </row>
    <row r="95" ht="12.75" customHeight="1">
      <c r="A95" s="3" t="s">
        <v>113</v>
      </c>
      <c r="B95" s="3">
        <v>89.0</v>
      </c>
      <c r="C95" s="3">
        <v>8600000.0</v>
      </c>
      <c r="D95" s="3" t="s">
        <v>113</v>
      </c>
      <c r="E95" s="3">
        <v>1.0</v>
      </c>
      <c r="F95" s="3">
        <v>12.0</v>
      </c>
      <c r="G95" s="3">
        <v>484.5</v>
      </c>
      <c r="H95" s="3">
        <v>476.0</v>
      </c>
      <c r="I95" s="3">
        <v>66.0</v>
      </c>
      <c r="J95" s="3">
        <v>1.6</v>
      </c>
      <c r="K95" s="3">
        <v>1707.0</v>
      </c>
      <c r="L95" s="3">
        <v>27.0</v>
      </c>
    </row>
    <row r="96" ht="12.75" customHeight="1">
      <c r="A96" s="3" t="s">
        <v>201</v>
      </c>
      <c r="B96" s="3">
        <v>56.0</v>
      </c>
      <c r="C96" s="3">
        <v>7550000.0</v>
      </c>
      <c r="D96" s="3" t="s">
        <v>48</v>
      </c>
      <c r="E96" s="3">
        <v>11.0</v>
      </c>
      <c r="F96" s="3">
        <v>11.0</v>
      </c>
      <c r="G96" s="3">
        <v>106.0</v>
      </c>
      <c r="H96" s="3">
        <v>100.6</v>
      </c>
      <c r="I96" s="3">
        <v>102.41</v>
      </c>
      <c r="J96" s="3">
        <v>1.6</v>
      </c>
      <c r="K96" s="3">
        <v>1104.0</v>
      </c>
      <c r="L96" s="3">
        <v>14.0</v>
      </c>
    </row>
    <row r="97" ht="12.75" customHeight="1">
      <c r="A97" s="3" t="s">
        <v>202</v>
      </c>
      <c r="B97" s="3">
        <v>10.0</v>
      </c>
      <c r="C97" s="3">
        <v>6.5103E7</v>
      </c>
      <c r="D97" s="3" t="s">
        <v>203</v>
      </c>
      <c r="E97" s="3">
        <v>3.0</v>
      </c>
      <c r="F97" s="3">
        <v>10.0</v>
      </c>
      <c r="G97" s="3">
        <v>130.0</v>
      </c>
      <c r="H97" s="3">
        <v>112.09</v>
      </c>
      <c r="I97" s="3">
        <v>90.0</v>
      </c>
      <c r="J97" s="3">
        <v>1.6</v>
      </c>
      <c r="K97" s="3">
        <v>235.0</v>
      </c>
      <c r="L97" s="3">
        <v>33.0</v>
      </c>
    </row>
    <row r="98" ht="12.75" customHeight="1">
      <c r="A98" s="3" t="s">
        <v>204</v>
      </c>
      <c r="B98" s="3">
        <v>148.0</v>
      </c>
      <c r="C98" s="3">
        <v>1900000.0</v>
      </c>
      <c r="D98" s="3" t="s">
        <v>205</v>
      </c>
      <c r="E98" s="3">
        <v>1.0</v>
      </c>
      <c r="F98" s="3">
        <v>3.0</v>
      </c>
      <c r="G98" s="3">
        <v>998.09</v>
      </c>
      <c r="I98" s="3">
        <v>90.16</v>
      </c>
      <c r="J98" s="3">
        <v>1.6</v>
      </c>
      <c r="K98" s="3">
        <v>2367.0</v>
      </c>
      <c r="L98" s="3">
        <v>17.0</v>
      </c>
    </row>
    <row r="99" ht="12.75" customHeight="1">
      <c r="A99" s="3" t="s">
        <v>206</v>
      </c>
      <c r="B99" s="3">
        <v>11.0</v>
      </c>
      <c r="C99" s="3">
        <v>4.56E8</v>
      </c>
      <c r="D99" s="3" t="s">
        <v>89</v>
      </c>
      <c r="E99" s="3">
        <v>3.0</v>
      </c>
      <c r="F99" s="3">
        <v>10.0</v>
      </c>
      <c r="G99" s="3">
        <v>127.0</v>
      </c>
      <c r="H99" s="3">
        <v>105.0</v>
      </c>
      <c r="I99" s="3">
        <v>105.0</v>
      </c>
      <c r="J99" s="3">
        <v>2.0</v>
      </c>
      <c r="K99" s="3">
        <v>268.0</v>
      </c>
      <c r="L99" s="3">
        <v>29.0</v>
      </c>
    </row>
    <row r="100" ht="12.75" customHeight="1">
      <c r="A100" s="3" t="s">
        <v>207</v>
      </c>
      <c r="B100" s="3">
        <v>179.0</v>
      </c>
      <c r="C100" s="3">
        <v>2179000.0</v>
      </c>
      <c r="D100" s="3" t="s">
        <v>34</v>
      </c>
      <c r="E100" s="3">
        <v>10.0</v>
      </c>
      <c r="F100" s="3">
        <v>5.0</v>
      </c>
      <c r="G100" s="3">
        <v>998.0</v>
      </c>
      <c r="H100" s="3">
        <v>994.55</v>
      </c>
      <c r="I100" s="3">
        <v>30.0</v>
      </c>
      <c r="J100" s="3">
        <v>1.71</v>
      </c>
      <c r="K100" s="3">
        <v>2759.0</v>
      </c>
      <c r="L100" s="3">
        <v>15.0</v>
      </c>
    </row>
    <row r="101" ht="12.75" customHeight="1">
      <c r="A101" s="3" t="s">
        <v>208</v>
      </c>
      <c r="B101" s="3">
        <v>12.0</v>
      </c>
      <c r="C101" s="3">
        <v>3.6E8</v>
      </c>
      <c r="D101" s="3" t="s">
        <v>208</v>
      </c>
      <c r="E101" s="3">
        <v>8.0</v>
      </c>
      <c r="F101" s="3">
        <v>13.0</v>
      </c>
      <c r="G101" s="3">
        <v>58.0</v>
      </c>
      <c r="H101" s="3">
        <v>44.2</v>
      </c>
      <c r="I101" s="3">
        <v>348.0</v>
      </c>
      <c r="J101" s="3">
        <v>2.0</v>
      </c>
      <c r="K101" s="3">
        <v>297.0</v>
      </c>
      <c r="L101" s="3">
        <v>46.0</v>
      </c>
    </row>
    <row r="102" ht="12.75" customHeight="1">
      <c r="A102" s="3" t="s">
        <v>209</v>
      </c>
      <c r="B102" s="3">
        <v>192.0</v>
      </c>
      <c r="C102" s="3">
        <v>9031000.0</v>
      </c>
      <c r="D102" s="3" t="s">
        <v>210</v>
      </c>
      <c r="E102" s="3">
        <v>10.0</v>
      </c>
      <c r="F102" s="3">
        <v>10.0</v>
      </c>
      <c r="G102" s="3">
        <v>196.5</v>
      </c>
      <c r="H102" s="3">
        <v>184.0</v>
      </c>
      <c r="I102" s="3">
        <v>40.0</v>
      </c>
      <c r="J102" s="3">
        <v>1.71</v>
      </c>
      <c r="K102" s="3">
        <v>2937.0</v>
      </c>
      <c r="L102" s="3">
        <v>25.0</v>
      </c>
    </row>
    <row r="103" ht="12.75" customHeight="1">
      <c r="A103" s="3" t="s">
        <v>211</v>
      </c>
      <c r="B103" s="3">
        <v>167.0</v>
      </c>
      <c r="C103" s="3">
        <v>7.4E7</v>
      </c>
      <c r="D103" s="3" t="s">
        <v>127</v>
      </c>
      <c r="E103" s="3">
        <v>3.0</v>
      </c>
      <c r="F103" s="3">
        <v>10.0</v>
      </c>
      <c r="G103" s="3">
        <v>246.0</v>
      </c>
      <c r="H103" s="3">
        <v>237.15</v>
      </c>
      <c r="I103" s="3">
        <v>180.0</v>
      </c>
      <c r="J103" s="3">
        <v>2.0</v>
      </c>
      <c r="K103" s="3">
        <v>2541.0</v>
      </c>
      <c r="L103" s="3">
        <v>16.0</v>
      </c>
    </row>
    <row r="104" ht="12.75" customHeight="1">
      <c r="A104" s="3" t="s">
        <v>213</v>
      </c>
      <c r="B104" s="3">
        <v>27.0</v>
      </c>
      <c r="C104" s="3">
        <v>5.2E7</v>
      </c>
      <c r="D104" s="3" t="s">
        <v>214</v>
      </c>
      <c r="E104" s="3">
        <v>1.0</v>
      </c>
      <c r="F104" s="3">
        <v>3.0</v>
      </c>
      <c r="G104" s="3">
        <v>542.0</v>
      </c>
      <c r="H104" s="3">
        <v>530.0</v>
      </c>
      <c r="I104" s="3">
        <v>65.0</v>
      </c>
      <c r="J104" s="3">
        <v>1.6</v>
      </c>
      <c r="K104" s="3">
        <v>571.0</v>
      </c>
      <c r="L104" s="3">
        <v>25.0</v>
      </c>
    </row>
    <row r="105" ht="12.75" customHeight="1">
      <c r="A105" s="3" t="s">
        <v>215</v>
      </c>
      <c r="B105" s="3">
        <v>67.0</v>
      </c>
      <c r="C105" s="3">
        <v>5.2E7</v>
      </c>
      <c r="D105" s="3" t="s">
        <v>91</v>
      </c>
      <c r="E105" s="3">
        <v>3.0</v>
      </c>
      <c r="F105" s="3">
        <v>9.0</v>
      </c>
      <c r="G105" s="3">
        <v>120.0</v>
      </c>
      <c r="H105" s="3">
        <v>107.56</v>
      </c>
      <c r="I105" s="3">
        <v>200.0</v>
      </c>
      <c r="J105" s="3">
        <v>1.6</v>
      </c>
      <c r="K105" s="3">
        <v>1268.0</v>
      </c>
      <c r="L105" s="3">
        <v>19.0</v>
      </c>
    </row>
    <row r="106" ht="12.75" customHeight="1">
      <c r="A106" s="3" t="s">
        <v>216</v>
      </c>
      <c r="B106" s="3">
        <v>90.0</v>
      </c>
      <c r="C106" s="3">
        <v>1.243E7</v>
      </c>
      <c r="D106" s="3" t="s">
        <v>131</v>
      </c>
      <c r="E106" s="3">
        <v>11.0</v>
      </c>
      <c r="F106" s="3">
        <v>13.0</v>
      </c>
      <c r="G106" s="3">
        <v>68.0</v>
      </c>
      <c r="I106" s="3">
        <v>81.0</v>
      </c>
      <c r="J106" s="3">
        <v>1.6</v>
      </c>
      <c r="K106" s="3">
        <v>1734.0</v>
      </c>
      <c r="L106" s="3">
        <v>12.0</v>
      </c>
    </row>
    <row r="107" ht="12.75" customHeight="1">
      <c r="A107" s="3" t="s">
        <v>217</v>
      </c>
      <c r="B107" s="3">
        <v>13.0</v>
      </c>
      <c r="C107" s="3">
        <v>1.43E8</v>
      </c>
      <c r="D107" s="3" t="s">
        <v>218</v>
      </c>
      <c r="E107" s="3">
        <v>10.0</v>
      </c>
      <c r="F107" s="3">
        <v>10.0</v>
      </c>
      <c r="G107" s="3">
        <v>218.5</v>
      </c>
      <c r="H107" s="3">
        <v>207.2</v>
      </c>
      <c r="I107" s="3">
        <v>50.0</v>
      </c>
      <c r="J107" s="3">
        <v>1.71</v>
      </c>
      <c r="K107" s="3">
        <v>343.0</v>
      </c>
      <c r="L107" s="3">
        <v>15.0</v>
      </c>
    </row>
    <row r="108" ht="12.75" customHeight="1">
      <c r="A108" s="3" t="s">
        <v>220</v>
      </c>
      <c r="B108" s="3">
        <v>82.0</v>
      </c>
      <c r="C108" s="3">
        <v>6380000.0</v>
      </c>
      <c r="D108" s="3" t="s">
        <v>220</v>
      </c>
      <c r="E108" s="3">
        <v>4.0</v>
      </c>
      <c r="F108" s="3">
        <v>1.0</v>
      </c>
      <c r="G108" s="3">
        <v>99.0</v>
      </c>
      <c r="H108" s="3">
        <v>94.7</v>
      </c>
      <c r="I108" s="3">
        <v>52.64</v>
      </c>
      <c r="J108" s="3">
        <v>1.6</v>
      </c>
      <c r="K108" s="3">
        <v>1581.0</v>
      </c>
      <c r="L108" s="3">
        <v>18.0</v>
      </c>
    </row>
    <row r="109" ht="12.75" customHeight="1">
      <c r="A109" s="3" t="s">
        <v>221</v>
      </c>
      <c r="B109" s="3">
        <v>14.0</v>
      </c>
      <c r="C109" s="3">
        <v>3.25E7</v>
      </c>
      <c r="D109" s="3" t="s">
        <v>222</v>
      </c>
      <c r="E109" s="3">
        <v>2.0</v>
      </c>
      <c r="F109" s="3">
        <v>2.0</v>
      </c>
      <c r="G109" s="3">
        <v>98.0</v>
      </c>
      <c r="H109" s="3">
        <v>72.0</v>
      </c>
      <c r="I109" s="3">
        <v>80.0</v>
      </c>
      <c r="J109" s="3">
        <v>2.0</v>
      </c>
      <c r="K109" s="3">
        <v>358.0</v>
      </c>
      <c r="L109" s="3">
        <v>12.0</v>
      </c>
    </row>
    <row r="110" ht="12.75" customHeight="1">
      <c r="A110" s="3" t="s">
        <v>223</v>
      </c>
      <c r="B110" s="3">
        <v>62.0</v>
      </c>
      <c r="C110" s="3">
        <v>5200000.0</v>
      </c>
      <c r="D110" s="3" t="s">
        <v>224</v>
      </c>
      <c r="E110" s="3">
        <v>7.0</v>
      </c>
      <c r="F110" s="3">
        <v>11.0</v>
      </c>
      <c r="G110" s="3">
        <v>88.0</v>
      </c>
      <c r="H110" s="3">
        <v>82.0</v>
      </c>
      <c r="I110" s="3">
        <v>33.0</v>
      </c>
      <c r="J110" s="3">
        <v>1.6</v>
      </c>
      <c r="K110" s="3">
        <v>1189.0</v>
      </c>
      <c r="L110" s="3">
        <v>14.0</v>
      </c>
    </row>
    <row r="111" ht="12.75" customHeight="1">
      <c r="A111" s="3" t="s">
        <v>226</v>
      </c>
      <c r="B111" s="3">
        <v>79.0</v>
      </c>
      <c r="C111" s="3">
        <v>3370000.0</v>
      </c>
      <c r="D111" s="3" t="s">
        <v>131</v>
      </c>
      <c r="E111" s="3">
        <v>11.0</v>
      </c>
      <c r="F111" s="3">
        <v>13.0</v>
      </c>
      <c r="G111" s="3">
        <v>98.5</v>
      </c>
      <c r="H111" s="3">
        <v>85.0</v>
      </c>
      <c r="I111" s="3">
        <v>42.0</v>
      </c>
      <c r="J111" s="3">
        <v>1.6</v>
      </c>
      <c r="K111" s="3">
        <v>1523.0</v>
      </c>
      <c r="L111" s="3">
        <v>21.0</v>
      </c>
    </row>
    <row r="112" ht="12.75" customHeight="1">
      <c r="A112" s="3" t="s">
        <v>227</v>
      </c>
      <c r="B112" s="3">
        <v>68.0</v>
      </c>
      <c r="C112" s="3">
        <v>4330000.0</v>
      </c>
      <c r="D112" s="3" t="s">
        <v>228</v>
      </c>
      <c r="E112" s="3">
        <v>1.0</v>
      </c>
      <c r="F112" s="3">
        <v>7.0</v>
      </c>
      <c r="G112" s="3">
        <v>95.0</v>
      </c>
      <c r="H112" s="3">
        <v>86.5</v>
      </c>
      <c r="I112" s="3">
        <v>90.67</v>
      </c>
      <c r="J112" s="3">
        <v>2.0</v>
      </c>
      <c r="K112" s="3">
        <v>1287.0</v>
      </c>
      <c r="L112" s="3">
        <v>26.0</v>
      </c>
    </row>
    <row r="113" ht="12.75" customHeight="1">
      <c r="A113" s="3" t="s">
        <v>229</v>
      </c>
      <c r="B113" s="3">
        <v>15.0</v>
      </c>
      <c r="C113" s="3">
        <v>3.178E7</v>
      </c>
      <c r="D113" s="3" t="s">
        <v>141</v>
      </c>
      <c r="E113" s="3">
        <v>2.0</v>
      </c>
      <c r="F113" s="3">
        <v>2.0</v>
      </c>
      <c r="G113" s="3">
        <v>418.0</v>
      </c>
      <c r="H113" s="3">
        <v>393.0</v>
      </c>
      <c r="I113" s="3">
        <v>55.0</v>
      </c>
      <c r="J113" s="3">
        <v>1.6</v>
      </c>
      <c r="K113" s="3">
        <v>370.0</v>
      </c>
      <c r="L113" s="3">
        <v>11.0</v>
      </c>
    </row>
    <row r="114" ht="12.75" customHeight="1">
      <c r="A114" s="3" t="s">
        <v>127</v>
      </c>
      <c r="B114" s="3">
        <v>16.0</v>
      </c>
      <c r="C114" s="3">
        <v>7880000.0</v>
      </c>
      <c r="D114" s="3" t="s">
        <v>127</v>
      </c>
      <c r="E114" s="3">
        <v>3.0</v>
      </c>
      <c r="F114" s="3">
        <v>10.0</v>
      </c>
      <c r="G114" s="3">
        <v>102.0</v>
      </c>
      <c r="H114" s="3">
        <v>92.05</v>
      </c>
      <c r="I114" s="3">
        <v>153.0</v>
      </c>
      <c r="J114" s="3">
        <v>2.0</v>
      </c>
      <c r="K114" s="3">
        <v>381.0</v>
      </c>
      <c r="L114" s="3">
        <v>20.0</v>
      </c>
    </row>
    <row r="115" ht="12.75" customHeight="1">
      <c r="A115" s="3" t="s">
        <v>232</v>
      </c>
      <c r="B115" s="3">
        <v>54.0</v>
      </c>
      <c r="C115" s="3">
        <v>3.155E7</v>
      </c>
      <c r="D115" s="3" t="s">
        <v>53</v>
      </c>
      <c r="E115" s="3">
        <v>9.0</v>
      </c>
      <c r="F115" s="3">
        <v>4.0</v>
      </c>
      <c r="G115" s="3">
        <v>327.0</v>
      </c>
      <c r="H115" s="3">
        <v>314.4</v>
      </c>
      <c r="I115" s="3">
        <v>70.0</v>
      </c>
      <c r="J115" s="3">
        <v>1.6</v>
      </c>
      <c r="K115" s="3">
        <v>1073.0</v>
      </c>
      <c r="L115" s="3">
        <v>20.0</v>
      </c>
    </row>
    <row r="116" ht="12.75" customHeight="1">
      <c r="A116" s="3" t="s">
        <v>233</v>
      </c>
      <c r="B116" s="3">
        <v>117.0</v>
      </c>
      <c r="C116" s="3">
        <v>4.7916512E7</v>
      </c>
      <c r="D116" s="3" t="s">
        <v>234</v>
      </c>
      <c r="E116" s="3">
        <v>10.0</v>
      </c>
      <c r="F116" s="3">
        <v>5.0</v>
      </c>
      <c r="G116" s="3">
        <v>45.0</v>
      </c>
      <c r="H116" s="3">
        <v>31.0</v>
      </c>
      <c r="I116" s="3">
        <v>0.0</v>
      </c>
      <c r="J116" s="3">
        <v>1.6</v>
      </c>
      <c r="K116" s="3">
        <v>1969.0</v>
      </c>
      <c r="L116" s="3">
        <v>38.0</v>
      </c>
    </row>
    <row r="117" ht="12.75" customHeight="1">
      <c r="A117" s="3" t="s">
        <v>236</v>
      </c>
      <c r="B117" s="3">
        <v>186.0</v>
      </c>
      <c r="C117" s="3">
        <v>2.3247502E7</v>
      </c>
      <c r="D117" s="3" t="s">
        <v>79</v>
      </c>
      <c r="E117" s="3">
        <v>4.0</v>
      </c>
      <c r="F117" s="3">
        <v>9.0</v>
      </c>
      <c r="G117" s="3">
        <v>88.0</v>
      </c>
      <c r="K117" s="3">
        <v>2835.0</v>
      </c>
      <c r="L117" s="3">
        <v>19.0</v>
      </c>
    </row>
    <row r="118" ht="12.75" customHeight="1">
      <c r="A118" s="3" t="s">
        <v>237</v>
      </c>
      <c r="B118" s="3">
        <v>17.0</v>
      </c>
      <c r="C118" s="3">
        <v>5.8434157E7</v>
      </c>
      <c r="D118" s="3" t="s">
        <v>238</v>
      </c>
      <c r="E118" s="3">
        <v>4.0</v>
      </c>
      <c r="F118" s="3">
        <v>10.0</v>
      </c>
      <c r="G118" s="3">
        <v>118.0</v>
      </c>
      <c r="H118" s="3">
        <v>108.0</v>
      </c>
      <c r="I118" s="3">
        <v>113.49</v>
      </c>
      <c r="J118" s="3">
        <v>1.6</v>
      </c>
      <c r="K118" s="3">
        <v>401.0</v>
      </c>
      <c r="L118" s="3">
        <v>17.0</v>
      </c>
    </row>
    <row r="119" ht="12.75" customHeight="1">
      <c r="A119" s="3" t="s">
        <v>243</v>
      </c>
      <c r="B119" s="3">
        <v>174.0</v>
      </c>
      <c r="C119" s="3">
        <v>2.01E7</v>
      </c>
      <c r="D119" s="3" t="s">
        <v>246</v>
      </c>
      <c r="E119" s="3">
        <v>1.0</v>
      </c>
      <c r="F119" s="3">
        <v>12.0</v>
      </c>
      <c r="G119" s="3">
        <v>997.5</v>
      </c>
      <c r="I119" s="3">
        <v>100.0</v>
      </c>
      <c r="J119" s="3">
        <v>2.0</v>
      </c>
      <c r="K119" s="3">
        <v>2687.0</v>
      </c>
      <c r="L119" s="3">
        <v>21.0</v>
      </c>
    </row>
    <row r="120" ht="12.75" customHeight="1">
      <c r="A120" s="3" t="s">
        <v>250</v>
      </c>
      <c r="B120" s="3">
        <v>181.0</v>
      </c>
      <c r="C120" s="3">
        <v>4.722E7</v>
      </c>
      <c r="D120" s="3" t="s">
        <v>252</v>
      </c>
      <c r="E120" s="3">
        <v>2.0</v>
      </c>
      <c r="F120" s="3">
        <v>2.0</v>
      </c>
      <c r="G120" s="3">
        <v>288.0</v>
      </c>
      <c r="H120" s="3">
        <v>278.0</v>
      </c>
      <c r="I120" s="3">
        <v>80.0</v>
      </c>
      <c r="J120" s="3">
        <v>1.6</v>
      </c>
      <c r="K120" s="3">
        <v>2795.0</v>
      </c>
      <c r="L120" s="3">
        <v>18.0</v>
      </c>
    </row>
    <row r="121" ht="12.75" customHeight="1">
      <c r="A121" s="3" t="s">
        <v>256</v>
      </c>
      <c r="B121" s="3">
        <v>21.0</v>
      </c>
      <c r="C121" s="3">
        <v>1.5768679E7</v>
      </c>
      <c r="D121" s="3" t="s">
        <v>185</v>
      </c>
      <c r="E121" s="3">
        <v>11.0</v>
      </c>
      <c r="F121" s="3">
        <v>11.0</v>
      </c>
      <c r="G121" s="3">
        <v>99.0</v>
      </c>
      <c r="I121" s="3">
        <v>211.0</v>
      </c>
      <c r="J121" s="3">
        <v>1.6</v>
      </c>
      <c r="K121" s="3">
        <v>461.0</v>
      </c>
      <c r="L121" s="3">
        <v>22.0</v>
      </c>
    </row>
    <row r="122" ht="12.75" customHeight="1">
      <c r="A122" s="3" t="s">
        <v>262</v>
      </c>
      <c r="B122" s="3">
        <v>18.0</v>
      </c>
      <c r="C122" s="3">
        <v>6040000.0</v>
      </c>
      <c r="D122" s="3" t="s">
        <v>110</v>
      </c>
      <c r="E122" s="3">
        <v>8.0</v>
      </c>
      <c r="F122" s="3">
        <v>13.0</v>
      </c>
      <c r="G122" s="3">
        <v>95.0</v>
      </c>
      <c r="H122" s="3">
        <v>87.0</v>
      </c>
      <c r="I122" s="3">
        <v>73.33</v>
      </c>
      <c r="J122" s="3">
        <v>1.6</v>
      </c>
      <c r="K122" s="3">
        <v>418.0</v>
      </c>
      <c r="L122" s="3">
        <v>12.0</v>
      </c>
    </row>
    <row r="123" ht="12.75" customHeight="1">
      <c r="A123" s="3" t="s">
        <v>267</v>
      </c>
      <c r="B123" s="3">
        <v>166.0</v>
      </c>
      <c r="C123" s="3">
        <v>6720000.0</v>
      </c>
      <c r="D123" s="3" t="s">
        <v>268</v>
      </c>
      <c r="E123" s="3">
        <v>4.0</v>
      </c>
      <c r="F123" s="3">
        <v>1.0</v>
      </c>
      <c r="G123" s="3">
        <v>99.0</v>
      </c>
      <c r="I123" s="3">
        <v>100.0</v>
      </c>
      <c r="J123" s="3">
        <v>1.6</v>
      </c>
      <c r="K123" s="3">
        <v>2528.0</v>
      </c>
      <c r="L123" s="3">
        <v>13.0</v>
      </c>
    </row>
    <row r="124" ht="12.75" customHeight="1">
      <c r="A124" s="3" t="s">
        <v>269</v>
      </c>
      <c r="B124" s="3">
        <v>55.0</v>
      </c>
      <c r="C124" s="3">
        <v>8200000.0</v>
      </c>
      <c r="D124" s="3" t="s">
        <v>48</v>
      </c>
      <c r="E124" s="3">
        <v>11.0</v>
      </c>
      <c r="F124" s="3">
        <v>11.0</v>
      </c>
      <c r="G124" s="3">
        <v>98.0</v>
      </c>
      <c r="H124" s="3">
        <v>94.0</v>
      </c>
      <c r="I124" s="3">
        <v>86.0</v>
      </c>
      <c r="J124" s="3">
        <v>1.6</v>
      </c>
      <c r="K124" s="3">
        <v>1093.0</v>
      </c>
      <c r="L124" s="3">
        <v>11.0</v>
      </c>
    </row>
    <row r="125" ht="12.75" customHeight="1">
      <c r="A125" s="3" t="s">
        <v>271</v>
      </c>
      <c r="B125" s="3">
        <v>233.0</v>
      </c>
      <c r="C125" s="3">
        <v>833000.0</v>
      </c>
      <c r="D125" s="3" t="s">
        <v>67</v>
      </c>
      <c r="E125" s="3">
        <v>4.0</v>
      </c>
      <c r="F125" s="3">
        <v>1.0</v>
      </c>
      <c r="G125" s="3">
        <v>54.5</v>
      </c>
      <c r="I125" s="3">
        <v>18.83</v>
      </c>
      <c r="J125" s="3">
        <v>1.6</v>
      </c>
      <c r="K125" s="3">
        <v>3417.0</v>
      </c>
      <c r="L125" s="3">
        <v>13.0</v>
      </c>
    </row>
    <row r="126" ht="12.75" customHeight="1">
      <c r="A126" s="3" t="s">
        <v>272</v>
      </c>
      <c r="B126" s="3">
        <v>50.0</v>
      </c>
      <c r="C126" s="3">
        <v>2.434E7</v>
      </c>
      <c r="D126" s="3" t="s">
        <v>48</v>
      </c>
      <c r="E126" s="3">
        <v>11.0</v>
      </c>
      <c r="F126" s="3">
        <v>11.0</v>
      </c>
      <c r="G126" s="3">
        <v>93.0</v>
      </c>
      <c r="H126" s="3">
        <v>84.0</v>
      </c>
      <c r="I126" s="3">
        <v>180.0</v>
      </c>
      <c r="J126" s="3">
        <v>1.6</v>
      </c>
      <c r="K126" s="3">
        <v>995.0</v>
      </c>
      <c r="L126" s="3">
        <v>17.0</v>
      </c>
    </row>
    <row r="127" ht="12.75" customHeight="1">
      <c r="A127" s="3" t="s">
        <v>273</v>
      </c>
      <c r="B127" s="3">
        <v>19.0</v>
      </c>
      <c r="C127" s="3">
        <v>2.4E7</v>
      </c>
      <c r="D127" s="3" t="s">
        <v>274</v>
      </c>
      <c r="E127" s="3">
        <v>5.0</v>
      </c>
      <c r="F127" s="3">
        <v>9.0</v>
      </c>
      <c r="G127" s="3">
        <v>109.28</v>
      </c>
      <c r="H127" s="3">
        <v>104.5</v>
      </c>
      <c r="I127" s="3">
        <v>55.15</v>
      </c>
      <c r="J127" s="3">
        <v>1.6</v>
      </c>
      <c r="K127" s="3">
        <v>430.0</v>
      </c>
      <c r="L127" s="3">
        <v>13.0</v>
      </c>
    </row>
    <row r="128" ht="12.75" customHeight="1">
      <c r="A128" s="3" t="s">
        <v>275</v>
      </c>
      <c r="B128" s="3">
        <v>141.0</v>
      </c>
      <c r="C128" s="3">
        <v>3200000.0</v>
      </c>
      <c r="D128" s="3" t="s">
        <v>99</v>
      </c>
      <c r="E128" s="3">
        <v>8.0</v>
      </c>
      <c r="F128" s="3">
        <v>13.0</v>
      </c>
      <c r="G128" s="3">
        <v>98.5</v>
      </c>
      <c r="H128" s="3">
        <v>92.15</v>
      </c>
      <c r="I128" s="3">
        <v>116.0</v>
      </c>
      <c r="J128" s="3">
        <v>2.0</v>
      </c>
      <c r="K128" s="3">
        <v>2308.0</v>
      </c>
      <c r="L128" s="3">
        <v>17.0</v>
      </c>
    </row>
    <row r="129" ht="12.75" customHeight="1">
      <c r="A129" s="3" t="s">
        <v>276</v>
      </c>
      <c r="B129" s="3">
        <v>190.0</v>
      </c>
      <c r="C129" s="3">
        <v>2250000.0</v>
      </c>
      <c r="D129" s="3" t="s">
        <v>277</v>
      </c>
      <c r="E129" s="3">
        <v>2.0</v>
      </c>
      <c r="F129" s="3">
        <v>2.0</v>
      </c>
      <c r="G129" s="3">
        <v>602.26</v>
      </c>
      <c r="K129" s="3">
        <v>2874.0</v>
      </c>
      <c r="L129" s="3">
        <v>39.0</v>
      </c>
    </row>
    <row r="130" ht="12.75" customHeight="1">
      <c r="A130" s="3" t="s">
        <v>278</v>
      </c>
      <c r="B130" s="3">
        <v>39.0</v>
      </c>
      <c r="C130" s="3">
        <v>7670000.0</v>
      </c>
      <c r="D130" s="3" t="s">
        <v>279</v>
      </c>
      <c r="E130" s="3">
        <v>3.0</v>
      </c>
      <c r="F130" s="3">
        <v>10.0</v>
      </c>
      <c r="G130" s="3">
        <v>100.0</v>
      </c>
      <c r="H130" s="3">
        <v>96.88</v>
      </c>
      <c r="I130" s="3">
        <v>120.0</v>
      </c>
      <c r="J130" s="3">
        <v>1.6</v>
      </c>
      <c r="K130" s="3">
        <v>770.0</v>
      </c>
      <c r="L130" s="3">
        <v>13.0</v>
      </c>
    </row>
    <row r="131" ht="12.75" customHeight="1">
      <c r="A131" s="3" t="s">
        <v>280</v>
      </c>
      <c r="B131" s="3">
        <v>85.0</v>
      </c>
      <c r="C131" s="3">
        <v>2.1E7</v>
      </c>
      <c r="D131" s="3" t="s">
        <v>281</v>
      </c>
      <c r="E131" s="3">
        <v>3.0</v>
      </c>
      <c r="F131" s="3">
        <v>7.0</v>
      </c>
      <c r="G131" s="3">
        <v>250.0</v>
      </c>
      <c r="H131" s="3">
        <v>243.27</v>
      </c>
      <c r="I131" s="3">
        <v>60.0</v>
      </c>
      <c r="J131" s="3">
        <v>1.6</v>
      </c>
      <c r="K131" s="3">
        <v>1640.0</v>
      </c>
      <c r="L131" s="3">
        <v>14.0</v>
      </c>
    </row>
    <row r="132" ht="12.75" customHeight="1">
      <c r="A132" s="3" t="s">
        <v>282</v>
      </c>
      <c r="B132" s="3">
        <v>185.0</v>
      </c>
      <c r="C132" s="3">
        <v>7960000.0</v>
      </c>
      <c r="D132" s="3" t="s">
        <v>283</v>
      </c>
      <c r="E132" s="3">
        <v>9.0</v>
      </c>
      <c r="F132" s="3">
        <v>4.0</v>
      </c>
      <c r="G132" s="3">
        <v>100.0</v>
      </c>
      <c r="K132" s="3">
        <v>2813.0</v>
      </c>
      <c r="L132" s="3">
        <v>22.0</v>
      </c>
    </row>
    <row r="133" ht="12.75" customHeight="1">
      <c r="A133" s="3" t="s">
        <v>284</v>
      </c>
      <c r="B133" s="3">
        <v>20.0</v>
      </c>
      <c r="C133" s="3">
        <v>1.033E7</v>
      </c>
      <c r="D133" s="3" t="s">
        <v>110</v>
      </c>
      <c r="E133" s="3">
        <v>8.0</v>
      </c>
      <c r="F133" s="3">
        <v>13.0</v>
      </c>
      <c r="G133" s="3">
        <v>191.0</v>
      </c>
      <c r="H133" s="3">
        <v>182.0</v>
      </c>
      <c r="I133" s="3">
        <v>200.0</v>
      </c>
      <c r="J133" s="3">
        <v>1.6</v>
      </c>
      <c r="K133" s="3">
        <v>443.0</v>
      </c>
      <c r="L133" s="3">
        <v>18.0</v>
      </c>
    </row>
    <row r="134" ht="12.75" customHeight="1">
      <c r="A134" s="3" t="s">
        <v>285</v>
      </c>
      <c r="B134" s="3">
        <v>81.0</v>
      </c>
      <c r="C134" s="3">
        <v>9840000.0</v>
      </c>
      <c r="D134" s="3" t="s">
        <v>286</v>
      </c>
      <c r="E134" s="3">
        <v>6.0</v>
      </c>
      <c r="F134" s="3">
        <v>11.0</v>
      </c>
      <c r="G134" s="3">
        <v>102.0</v>
      </c>
      <c r="H134" s="3">
        <v>91.5</v>
      </c>
      <c r="I134" s="3">
        <v>53.0</v>
      </c>
      <c r="J134" s="3">
        <v>1.6</v>
      </c>
      <c r="K134" s="3">
        <v>1563.0</v>
      </c>
      <c r="L134" s="3">
        <v>18.0</v>
      </c>
    </row>
    <row r="135" ht="12.75" customHeight="1">
      <c r="A135" s="3" t="s">
        <v>287</v>
      </c>
      <c r="B135" s="3">
        <v>99.0</v>
      </c>
      <c r="C135" s="3">
        <v>4.0936943E7</v>
      </c>
      <c r="D135" s="3" t="s">
        <v>288</v>
      </c>
      <c r="E135" s="3">
        <v>3.0</v>
      </c>
      <c r="F135" s="3">
        <v>10.0</v>
      </c>
      <c r="G135" s="3">
        <v>254.5</v>
      </c>
      <c r="H135" s="3">
        <v>241.3</v>
      </c>
      <c r="I135" s="3">
        <v>147.45</v>
      </c>
      <c r="J135" s="3">
        <v>2.0</v>
      </c>
      <c r="K135" s="3">
        <v>1862.0</v>
      </c>
      <c r="L135" s="3">
        <v>16.0</v>
      </c>
    </row>
    <row r="136" ht="12.75" customHeight="1">
      <c r="A136" s="3" t="s">
        <v>290</v>
      </c>
      <c r="B136" s="3">
        <v>159.0</v>
      </c>
      <c r="C136" s="3">
        <v>1.26E8</v>
      </c>
      <c r="D136" s="3" t="s">
        <v>85</v>
      </c>
      <c r="E136" s="3">
        <v>10.0</v>
      </c>
      <c r="F136" s="3">
        <v>5.0</v>
      </c>
      <c r="G136" s="3">
        <v>45.15</v>
      </c>
      <c r="H136" s="3">
        <v>36.68</v>
      </c>
      <c r="I136" s="3">
        <v>70.0</v>
      </c>
      <c r="J136" s="3">
        <v>1.71</v>
      </c>
      <c r="K136" s="3">
        <v>2430.0</v>
      </c>
      <c r="L136" s="3">
        <v>26.0</v>
      </c>
    </row>
    <row r="137" ht="12.75" customHeight="1">
      <c r="A137" s="3" t="s">
        <v>48</v>
      </c>
      <c r="B137" s="3">
        <v>22.0</v>
      </c>
      <c r="C137" s="3">
        <v>4272502.0</v>
      </c>
      <c r="D137" s="3" t="s">
        <v>48</v>
      </c>
      <c r="E137" s="3">
        <v>6.0</v>
      </c>
      <c r="F137" s="3">
        <v>11.0</v>
      </c>
      <c r="G137" s="3">
        <v>99.0</v>
      </c>
      <c r="H137" s="3">
        <v>91.76</v>
      </c>
      <c r="I137" s="3">
        <v>73.4</v>
      </c>
      <c r="J137" s="3">
        <v>1.6</v>
      </c>
      <c r="K137" s="3">
        <v>483.0</v>
      </c>
      <c r="L137" s="3">
        <v>18.0</v>
      </c>
    </row>
    <row r="138" ht="12.75" customHeight="1">
      <c r="A138" s="3" t="s">
        <v>291</v>
      </c>
      <c r="B138" s="3">
        <v>160.0</v>
      </c>
      <c r="C138" s="3">
        <v>3.084E7</v>
      </c>
      <c r="D138" s="3" t="s">
        <v>110</v>
      </c>
      <c r="E138" s="3">
        <v>8.0</v>
      </c>
      <c r="F138" s="3">
        <v>13.0</v>
      </c>
      <c r="G138" s="3">
        <v>162.5</v>
      </c>
      <c r="H138" s="3">
        <v>153.75</v>
      </c>
      <c r="I138" s="3">
        <v>100.0</v>
      </c>
      <c r="J138" s="3">
        <v>2.0</v>
      </c>
      <c r="K138" s="3">
        <v>2456.0</v>
      </c>
      <c r="L138" s="3">
        <v>20.0</v>
      </c>
    </row>
    <row r="139" ht="12.75" customHeight="1">
      <c r="A139" s="3" t="s">
        <v>292</v>
      </c>
      <c r="B139" s="3">
        <v>66.0</v>
      </c>
      <c r="C139" s="3">
        <v>6600000.0</v>
      </c>
      <c r="D139" s="3" t="s">
        <v>74</v>
      </c>
      <c r="E139" s="3">
        <v>9.0</v>
      </c>
      <c r="F139" s="3">
        <v>4.0</v>
      </c>
      <c r="G139" s="3">
        <v>100.0</v>
      </c>
      <c r="I139" s="3">
        <v>194.5</v>
      </c>
      <c r="J139" s="3">
        <v>1.6</v>
      </c>
      <c r="K139" s="3">
        <v>1254.0</v>
      </c>
      <c r="L139" s="3">
        <v>14.0</v>
      </c>
    </row>
    <row r="140" ht="12.75" customHeight="1">
      <c r="A140" s="3" t="s">
        <v>296</v>
      </c>
      <c r="B140" s="3">
        <v>254.0</v>
      </c>
      <c r="C140" s="3">
        <v>3.2E8</v>
      </c>
      <c r="D140" s="3" t="s">
        <v>298</v>
      </c>
      <c r="E140" s="3">
        <v>6.0</v>
      </c>
      <c r="F140" s="3">
        <v>11.0</v>
      </c>
      <c r="G140" s="3">
        <v>133.0</v>
      </c>
      <c r="H140" s="3">
        <v>116.7</v>
      </c>
      <c r="K140" s="3">
        <v>3565.0</v>
      </c>
      <c r="L140" s="3">
        <v>19.0</v>
      </c>
    </row>
    <row r="141" ht="12.75" customHeight="1">
      <c r="A141" s="3" t="s">
        <v>299</v>
      </c>
      <c r="B141" s="3">
        <v>75.0</v>
      </c>
      <c r="C141" s="3">
        <v>2720000.0</v>
      </c>
      <c r="D141" s="3" t="s">
        <v>172</v>
      </c>
      <c r="E141" s="3">
        <v>2.0</v>
      </c>
      <c r="F141" s="3">
        <v>7.0</v>
      </c>
      <c r="G141" s="3">
        <v>220.5</v>
      </c>
      <c r="H141" s="3">
        <v>210.18</v>
      </c>
      <c r="I141" s="3">
        <v>64.25</v>
      </c>
      <c r="J141" s="3">
        <v>2.0</v>
      </c>
      <c r="K141" s="3">
        <v>1445.0</v>
      </c>
      <c r="L141" s="3">
        <v>18.0</v>
      </c>
    </row>
    <row r="142" ht="12.75" customHeight="1">
      <c r="A142" s="3" t="s">
        <v>300</v>
      </c>
      <c r="B142" s="3">
        <v>92.0</v>
      </c>
      <c r="C142" s="3">
        <v>2.811E7</v>
      </c>
      <c r="D142" s="3" t="s">
        <v>300</v>
      </c>
      <c r="E142" s="3">
        <v>8.0</v>
      </c>
      <c r="F142" s="3">
        <v>13.0</v>
      </c>
      <c r="G142" s="3">
        <v>116.61</v>
      </c>
      <c r="H142" s="3">
        <v>103.53</v>
      </c>
      <c r="I142" s="3">
        <v>60.0</v>
      </c>
      <c r="J142" s="3">
        <v>2.0</v>
      </c>
      <c r="K142" s="3">
        <v>1756.0</v>
      </c>
      <c r="L142" s="3">
        <v>28.0</v>
      </c>
    </row>
    <row r="143" ht="12.75" customHeight="1">
      <c r="A143" s="3" t="s">
        <v>301</v>
      </c>
      <c r="B143" s="3">
        <v>23.0</v>
      </c>
      <c r="C143" s="3">
        <v>2.878E7</v>
      </c>
      <c r="D143" s="3" t="s">
        <v>302</v>
      </c>
      <c r="E143" s="3">
        <v>2.0</v>
      </c>
      <c r="F143" s="3">
        <v>2.0</v>
      </c>
      <c r="G143" s="3">
        <v>441.0</v>
      </c>
      <c r="H143" s="3">
        <v>422.0</v>
      </c>
      <c r="I143" s="3">
        <v>39.0</v>
      </c>
      <c r="J143" s="3">
        <v>2.0</v>
      </c>
      <c r="K143" s="3">
        <v>501.0</v>
      </c>
      <c r="L143" s="3">
        <v>9.0</v>
      </c>
    </row>
    <row r="144" ht="12.75" customHeight="1">
      <c r="A144" s="3" t="s">
        <v>304</v>
      </c>
      <c r="B144" s="3">
        <v>111.0</v>
      </c>
      <c r="C144" s="3">
        <v>3510000.0</v>
      </c>
      <c r="D144" s="3" t="s">
        <v>238</v>
      </c>
      <c r="E144" s="3">
        <v>4.0</v>
      </c>
      <c r="F144" s="3">
        <v>7.0</v>
      </c>
      <c r="G144" s="3">
        <v>100.0</v>
      </c>
      <c r="I144" s="3">
        <v>50.0</v>
      </c>
      <c r="K144" s="3">
        <v>1925.0</v>
      </c>
      <c r="L144" s="3">
        <v>15.0</v>
      </c>
    </row>
    <row r="145" ht="12.75" customHeight="1">
      <c r="A145" s="3" t="s">
        <v>306</v>
      </c>
      <c r="B145" s="3">
        <v>132.0</v>
      </c>
      <c r="C145" s="3">
        <v>403871.0</v>
      </c>
      <c r="D145" s="3" t="s">
        <v>307</v>
      </c>
      <c r="E145" s="3">
        <v>10.0</v>
      </c>
      <c r="F145" s="3">
        <v>6.0</v>
      </c>
      <c r="G145" s="3">
        <v>363.17</v>
      </c>
      <c r="H145" s="3">
        <v>354.5</v>
      </c>
      <c r="I145" s="3">
        <v>45.0</v>
      </c>
      <c r="K145" s="3">
        <v>2247.0</v>
      </c>
      <c r="L145" s="3">
        <v>19.0</v>
      </c>
    </row>
    <row r="146" ht="12.75" customHeight="1">
      <c r="A146" s="3" t="s">
        <v>309</v>
      </c>
      <c r="B146" s="3">
        <v>96.0</v>
      </c>
      <c r="C146" s="3">
        <v>1.819E7</v>
      </c>
      <c r="D146" s="3" t="s">
        <v>72</v>
      </c>
      <c r="E146" s="3">
        <v>3.0</v>
      </c>
      <c r="F146" s="3">
        <v>12.0</v>
      </c>
      <c r="G146" s="3">
        <v>510.0</v>
      </c>
      <c r="H146" s="3">
        <v>496.86</v>
      </c>
      <c r="I146" s="3">
        <v>50.0</v>
      </c>
      <c r="J146" s="3">
        <v>2.0</v>
      </c>
      <c r="K146" s="3">
        <v>1826.0</v>
      </c>
      <c r="L146" s="3">
        <v>20.0</v>
      </c>
    </row>
    <row r="147" ht="12.75" customHeight="1">
      <c r="A147" s="3" t="s">
        <v>310</v>
      </c>
      <c r="B147" s="3">
        <v>129.0</v>
      </c>
      <c r="C147" s="3">
        <v>5510000.0</v>
      </c>
      <c r="D147" s="3" t="s">
        <v>36</v>
      </c>
      <c r="E147" s="3">
        <v>7.0</v>
      </c>
      <c r="F147" s="3">
        <v>11.0</v>
      </c>
      <c r="G147" s="3">
        <v>100.0</v>
      </c>
      <c r="H147" s="3">
        <v>92.1</v>
      </c>
      <c r="I147" s="3">
        <v>22.0</v>
      </c>
      <c r="J147" s="3">
        <v>2.0</v>
      </c>
      <c r="K147" s="3">
        <v>2192.0</v>
      </c>
      <c r="L147" s="3">
        <v>17.0</v>
      </c>
    </row>
    <row r="148" ht="12.75" customHeight="1">
      <c r="A148" s="3" t="s">
        <v>311</v>
      </c>
      <c r="B148" s="3">
        <v>24.0</v>
      </c>
      <c r="C148" s="3">
        <v>1.3E7</v>
      </c>
      <c r="D148" s="3" t="s">
        <v>61</v>
      </c>
      <c r="E148" s="3">
        <v>1.0</v>
      </c>
      <c r="F148" s="3">
        <v>12.0</v>
      </c>
      <c r="G148" s="3">
        <v>433.0</v>
      </c>
      <c r="H148" s="3">
        <v>426.5</v>
      </c>
      <c r="I148" s="3">
        <v>166.67</v>
      </c>
      <c r="J148" s="3">
        <v>2.0</v>
      </c>
      <c r="K148" s="3">
        <v>510.0</v>
      </c>
      <c r="L148" s="3">
        <v>24.0</v>
      </c>
    </row>
    <row r="149" ht="12.75" customHeight="1">
      <c r="A149" s="3" t="s">
        <v>313</v>
      </c>
      <c r="B149" s="3">
        <v>122.0</v>
      </c>
      <c r="C149" s="3">
        <v>2.688E8</v>
      </c>
      <c r="D149" s="3" t="s">
        <v>305</v>
      </c>
      <c r="E149" s="3">
        <v>1.0</v>
      </c>
      <c r="F149" s="3">
        <v>7.0</v>
      </c>
      <c r="G149" s="3">
        <v>254.0</v>
      </c>
      <c r="H149" s="3">
        <v>227.0</v>
      </c>
      <c r="I149" s="3">
        <v>360.42</v>
      </c>
      <c r="J149" s="3">
        <v>1.6</v>
      </c>
      <c r="K149" s="3">
        <v>2070.0</v>
      </c>
      <c r="L149" s="3">
        <v>31.0</v>
      </c>
    </row>
    <row r="150" ht="12.75" customHeight="1">
      <c r="A150" s="3" t="s">
        <v>315</v>
      </c>
      <c r="B150" s="3">
        <v>58.0</v>
      </c>
      <c r="C150" s="3">
        <v>4.143E7</v>
      </c>
      <c r="D150" s="3" t="s">
        <v>316</v>
      </c>
      <c r="E150" s="3">
        <v>7.0</v>
      </c>
      <c r="F150" s="3">
        <v>11.0</v>
      </c>
      <c r="G150" s="3">
        <v>109.0</v>
      </c>
      <c r="H150" s="3">
        <v>100.0</v>
      </c>
      <c r="I150" s="3">
        <v>55.0</v>
      </c>
      <c r="J150" s="3">
        <v>1.6</v>
      </c>
      <c r="K150" s="3">
        <v>1133.0</v>
      </c>
      <c r="L150" s="3">
        <v>14.0</v>
      </c>
    </row>
    <row r="151" ht="12.75" customHeight="1">
      <c r="A151" s="3" t="s">
        <v>318</v>
      </c>
      <c r="B151" s="3">
        <v>162.0</v>
      </c>
      <c r="C151" s="3">
        <v>3.18E7</v>
      </c>
      <c r="D151" s="3" t="s">
        <v>88</v>
      </c>
      <c r="E151" s="3">
        <v>2.0</v>
      </c>
      <c r="F151" s="3">
        <v>7.0</v>
      </c>
      <c r="G151" s="3">
        <v>295.0</v>
      </c>
      <c r="H151" s="3">
        <v>287.45</v>
      </c>
      <c r="I151" s="3">
        <v>57.2</v>
      </c>
      <c r="J151" s="3">
        <v>1.6</v>
      </c>
      <c r="K151" s="3">
        <v>2489.0</v>
      </c>
      <c r="L151" s="3">
        <v>7.0</v>
      </c>
    </row>
    <row r="152" ht="12.75" customHeight="1">
      <c r="A152" s="3" t="s">
        <v>319</v>
      </c>
      <c r="B152" s="3">
        <v>191.0</v>
      </c>
      <c r="C152" s="3">
        <v>3.0E7</v>
      </c>
      <c r="D152" s="3" t="s">
        <v>320</v>
      </c>
      <c r="E152" s="3">
        <v>3.0</v>
      </c>
      <c r="F152" s="3">
        <v>10.0</v>
      </c>
      <c r="G152" s="3">
        <v>310.0</v>
      </c>
      <c r="H152" s="3">
        <v>301.75</v>
      </c>
      <c r="I152" s="3">
        <v>60.0</v>
      </c>
      <c r="K152" s="3">
        <v>2913.0</v>
      </c>
      <c r="L152" s="3">
        <v>24.0</v>
      </c>
    </row>
    <row r="153" ht="12.75" customHeight="1">
      <c r="A153" s="3" t="s">
        <v>321</v>
      </c>
      <c r="B153" s="3">
        <v>110.0</v>
      </c>
      <c r="C153" s="3">
        <v>1860000.0</v>
      </c>
      <c r="D153" s="3" t="s">
        <v>322</v>
      </c>
      <c r="E153" s="3">
        <v>1.0</v>
      </c>
      <c r="F153" s="3">
        <v>3.0</v>
      </c>
      <c r="G153" s="3">
        <v>54.0</v>
      </c>
      <c r="H153" s="3">
        <v>40.0</v>
      </c>
      <c r="I153" s="3">
        <v>31.0</v>
      </c>
      <c r="J153" s="3">
        <v>2.0</v>
      </c>
      <c r="K153" s="3">
        <v>1906.0</v>
      </c>
      <c r="L153" s="3">
        <v>19.0</v>
      </c>
    </row>
    <row r="154" ht="12.75" customHeight="1">
      <c r="A154" s="3" t="s">
        <v>324</v>
      </c>
      <c r="B154" s="3">
        <v>70.0</v>
      </c>
      <c r="C154" s="3">
        <v>1.25E7</v>
      </c>
      <c r="D154" s="3" t="s">
        <v>325</v>
      </c>
      <c r="E154" s="3">
        <v>7.0</v>
      </c>
      <c r="F154" s="3">
        <v>11.0</v>
      </c>
      <c r="G154" s="3">
        <v>108.0</v>
      </c>
      <c r="H154" s="3">
        <v>104.0</v>
      </c>
      <c r="I154" s="3">
        <v>42.77</v>
      </c>
      <c r="J154" s="3">
        <v>2.0</v>
      </c>
      <c r="K154" s="3">
        <v>1360.0</v>
      </c>
      <c r="L154" s="3">
        <v>12.0</v>
      </c>
    </row>
    <row r="155" ht="12.75" customHeight="1">
      <c r="A155" s="3" t="s">
        <v>326</v>
      </c>
      <c r="B155" s="3">
        <v>25.0</v>
      </c>
      <c r="C155" s="3">
        <v>5.191E7</v>
      </c>
      <c r="D155" s="3" t="s">
        <v>61</v>
      </c>
      <c r="E155" s="3">
        <v>1.0</v>
      </c>
      <c r="F155" s="3">
        <v>12.0</v>
      </c>
      <c r="G155" s="3">
        <v>109.0</v>
      </c>
      <c r="H155" s="3">
        <v>103.0</v>
      </c>
      <c r="I155" s="3">
        <v>210.0</v>
      </c>
      <c r="J155" s="3">
        <v>1.6</v>
      </c>
      <c r="K155" s="3">
        <v>534.0</v>
      </c>
      <c r="L155" s="3">
        <v>18.0</v>
      </c>
    </row>
    <row r="156" ht="12.75" customHeight="1">
      <c r="A156" s="3" t="s">
        <v>327</v>
      </c>
      <c r="B156" s="3">
        <v>130.0</v>
      </c>
      <c r="C156" s="3">
        <v>2.07E7</v>
      </c>
      <c r="D156" s="3" t="s">
        <v>279</v>
      </c>
      <c r="E156" s="3">
        <v>3.0</v>
      </c>
      <c r="F156" s="3">
        <v>10.0</v>
      </c>
      <c r="G156" s="3">
        <v>101.5</v>
      </c>
      <c r="H156" s="3">
        <v>91.73</v>
      </c>
      <c r="I156" s="3">
        <v>130.0</v>
      </c>
      <c r="J156" s="3">
        <v>1.6</v>
      </c>
      <c r="K156" s="3">
        <v>2209.0</v>
      </c>
      <c r="L156" s="3">
        <v>22.0</v>
      </c>
    </row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8.0"/>
    <col customWidth="1" min="3" max="16" width="11.0"/>
    <col customWidth="1" min="17" max="26" width="8.63"/>
  </cols>
  <sheetData>
    <row r="1" ht="12.75" customHeight="1">
      <c r="A1" s="1" t="s">
        <v>3</v>
      </c>
      <c r="B1" s="1" t="s">
        <v>5</v>
      </c>
      <c r="C1" s="1" t="s">
        <v>15</v>
      </c>
      <c r="D1" s="1" t="s">
        <v>17</v>
      </c>
      <c r="E1" s="1" t="s">
        <v>18</v>
      </c>
      <c r="F1" s="1" t="s">
        <v>20</v>
      </c>
      <c r="G1" s="1" t="s">
        <v>22</v>
      </c>
      <c r="H1" s="1" t="s">
        <v>23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31</v>
      </c>
      <c r="O1" s="1" t="s">
        <v>293</v>
      </c>
      <c r="P1" s="1" t="s">
        <v>295</v>
      </c>
    </row>
    <row r="2" ht="12.75" customHeight="1">
      <c r="A2" s="3">
        <v>2.0</v>
      </c>
      <c r="B2" s="3" t="s">
        <v>297</v>
      </c>
      <c r="C2" s="3">
        <v>160.0</v>
      </c>
      <c r="D2" s="3">
        <v>124.3</v>
      </c>
      <c r="E2" s="3">
        <v>107.7</v>
      </c>
      <c r="F2" s="3">
        <v>100.5</v>
      </c>
      <c r="G2" s="3">
        <v>145.8</v>
      </c>
      <c r="H2" s="3">
        <v>161.3</v>
      </c>
      <c r="I2" s="3">
        <v>224.8</v>
      </c>
      <c r="J2" s="3">
        <v>268.7</v>
      </c>
      <c r="K2" s="3">
        <v>292.8</v>
      </c>
      <c r="L2" s="3">
        <v>262.9</v>
      </c>
      <c r="M2" s="3">
        <v>223.7</v>
      </c>
      <c r="N2" s="3">
        <v>216.1</v>
      </c>
      <c r="O2" s="3">
        <v>2288.6</v>
      </c>
      <c r="P2" s="3">
        <v>6.27</v>
      </c>
    </row>
    <row r="3" ht="12.75" customHeight="1">
      <c r="A3" s="3">
        <v>3.0</v>
      </c>
      <c r="B3" s="3" t="s">
        <v>214</v>
      </c>
      <c r="C3" s="3">
        <v>175.2</v>
      </c>
      <c r="D3" s="3">
        <v>119.2</v>
      </c>
      <c r="E3" s="3">
        <v>102.0</v>
      </c>
      <c r="F3" s="3">
        <v>102.9</v>
      </c>
      <c r="G3" s="3">
        <v>154.4</v>
      </c>
      <c r="H3" s="3">
        <v>183.4</v>
      </c>
      <c r="I3" s="3">
        <v>235.2</v>
      </c>
      <c r="J3" s="3">
        <v>302.2</v>
      </c>
      <c r="K3" s="3">
        <v>312.7</v>
      </c>
      <c r="L3" s="3">
        <v>281.9</v>
      </c>
      <c r="M3" s="3">
        <v>275.7</v>
      </c>
      <c r="N3" s="3">
        <v>248.8</v>
      </c>
      <c r="O3" s="3">
        <v>2493.6</v>
      </c>
      <c r="P3" s="3">
        <v>6.83</v>
      </c>
    </row>
    <row r="4" ht="12.75" customHeight="1">
      <c r="A4" s="3">
        <v>4.0</v>
      </c>
      <c r="B4" s="3" t="s">
        <v>53</v>
      </c>
      <c r="C4" s="3">
        <v>213.3</v>
      </c>
      <c r="D4" s="3">
        <v>148.5</v>
      </c>
      <c r="E4" s="3">
        <v>115.2</v>
      </c>
      <c r="F4" s="3">
        <v>96.4</v>
      </c>
      <c r="G4" s="3">
        <v>125.5</v>
      </c>
      <c r="H4" s="3">
        <v>168.2</v>
      </c>
      <c r="I4" s="3">
        <v>268.3</v>
      </c>
      <c r="J4" s="3">
        <v>321.6</v>
      </c>
      <c r="K4" s="3">
        <v>342.0</v>
      </c>
      <c r="L4" s="3">
        <v>398.3</v>
      </c>
      <c r="M4" s="3">
        <v>380.3</v>
      </c>
      <c r="N4" s="3">
        <v>326.8</v>
      </c>
      <c r="O4" s="3">
        <v>2904.4</v>
      </c>
      <c r="P4" s="3">
        <v>7.96</v>
      </c>
    </row>
    <row r="5" ht="12.75" customHeight="1">
      <c r="A5" s="3">
        <v>5.0</v>
      </c>
      <c r="B5" s="3" t="s">
        <v>93</v>
      </c>
      <c r="C5" s="3">
        <v>120.1</v>
      </c>
      <c r="D5" s="3">
        <v>95.5</v>
      </c>
      <c r="E5" s="3">
        <v>72.4</v>
      </c>
      <c r="F5" s="3">
        <v>68.1</v>
      </c>
      <c r="G5" s="3">
        <v>84.6</v>
      </c>
      <c r="H5" s="3">
        <v>94.7</v>
      </c>
      <c r="I5" s="3">
        <v>118.3</v>
      </c>
      <c r="J5" s="3">
        <v>151.8</v>
      </c>
      <c r="K5" s="3">
        <v>167.8</v>
      </c>
      <c r="L5" s="3">
        <v>173.5</v>
      </c>
      <c r="M5" s="3">
        <v>168.1</v>
      </c>
      <c r="N5" s="3">
        <v>154.3</v>
      </c>
      <c r="O5" s="3">
        <v>1469.2</v>
      </c>
      <c r="P5" s="3">
        <v>4.03</v>
      </c>
    </row>
    <row r="6" ht="12.75" customHeight="1">
      <c r="A6" s="3">
        <v>6.0</v>
      </c>
      <c r="B6" s="3" t="s">
        <v>303</v>
      </c>
      <c r="C6" s="3">
        <v>58.8</v>
      </c>
      <c r="D6" s="3">
        <v>41.0</v>
      </c>
      <c r="E6" s="3">
        <v>29.3</v>
      </c>
      <c r="F6" s="3">
        <v>33.1</v>
      </c>
      <c r="G6" s="3">
        <v>30.7</v>
      </c>
      <c r="H6" s="3">
        <v>33.9</v>
      </c>
      <c r="I6" s="3">
        <v>42.8</v>
      </c>
      <c r="J6" s="3">
        <v>60.7</v>
      </c>
      <c r="K6" s="3">
        <v>73.6</v>
      </c>
      <c r="L6" s="3">
        <v>97.6</v>
      </c>
      <c r="M6" s="3">
        <v>78.2</v>
      </c>
      <c r="N6" s="3">
        <v>75.0</v>
      </c>
      <c r="O6" s="3">
        <v>654.7</v>
      </c>
      <c r="P6" s="3">
        <v>1.79</v>
      </c>
    </row>
    <row r="7" ht="12.75" customHeight="1">
      <c r="A7" s="3">
        <v>7.0</v>
      </c>
      <c r="B7" s="3" t="s">
        <v>305</v>
      </c>
      <c r="C7" s="3">
        <v>161.4</v>
      </c>
      <c r="D7" s="3">
        <v>113.6</v>
      </c>
      <c r="E7" s="3">
        <v>89.5</v>
      </c>
      <c r="F7" s="3">
        <v>86.4</v>
      </c>
      <c r="G7" s="3">
        <v>100.9</v>
      </c>
      <c r="H7" s="3">
        <v>147.1</v>
      </c>
      <c r="I7" s="3">
        <v>188.1</v>
      </c>
      <c r="J7" s="3">
        <v>217.8</v>
      </c>
      <c r="K7" s="3">
        <v>218.9</v>
      </c>
      <c r="L7" s="3">
        <v>236.6</v>
      </c>
      <c r="M7" s="3">
        <v>214.9</v>
      </c>
      <c r="N7" s="3">
        <v>212.8</v>
      </c>
      <c r="O7" s="3">
        <v>1988.0</v>
      </c>
      <c r="P7" s="3">
        <v>5.45</v>
      </c>
    </row>
    <row r="8" ht="12.75" customHeight="1">
      <c r="A8" s="3">
        <v>8.0</v>
      </c>
      <c r="B8" s="3" t="s">
        <v>308</v>
      </c>
      <c r="C8" s="3">
        <v>195.6</v>
      </c>
      <c r="D8" s="3">
        <v>142.5</v>
      </c>
      <c r="E8" s="3">
        <v>98.0</v>
      </c>
      <c r="F8" s="3">
        <v>91.7</v>
      </c>
      <c r="G8" s="3">
        <v>107.0</v>
      </c>
      <c r="H8" s="3">
        <v>121.5</v>
      </c>
      <c r="I8" s="3">
        <v>161.2</v>
      </c>
      <c r="J8" s="3">
        <v>195.1</v>
      </c>
      <c r="K8" s="3">
        <v>240.2</v>
      </c>
      <c r="L8" s="3">
        <v>230.4</v>
      </c>
      <c r="M8" s="3">
        <v>224.9</v>
      </c>
      <c r="N8" s="3">
        <v>196.5</v>
      </c>
      <c r="O8" s="3">
        <v>2004.6</v>
      </c>
      <c r="P8" s="3">
        <v>5.49</v>
      </c>
    </row>
    <row r="9" ht="12.75" customHeight="1">
      <c r="A9" s="3">
        <v>9.0</v>
      </c>
      <c r="B9" s="3" t="s">
        <v>91</v>
      </c>
      <c r="C9" s="3">
        <v>207.7</v>
      </c>
      <c r="D9" s="3">
        <v>149.8</v>
      </c>
      <c r="E9" s="3">
        <v>87.7</v>
      </c>
      <c r="F9" s="3">
        <v>90.1</v>
      </c>
      <c r="G9" s="3">
        <v>112.4</v>
      </c>
      <c r="H9" s="3">
        <v>128.7</v>
      </c>
      <c r="I9" s="3">
        <v>179.6</v>
      </c>
      <c r="J9" s="3">
        <v>243.8</v>
      </c>
      <c r="K9" s="3">
        <v>246.7</v>
      </c>
      <c r="L9" s="3">
        <v>279.3</v>
      </c>
      <c r="M9" s="3">
        <v>259.9</v>
      </c>
      <c r="N9" s="3">
        <v>249.5</v>
      </c>
      <c r="O9" s="3">
        <v>2235.3</v>
      </c>
      <c r="P9" s="3">
        <v>6.12</v>
      </c>
    </row>
    <row r="10" ht="12.75" customHeight="1">
      <c r="A10" s="3">
        <v>10.0</v>
      </c>
      <c r="B10" s="3" t="s">
        <v>127</v>
      </c>
      <c r="C10" s="3">
        <v>189.0</v>
      </c>
      <c r="D10" s="3">
        <v>136.9</v>
      </c>
      <c r="E10" s="3">
        <v>102.9</v>
      </c>
      <c r="F10" s="3">
        <v>81.8</v>
      </c>
      <c r="G10" s="3">
        <v>83.6</v>
      </c>
      <c r="H10" s="3">
        <v>108.2</v>
      </c>
      <c r="I10" s="3">
        <v>149.0</v>
      </c>
      <c r="J10" s="3">
        <v>206.8</v>
      </c>
      <c r="K10" s="3">
        <v>245.9</v>
      </c>
      <c r="L10" s="3">
        <v>282.3</v>
      </c>
      <c r="M10" s="3">
        <v>241.3</v>
      </c>
      <c r="N10" s="3">
        <v>241.8</v>
      </c>
      <c r="O10" s="3">
        <v>2069.5</v>
      </c>
      <c r="P10" s="3">
        <v>5.67</v>
      </c>
    </row>
    <row r="11" ht="12.75" customHeight="1">
      <c r="A11" s="3">
        <v>11.0</v>
      </c>
      <c r="B11" s="3" t="s">
        <v>48</v>
      </c>
      <c r="C11" s="3">
        <v>156.6</v>
      </c>
      <c r="D11" s="3">
        <v>125.2</v>
      </c>
      <c r="E11" s="3">
        <v>94.6</v>
      </c>
      <c r="F11" s="3">
        <v>101.6</v>
      </c>
      <c r="G11" s="3">
        <v>99.7</v>
      </c>
      <c r="H11" s="3">
        <v>116.6</v>
      </c>
      <c r="I11" s="3">
        <v>157.9</v>
      </c>
      <c r="J11" s="3">
        <v>191.3</v>
      </c>
      <c r="K11" s="3">
        <v>221.3</v>
      </c>
      <c r="L11" s="3">
        <v>224.7</v>
      </c>
      <c r="M11" s="3">
        <v>220.0</v>
      </c>
      <c r="N11" s="3">
        <v>205.2</v>
      </c>
      <c r="O11" s="3">
        <v>1914.7</v>
      </c>
      <c r="P11" s="3">
        <v>5.25</v>
      </c>
    </row>
    <row r="12" ht="12.75" customHeight="1">
      <c r="A12" s="3">
        <v>12.0</v>
      </c>
      <c r="B12" s="3" t="s">
        <v>61</v>
      </c>
      <c r="C12" s="3">
        <v>220.3</v>
      </c>
      <c r="D12" s="3">
        <v>160.9</v>
      </c>
      <c r="E12" s="3">
        <v>119.2</v>
      </c>
      <c r="F12" s="3">
        <v>129.2</v>
      </c>
      <c r="G12" s="3">
        <v>131.7</v>
      </c>
      <c r="H12" s="3">
        <v>166.2</v>
      </c>
      <c r="I12" s="3">
        <v>225.9</v>
      </c>
      <c r="J12" s="3">
        <v>247.9</v>
      </c>
      <c r="K12" s="3">
        <v>273.7</v>
      </c>
      <c r="L12" s="3">
        <v>307.8</v>
      </c>
      <c r="M12" s="3">
        <v>289.7</v>
      </c>
      <c r="N12" s="3">
        <v>275.5</v>
      </c>
      <c r="O12" s="3">
        <v>2548.0</v>
      </c>
      <c r="P12" s="3">
        <v>6.98</v>
      </c>
    </row>
    <row r="13" ht="12.75" customHeight="1">
      <c r="A13" s="3">
        <v>1.0</v>
      </c>
      <c r="B13" s="3" t="s">
        <v>317</v>
      </c>
      <c r="C13" s="3">
        <v>219.2</v>
      </c>
      <c r="D13" s="3">
        <v>155.3</v>
      </c>
      <c r="E13" s="3">
        <v>117.0</v>
      </c>
      <c r="F13" s="3">
        <v>117.0</v>
      </c>
      <c r="G13" s="3">
        <v>102.0</v>
      </c>
      <c r="H13" s="3">
        <v>134.9</v>
      </c>
      <c r="I13" s="3">
        <v>163.5</v>
      </c>
      <c r="J13" s="3">
        <v>218.0</v>
      </c>
      <c r="K13" s="3">
        <v>253.5</v>
      </c>
      <c r="L13" s="3">
        <v>261.3</v>
      </c>
      <c r="M13" s="3">
        <v>150.9</v>
      </c>
      <c r="N13" s="3">
        <v>252.6</v>
      </c>
      <c r="O13" s="3">
        <v>2145.9</v>
      </c>
      <c r="P13" s="3">
        <v>5.88</v>
      </c>
    </row>
    <row r="14" ht="12.75" customHeight="1">
      <c r="A14" s="3">
        <v>13.0</v>
      </c>
      <c r="B14" s="3" t="s">
        <v>208</v>
      </c>
      <c r="C14" s="3">
        <v>165.6</v>
      </c>
      <c r="D14" s="3">
        <v>124.9</v>
      </c>
      <c r="E14" s="3">
        <v>88.2</v>
      </c>
      <c r="F14" s="3">
        <v>88.2</v>
      </c>
      <c r="G14" s="3">
        <v>83.9</v>
      </c>
      <c r="H14" s="3">
        <v>104.7</v>
      </c>
      <c r="I14" s="3">
        <v>145.2</v>
      </c>
      <c r="J14" s="3">
        <v>180.9</v>
      </c>
      <c r="K14" s="3">
        <v>208.9</v>
      </c>
      <c r="L14" s="3">
        <v>235.9</v>
      </c>
      <c r="M14" s="3">
        <v>225.9</v>
      </c>
      <c r="N14" s="3">
        <v>206.0</v>
      </c>
      <c r="O14" s="3">
        <v>1855.5</v>
      </c>
      <c r="P14" s="3">
        <v>5.09</v>
      </c>
    </row>
    <row r="15" ht="12.75" customHeight="1">
      <c r="A15" s="3">
        <v>14.0</v>
      </c>
      <c r="B15" s="3" t="s">
        <v>323</v>
      </c>
      <c r="C15" s="3">
        <v>120.0</v>
      </c>
      <c r="D15" s="3">
        <v>86.0</v>
      </c>
      <c r="E15" s="3">
        <v>70.0</v>
      </c>
      <c r="F15" s="3">
        <v>70.0</v>
      </c>
      <c r="G15" s="3">
        <v>74.0</v>
      </c>
      <c r="H15" s="3">
        <v>96.0</v>
      </c>
      <c r="I15" s="3">
        <v>140.0</v>
      </c>
      <c r="J15" s="3">
        <v>172.0</v>
      </c>
      <c r="K15" s="3">
        <v>187.0</v>
      </c>
      <c r="L15" s="3">
        <v>228.0</v>
      </c>
      <c r="M15" s="3">
        <v>219.0</v>
      </c>
      <c r="N15" s="3">
        <v>196.0</v>
      </c>
      <c r="O15" s="3">
        <v>1662.0</v>
      </c>
      <c r="P15" s="3">
        <v>4.54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5.0"/>
    <col customWidth="1" min="6" max="26" width="8.63"/>
  </cols>
  <sheetData>
    <row r="1" ht="12.75" customHeight="1">
      <c r="A1" s="1" t="s">
        <v>3</v>
      </c>
      <c r="B1" s="1" t="s">
        <v>360</v>
      </c>
      <c r="C1" s="27" t="s">
        <v>361</v>
      </c>
      <c r="D1" s="28" t="s">
        <v>362</v>
      </c>
      <c r="E1" s="28" t="s">
        <v>363</v>
      </c>
    </row>
    <row r="2" ht="12.75" customHeight="1">
      <c r="A2" s="3">
        <v>1.0</v>
      </c>
      <c r="B2" s="3">
        <v>101.61</v>
      </c>
      <c r="C2" s="3">
        <v>0.0</v>
      </c>
      <c r="D2" s="3">
        <v>0.0</v>
      </c>
      <c r="E2" s="3">
        <v>0.0</v>
      </c>
    </row>
    <row r="3" ht="12.75" customHeight="1">
      <c r="A3" s="3">
        <v>1.0</v>
      </c>
      <c r="B3" s="3">
        <v>102.0</v>
      </c>
      <c r="C3" s="3">
        <v>84.0</v>
      </c>
      <c r="D3" s="3">
        <v>6.0E-4</v>
      </c>
      <c r="E3" s="3">
        <v>8.4E-5</v>
      </c>
    </row>
    <row r="4" ht="12.75" customHeight="1">
      <c r="A4" s="3">
        <v>1.0</v>
      </c>
      <c r="B4" s="3">
        <v>103.0</v>
      </c>
      <c r="C4" s="3">
        <v>8779.0</v>
      </c>
      <c r="D4" s="3">
        <v>0.0485</v>
      </c>
      <c r="E4" s="3">
        <v>0.008779</v>
      </c>
    </row>
    <row r="5" ht="12.75" customHeight="1">
      <c r="A5" s="3">
        <v>1.0</v>
      </c>
      <c r="B5" s="3">
        <v>104.0</v>
      </c>
      <c r="C5" s="3">
        <v>241609.0</v>
      </c>
      <c r="D5" s="3">
        <v>0.4349</v>
      </c>
      <c r="E5" s="3">
        <v>0.241609</v>
      </c>
    </row>
    <row r="6" ht="12.75" customHeight="1">
      <c r="A6" s="3">
        <v>1.0</v>
      </c>
      <c r="B6" s="3">
        <v>105.0</v>
      </c>
      <c r="C6" s="3">
        <v>860257.0</v>
      </c>
      <c r="D6" s="3">
        <v>0.8266</v>
      </c>
      <c r="E6" s="3">
        <v>0.860257</v>
      </c>
    </row>
    <row r="7" ht="12.75" customHeight="1">
      <c r="A7" s="3">
        <v>1.0</v>
      </c>
      <c r="B7" s="3">
        <v>106.0</v>
      </c>
      <c r="C7" s="3">
        <v>1971518.0</v>
      </c>
      <c r="D7" s="3">
        <v>1.375</v>
      </c>
      <c r="E7" s="3">
        <v>1.971518</v>
      </c>
    </row>
    <row r="8" ht="12.75" customHeight="1">
      <c r="A8" s="3">
        <v>1.0</v>
      </c>
      <c r="B8" s="3">
        <v>107.0</v>
      </c>
      <c r="C8" s="3">
        <v>3576164.0</v>
      </c>
      <c r="D8" s="3">
        <v>1.8113</v>
      </c>
      <c r="E8" s="3">
        <v>3.576164</v>
      </c>
    </row>
    <row r="9" ht="12.75" customHeight="1">
      <c r="A9" s="3">
        <v>1.0</v>
      </c>
      <c r="B9" s="3">
        <v>108.0</v>
      </c>
      <c r="C9" s="3">
        <v>5602164.0</v>
      </c>
      <c r="D9" s="3">
        <v>2.2656</v>
      </c>
      <c r="E9" s="3">
        <v>5.602164</v>
      </c>
    </row>
    <row r="10" ht="12.75" customHeight="1">
      <c r="A10" s="3">
        <v>1.0</v>
      </c>
      <c r="B10" s="3">
        <v>109.0</v>
      </c>
      <c r="C10" s="3">
        <v>8113876.0</v>
      </c>
      <c r="D10" s="3">
        <v>2.8016</v>
      </c>
      <c r="E10" s="3">
        <v>8.113876</v>
      </c>
    </row>
    <row r="11" ht="12.75" customHeight="1">
      <c r="A11" s="3">
        <v>1.0</v>
      </c>
      <c r="B11" s="3">
        <v>110.0</v>
      </c>
      <c r="C11" s="3">
        <v>1.1290204E7</v>
      </c>
      <c r="D11" s="3">
        <v>3.5928</v>
      </c>
      <c r="E11" s="3">
        <v>11.290204</v>
      </c>
    </row>
    <row r="12" ht="12.75" customHeight="1">
      <c r="A12" s="3">
        <v>1.0</v>
      </c>
      <c r="B12" s="3">
        <v>111.0</v>
      </c>
      <c r="C12" s="3">
        <v>1.5239666E7</v>
      </c>
      <c r="D12" s="3">
        <v>4.2511</v>
      </c>
      <c r="E12" s="3">
        <v>15.239666</v>
      </c>
    </row>
    <row r="13" ht="12.75" customHeight="1">
      <c r="A13" s="3">
        <v>1.0</v>
      </c>
      <c r="B13" s="3">
        <v>112.0</v>
      </c>
      <c r="C13" s="3">
        <v>1.978778E7</v>
      </c>
      <c r="D13" s="3">
        <v>4.8614</v>
      </c>
      <c r="E13" s="3">
        <v>19.78778</v>
      </c>
    </row>
    <row r="14" ht="12.75" customHeight="1">
      <c r="A14" s="3">
        <v>1.0</v>
      </c>
      <c r="B14" s="3">
        <v>113.0</v>
      </c>
      <c r="C14" s="3">
        <v>2.4998972E7</v>
      </c>
      <c r="D14" s="3">
        <v>5.5399</v>
      </c>
      <c r="E14" s="3">
        <v>24.998972</v>
      </c>
    </row>
    <row r="15" ht="12.75" customHeight="1">
      <c r="A15" s="3">
        <v>1.0</v>
      </c>
      <c r="B15" s="3">
        <v>114.0</v>
      </c>
      <c r="C15" s="3">
        <v>3.0753366E7</v>
      </c>
      <c r="D15" s="3">
        <v>5.8931</v>
      </c>
      <c r="E15" s="3">
        <v>30.753366</v>
      </c>
    </row>
    <row r="16" ht="12.75" customHeight="1">
      <c r="A16" s="3">
        <v>1.0</v>
      </c>
      <c r="B16" s="3">
        <v>115.0</v>
      </c>
      <c r="C16" s="3">
        <v>3.6715658E7</v>
      </c>
      <c r="D16" s="3">
        <v>6.0293</v>
      </c>
      <c r="E16" s="3">
        <v>36.715658</v>
      </c>
    </row>
    <row r="17" ht="12.75" customHeight="1">
      <c r="A17" s="3">
        <v>1.0</v>
      </c>
      <c r="B17" s="3">
        <v>116.0</v>
      </c>
      <c r="C17" s="3">
        <v>4.3715657E7</v>
      </c>
      <c r="D17" s="3">
        <v>6.5693</v>
      </c>
      <c r="E17" s="3">
        <v>43.715657</v>
      </c>
    </row>
    <row r="18" ht="12.75" customHeight="1">
      <c r="A18" s="3">
        <v>1.0</v>
      </c>
      <c r="B18" s="3">
        <v>117.0</v>
      </c>
      <c r="C18" s="3">
        <v>5.0715657E7</v>
      </c>
      <c r="D18" s="3">
        <v>7.1093</v>
      </c>
      <c r="E18" s="3">
        <v>50.715657</v>
      </c>
    </row>
    <row r="19" ht="12.75" customHeight="1">
      <c r="A19" s="3">
        <v>2.0</v>
      </c>
      <c r="B19" s="3">
        <v>87.5</v>
      </c>
      <c r="C19" s="3">
        <v>0.0</v>
      </c>
      <c r="D19" s="3">
        <v>0.0</v>
      </c>
      <c r="E19" s="3">
        <v>0.0</v>
      </c>
    </row>
    <row r="20" ht="12.75" customHeight="1">
      <c r="A20" s="3">
        <v>2.0</v>
      </c>
      <c r="B20" s="3">
        <v>88.0</v>
      </c>
      <c r="C20" s="3">
        <v>0.0</v>
      </c>
      <c r="D20" s="3">
        <v>0.0</v>
      </c>
      <c r="E20" s="3">
        <v>0.0</v>
      </c>
    </row>
    <row r="21" ht="12.75" customHeight="1">
      <c r="A21" s="3">
        <v>2.0</v>
      </c>
      <c r="B21" s="3">
        <v>89.0</v>
      </c>
      <c r="C21" s="3">
        <v>0.0</v>
      </c>
      <c r="D21" s="3">
        <v>0.0</v>
      </c>
      <c r="E21" s="3">
        <v>0.0</v>
      </c>
    </row>
    <row r="22" ht="12.75" customHeight="1">
      <c r="A22" s="3">
        <v>2.0</v>
      </c>
      <c r="B22" s="3">
        <v>90.0</v>
      </c>
      <c r="C22" s="3">
        <v>3000.0</v>
      </c>
      <c r="D22" s="3">
        <v>0.0</v>
      </c>
      <c r="E22" s="3">
        <v>0.003</v>
      </c>
    </row>
    <row r="23" ht="12.75" customHeight="1">
      <c r="A23" s="3">
        <v>2.0</v>
      </c>
      <c r="B23" s="3">
        <v>91.0</v>
      </c>
      <c r="C23" s="3">
        <v>9000.0</v>
      </c>
      <c r="D23" s="3">
        <v>0.01</v>
      </c>
      <c r="E23" s="3">
        <v>0.009</v>
      </c>
    </row>
    <row r="24" ht="12.75" customHeight="1">
      <c r="A24" s="3">
        <v>2.0</v>
      </c>
      <c r="B24" s="3">
        <v>92.0</v>
      </c>
      <c r="C24" s="3">
        <v>21000.0</v>
      </c>
      <c r="D24" s="3">
        <v>0.02</v>
      </c>
      <c r="E24" s="3">
        <v>0.021</v>
      </c>
    </row>
    <row r="25" ht="12.75" customHeight="1">
      <c r="A25" s="3">
        <v>2.0</v>
      </c>
      <c r="B25" s="3">
        <v>93.0</v>
      </c>
      <c r="C25" s="3">
        <v>59000.0</v>
      </c>
      <c r="D25" s="3">
        <v>0.06</v>
      </c>
      <c r="E25" s="3">
        <v>0.059</v>
      </c>
    </row>
    <row r="26" ht="12.75" customHeight="1">
      <c r="A26" s="3">
        <v>2.0</v>
      </c>
      <c r="B26" s="3">
        <v>94.0</v>
      </c>
      <c r="C26" s="3">
        <v>162000.0</v>
      </c>
      <c r="D26" s="3">
        <v>0.15</v>
      </c>
      <c r="E26" s="3">
        <v>0.162</v>
      </c>
    </row>
    <row r="27" ht="12.75" customHeight="1">
      <c r="A27" s="3">
        <v>2.0</v>
      </c>
      <c r="B27" s="3">
        <v>95.0</v>
      </c>
      <c r="C27" s="3">
        <v>359000.0</v>
      </c>
      <c r="D27" s="3">
        <v>0.25</v>
      </c>
      <c r="E27" s="3">
        <v>0.359</v>
      </c>
    </row>
    <row r="28" ht="12.75" customHeight="1">
      <c r="A28" s="3">
        <v>2.0</v>
      </c>
      <c r="B28" s="3">
        <v>96.0</v>
      </c>
      <c r="C28" s="3">
        <v>673000.0</v>
      </c>
      <c r="D28" s="3">
        <v>0.4</v>
      </c>
      <c r="E28" s="3">
        <v>0.673</v>
      </c>
    </row>
    <row r="29" ht="12.75" customHeight="1">
      <c r="A29" s="3">
        <v>2.0</v>
      </c>
      <c r="B29" s="3">
        <v>97.0</v>
      </c>
      <c r="C29" s="3">
        <v>1178000.0</v>
      </c>
      <c r="D29" s="3">
        <v>0.62</v>
      </c>
      <c r="E29" s="3">
        <v>1.178</v>
      </c>
    </row>
    <row r="30" ht="12.75" customHeight="1">
      <c r="A30" s="3">
        <v>2.0</v>
      </c>
      <c r="B30" s="3">
        <v>98.0</v>
      </c>
      <c r="C30" s="3">
        <v>1931000.0</v>
      </c>
      <c r="D30" s="3">
        <v>0.88</v>
      </c>
      <c r="E30" s="3">
        <v>1.931</v>
      </c>
    </row>
    <row r="31" ht="12.75" customHeight="1">
      <c r="A31" s="3">
        <v>2.0</v>
      </c>
      <c r="B31" s="3">
        <v>99.0</v>
      </c>
      <c r="C31" s="3">
        <v>2978000.0</v>
      </c>
      <c r="D31" s="3">
        <v>1.23</v>
      </c>
      <c r="E31" s="3">
        <v>2.978</v>
      </c>
    </row>
    <row r="32" ht="12.75" customHeight="1">
      <c r="A32" s="3">
        <v>2.0</v>
      </c>
      <c r="B32" s="3">
        <v>100.0</v>
      </c>
      <c r="C32" s="3">
        <v>4444300.0</v>
      </c>
      <c r="D32" s="3">
        <v>1.73</v>
      </c>
      <c r="E32" s="3">
        <v>4.4443</v>
      </c>
    </row>
    <row r="33" ht="12.75" customHeight="1">
      <c r="A33" s="3">
        <v>2.0</v>
      </c>
      <c r="B33" s="3">
        <v>101.0</v>
      </c>
      <c r="C33" s="3">
        <v>6475000.0</v>
      </c>
      <c r="D33" s="3">
        <v>2.33</v>
      </c>
      <c r="E33" s="3">
        <v>6.475</v>
      </c>
    </row>
    <row r="34" ht="12.75" customHeight="1">
      <c r="A34" s="3">
        <v>2.0</v>
      </c>
      <c r="B34" s="3">
        <v>102.0</v>
      </c>
      <c r="C34" s="3">
        <v>9123000.0</v>
      </c>
      <c r="D34" s="3">
        <v>2.98</v>
      </c>
      <c r="E34" s="3">
        <v>9.123</v>
      </c>
    </row>
    <row r="35" ht="12.75" customHeight="1">
      <c r="A35" s="3">
        <v>2.0</v>
      </c>
      <c r="B35" s="3">
        <v>103.0</v>
      </c>
      <c r="C35" s="3">
        <v>1.2465E7</v>
      </c>
      <c r="D35" s="3">
        <v>3.71</v>
      </c>
      <c r="E35" s="3">
        <v>12.465</v>
      </c>
    </row>
    <row r="36" ht="12.75" customHeight="1">
      <c r="A36" s="3">
        <v>2.0</v>
      </c>
      <c r="B36" s="3">
        <v>104.0</v>
      </c>
      <c r="C36" s="3">
        <v>1.6522E7</v>
      </c>
      <c r="D36" s="3">
        <v>4.39</v>
      </c>
      <c r="E36" s="3">
        <v>16.522</v>
      </c>
    </row>
    <row r="37" ht="12.75" customHeight="1">
      <c r="A37" s="3">
        <v>2.0</v>
      </c>
      <c r="B37" s="3">
        <v>105.0</v>
      </c>
      <c r="C37" s="3">
        <v>2.1212E7</v>
      </c>
      <c r="D37" s="3">
        <v>4.97</v>
      </c>
      <c r="E37" s="3">
        <v>21.212</v>
      </c>
    </row>
    <row r="38" ht="12.75" customHeight="1">
      <c r="A38" s="3">
        <v>2.0</v>
      </c>
      <c r="B38" s="3">
        <v>106.0</v>
      </c>
      <c r="C38" s="3">
        <v>2.6397E7</v>
      </c>
      <c r="D38" s="3">
        <v>5.37</v>
      </c>
      <c r="E38" s="3">
        <v>26.397</v>
      </c>
    </row>
    <row r="39" ht="12.75" customHeight="1">
      <c r="A39" s="3">
        <v>2.0</v>
      </c>
      <c r="B39" s="3">
        <v>106.71</v>
      </c>
      <c r="C39" s="3">
        <v>3.0299E7</v>
      </c>
      <c r="D39" s="3">
        <v>5.62</v>
      </c>
      <c r="E39" s="3">
        <v>30.299</v>
      </c>
    </row>
    <row r="40" ht="12.75" customHeight="1">
      <c r="A40" s="3">
        <v>2.0</v>
      </c>
      <c r="B40" s="3">
        <v>107.5</v>
      </c>
      <c r="C40" s="3">
        <v>4.15E7</v>
      </c>
      <c r="D40" s="3">
        <v>6.1352</v>
      </c>
      <c r="E40" s="3">
        <v>41.5</v>
      </c>
    </row>
    <row r="41" ht="12.75" customHeight="1">
      <c r="A41" s="3">
        <v>2.0</v>
      </c>
      <c r="B41" s="3">
        <v>112.5</v>
      </c>
      <c r="C41" s="3">
        <v>1.115E8</v>
      </c>
      <c r="D41" s="3">
        <v>10.0952</v>
      </c>
      <c r="E41" s="3">
        <v>111.5</v>
      </c>
    </row>
    <row r="42" ht="12.75" customHeight="1">
      <c r="A42" s="3">
        <v>2.0</v>
      </c>
      <c r="B42" s="3">
        <v>117.5</v>
      </c>
      <c r="C42" s="3">
        <v>2.015E8</v>
      </c>
      <c r="D42" s="3">
        <v>17.0052</v>
      </c>
      <c r="E42" s="3">
        <v>201.5</v>
      </c>
    </row>
    <row r="43" ht="12.75" customHeight="1">
      <c r="A43" s="3">
        <v>2.0</v>
      </c>
      <c r="B43" s="3">
        <v>122.5</v>
      </c>
      <c r="C43" s="3">
        <v>3.215E8</v>
      </c>
      <c r="D43" s="3">
        <v>31.1052</v>
      </c>
      <c r="E43" s="3">
        <v>321.5</v>
      </c>
    </row>
    <row r="44" ht="12.75" customHeight="1">
      <c r="A44" s="3">
        <v>2.0</v>
      </c>
      <c r="B44" s="3">
        <v>127.5</v>
      </c>
      <c r="C44" s="3">
        <v>5.215E8</v>
      </c>
      <c r="D44" s="3">
        <v>41.5352</v>
      </c>
      <c r="E44" s="3">
        <v>521.5</v>
      </c>
    </row>
    <row r="45" ht="12.75" customHeight="1">
      <c r="A45" s="3">
        <v>2.0</v>
      </c>
      <c r="B45" s="3">
        <v>132.5</v>
      </c>
      <c r="C45" s="3">
        <v>7.515E8</v>
      </c>
      <c r="D45" s="3">
        <v>65.1552</v>
      </c>
      <c r="E45" s="3">
        <v>751.5</v>
      </c>
    </row>
    <row r="46" ht="12.75" customHeight="1">
      <c r="A46" s="3">
        <v>2.0</v>
      </c>
      <c r="B46" s="3">
        <v>137.5</v>
      </c>
      <c r="C46" s="3">
        <v>1.1415E9</v>
      </c>
      <c r="D46" s="3">
        <v>90.3352</v>
      </c>
      <c r="E46" s="3">
        <v>1141.5</v>
      </c>
    </row>
    <row r="47" ht="12.75" customHeight="1">
      <c r="A47" s="3">
        <v>2.0</v>
      </c>
      <c r="B47" s="3">
        <v>142.5</v>
      </c>
      <c r="C47" s="3">
        <v>1.601E9</v>
      </c>
      <c r="D47" s="3">
        <v>144.8652</v>
      </c>
      <c r="E47" s="3">
        <v>1601.0</v>
      </c>
    </row>
    <row r="48" ht="12.75" customHeight="1">
      <c r="A48" s="3">
        <v>2.0</v>
      </c>
      <c r="B48" s="3">
        <v>143.5</v>
      </c>
      <c r="C48" s="3">
        <v>1.6765E9</v>
      </c>
      <c r="D48" s="3">
        <v>154.6552</v>
      </c>
      <c r="E48" s="3">
        <v>1676.5</v>
      </c>
    </row>
    <row r="49" ht="12.75" customHeight="1">
      <c r="A49" s="3">
        <v>3.0</v>
      </c>
      <c r="B49" s="3">
        <v>44.05</v>
      </c>
      <c r="C49" s="3">
        <v>0.0</v>
      </c>
      <c r="D49" s="3">
        <v>0.0</v>
      </c>
      <c r="E49" s="3">
        <v>0.0</v>
      </c>
    </row>
    <row r="50" ht="12.75" customHeight="1">
      <c r="A50" s="3">
        <v>3.0</v>
      </c>
      <c r="B50" s="3">
        <v>44.75</v>
      </c>
      <c r="C50" s="3">
        <v>306.0</v>
      </c>
      <c r="D50" s="3">
        <v>0.0015</v>
      </c>
      <c r="E50" s="3">
        <v>3.06E-4</v>
      </c>
    </row>
    <row r="51" ht="12.75" customHeight="1">
      <c r="A51" s="3">
        <v>3.0</v>
      </c>
      <c r="B51" s="3">
        <v>45.75</v>
      </c>
      <c r="C51" s="3">
        <v>9075.0</v>
      </c>
      <c r="D51" s="3">
        <v>0.0182</v>
      </c>
      <c r="E51" s="3">
        <v>0.009075</v>
      </c>
    </row>
    <row r="52" ht="12.75" customHeight="1">
      <c r="A52" s="3">
        <v>3.0</v>
      </c>
      <c r="B52" s="3">
        <v>46.75</v>
      </c>
      <c r="C52" s="3">
        <v>42035.0</v>
      </c>
      <c r="D52" s="3">
        <v>0.0545</v>
      </c>
      <c r="E52" s="3">
        <v>0.042035</v>
      </c>
    </row>
    <row r="53" ht="12.75" customHeight="1">
      <c r="A53" s="3">
        <v>3.0</v>
      </c>
      <c r="B53" s="3">
        <v>47.75</v>
      </c>
      <c r="C53" s="3">
        <v>131551.0</v>
      </c>
      <c r="D53" s="3">
        <v>0.1313</v>
      </c>
      <c r="E53" s="3">
        <v>0.131551</v>
      </c>
    </row>
    <row r="54" ht="12.75" customHeight="1">
      <c r="A54" s="3">
        <v>3.0</v>
      </c>
      <c r="B54" s="3">
        <v>48.75</v>
      </c>
      <c r="C54" s="3">
        <v>312006.0</v>
      </c>
      <c r="D54" s="3">
        <v>0.2396</v>
      </c>
      <c r="E54" s="3">
        <v>0.312006</v>
      </c>
    </row>
    <row r="55" ht="12.75" customHeight="1">
      <c r="A55" s="3">
        <v>3.0</v>
      </c>
      <c r="B55" s="3">
        <v>49.75</v>
      </c>
      <c r="C55" s="3">
        <v>622330.0</v>
      </c>
      <c r="D55" s="3">
        <v>0.3878</v>
      </c>
      <c r="E55" s="3">
        <v>0.62233</v>
      </c>
    </row>
    <row r="56" ht="12.75" customHeight="1">
      <c r="A56" s="3">
        <v>3.0</v>
      </c>
      <c r="B56" s="3">
        <v>50.75</v>
      </c>
      <c r="C56" s="3">
        <v>1094306.0</v>
      </c>
      <c r="D56" s="3">
        <v>0.5715</v>
      </c>
      <c r="E56" s="3">
        <v>1.094306</v>
      </c>
    </row>
    <row r="57" ht="12.75" customHeight="1">
      <c r="A57" s="3">
        <v>3.0</v>
      </c>
      <c r="B57" s="3">
        <v>51.75</v>
      </c>
      <c r="C57" s="3">
        <v>1785311.0</v>
      </c>
      <c r="D57" s="3">
        <v>0.8312</v>
      </c>
      <c r="E57" s="3">
        <v>1.785311</v>
      </c>
    </row>
    <row r="58" ht="12.75" customHeight="1">
      <c r="A58" s="3">
        <v>3.0</v>
      </c>
      <c r="B58" s="3">
        <v>52.75</v>
      </c>
      <c r="C58" s="3">
        <v>2783288.0</v>
      </c>
      <c r="D58" s="3">
        <v>1.1752</v>
      </c>
      <c r="E58" s="3">
        <v>2.783288</v>
      </c>
    </row>
    <row r="59" ht="12.75" customHeight="1">
      <c r="A59" s="3">
        <v>3.0</v>
      </c>
      <c r="B59" s="3">
        <v>53.75</v>
      </c>
      <c r="C59" s="3">
        <v>4124641.0</v>
      </c>
      <c r="D59" s="3">
        <v>1.5259</v>
      </c>
      <c r="E59" s="3">
        <v>4.124641</v>
      </c>
    </row>
    <row r="60" ht="12.75" customHeight="1">
      <c r="A60" s="3">
        <v>3.0</v>
      </c>
      <c r="B60" s="3">
        <v>54.75</v>
      </c>
      <c r="C60" s="3">
        <v>5843945.0</v>
      </c>
      <c r="D60" s="3">
        <v>1.9363</v>
      </c>
      <c r="E60" s="3">
        <v>5.843945</v>
      </c>
    </row>
    <row r="61" ht="12.75" customHeight="1">
      <c r="A61" s="3">
        <v>3.0</v>
      </c>
      <c r="B61" s="3">
        <v>55.75</v>
      </c>
      <c r="C61" s="3">
        <v>8001042.0</v>
      </c>
      <c r="D61" s="3">
        <v>2.4034</v>
      </c>
      <c r="E61" s="3">
        <v>8.001042</v>
      </c>
    </row>
    <row r="62" ht="12.75" customHeight="1">
      <c r="A62" s="3">
        <v>3.0</v>
      </c>
      <c r="B62" s="3">
        <v>56.75</v>
      </c>
      <c r="C62" s="3">
        <v>1.070011E7</v>
      </c>
      <c r="D62" s="3">
        <v>3.0401</v>
      </c>
      <c r="E62" s="3">
        <v>10.70011</v>
      </c>
    </row>
    <row r="63" ht="12.75" customHeight="1">
      <c r="A63" s="3">
        <v>3.0</v>
      </c>
      <c r="B63" s="3">
        <v>57.75</v>
      </c>
      <c r="C63" s="3">
        <v>1.410375E7</v>
      </c>
      <c r="D63" s="3">
        <v>3.76</v>
      </c>
      <c r="E63" s="3">
        <v>14.10375</v>
      </c>
    </row>
    <row r="64" ht="12.75" customHeight="1">
      <c r="A64" s="3">
        <v>3.0</v>
      </c>
      <c r="B64" s="3">
        <v>58.75</v>
      </c>
      <c r="C64" s="3">
        <v>1.799594E7</v>
      </c>
      <c r="D64" s="3">
        <v>3.996</v>
      </c>
      <c r="E64" s="3">
        <v>17.99594</v>
      </c>
    </row>
    <row r="65" ht="12.75" customHeight="1">
      <c r="A65" s="3">
        <v>3.0</v>
      </c>
      <c r="B65" s="3">
        <v>59.0</v>
      </c>
      <c r="C65" s="3">
        <v>1.8996E7</v>
      </c>
      <c r="D65" s="3">
        <v>4.146</v>
      </c>
      <c r="E65" s="3">
        <v>18.996</v>
      </c>
    </row>
    <row r="66" ht="12.75" customHeight="1">
      <c r="A66" s="3">
        <v>3.0</v>
      </c>
      <c r="B66" s="3">
        <v>60.0</v>
      </c>
      <c r="C66" s="3">
        <v>2.4996E7</v>
      </c>
      <c r="D66" s="3">
        <v>4.946</v>
      </c>
      <c r="E66" s="3">
        <v>24.996</v>
      </c>
    </row>
    <row r="67" ht="12.75" customHeight="1">
      <c r="A67" s="3">
        <v>3.0</v>
      </c>
      <c r="B67" s="3">
        <v>61.0</v>
      </c>
      <c r="C67" s="3">
        <v>3.1996E7</v>
      </c>
      <c r="D67" s="3">
        <v>5.846</v>
      </c>
      <c r="E67" s="3">
        <v>31.996</v>
      </c>
    </row>
    <row r="68" ht="12.75" customHeight="1">
      <c r="A68" s="3">
        <v>3.0</v>
      </c>
      <c r="B68" s="3">
        <v>62.0</v>
      </c>
      <c r="C68" s="3">
        <v>3.9996E7</v>
      </c>
      <c r="D68" s="3">
        <v>6.746</v>
      </c>
      <c r="E68" s="3">
        <v>39.996</v>
      </c>
    </row>
    <row r="69" ht="12.75" customHeight="1">
      <c r="A69" s="3">
        <v>3.0</v>
      </c>
      <c r="B69" s="3">
        <v>63.0</v>
      </c>
      <c r="C69" s="3">
        <v>4.7996E7</v>
      </c>
      <c r="D69" s="3">
        <v>7.846</v>
      </c>
      <c r="E69" s="3">
        <v>47.996</v>
      </c>
    </row>
    <row r="70" ht="12.75" customHeight="1">
      <c r="A70" s="3">
        <v>3.0</v>
      </c>
      <c r="B70" s="3">
        <v>64.0</v>
      </c>
      <c r="C70" s="3">
        <v>5.7996E7</v>
      </c>
      <c r="D70" s="3">
        <v>9.146</v>
      </c>
      <c r="E70" s="3">
        <v>57.996</v>
      </c>
    </row>
    <row r="71" ht="12.75" customHeight="1">
      <c r="A71" s="3">
        <v>3.0</v>
      </c>
      <c r="B71" s="3">
        <v>65.0</v>
      </c>
      <c r="C71" s="3">
        <v>6.7996E7</v>
      </c>
      <c r="D71" s="3">
        <v>10.546</v>
      </c>
      <c r="E71" s="3">
        <v>67.996</v>
      </c>
    </row>
    <row r="72" ht="12.75" customHeight="1">
      <c r="A72" s="3">
        <v>3.0</v>
      </c>
      <c r="B72" s="3">
        <v>66.0</v>
      </c>
      <c r="C72" s="3">
        <v>7.9996E7</v>
      </c>
      <c r="D72" s="3">
        <v>11.846</v>
      </c>
      <c r="E72" s="3">
        <v>79.996</v>
      </c>
    </row>
    <row r="73" ht="12.75" customHeight="1">
      <c r="A73" s="3">
        <v>3.0</v>
      </c>
      <c r="B73" s="3">
        <v>67.0</v>
      </c>
      <c r="C73" s="3">
        <v>9.2996E7</v>
      </c>
      <c r="D73" s="3">
        <v>13.046</v>
      </c>
      <c r="E73" s="3">
        <v>92.996</v>
      </c>
    </row>
    <row r="74" ht="12.75" customHeight="1">
      <c r="A74" s="3">
        <v>3.0</v>
      </c>
      <c r="B74" s="3">
        <v>68.0</v>
      </c>
      <c r="C74" s="3">
        <v>1.06996E8</v>
      </c>
      <c r="D74" s="3">
        <v>14.446</v>
      </c>
      <c r="E74" s="3">
        <v>106.996</v>
      </c>
    </row>
    <row r="75" ht="12.75" customHeight="1">
      <c r="A75" s="3">
        <v>3.0</v>
      </c>
      <c r="B75" s="3">
        <v>69.0</v>
      </c>
      <c r="C75" s="3">
        <v>1.21996E8</v>
      </c>
      <c r="D75" s="3">
        <v>15.746</v>
      </c>
      <c r="E75" s="3">
        <v>121.996</v>
      </c>
    </row>
    <row r="76" ht="12.75" customHeight="1">
      <c r="A76" s="3">
        <v>3.0</v>
      </c>
      <c r="B76" s="3">
        <v>70.0</v>
      </c>
      <c r="C76" s="3">
        <v>1.38996E8</v>
      </c>
      <c r="D76" s="3">
        <v>17.246</v>
      </c>
      <c r="E76" s="3">
        <v>138.996</v>
      </c>
    </row>
    <row r="77" ht="12.75" customHeight="1">
      <c r="A77" s="3">
        <v>3.0</v>
      </c>
      <c r="B77" s="3">
        <v>71.0</v>
      </c>
      <c r="C77" s="3">
        <v>1.56996E8</v>
      </c>
      <c r="D77" s="3">
        <v>18.746</v>
      </c>
      <c r="E77" s="3">
        <v>156.996</v>
      </c>
    </row>
    <row r="78" ht="12.75" customHeight="1">
      <c r="A78" s="3">
        <v>3.0</v>
      </c>
      <c r="B78" s="3">
        <v>72.0</v>
      </c>
      <c r="C78" s="3">
        <v>1.76996E8</v>
      </c>
      <c r="D78" s="3">
        <v>20.046</v>
      </c>
      <c r="E78" s="3">
        <v>176.996</v>
      </c>
    </row>
    <row r="79" ht="12.75" customHeight="1">
      <c r="A79" s="3">
        <v>3.0</v>
      </c>
      <c r="B79" s="3">
        <v>73.0</v>
      </c>
      <c r="C79" s="3">
        <v>2.02E8</v>
      </c>
      <c r="D79" s="3">
        <v>21.746</v>
      </c>
      <c r="E79" s="3">
        <v>202.0</v>
      </c>
    </row>
    <row r="80" ht="12.75" customHeight="1">
      <c r="A80" s="3">
        <v>3.0</v>
      </c>
      <c r="B80" s="3">
        <v>74.0</v>
      </c>
      <c r="C80" s="3">
        <v>2.03996E8</v>
      </c>
      <c r="D80" s="3">
        <v>24.246</v>
      </c>
      <c r="E80" s="3">
        <v>203.996</v>
      </c>
    </row>
    <row r="81" ht="12.75" customHeight="1">
      <c r="A81" s="3">
        <v>3.0</v>
      </c>
      <c r="B81" s="3">
        <v>75.0</v>
      </c>
      <c r="C81" s="3">
        <v>2.05996E8</v>
      </c>
      <c r="D81" s="3">
        <v>27.246</v>
      </c>
      <c r="E81" s="3">
        <v>205.996</v>
      </c>
    </row>
    <row r="82" ht="12.75" customHeight="1">
      <c r="A82" s="3">
        <v>4.0</v>
      </c>
      <c r="B82" s="3">
        <v>98.88</v>
      </c>
      <c r="C82" s="3">
        <v>0.0</v>
      </c>
      <c r="D82" s="3">
        <v>0.0</v>
      </c>
      <c r="E82" s="3">
        <v>0.0</v>
      </c>
    </row>
    <row r="83" ht="12.75" customHeight="1">
      <c r="A83" s="3">
        <v>4.0</v>
      </c>
      <c r="B83" s="3">
        <v>99.0</v>
      </c>
      <c r="C83" s="3">
        <v>87.0</v>
      </c>
      <c r="D83" s="3">
        <v>0.0022</v>
      </c>
      <c r="E83" s="3">
        <v>8.7E-5</v>
      </c>
    </row>
    <row r="84" ht="12.75" customHeight="1">
      <c r="A84" s="3">
        <v>4.0</v>
      </c>
      <c r="B84" s="3">
        <v>99.5</v>
      </c>
      <c r="C84" s="3">
        <v>24574.0</v>
      </c>
      <c r="D84" s="3">
        <v>0.1565</v>
      </c>
      <c r="E84" s="3">
        <v>0.024574</v>
      </c>
    </row>
    <row r="85" ht="12.75" customHeight="1">
      <c r="A85" s="3">
        <v>4.0</v>
      </c>
      <c r="B85" s="3">
        <v>100.0</v>
      </c>
      <c r="C85" s="3">
        <v>186115.0</v>
      </c>
      <c r="D85" s="3">
        <v>0.4725</v>
      </c>
      <c r="E85" s="3">
        <v>0.186115</v>
      </c>
    </row>
    <row r="86" ht="12.75" customHeight="1">
      <c r="A86" s="3">
        <v>4.0</v>
      </c>
      <c r="B86" s="3">
        <v>100.5</v>
      </c>
      <c r="C86" s="3">
        <v>478259.0</v>
      </c>
      <c r="D86" s="3">
        <v>0.6894</v>
      </c>
      <c r="E86" s="3">
        <v>0.478259</v>
      </c>
    </row>
    <row r="87" ht="12.75" customHeight="1">
      <c r="A87" s="3">
        <v>4.0</v>
      </c>
      <c r="B87" s="3">
        <v>101.0</v>
      </c>
      <c r="C87" s="3">
        <v>865952.0</v>
      </c>
      <c r="D87" s="3">
        <v>0.8515</v>
      </c>
      <c r="E87" s="3">
        <v>0.865952</v>
      </c>
    </row>
    <row r="88" ht="12.75" customHeight="1">
      <c r="A88" s="3">
        <v>4.0</v>
      </c>
      <c r="B88" s="3">
        <v>101.5</v>
      </c>
      <c r="C88" s="3">
        <v>1348432.0</v>
      </c>
      <c r="D88" s="3">
        <v>1.1442</v>
      </c>
      <c r="E88" s="3">
        <v>1.348432</v>
      </c>
    </row>
    <row r="89" ht="12.75" customHeight="1">
      <c r="A89" s="3">
        <v>4.0</v>
      </c>
      <c r="B89" s="3">
        <v>102.0</v>
      </c>
      <c r="C89" s="3">
        <v>2012430.0</v>
      </c>
      <c r="D89" s="3">
        <v>1.4649</v>
      </c>
      <c r="E89" s="3">
        <v>2.01243</v>
      </c>
    </row>
    <row r="90" ht="12.75" customHeight="1">
      <c r="A90" s="3">
        <v>4.0</v>
      </c>
      <c r="B90" s="3">
        <v>102.5</v>
      </c>
      <c r="C90" s="3">
        <v>2806355.0</v>
      </c>
      <c r="D90" s="3">
        <v>1.7241</v>
      </c>
      <c r="E90" s="3">
        <v>2.806355</v>
      </c>
    </row>
    <row r="91" ht="12.75" customHeight="1">
      <c r="A91" s="3">
        <v>4.0</v>
      </c>
      <c r="B91" s="3">
        <v>103.0</v>
      </c>
      <c r="C91" s="3">
        <v>3766402.0</v>
      </c>
      <c r="D91" s="3">
        <v>2.1678</v>
      </c>
      <c r="E91" s="3">
        <v>3.766402</v>
      </c>
    </row>
    <row r="92" ht="12.75" customHeight="1">
      <c r="A92" s="3">
        <v>4.0</v>
      </c>
      <c r="B92" s="3">
        <v>103.5</v>
      </c>
      <c r="C92" s="3">
        <v>4983023.0</v>
      </c>
      <c r="D92" s="3">
        <v>2.682</v>
      </c>
      <c r="E92" s="3">
        <v>4.983023</v>
      </c>
    </row>
    <row r="93" ht="12.75" customHeight="1">
      <c r="A93" s="3">
        <v>4.0</v>
      </c>
      <c r="B93" s="3">
        <v>104.0</v>
      </c>
      <c r="C93" s="3">
        <v>6454504.0</v>
      </c>
      <c r="D93" s="3">
        <v>3.1916</v>
      </c>
      <c r="E93" s="3">
        <v>6.454504</v>
      </c>
    </row>
    <row r="94" ht="12.75" customHeight="1">
      <c r="A94" s="3">
        <v>4.0</v>
      </c>
      <c r="B94" s="3">
        <v>104.5</v>
      </c>
      <c r="C94" s="3">
        <v>8180533.0</v>
      </c>
      <c r="D94" s="3">
        <v>3.7149</v>
      </c>
      <c r="E94" s="3">
        <v>8.180533</v>
      </c>
    </row>
    <row r="95" ht="12.75" customHeight="1">
      <c r="A95" s="3">
        <v>4.0</v>
      </c>
      <c r="B95" s="3">
        <v>105.0</v>
      </c>
      <c r="C95" s="3">
        <v>1.0179792E7</v>
      </c>
      <c r="D95" s="3">
        <v>4.2854</v>
      </c>
      <c r="E95" s="3">
        <v>10.179792</v>
      </c>
    </row>
    <row r="96" ht="12.75" customHeight="1">
      <c r="A96" s="3">
        <v>4.0</v>
      </c>
      <c r="B96" s="3">
        <v>105.5</v>
      </c>
      <c r="C96" s="3">
        <v>1.2459319E7</v>
      </c>
      <c r="D96" s="3">
        <v>4.8621</v>
      </c>
      <c r="E96" s="3">
        <v>12.459319</v>
      </c>
    </row>
    <row r="97" ht="12.75" customHeight="1">
      <c r="A97" s="3">
        <v>4.0</v>
      </c>
      <c r="B97" s="3">
        <v>106.0</v>
      </c>
      <c r="C97" s="3">
        <v>1.5051253E7</v>
      </c>
      <c r="D97" s="3">
        <v>5.588</v>
      </c>
      <c r="E97" s="3">
        <v>15.051253</v>
      </c>
    </row>
    <row r="98" ht="12.75" customHeight="1">
      <c r="A98" s="3">
        <v>4.0</v>
      </c>
      <c r="B98" s="3">
        <v>106.18</v>
      </c>
      <c r="C98" s="3">
        <v>1.6075345E7</v>
      </c>
      <c r="D98" s="3">
        <v>5.8525</v>
      </c>
      <c r="E98" s="3">
        <v>16.075345</v>
      </c>
    </row>
    <row r="99" ht="12.75" customHeight="1">
      <c r="A99" s="3">
        <v>4.0</v>
      </c>
      <c r="B99" s="3">
        <v>107.0</v>
      </c>
      <c r="C99" s="3">
        <v>2.1101E7</v>
      </c>
      <c r="D99" s="3">
        <v>7.4</v>
      </c>
      <c r="E99" s="3">
        <v>21.101</v>
      </c>
    </row>
    <row r="100" ht="12.75" customHeight="1">
      <c r="A100" s="3">
        <v>4.0</v>
      </c>
      <c r="B100" s="3">
        <v>108.0</v>
      </c>
      <c r="C100" s="3">
        <v>2.986E7</v>
      </c>
      <c r="D100" s="3">
        <v>8.89</v>
      </c>
      <c r="E100" s="3">
        <v>29.86</v>
      </c>
    </row>
    <row r="101" ht="12.75" customHeight="1">
      <c r="A101" s="3">
        <v>4.0</v>
      </c>
      <c r="B101" s="3">
        <v>109.0</v>
      </c>
      <c r="C101" s="3">
        <v>3.8611E7</v>
      </c>
      <c r="D101" s="3">
        <v>10.38</v>
      </c>
      <c r="E101" s="3">
        <v>38.611</v>
      </c>
    </row>
    <row r="102" ht="12.75" customHeight="1">
      <c r="A102" s="3">
        <v>4.0</v>
      </c>
      <c r="B102" s="3">
        <v>110.0</v>
      </c>
      <c r="C102" s="3">
        <v>5.0631E7</v>
      </c>
      <c r="D102" s="3">
        <v>12.12</v>
      </c>
      <c r="E102" s="3">
        <v>50.631</v>
      </c>
    </row>
    <row r="103" ht="12.75" customHeight="1">
      <c r="A103" s="3">
        <v>4.0</v>
      </c>
      <c r="B103" s="3">
        <v>111.0</v>
      </c>
      <c r="C103" s="3">
        <v>6.2641E7</v>
      </c>
      <c r="D103" s="3">
        <v>13.86</v>
      </c>
      <c r="E103" s="3">
        <v>62.641</v>
      </c>
    </row>
    <row r="104" ht="12.75" customHeight="1">
      <c r="A104" s="3">
        <v>4.0</v>
      </c>
      <c r="B104" s="3">
        <v>112.0</v>
      </c>
      <c r="C104" s="3">
        <v>7.83351E7</v>
      </c>
      <c r="D104" s="3">
        <v>15.78</v>
      </c>
      <c r="E104" s="3">
        <v>78.3351</v>
      </c>
    </row>
    <row r="105" ht="12.75" customHeight="1">
      <c r="A105" s="3">
        <v>4.0</v>
      </c>
      <c r="B105" s="3">
        <v>113.0</v>
      </c>
      <c r="C105" s="3">
        <v>9.4061E7</v>
      </c>
      <c r="D105" s="3">
        <v>17.71</v>
      </c>
      <c r="E105" s="3">
        <v>94.061</v>
      </c>
    </row>
    <row r="106" ht="12.75" customHeight="1">
      <c r="A106" s="3">
        <v>4.0</v>
      </c>
      <c r="B106" s="3">
        <v>114.0</v>
      </c>
      <c r="C106" s="3">
        <v>1.13791E8</v>
      </c>
      <c r="D106" s="3">
        <v>18.55</v>
      </c>
      <c r="E106" s="3">
        <v>113.791</v>
      </c>
    </row>
    <row r="107" ht="12.75" customHeight="1">
      <c r="A107" s="3">
        <v>4.0</v>
      </c>
      <c r="B107" s="3">
        <v>114.5</v>
      </c>
      <c r="C107" s="3">
        <v>1.22E8</v>
      </c>
      <c r="D107" s="3">
        <v>19.12</v>
      </c>
      <c r="E107" s="3">
        <v>122.0</v>
      </c>
    </row>
    <row r="108" ht="12.75" customHeight="1">
      <c r="A108" s="3">
        <v>4.0</v>
      </c>
      <c r="B108" s="3">
        <v>115.0</v>
      </c>
      <c r="C108" s="3">
        <v>1.31E8</v>
      </c>
      <c r="D108" s="3">
        <v>19.39</v>
      </c>
      <c r="E108" s="3">
        <v>131.0</v>
      </c>
    </row>
    <row r="109" ht="12.75" customHeight="1">
      <c r="A109" s="3">
        <v>5.0</v>
      </c>
      <c r="B109" s="3">
        <v>175.0</v>
      </c>
      <c r="C109" s="3">
        <v>0.0</v>
      </c>
      <c r="D109" s="3">
        <v>0.0</v>
      </c>
      <c r="E109" s="3">
        <v>0.0</v>
      </c>
    </row>
    <row r="110" ht="12.75" customHeight="1">
      <c r="A110" s="3">
        <v>5.0</v>
      </c>
      <c r="B110" s="3">
        <v>180.0</v>
      </c>
      <c r="C110" s="3">
        <v>8900000.0</v>
      </c>
      <c r="D110" s="3">
        <v>2.256</v>
      </c>
      <c r="E110" s="3">
        <v>8.9</v>
      </c>
    </row>
    <row r="111" ht="12.75" customHeight="1">
      <c r="A111" s="3">
        <v>5.0</v>
      </c>
      <c r="B111" s="3">
        <v>185.0</v>
      </c>
      <c r="C111" s="3">
        <v>2.77E7</v>
      </c>
      <c r="D111" s="3">
        <v>5.256</v>
      </c>
      <c r="E111" s="3">
        <v>27.7</v>
      </c>
    </row>
    <row r="112" ht="12.75" customHeight="1">
      <c r="A112" s="3">
        <v>5.0</v>
      </c>
      <c r="B112" s="3">
        <v>190.0</v>
      </c>
      <c r="C112" s="3">
        <v>6.36E7</v>
      </c>
      <c r="D112" s="3">
        <v>9.088</v>
      </c>
      <c r="E112" s="3">
        <v>63.6</v>
      </c>
    </row>
    <row r="113" ht="12.75" customHeight="1">
      <c r="A113" s="3">
        <v>5.0</v>
      </c>
      <c r="B113" s="3">
        <v>195.0</v>
      </c>
      <c r="C113" s="3">
        <v>1.25E8</v>
      </c>
      <c r="D113" s="3">
        <v>15.472</v>
      </c>
      <c r="E113" s="3">
        <v>125.0</v>
      </c>
    </row>
    <row r="114" ht="12.75" customHeight="1">
      <c r="A114" s="3">
        <v>5.0</v>
      </c>
      <c r="B114" s="3">
        <v>200.0</v>
      </c>
      <c r="C114" s="3">
        <v>2.219E8</v>
      </c>
      <c r="D114" s="3">
        <v>23.156</v>
      </c>
      <c r="E114" s="3">
        <v>221.9</v>
      </c>
    </row>
    <row r="115" ht="12.75" customHeight="1">
      <c r="A115" s="3">
        <v>5.0</v>
      </c>
      <c r="B115" s="3">
        <v>201.0</v>
      </c>
      <c r="C115" s="3">
        <v>2.54E8</v>
      </c>
      <c r="D115" s="3">
        <v>24.86</v>
      </c>
      <c r="E115" s="3">
        <v>254.0</v>
      </c>
    </row>
    <row r="116" ht="12.75" customHeight="1">
      <c r="A116" s="3">
        <v>5.0</v>
      </c>
      <c r="B116" s="3">
        <v>205.0</v>
      </c>
      <c r="C116" s="3">
        <v>3.85572001E8</v>
      </c>
      <c r="D116" s="3">
        <v>31.6729</v>
      </c>
      <c r="E116" s="3">
        <v>385.572001</v>
      </c>
    </row>
    <row r="117" ht="12.75" customHeight="1">
      <c r="A117" s="3">
        <v>6.0</v>
      </c>
      <c r="B117" s="3">
        <v>424.98</v>
      </c>
      <c r="C117" s="3">
        <v>0.0</v>
      </c>
      <c r="D117" s="3">
        <v>0.0</v>
      </c>
      <c r="E117" s="3">
        <v>0.0</v>
      </c>
    </row>
    <row r="118" ht="12.75" customHeight="1">
      <c r="A118" s="3">
        <v>6.0</v>
      </c>
      <c r="B118" s="3">
        <v>425.0</v>
      </c>
      <c r="C118" s="3">
        <v>144934.0</v>
      </c>
      <c r="D118" s="3">
        <v>0.208</v>
      </c>
      <c r="E118" s="3">
        <v>0.144934</v>
      </c>
    </row>
    <row r="119" ht="12.75" customHeight="1">
      <c r="A119" s="3">
        <v>6.0</v>
      </c>
      <c r="B119" s="3">
        <v>426.0</v>
      </c>
      <c r="C119" s="3">
        <v>465185.0</v>
      </c>
      <c r="D119" s="3">
        <v>0.433</v>
      </c>
      <c r="E119" s="3">
        <v>0.465185</v>
      </c>
    </row>
    <row r="120" ht="12.75" customHeight="1">
      <c r="A120" s="3">
        <v>6.0</v>
      </c>
      <c r="B120" s="3">
        <v>427.0</v>
      </c>
      <c r="C120" s="3">
        <v>1023141.0</v>
      </c>
      <c r="D120" s="3">
        <v>0.691</v>
      </c>
      <c r="E120" s="3">
        <v>1.023141</v>
      </c>
    </row>
    <row r="121" ht="12.75" customHeight="1">
      <c r="A121" s="3">
        <v>6.0</v>
      </c>
      <c r="B121" s="3">
        <v>428.0</v>
      </c>
      <c r="C121" s="3">
        <v>1872762.0</v>
      </c>
      <c r="D121" s="3">
        <v>1.014</v>
      </c>
      <c r="E121" s="3">
        <v>1.872762</v>
      </c>
    </row>
    <row r="122" ht="12.75" customHeight="1">
      <c r="A122" s="3">
        <v>6.0</v>
      </c>
      <c r="B122" s="3">
        <v>429.0</v>
      </c>
      <c r="C122" s="3">
        <v>3047197.0</v>
      </c>
      <c r="D122" s="3">
        <v>1.325</v>
      </c>
      <c r="E122" s="3">
        <v>3.047197</v>
      </c>
    </row>
    <row r="123" ht="12.75" customHeight="1">
      <c r="A123" s="3">
        <v>6.0</v>
      </c>
      <c r="B123" s="3">
        <v>430.0</v>
      </c>
      <c r="C123" s="3">
        <v>4502543.0</v>
      </c>
      <c r="D123" s="3">
        <v>1.57</v>
      </c>
      <c r="E123" s="3">
        <v>4.502543</v>
      </c>
    </row>
    <row r="124" ht="12.75" customHeight="1">
      <c r="A124" s="3">
        <v>6.0</v>
      </c>
      <c r="B124" s="3">
        <v>431.0</v>
      </c>
      <c r="C124" s="3">
        <v>6177688.0</v>
      </c>
      <c r="D124" s="3">
        <v>1.782</v>
      </c>
      <c r="E124" s="3">
        <v>6.177688</v>
      </c>
    </row>
    <row r="125" ht="12.75" customHeight="1">
      <c r="A125" s="3">
        <v>6.0</v>
      </c>
      <c r="B125" s="3">
        <v>431.22</v>
      </c>
      <c r="C125" s="3">
        <v>6574873.0</v>
      </c>
      <c r="D125" s="3">
        <v>1.878</v>
      </c>
      <c r="E125" s="3">
        <v>6.574873</v>
      </c>
    </row>
    <row r="126" ht="12.75" customHeight="1">
      <c r="A126" s="3">
        <v>6.0</v>
      </c>
      <c r="B126" s="3">
        <v>432.0</v>
      </c>
      <c r="C126" s="3">
        <v>1.005E7</v>
      </c>
      <c r="D126" s="3">
        <v>3.28</v>
      </c>
      <c r="E126" s="3">
        <v>10.05</v>
      </c>
    </row>
    <row r="127" ht="12.75" customHeight="1">
      <c r="A127" s="3">
        <v>6.0</v>
      </c>
      <c r="B127" s="3">
        <v>434.0</v>
      </c>
      <c r="C127" s="3">
        <v>1.88E7</v>
      </c>
      <c r="D127" s="3">
        <v>4.8</v>
      </c>
      <c r="E127" s="3">
        <v>18.8</v>
      </c>
    </row>
    <row r="128" ht="12.75" customHeight="1">
      <c r="A128" s="3">
        <v>6.0</v>
      </c>
      <c r="B128" s="3">
        <v>436.0</v>
      </c>
      <c r="C128" s="3">
        <v>3.01E7</v>
      </c>
      <c r="D128" s="3">
        <v>6.2</v>
      </c>
      <c r="E128" s="3">
        <v>30.1</v>
      </c>
    </row>
    <row r="129" ht="12.75" customHeight="1">
      <c r="A129" s="3">
        <v>6.0</v>
      </c>
      <c r="B129" s="3">
        <v>438.0</v>
      </c>
      <c r="C129" s="3">
        <v>4.28E7</v>
      </c>
      <c r="D129" s="3">
        <v>7.8</v>
      </c>
      <c r="E129" s="3">
        <v>42.8</v>
      </c>
    </row>
    <row r="130" ht="12.75" customHeight="1">
      <c r="A130" s="3">
        <v>7.0</v>
      </c>
      <c r="B130" s="3">
        <v>93.26</v>
      </c>
      <c r="C130" s="3">
        <v>0.0</v>
      </c>
      <c r="D130" s="3">
        <v>0.0</v>
      </c>
      <c r="E130" s="3">
        <v>0.0</v>
      </c>
    </row>
    <row r="131" ht="12.75" customHeight="1">
      <c r="A131" s="3">
        <v>7.0</v>
      </c>
      <c r="B131" s="3">
        <v>94.0</v>
      </c>
      <c r="C131" s="3">
        <v>955.0</v>
      </c>
      <c r="D131" s="3">
        <v>0.0043</v>
      </c>
      <c r="E131" s="3">
        <v>9.55E-4</v>
      </c>
    </row>
    <row r="132" ht="12.75" customHeight="1">
      <c r="A132" s="3">
        <v>7.0</v>
      </c>
      <c r="B132" s="3">
        <v>95.0</v>
      </c>
      <c r="C132" s="3">
        <v>15118.0</v>
      </c>
      <c r="D132" s="3">
        <v>0.0289</v>
      </c>
      <c r="E132" s="3">
        <v>0.015118</v>
      </c>
    </row>
    <row r="133" ht="12.75" customHeight="1">
      <c r="A133" s="3">
        <v>7.0</v>
      </c>
      <c r="B133" s="3">
        <v>96.0</v>
      </c>
      <c r="C133" s="3">
        <v>72742.0</v>
      </c>
      <c r="D133" s="3">
        <v>0.0857</v>
      </c>
      <c r="E133" s="3">
        <v>0.072742</v>
      </c>
    </row>
    <row r="134" ht="12.75" customHeight="1">
      <c r="A134" s="3">
        <v>7.0</v>
      </c>
      <c r="B134" s="3">
        <v>97.0</v>
      </c>
      <c r="C134" s="3">
        <v>198312.0</v>
      </c>
      <c r="D134" s="3">
        <v>0.1762</v>
      </c>
      <c r="E134" s="3">
        <v>0.198312</v>
      </c>
    </row>
    <row r="135" ht="12.75" customHeight="1">
      <c r="A135" s="3">
        <v>7.0</v>
      </c>
      <c r="B135" s="3">
        <v>98.0</v>
      </c>
      <c r="C135" s="3">
        <v>432905.0</v>
      </c>
      <c r="D135" s="3">
        <v>0.2895</v>
      </c>
      <c r="E135" s="3">
        <v>0.432905</v>
      </c>
    </row>
    <row r="136" ht="12.75" customHeight="1">
      <c r="A136" s="3">
        <v>7.0</v>
      </c>
      <c r="B136" s="3">
        <v>99.0</v>
      </c>
      <c r="C136" s="3">
        <v>786594.0</v>
      </c>
      <c r="D136" s="3">
        <v>0.4277</v>
      </c>
      <c r="E136" s="3">
        <v>0.786594</v>
      </c>
    </row>
    <row r="137" ht="12.75" customHeight="1">
      <c r="A137" s="3">
        <v>7.0</v>
      </c>
      <c r="B137" s="3">
        <v>100.0</v>
      </c>
      <c r="C137" s="3">
        <v>1306119.0</v>
      </c>
      <c r="D137" s="3">
        <v>0.6272</v>
      </c>
      <c r="E137" s="3">
        <v>1.306119</v>
      </c>
    </row>
    <row r="138" ht="12.75" customHeight="1">
      <c r="A138" s="3">
        <v>7.0</v>
      </c>
      <c r="B138" s="3">
        <v>101.0</v>
      </c>
      <c r="C138" s="3">
        <v>2071015.0</v>
      </c>
      <c r="D138" s="3">
        <v>0.9262</v>
      </c>
      <c r="E138" s="3">
        <v>2.071015</v>
      </c>
    </row>
    <row r="139" ht="12.75" customHeight="1">
      <c r="A139" s="3">
        <v>7.0</v>
      </c>
      <c r="B139" s="3">
        <v>102.0</v>
      </c>
      <c r="C139" s="3">
        <v>3160090.0</v>
      </c>
      <c r="D139" s="3">
        <v>1.2503</v>
      </c>
      <c r="E139" s="3">
        <v>3.16009</v>
      </c>
    </row>
    <row r="140" ht="12.75" customHeight="1">
      <c r="A140" s="3">
        <v>7.0</v>
      </c>
      <c r="B140" s="3">
        <v>103.0</v>
      </c>
      <c r="C140" s="3">
        <v>4599024.0</v>
      </c>
      <c r="D140" s="3">
        <v>1.6173</v>
      </c>
      <c r="E140" s="3">
        <v>4.599024</v>
      </c>
    </row>
    <row r="141" ht="12.75" customHeight="1">
      <c r="A141" s="3">
        <v>7.0</v>
      </c>
      <c r="B141" s="3">
        <v>104.0</v>
      </c>
      <c r="C141" s="3">
        <v>6426872.0</v>
      </c>
      <c r="D141" s="3">
        <v>2.0624</v>
      </c>
      <c r="E141" s="3">
        <v>6.426872</v>
      </c>
    </row>
    <row r="142" ht="12.75" customHeight="1">
      <c r="A142" s="3">
        <v>7.0</v>
      </c>
      <c r="B142" s="3">
        <v>105.0</v>
      </c>
      <c r="C142" s="3">
        <v>8801454.0</v>
      </c>
      <c r="D142" s="3">
        <v>2.6969</v>
      </c>
      <c r="E142" s="3">
        <v>8.801454</v>
      </c>
    </row>
    <row r="143" ht="12.75" customHeight="1">
      <c r="A143" s="3">
        <v>7.0</v>
      </c>
      <c r="B143" s="3">
        <v>106.0</v>
      </c>
      <c r="C143" s="3">
        <v>1.185754E7</v>
      </c>
      <c r="D143" s="3">
        <v>3.4216</v>
      </c>
      <c r="E143" s="3">
        <v>11.85754</v>
      </c>
    </row>
    <row r="144" ht="12.75" customHeight="1">
      <c r="A144" s="3">
        <v>7.0</v>
      </c>
      <c r="B144" s="3">
        <v>107.0</v>
      </c>
      <c r="C144" s="3">
        <v>1.5524189E7</v>
      </c>
      <c r="D144" s="3">
        <v>3.8174</v>
      </c>
      <c r="E144" s="3">
        <v>15.524189</v>
      </c>
    </row>
    <row r="145" ht="12.75" customHeight="1">
      <c r="A145" s="3">
        <v>7.0</v>
      </c>
      <c r="B145" s="3">
        <v>107.4</v>
      </c>
      <c r="C145" s="3">
        <v>1.7066151E7</v>
      </c>
      <c r="D145" s="3">
        <v>3.8924</v>
      </c>
      <c r="E145" s="3">
        <v>17.066151</v>
      </c>
    </row>
    <row r="146" ht="12.75" customHeight="1">
      <c r="A146" s="3">
        <v>7.0</v>
      </c>
      <c r="B146" s="3">
        <v>107.67</v>
      </c>
      <c r="C146" s="3">
        <v>1.8123926E7</v>
      </c>
      <c r="D146" s="3">
        <v>3.9428</v>
      </c>
      <c r="E146" s="3">
        <v>18.123926</v>
      </c>
    </row>
    <row r="147" ht="12.75" customHeight="1">
      <c r="A147" s="3">
        <v>7.0</v>
      </c>
      <c r="B147" s="3">
        <v>110.0</v>
      </c>
      <c r="C147" s="3">
        <v>4.222E7</v>
      </c>
      <c r="D147" s="3">
        <v>7.6398</v>
      </c>
      <c r="E147" s="3">
        <v>42.22</v>
      </c>
    </row>
    <row r="148" ht="12.75" customHeight="1">
      <c r="A148" s="3">
        <v>7.0</v>
      </c>
      <c r="B148" s="3">
        <v>115.0</v>
      </c>
      <c r="C148" s="3">
        <v>9.665E7</v>
      </c>
      <c r="D148" s="3">
        <v>14.1298</v>
      </c>
      <c r="E148" s="3">
        <v>96.65</v>
      </c>
    </row>
    <row r="149" ht="12.75" customHeight="1">
      <c r="A149" s="3">
        <v>7.0</v>
      </c>
      <c r="B149" s="3">
        <v>120.0</v>
      </c>
      <c r="C149" s="3">
        <v>1.9071E8</v>
      </c>
      <c r="D149" s="3">
        <v>23.4898</v>
      </c>
      <c r="E149" s="3">
        <v>190.71</v>
      </c>
    </row>
    <row r="150" ht="12.75" customHeight="1">
      <c r="A150" s="3">
        <v>7.0</v>
      </c>
      <c r="B150" s="3">
        <v>124.5</v>
      </c>
      <c r="C150" s="3">
        <v>3.222E8</v>
      </c>
      <c r="D150" s="3">
        <v>33.7898</v>
      </c>
      <c r="E150" s="3">
        <v>322.2</v>
      </c>
    </row>
    <row r="151" ht="12.75" customHeight="1">
      <c r="A151" s="3">
        <v>7.0</v>
      </c>
      <c r="B151" s="3">
        <v>125.0</v>
      </c>
      <c r="C151" s="3">
        <v>3.3681E8</v>
      </c>
      <c r="D151" s="3">
        <v>34.9298</v>
      </c>
      <c r="E151" s="3">
        <v>336.81</v>
      </c>
    </row>
    <row r="152" ht="12.75" customHeight="1">
      <c r="A152" s="3">
        <v>7.0</v>
      </c>
      <c r="B152" s="3">
        <v>130.0</v>
      </c>
      <c r="C152" s="3">
        <v>5.4262E8</v>
      </c>
      <c r="D152" s="3">
        <v>47.3898</v>
      </c>
      <c r="E152" s="3">
        <v>542.62</v>
      </c>
    </row>
    <row r="153" ht="12.75" customHeight="1">
      <c r="A153" s="3">
        <v>8.0</v>
      </c>
      <c r="B153" s="3">
        <v>393.0</v>
      </c>
      <c r="C153" s="3">
        <v>0.0</v>
      </c>
      <c r="D153" s="3">
        <v>0.0</v>
      </c>
      <c r="E153" s="3">
        <v>0.0</v>
      </c>
    </row>
    <row r="154" ht="12.75" customHeight="1">
      <c r="A154" s="3">
        <v>8.0</v>
      </c>
      <c r="B154" s="3">
        <v>394.0</v>
      </c>
      <c r="C154" s="3">
        <v>340.0</v>
      </c>
      <c r="D154" s="3">
        <v>8.0E-4</v>
      </c>
      <c r="E154" s="3">
        <v>3.4E-4</v>
      </c>
    </row>
    <row r="155" ht="12.75" customHeight="1">
      <c r="A155" s="3">
        <v>8.0</v>
      </c>
      <c r="B155" s="3">
        <v>395.0</v>
      </c>
      <c r="C155" s="3">
        <v>1750.0</v>
      </c>
      <c r="D155" s="3">
        <v>0.002</v>
      </c>
      <c r="E155" s="3">
        <v>0.00175</v>
      </c>
    </row>
    <row r="156" ht="12.75" customHeight="1">
      <c r="A156" s="3">
        <v>8.0</v>
      </c>
      <c r="B156" s="3">
        <v>396.0</v>
      </c>
      <c r="C156" s="3">
        <v>2125.0</v>
      </c>
      <c r="D156" s="3">
        <v>0.0023</v>
      </c>
      <c r="E156" s="3">
        <v>0.002125</v>
      </c>
    </row>
    <row r="157" ht="12.75" customHeight="1">
      <c r="A157" s="3">
        <v>8.0</v>
      </c>
      <c r="B157" s="3">
        <v>397.0</v>
      </c>
      <c r="C157" s="3">
        <v>4000.0</v>
      </c>
      <c r="D157" s="3">
        <v>0.0025</v>
      </c>
      <c r="E157" s="3">
        <v>0.004</v>
      </c>
    </row>
    <row r="158" ht="12.75" customHeight="1">
      <c r="A158" s="3">
        <v>8.0</v>
      </c>
      <c r="B158" s="3">
        <v>398.0</v>
      </c>
      <c r="C158" s="3">
        <v>20000.0</v>
      </c>
      <c r="D158" s="3">
        <v>0.01</v>
      </c>
      <c r="E158" s="3">
        <v>0.02</v>
      </c>
    </row>
    <row r="159" ht="12.75" customHeight="1">
      <c r="A159" s="3">
        <v>8.0</v>
      </c>
      <c r="B159" s="3">
        <v>399.0</v>
      </c>
      <c r="C159" s="3">
        <v>30000.0</v>
      </c>
      <c r="D159" s="3">
        <v>0.02</v>
      </c>
      <c r="E159" s="3">
        <v>0.03</v>
      </c>
    </row>
    <row r="160" ht="12.75" customHeight="1">
      <c r="A160" s="3">
        <v>8.0</v>
      </c>
      <c r="B160" s="3">
        <v>400.0</v>
      </c>
      <c r="C160" s="3">
        <v>60000.0</v>
      </c>
      <c r="D160" s="3">
        <v>0.03</v>
      </c>
      <c r="E160" s="3">
        <v>0.06</v>
      </c>
    </row>
    <row r="161" ht="12.75" customHeight="1">
      <c r="A161" s="3">
        <v>8.0</v>
      </c>
      <c r="B161" s="3">
        <v>401.0</v>
      </c>
      <c r="C161" s="3">
        <v>100000.0</v>
      </c>
      <c r="D161" s="3">
        <v>0.04</v>
      </c>
      <c r="E161" s="3">
        <v>0.1</v>
      </c>
    </row>
    <row r="162" ht="12.75" customHeight="1">
      <c r="A162" s="3">
        <v>8.0</v>
      </c>
      <c r="B162" s="3">
        <v>402.0</v>
      </c>
      <c r="C162" s="3">
        <v>160000.0</v>
      </c>
      <c r="D162" s="3">
        <v>0.05</v>
      </c>
      <c r="E162" s="3">
        <v>0.16</v>
      </c>
    </row>
    <row r="163" ht="12.75" customHeight="1">
      <c r="A163" s="3">
        <v>8.0</v>
      </c>
      <c r="B163" s="3">
        <v>403.0</v>
      </c>
      <c r="C163" s="3">
        <v>220000.0</v>
      </c>
      <c r="D163" s="3">
        <v>0.07</v>
      </c>
      <c r="E163" s="3">
        <v>0.22</v>
      </c>
    </row>
    <row r="164" ht="12.75" customHeight="1">
      <c r="A164" s="3">
        <v>8.0</v>
      </c>
      <c r="B164" s="3">
        <v>404.0</v>
      </c>
      <c r="C164" s="3">
        <v>310000.0</v>
      </c>
      <c r="D164" s="3">
        <v>0.11</v>
      </c>
      <c r="E164" s="3">
        <v>0.31</v>
      </c>
    </row>
    <row r="165" ht="12.75" customHeight="1">
      <c r="A165" s="3">
        <v>8.0</v>
      </c>
      <c r="B165" s="3">
        <v>405.0</v>
      </c>
      <c r="C165" s="3">
        <v>440000.0</v>
      </c>
      <c r="D165" s="3">
        <v>0.14</v>
      </c>
      <c r="E165" s="3">
        <v>0.44</v>
      </c>
    </row>
    <row r="166" ht="12.75" customHeight="1">
      <c r="A166" s="3">
        <v>8.0</v>
      </c>
      <c r="B166" s="3">
        <v>406.0</v>
      </c>
      <c r="C166" s="3">
        <v>600000.0</v>
      </c>
      <c r="D166" s="3">
        <v>0.18</v>
      </c>
      <c r="E166" s="3">
        <v>0.6</v>
      </c>
    </row>
    <row r="167" ht="12.75" customHeight="1">
      <c r="A167" s="3">
        <v>8.0</v>
      </c>
      <c r="B167" s="3">
        <v>407.0</v>
      </c>
      <c r="C167" s="3">
        <v>870000.0</v>
      </c>
      <c r="D167" s="3">
        <v>0.22</v>
      </c>
      <c r="E167" s="3">
        <v>0.87</v>
      </c>
    </row>
    <row r="168" ht="12.75" customHeight="1">
      <c r="A168" s="3">
        <v>8.0</v>
      </c>
      <c r="B168" s="3">
        <v>408.0</v>
      </c>
      <c r="C168" s="3">
        <v>1070000.0</v>
      </c>
      <c r="D168" s="3">
        <v>0.29</v>
      </c>
      <c r="E168" s="3">
        <v>1.07</v>
      </c>
    </row>
    <row r="169" ht="12.75" customHeight="1">
      <c r="A169" s="3">
        <v>8.0</v>
      </c>
      <c r="B169" s="3">
        <v>409.0</v>
      </c>
      <c r="C169" s="3">
        <v>1400000.0</v>
      </c>
      <c r="D169" s="3">
        <v>0.38</v>
      </c>
      <c r="E169" s="3">
        <v>1.4</v>
      </c>
    </row>
    <row r="170" ht="12.75" customHeight="1">
      <c r="A170" s="3">
        <v>8.0</v>
      </c>
      <c r="B170" s="3">
        <v>410.0</v>
      </c>
      <c r="C170" s="3">
        <v>1840000.0</v>
      </c>
      <c r="D170" s="3">
        <v>0.49</v>
      </c>
      <c r="E170" s="3">
        <v>1.84</v>
      </c>
    </row>
    <row r="171" ht="12.75" customHeight="1">
      <c r="A171" s="3">
        <v>8.0</v>
      </c>
      <c r="B171" s="3">
        <v>411.0</v>
      </c>
      <c r="C171" s="3">
        <v>2370000.0</v>
      </c>
      <c r="D171" s="3">
        <v>0.57</v>
      </c>
      <c r="E171" s="3">
        <v>2.37</v>
      </c>
    </row>
    <row r="172" ht="12.75" customHeight="1">
      <c r="A172" s="3">
        <v>8.0</v>
      </c>
      <c r="B172" s="3">
        <v>412.0</v>
      </c>
      <c r="C172" s="3">
        <v>2990000.0</v>
      </c>
      <c r="D172" s="3">
        <v>0.65</v>
      </c>
      <c r="E172" s="3">
        <v>2.99</v>
      </c>
    </row>
    <row r="173" ht="12.75" customHeight="1">
      <c r="A173" s="3">
        <v>8.0</v>
      </c>
      <c r="B173" s="3">
        <v>413.0</v>
      </c>
      <c r="C173" s="3">
        <v>3750000.0</v>
      </c>
      <c r="D173" s="3">
        <v>0.84</v>
      </c>
      <c r="E173" s="3">
        <v>3.75</v>
      </c>
    </row>
    <row r="174" ht="12.75" customHeight="1">
      <c r="A174" s="3">
        <v>8.0</v>
      </c>
      <c r="B174" s="3">
        <v>414.0</v>
      </c>
      <c r="C174" s="3">
        <v>4680000.0</v>
      </c>
      <c r="D174" s="3">
        <v>1.02</v>
      </c>
      <c r="E174" s="3">
        <v>4.68</v>
      </c>
    </row>
    <row r="175" ht="12.75" customHeight="1">
      <c r="A175" s="3">
        <v>8.0</v>
      </c>
      <c r="B175" s="3">
        <v>415.0</v>
      </c>
      <c r="C175" s="3">
        <v>5790000.0</v>
      </c>
      <c r="D175" s="3">
        <v>1.2</v>
      </c>
      <c r="E175" s="3">
        <v>5.79</v>
      </c>
    </row>
    <row r="176" ht="12.75" customHeight="1">
      <c r="A176" s="3">
        <v>8.0</v>
      </c>
      <c r="B176" s="3">
        <v>416.0</v>
      </c>
      <c r="C176" s="3">
        <v>7080000.0</v>
      </c>
      <c r="D176" s="3">
        <v>1.37</v>
      </c>
      <c r="E176" s="3">
        <v>7.08</v>
      </c>
    </row>
    <row r="177" ht="12.75" customHeight="1">
      <c r="A177" s="3">
        <v>8.0</v>
      </c>
      <c r="B177" s="3">
        <v>417.0</v>
      </c>
      <c r="C177" s="3">
        <v>8540000.0</v>
      </c>
      <c r="D177" s="3">
        <v>1.54</v>
      </c>
      <c r="E177" s="3">
        <v>8.54</v>
      </c>
    </row>
    <row r="178" ht="12.75" customHeight="1">
      <c r="A178" s="3">
        <v>8.0</v>
      </c>
      <c r="B178" s="3">
        <v>418.0</v>
      </c>
      <c r="C178" s="3">
        <v>1.023E7</v>
      </c>
      <c r="D178" s="3">
        <v>1.82</v>
      </c>
      <c r="E178" s="3">
        <v>10.23</v>
      </c>
    </row>
    <row r="179" ht="12.75" customHeight="1">
      <c r="A179" s="3">
        <v>8.0</v>
      </c>
      <c r="B179" s="3">
        <v>419.0</v>
      </c>
      <c r="C179" s="3">
        <v>1.219E7</v>
      </c>
      <c r="D179" s="3">
        <v>2.1</v>
      </c>
      <c r="E179" s="3">
        <v>12.19</v>
      </c>
    </row>
    <row r="180" ht="12.75" customHeight="1">
      <c r="A180" s="3">
        <v>8.0</v>
      </c>
      <c r="B180" s="3">
        <v>420.0</v>
      </c>
      <c r="C180" s="3">
        <v>1.443E7</v>
      </c>
      <c r="D180" s="3">
        <v>2.37</v>
      </c>
      <c r="E180" s="3">
        <v>14.43</v>
      </c>
    </row>
    <row r="181" ht="12.75" customHeight="1">
      <c r="A181" s="3">
        <v>8.0</v>
      </c>
      <c r="B181" s="3">
        <v>421.0</v>
      </c>
      <c r="C181" s="3">
        <v>1.693E7</v>
      </c>
      <c r="D181" s="3">
        <v>2.58</v>
      </c>
      <c r="E181" s="3">
        <v>16.93</v>
      </c>
    </row>
    <row r="182" ht="12.75" customHeight="1">
      <c r="A182" s="3">
        <v>8.0</v>
      </c>
      <c r="B182" s="3">
        <v>422.0</v>
      </c>
      <c r="C182" s="3">
        <v>1.966E7</v>
      </c>
      <c r="D182" s="3">
        <v>2.88</v>
      </c>
      <c r="E182" s="3">
        <v>19.66</v>
      </c>
    </row>
    <row r="183" ht="12.75" customHeight="1">
      <c r="A183" s="3">
        <v>8.0</v>
      </c>
      <c r="B183" s="3">
        <v>423.0</v>
      </c>
      <c r="C183" s="3">
        <v>2.266E7</v>
      </c>
      <c r="D183" s="3">
        <v>3.11</v>
      </c>
      <c r="E183" s="3">
        <v>22.66</v>
      </c>
    </row>
    <row r="184" ht="12.75" customHeight="1">
      <c r="A184" s="3">
        <v>8.0</v>
      </c>
      <c r="B184" s="3">
        <v>424.0</v>
      </c>
      <c r="C184" s="3">
        <v>2.591E7</v>
      </c>
      <c r="D184" s="3">
        <v>3.37</v>
      </c>
      <c r="E184" s="3">
        <v>25.91</v>
      </c>
    </row>
    <row r="185" ht="12.75" customHeight="1">
      <c r="A185" s="3">
        <v>8.0</v>
      </c>
      <c r="B185" s="3">
        <v>425.0</v>
      </c>
      <c r="C185" s="3">
        <v>2.942E7</v>
      </c>
      <c r="D185" s="3">
        <v>3.64</v>
      </c>
      <c r="E185" s="3">
        <v>29.42</v>
      </c>
    </row>
    <row r="186" ht="12.75" customHeight="1">
      <c r="A186" s="3">
        <v>8.0</v>
      </c>
      <c r="B186" s="3">
        <v>426.0</v>
      </c>
      <c r="C186" s="3">
        <v>3.319E7</v>
      </c>
      <c r="D186" s="3">
        <v>3.91</v>
      </c>
      <c r="E186" s="3">
        <v>33.19</v>
      </c>
    </row>
    <row r="187" ht="12.75" customHeight="1">
      <c r="A187" s="3">
        <v>8.0</v>
      </c>
      <c r="B187" s="3">
        <v>427.0</v>
      </c>
      <c r="C187" s="3">
        <v>3.718E7</v>
      </c>
      <c r="D187" s="3">
        <v>4.05</v>
      </c>
      <c r="E187" s="3">
        <v>37.18</v>
      </c>
    </row>
    <row r="188" ht="12.75" customHeight="1">
      <c r="A188" s="3">
        <v>8.0</v>
      </c>
      <c r="B188" s="3">
        <v>428.0</v>
      </c>
      <c r="C188" s="3">
        <v>4.245E7</v>
      </c>
      <c r="D188" s="3">
        <v>4.52</v>
      </c>
      <c r="E188" s="3">
        <v>42.45</v>
      </c>
    </row>
    <row r="189" ht="12.75" customHeight="1">
      <c r="A189" s="3">
        <v>8.0</v>
      </c>
      <c r="B189" s="3">
        <v>429.0</v>
      </c>
      <c r="C189" s="3">
        <v>4.604E7</v>
      </c>
      <c r="D189" s="3">
        <v>4.7</v>
      </c>
      <c r="E189" s="3">
        <v>46.04</v>
      </c>
    </row>
    <row r="190" ht="12.75" customHeight="1">
      <c r="A190" s="3">
        <v>8.0</v>
      </c>
      <c r="B190" s="3">
        <v>430.0</v>
      </c>
      <c r="C190" s="3">
        <v>5.094E7</v>
      </c>
      <c r="D190" s="3">
        <v>5.09</v>
      </c>
      <c r="E190" s="3">
        <v>50.94</v>
      </c>
    </row>
    <row r="191" ht="12.75" customHeight="1">
      <c r="A191" s="3">
        <v>9.0</v>
      </c>
      <c r="B191" s="3">
        <v>162.06</v>
      </c>
      <c r="C191" s="3">
        <v>0.0</v>
      </c>
      <c r="D191" s="3">
        <v>0.0</v>
      </c>
      <c r="E191" s="3">
        <v>0.0</v>
      </c>
    </row>
    <row r="192" ht="12.75" customHeight="1">
      <c r="A192" s="3">
        <v>9.0</v>
      </c>
      <c r="B192" s="3">
        <v>163.0</v>
      </c>
      <c r="C192" s="3">
        <v>312.0</v>
      </c>
      <c r="D192" s="3">
        <v>0.0013</v>
      </c>
      <c r="E192" s="3">
        <v>3.12E-4</v>
      </c>
    </row>
    <row r="193" ht="12.75" customHeight="1">
      <c r="A193" s="3">
        <v>9.0</v>
      </c>
      <c r="B193" s="3">
        <v>164.0</v>
      </c>
      <c r="C193" s="3">
        <v>10295.0</v>
      </c>
      <c r="D193" s="3">
        <v>0.0244</v>
      </c>
      <c r="E193" s="3">
        <v>0.010295</v>
      </c>
    </row>
    <row r="194" ht="12.75" customHeight="1">
      <c r="A194" s="3">
        <v>9.0</v>
      </c>
      <c r="B194" s="3">
        <v>165.0</v>
      </c>
      <c r="C194" s="3">
        <v>86389.0</v>
      </c>
      <c r="D194" s="3">
        <v>0.1635</v>
      </c>
      <c r="E194" s="3">
        <v>0.086389</v>
      </c>
    </row>
    <row r="195" ht="12.75" customHeight="1">
      <c r="A195" s="3">
        <v>9.0</v>
      </c>
      <c r="B195" s="3">
        <v>166.0</v>
      </c>
      <c r="C195" s="3">
        <v>399502.0</v>
      </c>
      <c r="D195" s="3">
        <v>0.4833</v>
      </c>
      <c r="E195" s="3">
        <v>0.399502</v>
      </c>
    </row>
    <row r="196" ht="12.75" customHeight="1">
      <c r="A196" s="3">
        <v>9.0</v>
      </c>
      <c r="B196" s="3">
        <v>167.0</v>
      </c>
      <c r="C196" s="3">
        <v>1104680.0</v>
      </c>
      <c r="D196" s="3">
        <v>0.9454</v>
      </c>
      <c r="E196" s="3">
        <v>1.10468</v>
      </c>
    </row>
    <row r="197" ht="12.75" customHeight="1">
      <c r="A197" s="3">
        <v>9.0</v>
      </c>
      <c r="B197" s="3">
        <v>168.0</v>
      </c>
      <c r="C197" s="3">
        <v>2329714.0</v>
      </c>
      <c r="D197" s="3">
        <v>1.5176</v>
      </c>
      <c r="E197" s="3">
        <v>2.329714</v>
      </c>
    </row>
    <row r="198" ht="12.75" customHeight="1">
      <c r="A198" s="3">
        <v>9.0</v>
      </c>
      <c r="B198" s="3">
        <v>169.0</v>
      </c>
      <c r="C198" s="3">
        <v>4180362.0</v>
      </c>
      <c r="D198" s="3">
        <v>2.217</v>
      </c>
      <c r="E198" s="3">
        <v>4.180362</v>
      </c>
    </row>
    <row r="199" ht="12.75" customHeight="1">
      <c r="A199" s="3">
        <v>9.0</v>
      </c>
      <c r="B199" s="3">
        <v>170.0</v>
      </c>
      <c r="C199" s="3">
        <v>6859733.0</v>
      </c>
      <c r="D199" s="3">
        <v>3.1791</v>
      </c>
      <c r="E199" s="3">
        <v>6.859733</v>
      </c>
    </row>
    <row r="200" ht="12.75" customHeight="1">
      <c r="A200" s="3">
        <v>9.0</v>
      </c>
      <c r="B200" s="3">
        <v>171.0</v>
      </c>
      <c r="C200" s="3">
        <v>1.0576209E7</v>
      </c>
      <c r="D200" s="3">
        <v>4.2719</v>
      </c>
      <c r="E200" s="3">
        <v>10.576209</v>
      </c>
    </row>
    <row r="201" ht="12.75" customHeight="1">
      <c r="A201" s="3">
        <v>9.0</v>
      </c>
      <c r="B201" s="3">
        <v>172.0</v>
      </c>
      <c r="C201" s="3">
        <v>1.5463424E7</v>
      </c>
      <c r="D201" s="3">
        <v>5.5234</v>
      </c>
      <c r="E201" s="3">
        <v>15.463424</v>
      </c>
    </row>
    <row r="202" ht="12.75" customHeight="1">
      <c r="A202" s="3">
        <v>9.0</v>
      </c>
      <c r="B202" s="3">
        <v>173.0</v>
      </c>
      <c r="C202" s="3">
        <v>2.1676346E7</v>
      </c>
      <c r="D202" s="3">
        <v>6.9308</v>
      </c>
      <c r="E202" s="3">
        <v>21.676346</v>
      </c>
    </row>
    <row r="203" ht="12.75" customHeight="1">
      <c r="A203" s="3">
        <v>9.0</v>
      </c>
      <c r="B203" s="3">
        <v>174.0</v>
      </c>
      <c r="C203" s="3">
        <v>2.9346753E7</v>
      </c>
      <c r="D203" s="3">
        <v>8.3981</v>
      </c>
      <c r="E203" s="3">
        <v>29.346753</v>
      </c>
    </row>
    <row r="204" ht="12.75" customHeight="1">
      <c r="A204" s="3">
        <v>9.0</v>
      </c>
      <c r="B204" s="3">
        <v>175.0</v>
      </c>
      <c r="C204" s="3">
        <v>3.8514593E7</v>
      </c>
      <c r="D204" s="3">
        <v>9.9713</v>
      </c>
      <c r="E204" s="3">
        <v>38.514593</v>
      </c>
    </row>
    <row r="205" ht="12.75" customHeight="1">
      <c r="A205" s="3">
        <v>9.0</v>
      </c>
      <c r="B205" s="3">
        <v>176.0</v>
      </c>
      <c r="C205" s="3">
        <v>4.9363929E7</v>
      </c>
      <c r="D205" s="3">
        <v>11.7114</v>
      </c>
      <c r="E205" s="3">
        <v>49.363929</v>
      </c>
    </row>
    <row r="206" ht="12.75" customHeight="1">
      <c r="A206" s="3">
        <v>9.0</v>
      </c>
      <c r="B206" s="3">
        <v>177.0</v>
      </c>
      <c r="C206" s="3">
        <v>6.1998012E7</v>
      </c>
      <c r="D206" s="3">
        <v>13.5779</v>
      </c>
      <c r="E206" s="3">
        <v>61.998012</v>
      </c>
    </row>
    <row r="207" ht="12.75" customHeight="1">
      <c r="A207" s="3">
        <v>9.0</v>
      </c>
      <c r="B207" s="3">
        <v>178.0</v>
      </c>
      <c r="C207" s="3">
        <v>7.6606266E7</v>
      </c>
      <c r="D207" s="3">
        <v>15.6041</v>
      </c>
      <c r="E207" s="3">
        <v>76.606266</v>
      </c>
    </row>
    <row r="208" ht="12.75" customHeight="1">
      <c r="A208" s="3">
        <v>9.0</v>
      </c>
      <c r="B208" s="3">
        <v>179.0</v>
      </c>
      <c r="C208" s="3">
        <v>9.3215375E7</v>
      </c>
      <c r="D208" s="3">
        <v>17.6046</v>
      </c>
      <c r="E208" s="3">
        <v>93.215375</v>
      </c>
    </row>
    <row r="209" ht="12.75" customHeight="1">
      <c r="A209" s="3">
        <v>9.0</v>
      </c>
      <c r="B209" s="3">
        <v>180.0</v>
      </c>
      <c r="C209" s="3">
        <v>1.11843885E8</v>
      </c>
      <c r="D209" s="3">
        <v>19.6343</v>
      </c>
      <c r="E209" s="3">
        <v>111.843885</v>
      </c>
    </row>
    <row r="210" ht="12.75" customHeight="1">
      <c r="A210" s="3">
        <v>9.0</v>
      </c>
      <c r="B210" s="3">
        <v>181.0</v>
      </c>
      <c r="C210" s="3">
        <v>1.32551016E8</v>
      </c>
      <c r="D210" s="3">
        <v>21.8282</v>
      </c>
      <c r="E210" s="3">
        <v>132.551016</v>
      </c>
    </row>
    <row r="211" ht="12.75" customHeight="1">
      <c r="A211" s="3">
        <v>9.0</v>
      </c>
      <c r="B211" s="3">
        <v>182.0</v>
      </c>
      <c r="C211" s="3">
        <v>1.55588504E8</v>
      </c>
      <c r="D211" s="3">
        <v>24.2414</v>
      </c>
      <c r="E211" s="3">
        <v>155.588504</v>
      </c>
    </row>
    <row r="212" ht="12.75" customHeight="1">
      <c r="A212" s="3">
        <v>9.0</v>
      </c>
      <c r="B212" s="3">
        <v>183.0</v>
      </c>
      <c r="C212" s="3">
        <v>1.81179242E8</v>
      </c>
      <c r="D212" s="3">
        <v>27.0294</v>
      </c>
      <c r="E212" s="3">
        <v>181.179242</v>
      </c>
    </row>
    <row r="213" ht="12.75" customHeight="1">
      <c r="A213" s="3">
        <v>9.0</v>
      </c>
      <c r="B213" s="3">
        <v>184.0</v>
      </c>
      <c r="C213" s="3">
        <v>2.09908797E8</v>
      </c>
      <c r="D213" s="3">
        <v>30.4755</v>
      </c>
      <c r="E213" s="3">
        <v>209.908797</v>
      </c>
    </row>
    <row r="214" ht="12.75" customHeight="1">
      <c r="A214" s="3">
        <v>9.0</v>
      </c>
      <c r="B214" s="3">
        <v>185.0</v>
      </c>
      <c r="C214" s="3">
        <v>2.42276221E8</v>
      </c>
      <c r="D214" s="3">
        <v>34.3463</v>
      </c>
      <c r="E214" s="3">
        <v>242.276221</v>
      </c>
    </row>
    <row r="215" ht="12.75" customHeight="1">
      <c r="A215" s="3">
        <v>9.0</v>
      </c>
      <c r="B215" s="3">
        <v>186.0</v>
      </c>
      <c r="C215" s="3">
        <v>2.78792034E8</v>
      </c>
      <c r="D215" s="3">
        <v>38.7347</v>
      </c>
      <c r="E215" s="3">
        <v>278.792034</v>
      </c>
    </row>
    <row r="216" ht="12.75" customHeight="1">
      <c r="A216" s="3">
        <v>9.0</v>
      </c>
      <c r="B216" s="3">
        <v>187.0</v>
      </c>
      <c r="C216" s="3">
        <v>3.20101478E8</v>
      </c>
      <c r="D216" s="3">
        <v>43.9868</v>
      </c>
      <c r="E216" s="3">
        <v>320.101478</v>
      </c>
    </row>
    <row r="217" ht="12.75" customHeight="1">
      <c r="A217" s="3">
        <v>9.0</v>
      </c>
      <c r="B217" s="3">
        <v>188.0</v>
      </c>
      <c r="C217" s="3">
        <v>3.66968604E8</v>
      </c>
      <c r="D217" s="3">
        <v>49.8709</v>
      </c>
      <c r="E217" s="3">
        <v>366.968604</v>
      </c>
    </row>
    <row r="218" ht="12.75" customHeight="1">
      <c r="A218" s="3">
        <v>9.0</v>
      </c>
      <c r="B218" s="3">
        <v>189.0</v>
      </c>
      <c r="C218" s="3">
        <v>4.20390599E8</v>
      </c>
      <c r="D218" s="3">
        <v>57.1229</v>
      </c>
      <c r="E218" s="3">
        <v>420.390599</v>
      </c>
    </row>
    <row r="219" ht="12.75" customHeight="1">
      <c r="A219" s="3">
        <v>9.0</v>
      </c>
      <c r="B219" s="3">
        <v>190.0</v>
      </c>
      <c r="C219" s="3">
        <v>4.81277527E8</v>
      </c>
      <c r="D219" s="3">
        <v>64.153</v>
      </c>
      <c r="E219" s="3">
        <v>481.277527</v>
      </c>
    </row>
    <row r="220" ht="12.75" customHeight="1">
      <c r="A220" s="3">
        <v>9.0</v>
      </c>
      <c r="B220" s="3">
        <v>191.0</v>
      </c>
      <c r="C220" s="3">
        <v>5.47814719E8</v>
      </c>
      <c r="D220" s="3">
        <v>68.684</v>
      </c>
      <c r="E220" s="3">
        <v>547.814719</v>
      </c>
    </row>
    <row r="221" ht="12.75" customHeight="1">
      <c r="A221" s="3">
        <v>9.0</v>
      </c>
      <c r="B221" s="3">
        <v>191.59</v>
      </c>
      <c r="C221" s="3">
        <v>5.8907057E8</v>
      </c>
      <c r="D221" s="3">
        <v>71.9958</v>
      </c>
      <c r="E221" s="3">
        <v>589.07057</v>
      </c>
    </row>
    <row r="222" ht="12.75" customHeight="1">
      <c r="A222" s="3">
        <v>9.0</v>
      </c>
      <c r="B222" s="3">
        <v>192.0</v>
      </c>
      <c r="C222" s="3">
        <v>6.27410042E8</v>
      </c>
      <c r="D222" s="3">
        <v>75.8949</v>
      </c>
      <c r="E222" s="3">
        <v>627.410042</v>
      </c>
    </row>
    <row r="223" ht="12.75" customHeight="1">
      <c r="A223" s="3">
        <v>9.0</v>
      </c>
      <c r="B223" s="3">
        <v>193.0</v>
      </c>
      <c r="C223" s="3">
        <v>7.31050042E8</v>
      </c>
      <c r="D223" s="3">
        <v>86.2249</v>
      </c>
      <c r="E223" s="3">
        <v>731.050042</v>
      </c>
    </row>
    <row r="224" ht="12.75" customHeight="1">
      <c r="A224" s="3">
        <v>9.0</v>
      </c>
      <c r="B224" s="3">
        <v>194.0</v>
      </c>
      <c r="C224" s="3">
        <v>8.45800042E8</v>
      </c>
      <c r="D224" s="3">
        <v>97.4649</v>
      </c>
      <c r="E224" s="3">
        <v>845.800042</v>
      </c>
    </row>
    <row r="225" ht="12.75" customHeight="1">
      <c r="A225" s="3">
        <v>9.0</v>
      </c>
      <c r="B225" s="3">
        <v>195.0</v>
      </c>
      <c r="C225" s="3">
        <v>9.72700042E8</v>
      </c>
      <c r="D225" s="3">
        <v>109.7549</v>
      </c>
      <c r="E225" s="3">
        <v>972.700042</v>
      </c>
    </row>
    <row r="226" ht="12.75" customHeight="1">
      <c r="A226" s="3">
        <v>9.0</v>
      </c>
      <c r="B226" s="3">
        <v>196.0</v>
      </c>
      <c r="C226" s="3">
        <v>1.112850042E9</v>
      </c>
      <c r="D226" s="3">
        <v>123.2249</v>
      </c>
      <c r="E226" s="3">
        <v>1112.850042</v>
      </c>
    </row>
    <row r="227" ht="12.75" customHeight="1">
      <c r="A227" s="3">
        <v>9.0</v>
      </c>
      <c r="B227" s="3">
        <v>197.0</v>
      </c>
      <c r="C227" s="3">
        <v>1.267380042E9</v>
      </c>
      <c r="D227" s="3">
        <v>138.0049</v>
      </c>
      <c r="E227" s="3">
        <v>1267.380042</v>
      </c>
    </row>
    <row r="228" ht="12.75" customHeight="1">
      <c r="A228" s="3">
        <v>9.0</v>
      </c>
      <c r="B228" s="3">
        <v>198.0</v>
      </c>
      <c r="C228" s="3">
        <v>1.437430042E9</v>
      </c>
      <c r="D228" s="3">
        <v>154.1849</v>
      </c>
      <c r="E228" s="3">
        <v>1437.430042</v>
      </c>
    </row>
    <row r="229" ht="12.75" customHeight="1">
      <c r="A229" s="3">
        <v>9.0</v>
      </c>
      <c r="B229" s="3">
        <v>199.0</v>
      </c>
      <c r="C229" s="3">
        <v>1.624060042E9</v>
      </c>
      <c r="D229" s="3">
        <v>171.7649</v>
      </c>
      <c r="E229" s="3">
        <v>1624.060042</v>
      </c>
    </row>
    <row r="230" ht="12.75" customHeight="1">
      <c r="A230" s="3">
        <v>9.0</v>
      </c>
      <c r="B230" s="3">
        <v>199.48</v>
      </c>
      <c r="C230" s="3">
        <v>1.725223978E9</v>
      </c>
      <c r="D230" s="3">
        <v>180.8176</v>
      </c>
      <c r="E230" s="3">
        <v>1725.223978</v>
      </c>
    </row>
    <row r="231" ht="12.75" customHeight="1">
      <c r="A231" s="3">
        <v>9.0</v>
      </c>
      <c r="B231" s="3">
        <v>199.5</v>
      </c>
      <c r="C231" s="3">
        <v>1.94E9</v>
      </c>
      <c r="D231" s="3">
        <v>182.11</v>
      </c>
      <c r="E231" s="3">
        <v>1940.0</v>
      </c>
    </row>
    <row r="232" ht="12.75" customHeight="1">
      <c r="A232" s="3">
        <v>9.0</v>
      </c>
      <c r="B232" s="3">
        <v>200.0</v>
      </c>
      <c r="C232" s="3">
        <v>2.828250042E9</v>
      </c>
      <c r="D232" s="3">
        <v>190.6249</v>
      </c>
      <c r="E232" s="3">
        <v>2828.250042</v>
      </c>
    </row>
    <row r="233" ht="12.75" customHeight="1">
      <c r="A233" s="3">
        <v>9.0</v>
      </c>
      <c r="B233" s="3">
        <v>205.0</v>
      </c>
      <c r="C233" s="3">
        <v>3.132240042E9</v>
      </c>
      <c r="D233" s="3">
        <v>289.1249</v>
      </c>
      <c r="E233" s="3">
        <v>3132.240042</v>
      </c>
    </row>
    <row r="234" ht="12.75" customHeight="1">
      <c r="A234" s="3">
        <v>9.0</v>
      </c>
      <c r="B234" s="3">
        <v>206.0</v>
      </c>
      <c r="C234" s="3">
        <v>3.789440042E9</v>
      </c>
      <c r="D234" s="3">
        <v>309.0849</v>
      </c>
      <c r="E234" s="3">
        <v>3789.440042</v>
      </c>
    </row>
    <row r="235" ht="12.75" customHeight="1">
      <c r="A235" s="3">
        <v>10.0</v>
      </c>
      <c r="B235" s="3">
        <v>101.6</v>
      </c>
      <c r="C235" s="3">
        <v>0.0</v>
      </c>
      <c r="D235" s="3">
        <v>0.0</v>
      </c>
      <c r="E235" s="3">
        <v>0.0</v>
      </c>
    </row>
    <row r="236" ht="12.75" customHeight="1">
      <c r="A236" s="3">
        <v>10.0</v>
      </c>
      <c r="B236" s="3">
        <v>102.0</v>
      </c>
      <c r="C236" s="3">
        <v>7.0</v>
      </c>
      <c r="D236" s="3">
        <v>1.0E-4</v>
      </c>
      <c r="E236" s="3">
        <v>7.0E-6</v>
      </c>
    </row>
    <row r="237" ht="12.75" customHeight="1">
      <c r="A237" s="3">
        <v>10.0</v>
      </c>
      <c r="B237" s="3">
        <v>103.0</v>
      </c>
      <c r="C237" s="3">
        <v>767.0</v>
      </c>
      <c r="D237" s="3">
        <v>0.0022</v>
      </c>
      <c r="E237" s="3">
        <v>7.67E-4</v>
      </c>
    </row>
    <row r="238" ht="12.75" customHeight="1">
      <c r="A238" s="3">
        <v>10.0</v>
      </c>
      <c r="B238" s="3">
        <v>104.0</v>
      </c>
      <c r="C238" s="3">
        <v>5936.0</v>
      </c>
      <c r="D238" s="3">
        <v>0.0096</v>
      </c>
      <c r="E238" s="3">
        <v>0.005936</v>
      </c>
    </row>
    <row r="239" ht="12.75" customHeight="1">
      <c r="A239" s="3">
        <v>10.0</v>
      </c>
      <c r="B239" s="3">
        <v>105.0</v>
      </c>
      <c r="C239" s="3">
        <v>22543.0</v>
      </c>
      <c r="D239" s="3">
        <v>0.0253</v>
      </c>
      <c r="E239" s="3">
        <v>0.022543</v>
      </c>
    </row>
    <row r="240" ht="12.75" customHeight="1">
      <c r="A240" s="3">
        <v>10.0</v>
      </c>
      <c r="B240" s="3">
        <v>106.0</v>
      </c>
      <c r="C240" s="3">
        <v>60799.0</v>
      </c>
      <c r="D240" s="3">
        <v>0.052</v>
      </c>
      <c r="E240" s="3">
        <v>0.060799</v>
      </c>
    </row>
    <row r="241" ht="12.75" customHeight="1">
      <c r="A241" s="3">
        <v>10.0</v>
      </c>
      <c r="B241" s="3">
        <v>107.0</v>
      </c>
      <c r="C241" s="3">
        <v>131497.0</v>
      </c>
      <c r="D241" s="3">
        <v>0.0918</v>
      </c>
      <c r="E241" s="3">
        <v>0.131497</v>
      </c>
    </row>
    <row r="242" ht="12.75" customHeight="1">
      <c r="A242" s="3">
        <v>10.0</v>
      </c>
      <c r="B242" s="3">
        <v>108.0</v>
      </c>
      <c r="C242" s="3">
        <v>249425.0</v>
      </c>
      <c r="D242" s="3">
        <v>0.1478</v>
      </c>
      <c r="E242" s="3">
        <v>0.249425</v>
      </c>
    </row>
    <row r="243" ht="12.75" customHeight="1">
      <c r="A243" s="3">
        <v>10.0</v>
      </c>
      <c r="B243" s="3">
        <v>109.0</v>
      </c>
      <c r="C243" s="3">
        <v>430796.0</v>
      </c>
      <c r="D243" s="3">
        <v>0.2141</v>
      </c>
      <c r="E243" s="3">
        <v>0.430796</v>
      </c>
    </row>
    <row r="244" ht="12.75" customHeight="1">
      <c r="A244" s="3">
        <v>10.0</v>
      </c>
      <c r="B244" s="3">
        <v>110.0</v>
      </c>
      <c r="C244" s="3">
        <v>682281.0</v>
      </c>
      <c r="D244" s="3">
        <v>0.2933</v>
      </c>
      <c r="E244" s="3">
        <v>0.682281</v>
      </c>
    </row>
    <row r="245" ht="12.75" customHeight="1">
      <c r="A245" s="3">
        <v>10.0</v>
      </c>
      <c r="B245" s="3">
        <v>111.0</v>
      </c>
      <c r="C245" s="3">
        <v>1019298.0</v>
      </c>
      <c r="D245" s="3">
        <v>0.3805</v>
      </c>
      <c r="E245" s="3">
        <v>1.019298</v>
      </c>
    </row>
    <row r="246" ht="12.75" customHeight="1">
      <c r="A246" s="3">
        <v>10.0</v>
      </c>
      <c r="B246" s="3">
        <v>112.0</v>
      </c>
      <c r="C246" s="3">
        <v>1449228.0</v>
      </c>
      <c r="D246" s="3">
        <v>0.4816</v>
      </c>
      <c r="E246" s="3">
        <v>1.449228</v>
      </c>
    </row>
    <row r="247" ht="12.75" customHeight="1">
      <c r="A247" s="3">
        <v>10.0</v>
      </c>
      <c r="B247" s="3">
        <v>113.0</v>
      </c>
      <c r="C247" s="3">
        <v>1995279.0</v>
      </c>
      <c r="D247" s="3">
        <v>0.6175</v>
      </c>
      <c r="E247" s="3">
        <v>1.995279</v>
      </c>
    </row>
    <row r="248" ht="12.75" customHeight="1">
      <c r="A248" s="3">
        <v>10.0</v>
      </c>
      <c r="B248" s="3">
        <v>114.0</v>
      </c>
      <c r="C248" s="3">
        <v>2696760.0</v>
      </c>
      <c r="D248" s="3">
        <v>0.7876</v>
      </c>
      <c r="E248" s="3">
        <v>2.69676</v>
      </c>
    </row>
    <row r="249" ht="12.75" customHeight="1">
      <c r="A249" s="3">
        <v>10.0</v>
      </c>
      <c r="B249" s="3">
        <v>115.0</v>
      </c>
      <c r="C249" s="3">
        <v>3580075.0</v>
      </c>
      <c r="D249" s="3">
        <v>0.9864</v>
      </c>
      <c r="E249" s="3">
        <v>3.580075</v>
      </c>
    </row>
    <row r="250" ht="12.75" customHeight="1">
      <c r="A250" s="3">
        <v>10.0</v>
      </c>
      <c r="B250" s="3">
        <v>116.0</v>
      </c>
      <c r="C250" s="3">
        <v>4682583.0</v>
      </c>
      <c r="D250" s="3">
        <v>1.2244</v>
      </c>
      <c r="E250" s="3">
        <v>4.682583</v>
      </c>
    </row>
    <row r="251" ht="12.75" customHeight="1">
      <c r="A251" s="3">
        <v>10.0</v>
      </c>
      <c r="B251" s="3">
        <v>117.0</v>
      </c>
      <c r="C251" s="3">
        <v>6042992.0</v>
      </c>
      <c r="D251" s="3">
        <v>1.5002</v>
      </c>
      <c r="E251" s="3">
        <v>6.042992</v>
      </c>
    </row>
    <row r="252" ht="12.75" customHeight="1">
      <c r="A252" s="3">
        <v>10.0</v>
      </c>
      <c r="B252" s="3">
        <v>118.0</v>
      </c>
      <c r="C252" s="3">
        <v>7701441.0</v>
      </c>
      <c r="D252" s="3">
        <v>1.8087</v>
      </c>
      <c r="E252" s="3">
        <v>7.701441</v>
      </c>
    </row>
    <row r="253" ht="12.75" customHeight="1">
      <c r="A253" s="3">
        <v>10.0</v>
      </c>
      <c r="B253" s="3">
        <v>119.0</v>
      </c>
      <c r="C253" s="3">
        <v>9647793.0</v>
      </c>
      <c r="D253" s="3">
        <v>2.0686</v>
      </c>
      <c r="E253" s="3">
        <v>9.647793</v>
      </c>
    </row>
    <row r="254" ht="12.75" customHeight="1">
      <c r="A254" s="3">
        <v>10.0</v>
      </c>
      <c r="B254" s="3">
        <v>120.0</v>
      </c>
      <c r="C254" s="3">
        <v>1.1792157E7</v>
      </c>
      <c r="D254" s="3">
        <v>2.2024</v>
      </c>
      <c r="E254" s="3">
        <v>11.792157</v>
      </c>
    </row>
    <row r="255" ht="12.75" customHeight="1">
      <c r="A255" s="3">
        <v>10.0</v>
      </c>
      <c r="B255" s="3">
        <v>120.08</v>
      </c>
      <c r="C255" s="3">
        <v>1.1968714E7</v>
      </c>
      <c r="D255" s="3">
        <v>2.2113</v>
      </c>
      <c r="E255" s="3">
        <v>11.968714</v>
      </c>
    </row>
    <row r="256" ht="12.75" customHeight="1">
      <c r="A256" s="3">
        <v>10.0</v>
      </c>
      <c r="B256" s="3">
        <v>120.63</v>
      </c>
      <c r="C256" s="3">
        <v>1.31654E7</v>
      </c>
      <c r="D256" s="3">
        <v>2.2734</v>
      </c>
      <c r="E256" s="3">
        <v>13.1654</v>
      </c>
    </row>
    <row r="257" ht="12.75" customHeight="1">
      <c r="A257" s="3">
        <v>10.0</v>
      </c>
      <c r="B257" s="3">
        <v>122.0</v>
      </c>
      <c r="C257" s="3">
        <v>1.7844E7</v>
      </c>
      <c r="D257" s="3">
        <v>2.794</v>
      </c>
      <c r="E257" s="3">
        <v>17.844</v>
      </c>
    </row>
    <row r="258" ht="12.75" customHeight="1">
      <c r="A258" s="3">
        <v>10.0</v>
      </c>
      <c r="B258" s="3">
        <v>124.0</v>
      </c>
      <c r="C258" s="3">
        <v>2.8304E7</v>
      </c>
      <c r="D258" s="3">
        <v>3.664</v>
      </c>
      <c r="E258" s="3">
        <v>28.304</v>
      </c>
    </row>
    <row r="259" ht="12.75" customHeight="1">
      <c r="A259" s="3">
        <v>10.0</v>
      </c>
      <c r="B259" s="3">
        <v>126.0</v>
      </c>
      <c r="C259" s="3">
        <v>3.6774E7</v>
      </c>
      <c r="D259" s="3">
        <v>4.804</v>
      </c>
      <c r="E259" s="3">
        <v>36.774</v>
      </c>
    </row>
    <row r="260" ht="12.75" customHeight="1">
      <c r="A260" s="3">
        <v>10.0</v>
      </c>
      <c r="B260" s="3">
        <v>128.0</v>
      </c>
      <c r="C260" s="3">
        <v>4.9554E7</v>
      </c>
      <c r="D260" s="3">
        <v>5.974</v>
      </c>
      <c r="E260" s="3">
        <v>49.554</v>
      </c>
    </row>
    <row r="261" ht="12.75" customHeight="1">
      <c r="A261" s="3">
        <v>10.0</v>
      </c>
      <c r="B261" s="3">
        <v>129.88</v>
      </c>
      <c r="C261" s="3">
        <v>6.417E7</v>
      </c>
      <c r="D261" s="3">
        <v>7.464</v>
      </c>
      <c r="E261" s="3">
        <v>64.17</v>
      </c>
    </row>
    <row r="262" ht="12.75" customHeight="1">
      <c r="A262" s="3">
        <v>10.0</v>
      </c>
      <c r="B262" s="3">
        <v>130.0</v>
      </c>
      <c r="C262" s="3">
        <v>6.5103E7</v>
      </c>
      <c r="D262" s="3">
        <v>7.564</v>
      </c>
      <c r="E262" s="3">
        <v>65.103</v>
      </c>
    </row>
    <row r="263" ht="12.75" customHeight="1">
      <c r="A263" s="3">
        <v>10.0</v>
      </c>
      <c r="B263" s="3">
        <v>132.0</v>
      </c>
      <c r="C263" s="3">
        <v>8.3804E7</v>
      </c>
      <c r="D263" s="3">
        <v>9.144</v>
      </c>
      <c r="E263" s="3">
        <v>83.804</v>
      </c>
    </row>
    <row r="264" ht="12.75" customHeight="1">
      <c r="A264" s="3">
        <v>10.0</v>
      </c>
      <c r="B264" s="3">
        <v>134.0</v>
      </c>
      <c r="C264" s="3">
        <v>1.05814E8</v>
      </c>
      <c r="D264" s="3">
        <v>10.904</v>
      </c>
      <c r="E264" s="3">
        <v>105.814</v>
      </c>
    </row>
    <row r="265" ht="12.75" customHeight="1">
      <c r="A265" s="3">
        <v>10.0</v>
      </c>
      <c r="B265" s="3">
        <v>136.0</v>
      </c>
      <c r="C265" s="3">
        <v>1.31764E8</v>
      </c>
      <c r="D265" s="3">
        <v>13.044</v>
      </c>
      <c r="E265" s="3">
        <v>131.764</v>
      </c>
    </row>
    <row r="266" ht="12.75" customHeight="1">
      <c r="A266" s="3">
        <v>10.0</v>
      </c>
      <c r="B266" s="3">
        <v>138.0</v>
      </c>
      <c r="C266" s="3">
        <v>1.59644E8</v>
      </c>
      <c r="D266" s="3">
        <v>14.824</v>
      </c>
      <c r="E266" s="3">
        <v>159.644</v>
      </c>
    </row>
    <row r="267" ht="12.75" customHeight="1">
      <c r="A267" s="3">
        <v>10.0</v>
      </c>
      <c r="B267" s="3">
        <v>140.0</v>
      </c>
      <c r="C267" s="3">
        <v>1.95504E8</v>
      </c>
      <c r="D267" s="3">
        <v>17.024</v>
      </c>
      <c r="E267" s="3">
        <v>195.504</v>
      </c>
    </row>
    <row r="268" ht="12.75" customHeight="1">
      <c r="A268" s="3">
        <v>11.0</v>
      </c>
      <c r="B268" s="3">
        <v>98.74</v>
      </c>
      <c r="C268" s="3">
        <v>0.0</v>
      </c>
      <c r="D268" s="3">
        <v>0.0</v>
      </c>
      <c r="E268" s="3">
        <v>0.0</v>
      </c>
    </row>
    <row r="269" ht="12.75" customHeight="1">
      <c r="A269" s="3">
        <v>11.0</v>
      </c>
      <c r="B269" s="3">
        <v>99.0</v>
      </c>
      <c r="C269" s="3">
        <v>11.0</v>
      </c>
      <c r="D269" s="3">
        <v>2.0E-4</v>
      </c>
      <c r="E269" s="3">
        <v>1.1E-5</v>
      </c>
    </row>
    <row r="270" ht="12.75" customHeight="1">
      <c r="A270" s="3">
        <v>11.0</v>
      </c>
      <c r="B270" s="3">
        <v>100.0</v>
      </c>
      <c r="C270" s="3">
        <v>2140.0</v>
      </c>
      <c r="D270" s="3">
        <v>0.0054</v>
      </c>
      <c r="E270" s="3">
        <v>0.00214</v>
      </c>
    </row>
    <row r="271" ht="12.75" customHeight="1">
      <c r="A271" s="3">
        <v>11.0</v>
      </c>
      <c r="B271" s="3">
        <v>101.0</v>
      </c>
      <c r="C271" s="3">
        <v>14194.0</v>
      </c>
      <c r="D271" s="3">
        <v>0.021</v>
      </c>
      <c r="E271" s="3">
        <v>0.014194</v>
      </c>
    </row>
    <row r="272" ht="12.75" customHeight="1">
      <c r="A272" s="3">
        <v>11.0</v>
      </c>
      <c r="B272" s="3">
        <v>102.0</v>
      </c>
      <c r="C272" s="3">
        <v>50300.0</v>
      </c>
      <c r="D272" s="3">
        <v>0.0533</v>
      </c>
      <c r="E272" s="3">
        <v>0.0503</v>
      </c>
    </row>
    <row r="273" ht="12.75" customHeight="1">
      <c r="A273" s="3">
        <v>11.0</v>
      </c>
      <c r="B273" s="3">
        <v>103.0</v>
      </c>
      <c r="C273" s="3">
        <v>128198.0</v>
      </c>
      <c r="D273" s="3">
        <v>0.1098</v>
      </c>
      <c r="E273" s="3">
        <v>0.128198</v>
      </c>
    </row>
    <row r="274" ht="12.75" customHeight="1">
      <c r="A274" s="3">
        <v>11.0</v>
      </c>
      <c r="B274" s="3">
        <v>104.0</v>
      </c>
      <c r="C274" s="3">
        <v>288698.0</v>
      </c>
      <c r="D274" s="3">
        <v>0.2172</v>
      </c>
      <c r="E274" s="3">
        <v>0.288698</v>
      </c>
    </row>
    <row r="275" ht="12.75" customHeight="1">
      <c r="A275" s="3">
        <v>11.0</v>
      </c>
      <c r="B275" s="3">
        <v>105.0</v>
      </c>
      <c r="C275" s="3">
        <v>581499.0</v>
      </c>
      <c r="D275" s="3">
        <v>0.3961</v>
      </c>
      <c r="E275" s="3">
        <v>0.581499</v>
      </c>
    </row>
    <row r="276" ht="12.75" customHeight="1">
      <c r="A276" s="3">
        <v>11.0</v>
      </c>
      <c r="B276" s="3">
        <v>106.0</v>
      </c>
      <c r="C276" s="3">
        <v>1134842.0</v>
      </c>
      <c r="D276" s="3">
        <v>0.7304</v>
      </c>
      <c r="E276" s="3">
        <v>1.134842</v>
      </c>
    </row>
    <row r="277" ht="12.75" customHeight="1">
      <c r="A277" s="3">
        <v>11.0</v>
      </c>
      <c r="B277" s="3">
        <v>107.0</v>
      </c>
      <c r="C277" s="3">
        <v>2085867.0</v>
      </c>
      <c r="D277" s="3">
        <v>1.1913</v>
      </c>
      <c r="E277" s="3">
        <v>2.085867</v>
      </c>
    </row>
    <row r="278" ht="12.75" customHeight="1">
      <c r="A278" s="3">
        <v>11.0</v>
      </c>
      <c r="B278" s="3">
        <v>108.0</v>
      </c>
      <c r="C278" s="3">
        <v>3599553.0</v>
      </c>
      <c r="D278" s="3">
        <v>1.8684</v>
      </c>
      <c r="E278" s="3">
        <v>3.599553</v>
      </c>
    </row>
    <row r="279" ht="12.75" customHeight="1">
      <c r="A279" s="3">
        <v>11.0</v>
      </c>
      <c r="B279" s="3">
        <v>109.0</v>
      </c>
      <c r="C279" s="3">
        <v>5899971.0</v>
      </c>
      <c r="D279" s="3">
        <v>2.7193</v>
      </c>
      <c r="E279" s="3">
        <v>5.899971</v>
      </c>
    </row>
    <row r="280" ht="12.75" customHeight="1">
      <c r="A280" s="3">
        <v>11.0</v>
      </c>
      <c r="B280" s="3">
        <v>110.0</v>
      </c>
      <c r="C280" s="3">
        <v>9098346.0</v>
      </c>
      <c r="D280" s="3">
        <v>3.6948</v>
      </c>
      <c r="E280" s="3">
        <v>9.098346</v>
      </c>
    </row>
    <row r="281" ht="12.75" customHeight="1">
      <c r="A281" s="3">
        <v>11.0</v>
      </c>
      <c r="B281" s="3">
        <v>111.0</v>
      </c>
      <c r="C281" s="3">
        <v>1.3337731E7</v>
      </c>
      <c r="D281" s="3">
        <v>4.8123</v>
      </c>
      <c r="E281" s="3">
        <v>13.337731</v>
      </c>
    </row>
    <row r="282" ht="12.75" customHeight="1">
      <c r="A282" s="3">
        <v>11.0</v>
      </c>
      <c r="B282" s="3">
        <v>112.0</v>
      </c>
      <c r="C282" s="3">
        <v>1.8847984E7</v>
      </c>
      <c r="D282" s="3">
        <v>6.3217</v>
      </c>
      <c r="E282" s="3">
        <v>18.847984</v>
      </c>
    </row>
    <row r="283" ht="12.75" customHeight="1">
      <c r="A283" s="3">
        <v>11.0</v>
      </c>
      <c r="B283" s="3">
        <v>113.0</v>
      </c>
      <c r="C283" s="3">
        <v>2.6117169E7</v>
      </c>
      <c r="D283" s="3">
        <v>8.2205</v>
      </c>
      <c r="E283" s="3">
        <v>26.117169</v>
      </c>
    </row>
    <row r="284" ht="12.75" customHeight="1">
      <c r="A284" s="3">
        <v>11.0</v>
      </c>
      <c r="B284" s="3">
        <v>114.0</v>
      </c>
      <c r="C284" s="3">
        <v>3.5496748E7</v>
      </c>
      <c r="D284" s="3">
        <v>10.6259</v>
      </c>
      <c r="E284" s="3">
        <v>35.496748</v>
      </c>
    </row>
    <row r="285" ht="12.75" customHeight="1">
      <c r="A285" s="3">
        <v>11.0</v>
      </c>
      <c r="B285" s="3">
        <v>115.0</v>
      </c>
      <c r="C285" s="3">
        <v>4.750249E7</v>
      </c>
      <c r="D285" s="3">
        <v>13.477</v>
      </c>
      <c r="E285" s="3">
        <v>47.50249</v>
      </c>
    </row>
    <row r="286" ht="12.75" customHeight="1">
      <c r="A286" s="3">
        <v>11.0</v>
      </c>
      <c r="B286" s="3">
        <v>116.0</v>
      </c>
      <c r="C286" s="3">
        <v>6.2517149E7</v>
      </c>
      <c r="D286" s="3">
        <v>16.4315</v>
      </c>
      <c r="E286" s="3">
        <v>62.517149</v>
      </c>
    </row>
    <row r="287" ht="12.75" customHeight="1">
      <c r="A287" s="3">
        <v>11.0</v>
      </c>
      <c r="B287" s="3">
        <v>117.0</v>
      </c>
      <c r="C287" s="3">
        <v>8.0114992E7</v>
      </c>
      <c r="D287" s="3">
        <v>18.3166</v>
      </c>
      <c r="E287" s="3">
        <v>80.114992</v>
      </c>
    </row>
    <row r="288" ht="12.75" customHeight="1">
      <c r="A288" s="3">
        <v>11.0</v>
      </c>
      <c r="B288" s="3">
        <v>117.58</v>
      </c>
      <c r="C288" s="3">
        <v>9.0888237E7</v>
      </c>
      <c r="D288" s="3">
        <v>19.1539</v>
      </c>
      <c r="E288" s="3">
        <v>90.888237</v>
      </c>
    </row>
    <row r="289" ht="12.75" customHeight="1">
      <c r="A289" s="3">
        <v>11.0</v>
      </c>
      <c r="B289" s="3">
        <v>118.0</v>
      </c>
      <c r="C289" s="3">
        <v>9.6996264E7</v>
      </c>
      <c r="D289" s="3">
        <v>20.7239</v>
      </c>
      <c r="E289" s="3">
        <v>96.996264</v>
      </c>
    </row>
    <row r="290" ht="12.75" customHeight="1">
      <c r="A290" s="3">
        <v>11.0</v>
      </c>
      <c r="B290" s="3">
        <v>120.0</v>
      </c>
      <c r="C290" s="3">
        <v>1.41286264E8</v>
      </c>
      <c r="D290" s="3">
        <v>26.6339</v>
      </c>
      <c r="E290" s="3">
        <v>141.286264</v>
      </c>
    </row>
    <row r="291" ht="12.75" customHeight="1">
      <c r="A291" s="3">
        <v>11.0</v>
      </c>
      <c r="B291" s="3">
        <v>122.0</v>
      </c>
      <c r="C291" s="3">
        <v>2.00036264E8</v>
      </c>
      <c r="D291" s="3">
        <v>34.1839</v>
      </c>
      <c r="E291" s="3">
        <v>200.036264</v>
      </c>
    </row>
    <row r="292" ht="12.75" customHeight="1">
      <c r="A292" s="3">
        <v>11.0</v>
      </c>
      <c r="B292" s="3">
        <v>124.0</v>
      </c>
      <c r="C292" s="3">
        <v>2.81176264E8</v>
      </c>
      <c r="D292" s="3">
        <v>43.0039</v>
      </c>
      <c r="E292" s="3">
        <v>281.176264</v>
      </c>
    </row>
    <row r="293" ht="12.75" customHeight="1">
      <c r="A293" s="3">
        <v>11.0</v>
      </c>
      <c r="B293" s="3">
        <v>125.0</v>
      </c>
      <c r="C293" s="3">
        <v>3.25166264E8</v>
      </c>
      <c r="D293" s="3">
        <v>59.0339</v>
      </c>
      <c r="E293" s="3">
        <v>325.166264</v>
      </c>
    </row>
    <row r="294" ht="12.75" customHeight="1">
      <c r="A294" s="3">
        <v>11.0</v>
      </c>
      <c r="B294" s="3">
        <v>127.0</v>
      </c>
      <c r="C294" s="3">
        <v>4.56E8</v>
      </c>
      <c r="D294" s="3">
        <v>73.9139</v>
      </c>
      <c r="E294" s="3">
        <v>456.0</v>
      </c>
    </row>
    <row r="295" ht="12.75" customHeight="1">
      <c r="A295" s="3">
        <v>11.0</v>
      </c>
      <c r="B295" s="3">
        <v>128.0</v>
      </c>
      <c r="C295" s="3">
        <v>5.360032E8</v>
      </c>
      <c r="D295" s="3">
        <v>86.0</v>
      </c>
      <c r="E295" s="3">
        <v>536.0032</v>
      </c>
    </row>
    <row r="296" ht="12.75" customHeight="1">
      <c r="A296" s="3">
        <v>11.0</v>
      </c>
      <c r="B296" s="3">
        <v>129.0</v>
      </c>
      <c r="C296" s="3">
        <v>6.290032E8</v>
      </c>
      <c r="D296" s="3">
        <v>100.0</v>
      </c>
      <c r="E296" s="3">
        <v>629.0032</v>
      </c>
    </row>
    <row r="297" ht="12.75" customHeight="1">
      <c r="A297" s="3">
        <v>12.0</v>
      </c>
      <c r="B297" s="3">
        <v>37.45</v>
      </c>
      <c r="C297" s="3">
        <v>0.0</v>
      </c>
      <c r="D297" s="3">
        <v>0.0</v>
      </c>
      <c r="E297" s="3">
        <v>0.0</v>
      </c>
    </row>
    <row r="298" ht="12.75" customHeight="1">
      <c r="A298" s="3">
        <v>12.0</v>
      </c>
      <c r="B298" s="3">
        <v>37.5</v>
      </c>
      <c r="C298" s="3">
        <v>0.0</v>
      </c>
      <c r="D298" s="3">
        <v>0.0</v>
      </c>
      <c r="E298" s="3">
        <v>0.0</v>
      </c>
    </row>
    <row r="299" ht="12.75" customHeight="1">
      <c r="A299" s="3">
        <v>12.0</v>
      </c>
      <c r="B299" s="3">
        <v>38.0</v>
      </c>
      <c r="C299" s="3">
        <v>908.0</v>
      </c>
      <c r="D299" s="3">
        <v>0.005</v>
      </c>
      <c r="E299" s="3">
        <v>9.08E-4</v>
      </c>
    </row>
    <row r="300" ht="12.75" customHeight="1">
      <c r="A300" s="3">
        <v>12.0</v>
      </c>
      <c r="B300" s="3">
        <v>38.5</v>
      </c>
      <c r="C300" s="3">
        <v>5279.0</v>
      </c>
      <c r="D300" s="3">
        <v>0.0136</v>
      </c>
      <c r="E300" s="3">
        <v>0.005279</v>
      </c>
    </row>
    <row r="301" ht="12.75" customHeight="1">
      <c r="A301" s="3">
        <v>12.0</v>
      </c>
      <c r="B301" s="3">
        <v>39.0</v>
      </c>
      <c r="C301" s="3">
        <v>16985.0</v>
      </c>
      <c r="D301" s="3">
        <v>0.0345</v>
      </c>
      <c r="E301" s="3">
        <v>0.016985</v>
      </c>
    </row>
    <row r="302" ht="12.75" customHeight="1">
      <c r="A302" s="3">
        <v>12.0</v>
      </c>
      <c r="B302" s="3">
        <v>39.5</v>
      </c>
      <c r="C302" s="3">
        <v>41226.0</v>
      </c>
      <c r="D302" s="3">
        <v>0.0666</v>
      </c>
      <c r="E302" s="3">
        <v>0.041226</v>
      </c>
    </row>
    <row r="303" ht="12.75" customHeight="1">
      <c r="A303" s="3">
        <v>12.0</v>
      </c>
      <c r="B303" s="3">
        <v>40.0</v>
      </c>
      <c r="C303" s="3">
        <v>90153.0</v>
      </c>
      <c r="D303" s="3">
        <v>0.1354</v>
      </c>
      <c r="E303" s="3">
        <v>0.090153</v>
      </c>
    </row>
    <row r="304" ht="12.75" customHeight="1">
      <c r="A304" s="3">
        <v>12.0</v>
      </c>
      <c r="B304" s="3">
        <v>40.5</v>
      </c>
      <c r="C304" s="3">
        <v>181822.0</v>
      </c>
      <c r="D304" s="3">
        <v>0.2408</v>
      </c>
      <c r="E304" s="3">
        <v>0.181822</v>
      </c>
    </row>
    <row r="305" ht="12.75" customHeight="1">
      <c r="A305" s="3">
        <v>12.0</v>
      </c>
      <c r="B305" s="3">
        <v>41.0</v>
      </c>
      <c r="C305" s="3">
        <v>349436.0</v>
      </c>
      <c r="D305" s="3">
        <v>0.4657</v>
      </c>
      <c r="E305" s="3">
        <v>0.349436</v>
      </c>
    </row>
    <row r="306" ht="12.75" customHeight="1">
      <c r="A306" s="3">
        <v>12.0</v>
      </c>
      <c r="B306" s="3">
        <v>41.5</v>
      </c>
      <c r="C306" s="3">
        <v>712556.0</v>
      </c>
      <c r="D306" s="3">
        <v>1.0571</v>
      </c>
      <c r="E306" s="3">
        <v>0.712556</v>
      </c>
    </row>
    <row r="307" ht="12.75" customHeight="1">
      <c r="A307" s="3">
        <v>12.0</v>
      </c>
      <c r="B307" s="3">
        <v>42.0</v>
      </c>
      <c r="C307" s="3">
        <v>1425787.0</v>
      </c>
      <c r="D307" s="3">
        <v>1.8242</v>
      </c>
      <c r="E307" s="3">
        <v>1.425787</v>
      </c>
    </row>
    <row r="308" ht="12.75" customHeight="1">
      <c r="A308" s="3">
        <v>12.0</v>
      </c>
      <c r="B308" s="3">
        <v>42.5</v>
      </c>
      <c r="C308" s="3">
        <v>2533815.0</v>
      </c>
      <c r="D308" s="3">
        <v>2.5921</v>
      </c>
      <c r="E308" s="3">
        <v>2.533815</v>
      </c>
    </row>
    <row r="309" ht="12.75" customHeight="1">
      <c r="A309" s="3">
        <v>12.0</v>
      </c>
      <c r="B309" s="3">
        <v>43.0</v>
      </c>
      <c r="C309" s="3">
        <v>4006588.0</v>
      </c>
      <c r="D309" s="3">
        <v>3.3299</v>
      </c>
      <c r="E309" s="3">
        <v>4.006588</v>
      </c>
    </row>
    <row r="310" ht="12.75" customHeight="1">
      <c r="A310" s="3">
        <v>12.0</v>
      </c>
      <c r="B310" s="3">
        <v>43.5</v>
      </c>
      <c r="C310" s="3">
        <v>5880799.0</v>
      </c>
      <c r="D310" s="3">
        <v>4.1715</v>
      </c>
      <c r="E310" s="3">
        <v>5.880799</v>
      </c>
    </row>
    <row r="311" ht="12.75" customHeight="1">
      <c r="A311" s="3">
        <v>12.0</v>
      </c>
      <c r="B311" s="3">
        <v>44.0</v>
      </c>
      <c r="C311" s="3">
        <v>8162758.0</v>
      </c>
      <c r="D311" s="3">
        <v>4.962</v>
      </c>
      <c r="E311" s="3">
        <v>8.162758</v>
      </c>
    </row>
    <row r="312" ht="12.75" customHeight="1">
      <c r="A312" s="3">
        <v>12.0</v>
      </c>
      <c r="B312" s="3">
        <v>44.5</v>
      </c>
      <c r="C312" s="3">
        <v>1.0864775E7</v>
      </c>
      <c r="D312" s="3">
        <v>5.85</v>
      </c>
      <c r="E312" s="3">
        <v>10.864775</v>
      </c>
    </row>
    <row r="313" ht="12.75" customHeight="1">
      <c r="A313" s="3">
        <v>12.0</v>
      </c>
      <c r="B313" s="3">
        <v>45.0</v>
      </c>
      <c r="C313" s="3">
        <v>1.4023801E7</v>
      </c>
      <c r="D313" s="3">
        <v>6.8263</v>
      </c>
      <c r="E313" s="3">
        <v>14.023801</v>
      </c>
    </row>
    <row r="314" ht="12.75" customHeight="1">
      <c r="A314" s="3">
        <v>12.0</v>
      </c>
      <c r="B314" s="3">
        <v>45.5</v>
      </c>
      <c r="C314" s="3">
        <v>1.7751928E7</v>
      </c>
      <c r="D314" s="3">
        <v>8.0319</v>
      </c>
      <c r="E314" s="3">
        <v>17.751928</v>
      </c>
    </row>
    <row r="315" ht="12.75" customHeight="1">
      <c r="A315" s="3">
        <v>12.0</v>
      </c>
      <c r="B315" s="3">
        <v>46.0</v>
      </c>
      <c r="C315" s="3">
        <v>2.2042157E7</v>
      </c>
      <c r="D315" s="3">
        <v>9.1684</v>
      </c>
      <c r="E315" s="3">
        <v>22.042157</v>
      </c>
    </row>
    <row r="316" ht="12.75" customHeight="1">
      <c r="A316" s="3">
        <v>12.0</v>
      </c>
      <c r="B316" s="3">
        <v>46.5</v>
      </c>
      <c r="C316" s="3">
        <v>2.6949079E7</v>
      </c>
      <c r="D316" s="3">
        <v>10.4274</v>
      </c>
      <c r="E316" s="3">
        <v>26.949079</v>
      </c>
    </row>
    <row r="317" ht="12.75" customHeight="1">
      <c r="A317" s="3">
        <v>12.0</v>
      </c>
      <c r="B317" s="3">
        <v>47.0</v>
      </c>
      <c r="C317" s="3">
        <v>3.2464573E7</v>
      </c>
      <c r="D317" s="3">
        <v>11.6132</v>
      </c>
      <c r="E317" s="3">
        <v>32.464573</v>
      </c>
    </row>
    <row r="318" ht="12.75" customHeight="1">
      <c r="A318" s="3">
        <v>12.0</v>
      </c>
      <c r="B318" s="3">
        <v>47.5</v>
      </c>
      <c r="C318" s="3">
        <v>3.8599011E7</v>
      </c>
      <c r="D318" s="3">
        <v>12.8729</v>
      </c>
      <c r="E318" s="3">
        <v>38.599011</v>
      </c>
    </row>
    <row r="319" ht="12.75" customHeight="1">
      <c r="A319" s="3">
        <v>12.0</v>
      </c>
      <c r="B319" s="3">
        <v>48.0</v>
      </c>
      <c r="C319" s="3">
        <v>4.5347634E7</v>
      </c>
      <c r="D319" s="3">
        <v>14.116</v>
      </c>
      <c r="E319" s="3">
        <v>45.347634</v>
      </c>
    </row>
    <row r="320" ht="12.75" customHeight="1">
      <c r="A320" s="3">
        <v>12.0</v>
      </c>
      <c r="B320" s="3">
        <v>48.5</v>
      </c>
      <c r="C320" s="3">
        <v>5.2736479E7</v>
      </c>
      <c r="D320" s="3">
        <v>15.4</v>
      </c>
      <c r="E320" s="3">
        <v>52.736479</v>
      </c>
    </row>
    <row r="321" ht="12.75" customHeight="1">
      <c r="A321" s="3">
        <v>12.0</v>
      </c>
      <c r="B321" s="3">
        <v>49.0</v>
      </c>
      <c r="C321" s="3">
        <v>6.0781641E7</v>
      </c>
      <c r="D321" s="3">
        <v>16.7628</v>
      </c>
      <c r="E321" s="3">
        <v>60.781641</v>
      </c>
    </row>
    <row r="322" ht="12.75" customHeight="1">
      <c r="A322" s="3">
        <v>12.0</v>
      </c>
      <c r="B322" s="3">
        <v>49.5</v>
      </c>
      <c r="C322" s="3">
        <v>6.95435E7</v>
      </c>
      <c r="D322" s="3">
        <v>18.2995</v>
      </c>
      <c r="E322" s="3">
        <v>69.5435</v>
      </c>
    </row>
    <row r="323" ht="12.75" customHeight="1">
      <c r="A323" s="3">
        <v>12.0</v>
      </c>
      <c r="B323" s="3">
        <v>50.0</v>
      </c>
      <c r="C323" s="3">
        <v>7.9098609E7</v>
      </c>
      <c r="D323" s="3">
        <v>19.8566</v>
      </c>
      <c r="E323" s="3">
        <v>79.098609</v>
      </c>
    </row>
    <row r="324" ht="12.75" customHeight="1">
      <c r="A324" s="3">
        <v>12.0</v>
      </c>
      <c r="B324" s="3">
        <v>50.5</v>
      </c>
      <c r="C324" s="3">
        <v>8.9429761E7</v>
      </c>
      <c r="D324" s="3">
        <v>21.5002</v>
      </c>
      <c r="E324" s="3">
        <v>89.429761</v>
      </c>
    </row>
    <row r="325" ht="12.75" customHeight="1">
      <c r="A325" s="3">
        <v>12.0</v>
      </c>
      <c r="B325" s="3">
        <v>51.0</v>
      </c>
      <c r="C325" s="3">
        <v>1.00606028E8</v>
      </c>
      <c r="D325" s="3">
        <v>23.1968</v>
      </c>
      <c r="E325" s="3">
        <v>100.606028</v>
      </c>
    </row>
    <row r="326" ht="12.75" customHeight="1">
      <c r="A326" s="3">
        <v>12.0</v>
      </c>
      <c r="B326" s="3">
        <v>51.5</v>
      </c>
      <c r="C326" s="3">
        <v>1.12634907E8</v>
      </c>
      <c r="D326" s="3">
        <v>24.8876</v>
      </c>
      <c r="E326" s="3">
        <v>112.634907</v>
      </c>
    </row>
    <row r="327" ht="12.75" customHeight="1">
      <c r="A327" s="3">
        <v>12.0</v>
      </c>
      <c r="B327" s="3">
        <v>52.0</v>
      </c>
      <c r="C327" s="3">
        <v>1.2552365E8</v>
      </c>
      <c r="D327" s="3">
        <v>26.6532</v>
      </c>
      <c r="E327" s="3">
        <v>125.52365</v>
      </c>
    </row>
    <row r="328" ht="12.75" customHeight="1">
      <c r="A328" s="3">
        <v>12.0</v>
      </c>
      <c r="B328" s="3">
        <v>52.5</v>
      </c>
      <c r="C328" s="3">
        <v>1.39295226E8</v>
      </c>
      <c r="D328" s="3">
        <v>28.4239</v>
      </c>
      <c r="E328" s="3">
        <v>139.295226</v>
      </c>
    </row>
    <row r="329" ht="12.75" customHeight="1">
      <c r="A329" s="3">
        <v>12.0</v>
      </c>
      <c r="B329" s="3">
        <v>53.0</v>
      </c>
      <c r="C329" s="3">
        <v>1.53989439E8</v>
      </c>
      <c r="D329" s="3">
        <v>30.2639</v>
      </c>
      <c r="E329" s="3">
        <v>153.989439</v>
      </c>
    </row>
    <row r="330" ht="12.75" customHeight="1">
      <c r="A330" s="3">
        <v>12.0</v>
      </c>
      <c r="B330" s="3">
        <v>53.5</v>
      </c>
      <c r="C330" s="3">
        <v>1.69573718E8</v>
      </c>
      <c r="D330" s="3">
        <v>32.132</v>
      </c>
      <c r="E330" s="3">
        <v>169.573718</v>
      </c>
    </row>
    <row r="331" ht="12.75" customHeight="1">
      <c r="A331" s="3">
        <v>12.0</v>
      </c>
      <c r="B331" s="3">
        <v>54.0</v>
      </c>
      <c r="C331" s="3">
        <v>1.86194771E8</v>
      </c>
      <c r="D331" s="3">
        <v>34.3194</v>
      </c>
      <c r="E331" s="3">
        <v>186.194771</v>
      </c>
    </row>
    <row r="332" ht="12.75" customHeight="1">
      <c r="A332" s="3">
        <v>12.0</v>
      </c>
      <c r="B332" s="3">
        <v>54.5</v>
      </c>
      <c r="C332" s="3">
        <v>2.03983927E8</v>
      </c>
      <c r="D332" s="3">
        <v>36.8479</v>
      </c>
      <c r="E332" s="3">
        <v>203.983927</v>
      </c>
    </row>
    <row r="333" ht="12.75" customHeight="1">
      <c r="A333" s="3">
        <v>12.0</v>
      </c>
      <c r="B333" s="3">
        <v>55.0</v>
      </c>
      <c r="C333" s="3">
        <v>2.23098936E8</v>
      </c>
      <c r="D333" s="3">
        <v>39.4875</v>
      </c>
      <c r="E333" s="3">
        <v>223.098936</v>
      </c>
    </row>
    <row r="334" ht="12.75" customHeight="1">
      <c r="A334" s="3">
        <v>12.0</v>
      </c>
      <c r="B334" s="3">
        <v>55.5</v>
      </c>
      <c r="C334" s="3">
        <v>2.43386356E8</v>
      </c>
      <c r="D334" s="3">
        <v>41.5067</v>
      </c>
      <c r="E334" s="3">
        <v>243.386356</v>
      </c>
    </row>
    <row r="335" ht="12.75" customHeight="1">
      <c r="A335" s="3">
        <v>12.0</v>
      </c>
      <c r="B335" s="3">
        <v>56.0</v>
      </c>
      <c r="C335" s="3">
        <v>2.6454065E8</v>
      </c>
      <c r="D335" s="3">
        <v>43.0216</v>
      </c>
      <c r="E335" s="3">
        <v>264.54065</v>
      </c>
    </row>
    <row r="336" ht="12.75" customHeight="1">
      <c r="A336" s="3">
        <v>12.0</v>
      </c>
      <c r="B336" s="3">
        <v>56.5</v>
      </c>
      <c r="C336" s="3">
        <v>2.86415157E8</v>
      </c>
      <c r="D336" s="3">
        <v>44.4432</v>
      </c>
      <c r="E336" s="3">
        <v>286.415157</v>
      </c>
    </row>
    <row r="337" ht="12.75" customHeight="1">
      <c r="A337" s="3">
        <v>12.0</v>
      </c>
      <c r="B337" s="3">
        <v>57.0</v>
      </c>
      <c r="C337" s="3">
        <v>3.08983346E8</v>
      </c>
      <c r="D337" s="3">
        <v>45.8232</v>
      </c>
      <c r="E337" s="3">
        <v>308.983346</v>
      </c>
    </row>
    <row r="338" ht="12.75" customHeight="1">
      <c r="A338" s="3">
        <v>12.0</v>
      </c>
      <c r="B338" s="3">
        <v>57.25</v>
      </c>
      <c r="C338" s="3">
        <v>3.20523791E8</v>
      </c>
      <c r="D338" s="3">
        <v>46.4988</v>
      </c>
      <c r="E338" s="3">
        <v>320.523791</v>
      </c>
    </row>
    <row r="339" ht="12.75" customHeight="1">
      <c r="A339" s="3">
        <v>12.0</v>
      </c>
      <c r="B339" s="3">
        <v>57.5</v>
      </c>
      <c r="C339" s="3">
        <v>3.35E8</v>
      </c>
      <c r="D339" s="3">
        <v>48.4</v>
      </c>
      <c r="E339" s="3">
        <v>335.0</v>
      </c>
    </row>
    <row r="340" ht="12.75" customHeight="1">
      <c r="A340" s="3">
        <v>12.0</v>
      </c>
      <c r="B340" s="3">
        <v>58.0</v>
      </c>
      <c r="C340" s="3">
        <v>3.6E8</v>
      </c>
      <c r="D340" s="3">
        <v>50.4</v>
      </c>
      <c r="E340" s="3">
        <v>360.0</v>
      </c>
    </row>
    <row r="341" ht="12.75" customHeight="1">
      <c r="A341" s="3">
        <v>12.0</v>
      </c>
      <c r="B341" s="3">
        <v>59.0</v>
      </c>
      <c r="C341" s="3">
        <v>4.14E8</v>
      </c>
      <c r="D341" s="3">
        <v>54.2</v>
      </c>
      <c r="E341" s="3">
        <v>414.0</v>
      </c>
    </row>
    <row r="342" ht="12.75" customHeight="1">
      <c r="A342" s="3">
        <v>12.0</v>
      </c>
      <c r="B342" s="3">
        <v>60.0</v>
      </c>
      <c r="C342" s="3">
        <v>4.701E8</v>
      </c>
      <c r="D342" s="3">
        <v>58.0</v>
      </c>
      <c r="E342" s="3">
        <v>470.1</v>
      </c>
    </row>
    <row r="343" ht="12.75" customHeight="1">
      <c r="A343" s="3">
        <v>13.0</v>
      </c>
      <c r="B343" s="3">
        <v>200.0</v>
      </c>
      <c r="C343" s="3">
        <v>0.0</v>
      </c>
      <c r="D343" s="3">
        <v>0.0</v>
      </c>
      <c r="E343" s="3">
        <v>0.0</v>
      </c>
    </row>
    <row r="344" ht="12.75" customHeight="1">
      <c r="A344" s="3">
        <v>13.0</v>
      </c>
      <c r="B344" s="3">
        <v>205.0</v>
      </c>
      <c r="C344" s="3">
        <v>8500000.0</v>
      </c>
      <c r="D344" s="3">
        <v>3.4</v>
      </c>
      <c r="E344" s="3">
        <v>8.5</v>
      </c>
    </row>
    <row r="345" ht="12.75" customHeight="1">
      <c r="A345" s="3">
        <v>13.0</v>
      </c>
      <c r="B345" s="3">
        <v>207.2</v>
      </c>
      <c r="C345" s="3">
        <v>1.651E7</v>
      </c>
      <c r="D345" s="3">
        <v>3.88</v>
      </c>
      <c r="E345" s="3">
        <v>16.51</v>
      </c>
    </row>
    <row r="346" ht="12.75" customHeight="1">
      <c r="A346" s="3">
        <v>13.0</v>
      </c>
      <c r="B346" s="3">
        <v>208.0</v>
      </c>
      <c r="C346" s="3">
        <v>2.025E7</v>
      </c>
      <c r="D346" s="3">
        <v>5.46</v>
      </c>
      <c r="E346" s="3">
        <v>20.25</v>
      </c>
    </row>
    <row r="347" ht="12.75" customHeight="1">
      <c r="A347" s="3">
        <v>13.0</v>
      </c>
      <c r="B347" s="3">
        <v>209.0</v>
      </c>
      <c r="C347" s="3">
        <v>2.575E7</v>
      </c>
      <c r="D347" s="3">
        <v>5.53</v>
      </c>
      <c r="E347" s="3">
        <v>25.75</v>
      </c>
    </row>
    <row r="348" ht="12.75" customHeight="1">
      <c r="A348" s="3">
        <v>13.0</v>
      </c>
      <c r="B348" s="3">
        <v>210.0</v>
      </c>
      <c r="C348" s="3">
        <v>3.275E7</v>
      </c>
      <c r="D348" s="3">
        <v>7.2</v>
      </c>
      <c r="E348" s="3">
        <v>32.75</v>
      </c>
    </row>
    <row r="349" ht="12.75" customHeight="1">
      <c r="A349" s="3">
        <v>13.0</v>
      </c>
      <c r="B349" s="3">
        <v>211.0</v>
      </c>
      <c r="C349" s="3">
        <v>4.025E7</v>
      </c>
      <c r="D349" s="3">
        <v>8.25</v>
      </c>
      <c r="E349" s="3">
        <v>40.25</v>
      </c>
    </row>
    <row r="350" ht="12.75" customHeight="1">
      <c r="A350" s="3">
        <v>13.0</v>
      </c>
      <c r="B350" s="3">
        <v>212.0</v>
      </c>
      <c r="C350" s="3">
        <v>5.0E7</v>
      </c>
      <c r="D350" s="3">
        <v>9.5</v>
      </c>
      <c r="E350" s="3">
        <v>50.0</v>
      </c>
    </row>
    <row r="351" ht="12.75" customHeight="1">
      <c r="A351" s="3">
        <v>13.0</v>
      </c>
      <c r="B351" s="3">
        <v>213.0</v>
      </c>
      <c r="C351" s="3">
        <v>6.125E7</v>
      </c>
      <c r="D351" s="3">
        <v>10.75</v>
      </c>
      <c r="E351" s="3">
        <v>61.25</v>
      </c>
    </row>
    <row r="352" ht="12.75" customHeight="1">
      <c r="A352" s="3">
        <v>13.0</v>
      </c>
      <c r="B352" s="3">
        <v>214.0</v>
      </c>
      <c r="C352" s="3">
        <v>7.3E7</v>
      </c>
      <c r="D352" s="3">
        <v>12.15</v>
      </c>
      <c r="E352" s="3">
        <v>73.0</v>
      </c>
    </row>
    <row r="353" ht="12.75" customHeight="1">
      <c r="A353" s="3">
        <v>13.0</v>
      </c>
      <c r="B353" s="3">
        <v>215.0</v>
      </c>
      <c r="C353" s="3">
        <v>8.625E7</v>
      </c>
      <c r="D353" s="3">
        <v>13.55</v>
      </c>
      <c r="E353" s="3">
        <v>86.25</v>
      </c>
    </row>
    <row r="354" ht="12.75" customHeight="1">
      <c r="A354" s="3">
        <v>13.0</v>
      </c>
      <c r="B354" s="3">
        <v>216.0</v>
      </c>
      <c r="C354" s="3">
        <v>1.02E8</v>
      </c>
      <c r="D354" s="3">
        <v>15.1</v>
      </c>
      <c r="E354" s="3">
        <v>102.0</v>
      </c>
    </row>
    <row r="355" ht="12.75" customHeight="1">
      <c r="A355" s="3">
        <v>13.0</v>
      </c>
      <c r="B355" s="3">
        <v>217.0</v>
      </c>
      <c r="C355" s="3">
        <v>1.18E8</v>
      </c>
      <c r="D355" s="3">
        <v>16.75</v>
      </c>
      <c r="E355" s="3">
        <v>118.0</v>
      </c>
    </row>
    <row r="356" ht="12.75" customHeight="1">
      <c r="A356" s="3">
        <v>13.0</v>
      </c>
      <c r="B356" s="3">
        <v>218.0</v>
      </c>
      <c r="C356" s="3">
        <v>1.342E8</v>
      </c>
      <c r="D356" s="3">
        <v>18.45</v>
      </c>
      <c r="E356" s="3">
        <v>134.2</v>
      </c>
    </row>
    <row r="357" ht="12.75" customHeight="1">
      <c r="A357" s="3">
        <v>13.0</v>
      </c>
      <c r="B357" s="3">
        <v>218.5</v>
      </c>
      <c r="C357" s="3">
        <v>1.43E8</v>
      </c>
      <c r="D357" s="3">
        <v>19.53</v>
      </c>
      <c r="E357" s="3">
        <v>143.0</v>
      </c>
    </row>
    <row r="358" ht="12.75" customHeight="1">
      <c r="A358" s="3">
        <v>14.0</v>
      </c>
      <c r="B358" s="3">
        <v>52.17</v>
      </c>
      <c r="C358" s="3">
        <v>0.0</v>
      </c>
      <c r="D358" s="3">
        <v>0.0</v>
      </c>
      <c r="E358" s="3">
        <v>0.0</v>
      </c>
    </row>
    <row r="359" ht="12.75" customHeight="1">
      <c r="A359" s="3">
        <v>14.0</v>
      </c>
      <c r="B359" s="3">
        <v>55.0</v>
      </c>
      <c r="C359" s="3">
        <v>20000.0</v>
      </c>
      <c r="D359" s="3">
        <v>0.02</v>
      </c>
      <c r="E359" s="3">
        <v>0.02</v>
      </c>
    </row>
    <row r="360" ht="12.75" customHeight="1">
      <c r="A360" s="3">
        <v>14.0</v>
      </c>
      <c r="B360" s="3">
        <v>60.0</v>
      </c>
      <c r="C360" s="3">
        <v>200000.0</v>
      </c>
      <c r="D360" s="3">
        <v>0.05</v>
      </c>
      <c r="E360" s="3">
        <v>0.2</v>
      </c>
    </row>
    <row r="361" ht="12.75" customHeight="1">
      <c r="A361" s="3">
        <v>14.0</v>
      </c>
      <c r="B361" s="3">
        <v>65.0</v>
      </c>
      <c r="C361" s="3">
        <v>650000.0</v>
      </c>
      <c r="D361" s="3">
        <v>0.12</v>
      </c>
      <c r="E361" s="3">
        <v>0.65</v>
      </c>
    </row>
    <row r="362" ht="12.75" customHeight="1">
      <c r="A362" s="3">
        <v>14.0</v>
      </c>
      <c r="B362" s="3">
        <v>70.0</v>
      </c>
      <c r="C362" s="3">
        <v>1600000.0</v>
      </c>
      <c r="D362" s="3">
        <v>0.25</v>
      </c>
      <c r="E362" s="3">
        <v>1.6</v>
      </c>
    </row>
    <row r="363" ht="12.75" customHeight="1">
      <c r="A363" s="3">
        <v>14.0</v>
      </c>
      <c r="B363" s="3">
        <v>75.0</v>
      </c>
      <c r="C363" s="3">
        <v>3340000.0</v>
      </c>
      <c r="D363" s="3">
        <v>0.43</v>
      </c>
      <c r="E363" s="3">
        <v>3.34</v>
      </c>
    </row>
    <row r="364" ht="12.75" customHeight="1">
      <c r="A364" s="3">
        <v>14.0</v>
      </c>
      <c r="B364" s="3">
        <v>80.0</v>
      </c>
      <c r="C364" s="3">
        <v>6260000.0</v>
      </c>
      <c r="D364" s="3">
        <v>0.73</v>
      </c>
      <c r="E364" s="3">
        <v>6.26</v>
      </c>
    </row>
    <row r="365" ht="12.75" customHeight="1">
      <c r="A365" s="3">
        <v>14.0</v>
      </c>
      <c r="B365" s="3">
        <v>85.0</v>
      </c>
      <c r="C365" s="3">
        <v>1.078E7</v>
      </c>
      <c r="D365" s="3">
        <v>1.07</v>
      </c>
      <c r="E365" s="3">
        <v>10.78</v>
      </c>
    </row>
    <row r="366" ht="12.75" customHeight="1">
      <c r="A366" s="3">
        <v>14.0</v>
      </c>
      <c r="B366" s="3">
        <v>90.0</v>
      </c>
      <c r="C366" s="3">
        <v>1.72E7</v>
      </c>
      <c r="D366" s="3">
        <v>1.49</v>
      </c>
      <c r="E366" s="3">
        <v>17.2</v>
      </c>
    </row>
    <row r="367" ht="12.75" customHeight="1">
      <c r="A367" s="3">
        <v>14.0</v>
      </c>
      <c r="B367" s="3">
        <v>95.0</v>
      </c>
      <c r="C367" s="3">
        <v>2.582E7</v>
      </c>
      <c r="D367" s="3">
        <v>1.95</v>
      </c>
      <c r="E367" s="3">
        <v>25.82</v>
      </c>
    </row>
    <row r="368" ht="12.75" customHeight="1">
      <c r="A368" s="3">
        <v>14.0</v>
      </c>
      <c r="B368" s="3">
        <v>98.0</v>
      </c>
      <c r="C368" s="3">
        <v>3.25E7</v>
      </c>
      <c r="D368" s="3">
        <v>2.45</v>
      </c>
      <c r="E368" s="3">
        <v>32.5</v>
      </c>
    </row>
    <row r="369" ht="12.75" customHeight="1">
      <c r="A369" s="3">
        <v>14.0</v>
      </c>
      <c r="B369" s="3">
        <v>100.0</v>
      </c>
      <c r="C369" s="3">
        <v>3.872E7</v>
      </c>
      <c r="D369" s="3">
        <v>3.2</v>
      </c>
      <c r="E369" s="3">
        <v>38.72</v>
      </c>
    </row>
    <row r="370" ht="12.75" customHeight="1">
      <c r="A370" s="3">
        <v>15.0</v>
      </c>
      <c r="B370" s="3">
        <v>388.5</v>
      </c>
      <c r="C370" s="3">
        <v>0.0</v>
      </c>
      <c r="D370" s="3">
        <v>0.0</v>
      </c>
      <c r="E370" s="3">
        <v>0.0</v>
      </c>
    </row>
    <row r="371" ht="12.75" customHeight="1">
      <c r="A371" s="3">
        <v>15.0</v>
      </c>
      <c r="B371" s="3">
        <v>389.0</v>
      </c>
      <c r="C371" s="3">
        <v>110000.0</v>
      </c>
      <c r="D371" s="3">
        <v>0.08</v>
      </c>
      <c r="E371" s="3">
        <v>0.11</v>
      </c>
    </row>
    <row r="372" ht="12.75" customHeight="1">
      <c r="A372" s="3">
        <v>15.0</v>
      </c>
      <c r="B372" s="3">
        <v>390.0</v>
      </c>
      <c r="C372" s="3">
        <v>140000.0</v>
      </c>
      <c r="D372" s="3">
        <v>0.16</v>
      </c>
      <c r="E372" s="3">
        <v>0.14</v>
      </c>
    </row>
    <row r="373" ht="12.75" customHeight="1">
      <c r="A373" s="3">
        <v>15.0</v>
      </c>
      <c r="B373" s="3">
        <v>391.0</v>
      </c>
      <c r="C373" s="3">
        <v>340000.0</v>
      </c>
      <c r="D373" s="3">
        <v>0.25</v>
      </c>
      <c r="E373" s="3">
        <v>0.34</v>
      </c>
    </row>
    <row r="374" ht="12.75" customHeight="1">
      <c r="A374" s="3">
        <v>15.0</v>
      </c>
      <c r="B374" s="3">
        <v>395.0</v>
      </c>
      <c r="C374" s="3">
        <v>1140000.0</v>
      </c>
      <c r="D374" s="3">
        <v>0.34</v>
      </c>
      <c r="E374" s="3">
        <v>1.14</v>
      </c>
    </row>
    <row r="375" ht="12.75" customHeight="1">
      <c r="A375" s="3">
        <v>15.0</v>
      </c>
      <c r="B375" s="3">
        <v>400.0</v>
      </c>
      <c r="C375" s="3">
        <v>3890000.0</v>
      </c>
      <c r="D375" s="3">
        <v>0.75</v>
      </c>
      <c r="E375" s="3">
        <v>3.89</v>
      </c>
    </row>
    <row r="376" ht="12.75" customHeight="1">
      <c r="A376" s="3">
        <v>15.0</v>
      </c>
      <c r="B376" s="3">
        <v>405.0</v>
      </c>
      <c r="C376" s="3">
        <v>8730000.0</v>
      </c>
      <c r="D376" s="3">
        <v>1.17</v>
      </c>
      <c r="E376" s="3">
        <v>8.73</v>
      </c>
    </row>
    <row r="377" ht="12.75" customHeight="1">
      <c r="A377" s="3">
        <v>15.0</v>
      </c>
      <c r="B377" s="3">
        <v>410.0</v>
      </c>
      <c r="C377" s="3">
        <v>1.566E7</v>
      </c>
      <c r="D377" s="3">
        <v>1.59</v>
      </c>
      <c r="E377" s="3">
        <v>15.66</v>
      </c>
    </row>
    <row r="378" ht="12.75" customHeight="1">
      <c r="A378" s="3">
        <v>15.0</v>
      </c>
      <c r="B378" s="3">
        <v>415.0</v>
      </c>
      <c r="C378" s="3">
        <v>2.483E7</v>
      </c>
      <c r="D378" s="3">
        <v>2.07</v>
      </c>
      <c r="E378" s="3">
        <v>24.83</v>
      </c>
    </row>
    <row r="379" ht="12.75" customHeight="1">
      <c r="A379" s="3">
        <v>15.0</v>
      </c>
      <c r="B379" s="3">
        <v>418.0</v>
      </c>
      <c r="C379" s="3">
        <v>3.178E7</v>
      </c>
      <c r="D379" s="3">
        <v>2.36</v>
      </c>
      <c r="E379" s="3">
        <v>31.78</v>
      </c>
    </row>
    <row r="380" ht="12.75" customHeight="1">
      <c r="A380" s="3">
        <v>15.0</v>
      </c>
      <c r="B380" s="3">
        <v>420.0</v>
      </c>
      <c r="C380" s="3">
        <v>3.641E7</v>
      </c>
      <c r="D380" s="3">
        <v>2.55</v>
      </c>
      <c r="E380" s="3">
        <v>36.41</v>
      </c>
    </row>
    <row r="381" ht="12.75" customHeight="1">
      <c r="A381" s="3">
        <v>16.0</v>
      </c>
      <c r="B381" s="3">
        <v>92.05</v>
      </c>
      <c r="C381" s="3">
        <v>0.0</v>
      </c>
      <c r="D381" s="3">
        <v>0.0</v>
      </c>
      <c r="E381" s="3">
        <v>0.0</v>
      </c>
    </row>
    <row r="382" ht="12.75" customHeight="1">
      <c r="A382" s="3">
        <v>16.0</v>
      </c>
      <c r="B382" s="3">
        <v>93.0</v>
      </c>
      <c r="C382" s="3">
        <v>129.0</v>
      </c>
      <c r="D382" s="3">
        <v>0.001</v>
      </c>
      <c r="E382" s="3">
        <v>1.29E-4</v>
      </c>
    </row>
    <row r="383" ht="12.75" customHeight="1">
      <c r="A383" s="3">
        <v>16.0</v>
      </c>
      <c r="B383" s="3">
        <v>93.5</v>
      </c>
      <c r="C383" s="3">
        <v>3692.0</v>
      </c>
      <c r="D383" s="3">
        <v>0.02</v>
      </c>
      <c r="E383" s="3">
        <v>0.003692</v>
      </c>
    </row>
    <row r="384" ht="12.75" customHeight="1">
      <c r="A384" s="3">
        <v>16.0</v>
      </c>
      <c r="B384" s="3">
        <v>94.0</v>
      </c>
      <c r="C384" s="3">
        <v>21203.0</v>
      </c>
      <c r="D384" s="3">
        <v>0.049</v>
      </c>
      <c r="E384" s="3">
        <v>0.021203</v>
      </c>
    </row>
    <row r="385" ht="12.75" customHeight="1">
      <c r="A385" s="3">
        <v>16.0</v>
      </c>
      <c r="B385" s="3">
        <v>94.5</v>
      </c>
      <c r="C385" s="3">
        <v>51310.0</v>
      </c>
      <c r="D385" s="3">
        <v>0.071</v>
      </c>
      <c r="E385" s="3">
        <v>0.05131</v>
      </c>
    </row>
    <row r="386" ht="12.75" customHeight="1">
      <c r="A386" s="3">
        <v>16.0</v>
      </c>
      <c r="B386" s="3">
        <v>95.0</v>
      </c>
      <c r="C386" s="3">
        <v>90852.0</v>
      </c>
      <c r="D386" s="3">
        <v>0.088</v>
      </c>
      <c r="E386" s="3">
        <v>0.090852</v>
      </c>
    </row>
    <row r="387" ht="12.75" customHeight="1">
      <c r="A387" s="3">
        <v>16.0</v>
      </c>
      <c r="B387" s="3">
        <v>95.5</v>
      </c>
      <c r="C387" s="3">
        <v>138834.0</v>
      </c>
      <c r="D387" s="3">
        <v>0.106</v>
      </c>
      <c r="E387" s="3">
        <v>0.138834</v>
      </c>
    </row>
    <row r="388" ht="12.75" customHeight="1">
      <c r="A388" s="3">
        <v>16.0</v>
      </c>
      <c r="B388" s="3">
        <v>96.0</v>
      </c>
      <c r="C388" s="3">
        <v>196732.0</v>
      </c>
      <c r="D388" s="3">
        <v>0.127</v>
      </c>
      <c r="E388" s="3">
        <v>0.196732</v>
      </c>
    </row>
    <row r="389" ht="12.75" customHeight="1">
      <c r="A389" s="3">
        <v>16.0</v>
      </c>
      <c r="B389" s="3">
        <v>96.5</v>
      </c>
      <c r="C389" s="3">
        <v>267455.0</v>
      </c>
      <c r="D389" s="3">
        <v>0.164</v>
      </c>
      <c r="E389" s="3">
        <v>0.267455</v>
      </c>
    </row>
    <row r="390" ht="12.75" customHeight="1">
      <c r="A390" s="3">
        <v>16.0</v>
      </c>
      <c r="B390" s="3">
        <v>97.0</v>
      </c>
      <c r="C390" s="3">
        <v>369402.0</v>
      </c>
      <c r="D390" s="3">
        <v>0.259</v>
      </c>
      <c r="E390" s="3">
        <v>0.369402</v>
      </c>
    </row>
    <row r="391" ht="12.75" customHeight="1">
      <c r="A391" s="3">
        <v>16.0</v>
      </c>
      <c r="B391" s="3">
        <v>97.5</v>
      </c>
      <c r="C391" s="3">
        <v>533091.0</v>
      </c>
      <c r="D391" s="3">
        <v>0.424</v>
      </c>
      <c r="E391" s="3">
        <v>0.533091</v>
      </c>
    </row>
    <row r="392" ht="12.75" customHeight="1">
      <c r="A392" s="3">
        <v>16.0</v>
      </c>
      <c r="B392" s="3">
        <v>98.0</v>
      </c>
      <c r="C392" s="3">
        <v>819066.0</v>
      </c>
      <c r="D392" s="3">
        <v>0.732</v>
      </c>
      <c r="E392" s="3">
        <v>0.819066</v>
      </c>
    </row>
    <row r="393" ht="12.75" customHeight="1">
      <c r="A393" s="3">
        <v>16.0</v>
      </c>
      <c r="B393" s="3">
        <v>98.5</v>
      </c>
      <c r="C393" s="3">
        <v>1260378.0</v>
      </c>
      <c r="D393" s="3">
        <v>1.058</v>
      </c>
      <c r="E393" s="3">
        <v>1.260378</v>
      </c>
    </row>
    <row r="394" ht="12.75" customHeight="1">
      <c r="A394" s="3">
        <v>16.0</v>
      </c>
      <c r="B394" s="3">
        <v>99.0</v>
      </c>
      <c r="C394" s="3">
        <v>1871937.0</v>
      </c>
      <c r="D394" s="3">
        <v>1.405</v>
      </c>
      <c r="E394" s="3">
        <v>1.871937</v>
      </c>
    </row>
    <row r="395" ht="12.75" customHeight="1">
      <c r="A395" s="3">
        <v>16.0</v>
      </c>
      <c r="B395" s="3">
        <v>99.5</v>
      </c>
      <c r="C395" s="3">
        <v>2639875.0</v>
      </c>
      <c r="D395" s="3">
        <v>1.689</v>
      </c>
      <c r="E395" s="3">
        <v>2.639875</v>
      </c>
    </row>
    <row r="396" ht="12.75" customHeight="1">
      <c r="A396" s="3">
        <v>16.0</v>
      </c>
      <c r="B396" s="3">
        <v>100.0</v>
      </c>
      <c r="C396" s="3">
        <v>3531119.0</v>
      </c>
      <c r="D396" s="3">
        <v>1.904</v>
      </c>
      <c r="E396" s="3">
        <v>3.531119</v>
      </c>
    </row>
    <row r="397" ht="12.75" customHeight="1">
      <c r="A397" s="3">
        <v>16.0</v>
      </c>
      <c r="B397" s="3">
        <v>100.5</v>
      </c>
      <c r="C397" s="3">
        <v>4508603.0</v>
      </c>
      <c r="D397" s="3">
        <v>2.042</v>
      </c>
      <c r="E397" s="3">
        <v>4.508603</v>
      </c>
    </row>
    <row r="398" ht="12.75" customHeight="1">
      <c r="A398" s="3">
        <v>16.0</v>
      </c>
      <c r="B398" s="3">
        <v>101.0</v>
      </c>
      <c r="C398" s="3">
        <v>5549242.0</v>
      </c>
      <c r="D398" s="3">
        <v>2.168</v>
      </c>
      <c r="E398" s="3">
        <v>5.549242</v>
      </c>
    </row>
    <row r="399" ht="12.75" customHeight="1">
      <c r="A399" s="3">
        <v>16.0</v>
      </c>
      <c r="B399" s="3">
        <v>101.5</v>
      </c>
      <c r="C399" s="3">
        <v>6656492.0</v>
      </c>
      <c r="D399" s="3">
        <v>2.361</v>
      </c>
      <c r="E399" s="3">
        <v>6.656492</v>
      </c>
    </row>
    <row r="400" ht="12.75" customHeight="1">
      <c r="A400" s="3">
        <v>16.0</v>
      </c>
      <c r="B400" s="3">
        <v>102.0</v>
      </c>
      <c r="C400" s="3">
        <v>7889412.0</v>
      </c>
      <c r="D400" s="3">
        <v>2.569</v>
      </c>
      <c r="E400" s="3">
        <v>7.889412</v>
      </c>
    </row>
    <row r="401" ht="12.75" customHeight="1">
      <c r="A401" s="3">
        <v>17.0</v>
      </c>
      <c r="B401" s="3">
        <v>101.2</v>
      </c>
      <c r="C401" s="3">
        <v>0.0</v>
      </c>
      <c r="D401" s="3">
        <v>0.0</v>
      </c>
      <c r="E401" s="3">
        <v>0.0</v>
      </c>
    </row>
    <row r="402" ht="12.75" customHeight="1">
      <c r="A402" s="3">
        <v>17.0</v>
      </c>
      <c r="B402" s="3">
        <v>102.0</v>
      </c>
      <c r="C402" s="3">
        <v>527.0</v>
      </c>
      <c r="D402" s="3">
        <v>0.0035</v>
      </c>
      <c r="E402" s="3">
        <v>5.27E-4</v>
      </c>
    </row>
    <row r="403" ht="12.75" customHeight="1">
      <c r="A403" s="3">
        <v>17.0</v>
      </c>
      <c r="B403" s="3">
        <v>103.0</v>
      </c>
      <c r="C403" s="3">
        <v>19442.0</v>
      </c>
      <c r="D403" s="3">
        <v>0.0395</v>
      </c>
      <c r="E403" s="3">
        <v>0.019442</v>
      </c>
    </row>
    <row r="404" ht="12.75" customHeight="1">
      <c r="A404" s="3">
        <v>17.0</v>
      </c>
      <c r="B404" s="3">
        <v>104.0</v>
      </c>
      <c r="C404" s="3">
        <v>93208.0</v>
      </c>
      <c r="D404" s="3">
        <v>0.1211</v>
      </c>
      <c r="E404" s="3">
        <v>0.093208</v>
      </c>
    </row>
    <row r="405" ht="12.75" customHeight="1">
      <c r="A405" s="3">
        <v>17.0</v>
      </c>
      <c r="B405" s="3">
        <v>105.0</v>
      </c>
      <c r="C405" s="3">
        <v>295286.0</v>
      </c>
      <c r="D405" s="3">
        <v>0.3035</v>
      </c>
      <c r="E405" s="3">
        <v>0.295286</v>
      </c>
    </row>
    <row r="406" ht="12.75" customHeight="1">
      <c r="A406" s="3">
        <v>17.0</v>
      </c>
      <c r="B406" s="3">
        <v>106.0</v>
      </c>
      <c r="C406" s="3">
        <v>742634.0</v>
      </c>
      <c r="D406" s="3">
        <v>0.6126</v>
      </c>
      <c r="E406" s="3">
        <v>0.742634</v>
      </c>
    </row>
    <row r="407" ht="12.75" customHeight="1">
      <c r="A407" s="3">
        <v>17.0</v>
      </c>
      <c r="B407" s="3">
        <v>107.0</v>
      </c>
      <c r="C407" s="3">
        <v>1586842.0</v>
      </c>
      <c r="D407" s="3">
        <v>1.1026</v>
      </c>
      <c r="E407" s="3">
        <v>1.586842</v>
      </c>
    </row>
    <row r="408" ht="12.75" customHeight="1">
      <c r="A408" s="3">
        <v>17.0</v>
      </c>
      <c r="B408" s="3">
        <v>108.0</v>
      </c>
      <c r="C408" s="3">
        <v>3058416.0</v>
      </c>
      <c r="D408" s="3">
        <v>1.9036</v>
      </c>
      <c r="E408" s="3">
        <v>3.058416</v>
      </c>
    </row>
    <row r="409" ht="12.75" customHeight="1">
      <c r="A409" s="3">
        <v>17.0</v>
      </c>
      <c r="B409" s="3">
        <v>109.0</v>
      </c>
      <c r="C409" s="3">
        <v>5384041.0</v>
      </c>
      <c r="D409" s="3">
        <v>2.6733</v>
      </c>
      <c r="E409" s="3">
        <v>5.384041</v>
      </c>
    </row>
    <row r="410" ht="12.75" customHeight="1">
      <c r="A410" s="3">
        <v>17.0</v>
      </c>
      <c r="B410" s="3">
        <v>110.0</v>
      </c>
      <c r="C410" s="3">
        <v>8232259.0</v>
      </c>
      <c r="D410" s="3">
        <v>2.9599</v>
      </c>
      <c r="E410" s="3">
        <v>8.232259</v>
      </c>
    </row>
    <row r="411" ht="12.75" customHeight="1">
      <c r="A411" s="3">
        <v>17.0</v>
      </c>
      <c r="B411" s="3">
        <v>110.4</v>
      </c>
      <c r="C411" s="3">
        <v>9431523.0</v>
      </c>
      <c r="D411" s="3">
        <v>3.0365</v>
      </c>
      <c r="E411" s="3">
        <v>9.431523</v>
      </c>
    </row>
    <row r="412" ht="12.75" customHeight="1">
      <c r="A412" s="3">
        <v>17.0</v>
      </c>
      <c r="B412" s="3">
        <v>112.0</v>
      </c>
      <c r="C412" s="3">
        <v>1.6075357E7</v>
      </c>
      <c r="D412" s="3">
        <v>4.0538</v>
      </c>
      <c r="E412" s="3">
        <v>16.075357</v>
      </c>
    </row>
    <row r="413" ht="12.75" customHeight="1">
      <c r="A413" s="3">
        <v>17.0</v>
      </c>
      <c r="B413" s="3">
        <v>114.0</v>
      </c>
      <c r="C413" s="3">
        <v>2.7295757E7</v>
      </c>
      <c r="D413" s="3">
        <v>5.505</v>
      </c>
      <c r="E413" s="3">
        <v>27.295757</v>
      </c>
    </row>
    <row r="414" ht="12.75" customHeight="1">
      <c r="A414" s="3">
        <v>17.0</v>
      </c>
      <c r="B414" s="3">
        <v>116.0</v>
      </c>
      <c r="C414" s="3">
        <v>4.1443357E7</v>
      </c>
      <c r="D414" s="3">
        <v>6.9694</v>
      </c>
      <c r="E414" s="3">
        <v>41.443357</v>
      </c>
    </row>
    <row r="415" ht="12.75" customHeight="1">
      <c r="A415" s="3">
        <v>17.0</v>
      </c>
      <c r="B415" s="3">
        <v>118.0</v>
      </c>
      <c r="C415" s="3">
        <v>5.8434157E7</v>
      </c>
      <c r="D415" s="3">
        <v>8.4322</v>
      </c>
      <c r="E415" s="3">
        <v>58.434157</v>
      </c>
    </row>
    <row r="416" ht="12.75" customHeight="1">
      <c r="A416" s="3">
        <v>17.0</v>
      </c>
      <c r="B416" s="3">
        <v>118.6</v>
      </c>
      <c r="C416" s="3">
        <v>6.5204157E7</v>
      </c>
      <c r="D416" s="3">
        <v>9.127</v>
      </c>
      <c r="E416" s="3">
        <v>65.204157</v>
      </c>
    </row>
    <row r="417" ht="12.75" customHeight="1">
      <c r="A417" s="3">
        <v>17.0</v>
      </c>
      <c r="B417" s="3">
        <v>120.0</v>
      </c>
      <c r="C417" s="3">
        <v>8.1323367E7</v>
      </c>
      <c r="D417" s="3">
        <v>10.48</v>
      </c>
      <c r="E417" s="3">
        <v>81.323367</v>
      </c>
    </row>
    <row r="418" ht="12.75" customHeight="1">
      <c r="A418" s="3">
        <v>18.0</v>
      </c>
      <c r="B418" s="3">
        <v>86.0</v>
      </c>
      <c r="C418" s="3">
        <v>0.0</v>
      </c>
      <c r="D418" s="3">
        <v>0.0</v>
      </c>
      <c r="E418" s="3">
        <v>0.0</v>
      </c>
    </row>
    <row r="419" ht="12.75" customHeight="1">
      <c r="A419" s="3">
        <v>18.0</v>
      </c>
      <c r="B419" s="3">
        <v>87.0</v>
      </c>
      <c r="C419" s="3">
        <v>190000.0</v>
      </c>
      <c r="D419" s="3">
        <v>0.16</v>
      </c>
      <c r="E419" s="3">
        <v>0.19</v>
      </c>
    </row>
    <row r="420" ht="12.75" customHeight="1">
      <c r="A420" s="3">
        <v>18.0</v>
      </c>
      <c r="B420" s="3">
        <v>88.0</v>
      </c>
      <c r="C420" s="3">
        <v>400000.0</v>
      </c>
      <c r="D420" s="3">
        <v>0.27</v>
      </c>
      <c r="E420" s="3">
        <v>0.4</v>
      </c>
    </row>
    <row r="421" ht="12.75" customHeight="1">
      <c r="A421" s="3">
        <v>18.0</v>
      </c>
      <c r="B421" s="3">
        <v>89.0</v>
      </c>
      <c r="C421" s="3">
        <v>740000.0</v>
      </c>
      <c r="D421" s="3">
        <v>0.4</v>
      </c>
      <c r="E421" s="3">
        <v>0.74</v>
      </c>
    </row>
    <row r="422" ht="12.75" customHeight="1">
      <c r="A422" s="3">
        <v>18.0</v>
      </c>
      <c r="B422" s="3">
        <v>90.0</v>
      </c>
      <c r="C422" s="3">
        <v>1210000.0</v>
      </c>
      <c r="D422" s="3">
        <v>0.53</v>
      </c>
      <c r="E422" s="3">
        <v>1.21</v>
      </c>
    </row>
    <row r="423" ht="12.75" customHeight="1">
      <c r="A423" s="3">
        <v>18.0</v>
      </c>
      <c r="B423" s="3">
        <v>91.0</v>
      </c>
      <c r="C423" s="3">
        <v>1810000.0</v>
      </c>
      <c r="D423" s="3">
        <v>0.66</v>
      </c>
      <c r="E423" s="3">
        <v>1.81</v>
      </c>
    </row>
    <row r="424" ht="12.75" customHeight="1">
      <c r="A424" s="3">
        <v>18.0</v>
      </c>
      <c r="B424" s="3">
        <v>92.0</v>
      </c>
      <c r="C424" s="3">
        <v>2550000.0</v>
      </c>
      <c r="D424" s="3">
        <v>0.81</v>
      </c>
      <c r="E424" s="3">
        <v>2.55</v>
      </c>
    </row>
    <row r="425" ht="12.75" customHeight="1">
      <c r="A425" s="3">
        <v>18.0</v>
      </c>
      <c r="B425" s="3">
        <v>93.0</v>
      </c>
      <c r="C425" s="3">
        <v>3480000.0</v>
      </c>
      <c r="D425" s="3">
        <v>1.04</v>
      </c>
      <c r="E425" s="3">
        <v>3.48</v>
      </c>
    </row>
    <row r="426" ht="12.75" customHeight="1">
      <c r="A426" s="3">
        <v>18.0</v>
      </c>
      <c r="B426" s="3">
        <v>94.0</v>
      </c>
      <c r="C426" s="3">
        <v>4640000.0</v>
      </c>
      <c r="D426" s="3">
        <v>1.25</v>
      </c>
      <c r="E426" s="3">
        <v>4.64</v>
      </c>
    </row>
    <row r="427" ht="12.75" customHeight="1">
      <c r="A427" s="3">
        <v>18.0</v>
      </c>
      <c r="B427" s="3">
        <v>95.0</v>
      </c>
      <c r="C427" s="3">
        <v>6040000.0</v>
      </c>
      <c r="D427" s="3">
        <v>1.45</v>
      </c>
      <c r="E427" s="3">
        <v>6.04</v>
      </c>
    </row>
    <row r="428" ht="12.75" customHeight="1">
      <c r="A428" s="3">
        <v>18.0</v>
      </c>
      <c r="B428" s="3">
        <v>96.0</v>
      </c>
      <c r="C428" s="3">
        <v>8500000.0</v>
      </c>
      <c r="D428" s="3">
        <v>2.0</v>
      </c>
      <c r="E428" s="3">
        <v>8.5</v>
      </c>
    </row>
    <row r="429" ht="12.75" customHeight="1">
      <c r="A429" s="3">
        <v>18.0</v>
      </c>
      <c r="B429" s="3">
        <v>97.0</v>
      </c>
      <c r="C429" s="3">
        <v>1.0E7</v>
      </c>
      <c r="D429" s="3">
        <v>3.5</v>
      </c>
      <c r="E429" s="3">
        <v>10.0</v>
      </c>
    </row>
    <row r="430" ht="12.75" customHeight="1">
      <c r="A430" s="3">
        <v>19.0</v>
      </c>
      <c r="B430" s="3">
        <v>100.7</v>
      </c>
      <c r="C430" s="3">
        <v>0.0</v>
      </c>
      <c r="D430" s="3">
        <v>0.0</v>
      </c>
      <c r="E430" s="3">
        <v>0.0</v>
      </c>
    </row>
    <row r="431" ht="12.75" customHeight="1">
      <c r="A431" s="3">
        <v>19.0</v>
      </c>
      <c r="B431" s="3">
        <v>101.0</v>
      </c>
      <c r="C431" s="3">
        <v>76500.0</v>
      </c>
      <c r="D431" s="3">
        <v>0.137</v>
      </c>
      <c r="E431" s="3">
        <v>0.0765</v>
      </c>
    </row>
    <row r="432" ht="12.75" customHeight="1">
      <c r="A432" s="3">
        <v>19.0</v>
      </c>
      <c r="B432" s="3">
        <v>102.0</v>
      </c>
      <c r="C432" s="3">
        <v>315500.0</v>
      </c>
      <c r="D432" s="3">
        <v>0.341</v>
      </c>
      <c r="E432" s="3">
        <v>0.3155</v>
      </c>
    </row>
    <row r="433" ht="12.75" customHeight="1">
      <c r="A433" s="3">
        <v>19.0</v>
      </c>
      <c r="B433" s="3">
        <v>103.0</v>
      </c>
      <c r="C433" s="3">
        <v>894000.0</v>
      </c>
      <c r="D433" s="3">
        <v>0.816</v>
      </c>
      <c r="E433" s="3">
        <v>0.894</v>
      </c>
    </row>
    <row r="434" ht="12.75" customHeight="1">
      <c r="A434" s="3">
        <v>19.0</v>
      </c>
      <c r="B434" s="3">
        <v>104.0</v>
      </c>
      <c r="C434" s="3">
        <v>2080500.0</v>
      </c>
      <c r="D434" s="3">
        <v>1.557</v>
      </c>
      <c r="E434" s="3">
        <v>2.0805</v>
      </c>
    </row>
    <row r="435" ht="12.75" customHeight="1">
      <c r="A435" s="3">
        <v>19.0</v>
      </c>
      <c r="B435" s="3">
        <v>105.0</v>
      </c>
      <c r="C435" s="3">
        <v>4034000.0</v>
      </c>
      <c r="D435" s="3">
        <v>2.35</v>
      </c>
      <c r="E435" s="3">
        <v>4.034</v>
      </c>
    </row>
    <row r="436" ht="12.75" customHeight="1">
      <c r="A436" s="3">
        <v>19.0</v>
      </c>
      <c r="B436" s="3">
        <v>106.0</v>
      </c>
      <c r="C436" s="3">
        <v>5789500.0</v>
      </c>
      <c r="D436" s="3">
        <v>3.161</v>
      </c>
      <c r="E436" s="3">
        <v>5.7895</v>
      </c>
    </row>
    <row r="437" ht="12.75" customHeight="1">
      <c r="A437" s="3">
        <v>19.0</v>
      </c>
      <c r="B437" s="3">
        <v>107.0</v>
      </c>
      <c r="C437" s="3">
        <v>1.0486E7</v>
      </c>
      <c r="D437" s="3">
        <v>4.232</v>
      </c>
      <c r="E437" s="3">
        <v>10.486</v>
      </c>
    </row>
    <row r="438" ht="12.75" customHeight="1">
      <c r="A438" s="3">
        <v>19.0</v>
      </c>
      <c r="B438" s="3">
        <v>108.0</v>
      </c>
      <c r="C438" s="3">
        <v>1.5395E7</v>
      </c>
      <c r="D438" s="3">
        <v>5.586</v>
      </c>
      <c r="E438" s="3">
        <v>15.395</v>
      </c>
    </row>
    <row r="439" ht="12.75" customHeight="1">
      <c r="A439" s="3">
        <v>19.0</v>
      </c>
      <c r="B439" s="3">
        <v>109.0</v>
      </c>
      <c r="C439" s="3">
        <v>2.1771E7</v>
      </c>
      <c r="D439" s="3">
        <v>7.166</v>
      </c>
      <c r="E439" s="3">
        <v>21.771</v>
      </c>
    </row>
    <row r="440" ht="12.75" customHeight="1">
      <c r="A440" s="3">
        <v>19.0</v>
      </c>
      <c r="B440" s="3">
        <v>109.28</v>
      </c>
      <c r="C440" s="3">
        <v>2.4E7</v>
      </c>
      <c r="D440" s="3">
        <v>7.604</v>
      </c>
      <c r="E440" s="3">
        <v>24.0</v>
      </c>
    </row>
    <row r="441" ht="12.75" customHeight="1">
      <c r="A441" s="3">
        <v>19.0</v>
      </c>
      <c r="B441" s="3">
        <v>110.0</v>
      </c>
      <c r="C441" s="3">
        <v>2.9717E7</v>
      </c>
      <c r="D441" s="3">
        <v>8.727</v>
      </c>
      <c r="E441" s="3">
        <v>29.717</v>
      </c>
    </row>
    <row r="442" ht="12.75" customHeight="1">
      <c r="A442" s="3">
        <v>19.0</v>
      </c>
      <c r="B442" s="3">
        <v>111.0</v>
      </c>
      <c r="C442" s="3">
        <v>3.97E7</v>
      </c>
      <c r="D442" s="3">
        <v>10.7</v>
      </c>
      <c r="E442" s="3">
        <v>39.7</v>
      </c>
    </row>
    <row r="443" ht="12.75" customHeight="1">
      <c r="A443" s="3">
        <v>20.0</v>
      </c>
      <c r="B443" s="3">
        <v>178.58</v>
      </c>
      <c r="C443" s="3">
        <v>0.0</v>
      </c>
      <c r="D443" s="3">
        <v>0.0</v>
      </c>
      <c r="E443" s="3">
        <v>0.0</v>
      </c>
    </row>
    <row r="444" ht="12.75" customHeight="1">
      <c r="A444" s="3">
        <v>20.0</v>
      </c>
      <c r="B444" s="3">
        <v>179.0</v>
      </c>
      <c r="C444" s="3">
        <v>52.0</v>
      </c>
      <c r="D444" s="3">
        <v>5.0E-4</v>
      </c>
      <c r="E444" s="3">
        <v>5.2E-5</v>
      </c>
    </row>
    <row r="445" ht="12.75" customHeight="1">
      <c r="A445" s="3">
        <v>20.0</v>
      </c>
      <c r="B445" s="3">
        <v>180.0</v>
      </c>
      <c r="C445" s="3">
        <v>7214.0</v>
      </c>
      <c r="D445" s="3">
        <v>0.018</v>
      </c>
      <c r="E445" s="3">
        <v>0.007214</v>
      </c>
    </row>
    <row r="446" ht="12.75" customHeight="1">
      <c r="A446" s="3">
        <v>20.0</v>
      </c>
      <c r="B446" s="3">
        <v>181.0</v>
      </c>
      <c r="C446" s="3">
        <v>53615.0</v>
      </c>
      <c r="D446" s="3">
        <v>0.0766</v>
      </c>
      <c r="E446" s="3">
        <v>0.053615</v>
      </c>
    </row>
    <row r="447" ht="12.75" customHeight="1">
      <c r="A447" s="3">
        <v>20.0</v>
      </c>
      <c r="B447" s="3">
        <v>182.0</v>
      </c>
      <c r="C447" s="3">
        <v>176926.0</v>
      </c>
      <c r="D447" s="3">
        <v>0.175</v>
      </c>
      <c r="E447" s="3">
        <v>0.176926</v>
      </c>
    </row>
    <row r="448" ht="12.75" customHeight="1">
      <c r="A448" s="3">
        <v>20.0</v>
      </c>
      <c r="B448" s="3">
        <v>183.0</v>
      </c>
      <c r="C448" s="3">
        <v>400170.0</v>
      </c>
      <c r="D448" s="3">
        <v>0.2714</v>
      </c>
      <c r="E448" s="3">
        <v>0.40017</v>
      </c>
    </row>
    <row r="449" ht="12.75" customHeight="1">
      <c r="A449" s="3">
        <v>20.0</v>
      </c>
      <c r="B449" s="3">
        <v>184.0</v>
      </c>
      <c r="C449" s="3">
        <v>729119.0</v>
      </c>
      <c r="D449" s="3">
        <v>0.3751</v>
      </c>
      <c r="E449" s="3">
        <v>0.729119</v>
      </c>
    </row>
    <row r="450" ht="12.75" customHeight="1">
      <c r="A450" s="3">
        <v>20.0</v>
      </c>
      <c r="B450" s="3">
        <v>185.0</v>
      </c>
      <c r="C450" s="3">
        <v>1132106.0</v>
      </c>
      <c r="D450" s="3">
        <v>0.4199</v>
      </c>
      <c r="E450" s="3">
        <v>1.132106</v>
      </c>
    </row>
    <row r="451" ht="12.75" customHeight="1">
      <c r="A451" s="3">
        <v>20.0</v>
      </c>
      <c r="B451" s="3">
        <v>185.53</v>
      </c>
      <c r="C451" s="3">
        <v>1357789.0</v>
      </c>
      <c r="D451" s="3">
        <v>0.4445</v>
      </c>
      <c r="E451" s="3">
        <v>1.357789</v>
      </c>
    </row>
    <row r="452" ht="12.75" customHeight="1">
      <c r="A452" s="3">
        <v>20.0</v>
      </c>
      <c r="B452" s="3">
        <v>186.0</v>
      </c>
      <c r="C452" s="3">
        <v>2870000.0</v>
      </c>
      <c r="D452" s="3">
        <v>0.9</v>
      </c>
      <c r="E452" s="3">
        <v>2.87</v>
      </c>
    </row>
    <row r="453" ht="12.75" customHeight="1">
      <c r="A453" s="3">
        <v>20.0</v>
      </c>
      <c r="B453" s="3">
        <v>187.0</v>
      </c>
      <c r="C453" s="3">
        <v>3880000.0</v>
      </c>
      <c r="D453" s="3">
        <v>1.11</v>
      </c>
      <c r="E453" s="3">
        <v>3.88</v>
      </c>
    </row>
    <row r="454" ht="12.75" customHeight="1">
      <c r="A454" s="3">
        <v>20.0</v>
      </c>
      <c r="B454" s="3">
        <v>188.0</v>
      </c>
      <c r="C454" s="3">
        <v>5110000.0</v>
      </c>
      <c r="D454" s="3">
        <v>1.35</v>
      </c>
      <c r="E454" s="3">
        <v>5.11</v>
      </c>
    </row>
    <row r="455" ht="12.75" customHeight="1">
      <c r="A455" s="3">
        <v>20.0</v>
      </c>
      <c r="B455" s="3">
        <v>189.0</v>
      </c>
      <c r="C455" s="3">
        <v>6590000.0</v>
      </c>
      <c r="D455" s="3">
        <v>1.6</v>
      </c>
      <c r="E455" s="3">
        <v>6.59</v>
      </c>
    </row>
    <row r="456" ht="12.75" customHeight="1">
      <c r="A456" s="3">
        <v>20.0</v>
      </c>
      <c r="B456" s="3">
        <v>190.0</v>
      </c>
      <c r="C456" s="3">
        <v>8330000.0</v>
      </c>
      <c r="D456" s="3">
        <v>1.85</v>
      </c>
      <c r="E456" s="3">
        <v>8.33</v>
      </c>
    </row>
    <row r="457" ht="12.75" customHeight="1">
      <c r="A457" s="3">
        <v>20.0</v>
      </c>
      <c r="B457" s="3">
        <v>191.0</v>
      </c>
      <c r="C457" s="3">
        <v>1.033E7</v>
      </c>
      <c r="D457" s="3">
        <v>2.15</v>
      </c>
      <c r="E457" s="3">
        <v>10.33</v>
      </c>
    </row>
    <row r="458" ht="12.75" customHeight="1">
      <c r="A458" s="3">
        <v>20.0</v>
      </c>
      <c r="B458" s="3">
        <v>192.0</v>
      </c>
      <c r="C458" s="3">
        <v>1.266E7</v>
      </c>
      <c r="D458" s="3">
        <v>2.51</v>
      </c>
      <c r="E458" s="3">
        <v>12.66</v>
      </c>
    </row>
    <row r="459" ht="12.75" customHeight="1">
      <c r="A459" s="3">
        <v>20.0</v>
      </c>
      <c r="B459" s="3">
        <v>193.0</v>
      </c>
      <c r="C459" s="3">
        <v>1.536E7</v>
      </c>
      <c r="D459" s="3">
        <v>2.88</v>
      </c>
      <c r="E459" s="3">
        <v>15.36</v>
      </c>
    </row>
    <row r="460" ht="12.75" customHeight="1">
      <c r="A460" s="3">
        <v>20.0</v>
      </c>
      <c r="B460" s="3">
        <v>194.0</v>
      </c>
      <c r="C460" s="3">
        <v>1.848E7</v>
      </c>
      <c r="D460" s="3">
        <v>3.35</v>
      </c>
      <c r="E460" s="3">
        <v>18.48</v>
      </c>
    </row>
    <row r="461" ht="12.75" customHeight="1">
      <c r="A461" s="3">
        <v>21.0</v>
      </c>
      <c r="B461" s="3">
        <v>88.14</v>
      </c>
      <c r="C461" s="3">
        <v>0.0</v>
      </c>
      <c r="D461" s="3">
        <v>0.0</v>
      </c>
      <c r="E461" s="3">
        <v>0.0</v>
      </c>
    </row>
    <row r="462" ht="12.75" customHeight="1">
      <c r="A462" s="3">
        <v>21.0</v>
      </c>
      <c r="B462" s="3">
        <v>88.5</v>
      </c>
      <c r="C462" s="3">
        <v>404.0</v>
      </c>
      <c r="D462" s="3">
        <v>0.0038</v>
      </c>
      <c r="E462" s="3">
        <v>4.04E-4</v>
      </c>
    </row>
    <row r="463" ht="12.75" customHeight="1">
      <c r="A463" s="3">
        <v>21.0</v>
      </c>
      <c r="B463" s="3">
        <v>89.0</v>
      </c>
      <c r="C463" s="3">
        <v>6159.0</v>
      </c>
      <c r="D463" s="3">
        <v>0.0201</v>
      </c>
      <c r="E463" s="3">
        <v>0.006159</v>
      </c>
    </row>
    <row r="464" ht="12.75" customHeight="1">
      <c r="A464" s="3">
        <v>21.0</v>
      </c>
      <c r="B464" s="3">
        <v>89.5</v>
      </c>
      <c r="C464" s="3">
        <v>21049.0</v>
      </c>
      <c r="D464" s="3">
        <v>0.0409</v>
      </c>
      <c r="E464" s="3">
        <v>0.021049</v>
      </c>
    </row>
    <row r="465" ht="12.75" customHeight="1">
      <c r="A465" s="3">
        <v>21.0</v>
      </c>
      <c r="B465" s="3">
        <v>90.0</v>
      </c>
      <c r="C465" s="3">
        <v>47892.0</v>
      </c>
      <c r="D465" s="3">
        <v>0.0675</v>
      </c>
      <c r="E465" s="3">
        <v>0.047892</v>
      </c>
    </row>
    <row r="466" ht="12.75" customHeight="1">
      <c r="A466" s="3">
        <v>21.0</v>
      </c>
      <c r="B466" s="3">
        <v>90.5</v>
      </c>
      <c r="C466" s="3">
        <v>91892.0</v>
      </c>
      <c r="D466" s="3">
        <v>0.1168</v>
      </c>
      <c r="E466" s="3">
        <v>0.091892</v>
      </c>
    </row>
    <row r="467" ht="12.75" customHeight="1">
      <c r="A467" s="3">
        <v>21.0</v>
      </c>
      <c r="B467" s="3">
        <v>91.0</v>
      </c>
      <c r="C467" s="3">
        <v>176793.0</v>
      </c>
      <c r="D467" s="3">
        <v>0.2256</v>
      </c>
      <c r="E467" s="3">
        <v>0.176793</v>
      </c>
    </row>
    <row r="468" ht="12.75" customHeight="1">
      <c r="A468" s="3">
        <v>21.0</v>
      </c>
      <c r="B468" s="3">
        <v>91.5</v>
      </c>
      <c r="C468" s="3">
        <v>317177.0</v>
      </c>
      <c r="D468" s="3">
        <v>0.336</v>
      </c>
      <c r="E468" s="3">
        <v>0.317177</v>
      </c>
    </row>
    <row r="469" ht="12.75" customHeight="1">
      <c r="A469" s="3">
        <v>21.0</v>
      </c>
      <c r="B469" s="3">
        <v>92.0</v>
      </c>
      <c r="C469" s="3">
        <v>514340.0</v>
      </c>
      <c r="D469" s="3">
        <v>0.4564</v>
      </c>
      <c r="E469" s="3">
        <v>0.51434</v>
      </c>
    </row>
    <row r="470" ht="12.75" customHeight="1">
      <c r="A470" s="3">
        <v>21.0</v>
      </c>
      <c r="B470" s="3">
        <v>92.5</v>
      </c>
      <c r="C470" s="3">
        <v>782584.0</v>
      </c>
      <c r="D470" s="3">
        <v>0.6259</v>
      </c>
      <c r="E470" s="3">
        <v>0.782584</v>
      </c>
    </row>
    <row r="471" ht="12.75" customHeight="1">
      <c r="A471" s="3">
        <v>21.0</v>
      </c>
      <c r="B471" s="3">
        <v>93.0</v>
      </c>
      <c r="C471" s="3">
        <v>1137236.0</v>
      </c>
      <c r="D471" s="3">
        <v>0.7902</v>
      </c>
      <c r="E471" s="3">
        <v>1.137236</v>
      </c>
    </row>
    <row r="472" ht="12.75" customHeight="1">
      <c r="A472" s="3">
        <v>21.0</v>
      </c>
      <c r="B472" s="3">
        <v>93.5</v>
      </c>
      <c r="C472" s="3">
        <v>1575017.0</v>
      </c>
      <c r="D472" s="3">
        <v>0.9625</v>
      </c>
      <c r="E472" s="3">
        <v>1.575017</v>
      </c>
    </row>
    <row r="473" ht="12.75" customHeight="1">
      <c r="A473" s="3">
        <v>21.0</v>
      </c>
      <c r="B473" s="3">
        <v>94.0</v>
      </c>
      <c r="C473" s="3">
        <v>2102192.0</v>
      </c>
      <c r="D473" s="3">
        <v>1.1489</v>
      </c>
      <c r="E473" s="3">
        <v>2.102192</v>
      </c>
    </row>
    <row r="474" ht="12.75" customHeight="1">
      <c r="A474" s="3">
        <v>21.0</v>
      </c>
      <c r="B474" s="3">
        <v>94.5</v>
      </c>
      <c r="C474" s="3">
        <v>2727369.0</v>
      </c>
      <c r="D474" s="3">
        <v>1.36</v>
      </c>
      <c r="E474" s="3">
        <v>2.727369</v>
      </c>
    </row>
    <row r="475" ht="12.75" customHeight="1">
      <c r="A475" s="3">
        <v>21.0</v>
      </c>
      <c r="B475" s="3">
        <v>95.0</v>
      </c>
      <c r="C475" s="3">
        <v>3455822.0</v>
      </c>
      <c r="D475" s="3">
        <v>1.5477</v>
      </c>
      <c r="E475" s="3">
        <v>3.455822</v>
      </c>
    </row>
    <row r="476" ht="12.75" customHeight="1">
      <c r="A476" s="3">
        <v>21.0</v>
      </c>
      <c r="B476" s="3">
        <v>95.5</v>
      </c>
      <c r="C476" s="3">
        <v>4274091.0</v>
      </c>
      <c r="D476" s="3">
        <v>1.7256</v>
      </c>
      <c r="E476" s="3">
        <v>4.274091</v>
      </c>
    </row>
    <row r="477" ht="12.75" customHeight="1">
      <c r="A477" s="3">
        <v>21.0</v>
      </c>
      <c r="B477" s="3">
        <v>96.0</v>
      </c>
      <c r="C477" s="3">
        <v>5182406.0</v>
      </c>
      <c r="D477" s="3">
        <v>1.9028</v>
      </c>
      <c r="E477" s="3">
        <v>5.182406</v>
      </c>
    </row>
    <row r="478" ht="12.75" customHeight="1">
      <c r="A478" s="3">
        <v>21.0</v>
      </c>
      <c r="B478" s="3">
        <v>96.36</v>
      </c>
      <c r="C478" s="3">
        <v>5884529.0</v>
      </c>
      <c r="D478" s="3">
        <v>2.0077</v>
      </c>
      <c r="E478" s="3">
        <v>5.884529</v>
      </c>
    </row>
    <row r="479" ht="12.75" customHeight="1">
      <c r="A479" s="3">
        <v>21.0</v>
      </c>
      <c r="B479" s="3">
        <v>97.0</v>
      </c>
      <c r="C479" s="3">
        <v>8108079.0</v>
      </c>
      <c r="D479" s="3">
        <v>2.25</v>
      </c>
      <c r="E479" s="3">
        <v>8.108079</v>
      </c>
    </row>
    <row r="480" ht="12.75" customHeight="1">
      <c r="A480" s="3">
        <v>21.0</v>
      </c>
      <c r="B480" s="3">
        <v>98.0</v>
      </c>
      <c r="C480" s="3">
        <v>1.2160479E7</v>
      </c>
      <c r="D480" s="3">
        <v>2.55</v>
      </c>
      <c r="E480" s="3">
        <v>12.160479</v>
      </c>
    </row>
    <row r="481" ht="12.75" customHeight="1">
      <c r="A481" s="3">
        <v>21.0</v>
      </c>
      <c r="B481" s="3">
        <v>99.0</v>
      </c>
      <c r="C481" s="3">
        <v>1.5786679E7</v>
      </c>
      <c r="D481" s="3">
        <v>2.8</v>
      </c>
      <c r="E481" s="3">
        <v>15.786679</v>
      </c>
    </row>
    <row r="482" ht="12.75" customHeight="1">
      <c r="A482" s="3">
        <v>21.0</v>
      </c>
      <c r="B482" s="3">
        <v>100.0</v>
      </c>
      <c r="C482" s="3">
        <v>2.145E7</v>
      </c>
      <c r="D482" s="3">
        <v>2.95</v>
      </c>
      <c r="E482" s="3">
        <v>21.45</v>
      </c>
    </row>
    <row r="483" ht="12.75" customHeight="1">
      <c r="A483" s="3">
        <v>22.0</v>
      </c>
      <c r="B483" s="3">
        <v>85.88</v>
      </c>
      <c r="C483" s="3">
        <v>0.0</v>
      </c>
      <c r="D483" s="3">
        <v>0.0</v>
      </c>
      <c r="E483" s="3">
        <v>0.0</v>
      </c>
    </row>
    <row r="484" ht="12.75" customHeight="1">
      <c r="A484" s="3">
        <v>22.0</v>
      </c>
      <c r="B484" s="3">
        <v>86.0</v>
      </c>
      <c r="C484" s="3">
        <v>3.0</v>
      </c>
      <c r="D484" s="3">
        <v>0.0</v>
      </c>
      <c r="E484" s="3">
        <v>3.0E-6</v>
      </c>
    </row>
    <row r="485" ht="12.75" customHeight="1">
      <c r="A485" s="3">
        <v>22.0</v>
      </c>
      <c r="B485" s="3">
        <v>87.0</v>
      </c>
      <c r="C485" s="3">
        <v>1230.0</v>
      </c>
      <c r="D485" s="3">
        <v>0.0</v>
      </c>
      <c r="E485" s="3">
        <v>0.00123</v>
      </c>
    </row>
    <row r="486" ht="12.75" customHeight="1">
      <c r="A486" s="3">
        <v>22.0</v>
      </c>
      <c r="B486" s="3">
        <v>88.0</v>
      </c>
      <c r="C486" s="3">
        <v>12586.0</v>
      </c>
      <c r="D486" s="3">
        <v>0.02</v>
      </c>
      <c r="E486" s="3">
        <v>0.012586</v>
      </c>
    </row>
    <row r="487" ht="12.75" customHeight="1">
      <c r="A487" s="3">
        <v>22.0</v>
      </c>
      <c r="B487" s="3">
        <v>89.0</v>
      </c>
      <c r="C487" s="3">
        <v>46827.0</v>
      </c>
      <c r="D487" s="3">
        <v>0.05</v>
      </c>
      <c r="E487" s="3">
        <v>0.046827</v>
      </c>
    </row>
    <row r="488" ht="12.75" customHeight="1">
      <c r="A488" s="3">
        <v>22.0</v>
      </c>
      <c r="B488" s="3">
        <v>90.0</v>
      </c>
      <c r="C488" s="3">
        <v>135165.0</v>
      </c>
      <c r="D488" s="3">
        <v>0.12</v>
      </c>
      <c r="E488" s="3">
        <v>0.135165</v>
      </c>
    </row>
    <row r="489" ht="12.75" customHeight="1">
      <c r="A489" s="3">
        <v>22.0</v>
      </c>
      <c r="B489" s="3">
        <v>91.0</v>
      </c>
      <c r="C489" s="3">
        <v>298687.0</v>
      </c>
      <c r="D489" s="3">
        <v>0.2</v>
      </c>
      <c r="E489" s="3">
        <v>0.298687</v>
      </c>
    </row>
    <row r="490" ht="12.75" customHeight="1">
      <c r="A490" s="3">
        <v>22.0</v>
      </c>
      <c r="B490" s="3">
        <v>92.0</v>
      </c>
      <c r="C490" s="3">
        <v>535761.0</v>
      </c>
      <c r="D490" s="3">
        <v>0.27</v>
      </c>
      <c r="E490" s="3">
        <v>0.535761</v>
      </c>
    </row>
    <row r="491" ht="12.75" customHeight="1">
      <c r="A491" s="3">
        <v>22.0</v>
      </c>
      <c r="B491" s="3">
        <v>93.0</v>
      </c>
      <c r="C491" s="3">
        <v>849037.0</v>
      </c>
      <c r="D491" s="3">
        <v>0.35</v>
      </c>
      <c r="E491" s="3">
        <v>0.849037</v>
      </c>
    </row>
    <row r="492" ht="12.75" customHeight="1">
      <c r="A492" s="3">
        <v>22.0</v>
      </c>
      <c r="B492" s="3">
        <v>94.0</v>
      </c>
      <c r="C492" s="3">
        <v>1241123.0</v>
      </c>
      <c r="D492" s="3">
        <v>0.43</v>
      </c>
      <c r="E492" s="3">
        <v>1.241123</v>
      </c>
    </row>
    <row r="493" ht="12.75" customHeight="1">
      <c r="A493" s="3">
        <v>22.0</v>
      </c>
      <c r="B493" s="3">
        <v>95.0</v>
      </c>
      <c r="C493" s="3">
        <v>1683260.0</v>
      </c>
      <c r="D493" s="3">
        <v>0.45</v>
      </c>
      <c r="E493" s="3">
        <v>1.68326</v>
      </c>
    </row>
    <row r="494" ht="12.75" customHeight="1">
      <c r="A494" s="3">
        <v>22.0</v>
      </c>
      <c r="B494" s="3">
        <v>95.58</v>
      </c>
      <c r="C494" s="3">
        <v>1948103.0</v>
      </c>
      <c r="D494" s="3">
        <v>0.48</v>
      </c>
      <c r="E494" s="3">
        <v>1.948103</v>
      </c>
    </row>
    <row r="495" ht="12.75" customHeight="1">
      <c r="A495" s="3">
        <v>22.0</v>
      </c>
      <c r="B495" s="3">
        <v>96.0</v>
      </c>
      <c r="C495" s="3">
        <v>2187502.0</v>
      </c>
      <c r="D495" s="3">
        <v>0.51</v>
      </c>
      <c r="E495" s="3">
        <v>2.187502</v>
      </c>
    </row>
    <row r="496" ht="12.75" customHeight="1">
      <c r="A496" s="3">
        <v>22.0</v>
      </c>
      <c r="B496" s="3">
        <v>97.0</v>
      </c>
      <c r="C496" s="3">
        <v>2817502.0</v>
      </c>
      <c r="D496" s="3">
        <v>0.58</v>
      </c>
      <c r="E496" s="3">
        <v>2.817502</v>
      </c>
    </row>
    <row r="497" ht="12.75" customHeight="1">
      <c r="A497" s="3">
        <v>22.0</v>
      </c>
      <c r="B497" s="3">
        <v>98.0</v>
      </c>
      <c r="C497" s="3">
        <v>3507502.0</v>
      </c>
      <c r="D497" s="3">
        <v>0.68</v>
      </c>
      <c r="E497" s="3">
        <v>3.507502</v>
      </c>
    </row>
    <row r="498" ht="12.75" customHeight="1">
      <c r="A498" s="3">
        <v>22.0</v>
      </c>
      <c r="B498" s="3">
        <v>99.0</v>
      </c>
      <c r="C498" s="3">
        <v>4272502.0</v>
      </c>
      <c r="D498" s="3">
        <v>0.78</v>
      </c>
      <c r="E498" s="3">
        <v>4.272502</v>
      </c>
    </row>
    <row r="499" ht="12.75" customHeight="1">
      <c r="A499" s="3">
        <v>22.0</v>
      </c>
      <c r="B499" s="3">
        <v>100.0</v>
      </c>
      <c r="C499" s="3">
        <v>5247502.0</v>
      </c>
      <c r="D499" s="3">
        <v>0.87</v>
      </c>
      <c r="E499" s="3">
        <v>5.247502</v>
      </c>
    </row>
    <row r="500" ht="12.75" customHeight="1">
      <c r="A500" s="3">
        <v>22.0</v>
      </c>
      <c r="B500" s="3">
        <v>101.0</v>
      </c>
      <c r="C500" s="3">
        <v>6247502.0</v>
      </c>
      <c r="D500" s="3">
        <v>0.96</v>
      </c>
      <c r="E500" s="3">
        <v>6.247502</v>
      </c>
    </row>
    <row r="501" ht="12.75" customHeight="1">
      <c r="A501" s="3">
        <v>23.0</v>
      </c>
      <c r="B501" s="3">
        <v>416.0</v>
      </c>
      <c r="C501" s="3">
        <v>0.0</v>
      </c>
      <c r="D501" s="3">
        <v>0.0</v>
      </c>
      <c r="E501" s="3">
        <v>0.0</v>
      </c>
    </row>
    <row r="502" ht="12.75" customHeight="1">
      <c r="A502" s="3">
        <v>23.0</v>
      </c>
      <c r="B502" s="3">
        <v>420.0</v>
      </c>
      <c r="C502" s="3">
        <v>120000.0</v>
      </c>
      <c r="D502" s="3">
        <v>0.06</v>
      </c>
      <c r="E502" s="3">
        <v>0.12</v>
      </c>
    </row>
    <row r="503" ht="12.75" customHeight="1">
      <c r="A503" s="3">
        <v>23.0</v>
      </c>
      <c r="B503" s="3">
        <v>425.0</v>
      </c>
      <c r="C503" s="3">
        <v>1320000.0</v>
      </c>
      <c r="D503" s="3">
        <v>0.41</v>
      </c>
      <c r="E503" s="3">
        <v>1.32</v>
      </c>
    </row>
    <row r="504" ht="12.75" customHeight="1">
      <c r="A504" s="3">
        <v>23.0</v>
      </c>
      <c r="B504" s="3">
        <v>430.0</v>
      </c>
      <c r="C504" s="3">
        <v>4500000.0</v>
      </c>
      <c r="D504" s="3">
        <v>0.85</v>
      </c>
      <c r="E504" s="3">
        <v>4.5</v>
      </c>
    </row>
    <row r="505" ht="12.75" customHeight="1">
      <c r="A505" s="3">
        <v>23.0</v>
      </c>
      <c r="B505" s="3">
        <v>435.0</v>
      </c>
      <c r="C505" s="3">
        <v>1.148E7</v>
      </c>
      <c r="D505" s="3">
        <v>1.93</v>
      </c>
      <c r="E505" s="3">
        <v>11.48</v>
      </c>
    </row>
    <row r="506" ht="12.75" customHeight="1">
      <c r="A506" s="3">
        <v>23.0</v>
      </c>
      <c r="B506" s="3">
        <v>440.0</v>
      </c>
      <c r="C506" s="3">
        <v>2.473E7</v>
      </c>
      <c r="D506" s="3">
        <v>3.35</v>
      </c>
      <c r="E506" s="3">
        <v>24.73</v>
      </c>
    </row>
    <row r="507" ht="12.75" customHeight="1">
      <c r="A507" s="3">
        <v>23.0</v>
      </c>
      <c r="B507" s="3">
        <v>441.0</v>
      </c>
      <c r="C507" s="3">
        <v>2.878E7</v>
      </c>
      <c r="D507" s="3">
        <v>3.63</v>
      </c>
      <c r="E507" s="3">
        <v>28.78</v>
      </c>
    </row>
    <row r="508" ht="12.75" customHeight="1">
      <c r="A508" s="3">
        <v>23.0</v>
      </c>
      <c r="B508" s="3">
        <v>445.0</v>
      </c>
      <c r="C508" s="3">
        <v>4.5E7</v>
      </c>
      <c r="D508" s="3">
        <v>4.75</v>
      </c>
      <c r="E508" s="3">
        <v>45.0</v>
      </c>
    </row>
    <row r="509" ht="12.75" customHeight="1">
      <c r="A509" s="3">
        <v>23.0</v>
      </c>
      <c r="B509" s="3">
        <v>446.0</v>
      </c>
      <c r="C509" s="3">
        <v>4.99E7</v>
      </c>
      <c r="D509" s="3">
        <v>5.05</v>
      </c>
      <c r="E509" s="3">
        <v>49.9</v>
      </c>
    </row>
    <row r="510" ht="12.75" customHeight="1">
      <c r="A510" s="3">
        <v>24.0</v>
      </c>
      <c r="B510" s="3">
        <v>418.4</v>
      </c>
      <c r="C510" s="3">
        <v>0.0</v>
      </c>
      <c r="D510" s="3">
        <v>0.0</v>
      </c>
      <c r="E510" s="3">
        <v>0.0</v>
      </c>
    </row>
    <row r="511" ht="12.75" customHeight="1">
      <c r="A511" s="3">
        <v>24.0</v>
      </c>
      <c r="B511" s="3">
        <v>419.0</v>
      </c>
      <c r="C511" s="3">
        <v>194.0</v>
      </c>
      <c r="D511" s="3">
        <v>0.0012</v>
      </c>
      <c r="E511" s="3">
        <v>1.94E-4</v>
      </c>
    </row>
    <row r="512" ht="12.75" customHeight="1">
      <c r="A512" s="3">
        <v>24.0</v>
      </c>
      <c r="B512" s="3">
        <v>420.0</v>
      </c>
      <c r="C512" s="3">
        <v>4288.0</v>
      </c>
      <c r="D512" s="3">
        <v>0.0093</v>
      </c>
      <c r="E512" s="3">
        <v>0.004288</v>
      </c>
    </row>
    <row r="513" ht="12.75" customHeight="1">
      <c r="A513" s="3">
        <v>24.0</v>
      </c>
      <c r="B513" s="3">
        <v>421.0</v>
      </c>
      <c r="C513" s="3">
        <v>23919.0</v>
      </c>
      <c r="D513" s="3">
        <v>0.0307</v>
      </c>
      <c r="E513" s="3">
        <v>0.023919</v>
      </c>
    </row>
    <row r="514" ht="12.75" customHeight="1">
      <c r="A514" s="3">
        <v>24.0</v>
      </c>
      <c r="B514" s="3">
        <v>422.0</v>
      </c>
      <c r="C514" s="3">
        <v>70538.0</v>
      </c>
      <c r="D514" s="3">
        <v>0.0632</v>
      </c>
      <c r="E514" s="3">
        <v>0.070538</v>
      </c>
    </row>
    <row r="515" ht="12.75" customHeight="1">
      <c r="A515" s="3">
        <v>24.0</v>
      </c>
      <c r="B515" s="3">
        <v>423.0</v>
      </c>
      <c r="C515" s="3">
        <v>156268.0</v>
      </c>
      <c r="D515" s="3">
        <v>0.1096</v>
      </c>
      <c r="E515" s="3">
        <v>0.156268</v>
      </c>
    </row>
    <row r="516" ht="12.75" customHeight="1">
      <c r="A516" s="3">
        <v>24.0</v>
      </c>
      <c r="B516" s="3">
        <v>424.0</v>
      </c>
      <c r="C516" s="3">
        <v>298281.0</v>
      </c>
      <c r="D516" s="3">
        <v>0.1728</v>
      </c>
      <c r="E516" s="3">
        <v>0.298281</v>
      </c>
    </row>
    <row r="517" ht="12.75" customHeight="1">
      <c r="A517" s="3">
        <v>24.0</v>
      </c>
      <c r="B517" s="3">
        <v>425.0</v>
      </c>
      <c r="C517" s="3">
        <v>517606.0</v>
      </c>
      <c r="D517" s="3">
        <v>0.2821</v>
      </c>
      <c r="E517" s="3">
        <v>0.517606</v>
      </c>
    </row>
    <row r="518" ht="12.75" customHeight="1">
      <c r="A518" s="3">
        <v>24.0</v>
      </c>
      <c r="B518" s="3">
        <v>426.0</v>
      </c>
      <c r="C518" s="3">
        <v>881411.0</v>
      </c>
      <c r="D518" s="3">
        <v>0.4542</v>
      </c>
      <c r="E518" s="3">
        <v>0.881411</v>
      </c>
    </row>
    <row r="519" ht="12.75" customHeight="1">
      <c r="A519" s="3">
        <v>24.0</v>
      </c>
      <c r="B519" s="3">
        <v>427.0</v>
      </c>
      <c r="C519" s="3">
        <v>1440217.0</v>
      </c>
      <c r="D519" s="3">
        <v>0.6705</v>
      </c>
      <c r="E519" s="3">
        <v>1.440217</v>
      </c>
    </row>
    <row r="520" ht="12.75" customHeight="1">
      <c r="A520" s="3">
        <v>24.0</v>
      </c>
      <c r="B520" s="3">
        <v>428.0</v>
      </c>
      <c r="C520" s="3">
        <v>2248292.0</v>
      </c>
      <c r="D520" s="3">
        <v>0.968</v>
      </c>
      <c r="E520" s="3">
        <v>2.248292</v>
      </c>
    </row>
    <row r="521" ht="12.75" customHeight="1">
      <c r="A521" s="3">
        <v>24.0</v>
      </c>
      <c r="B521" s="3">
        <v>429.0</v>
      </c>
      <c r="C521" s="3">
        <v>3406746.0</v>
      </c>
      <c r="D521" s="3">
        <v>1.3654</v>
      </c>
      <c r="E521" s="3">
        <v>3.406746</v>
      </c>
    </row>
    <row r="522" ht="12.75" customHeight="1">
      <c r="A522" s="3">
        <v>24.0</v>
      </c>
      <c r="B522" s="3">
        <v>430.0</v>
      </c>
      <c r="C522" s="3">
        <v>5016742.0</v>
      </c>
      <c r="D522" s="3">
        <v>1.8475</v>
      </c>
      <c r="E522" s="3">
        <v>5.016742</v>
      </c>
    </row>
    <row r="523" ht="12.75" customHeight="1">
      <c r="A523" s="3">
        <v>24.0</v>
      </c>
      <c r="B523" s="3">
        <v>431.0</v>
      </c>
      <c r="C523" s="3">
        <v>7103488.0</v>
      </c>
      <c r="D523" s="3">
        <v>2.3314</v>
      </c>
      <c r="E523" s="3">
        <v>7.103488</v>
      </c>
    </row>
    <row r="524" ht="12.75" customHeight="1">
      <c r="A524" s="3">
        <v>24.0</v>
      </c>
      <c r="B524" s="3">
        <v>432.0</v>
      </c>
      <c r="C524" s="3">
        <v>9700318.0</v>
      </c>
      <c r="D524" s="3">
        <v>2.7935</v>
      </c>
      <c r="E524" s="3">
        <v>9.700318</v>
      </c>
    </row>
    <row r="525" ht="12.75" customHeight="1">
      <c r="A525" s="3">
        <v>24.0</v>
      </c>
      <c r="B525" s="3">
        <v>432.89</v>
      </c>
      <c r="C525" s="3">
        <v>1.2266821E7</v>
      </c>
      <c r="D525" s="3">
        <v>2.9672</v>
      </c>
      <c r="E525" s="3">
        <v>12.266821</v>
      </c>
    </row>
    <row r="526" ht="12.75" customHeight="1">
      <c r="A526" s="3">
        <v>24.0</v>
      </c>
      <c r="B526" s="3">
        <v>433.0</v>
      </c>
      <c r="C526" s="3">
        <v>1.3E7</v>
      </c>
      <c r="D526" s="3">
        <v>3.0508</v>
      </c>
      <c r="E526" s="3">
        <v>13.0</v>
      </c>
    </row>
    <row r="527" ht="12.75" customHeight="1">
      <c r="A527" s="3">
        <v>24.0</v>
      </c>
      <c r="B527" s="3">
        <v>434.0</v>
      </c>
      <c r="C527" s="3">
        <v>1.7328962E7</v>
      </c>
      <c r="D527" s="3">
        <v>4.0308</v>
      </c>
      <c r="E527" s="3">
        <v>17.328962</v>
      </c>
    </row>
    <row r="528" ht="12.75" customHeight="1">
      <c r="A528" s="3">
        <v>24.0</v>
      </c>
      <c r="B528" s="3">
        <v>435.0</v>
      </c>
      <c r="C528" s="3">
        <v>2.3078962E7</v>
      </c>
      <c r="D528" s="3">
        <v>5.0308</v>
      </c>
      <c r="E528" s="3">
        <v>23.078962</v>
      </c>
    </row>
    <row r="529" ht="12.75" customHeight="1">
      <c r="A529" s="3">
        <v>24.0</v>
      </c>
      <c r="B529" s="3">
        <v>436.0</v>
      </c>
      <c r="C529" s="3">
        <v>2.9808962E7</v>
      </c>
      <c r="D529" s="3">
        <v>5.9908</v>
      </c>
      <c r="E529" s="3">
        <v>29.808962</v>
      </c>
    </row>
    <row r="530" ht="12.75" customHeight="1">
      <c r="A530" s="3">
        <v>24.0</v>
      </c>
      <c r="B530" s="3">
        <v>437.0</v>
      </c>
      <c r="C530" s="3">
        <v>3.7768962E7</v>
      </c>
      <c r="D530" s="3">
        <v>7.5008</v>
      </c>
      <c r="E530" s="3">
        <v>37.768962</v>
      </c>
    </row>
    <row r="531" ht="12.75" customHeight="1">
      <c r="A531" s="3">
        <v>24.0</v>
      </c>
      <c r="B531" s="3">
        <v>438.0</v>
      </c>
      <c r="C531" s="3">
        <v>4.7138962E7</v>
      </c>
      <c r="D531" s="3">
        <v>8.8108</v>
      </c>
      <c r="E531" s="3">
        <v>47.138962</v>
      </c>
    </row>
    <row r="532" ht="12.75" customHeight="1">
      <c r="A532" s="3">
        <v>24.0</v>
      </c>
      <c r="B532" s="3">
        <v>439.0</v>
      </c>
      <c r="C532" s="3">
        <v>5.8018962E7</v>
      </c>
      <c r="D532" s="3">
        <v>10.5208</v>
      </c>
      <c r="E532" s="3">
        <v>58.018962</v>
      </c>
    </row>
    <row r="533" ht="12.75" customHeight="1">
      <c r="A533" s="3">
        <v>24.0</v>
      </c>
      <c r="B533" s="3">
        <v>440.0</v>
      </c>
      <c r="C533" s="3">
        <v>7.0738962E7</v>
      </c>
      <c r="D533" s="3">
        <v>12.4908</v>
      </c>
      <c r="E533" s="3">
        <v>70.738962</v>
      </c>
    </row>
    <row r="534" ht="12.75" customHeight="1">
      <c r="A534" s="3">
        <v>25.0</v>
      </c>
      <c r="B534" s="3">
        <v>95.0</v>
      </c>
      <c r="C534" s="3">
        <v>0.0</v>
      </c>
      <c r="D534" s="3">
        <v>0.005</v>
      </c>
      <c r="E534" s="3">
        <v>0.0</v>
      </c>
    </row>
    <row r="535" ht="12.75" customHeight="1">
      <c r="A535" s="3">
        <v>25.0</v>
      </c>
      <c r="B535" s="3">
        <v>96.0</v>
      </c>
      <c r="C535" s="3">
        <v>8000.0</v>
      </c>
      <c r="D535" s="3">
        <v>0.01</v>
      </c>
      <c r="E535" s="3">
        <v>0.008</v>
      </c>
    </row>
    <row r="536" ht="12.75" customHeight="1">
      <c r="A536" s="3">
        <v>25.0</v>
      </c>
      <c r="B536" s="3">
        <v>97.0</v>
      </c>
      <c r="C536" s="3">
        <v>20000.0</v>
      </c>
      <c r="D536" s="3">
        <v>0.02</v>
      </c>
      <c r="E536" s="3">
        <v>0.02</v>
      </c>
    </row>
    <row r="537" ht="12.75" customHeight="1">
      <c r="A537" s="3">
        <v>25.0</v>
      </c>
      <c r="B537" s="3">
        <v>98.0</v>
      </c>
      <c r="C537" s="3">
        <v>80000.0</v>
      </c>
      <c r="D537" s="3">
        <v>0.07</v>
      </c>
      <c r="E537" s="3">
        <v>0.08</v>
      </c>
    </row>
    <row r="538" ht="12.75" customHeight="1">
      <c r="A538" s="3">
        <v>25.0</v>
      </c>
      <c r="B538" s="3">
        <v>99.0</v>
      </c>
      <c r="C538" s="3">
        <v>250000.0</v>
      </c>
      <c r="D538" s="3">
        <v>0.26</v>
      </c>
      <c r="E538" s="3">
        <v>0.25</v>
      </c>
    </row>
    <row r="539" ht="12.75" customHeight="1">
      <c r="A539" s="3">
        <v>25.0</v>
      </c>
      <c r="B539" s="3">
        <v>100.0</v>
      </c>
      <c r="C539" s="3">
        <v>620000.0</v>
      </c>
      <c r="D539" s="3">
        <v>0.48</v>
      </c>
      <c r="E539" s="3">
        <v>0.62</v>
      </c>
    </row>
    <row r="540" ht="12.75" customHeight="1">
      <c r="A540" s="3">
        <v>25.0</v>
      </c>
      <c r="B540" s="3">
        <v>101.0</v>
      </c>
      <c r="C540" s="3">
        <v>1360000.0</v>
      </c>
      <c r="D540" s="3">
        <v>0.99</v>
      </c>
      <c r="E540" s="3">
        <v>1.36</v>
      </c>
    </row>
    <row r="541" ht="12.75" customHeight="1">
      <c r="A541" s="3">
        <v>25.0</v>
      </c>
      <c r="B541" s="3">
        <v>102.0</v>
      </c>
      <c r="C541" s="3">
        <v>2890000.0</v>
      </c>
      <c r="D541" s="3">
        <v>2.06</v>
      </c>
      <c r="E541" s="3">
        <v>2.89</v>
      </c>
    </row>
    <row r="542" ht="12.75" customHeight="1">
      <c r="A542" s="3">
        <v>25.0</v>
      </c>
      <c r="B542" s="3">
        <v>103.0</v>
      </c>
      <c r="C542" s="3">
        <v>5550000.0</v>
      </c>
      <c r="D542" s="3">
        <v>3.25</v>
      </c>
      <c r="E542" s="3">
        <v>5.55</v>
      </c>
    </row>
    <row r="543" ht="12.75" customHeight="1">
      <c r="A543" s="3">
        <v>25.0</v>
      </c>
      <c r="B543" s="3">
        <v>104.0</v>
      </c>
      <c r="C543" s="3">
        <v>9520000.0</v>
      </c>
      <c r="D543" s="3">
        <v>4.68</v>
      </c>
      <c r="E543" s="3">
        <v>9.52</v>
      </c>
    </row>
    <row r="544" ht="12.75" customHeight="1">
      <c r="A544" s="3">
        <v>25.0</v>
      </c>
      <c r="B544" s="3">
        <v>105.0</v>
      </c>
      <c r="C544" s="3">
        <v>1.493E7</v>
      </c>
      <c r="D544" s="3">
        <v>6.13</v>
      </c>
      <c r="E544" s="3">
        <v>14.93</v>
      </c>
    </row>
    <row r="545" ht="12.75" customHeight="1">
      <c r="A545" s="3">
        <v>25.0</v>
      </c>
      <c r="B545" s="3">
        <v>106.0</v>
      </c>
      <c r="C545" s="3">
        <v>2.183E7</v>
      </c>
      <c r="D545" s="3">
        <v>7.66</v>
      </c>
      <c r="E545" s="3">
        <v>21.83</v>
      </c>
    </row>
    <row r="546" ht="12.75" customHeight="1">
      <c r="A546" s="3">
        <v>25.0</v>
      </c>
      <c r="B546" s="3">
        <v>107.0</v>
      </c>
      <c r="C546" s="3">
        <v>3.024E7</v>
      </c>
      <c r="D546" s="3">
        <v>9.15</v>
      </c>
      <c r="E546" s="3">
        <v>30.24</v>
      </c>
    </row>
    <row r="547" ht="12.75" customHeight="1">
      <c r="A547" s="3">
        <v>25.0</v>
      </c>
      <c r="B547" s="3">
        <v>108.0</v>
      </c>
      <c r="C547" s="3">
        <v>4.024E7</v>
      </c>
      <c r="D547" s="3">
        <v>10.83</v>
      </c>
      <c r="E547" s="3">
        <v>40.24</v>
      </c>
    </row>
    <row r="548" ht="12.75" customHeight="1">
      <c r="A548" s="3">
        <v>25.0</v>
      </c>
      <c r="B548" s="3">
        <v>109.0</v>
      </c>
      <c r="C548" s="3">
        <v>5.191E7</v>
      </c>
      <c r="D548" s="3">
        <v>12.49</v>
      </c>
      <c r="E548" s="3">
        <v>51.91</v>
      </c>
    </row>
    <row r="549" ht="12.75" customHeight="1">
      <c r="A549" s="3">
        <v>25.0</v>
      </c>
      <c r="B549" s="3">
        <v>110.0</v>
      </c>
      <c r="C549" s="3">
        <v>6.532E7</v>
      </c>
      <c r="D549" s="3">
        <v>14.34</v>
      </c>
      <c r="E549" s="3">
        <v>65.32</v>
      </c>
    </row>
    <row r="550" ht="12.75" customHeight="1">
      <c r="A550" s="3">
        <v>25.0</v>
      </c>
      <c r="B550" s="3">
        <v>111.0</v>
      </c>
      <c r="C550" s="3">
        <v>8.068E7</v>
      </c>
      <c r="D550" s="3">
        <v>16.37</v>
      </c>
      <c r="E550" s="3">
        <v>80.68</v>
      </c>
    </row>
    <row r="551" ht="12.75" customHeight="1">
      <c r="A551" s="3">
        <v>25.0</v>
      </c>
      <c r="B551" s="3">
        <v>112.0</v>
      </c>
      <c r="C551" s="3">
        <v>9.792E7</v>
      </c>
      <c r="D551" s="3">
        <v>18.1</v>
      </c>
      <c r="E551" s="3">
        <v>97.92</v>
      </c>
    </row>
    <row r="552" ht="12.75" customHeight="1">
      <c r="A552" s="3">
        <v>26.0</v>
      </c>
      <c r="B552" s="3">
        <v>103.0</v>
      </c>
      <c r="C552" s="3">
        <v>0.0</v>
      </c>
      <c r="D552" s="3">
        <v>0.0</v>
      </c>
      <c r="E552" s="3">
        <v>0.0</v>
      </c>
    </row>
    <row r="553" ht="12.75" customHeight="1">
      <c r="A553" s="3">
        <v>26.0</v>
      </c>
      <c r="B553" s="3">
        <v>103.5</v>
      </c>
      <c r="C553" s="3">
        <v>38914.0</v>
      </c>
      <c r="D553" s="3">
        <v>0.0675</v>
      </c>
      <c r="E553" s="3">
        <v>0.038914</v>
      </c>
    </row>
    <row r="554" ht="12.75" customHeight="1">
      <c r="A554" s="3">
        <v>26.0</v>
      </c>
      <c r="B554" s="3">
        <v>104.0</v>
      </c>
      <c r="C554" s="3">
        <v>84663.0</v>
      </c>
      <c r="D554" s="3">
        <v>0.1214</v>
      </c>
      <c r="E554" s="3">
        <v>0.084663</v>
      </c>
    </row>
    <row r="555" ht="12.75" customHeight="1">
      <c r="A555" s="3">
        <v>26.0</v>
      </c>
      <c r="B555" s="3">
        <v>104.5</v>
      </c>
      <c r="C555" s="3">
        <v>166100.0</v>
      </c>
      <c r="D555" s="3">
        <v>0.2089</v>
      </c>
      <c r="E555" s="3">
        <v>0.1661</v>
      </c>
    </row>
    <row r="556" ht="12.75" customHeight="1">
      <c r="A556" s="3">
        <v>26.0</v>
      </c>
      <c r="B556" s="3">
        <v>105.0</v>
      </c>
      <c r="C556" s="3">
        <v>302171.0</v>
      </c>
      <c r="D556" s="3">
        <v>0.3346</v>
      </c>
      <c r="E556" s="3">
        <v>0.302171</v>
      </c>
    </row>
    <row r="557" ht="12.75" customHeight="1">
      <c r="A557" s="3">
        <v>26.0</v>
      </c>
      <c r="B557" s="3">
        <v>105.5</v>
      </c>
      <c r="C557" s="3">
        <v>500378.0</v>
      </c>
      <c r="D557" s="3">
        <v>0.4505</v>
      </c>
      <c r="E557" s="3">
        <v>0.500378</v>
      </c>
    </row>
    <row r="558" ht="12.75" customHeight="1">
      <c r="A558" s="3">
        <v>26.0</v>
      </c>
      <c r="B558" s="3">
        <v>106.0</v>
      </c>
      <c r="C558" s="3">
        <v>748229.0</v>
      </c>
      <c r="D558" s="3">
        <v>0.5377</v>
      </c>
      <c r="E558" s="3">
        <v>0.748229</v>
      </c>
    </row>
    <row r="559" ht="12.75" customHeight="1">
      <c r="A559" s="3">
        <v>26.0</v>
      </c>
      <c r="B559" s="3">
        <v>106.5</v>
      </c>
      <c r="C559" s="3">
        <v>1035574.0</v>
      </c>
      <c r="D559" s="3">
        <v>0.6098</v>
      </c>
      <c r="E559" s="3">
        <v>1.035574</v>
      </c>
    </row>
    <row r="560" ht="12.75" customHeight="1">
      <c r="A560" s="3">
        <v>26.0</v>
      </c>
      <c r="B560" s="3">
        <v>107.0</v>
      </c>
      <c r="C560" s="3">
        <v>1357388.0</v>
      </c>
      <c r="D560" s="3">
        <v>0.6774</v>
      </c>
      <c r="E560" s="3">
        <v>1.357388</v>
      </c>
    </row>
    <row r="561" ht="12.75" customHeight="1">
      <c r="A561" s="3">
        <v>26.0</v>
      </c>
      <c r="B561" s="3">
        <v>107.5</v>
      </c>
      <c r="C561" s="3">
        <v>1712287.0</v>
      </c>
      <c r="D561" s="3">
        <v>0.7418</v>
      </c>
      <c r="E561" s="3">
        <v>1.712287</v>
      </c>
    </row>
    <row r="562" ht="12.75" customHeight="1">
      <c r="A562" s="3">
        <v>26.0</v>
      </c>
      <c r="B562" s="3">
        <v>108.0</v>
      </c>
      <c r="C562" s="3">
        <v>2099339.0</v>
      </c>
      <c r="D562" s="3">
        <v>0.8058</v>
      </c>
      <c r="E562" s="3">
        <v>2.099339</v>
      </c>
    </row>
    <row r="563" ht="12.75" customHeight="1">
      <c r="A563" s="3">
        <v>26.0</v>
      </c>
      <c r="B563" s="3">
        <v>108.5</v>
      </c>
      <c r="C563" s="3">
        <v>2517678.0</v>
      </c>
      <c r="D563" s="3">
        <v>0.868</v>
      </c>
      <c r="E563" s="3">
        <v>2.517678</v>
      </c>
    </row>
    <row r="564" ht="12.75" customHeight="1">
      <c r="A564" s="3">
        <v>26.0</v>
      </c>
      <c r="B564" s="3">
        <v>109.0</v>
      </c>
      <c r="C564" s="3">
        <v>2967404.0</v>
      </c>
      <c r="D564" s="3">
        <v>0.9321</v>
      </c>
      <c r="E564" s="3">
        <v>2.967404</v>
      </c>
    </row>
    <row r="565" ht="12.75" customHeight="1">
      <c r="A565" s="3">
        <v>26.0</v>
      </c>
      <c r="B565" s="3">
        <v>109.5</v>
      </c>
      <c r="C565" s="3">
        <v>3451871.0</v>
      </c>
      <c r="D565" s="3">
        <v>1.0068</v>
      </c>
      <c r="E565" s="3">
        <v>3.451871</v>
      </c>
    </row>
    <row r="566" ht="12.75" customHeight="1">
      <c r="A566" s="3">
        <v>26.0</v>
      </c>
      <c r="B566" s="3">
        <v>110.0</v>
      </c>
      <c r="C566" s="3">
        <v>3977666.0</v>
      </c>
      <c r="D566" s="3">
        <v>1.1077</v>
      </c>
      <c r="E566" s="3">
        <v>3.977666</v>
      </c>
    </row>
    <row r="567" ht="12.75" customHeight="1">
      <c r="A567" s="3">
        <v>26.0</v>
      </c>
      <c r="B567" s="3">
        <v>110.5</v>
      </c>
      <c r="C567" s="3">
        <v>4564335.0</v>
      </c>
      <c r="D567" s="3">
        <v>1.2334</v>
      </c>
      <c r="E567" s="3">
        <v>4.564335</v>
      </c>
    </row>
    <row r="568" ht="12.75" customHeight="1">
      <c r="A568" s="3">
        <v>26.0</v>
      </c>
      <c r="B568" s="3">
        <v>111.0</v>
      </c>
      <c r="C568" s="3">
        <v>5194457.0</v>
      </c>
      <c r="D568" s="3">
        <v>1.337</v>
      </c>
      <c r="E568" s="3">
        <v>5.194457</v>
      </c>
    </row>
    <row r="569" ht="12.75" customHeight="1">
      <c r="A569" s="3">
        <v>26.0</v>
      </c>
      <c r="B569" s="3">
        <v>112.0</v>
      </c>
      <c r="C569" s="3">
        <v>6642949.0</v>
      </c>
      <c r="D569" s="3">
        <v>1.56</v>
      </c>
      <c r="E569" s="3">
        <v>6.642949</v>
      </c>
    </row>
    <row r="570" ht="12.75" customHeight="1">
      <c r="A570" s="3">
        <v>26.0</v>
      </c>
      <c r="B570" s="3">
        <v>113.0</v>
      </c>
      <c r="C570" s="3">
        <v>8312949.0</v>
      </c>
      <c r="D570" s="3">
        <v>1.78</v>
      </c>
      <c r="E570" s="3">
        <v>8.312949</v>
      </c>
    </row>
    <row r="571" ht="12.75" customHeight="1">
      <c r="A571" s="3">
        <v>27.0</v>
      </c>
      <c r="B571" s="3">
        <v>522.79</v>
      </c>
      <c r="C571" s="3">
        <v>0.0</v>
      </c>
      <c r="D571" s="3">
        <v>0.0</v>
      </c>
      <c r="E571" s="3">
        <v>0.0</v>
      </c>
    </row>
    <row r="572" ht="12.75" customHeight="1">
      <c r="A572" s="3">
        <v>27.0</v>
      </c>
      <c r="B572" s="3">
        <v>523.0</v>
      </c>
      <c r="C572" s="3">
        <v>5.0</v>
      </c>
      <c r="D572" s="3">
        <v>1.0E-4</v>
      </c>
      <c r="E572" s="3">
        <v>5.0E-6</v>
      </c>
    </row>
    <row r="573" ht="12.75" customHeight="1">
      <c r="A573" s="3">
        <v>27.0</v>
      </c>
      <c r="B573" s="3">
        <v>524.0</v>
      </c>
      <c r="C573" s="3">
        <v>6788.0</v>
      </c>
      <c r="D573" s="3">
        <v>0.0</v>
      </c>
      <c r="E573" s="3">
        <v>0.006788</v>
      </c>
    </row>
    <row r="574" ht="12.75" customHeight="1">
      <c r="A574" s="3">
        <v>27.0</v>
      </c>
      <c r="B574" s="3">
        <v>525.0</v>
      </c>
      <c r="C574" s="3">
        <v>37136.0</v>
      </c>
      <c r="D574" s="3">
        <v>0.0472</v>
      </c>
      <c r="E574" s="3">
        <v>0.037136</v>
      </c>
    </row>
    <row r="575" ht="12.75" customHeight="1">
      <c r="A575" s="3">
        <v>27.0</v>
      </c>
      <c r="B575" s="3">
        <v>526.0</v>
      </c>
      <c r="C575" s="3">
        <v>106337.0</v>
      </c>
      <c r="D575" s="3">
        <v>0.0937</v>
      </c>
      <c r="E575" s="3">
        <v>0.106337</v>
      </c>
    </row>
    <row r="576" ht="12.75" customHeight="1">
      <c r="A576" s="3">
        <v>27.0</v>
      </c>
      <c r="B576" s="3">
        <v>527.0</v>
      </c>
      <c r="C576" s="3">
        <v>232513.0</v>
      </c>
      <c r="D576" s="3">
        <v>0.1635</v>
      </c>
      <c r="E576" s="3">
        <v>0.232513</v>
      </c>
    </row>
    <row r="577" ht="12.75" customHeight="1">
      <c r="A577" s="3">
        <v>27.0</v>
      </c>
      <c r="B577" s="3">
        <v>528.0</v>
      </c>
      <c r="C577" s="3">
        <v>438852.0</v>
      </c>
      <c r="D577" s="3">
        <v>0.2559</v>
      </c>
      <c r="E577" s="3">
        <v>0.438852</v>
      </c>
    </row>
    <row r="578" ht="12.75" customHeight="1">
      <c r="A578" s="3">
        <v>27.0</v>
      </c>
      <c r="B578" s="3">
        <v>529.0</v>
      </c>
      <c r="C578" s="3">
        <v>763975.0</v>
      </c>
      <c r="D578" s="3">
        <v>0.402</v>
      </c>
      <c r="E578" s="3">
        <v>0.763975</v>
      </c>
    </row>
    <row r="579" ht="12.75" customHeight="1">
      <c r="A579" s="3">
        <v>27.0</v>
      </c>
      <c r="B579" s="3">
        <v>530.0</v>
      </c>
      <c r="C579" s="3">
        <v>1266309.0</v>
      </c>
      <c r="D579" s="3">
        <v>0.6169</v>
      </c>
      <c r="E579" s="3">
        <v>1.266309</v>
      </c>
    </row>
    <row r="580" ht="12.75" customHeight="1">
      <c r="A580" s="3">
        <v>27.0</v>
      </c>
      <c r="B580" s="3">
        <v>531.0</v>
      </c>
      <c r="C580" s="3">
        <v>1999926.0</v>
      </c>
      <c r="D580" s="3">
        <v>0.8268</v>
      </c>
      <c r="E580" s="3">
        <v>1.999926</v>
      </c>
    </row>
    <row r="581" ht="12.75" customHeight="1">
      <c r="A581" s="3">
        <v>27.0</v>
      </c>
      <c r="B581" s="3">
        <v>532.0</v>
      </c>
      <c r="C581" s="3">
        <v>2873542.0</v>
      </c>
      <c r="D581" s="3">
        <v>0.9032</v>
      </c>
      <c r="E581" s="3">
        <v>2.873542</v>
      </c>
    </row>
    <row r="582" ht="12.75" customHeight="1">
      <c r="A582" s="3">
        <v>27.0</v>
      </c>
      <c r="B582" s="3">
        <v>532.39</v>
      </c>
      <c r="C582" s="3">
        <v>3229297.0</v>
      </c>
      <c r="D582" s="3">
        <v>1.0282</v>
      </c>
      <c r="E582" s="3">
        <v>3.229297</v>
      </c>
    </row>
    <row r="583" ht="12.75" customHeight="1">
      <c r="A583" s="3">
        <v>27.0</v>
      </c>
      <c r="B583" s="3">
        <v>532.5</v>
      </c>
      <c r="C583" s="3">
        <v>3347765.0</v>
      </c>
      <c r="D583" s="3">
        <v>1.0634</v>
      </c>
      <c r="E583" s="3">
        <v>3.347765</v>
      </c>
    </row>
    <row r="584" ht="12.75" customHeight="1">
      <c r="A584" s="3">
        <v>27.0</v>
      </c>
      <c r="B584" s="3">
        <v>533.0</v>
      </c>
      <c r="C584" s="3">
        <v>3973859.0</v>
      </c>
      <c r="D584" s="3">
        <v>1.2354</v>
      </c>
      <c r="E584" s="3">
        <v>3.973859</v>
      </c>
    </row>
    <row r="585" ht="12.75" customHeight="1">
      <c r="A585" s="3">
        <v>27.0</v>
      </c>
      <c r="B585" s="3">
        <v>533.5</v>
      </c>
      <c r="C585" s="3">
        <v>4689674.0</v>
      </c>
      <c r="D585" s="3">
        <v>1.4234</v>
      </c>
      <c r="E585" s="3">
        <v>4.689674</v>
      </c>
    </row>
    <row r="586" ht="12.75" customHeight="1">
      <c r="A586" s="3">
        <v>27.0</v>
      </c>
      <c r="B586" s="3">
        <v>534.0</v>
      </c>
      <c r="C586" s="3">
        <v>5503031.0</v>
      </c>
      <c r="D586" s="3">
        <v>1.6424</v>
      </c>
      <c r="E586" s="3">
        <v>5.503031</v>
      </c>
    </row>
    <row r="587" ht="12.75" customHeight="1">
      <c r="A587" s="3">
        <v>27.0</v>
      </c>
      <c r="B587" s="3">
        <v>534.5</v>
      </c>
      <c r="C587" s="3">
        <v>6440477.0</v>
      </c>
      <c r="D587" s="3">
        <v>1.9034</v>
      </c>
      <c r="E587" s="3">
        <v>6.440477</v>
      </c>
    </row>
    <row r="588" ht="12.75" customHeight="1">
      <c r="A588" s="3">
        <v>27.0</v>
      </c>
      <c r="B588" s="3">
        <v>535.0</v>
      </c>
      <c r="C588" s="3">
        <v>7506650.0</v>
      </c>
      <c r="D588" s="3">
        <v>2.1534</v>
      </c>
      <c r="E588" s="3">
        <v>7.50665</v>
      </c>
    </row>
    <row r="589" ht="12.75" customHeight="1">
      <c r="A589" s="3">
        <v>27.0</v>
      </c>
      <c r="B589" s="3">
        <v>535.5</v>
      </c>
      <c r="C589" s="3">
        <v>8693392.0</v>
      </c>
      <c r="D589" s="3">
        <v>2.3944</v>
      </c>
      <c r="E589" s="3">
        <v>8.693392</v>
      </c>
    </row>
    <row r="590" ht="12.75" customHeight="1">
      <c r="A590" s="3">
        <v>27.0</v>
      </c>
      <c r="B590" s="3">
        <v>535.92</v>
      </c>
      <c r="C590" s="3">
        <v>9779271.0</v>
      </c>
      <c r="D590" s="3">
        <v>2.5894</v>
      </c>
      <c r="E590" s="3">
        <v>9.779271</v>
      </c>
    </row>
    <row r="591" ht="12.75" customHeight="1">
      <c r="A591" s="3">
        <v>27.0</v>
      </c>
      <c r="B591" s="3">
        <v>540.0</v>
      </c>
      <c r="C591" s="3">
        <v>3.4578931E7</v>
      </c>
      <c r="D591" s="3">
        <v>6.3934</v>
      </c>
      <c r="E591" s="3">
        <v>34.578931</v>
      </c>
    </row>
    <row r="592" ht="12.75" customHeight="1">
      <c r="A592" s="3">
        <v>27.0</v>
      </c>
      <c r="B592" s="3">
        <v>541.98</v>
      </c>
      <c r="C592" s="3">
        <v>5.1963159E7</v>
      </c>
      <c r="D592" s="3">
        <v>8.2051</v>
      </c>
      <c r="E592" s="3">
        <v>51.963159</v>
      </c>
    </row>
    <row r="593" ht="12.75" customHeight="1">
      <c r="A593" s="3">
        <v>27.0</v>
      </c>
      <c r="B593" s="3">
        <v>542.0</v>
      </c>
      <c r="C593" s="3">
        <v>5.2E7</v>
      </c>
      <c r="D593" s="3">
        <v>8.32</v>
      </c>
      <c r="E593" s="3">
        <v>52.0</v>
      </c>
    </row>
    <row r="594" ht="12.75" customHeight="1">
      <c r="A594" s="3">
        <v>27.0</v>
      </c>
      <c r="B594" s="3">
        <v>545.0</v>
      </c>
      <c r="C594" s="3">
        <v>7.8978931E7</v>
      </c>
      <c r="D594" s="3">
        <v>10.9634</v>
      </c>
      <c r="E594" s="3">
        <v>78.978931</v>
      </c>
    </row>
    <row r="595" ht="12.75" customHeight="1">
      <c r="A595" s="3">
        <v>27.0</v>
      </c>
      <c r="B595" s="3">
        <v>550.0</v>
      </c>
      <c r="C595" s="3">
        <v>1.47098931E8</v>
      </c>
      <c r="D595" s="3">
        <v>16.2934</v>
      </c>
      <c r="E595" s="3">
        <v>147.098931</v>
      </c>
    </row>
    <row r="596" ht="12.75" customHeight="1">
      <c r="A596" s="3">
        <v>28.0</v>
      </c>
      <c r="B596" s="3">
        <v>103.0</v>
      </c>
      <c r="C596" s="3">
        <v>0.0</v>
      </c>
      <c r="D596" s="3">
        <v>0.0</v>
      </c>
      <c r="E596" s="3">
        <v>0.0</v>
      </c>
    </row>
    <row r="597" ht="12.75" customHeight="1">
      <c r="A597" s="3">
        <v>28.0</v>
      </c>
      <c r="B597" s="3">
        <v>104.0</v>
      </c>
      <c r="C597" s="3">
        <v>600000.0</v>
      </c>
      <c r="D597" s="3">
        <v>0.42</v>
      </c>
      <c r="E597" s="3">
        <v>0.6</v>
      </c>
    </row>
    <row r="598" ht="12.75" customHeight="1">
      <c r="A598" s="3">
        <v>28.0</v>
      </c>
      <c r="B598" s="3">
        <v>106.0</v>
      </c>
      <c r="C598" s="3">
        <v>1980000.0</v>
      </c>
      <c r="D598" s="3">
        <v>0.95</v>
      </c>
      <c r="E598" s="3">
        <v>1.98</v>
      </c>
    </row>
    <row r="599" ht="12.75" customHeight="1">
      <c r="A599" s="3">
        <v>28.0</v>
      </c>
      <c r="B599" s="3">
        <v>108.0</v>
      </c>
      <c r="C599" s="3">
        <v>4590000.0</v>
      </c>
      <c r="D599" s="3">
        <v>1.66</v>
      </c>
      <c r="E599" s="3">
        <v>4.59</v>
      </c>
    </row>
    <row r="600" ht="12.75" customHeight="1">
      <c r="A600" s="3">
        <v>28.0</v>
      </c>
      <c r="B600" s="3">
        <v>110.0</v>
      </c>
      <c r="C600" s="3">
        <v>8870000.0</v>
      </c>
      <c r="D600" s="3">
        <v>2.62</v>
      </c>
      <c r="E600" s="3">
        <v>8.87</v>
      </c>
    </row>
    <row r="601" ht="12.75" customHeight="1">
      <c r="A601" s="3">
        <v>28.0</v>
      </c>
      <c r="B601" s="3">
        <v>112.0</v>
      </c>
      <c r="C601" s="3">
        <v>1.525E7</v>
      </c>
      <c r="D601" s="3">
        <v>3.75</v>
      </c>
      <c r="E601" s="3">
        <v>15.25</v>
      </c>
    </row>
    <row r="602" ht="12.75" customHeight="1">
      <c r="A602" s="3">
        <v>28.0</v>
      </c>
      <c r="B602" s="3">
        <v>114.0</v>
      </c>
      <c r="C602" s="3">
        <v>2.41E7</v>
      </c>
      <c r="D602" s="3">
        <v>5.12</v>
      </c>
      <c r="E602" s="3">
        <v>24.1</v>
      </c>
    </row>
    <row r="603" ht="12.75" customHeight="1">
      <c r="A603" s="3">
        <v>28.0</v>
      </c>
      <c r="B603" s="3">
        <v>114.45</v>
      </c>
      <c r="C603" s="3">
        <v>2.67728E7</v>
      </c>
      <c r="D603" s="3">
        <v>5.48</v>
      </c>
      <c r="E603" s="3">
        <v>26.7728</v>
      </c>
    </row>
    <row r="604" ht="12.75" customHeight="1">
      <c r="A604" s="3">
        <v>28.0</v>
      </c>
      <c r="B604" s="3">
        <v>116.0</v>
      </c>
      <c r="C604" s="3">
        <v>3.589E7</v>
      </c>
      <c r="D604" s="3">
        <v>6.71</v>
      </c>
      <c r="E604" s="3">
        <v>35.89</v>
      </c>
    </row>
    <row r="605" ht="12.75" customHeight="1">
      <c r="A605" s="3">
        <v>28.0</v>
      </c>
      <c r="B605" s="3">
        <v>118.0</v>
      </c>
      <c r="C605" s="3">
        <v>5.095E7</v>
      </c>
      <c r="D605" s="3">
        <v>8.52</v>
      </c>
      <c r="E605" s="3">
        <v>50.95</v>
      </c>
    </row>
    <row r="606" ht="12.75" customHeight="1">
      <c r="A606" s="3">
        <v>29.0</v>
      </c>
      <c r="B606" s="3">
        <v>193.0</v>
      </c>
      <c r="C606" s="3">
        <v>0.0</v>
      </c>
      <c r="D606" s="3">
        <v>0.01</v>
      </c>
      <c r="E606" s="3">
        <v>0.0</v>
      </c>
    </row>
    <row r="607" ht="12.75" customHeight="1">
      <c r="A607" s="3">
        <v>29.0</v>
      </c>
      <c r="B607" s="3">
        <v>194.0</v>
      </c>
      <c r="C607" s="3">
        <v>10000.0</v>
      </c>
      <c r="D607" s="3">
        <v>0.02</v>
      </c>
      <c r="E607" s="3">
        <v>0.01</v>
      </c>
    </row>
    <row r="608" ht="12.75" customHeight="1">
      <c r="A608" s="3">
        <v>29.0</v>
      </c>
      <c r="B608" s="3">
        <v>195.0</v>
      </c>
      <c r="C608" s="3">
        <v>70000.0</v>
      </c>
      <c r="D608" s="3">
        <v>0.07</v>
      </c>
      <c r="E608" s="3">
        <v>0.07</v>
      </c>
    </row>
    <row r="609" ht="12.75" customHeight="1">
      <c r="A609" s="3">
        <v>29.0</v>
      </c>
      <c r="B609" s="3">
        <v>196.0</v>
      </c>
      <c r="C609" s="3">
        <v>200000.0</v>
      </c>
      <c r="D609" s="3">
        <v>0.2</v>
      </c>
      <c r="E609" s="3">
        <v>0.2</v>
      </c>
    </row>
    <row r="610" ht="12.75" customHeight="1">
      <c r="A610" s="3">
        <v>29.0</v>
      </c>
      <c r="B610" s="3">
        <v>197.0</v>
      </c>
      <c r="C610" s="3">
        <v>570000.0</v>
      </c>
      <c r="D610" s="3">
        <v>0.53</v>
      </c>
      <c r="E610" s="3">
        <v>0.57</v>
      </c>
    </row>
    <row r="611" ht="12.75" customHeight="1">
      <c r="A611" s="3">
        <v>29.0</v>
      </c>
      <c r="B611" s="3">
        <v>198.0</v>
      </c>
      <c r="C611" s="3">
        <v>1330000.0</v>
      </c>
      <c r="D611" s="3">
        <v>0.98</v>
      </c>
      <c r="E611" s="3">
        <v>1.33</v>
      </c>
    </row>
    <row r="612" ht="12.75" customHeight="1">
      <c r="A612" s="3">
        <v>29.0</v>
      </c>
      <c r="B612" s="3">
        <v>199.0</v>
      </c>
      <c r="C612" s="3">
        <v>2550000.0</v>
      </c>
      <c r="D612" s="3">
        <v>1.45</v>
      </c>
      <c r="E612" s="3">
        <v>2.55</v>
      </c>
    </row>
    <row r="613" ht="12.75" customHeight="1">
      <c r="A613" s="3">
        <v>30.0</v>
      </c>
      <c r="B613" s="3">
        <v>10.0</v>
      </c>
      <c r="C613" s="3">
        <v>0.0</v>
      </c>
      <c r="D613" s="3">
        <v>0.0</v>
      </c>
      <c r="E613" s="3">
        <v>0.0</v>
      </c>
    </row>
    <row r="614" ht="12.75" customHeight="1">
      <c r="A614" s="3">
        <v>30.0</v>
      </c>
      <c r="B614" s="3">
        <v>11.0</v>
      </c>
      <c r="C614" s="3">
        <v>2000.0</v>
      </c>
      <c r="D614" s="3">
        <v>0.004</v>
      </c>
      <c r="E614" s="3">
        <v>0.002</v>
      </c>
    </row>
    <row r="615" ht="12.75" customHeight="1">
      <c r="A615" s="3">
        <v>30.0</v>
      </c>
      <c r="B615" s="3">
        <v>12.0</v>
      </c>
      <c r="C615" s="3">
        <v>10000.0</v>
      </c>
      <c r="D615" s="3">
        <v>0.01</v>
      </c>
      <c r="E615" s="3">
        <v>0.01</v>
      </c>
    </row>
    <row r="616" ht="12.75" customHeight="1">
      <c r="A616" s="3">
        <v>30.0</v>
      </c>
      <c r="B616" s="3">
        <v>13.0</v>
      </c>
      <c r="C616" s="3">
        <v>40000.0</v>
      </c>
      <c r="D616" s="3">
        <v>0.04</v>
      </c>
      <c r="E616" s="3">
        <v>0.04</v>
      </c>
    </row>
    <row r="617" ht="12.75" customHeight="1">
      <c r="A617" s="3">
        <v>30.0</v>
      </c>
      <c r="B617" s="3">
        <v>14.0</v>
      </c>
      <c r="C617" s="3">
        <v>110000.0</v>
      </c>
      <c r="D617" s="3">
        <v>0.1</v>
      </c>
      <c r="E617" s="3">
        <v>0.11</v>
      </c>
    </row>
    <row r="618" ht="12.75" customHeight="1">
      <c r="A618" s="3">
        <v>30.0</v>
      </c>
      <c r="B618" s="3">
        <v>15.0</v>
      </c>
      <c r="C618" s="3">
        <v>270000.0</v>
      </c>
      <c r="D618" s="3">
        <v>0.19</v>
      </c>
      <c r="E618" s="3">
        <v>0.27</v>
      </c>
    </row>
    <row r="619" ht="12.75" customHeight="1">
      <c r="A619" s="3">
        <v>30.0</v>
      </c>
      <c r="B619" s="3">
        <v>16.0</v>
      </c>
      <c r="C619" s="3">
        <v>530000.0</v>
      </c>
      <c r="D619" s="3">
        <v>0.33</v>
      </c>
      <c r="E619" s="3">
        <v>0.53</v>
      </c>
    </row>
    <row r="620" ht="12.75" customHeight="1">
      <c r="A620" s="3">
        <v>30.0</v>
      </c>
      <c r="B620" s="3">
        <v>17.0</v>
      </c>
      <c r="C620" s="3">
        <v>980000.0</v>
      </c>
      <c r="D620" s="3">
        <v>0.56</v>
      </c>
      <c r="E620" s="3">
        <v>0.98</v>
      </c>
    </row>
    <row r="621" ht="12.75" customHeight="1">
      <c r="A621" s="3">
        <v>30.0</v>
      </c>
      <c r="B621" s="3">
        <v>18.0</v>
      </c>
      <c r="C621" s="3">
        <v>1660000.0</v>
      </c>
      <c r="D621" s="3">
        <v>0.79</v>
      </c>
      <c r="E621" s="3">
        <v>1.66</v>
      </c>
    </row>
    <row r="622" ht="12.75" customHeight="1">
      <c r="A622" s="3">
        <v>30.0</v>
      </c>
      <c r="B622" s="3">
        <v>19.0</v>
      </c>
      <c r="C622" s="3">
        <v>2580000.0</v>
      </c>
      <c r="D622" s="3">
        <v>1.05</v>
      </c>
      <c r="E622" s="3">
        <v>2.58</v>
      </c>
    </row>
    <row r="623" ht="12.75" customHeight="1">
      <c r="A623" s="3">
        <v>30.0</v>
      </c>
      <c r="B623" s="3">
        <v>20.0</v>
      </c>
      <c r="C623" s="3">
        <v>3770000.0</v>
      </c>
      <c r="D623" s="3">
        <v>1.32</v>
      </c>
      <c r="E623" s="3">
        <v>3.77</v>
      </c>
    </row>
    <row r="624" ht="12.75" customHeight="1">
      <c r="A624" s="3">
        <v>30.0</v>
      </c>
      <c r="B624" s="3">
        <v>21.0</v>
      </c>
      <c r="C624" s="3">
        <v>5240000.0</v>
      </c>
      <c r="D624" s="3">
        <v>1.61</v>
      </c>
      <c r="E624" s="3">
        <v>5.24</v>
      </c>
    </row>
    <row r="625" ht="12.75" customHeight="1">
      <c r="A625" s="3">
        <v>30.0</v>
      </c>
      <c r="B625" s="3">
        <v>22.0</v>
      </c>
      <c r="C625" s="3">
        <v>7030000.0</v>
      </c>
      <c r="D625" s="3">
        <v>1.95</v>
      </c>
      <c r="E625" s="3">
        <v>7.03</v>
      </c>
    </row>
    <row r="626" ht="12.75" customHeight="1">
      <c r="A626" s="3">
        <v>30.0</v>
      </c>
      <c r="B626" s="3">
        <v>23.0</v>
      </c>
      <c r="C626" s="3">
        <v>9150000.0</v>
      </c>
      <c r="D626" s="3">
        <v>2.29</v>
      </c>
      <c r="E626" s="3">
        <v>9.15</v>
      </c>
    </row>
    <row r="627" ht="12.75" customHeight="1">
      <c r="A627" s="3">
        <v>30.0</v>
      </c>
      <c r="B627" s="3">
        <v>23.5</v>
      </c>
      <c r="C627" s="3">
        <v>1.039E7</v>
      </c>
      <c r="D627" s="3">
        <v>2.48</v>
      </c>
      <c r="E627" s="3">
        <v>10.39</v>
      </c>
    </row>
    <row r="628" ht="12.75" customHeight="1">
      <c r="A628" s="3">
        <v>30.0</v>
      </c>
      <c r="B628" s="3">
        <v>24.0</v>
      </c>
      <c r="C628" s="3">
        <v>1.164E7</v>
      </c>
      <c r="D628" s="3">
        <v>2.67</v>
      </c>
      <c r="E628" s="3">
        <v>11.64</v>
      </c>
    </row>
    <row r="629" ht="12.75" customHeight="1">
      <c r="A629" s="3">
        <v>30.0</v>
      </c>
      <c r="B629" s="3">
        <v>25.0</v>
      </c>
      <c r="C629" s="3">
        <v>1.457E7</v>
      </c>
      <c r="D629" s="3">
        <v>3.08</v>
      </c>
      <c r="E629" s="3">
        <v>14.57</v>
      </c>
    </row>
    <row r="630" ht="12.75" customHeight="1">
      <c r="A630" s="3">
        <v>31.0</v>
      </c>
      <c r="B630" s="3">
        <v>119.4</v>
      </c>
      <c r="C630" s="3">
        <v>0.0</v>
      </c>
      <c r="D630" s="3">
        <v>0.0</v>
      </c>
      <c r="E630" s="3">
        <v>0.0</v>
      </c>
    </row>
    <row r="631" ht="12.75" customHeight="1">
      <c r="A631" s="3">
        <v>31.0</v>
      </c>
      <c r="B631" s="3">
        <v>120.0</v>
      </c>
      <c r="C631" s="3">
        <v>1410.0</v>
      </c>
      <c r="D631" s="3">
        <v>0.0061</v>
      </c>
      <c r="E631" s="3">
        <v>0.00141</v>
      </c>
    </row>
    <row r="632" ht="12.75" customHeight="1">
      <c r="A632" s="3">
        <v>31.0</v>
      </c>
      <c r="B632" s="3">
        <v>121.0</v>
      </c>
      <c r="C632" s="3">
        <v>18741.0</v>
      </c>
      <c r="D632" s="3">
        <v>0.0357</v>
      </c>
      <c r="E632" s="3">
        <v>0.018741</v>
      </c>
    </row>
    <row r="633" ht="12.75" customHeight="1">
      <c r="A633" s="3">
        <v>31.0</v>
      </c>
      <c r="B633" s="3">
        <v>122.0</v>
      </c>
      <c r="C633" s="3">
        <v>94626.0</v>
      </c>
      <c r="D633" s="3">
        <v>0.1342</v>
      </c>
      <c r="E633" s="3">
        <v>0.094626</v>
      </c>
    </row>
    <row r="634" ht="12.75" customHeight="1">
      <c r="A634" s="3">
        <v>31.0</v>
      </c>
      <c r="B634" s="3">
        <v>123.0</v>
      </c>
      <c r="C634" s="3">
        <v>314811.0</v>
      </c>
      <c r="D634" s="3">
        <v>0.3186</v>
      </c>
      <c r="E634" s="3">
        <v>0.314811</v>
      </c>
    </row>
    <row r="635" ht="12.75" customHeight="1">
      <c r="A635" s="3">
        <v>31.0</v>
      </c>
      <c r="B635" s="3">
        <v>124.0</v>
      </c>
      <c r="C635" s="3">
        <v>736731.0</v>
      </c>
      <c r="D635" s="3">
        <v>0.5375</v>
      </c>
      <c r="E635" s="3">
        <v>0.736731</v>
      </c>
    </row>
    <row r="636" ht="12.75" customHeight="1">
      <c r="A636" s="3">
        <v>31.0</v>
      </c>
      <c r="B636" s="3">
        <v>125.0</v>
      </c>
      <c r="C636" s="3">
        <v>1432943.0</v>
      </c>
      <c r="D636" s="3">
        <v>0.8833</v>
      </c>
      <c r="E636" s="3">
        <v>1.432943</v>
      </c>
    </row>
    <row r="637" ht="12.75" customHeight="1">
      <c r="A637" s="3">
        <v>31.0</v>
      </c>
      <c r="B637" s="3">
        <v>126.0</v>
      </c>
      <c r="C637" s="3">
        <v>2522038.0</v>
      </c>
      <c r="D637" s="3">
        <v>1.3065</v>
      </c>
      <c r="E637" s="3">
        <v>2.522038</v>
      </c>
    </row>
    <row r="638" ht="12.75" customHeight="1">
      <c r="A638" s="3">
        <v>31.0</v>
      </c>
      <c r="B638" s="3">
        <v>127.0</v>
      </c>
      <c r="C638" s="3">
        <v>4062201.0</v>
      </c>
      <c r="D638" s="3">
        <v>1.7953</v>
      </c>
      <c r="E638" s="3">
        <v>4.062201</v>
      </c>
    </row>
    <row r="639" ht="12.75" customHeight="1">
      <c r="A639" s="3">
        <v>31.0</v>
      </c>
      <c r="B639" s="3">
        <v>128.0</v>
      </c>
      <c r="C639" s="3">
        <v>6123170.0</v>
      </c>
      <c r="D639" s="3">
        <v>2.3576</v>
      </c>
      <c r="E639" s="3">
        <v>6.12317</v>
      </c>
    </row>
    <row r="640" ht="12.75" customHeight="1">
      <c r="A640" s="3">
        <v>31.0</v>
      </c>
      <c r="B640" s="3">
        <v>129.0</v>
      </c>
      <c r="C640" s="3">
        <v>8828738.0</v>
      </c>
      <c r="D640" s="3">
        <v>3.0803</v>
      </c>
      <c r="E640" s="3">
        <v>8.828738</v>
      </c>
    </row>
    <row r="641" ht="12.75" customHeight="1">
      <c r="A641" s="3">
        <v>31.0</v>
      </c>
      <c r="B641" s="3">
        <v>130.0</v>
      </c>
      <c r="C641" s="3">
        <v>1.2330435E7</v>
      </c>
      <c r="D641" s="3">
        <v>3.9783</v>
      </c>
      <c r="E641" s="3">
        <v>12.330435</v>
      </c>
    </row>
    <row r="642" ht="12.75" customHeight="1">
      <c r="A642" s="3">
        <v>31.0</v>
      </c>
      <c r="B642" s="3">
        <v>131.0</v>
      </c>
      <c r="C642" s="3">
        <v>1.682044E7</v>
      </c>
      <c r="D642" s="3">
        <v>5.0547</v>
      </c>
      <c r="E642" s="3">
        <v>16.82044</v>
      </c>
    </row>
    <row r="643" ht="12.75" customHeight="1">
      <c r="A643" s="3">
        <v>31.0</v>
      </c>
      <c r="B643" s="3">
        <v>132.0</v>
      </c>
      <c r="C643" s="3">
        <v>2.2448657E7</v>
      </c>
      <c r="D643" s="3">
        <v>6.2236</v>
      </c>
      <c r="E643" s="3">
        <v>22.448657</v>
      </c>
    </row>
    <row r="644" ht="12.75" customHeight="1">
      <c r="A644" s="3">
        <v>31.0</v>
      </c>
      <c r="B644" s="3">
        <v>133.0</v>
      </c>
      <c r="C644" s="3">
        <v>2.9257673E7</v>
      </c>
      <c r="D644" s="3">
        <v>7.4066</v>
      </c>
      <c r="E644" s="3">
        <v>29.257673</v>
      </c>
    </row>
    <row r="645" ht="12.75" customHeight="1">
      <c r="A645" s="3">
        <v>31.0</v>
      </c>
      <c r="B645" s="3">
        <v>134.0</v>
      </c>
      <c r="C645" s="3">
        <v>3.2273901E7</v>
      </c>
      <c r="D645" s="3">
        <v>8.6935</v>
      </c>
      <c r="E645" s="3">
        <v>32.273901</v>
      </c>
    </row>
    <row r="646" ht="12.75" customHeight="1">
      <c r="A646" s="3">
        <v>31.0</v>
      </c>
      <c r="B646" s="3">
        <v>135.0</v>
      </c>
      <c r="C646" s="3">
        <v>4.6665779E7</v>
      </c>
      <c r="D646" s="3">
        <v>10.1676</v>
      </c>
      <c r="E646" s="3">
        <v>46.665779</v>
      </c>
    </row>
    <row r="647" ht="12.75" customHeight="1">
      <c r="A647" s="3">
        <v>31.0</v>
      </c>
      <c r="B647" s="3">
        <v>136.0</v>
      </c>
      <c r="C647" s="3">
        <v>5.7666988E7</v>
      </c>
      <c r="D647" s="3">
        <v>11.8901</v>
      </c>
      <c r="E647" s="3">
        <v>57.666988</v>
      </c>
    </row>
    <row r="648" ht="12.75" customHeight="1">
      <c r="A648" s="3">
        <v>31.0</v>
      </c>
      <c r="B648" s="3">
        <v>137.0</v>
      </c>
      <c r="C648" s="3">
        <v>7.0410704E7</v>
      </c>
      <c r="D648" s="3">
        <v>14.2104</v>
      </c>
      <c r="E648" s="3">
        <v>70.410704</v>
      </c>
    </row>
    <row r="649" ht="12.75" customHeight="1">
      <c r="A649" s="3">
        <v>31.0</v>
      </c>
      <c r="B649" s="3">
        <v>137.6</v>
      </c>
      <c r="C649" s="3">
        <v>7.8793093E7</v>
      </c>
      <c r="D649" s="3">
        <v>15.3049</v>
      </c>
      <c r="E649" s="3">
        <v>78.793093</v>
      </c>
    </row>
    <row r="650" ht="12.75" customHeight="1">
      <c r="A650" s="3">
        <v>31.0</v>
      </c>
      <c r="B650" s="3">
        <v>138.0</v>
      </c>
      <c r="C650" s="3">
        <v>8.663386E7</v>
      </c>
      <c r="D650" s="3">
        <v>16.3789</v>
      </c>
      <c r="E650" s="3">
        <v>86.63386</v>
      </c>
    </row>
    <row r="651" ht="12.75" customHeight="1">
      <c r="A651" s="3">
        <v>31.0</v>
      </c>
      <c r="B651" s="3">
        <v>139.0</v>
      </c>
      <c r="C651" s="3">
        <v>1.06533E8</v>
      </c>
      <c r="D651" s="3">
        <v>19.0639</v>
      </c>
      <c r="E651" s="3">
        <v>106.533</v>
      </c>
    </row>
    <row r="652" ht="12.75" customHeight="1">
      <c r="A652" s="3">
        <v>31.0</v>
      </c>
      <c r="B652" s="3">
        <v>140.0</v>
      </c>
      <c r="C652" s="3">
        <v>1.26533E8</v>
      </c>
      <c r="D652" s="3">
        <v>21.7489</v>
      </c>
      <c r="E652" s="3">
        <v>126.533</v>
      </c>
    </row>
    <row r="653" ht="12.75" customHeight="1">
      <c r="A653" s="3">
        <v>31.0</v>
      </c>
      <c r="B653" s="3">
        <v>141.0</v>
      </c>
      <c r="C653" s="3">
        <v>1.55533E8</v>
      </c>
      <c r="D653" s="3">
        <v>24.6339</v>
      </c>
      <c r="E653" s="3">
        <v>155.533</v>
      </c>
    </row>
    <row r="654" ht="12.75" customHeight="1">
      <c r="A654" s="3">
        <v>31.0</v>
      </c>
      <c r="B654" s="3">
        <v>142.0</v>
      </c>
      <c r="C654" s="3">
        <v>1.83533E8</v>
      </c>
      <c r="D654" s="3">
        <v>28.2739</v>
      </c>
      <c r="E654" s="3">
        <v>183.533</v>
      </c>
    </row>
    <row r="655" ht="12.75" customHeight="1">
      <c r="A655" s="3">
        <v>31.0</v>
      </c>
      <c r="B655" s="3">
        <v>143.0</v>
      </c>
      <c r="C655" s="3">
        <v>2.16533E8</v>
      </c>
      <c r="D655" s="3">
        <v>32.1139</v>
      </c>
      <c r="E655" s="3">
        <v>216.533</v>
      </c>
    </row>
    <row r="656" ht="12.75" customHeight="1">
      <c r="A656" s="3">
        <v>31.0</v>
      </c>
      <c r="B656" s="3">
        <v>144.0</v>
      </c>
      <c r="C656" s="3">
        <v>2.56533E8</v>
      </c>
      <c r="D656" s="3">
        <v>35.9539</v>
      </c>
      <c r="E656" s="3">
        <v>256.533</v>
      </c>
    </row>
    <row r="657" ht="12.75" customHeight="1">
      <c r="A657" s="3">
        <v>31.0</v>
      </c>
      <c r="B657" s="3">
        <v>145.0</v>
      </c>
      <c r="C657" s="3">
        <v>3.02733E8</v>
      </c>
      <c r="D657" s="3">
        <v>40.3639</v>
      </c>
      <c r="E657" s="3">
        <v>302.733</v>
      </c>
    </row>
    <row r="658" ht="12.75" customHeight="1">
      <c r="A658" s="3">
        <v>31.0</v>
      </c>
      <c r="B658" s="3">
        <v>146.0</v>
      </c>
      <c r="C658" s="3">
        <v>3.60933E8</v>
      </c>
      <c r="D658" s="3">
        <v>44.7739</v>
      </c>
      <c r="E658" s="3">
        <v>360.933</v>
      </c>
    </row>
    <row r="659" ht="12.75" customHeight="1">
      <c r="A659" s="3">
        <v>31.0</v>
      </c>
      <c r="B659" s="3">
        <v>147.0</v>
      </c>
      <c r="C659" s="3">
        <v>4.13133E8</v>
      </c>
      <c r="D659" s="3">
        <v>49.1839</v>
      </c>
      <c r="E659" s="3">
        <v>413.133</v>
      </c>
    </row>
    <row r="660" ht="12.75" customHeight="1">
      <c r="A660" s="3">
        <v>31.0</v>
      </c>
      <c r="B660" s="3">
        <v>148.0</v>
      </c>
      <c r="C660" s="3">
        <v>4.70533E8</v>
      </c>
      <c r="D660" s="3">
        <v>55.7369</v>
      </c>
      <c r="E660" s="3">
        <v>470.533</v>
      </c>
    </row>
    <row r="661" ht="12.75" customHeight="1">
      <c r="A661" s="3">
        <v>31.0</v>
      </c>
      <c r="B661" s="3">
        <v>149.0</v>
      </c>
      <c r="C661" s="3">
        <v>5.31533E8</v>
      </c>
      <c r="D661" s="3">
        <v>62.2849</v>
      </c>
      <c r="E661" s="3">
        <v>531.533</v>
      </c>
    </row>
    <row r="662" ht="12.75" customHeight="1">
      <c r="A662" s="3">
        <v>31.0</v>
      </c>
      <c r="B662" s="3">
        <v>150.0</v>
      </c>
      <c r="C662" s="3">
        <v>5.97627E8</v>
      </c>
      <c r="D662" s="3">
        <v>68.8339</v>
      </c>
      <c r="E662" s="3">
        <v>597.627</v>
      </c>
    </row>
    <row r="663" ht="12.75" customHeight="1">
      <c r="A663" s="3">
        <v>31.0</v>
      </c>
      <c r="B663" s="3">
        <v>151.0</v>
      </c>
      <c r="C663" s="3">
        <v>6.82333E8</v>
      </c>
      <c r="D663" s="3">
        <v>76.4999</v>
      </c>
      <c r="E663" s="3">
        <v>682.333</v>
      </c>
    </row>
    <row r="664" ht="12.75" customHeight="1">
      <c r="A664" s="3">
        <v>31.0</v>
      </c>
      <c r="B664" s="3">
        <v>152.0</v>
      </c>
      <c r="C664" s="3">
        <v>7.58408E8</v>
      </c>
      <c r="D664" s="3">
        <v>84.1659</v>
      </c>
      <c r="E664" s="3">
        <v>758.408</v>
      </c>
    </row>
    <row r="665" ht="12.75" customHeight="1">
      <c r="A665" s="3">
        <v>31.0</v>
      </c>
      <c r="B665" s="3">
        <v>153.0</v>
      </c>
      <c r="C665" s="3">
        <v>8.59533E8</v>
      </c>
      <c r="D665" s="3">
        <v>91.8339</v>
      </c>
      <c r="E665" s="3">
        <v>859.533</v>
      </c>
    </row>
    <row r="666" ht="12.75" customHeight="1">
      <c r="A666" s="3">
        <v>31.0</v>
      </c>
      <c r="B666" s="3">
        <v>154.0</v>
      </c>
      <c r="C666" s="3">
        <v>9.38533E8</v>
      </c>
      <c r="D666" s="3">
        <v>99.8339</v>
      </c>
      <c r="E666" s="3">
        <v>938.533</v>
      </c>
    </row>
    <row r="667" ht="12.75" customHeight="1">
      <c r="A667" s="3">
        <v>31.0</v>
      </c>
      <c r="B667" s="3">
        <v>155.0</v>
      </c>
      <c r="C667" s="3">
        <v>1.048533E9</v>
      </c>
      <c r="D667" s="3">
        <v>108.3339</v>
      </c>
      <c r="E667" s="3">
        <v>1048.533</v>
      </c>
    </row>
    <row r="668" ht="12.75" customHeight="1">
      <c r="A668" s="3">
        <v>32.0</v>
      </c>
      <c r="B668" s="3">
        <v>91.51</v>
      </c>
      <c r="C668" s="3">
        <v>0.0</v>
      </c>
      <c r="D668" s="3">
        <v>0.0</v>
      </c>
      <c r="E668" s="3">
        <v>0.0</v>
      </c>
    </row>
    <row r="669" ht="12.75" customHeight="1">
      <c r="A669" s="3">
        <v>32.0</v>
      </c>
      <c r="B669" s="3">
        <v>92.0</v>
      </c>
      <c r="C669" s="3">
        <v>34000.0</v>
      </c>
      <c r="D669" s="3">
        <v>0.062</v>
      </c>
      <c r="E669" s="3">
        <v>0.034</v>
      </c>
    </row>
    <row r="670" ht="12.75" customHeight="1">
      <c r="A670" s="3">
        <v>32.0</v>
      </c>
      <c r="B670" s="3">
        <v>93.0</v>
      </c>
      <c r="C670" s="3">
        <v>140000.0</v>
      </c>
      <c r="D670" s="3">
        <v>0.141</v>
      </c>
      <c r="E670" s="3">
        <v>0.14</v>
      </c>
    </row>
    <row r="671" ht="12.75" customHeight="1">
      <c r="A671" s="3">
        <v>32.0</v>
      </c>
      <c r="B671" s="3">
        <v>94.0</v>
      </c>
      <c r="C671" s="3">
        <v>312000.0</v>
      </c>
      <c r="D671" s="3">
        <v>0.197</v>
      </c>
      <c r="E671" s="3">
        <v>0.312</v>
      </c>
    </row>
    <row r="672" ht="12.75" customHeight="1">
      <c r="A672" s="3">
        <v>32.0</v>
      </c>
      <c r="B672" s="3">
        <v>95.0</v>
      </c>
      <c r="C672" s="3">
        <v>522000.0</v>
      </c>
      <c r="D672" s="3">
        <v>0.219</v>
      </c>
      <c r="E672" s="3">
        <v>0.522</v>
      </c>
    </row>
    <row r="673" ht="12.75" customHeight="1">
      <c r="A673" s="3">
        <v>32.0</v>
      </c>
      <c r="B673" s="3">
        <v>95.13</v>
      </c>
      <c r="C673" s="3">
        <v>550000.0</v>
      </c>
      <c r="D673" s="3">
        <v>0.222</v>
      </c>
      <c r="E673" s="3">
        <v>0.55</v>
      </c>
    </row>
    <row r="674" ht="12.75" customHeight="1">
      <c r="A674" s="3">
        <v>32.0</v>
      </c>
      <c r="B674" s="3">
        <v>96.0</v>
      </c>
      <c r="C674" s="3">
        <v>1037000.0</v>
      </c>
      <c r="D674" s="3">
        <v>0.37</v>
      </c>
      <c r="E674" s="3">
        <v>1.037</v>
      </c>
    </row>
    <row r="675" ht="12.75" customHeight="1">
      <c r="A675" s="3">
        <v>32.0</v>
      </c>
      <c r="B675" s="3">
        <v>97.0</v>
      </c>
      <c r="C675" s="3">
        <v>1747000.0</v>
      </c>
      <c r="D675" s="3">
        <v>0.51</v>
      </c>
      <c r="E675" s="3">
        <v>1.747</v>
      </c>
    </row>
    <row r="676" ht="12.75" customHeight="1">
      <c r="A676" s="3">
        <v>32.0</v>
      </c>
      <c r="B676" s="3">
        <v>98.0</v>
      </c>
      <c r="C676" s="3">
        <v>2597000.0</v>
      </c>
      <c r="D676" s="3">
        <v>0.64</v>
      </c>
      <c r="E676" s="3">
        <v>2.597</v>
      </c>
    </row>
    <row r="677" ht="12.75" customHeight="1">
      <c r="A677" s="3">
        <v>32.0</v>
      </c>
      <c r="B677" s="3">
        <v>99.0</v>
      </c>
      <c r="C677" s="3">
        <v>3597000.0</v>
      </c>
      <c r="D677" s="3">
        <v>0.81</v>
      </c>
      <c r="E677" s="3">
        <v>3.597</v>
      </c>
    </row>
    <row r="678" ht="12.75" customHeight="1">
      <c r="A678" s="3">
        <v>32.0</v>
      </c>
      <c r="B678" s="3">
        <v>100.0</v>
      </c>
      <c r="C678" s="3">
        <v>4790000.0</v>
      </c>
      <c r="D678" s="3">
        <v>1.02</v>
      </c>
      <c r="E678" s="3">
        <v>4.79</v>
      </c>
    </row>
    <row r="679" ht="12.75" customHeight="1">
      <c r="A679" s="3">
        <v>32.0</v>
      </c>
      <c r="B679" s="3">
        <v>101.0</v>
      </c>
      <c r="C679" s="3">
        <v>6037000.0</v>
      </c>
      <c r="D679" s="3">
        <v>1.73</v>
      </c>
      <c r="E679" s="3">
        <v>6.037</v>
      </c>
    </row>
    <row r="680" ht="12.75" customHeight="1">
      <c r="A680" s="3">
        <v>32.0</v>
      </c>
      <c r="B680" s="3">
        <v>102.0</v>
      </c>
      <c r="C680" s="3">
        <v>7537000.0</v>
      </c>
      <c r="D680" s="3">
        <v>3.23</v>
      </c>
      <c r="E680" s="3">
        <v>7.537</v>
      </c>
    </row>
    <row r="681" ht="12.75" customHeight="1">
      <c r="A681" s="3">
        <v>33.0</v>
      </c>
      <c r="B681" s="3">
        <v>78.0</v>
      </c>
      <c r="C681" s="3">
        <v>0.0</v>
      </c>
      <c r="D681" s="3">
        <v>0.0</v>
      </c>
      <c r="E681" s="3">
        <v>0.0</v>
      </c>
    </row>
    <row r="682" ht="12.75" customHeight="1">
      <c r="A682" s="3">
        <v>33.0</v>
      </c>
      <c r="B682" s="3">
        <v>79.0</v>
      </c>
      <c r="C682" s="3">
        <v>2500.0</v>
      </c>
      <c r="D682" s="3">
        <v>0.005</v>
      </c>
      <c r="E682" s="3">
        <v>0.0025</v>
      </c>
    </row>
    <row r="683" ht="12.75" customHeight="1">
      <c r="A683" s="3">
        <v>33.0</v>
      </c>
      <c r="B683" s="3">
        <v>80.0</v>
      </c>
      <c r="C683" s="3">
        <v>10000.0</v>
      </c>
      <c r="D683" s="3">
        <v>0.01</v>
      </c>
      <c r="E683" s="3">
        <v>0.01</v>
      </c>
    </row>
    <row r="684" ht="12.75" customHeight="1">
      <c r="A684" s="3">
        <v>33.0</v>
      </c>
      <c r="B684" s="3">
        <v>81.0</v>
      </c>
      <c r="C684" s="3">
        <v>30000.0</v>
      </c>
      <c r="D684" s="3">
        <v>0.02</v>
      </c>
      <c r="E684" s="3">
        <v>0.03</v>
      </c>
    </row>
    <row r="685" ht="12.75" customHeight="1">
      <c r="A685" s="3">
        <v>33.0</v>
      </c>
      <c r="B685" s="3">
        <v>82.0</v>
      </c>
      <c r="C685" s="3">
        <v>60000.0</v>
      </c>
      <c r="D685" s="3">
        <v>0.03</v>
      </c>
      <c r="E685" s="3">
        <v>0.06</v>
      </c>
    </row>
    <row r="686" ht="12.75" customHeight="1">
      <c r="A686" s="3">
        <v>33.0</v>
      </c>
      <c r="B686" s="3">
        <v>84.0</v>
      </c>
      <c r="C686" s="3">
        <v>180000.0</v>
      </c>
      <c r="D686" s="3">
        <v>0.08</v>
      </c>
      <c r="E686" s="3">
        <v>0.18</v>
      </c>
    </row>
    <row r="687" ht="12.75" customHeight="1">
      <c r="A687" s="3">
        <v>33.0</v>
      </c>
      <c r="B687" s="3">
        <v>85.0</v>
      </c>
      <c r="C687" s="3">
        <v>290000.0</v>
      </c>
      <c r="D687" s="3">
        <v>0.12</v>
      </c>
      <c r="E687" s="3">
        <v>0.29</v>
      </c>
    </row>
    <row r="688" ht="12.75" customHeight="1">
      <c r="A688" s="3">
        <v>33.0</v>
      </c>
      <c r="B688" s="3">
        <v>86.0</v>
      </c>
      <c r="C688" s="3">
        <v>440000.0</v>
      </c>
      <c r="D688" s="3">
        <v>0.17</v>
      </c>
      <c r="E688" s="3">
        <v>0.44</v>
      </c>
    </row>
    <row r="689" ht="12.75" customHeight="1">
      <c r="A689" s="3">
        <v>33.0</v>
      </c>
      <c r="B689" s="3">
        <v>87.0</v>
      </c>
      <c r="C689" s="3">
        <v>630000.0</v>
      </c>
      <c r="D689" s="3">
        <v>0.21</v>
      </c>
      <c r="E689" s="3">
        <v>0.63</v>
      </c>
    </row>
    <row r="690" ht="12.75" customHeight="1">
      <c r="A690" s="3">
        <v>33.0</v>
      </c>
      <c r="B690" s="3">
        <v>88.0</v>
      </c>
      <c r="C690" s="3">
        <v>860000.0</v>
      </c>
      <c r="D690" s="3">
        <v>0.23</v>
      </c>
      <c r="E690" s="3">
        <v>0.86</v>
      </c>
    </row>
    <row r="691" ht="12.75" customHeight="1">
      <c r="A691" s="3">
        <v>33.0</v>
      </c>
      <c r="B691" s="3">
        <v>89.0</v>
      </c>
      <c r="C691" s="3">
        <v>1130000.0</v>
      </c>
      <c r="D691" s="3">
        <v>0.3</v>
      </c>
      <c r="E691" s="3">
        <v>1.13</v>
      </c>
    </row>
    <row r="692" ht="12.75" customHeight="1">
      <c r="A692" s="3">
        <v>33.0</v>
      </c>
      <c r="B692" s="3">
        <v>90.0</v>
      </c>
      <c r="C692" s="3">
        <v>1460000.0</v>
      </c>
      <c r="D692" s="3">
        <v>0.37</v>
      </c>
      <c r="E692" s="3">
        <v>1.46</v>
      </c>
    </row>
    <row r="693" ht="12.75" customHeight="1">
      <c r="A693" s="3">
        <v>33.0</v>
      </c>
      <c r="B693" s="3">
        <v>91.0</v>
      </c>
      <c r="C693" s="3">
        <v>1860000.0</v>
      </c>
      <c r="D693" s="3">
        <v>0.42</v>
      </c>
      <c r="E693" s="3">
        <v>1.86</v>
      </c>
    </row>
    <row r="694" ht="12.75" customHeight="1">
      <c r="A694" s="3">
        <v>33.0</v>
      </c>
      <c r="B694" s="3">
        <v>92.0</v>
      </c>
      <c r="C694" s="3">
        <v>2330000.0</v>
      </c>
      <c r="D694" s="3">
        <v>0.5</v>
      </c>
      <c r="E694" s="3">
        <v>2.33</v>
      </c>
    </row>
    <row r="695" ht="12.75" customHeight="1">
      <c r="A695" s="3">
        <v>33.0</v>
      </c>
      <c r="B695" s="3">
        <v>93.0</v>
      </c>
      <c r="C695" s="3">
        <v>2860000.0</v>
      </c>
      <c r="D695" s="3">
        <v>0.57</v>
      </c>
      <c r="E695" s="3">
        <v>2.86</v>
      </c>
    </row>
    <row r="696" ht="12.75" customHeight="1">
      <c r="A696" s="3">
        <v>33.0</v>
      </c>
      <c r="B696" s="3">
        <v>94.0</v>
      </c>
      <c r="C696" s="3">
        <v>3480000.0</v>
      </c>
      <c r="D696" s="3">
        <v>0.65</v>
      </c>
      <c r="E696" s="3">
        <v>3.48</v>
      </c>
    </row>
    <row r="697" ht="12.75" customHeight="1">
      <c r="A697" s="3">
        <v>33.0</v>
      </c>
      <c r="B697" s="3">
        <v>95.0</v>
      </c>
      <c r="C697" s="3">
        <v>4160000.0</v>
      </c>
      <c r="D697" s="3">
        <v>0.72</v>
      </c>
      <c r="E697" s="3">
        <v>4.16</v>
      </c>
    </row>
    <row r="698" ht="12.75" customHeight="1">
      <c r="A698" s="3">
        <v>33.0</v>
      </c>
      <c r="B698" s="3">
        <v>96.0</v>
      </c>
      <c r="C698" s="3">
        <v>4940000.0</v>
      </c>
      <c r="D698" s="3">
        <v>0.82</v>
      </c>
      <c r="E698" s="3">
        <v>4.94</v>
      </c>
    </row>
    <row r="699" ht="12.75" customHeight="1">
      <c r="A699" s="3">
        <v>33.0</v>
      </c>
      <c r="B699" s="3">
        <v>96.89</v>
      </c>
      <c r="C699" s="3">
        <v>5714000.0</v>
      </c>
      <c r="D699" s="3">
        <v>0.91</v>
      </c>
      <c r="E699" s="3">
        <v>5.714</v>
      </c>
    </row>
    <row r="700" ht="12.75" customHeight="1">
      <c r="A700" s="3">
        <v>33.0</v>
      </c>
      <c r="B700" s="3">
        <v>97.0</v>
      </c>
      <c r="C700" s="3">
        <v>5810000.0</v>
      </c>
      <c r="D700" s="3">
        <v>0.92</v>
      </c>
      <c r="E700" s="3">
        <v>5.81</v>
      </c>
    </row>
    <row r="701" ht="12.75" customHeight="1">
      <c r="A701" s="3">
        <v>33.0</v>
      </c>
      <c r="B701" s="3">
        <v>97.3</v>
      </c>
      <c r="C701" s="3">
        <v>6000000.0</v>
      </c>
      <c r="D701" s="3">
        <v>1.0</v>
      </c>
      <c r="E701" s="3">
        <v>6.0</v>
      </c>
    </row>
    <row r="702" ht="12.75" customHeight="1">
      <c r="A702" s="3">
        <v>33.0</v>
      </c>
      <c r="B702" s="3">
        <v>97.5</v>
      </c>
      <c r="C702" s="3">
        <v>6310000.0</v>
      </c>
      <c r="D702" s="3">
        <v>1.05</v>
      </c>
      <c r="E702" s="3">
        <v>6.31</v>
      </c>
    </row>
    <row r="703" ht="12.75" customHeight="1">
      <c r="A703" s="3">
        <v>33.0</v>
      </c>
      <c r="B703" s="3">
        <v>98.0</v>
      </c>
      <c r="C703" s="3">
        <v>7000000.0</v>
      </c>
      <c r="D703" s="3">
        <v>1.5</v>
      </c>
      <c r="E703" s="3">
        <v>7.0</v>
      </c>
    </row>
    <row r="704" ht="12.75" customHeight="1">
      <c r="A704" s="3">
        <v>33.0</v>
      </c>
      <c r="B704" s="3">
        <v>99.0</v>
      </c>
      <c r="C704" s="3">
        <v>8000000.0</v>
      </c>
      <c r="D704" s="3">
        <v>1.7</v>
      </c>
      <c r="E704" s="3">
        <v>8.0</v>
      </c>
    </row>
    <row r="705" ht="12.75" customHeight="1">
      <c r="A705" s="3">
        <v>34.0</v>
      </c>
      <c r="B705" s="3">
        <v>89.19</v>
      </c>
      <c r="C705" s="3">
        <v>0.0</v>
      </c>
      <c r="D705" s="3">
        <v>0.0</v>
      </c>
      <c r="E705" s="3">
        <v>0.0</v>
      </c>
    </row>
    <row r="706" ht="12.75" customHeight="1">
      <c r="A706" s="3">
        <v>34.0</v>
      </c>
      <c r="B706" s="3">
        <v>90.0</v>
      </c>
      <c r="C706" s="3">
        <v>67.0</v>
      </c>
      <c r="D706" s="3">
        <v>4.0E-4</v>
      </c>
      <c r="E706" s="3">
        <v>6.7E-5</v>
      </c>
    </row>
    <row r="707" ht="12.75" customHeight="1">
      <c r="A707" s="3">
        <v>34.0</v>
      </c>
      <c r="B707" s="3">
        <v>91.0</v>
      </c>
      <c r="C707" s="3">
        <v>4675.0</v>
      </c>
      <c r="D707" s="3">
        <v>0.0122</v>
      </c>
      <c r="E707" s="3">
        <v>0.004675</v>
      </c>
    </row>
    <row r="708" ht="12.75" customHeight="1">
      <c r="A708" s="3">
        <v>34.0</v>
      </c>
      <c r="B708" s="3">
        <v>92.0</v>
      </c>
      <c r="C708" s="3">
        <v>45069.0</v>
      </c>
      <c r="D708" s="3">
        <v>0.0856</v>
      </c>
      <c r="E708" s="3">
        <v>0.045069</v>
      </c>
    </row>
    <row r="709" ht="12.75" customHeight="1">
      <c r="A709" s="3">
        <v>34.0</v>
      </c>
      <c r="B709" s="3">
        <v>93.0</v>
      </c>
      <c r="C709" s="3">
        <v>205198.0</v>
      </c>
      <c r="D709" s="3">
        <v>0.2587</v>
      </c>
      <c r="E709" s="3">
        <v>0.205198</v>
      </c>
    </row>
    <row r="710" ht="12.75" customHeight="1">
      <c r="A710" s="3">
        <v>34.0</v>
      </c>
      <c r="B710" s="3">
        <v>94.0</v>
      </c>
      <c r="C710" s="3">
        <v>606671.0</v>
      </c>
      <c r="D710" s="3">
        <v>0.518</v>
      </c>
      <c r="E710" s="3">
        <v>0.606671</v>
      </c>
    </row>
    <row r="711" ht="12.75" customHeight="1">
      <c r="A711" s="3">
        <v>34.0</v>
      </c>
      <c r="B711" s="3">
        <v>94.59</v>
      </c>
      <c r="C711" s="3">
        <v>927092.0</v>
      </c>
      <c r="D711" s="3">
        <v>0.5599</v>
      </c>
      <c r="E711" s="3">
        <v>0.927092</v>
      </c>
    </row>
    <row r="712" ht="12.75" customHeight="1">
      <c r="A712" s="3">
        <v>34.0</v>
      </c>
      <c r="B712" s="3">
        <v>95.0</v>
      </c>
      <c r="C712" s="3">
        <v>1144394.0</v>
      </c>
      <c r="D712" s="3">
        <v>0.67879</v>
      </c>
      <c r="E712" s="3">
        <v>1.144394</v>
      </c>
    </row>
    <row r="713" ht="12.75" customHeight="1">
      <c r="A713" s="3">
        <v>34.0</v>
      </c>
      <c r="B713" s="3">
        <v>96.0</v>
      </c>
      <c r="C713" s="3">
        <v>1964394.0</v>
      </c>
      <c r="D713" s="3">
        <v>0.95879</v>
      </c>
      <c r="E713" s="3">
        <v>1.964394</v>
      </c>
    </row>
    <row r="714" ht="12.75" customHeight="1">
      <c r="A714" s="3">
        <v>34.0</v>
      </c>
      <c r="B714" s="3">
        <v>97.0</v>
      </c>
      <c r="C714" s="3">
        <v>3114394.0</v>
      </c>
      <c r="D714" s="3">
        <v>1.30879</v>
      </c>
      <c r="E714" s="3">
        <v>3.114394</v>
      </c>
    </row>
    <row r="715" ht="12.75" customHeight="1">
      <c r="A715" s="3">
        <v>34.0</v>
      </c>
      <c r="B715" s="3">
        <v>98.0</v>
      </c>
      <c r="C715" s="3">
        <v>4604394.0</v>
      </c>
      <c r="D715" s="3">
        <v>1.65879</v>
      </c>
      <c r="E715" s="3">
        <v>4.604394</v>
      </c>
    </row>
    <row r="716" ht="12.75" customHeight="1">
      <c r="A716" s="3">
        <v>34.0</v>
      </c>
      <c r="B716" s="3">
        <v>99.0</v>
      </c>
      <c r="C716" s="3">
        <v>6554394.0</v>
      </c>
      <c r="D716" s="3">
        <v>1.94879</v>
      </c>
      <c r="E716" s="3">
        <v>6.554394</v>
      </c>
    </row>
    <row r="717" ht="12.75" customHeight="1">
      <c r="A717" s="3">
        <v>34.0</v>
      </c>
      <c r="B717" s="3">
        <v>100.0</v>
      </c>
      <c r="C717" s="3">
        <v>7554394.0</v>
      </c>
      <c r="D717" s="3">
        <v>2.49879</v>
      </c>
      <c r="E717" s="3">
        <v>7.554394</v>
      </c>
    </row>
    <row r="718" ht="12.75" customHeight="1">
      <c r="A718" s="3">
        <v>35.0</v>
      </c>
      <c r="B718" s="3">
        <v>87.0</v>
      </c>
      <c r="C718" s="3">
        <v>0.0</v>
      </c>
      <c r="D718" s="3">
        <v>0.0</v>
      </c>
      <c r="E718" s="3">
        <v>0.0</v>
      </c>
    </row>
    <row r="719" ht="12.75" customHeight="1">
      <c r="A719" s="3">
        <v>35.0</v>
      </c>
      <c r="B719" s="3">
        <v>88.0</v>
      </c>
      <c r="C719" s="3">
        <v>1600.0</v>
      </c>
      <c r="D719" s="3">
        <v>0.0</v>
      </c>
      <c r="E719" s="3">
        <v>0.0016</v>
      </c>
    </row>
    <row r="720" ht="12.75" customHeight="1">
      <c r="A720" s="3">
        <v>35.0</v>
      </c>
      <c r="B720" s="3">
        <v>89.0</v>
      </c>
      <c r="C720" s="3">
        <v>8000.0</v>
      </c>
      <c r="D720" s="3">
        <v>0.0</v>
      </c>
      <c r="E720" s="3">
        <v>0.008</v>
      </c>
    </row>
    <row r="721" ht="12.75" customHeight="1">
      <c r="A721" s="3">
        <v>35.0</v>
      </c>
      <c r="B721" s="3">
        <v>90.0</v>
      </c>
      <c r="C721" s="3">
        <v>30000.0</v>
      </c>
      <c r="D721" s="3">
        <v>0.04</v>
      </c>
      <c r="E721" s="3">
        <v>0.03</v>
      </c>
    </row>
    <row r="722" ht="12.75" customHeight="1">
      <c r="A722" s="3">
        <v>35.0</v>
      </c>
      <c r="B722" s="3">
        <v>91.0</v>
      </c>
      <c r="C722" s="3">
        <v>120000.0</v>
      </c>
      <c r="D722" s="3">
        <v>0.12</v>
      </c>
      <c r="E722" s="3">
        <v>0.12</v>
      </c>
    </row>
    <row r="723" ht="12.75" customHeight="1">
      <c r="A723" s="3">
        <v>35.0</v>
      </c>
      <c r="B723" s="3">
        <v>92.0</v>
      </c>
      <c r="C723" s="3">
        <v>350000.0</v>
      </c>
      <c r="D723" s="3">
        <v>0.34</v>
      </c>
      <c r="E723" s="3">
        <v>0.35</v>
      </c>
    </row>
    <row r="724" ht="12.75" customHeight="1">
      <c r="A724" s="3">
        <v>35.0</v>
      </c>
      <c r="B724" s="3">
        <v>93.0</v>
      </c>
      <c r="C724" s="3">
        <v>750000.0</v>
      </c>
      <c r="D724" s="3">
        <v>0.45</v>
      </c>
      <c r="E724" s="3">
        <v>0.75</v>
      </c>
    </row>
    <row r="725" ht="12.75" customHeight="1">
      <c r="A725" s="3">
        <v>35.0</v>
      </c>
      <c r="B725" s="3">
        <v>94.0</v>
      </c>
      <c r="C725" s="3">
        <v>1260000.0</v>
      </c>
      <c r="D725" s="3">
        <v>0.56</v>
      </c>
      <c r="E725" s="3">
        <v>1.26</v>
      </c>
    </row>
    <row r="726" ht="12.75" customHeight="1">
      <c r="A726" s="3">
        <v>35.0</v>
      </c>
      <c r="B726" s="3">
        <v>95.0</v>
      </c>
      <c r="C726" s="3">
        <v>1880000.0</v>
      </c>
      <c r="D726" s="3">
        <v>0.68</v>
      </c>
      <c r="E726" s="3">
        <v>1.88</v>
      </c>
    </row>
    <row r="727" ht="12.75" customHeight="1">
      <c r="A727" s="3">
        <v>35.0</v>
      </c>
      <c r="B727" s="3">
        <v>96.0</v>
      </c>
      <c r="C727" s="3">
        <v>2590000.0</v>
      </c>
      <c r="D727" s="3">
        <v>0.73</v>
      </c>
      <c r="E727" s="3">
        <v>2.59</v>
      </c>
    </row>
    <row r="728" ht="12.75" customHeight="1">
      <c r="A728" s="3">
        <v>35.0</v>
      </c>
      <c r="B728" s="3">
        <v>97.0</v>
      </c>
      <c r="C728" s="3">
        <v>3390000.0</v>
      </c>
      <c r="D728" s="3">
        <v>0.86</v>
      </c>
      <c r="E728" s="3">
        <v>3.39</v>
      </c>
    </row>
    <row r="729" ht="12.75" customHeight="1">
      <c r="A729" s="3">
        <v>35.0</v>
      </c>
      <c r="B729" s="3">
        <v>98.0</v>
      </c>
      <c r="C729" s="3">
        <v>4150000.0</v>
      </c>
      <c r="D729" s="3">
        <v>0.9</v>
      </c>
      <c r="E729" s="3">
        <v>4.15</v>
      </c>
    </row>
    <row r="730" ht="12.75" customHeight="1">
      <c r="A730" s="3">
        <v>36.0</v>
      </c>
      <c r="B730" s="3">
        <v>401.0</v>
      </c>
      <c r="C730" s="3">
        <v>0.0</v>
      </c>
      <c r="D730" s="3">
        <v>0.0</v>
      </c>
      <c r="E730" s="3">
        <v>0.0</v>
      </c>
    </row>
    <row r="731" ht="12.75" customHeight="1">
      <c r="A731" s="3">
        <v>36.0</v>
      </c>
      <c r="B731" s="3">
        <v>405.0</v>
      </c>
      <c r="C731" s="3">
        <v>10000.0</v>
      </c>
      <c r="D731" s="3">
        <v>0.008</v>
      </c>
      <c r="E731" s="3">
        <v>0.01</v>
      </c>
    </row>
    <row r="732" ht="12.75" customHeight="1">
      <c r="A732" s="3">
        <v>36.0</v>
      </c>
      <c r="B732" s="3">
        <v>410.0</v>
      </c>
      <c r="C732" s="3">
        <v>130000.0</v>
      </c>
      <c r="D732" s="3">
        <v>0.03</v>
      </c>
      <c r="E732" s="3">
        <v>0.13</v>
      </c>
    </row>
    <row r="733" ht="12.75" customHeight="1">
      <c r="A733" s="3">
        <v>36.0</v>
      </c>
      <c r="B733" s="3">
        <v>415.0</v>
      </c>
      <c r="C733" s="3">
        <v>470000.0</v>
      </c>
      <c r="D733" s="3">
        <v>0.09</v>
      </c>
      <c r="E733" s="3">
        <v>0.47</v>
      </c>
    </row>
    <row r="734" ht="12.75" customHeight="1">
      <c r="A734" s="3">
        <v>36.0</v>
      </c>
      <c r="B734" s="3">
        <v>420.0</v>
      </c>
      <c r="C734" s="3">
        <v>1220000.0</v>
      </c>
      <c r="D734" s="3">
        <v>0.19</v>
      </c>
      <c r="E734" s="3">
        <v>1.22</v>
      </c>
    </row>
    <row r="735" ht="12.75" customHeight="1">
      <c r="A735" s="3">
        <v>36.0</v>
      </c>
      <c r="B735" s="3">
        <v>425.0</v>
      </c>
      <c r="C735" s="3">
        <v>2390000.0</v>
      </c>
      <c r="D735" s="3">
        <v>0.27</v>
      </c>
      <c r="E735" s="3">
        <v>2.39</v>
      </c>
    </row>
    <row r="736" ht="12.75" customHeight="1">
      <c r="A736" s="3">
        <v>36.0</v>
      </c>
      <c r="B736" s="3">
        <v>426.0</v>
      </c>
      <c r="C736" s="3">
        <v>2700000.0</v>
      </c>
      <c r="D736" s="3">
        <v>0.28</v>
      </c>
      <c r="E736" s="3">
        <v>2.7</v>
      </c>
    </row>
    <row r="737" ht="12.75" customHeight="1">
      <c r="A737" s="3">
        <v>36.0</v>
      </c>
      <c r="B737" s="3">
        <v>427.0</v>
      </c>
      <c r="C737" s="3">
        <v>3000000.0</v>
      </c>
      <c r="D737" s="3">
        <v>1.0</v>
      </c>
      <c r="E737" s="3">
        <v>3.0</v>
      </c>
    </row>
    <row r="738" ht="12.75" customHeight="1">
      <c r="A738" s="3">
        <v>37.0</v>
      </c>
      <c r="B738" s="3">
        <v>74.0</v>
      </c>
      <c r="C738" s="3">
        <v>0.0</v>
      </c>
      <c r="D738" s="3">
        <v>0.0</v>
      </c>
      <c r="E738" s="3">
        <v>0.0</v>
      </c>
    </row>
    <row r="739" ht="12.75" customHeight="1">
      <c r="A739" s="3">
        <v>37.0</v>
      </c>
      <c r="B739" s="3">
        <v>75.0</v>
      </c>
      <c r="C739" s="3">
        <v>1600.0</v>
      </c>
      <c r="D739" s="3">
        <v>0.0032</v>
      </c>
      <c r="E739" s="3">
        <v>0.0016</v>
      </c>
    </row>
    <row r="740" ht="12.75" customHeight="1">
      <c r="A740" s="3">
        <v>37.0</v>
      </c>
      <c r="B740" s="3">
        <v>76.0</v>
      </c>
      <c r="C740" s="3">
        <v>6400.0</v>
      </c>
      <c r="D740" s="3">
        <v>0.0064</v>
      </c>
      <c r="E740" s="3">
        <v>0.0064</v>
      </c>
    </row>
    <row r="741" ht="12.75" customHeight="1">
      <c r="A741" s="3">
        <v>37.0</v>
      </c>
      <c r="B741" s="3">
        <v>77.0</v>
      </c>
      <c r="C741" s="3">
        <v>20000.0</v>
      </c>
      <c r="D741" s="3">
        <v>0.02</v>
      </c>
      <c r="E741" s="3">
        <v>0.02</v>
      </c>
    </row>
    <row r="742" ht="12.75" customHeight="1">
      <c r="A742" s="3">
        <v>37.0</v>
      </c>
      <c r="B742" s="3">
        <v>78.0</v>
      </c>
      <c r="C742" s="3">
        <v>50000.0</v>
      </c>
      <c r="D742" s="3">
        <v>0.04</v>
      </c>
      <c r="E742" s="3">
        <v>0.05</v>
      </c>
    </row>
    <row r="743" ht="12.75" customHeight="1">
      <c r="A743" s="3">
        <v>37.0</v>
      </c>
      <c r="B743" s="3">
        <v>79.0</v>
      </c>
      <c r="C743" s="3">
        <v>110000.0</v>
      </c>
      <c r="D743" s="3">
        <v>0.08</v>
      </c>
      <c r="E743" s="3">
        <v>0.11</v>
      </c>
    </row>
    <row r="744" ht="12.75" customHeight="1">
      <c r="A744" s="3">
        <v>37.0</v>
      </c>
      <c r="B744" s="3">
        <v>80.0</v>
      </c>
      <c r="C744" s="3">
        <v>190000.0</v>
      </c>
      <c r="D744" s="3">
        <v>0.08</v>
      </c>
      <c r="E744" s="3">
        <v>0.19</v>
      </c>
    </row>
    <row r="745" ht="12.75" customHeight="1">
      <c r="A745" s="3">
        <v>37.0</v>
      </c>
      <c r="B745" s="3">
        <v>81.0</v>
      </c>
      <c r="C745" s="3">
        <v>290000.0</v>
      </c>
      <c r="D745" s="3">
        <v>0.09</v>
      </c>
      <c r="E745" s="3">
        <v>0.29</v>
      </c>
    </row>
    <row r="746" ht="12.75" customHeight="1">
      <c r="A746" s="3">
        <v>37.0</v>
      </c>
      <c r="B746" s="3">
        <v>82.0</v>
      </c>
      <c r="C746" s="3">
        <v>400000.0</v>
      </c>
      <c r="D746" s="3">
        <v>0.13</v>
      </c>
      <c r="E746" s="3">
        <v>0.4</v>
      </c>
    </row>
    <row r="747" ht="12.75" customHeight="1">
      <c r="A747" s="3">
        <v>37.0</v>
      </c>
      <c r="B747" s="3">
        <v>83.0</v>
      </c>
      <c r="C747" s="3">
        <v>580000.0</v>
      </c>
      <c r="D747" s="3">
        <v>0.22</v>
      </c>
      <c r="E747" s="3">
        <v>0.58</v>
      </c>
    </row>
    <row r="748" ht="12.75" customHeight="1">
      <c r="A748" s="3">
        <v>37.0</v>
      </c>
      <c r="B748" s="3">
        <v>84.0</v>
      </c>
      <c r="C748" s="3">
        <v>840000.0</v>
      </c>
      <c r="D748" s="3">
        <v>0.28</v>
      </c>
      <c r="E748" s="3">
        <v>0.84</v>
      </c>
    </row>
    <row r="749" ht="12.75" customHeight="1">
      <c r="A749" s="3">
        <v>37.0</v>
      </c>
      <c r="B749" s="3">
        <v>85.0</v>
      </c>
      <c r="C749" s="3">
        <v>1160000.0</v>
      </c>
      <c r="D749" s="3">
        <v>0.35</v>
      </c>
      <c r="E749" s="3">
        <v>1.16</v>
      </c>
    </row>
    <row r="750" ht="12.75" customHeight="1">
      <c r="A750" s="3">
        <v>37.0</v>
      </c>
      <c r="B750" s="3">
        <v>86.0</v>
      </c>
      <c r="C750" s="3">
        <v>1570000.0</v>
      </c>
      <c r="D750" s="3">
        <v>0.47</v>
      </c>
      <c r="E750" s="3">
        <v>1.57</v>
      </c>
    </row>
    <row r="751" ht="12.75" customHeight="1">
      <c r="A751" s="3">
        <v>37.0</v>
      </c>
      <c r="B751" s="3">
        <v>87.0</v>
      </c>
      <c r="C751" s="3">
        <v>2080000.0</v>
      </c>
      <c r="D751" s="3">
        <v>0.54</v>
      </c>
      <c r="E751" s="3">
        <v>2.08</v>
      </c>
    </row>
    <row r="752" ht="12.75" customHeight="1">
      <c r="A752" s="3">
        <v>37.0</v>
      </c>
      <c r="B752" s="3">
        <v>88.0</v>
      </c>
      <c r="C752" s="3">
        <v>2650000.0</v>
      </c>
      <c r="D752" s="3">
        <v>0.59</v>
      </c>
      <c r="E752" s="3">
        <v>2.65</v>
      </c>
    </row>
    <row r="753" ht="12.75" customHeight="1">
      <c r="A753" s="3">
        <v>37.0</v>
      </c>
      <c r="B753" s="3">
        <v>89.0</v>
      </c>
      <c r="C753" s="3">
        <v>3250000.0</v>
      </c>
      <c r="D753" s="3">
        <v>0.61</v>
      </c>
      <c r="E753" s="3">
        <v>3.25</v>
      </c>
    </row>
    <row r="754" ht="12.75" customHeight="1">
      <c r="A754" s="3">
        <v>37.0</v>
      </c>
      <c r="B754" s="3">
        <v>90.0</v>
      </c>
      <c r="C754" s="3">
        <v>3900000.0</v>
      </c>
      <c r="D754" s="3">
        <v>0.68</v>
      </c>
      <c r="E754" s="3">
        <v>3.9</v>
      </c>
    </row>
    <row r="755" ht="12.75" customHeight="1">
      <c r="A755" s="3">
        <v>37.0</v>
      </c>
      <c r="B755" s="3">
        <v>91.0</v>
      </c>
      <c r="C755" s="3">
        <v>4620000.0</v>
      </c>
      <c r="D755" s="3">
        <v>0.74</v>
      </c>
      <c r="E755" s="3">
        <v>4.62</v>
      </c>
    </row>
    <row r="756" ht="12.75" customHeight="1">
      <c r="A756" s="3">
        <v>37.0</v>
      </c>
      <c r="B756" s="3">
        <v>92.0</v>
      </c>
      <c r="C756" s="3">
        <v>5390000.0</v>
      </c>
      <c r="D756" s="3">
        <v>0.8</v>
      </c>
      <c r="E756" s="3">
        <v>5.39</v>
      </c>
    </row>
    <row r="757" ht="12.75" customHeight="1">
      <c r="A757" s="3">
        <v>37.0</v>
      </c>
      <c r="B757" s="3">
        <v>93.0</v>
      </c>
      <c r="C757" s="3">
        <v>6240000.0</v>
      </c>
      <c r="D757" s="3">
        <v>0.88</v>
      </c>
      <c r="E757" s="3">
        <v>6.24</v>
      </c>
    </row>
    <row r="758" ht="12.75" customHeight="1">
      <c r="A758" s="3">
        <v>37.0</v>
      </c>
      <c r="B758" s="3">
        <v>94.0</v>
      </c>
      <c r="C758" s="3">
        <v>7190000.0</v>
      </c>
      <c r="D758" s="3">
        <v>1.02</v>
      </c>
      <c r="E758" s="3">
        <v>7.19</v>
      </c>
    </row>
    <row r="759" ht="12.75" customHeight="1">
      <c r="A759" s="3">
        <v>38.0</v>
      </c>
      <c r="B759" s="3">
        <v>107.0</v>
      </c>
      <c r="C759" s="3">
        <v>140000.0</v>
      </c>
      <c r="D759" s="3">
        <v>0.0</v>
      </c>
      <c r="E759" s="3">
        <v>0.14</v>
      </c>
    </row>
    <row r="760" ht="12.75" customHeight="1">
      <c r="A760" s="3">
        <v>38.0</v>
      </c>
      <c r="B760" s="3">
        <v>108.0</v>
      </c>
      <c r="C760" s="3">
        <v>220000.0</v>
      </c>
      <c r="D760" s="3">
        <v>0.0</v>
      </c>
      <c r="E760" s="3">
        <v>0.22</v>
      </c>
    </row>
    <row r="761" ht="12.75" customHeight="1">
      <c r="A761" s="3">
        <v>38.0</v>
      </c>
      <c r="B761" s="3">
        <v>109.0</v>
      </c>
      <c r="C761" s="3">
        <v>320000.0</v>
      </c>
      <c r="D761" s="3">
        <v>0.0</v>
      </c>
      <c r="E761" s="3">
        <v>0.32</v>
      </c>
    </row>
    <row r="762" ht="12.75" customHeight="1">
      <c r="A762" s="3">
        <v>38.0</v>
      </c>
      <c r="B762" s="3">
        <v>110.0</v>
      </c>
      <c r="C762" s="3">
        <v>470000.0</v>
      </c>
      <c r="D762" s="3">
        <v>0.0</v>
      </c>
      <c r="E762" s="3">
        <v>0.47</v>
      </c>
    </row>
    <row r="763" ht="12.75" customHeight="1">
      <c r="A763" s="3">
        <v>38.0</v>
      </c>
      <c r="B763" s="3">
        <v>111.0</v>
      </c>
      <c r="C763" s="3">
        <v>680000.0</v>
      </c>
      <c r="D763" s="3">
        <v>0.0</v>
      </c>
      <c r="E763" s="3">
        <v>0.68</v>
      </c>
    </row>
    <row r="764" ht="12.75" customHeight="1">
      <c r="A764" s="3">
        <v>38.0</v>
      </c>
      <c r="B764" s="3">
        <v>112.0</v>
      </c>
      <c r="C764" s="3">
        <v>950000.0</v>
      </c>
      <c r="D764" s="3">
        <v>0.0</v>
      </c>
      <c r="E764" s="3">
        <v>0.95</v>
      </c>
    </row>
    <row r="765" ht="12.75" customHeight="1">
      <c r="A765" s="3">
        <v>38.0</v>
      </c>
      <c r="B765" s="3">
        <v>113.0</v>
      </c>
      <c r="C765" s="3">
        <v>1270000.0</v>
      </c>
      <c r="D765" s="3">
        <v>0.0</v>
      </c>
      <c r="E765" s="3">
        <v>1.27</v>
      </c>
    </row>
    <row r="766" ht="12.75" customHeight="1">
      <c r="A766" s="3">
        <v>38.0</v>
      </c>
      <c r="B766" s="3">
        <v>114.0</v>
      </c>
      <c r="C766" s="3">
        <v>1700000.0</v>
      </c>
      <c r="D766" s="3">
        <v>0.0</v>
      </c>
      <c r="E766" s="3">
        <v>1.7</v>
      </c>
    </row>
    <row r="767" ht="12.75" customHeight="1">
      <c r="A767" s="3">
        <v>38.0</v>
      </c>
      <c r="B767" s="3">
        <v>115.0</v>
      </c>
      <c r="C767" s="3">
        <v>2260000.0</v>
      </c>
      <c r="D767" s="3">
        <v>0.0</v>
      </c>
      <c r="E767" s="3">
        <v>2.26</v>
      </c>
    </row>
    <row r="768" ht="12.75" customHeight="1">
      <c r="A768" s="3">
        <v>38.0</v>
      </c>
      <c r="B768" s="3">
        <v>115.5</v>
      </c>
      <c r="C768" s="3">
        <v>2640000.0</v>
      </c>
      <c r="D768" s="3">
        <v>0.0</v>
      </c>
      <c r="E768" s="3">
        <v>2.64</v>
      </c>
    </row>
    <row r="769" ht="12.75" customHeight="1">
      <c r="A769" s="3">
        <v>38.0</v>
      </c>
      <c r="B769" s="3">
        <v>115.7</v>
      </c>
      <c r="C769" s="3">
        <v>3100000.0</v>
      </c>
      <c r="D769" s="3">
        <v>0.0</v>
      </c>
      <c r="E769" s="3">
        <v>3.1</v>
      </c>
    </row>
    <row r="770" ht="12.75" customHeight="1">
      <c r="A770" s="3">
        <v>39.0</v>
      </c>
      <c r="B770" s="3">
        <v>90.0</v>
      </c>
      <c r="C770" s="3">
        <v>0.0</v>
      </c>
      <c r="D770" s="3">
        <v>0.0</v>
      </c>
      <c r="E770" s="3">
        <v>0.0</v>
      </c>
    </row>
    <row r="771" ht="12.75" customHeight="1">
      <c r="A771" s="3">
        <v>39.0</v>
      </c>
      <c r="B771" s="3">
        <v>91.0</v>
      </c>
      <c r="C771" s="3">
        <v>20000.0</v>
      </c>
      <c r="D771" s="3">
        <v>0.03</v>
      </c>
      <c r="E771" s="3">
        <v>0.02</v>
      </c>
    </row>
    <row r="772" ht="12.75" customHeight="1">
      <c r="A772" s="3">
        <v>39.0</v>
      </c>
      <c r="B772" s="3">
        <v>92.0</v>
      </c>
      <c r="C772" s="3">
        <v>90000.0</v>
      </c>
      <c r="D772" s="3">
        <v>0.1</v>
      </c>
      <c r="E772" s="3">
        <v>0.09</v>
      </c>
    </row>
    <row r="773" ht="12.75" customHeight="1">
      <c r="A773" s="3">
        <v>39.0</v>
      </c>
      <c r="B773" s="3">
        <v>93.0</v>
      </c>
      <c r="C773" s="3">
        <v>230000.0</v>
      </c>
      <c r="D773" s="3">
        <v>0.18</v>
      </c>
      <c r="E773" s="3">
        <v>0.23</v>
      </c>
    </row>
    <row r="774" ht="12.75" customHeight="1">
      <c r="A774" s="3">
        <v>39.0</v>
      </c>
      <c r="B774" s="3">
        <v>94.0</v>
      </c>
      <c r="C774" s="3">
        <v>510000.0</v>
      </c>
      <c r="D774" s="3">
        <v>0.38</v>
      </c>
      <c r="E774" s="3">
        <v>0.51</v>
      </c>
    </row>
    <row r="775" ht="12.75" customHeight="1">
      <c r="A775" s="3">
        <v>39.0</v>
      </c>
      <c r="B775" s="3">
        <v>95.0</v>
      </c>
      <c r="C775" s="3">
        <v>1240000.0</v>
      </c>
      <c r="D775" s="3">
        <v>0.63</v>
      </c>
      <c r="E775" s="3">
        <v>1.24</v>
      </c>
    </row>
    <row r="776" ht="12.75" customHeight="1">
      <c r="A776" s="3">
        <v>39.0</v>
      </c>
      <c r="B776" s="3">
        <v>96.0</v>
      </c>
      <c r="C776" s="3">
        <v>1960000.0</v>
      </c>
      <c r="D776" s="3">
        <v>0.81</v>
      </c>
      <c r="E776" s="3">
        <v>1.96</v>
      </c>
    </row>
    <row r="777" ht="12.75" customHeight="1">
      <c r="A777" s="3">
        <v>39.0</v>
      </c>
      <c r="B777" s="3">
        <v>97.0</v>
      </c>
      <c r="C777" s="3">
        <v>2870000.0</v>
      </c>
      <c r="D777" s="3">
        <v>1.01</v>
      </c>
      <c r="E777" s="3">
        <v>2.87</v>
      </c>
    </row>
    <row r="778" ht="12.75" customHeight="1">
      <c r="A778" s="3">
        <v>39.0</v>
      </c>
      <c r="B778" s="3">
        <v>98.0</v>
      </c>
      <c r="C778" s="3">
        <v>4040000.0</v>
      </c>
      <c r="D778" s="3">
        <v>1.32</v>
      </c>
      <c r="E778" s="3">
        <v>4.04</v>
      </c>
    </row>
    <row r="779" ht="12.75" customHeight="1">
      <c r="A779" s="3">
        <v>39.0</v>
      </c>
      <c r="B779" s="3">
        <v>99.0</v>
      </c>
      <c r="C779" s="3">
        <v>5640000.0</v>
      </c>
      <c r="D779" s="3">
        <v>1.89</v>
      </c>
      <c r="E779" s="3">
        <v>5.64</v>
      </c>
    </row>
    <row r="780" ht="12.75" customHeight="1">
      <c r="A780" s="3">
        <v>39.0</v>
      </c>
      <c r="B780" s="3">
        <v>100.0</v>
      </c>
      <c r="C780" s="3">
        <v>7670000.0</v>
      </c>
      <c r="D780" s="3">
        <v>2.15</v>
      </c>
      <c r="E780" s="3">
        <v>7.67</v>
      </c>
    </row>
    <row r="781" ht="12.75" customHeight="1">
      <c r="A781" s="3">
        <v>39.0</v>
      </c>
      <c r="B781" s="3">
        <v>101.0</v>
      </c>
      <c r="C781" s="3">
        <v>1.01E7</v>
      </c>
      <c r="D781" s="3">
        <v>2.7</v>
      </c>
      <c r="E781" s="3">
        <v>10.1</v>
      </c>
    </row>
    <row r="782" ht="12.75" customHeight="1">
      <c r="A782" s="3">
        <v>39.0</v>
      </c>
      <c r="B782" s="3">
        <v>102.0</v>
      </c>
      <c r="C782" s="3">
        <v>1.218E7</v>
      </c>
      <c r="D782" s="3">
        <v>3.18</v>
      </c>
      <c r="E782" s="3">
        <v>12.18</v>
      </c>
    </row>
    <row r="783" ht="12.75" customHeight="1">
      <c r="A783" s="3">
        <v>40.0</v>
      </c>
      <c r="B783" s="3">
        <v>90.0</v>
      </c>
      <c r="C783" s="3">
        <v>0.0</v>
      </c>
      <c r="D783" s="3">
        <v>0.0</v>
      </c>
      <c r="E783" s="3">
        <v>0.0</v>
      </c>
    </row>
    <row r="784" ht="12.75" customHeight="1">
      <c r="A784" s="3">
        <v>40.0</v>
      </c>
      <c r="B784" s="3">
        <v>91.0</v>
      </c>
      <c r="C784" s="3">
        <v>1400.0</v>
      </c>
      <c r="D784" s="3">
        <v>0.0028</v>
      </c>
      <c r="E784" s="3">
        <v>0.0014</v>
      </c>
    </row>
    <row r="785" ht="12.75" customHeight="1">
      <c r="A785" s="3">
        <v>40.0</v>
      </c>
      <c r="B785" s="3">
        <v>92.0</v>
      </c>
      <c r="C785" s="3">
        <v>7400.0</v>
      </c>
      <c r="D785" s="3">
        <v>0.0092</v>
      </c>
      <c r="E785" s="3">
        <v>0.0074</v>
      </c>
    </row>
    <row r="786" ht="12.75" customHeight="1">
      <c r="A786" s="3">
        <v>40.0</v>
      </c>
      <c r="B786" s="3">
        <v>93.0</v>
      </c>
      <c r="C786" s="3">
        <v>20000.0</v>
      </c>
      <c r="D786" s="3">
        <v>0.02</v>
      </c>
      <c r="E786" s="3">
        <v>0.02</v>
      </c>
    </row>
    <row r="787" ht="12.75" customHeight="1">
      <c r="A787" s="3">
        <v>40.0</v>
      </c>
      <c r="B787" s="3">
        <v>94.0</v>
      </c>
      <c r="C787" s="3">
        <v>60000.0</v>
      </c>
      <c r="D787" s="3">
        <v>0.05</v>
      </c>
      <c r="E787" s="3">
        <v>0.06</v>
      </c>
    </row>
    <row r="788" ht="12.75" customHeight="1">
      <c r="A788" s="3">
        <v>40.0</v>
      </c>
      <c r="B788" s="3">
        <v>95.0</v>
      </c>
      <c r="C788" s="3">
        <v>120000.0</v>
      </c>
      <c r="D788" s="3">
        <v>0.07</v>
      </c>
      <c r="E788" s="3">
        <v>0.12</v>
      </c>
    </row>
    <row r="789" ht="12.75" customHeight="1">
      <c r="A789" s="3">
        <v>40.0</v>
      </c>
      <c r="B789" s="3">
        <v>96.0</v>
      </c>
      <c r="C789" s="3">
        <v>230000.0</v>
      </c>
      <c r="D789" s="3">
        <v>0.12</v>
      </c>
      <c r="E789" s="3">
        <v>0.23</v>
      </c>
    </row>
    <row r="790" ht="12.75" customHeight="1">
      <c r="A790" s="3">
        <v>40.0</v>
      </c>
      <c r="B790" s="3">
        <v>97.0</v>
      </c>
      <c r="C790" s="3">
        <v>380000.0</v>
      </c>
      <c r="D790" s="3">
        <v>0.18</v>
      </c>
      <c r="E790" s="3">
        <v>0.38</v>
      </c>
    </row>
    <row r="791" ht="12.75" customHeight="1">
      <c r="A791" s="3">
        <v>40.0</v>
      </c>
      <c r="B791" s="3">
        <v>98.0</v>
      </c>
      <c r="C791" s="3">
        <v>600000.0</v>
      </c>
      <c r="D791" s="3">
        <v>0.25</v>
      </c>
      <c r="E791" s="3">
        <v>0.6</v>
      </c>
    </row>
    <row r="792" ht="12.75" customHeight="1">
      <c r="A792" s="3">
        <v>40.0</v>
      </c>
      <c r="B792" s="3">
        <v>99.0</v>
      </c>
      <c r="C792" s="3">
        <v>900000.0</v>
      </c>
      <c r="D792" s="3">
        <v>0.33</v>
      </c>
      <c r="E792" s="3">
        <v>0.9</v>
      </c>
    </row>
    <row r="793" ht="12.75" customHeight="1">
      <c r="A793" s="3">
        <v>40.0</v>
      </c>
      <c r="B793" s="3">
        <v>100.0</v>
      </c>
      <c r="C793" s="3">
        <v>1280000.0</v>
      </c>
      <c r="D793" s="3">
        <v>0.43</v>
      </c>
      <c r="E793" s="3">
        <v>1.28</v>
      </c>
    </row>
    <row r="794" ht="12.75" customHeight="1">
      <c r="A794" s="3">
        <v>40.0</v>
      </c>
      <c r="B794" s="3">
        <v>101.0</v>
      </c>
      <c r="C794" s="3">
        <v>1750000.0</v>
      </c>
      <c r="D794" s="3">
        <v>0.5</v>
      </c>
      <c r="E794" s="3">
        <v>1.75</v>
      </c>
    </row>
    <row r="795" ht="12.75" customHeight="1">
      <c r="A795" s="3">
        <v>40.0</v>
      </c>
      <c r="B795" s="3">
        <v>101.5</v>
      </c>
      <c r="C795" s="3">
        <v>2010000.0</v>
      </c>
      <c r="D795" s="3">
        <v>0.54</v>
      </c>
      <c r="E795" s="3">
        <v>2.01</v>
      </c>
    </row>
    <row r="796" ht="12.75" customHeight="1">
      <c r="A796" s="3">
        <v>40.0</v>
      </c>
      <c r="B796" s="3">
        <v>102.5</v>
      </c>
      <c r="C796" s="3">
        <v>2400000.0</v>
      </c>
      <c r="D796" s="3">
        <v>0.662</v>
      </c>
      <c r="E796" s="3">
        <v>2.4</v>
      </c>
    </row>
    <row r="797" ht="12.75" customHeight="1">
      <c r="A797" s="3">
        <v>40.0</v>
      </c>
      <c r="B797" s="3">
        <v>103.5</v>
      </c>
      <c r="C797" s="3">
        <v>3000000.0</v>
      </c>
      <c r="D797" s="3">
        <v>1.0</v>
      </c>
      <c r="E797" s="3">
        <v>3.0</v>
      </c>
    </row>
    <row r="798" ht="12.75" customHeight="1">
      <c r="A798" s="3">
        <v>42.0</v>
      </c>
      <c r="B798" s="3">
        <v>82.0</v>
      </c>
      <c r="C798" s="3">
        <v>0.0</v>
      </c>
      <c r="D798" s="3">
        <v>0.0</v>
      </c>
      <c r="E798" s="3">
        <v>0.0</v>
      </c>
    </row>
    <row r="799" ht="12.75" customHeight="1">
      <c r="A799" s="3">
        <v>42.0</v>
      </c>
      <c r="B799" s="3">
        <v>83.0</v>
      </c>
      <c r="C799" s="3">
        <v>8000.0</v>
      </c>
      <c r="D799" s="3">
        <v>0.01</v>
      </c>
      <c r="E799" s="3">
        <v>0.008</v>
      </c>
    </row>
    <row r="800" ht="12.75" customHeight="1">
      <c r="A800" s="3">
        <v>42.0</v>
      </c>
      <c r="B800" s="3">
        <v>84.0</v>
      </c>
      <c r="C800" s="3">
        <v>30000.0</v>
      </c>
      <c r="D800" s="3">
        <v>0.04</v>
      </c>
      <c r="E800" s="3">
        <v>0.03</v>
      </c>
    </row>
    <row r="801" ht="12.75" customHeight="1">
      <c r="A801" s="3">
        <v>42.0</v>
      </c>
      <c r="B801" s="3">
        <v>85.0</v>
      </c>
      <c r="C801" s="3">
        <v>90000.0</v>
      </c>
      <c r="D801" s="3">
        <v>0.08</v>
      </c>
      <c r="E801" s="3">
        <v>0.09</v>
      </c>
    </row>
    <row r="802" ht="12.75" customHeight="1">
      <c r="A802" s="3">
        <v>42.0</v>
      </c>
      <c r="B802" s="3">
        <v>86.0</v>
      </c>
      <c r="C802" s="3">
        <v>190000.0</v>
      </c>
      <c r="D802" s="3">
        <v>0.11</v>
      </c>
      <c r="E802" s="3">
        <v>0.19</v>
      </c>
    </row>
    <row r="803" ht="12.75" customHeight="1">
      <c r="A803" s="3">
        <v>42.0</v>
      </c>
      <c r="B803" s="3">
        <v>87.0</v>
      </c>
      <c r="C803" s="3">
        <v>320000.0</v>
      </c>
      <c r="D803" s="3">
        <v>0.14</v>
      </c>
      <c r="E803" s="3">
        <v>0.32</v>
      </c>
    </row>
    <row r="804" ht="12.75" customHeight="1">
      <c r="A804" s="3">
        <v>42.0</v>
      </c>
      <c r="B804" s="3">
        <v>88.0</v>
      </c>
      <c r="C804" s="3">
        <v>480000.0</v>
      </c>
      <c r="D804" s="3">
        <v>0.17</v>
      </c>
      <c r="E804" s="3">
        <v>0.48</v>
      </c>
    </row>
    <row r="805" ht="12.75" customHeight="1">
      <c r="A805" s="3">
        <v>42.0</v>
      </c>
      <c r="B805" s="3">
        <v>89.0</v>
      </c>
      <c r="C805" s="3">
        <v>670000.0</v>
      </c>
      <c r="D805" s="3">
        <v>0.21</v>
      </c>
      <c r="E805" s="3">
        <v>0.67</v>
      </c>
    </row>
    <row r="806" ht="12.75" customHeight="1">
      <c r="A806" s="3">
        <v>42.0</v>
      </c>
      <c r="B806" s="3">
        <v>90.0</v>
      </c>
      <c r="C806" s="3">
        <v>920000.0</v>
      </c>
      <c r="D806" s="3">
        <v>0.27</v>
      </c>
      <c r="E806" s="3">
        <v>0.92</v>
      </c>
    </row>
    <row r="807" ht="12.75" customHeight="1">
      <c r="A807" s="3">
        <v>42.0</v>
      </c>
      <c r="B807" s="3">
        <v>91.0</v>
      </c>
      <c r="C807" s="3">
        <v>1210000.0</v>
      </c>
      <c r="D807" s="3">
        <v>0.32</v>
      </c>
      <c r="E807" s="3">
        <v>1.21</v>
      </c>
    </row>
    <row r="808" ht="12.75" customHeight="1">
      <c r="A808" s="3">
        <v>42.0</v>
      </c>
      <c r="B808" s="3">
        <v>92.0</v>
      </c>
      <c r="C808" s="3">
        <v>1550000.0</v>
      </c>
      <c r="D808" s="3">
        <v>0.36</v>
      </c>
      <c r="E808" s="3">
        <v>1.55</v>
      </c>
    </row>
    <row r="809" ht="12.75" customHeight="1">
      <c r="A809" s="3">
        <v>42.0</v>
      </c>
      <c r="B809" s="3">
        <v>93.0</v>
      </c>
      <c r="C809" s="3">
        <v>1930000.0</v>
      </c>
      <c r="D809" s="3">
        <v>0.4</v>
      </c>
      <c r="E809" s="3">
        <v>1.93</v>
      </c>
    </row>
    <row r="810" ht="12.75" customHeight="1">
      <c r="A810" s="3">
        <v>42.0</v>
      </c>
      <c r="B810" s="3">
        <v>94.0</v>
      </c>
      <c r="C810" s="3">
        <v>2360000.0</v>
      </c>
      <c r="D810" s="3">
        <v>0.44</v>
      </c>
      <c r="E810" s="3">
        <v>2.36</v>
      </c>
    </row>
    <row r="811" ht="12.75" customHeight="1">
      <c r="A811" s="3">
        <v>42.0</v>
      </c>
      <c r="B811" s="3">
        <v>95.0</v>
      </c>
      <c r="C811" s="3">
        <v>2840000.0</v>
      </c>
      <c r="D811" s="3">
        <v>0.52</v>
      </c>
      <c r="E811" s="3">
        <v>2.84</v>
      </c>
    </row>
    <row r="812" ht="12.75" customHeight="1">
      <c r="A812" s="3">
        <v>42.0</v>
      </c>
      <c r="B812" s="3">
        <v>96.0</v>
      </c>
      <c r="C812" s="3">
        <v>3390000.0</v>
      </c>
      <c r="D812" s="3">
        <v>0.58</v>
      </c>
      <c r="E812" s="3">
        <v>3.39</v>
      </c>
    </row>
    <row r="813" ht="12.75" customHeight="1">
      <c r="A813" s="3">
        <v>42.0</v>
      </c>
      <c r="B813" s="3">
        <v>97.0</v>
      </c>
      <c r="C813" s="3">
        <v>4020000.0</v>
      </c>
      <c r="D813" s="3">
        <v>0.66</v>
      </c>
      <c r="E813" s="3">
        <v>4.02</v>
      </c>
    </row>
    <row r="814" ht="12.75" customHeight="1">
      <c r="A814" s="3">
        <v>42.0</v>
      </c>
      <c r="B814" s="3">
        <v>98.0</v>
      </c>
      <c r="C814" s="3">
        <v>4750000.0</v>
      </c>
      <c r="D814" s="3">
        <v>0.8</v>
      </c>
      <c r="E814" s="3">
        <v>4.75</v>
      </c>
    </row>
    <row r="815" ht="12.75" customHeight="1">
      <c r="A815" s="3">
        <v>42.0</v>
      </c>
      <c r="B815" s="3">
        <v>99.0</v>
      </c>
      <c r="C815" s="3">
        <v>5590000.0</v>
      </c>
      <c r="D815" s="3">
        <v>0.88</v>
      </c>
      <c r="E815" s="3">
        <v>5.59</v>
      </c>
    </row>
    <row r="816" ht="12.75" customHeight="1">
      <c r="A816" s="3">
        <v>42.0</v>
      </c>
      <c r="B816" s="3">
        <v>100.0</v>
      </c>
      <c r="C816" s="3">
        <v>6540000.0</v>
      </c>
      <c r="D816" s="3">
        <v>1.03</v>
      </c>
      <c r="E816" s="3">
        <v>6.54</v>
      </c>
    </row>
    <row r="817" ht="12.75" customHeight="1">
      <c r="A817" s="3">
        <v>42.0</v>
      </c>
      <c r="B817" s="3">
        <v>101.0</v>
      </c>
      <c r="C817" s="3">
        <v>7100000.0</v>
      </c>
      <c r="D817" s="3">
        <v>1.078</v>
      </c>
      <c r="E817" s="3">
        <v>7.1</v>
      </c>
    </row>
    <row r="818" ht="12.75" customHeight="1">
      <c r="A818" s="3">
        <v>42.0</v>
      </c>
      <c r="B818" s="3">
        <v>102.0</v>
      </c>
      <c r="C818" s="3">
        <v>8500000.0</v>
      </c>
      <c r="D818" s="3">
        <v>2.0</v>
      </c>
      <c r="E818" s="3">
        <v>8.5</v>
      </c>
    </row>
    <row r="819" ht="12.75" customHeight="1">
      <c r="A819" s="3">
        <v>43.0</v>
      </c>
      <c r="B819" s="3">
        <v>90.91</v>
      </c>
      <c r="C819" s="3">
        <v>0.0</v>
      </c>
      <c r="D819" s="3">
        <v>0.0</v>
      </c>
      <c r="E819" s="3">
        <v>0.0</v>
      </c>
    </row>
    <row r="820" ht="12.75" customHeight="1">
      <c r="A820" s="3">
        <v>43.0</v>
      </c>
      <c r="B820" s="3">
        <v>91.0</v>
      </c>
      <c r="C820" s="3">
        <v>0.0</v>
      </c>
      <c r="D820" s="3">
        <v>0.0</v>
      </c>
      <c r="E820" s="3">
        <v>0.0</v>
      </c>
    </row>
    <row r="821" ht="12.75" customHeight="1">
      <c r="A821" s="3">
        <v>43.0</v>
      </c>
      <c r="B821" s="3">
        <v>92.0</v>
      </c>
      <c r="C821" s="3">
        <v>2000.0</v>
      </c>
      <c r="D821" s="3">
        <v>0.005</v>
      </c>
      <c r="E821" s="3">
        <v>0.002</v>
      </c>
    </row>
    <row r="822" ht="12.75" customHeight="1">
      <c r="A822" s="3">
        <v>43.0</v>
      </c>
      <c r="B822" s="3">
        <v>93.0</v>
      </c>
      <c r="C822" s="3">
        <v>14000.0</v>
      </c>
      <c r="D822" s="3">
        <v>0.019</v>
      </c>
      <c r="E822" s="3">
        <v>0.014</v>
      </c>
    </row>
    <row r="823" ht="12.75" customHeight="1">
      <c r="A823" s="3">
        <v>43.0</v>
      </c>
      <c r="B823" s="3">
        <v>94.0</v>
      </c>
      <c r="C823" s="3">
        <v>47000.0</v>
      </c>
      <c r="D823" s="3">
        <v>0.06</v>
      </c>
      <c r="E823" s="3">
        <v>0.047</v>
      </c>
    </row>
    <row r="824" ht="12.75" customHeight="1">
      <c r="A824" s="3">
        <v>43.0</v>
      </c>
      <c r="B824" s="3">
        <v>95.0</v>
      </c>
      <c r="C824" s="3">
        <v>151000.0</v>
      </c>
      <c r="D824" s="3">
        <v>0.15</v>
      </c>
      <c r="E824" s="3">
        <v>0.151</v>
      </c>
    </row>
    <row r="825" ht="12.75" customHeight="1">
      <c r="A825" s="3">
        <v>43.0</v>
      </c>
      <c r="B825" s="3">
        <v>96.0</v>
      </c>
      <c r="C825" s="3">
        <v>354000.0</v>
      </c>
      <c r="D825" s="3">
        <v>0.26</v>
      </c>
      <c r="E825" s="3">
        <v>0.354</v>
      </c>
    </row>
    <row r="826" ht="12.75" customHeight="1">
      <c r="A826" s="3">
        <v>43.0</v>
      </c>
      <c r="B826" s="3">
        <v>97.0</v>
      </c>
      <c r="C826" s="3">
        <v>680000.0</v>
      </c>
      <c r="D826" s="3">
        <v>0.4</v>
      </c>
      <c r="E826" s="3">
        <v>0.68</v>
      </c>
    </row>
    <row r="827" ht="12.75" customHeight="1">
      <c r="A827" s="3">
        <v>43.0</v>
      </c>
      <c r="B827" s="3">
        <v>98.0</v>
      </c>
      <c r="C827" s="3">
        <v>1115000.0</v>
      </c>
      <c r="D827" s="3">
        <v>0.46</v>
      </c>
      <c r="E827" s="3">
        <v>1.115</v>
      </c>
    </row>
    <row r="828" ht="12.75" customHeight="1">
      <c r="A828" s="3">
        <v>43.0</v>
      </c>
      <c r="B828" s="3">
        <v>98.06</v>
      </c>
      <c r="C828" s="3">
        <v>1142000.0</v>
      </c>
      <c r="D828" s="3">
        <v>0.46</v>
      </c>
      <c r="E828" s="3">
        <v>1.142</v>
      </c>
    </row>
    <row r="829" ht="12.75" customHeight="1">
      <c r="A829" s="3">
        <v>43.0</v>
      </c>
      <c r="B829" s="3">
        <v>99.0</v>
      </c>
      <c r="C829" s="3">
        <v>3280000.0</v>
      </c>
      <c r="D829" s="3">
        <v>1.08</v>
      </c>
      <c r="E829" s="3">
        <v>3.28</v>
      </c>
    </row>
    <row r="830" ht="12.75" customHeight="1">
      <c r="A830" s="3">
        <v>43.0</v>
      </c>
      <c r="B830" s="3">
        <v>100.0</v>
      </c>
      <c r="C830" s="3">
        <v>4470000.0</v>
      </c>
      <c r="D830" s="3">
        <v>1.29</v>
      </c>
      <c r="E830" s="3">
        <v>4.47</v>
      </c>
    </row>
    <row r="831" ht="12.75" customHeight="1">
      <c r="A831" s="3">
        <v>43.0</v>
      </c>
      <c r="B831" s="3">
        <v>101.0</v>
      </c>
      <c r="C831" s="3">
        <v>5910000.0</v>
      </c>
      <c r="D831" s="3">
        <v>1.57</v>
      </c>
      <c r="E831" s="3">
        <v>5.91</v>
      </c>
    </row>
    <row r="832" ht="12.75" customHeight="1">
      <c r="A832" s="3">
        <v>43.0</v>
      </c>
      <c r="B832" s="3">
        <v>102.0</v>
      </c>
      <c r="C832" s="3">
        <v>7620000.0</v>
      </c>
      <c r="D832" s="3">
        <v>1.85</v>
      </c>
      <c r="E832" s="3">
        <v>7.62</v>
      </c>
    </row>
    <row r="833" ht="12.75" customHeight="1">
      <c r="A833" s="3">
        <v>43.0</v>
      </c>
      <c r="B833" s="3">
        <v>103.0</v>
      </c>
      <c r="C833" s="3">
        <v>9630000.0</v>
      </c>
      <c r="D833" s="3">
        <v>2.17</v>
      </c>
      <c r="E833" s="3">
        <v>9.63</v>
      </c>
    </row>
    <row r="834" ht="12.75" customHeight="1">
      <c r="A834" s="3">
        <v>43.0</v>
      </c>
      <c r="B834" s="3">
        <v>104.0</v>
      </c>
      <c r="C834" s="3">
        <v>1.2E7</v>
      </c>
      <c r="D834" s="3">
        <v>2.533</v>
      </c>
      <c r="E834" s="3">
        <v>12.0</v>
      </c>
    </row>
    <row r="835" ht="12.75" customHeight="1">
      <c r="A835" s="3">
        <v>44.0</v>
      </c>
      <c r="B835" s="3">
        <v>89.69</v>
      </c>
      <c r="C835" s="3">
        <v>0.0</v>
      </c>
      <c r="D835" s="3">
        <v>0.0</v>
      </c>
      <c r="E835" s="3">
        <v>0.0</v>
      </c>
    </row>
    <row r="836" ht="12.75" customHeight="1">
      <c r="A836" s="3">
        <v>44.0</v>
      </c>
      <c r="B836" s="3">
        <v>90.0</v>
      </c>
      <c r="C836" s="3">
        <v>4.0</v>
      </c>
      <c r="D836" s="3">
        <v>0.0</v>
      </c>
      <c r="E836" s="3">
        <v>4.0E-6</v>
      </c>
    </row>
    <row r="837" ht="12.75" customHeight="1">
      <c r="A837" s="3">
        <v>44.0</v>
      </c>
      <c r="B837" s="3">
        <v>91.0</v>
      </c>
      <c r="C837" s="3">
        <v>569.0</v>
      </c>
      <c r="D837" s="3">
        <v>0.002</v>
      </c>
      <c r="E837" s="3">
        <v>5.69E-4</v>
      </c>
    </row>
    <row r="838" ht="12.75" customHeight="1">
      <c r="A838" s="3">
        <v>44.0</v>
      </c>
      <c r="B838" s="3">
        <v>92.0</v>
      </c>
      <c r="C838" s="3">
        <v>6036.0</v>
      </c>
      <c r="D838" s="3">
        <v>0.0094</v>
      </c>
      <c r="E838" s="3">
        <v>0.006036</v>
      </c>
    </row>
    <row r="839" ht="12.75" customHeight="1">
      <c r="A839" s="3">
        <v>44.0</v>
      </c>
      <c r="B839" s="3">
        <v>93.0</v>
      </c>
      <c r="C839" s="3">
        <v>20455.0</v>
      </c>
      <c r="D839" s="3">
        <v>0.019</v>
      </c>
      <c r="E839" s="3">
        <v>0.020455</v>
      </c>
    </row>
    <row r="840" ht="12.75" customHeight="1">
      <c r="A840" s="3">
        <v>44.0</v>
      </c>
      <c r="B840" s="3">
        <v>94.0</v>
      </c>
      <c r="C840" s="3">
        <v>44127.0</v>
      </c>
      <c r="D840" s="3">
        <v>0.0288</v>
      </c>
      <c r="E840" s="3">
        <v>0.044127</v>
      </c>
    </row>
    <row r="841" ht="12.75" customHeight="1">
      <c r="A841" s="3">
        <v>44.0</v>
      </c>
      <c r="B841" s="3">
        <v>95.0</v>
      </c>
      <c r="C841" s="3">
        <v>78428.0</v>
      </c>
      <c r="D841" s="3">
        <v>0.0397</v>
      </c>
      <c r="E841" s="3">
        <v>0.078428</v>
      </c>
    </row>
    <row r="842" ht="12.75" customHeight="1">
      <c r="A842" s="3">
        <v>44.0</v>
      </c>
      <c r="B842" s="3">
        <v>96.0</v>
      </c>
      <c r="C842" s="3">
        <v>123635.0</v>
      </c>
      <c r="D842" s="3">
        <v>0.0512</v>
      </c>
      <c r="E842" s="3">
        <v>0.123635</v>
      </c>
    </row>
    <row r="843" ht="12.75" customHeight="1">
      <c r="A843" s="3">
        <v>44.0</v>
      </c>
      <c r="B843" s="3">
        <v>97.0</v>
      </c>
      <c r="C843" s="3">
        <v>181704.0</v>
      </c>
      <c r="D843" s="3">
        <v>0.0637</v>
      </c>
      <c r="E843" s="3">
        <v>0.181704</v>
      </c>
    </row>
    <row r="844" ht="12.75" customHeight="1">
      <c r="A844" s="3">
        <v>44.0</v>
      </c>
      <c r="B844" s="3">
        <v>98.0</v>
      </c>
      <c r="C844" s="3">
        <v>250798.0</v>
      </c>
      <c r="D844" s="3">
        <v>0.0742</v>
      </c>
      <c r="E844" s="3">
        <v>0.250798</v>
      </c>
    </row>
    <row r="845" ht="12.75" customHeight="1">
      <c r="A845" s="3">
        <v>44.0</v>
      </c>
      <c r="B845" s="3">
        <v>99.0</v>
      </c>
      <c r="C845" s="3">
        <v>329401.0</v>
      </c>
      <c r="D845" s="3">
        <v>0.0827</v>
      </c>
      <c r="E845" s="3">
        <v>0.329401</v>
      </c>
    </row>
    <row r="846" ht="12.75" customHeight="1">
      <c r="A846" s="3">
        <v>44.0</v>
      </c>
      <c r="B846" s="3">
        <v>100.0</v>
      </c>
      <c r="C846" s="3">
        <v>415541.0</v>
      </c>
      <c r="D846" s="3">
        <v>0.0887</v>
      </c>
      <c r="E846" s="3">
        <v>0.415541</v>
      </c>
    </row>
    <row r="847" ht="12.75" customHeight="1">
      <c r="A847" s="3">
        <v>44.0</v>
      </c>
      <c r="B847" s="3">
        <v>100.97</v>
      </c>
      <c r="C847" s="3">
        <v>503341.0</v>
      </c>
      <c r="D847" s="3">
        <v>0.0923</v>
      </c>
      <c r="E847" s="3">
        <v>0.503341</v>
      </c>
    </row>
    <row r="848" ht="12.75" customHeight="1">
      <c r="A848" s="3">
        <v>44.0</v>
      </c>
      <c r="B848" s="3">
        <v>101.0</v>
      </c>
      <c r="C848" s="3">
        <v>506500.0</v>
      </c>
      <c r="D848" s="3">
        <v>0.09</v>
      </c>
      <c r="E848" s="3">
        <v>0.5065</v>
      </c>
    </row>
    <row r="849" ht="12.75" customHeight="1">
      <c r="A849" s="3">
        <v>44.0</v>
      </c>
      <c r="B849" s="3">
        <v>102.0</v>
      </c>
      <c r="C849" s="3">
        <v>625000.0</v>
      </c>
      <c r="D849" s="3">
        <v>0.11</v>
      </c>
      <c r="E849" s="3">
        <v>0.625</v>
      </c>
    </row>
    <row r="850" ht="12.75" customHeight="1">
      <c r="A850" s="3">
        <v>44.0</v>
      </c>
      <c r="B850" s="3">
        <v>103.0</v>
      </c>
      <c r="C850" s="3">
        <v>758000.0</v>
      </c>
      <c r="D850" s="3">
        <v>0.12</v>
      </c>
      <c r="E850" s="3">
        <v>0.758</v>
      </c>
    </row>
    <row r="851" ht="12.75" customHeight="1">
      <c r="A851" s="3">
        <v>44.0</v>
      </c>
      <c r="B851" s="3">
        <v>104.0</v>
      </c>
      <c r="C851" s="3">
        <v>904000.0</v>
      </c>
      <c r="D851" s="3">
        <v>0.13</v>
      </c>
      <c r="E851" s="3">
        <v>0.904</v>
      </c>
    </row>
    <row r="852" ht="12.75" customHeight="1">
      <c r="A852" s="3">
        <v>44.0</v>
      </c>
      <c r="B852" s="3">
        <v>104.56</v>
      </c>
      <c r="C852" s="3">
        <v>990000.0</v>
      </c>
      <c r="D852" s="3">
        <v>0.14</v>
      </c>
      <c r="E852" s="3">
        <v>0.99</v>
      </c>
    </row>
    <row r="853" ht="12.75" customHeight="1">
      <c r="A853" s="3">
        <v>44.0</v>
      </c>
      <c r="B853" s="3">
        <v>105.0</v>
      </c>
      <c r="C853" s="3">
        <v>1127000.0</v>
      </c>
      <c r="D853" s="3">
        <v>0.15</v>
      </c>
      <c r="E853" s="3">
        <v>1.127</v>
      </c>
    </row>
    <row r="854" ht="12.75" customHeight="1">
      <c r="A854" s="3">
        <v>44.0</v>
      </c>
      <c r="B854" s="3">
        <v>106.0</v>
      </c>
      <c r="C854" s="3">
        <v>1487000.0</v>
      </c>
      <c r="D854" s="3">
        <v>0.18</v>
      </c>
      <c r="E854" s="3">
        <v>1.487</v>
      </c>
    </row>
    <row r="855" ht="12.75" customHeight="1">
      <c r="A855" s="3">
        <v>44.0</v>
      </c>
      <c r="B855" s="3">
        <v>107.0</v>
      </c>
      <c r="C855" s="3">
        <v>1880000.0</v>
      </c>
      <c r="D855" s="3">
        <v>0.21</v>
      </c>
      <c r="E855" s="3">
        <v>1.88</v>
      </c>
    </row>
    <row r="856" ht="12.75" customHeight="1">
      <c r="A856" s="3">
        <v>44.0</v>
      </c>
      <c r="B856" s="3">
        <v>108.0</v>
      </c>
      <c r="C856" s="3">
        <v>2287000.0</v>
      </c>
      <c r="D856" s="3">
        <v>0.23</v>
      </c>
      <c r="E856" s="3">
        <v>2.287</v>
      </c>
    </row>
    <row r="857" ht="12.75" customHeight="1">
      <c r="A857" s="3">
        <v>44.0</v>
      </c>
      <c r="B857" s="3">
        <v>108.5</v>
      </c>
      <c r="C857" s="3">
        <v>2720000.0</v>
      </c>
      <c r="D857" s="3">
        <v>0.25</v>
      </c>
      <c r="E857" s="3">
        <v>2.72</v>
      </c>
    </row>
    <row r="858" ht="12.75" customHeight="1">
      <c r="A858" s="3">
        <v>45.0</v>
      </c>
      <c r="B858" s="3">
        <v>84.5</v>
      </c>
      <c r="C858" s="3">
        <v>0.0</v>
      </c>
      <c r="D858" s="3">
        <v>0.0</v>
      </c>
      <c r="E858" s="3">
        <v>0.0</v>
      </c>
    </row>
    <row r="859" ht="12.75" customHeight="1">
      <c r="A859" s="3">
        <v>45.0</v>
      </c>
      <c r="B859" s="3">
        <v>85.62</v>
      </c>
      <c r="C859" s="3">
        <v>0.0</v>
      </c>
      <c r="D859" s="3">
        <v>0.0</v>
      </c>
      <c r="E859" s="3">
        <v>0.0</v>
      </c>
    </row>
    <row r="860" ht="12.75" customHeight="1">
      <c r="A860" s="3">
        <v>45.0</v>
      </c>
      <c r="B860" s="3">
        <v>86.0</v>
      </c>
      <c r="C860" s="3">
        <v>34.0</v>
      </c>
      <c r="D860" s="3">
        <v>2.0E-4</v>
      </c>
      <c r="E860" s="3">
        <v>3.4E-5</v>
      </c>
    </row>
    <row r="861" ht="12.75" customHeight="1">
      <c r="A861" s="3">
        <v>45.0</v>
      </c>
      <c r="B861" s="3">
        <v>87.0</v>
      </c>
      <c r="C861" s="3">
        <v>17375.0</v>
      </c>
      <c r="D861" s="3">
        <v>0.0565</v>
      </c>
      <c r="E861" s="3">
        <v>0.017375</v>
      </c>
    </row>
    <row r="862" ht="12.75" customHeight="1">
      <c r="A862" s="3">
        <v>45.0</v>
      </c>
      <c r="B862" s="3">
        <v>88.0</v>
      </c>
      <c r="C862" s="3">
        <v>137444.0</v>
      </c>
      <c r="D862" s="3">
        <v>0.1819</v>
      </c>
      <c r="E862" s="3">
        <v>0.137444</v>
      </c>
    </row>
    <row r="863" ht="12.75" customHeight="1">
      <c r="A863" s="3">
        <v>45.0</v>
      </c>
      <c r="B863" s="3">
        <v>89.0</v>
      </c>
      <c r="C863" s="3">
        <v>405288.0</v>
      </c>
      <c r="D863" s="3">
        <v>0.3643</v>
      </c>
      <c r="E863" s="3">
        <v>0.405288</v>
      </c>
    </row>
    <row r="864" ht="12.75" customHeight="1">
      <c r="A864" s="3">
        <v>45.0</v>
      </c>
      <c r="B864" s="3">
        <v>90.0</v>
      </c>
      <c r="C864" s="3">
        <v>864230.0</v>
      </c>
      <c r="D864" s="3">
        <v>0.5373</v>
      </c>
      <c r="E864" s="3">
        <v>0.86423</v>
      </c>
    </row>
    <row r="865" ht="12.75" customHeight="1">
      <c r="A865" s="3">
        <v>45.0</v>
      </c>
      <c r="B865" s="3">
        <v>90.9</v>
      </c>
      <c r="C865" s="3">
        <v>1370100.0</v>
      </c>
      <c r="D865" s="3">
        <v>0.5839</v>
      </c>
      <c r="E865" s="3">
        <v>1.3701</v>
      </c>
    </row>
    <row r="866" ht="12.75" customHeight="1">
      <c r="A866" s="3">
        <v>45.0</v>
      </c>
      <c r="B866" s="3">
        <v>91.0</v>
      </c>
      <c r="C866" s="3">
        <v>1433100.0</v>
      </c>
      <c r="D866" s="3">
        <v>0.60587</v>
      </c>
      <c r="E866" s="3">
        <v>1.4331</v>
      </c>
    </row>
    <row r="867" ht="12.75" customHeight="1">
      <c r="A867" s="3">
        <v>45.0</v>
      </c>
      <c r="B867" s="3">
        <v>92.0</v>
      </c>
      <c r="C867" s="3">
        <v>2353100.0</v>
      </c>
      <c r="D867" s="3">
        <v>0.86587</v>
      </c>
      <c r="E867" s="3">
        <v>2.3531</v>
      </c>
    </row>
    <row r="868" ht="12.75" customHeight="1">
      <c r="A868" s="3">
        <v>45.0</v>
      </c>
      <c r="B868" s="3">
        <v>93.0</v>
      </c>
      <c r="C868" s="3">
        <v>3622100.0</v>
      </c>
      <c r="D868" s="3">
        <v>1.35587</v>
      </c>
      <c r="E868" s="3">
        <v>3.6221</v>
      </c>
    </row>
    <row r="869" ht="12.75" customHeight="1">
      <c r="A869" s="3">
        <v>45.0</v>
      </c>
      <c r="B869" s="3">
        <v>94.0</v>
      </c>
      <c r="C869" s="3">
        <v>5333100.0</v>
      </c>
      <c r="D869" s="3">
        <v>1.74587</v>
      </c>
      <c r="E869" s="3">
        <v>5.3331</v>
      </c>
    </row>
    <row r="870" ht="12.75" customHeight="1">
      <c r="A870" s="3">
        <v>45.0</v>
      </c>
      <c r="B870" s="3">
        <v>95.0</v>
      </c>
      <c r="C870" s="3">
        <v>7433100.0</v>
      </c>
      <c r="D870" s="3">
        <v>2.16587</v>
      </c>
      <c r="E870" s="3">
        <v>7.4331</v>
      </c>
    </row>
    <row r="871" ht="12.75" customHeight="1">
      <c r="A871" s="3">
        <v>45.0</v>
      </c>
      <c r="B871" s="3">
        <v>95.98</v>
      </c>
      <c r="C871" s="3">
        <v>1.0873E7</v>
      </c>
      <c r="D871" s="3">
        <v>2.55787</v>
      </c>
      <c r="E871" s="3">
        <v>10.873</v>
      </c>
    </row>
    <row r="872" ht="12.75" customHeight="1">
      <c r="A872" s="3">
        <v>45.0</v>
      </c>
      <c r="B872" s="3">
        <v>96.0</v>
      </c>
      <c r="C872" s="3">
        <v>1.101E7</v>
      </c>
      <c r="D872" s="3">
        <v>2.71</v>
      </c>
      <c r="E872" s="3">
        <v>11.01</v>
      </c>
    </row>
    <row r="873" ht="12.75" customHeight="1">
      <c r="A873" s="3">
        <v>45.0</v>
      </c>
      <c r="B873" s="3">
        <v>97.0</v>
      </c>
      <c r="C873" s="3">
        <v>1.27131E7</v>
      </c>
      <c r="D873" s="3">
        <v>3.16587</v>
      </c>
      <c r="E873" s="3">
        <v>12.7131</v>
      </c>
    </row>
    <row r="874" ht="12.75" customHeight="1">
      <c r="A874" s="3">
        <v>45.0</v>
      </c>
      <c r="B874" s="3">
        <v>98.0</v>
      </c>
      <c r="C874" s="3">
        <v>1.35331E7</v>
      </c>
      <c r="D874" s="3">
        <v>4.05587</v>
      </c>
      <c r="E874" s="3">
        <v>13.5331</v>
      </c>
    </row>
    <row r="875" ht="12.75" customHeight="1">
      <c r="A875" s="3">
        <v>46.0</v>
      </c>
      <c r="B875" s="3">
        <v>486.0</v>
      </c>
      <c r="C875" s="3">
        <v>0.0</v>
      </c>
      <c r="D875" s="3">
        <v>0.0</v>
      </c>
      <c r="E875" s="3">
        <v>0.0</v>
      </c>
    </row>
    <row r="876" ht="12.75" customHeight="1">
      <c r="A876" s="3">
        <v>46.0</v>
      </c>
      <c r="B876" s="3">
        <v>488.0</v>
      </c>
      <c r="C876" s="3">
        <v>7680.0</v>
      </c>
      <c r="D876" s="3">
        <v>0.0077</v>
      </c>
      <c r="E876" s="3">
        <v>0.00768</v>
      </c>
    </row>
    <row r="877" ht="12.75" customHeight="1">
      <c r="A877" s="3">
        <v>46.0</v>
      </c>
      <c r="B877" s="3">
        <v>490.0</v>
      </c>
      <c r="C877" s="3">
        <v>30000.0</v>
      </c>
      <c r="D877" s="3">
        <v>0.04</v>
      </c>
      <c r="E877" s="3">
        <v>0.03</v>
      </c>
    </row>
    <row r="878" ht="12.75" customHeight="1">
      <c r="A878" s="3">
        <v>46.0</v>
      </c>
      <c r="B878" s="3">
        <v>492.0</v>
      </c>
      <c r="C878" s="3">
        <v>100000.0</v>
      </c>
      <c r="D878" s="3">
        <v>0.19</v>
      </c>
      <c r="E878" s="3">
        <v>0.1</v>
      </c>
    </row>
    <row r="879" ht="12.75" customHeight="1">
      <c r="A879" s="3">
        <v>46.0</v>
      </c>
      <c r="B879" s="3">
        <v>494.0</v>
      </c>
      <c r="C879" s="3">
        <v>210000.0</v>
      </c>
      <c r="D879" s="3">
        <v>0.51</v>
      </c>
      <c r="E879" s="3">
        <v>0.21</v>
      </c>
    </row>
    <row r="880" ht="12.75" customHeight="1">
      <c r="A880" s="3">
        <v>46.0</v>
      </c>
      <c r="B880" s="3">
        <v>496.0</v>
      </c>
      <c r="C880" s="3">
        <v>350000.0</v>
      </c>
      <c r="D880" s="3">
        <v>1.08</v>
      </c>
      <c r="E880" s="3">
        <v>0.35</v>
      </c>
    </row>
    <row r="881" ht="12.75" customHeight="1">
      <c r="A881" s="3">
        <v>46.0</v>
      </c>
      <c r="B881" s="3">
        <v>498.0</v>
      </c>
      <c r="C881" s="3">
        <v>570000.0</v>
      </c>
      <c r="D881" s="3">
        <v>2.0</v>
      </c>
      <c r="E881" s="3">
        <v>0.57</v>
      </c>
    </row>
    <row r="882" ht="12.75" customHeight="1">
      <c r="A882" s="3">
        <v>46.0</v>
      </c>
      <c r="B882" s="3">
        <v>500.0</v>
      </c>
      <c r="C882" s="3">
        <v>830000.0</v>
      </c>
      <c r="D882" s="3">
        <v>3.4</v>
      </c>
      <c r="E882" s="3">
        <v>0.83</v>
      </c>
    </row>
    <row r="883" ht="12.75" customHeight="1">
      <c r="A883" s="3">
        <v>46.0</v>
      </c>
      <c r="B883" s="3">
        <v>502.0</v>
      </c>
      <c r="C883" s="3">
        <v>1070000.0</v>
      </c>
      <c r="D883" s="3">
        <v>5.31</v>
      </c>
      <c r="E883" s="3">
        <v>1.07</v>
      </c>
    </row>
    <row r="884" ht="12.75" customHeight="1">
      <c r="A884" s="3">
        <v>46.0</v>
      </c>
      <c r="B884" s="3">
        <v>504.0</v>
      </c>
      <c r="C884" s="3">
        <v>1330000.0</v>
      </c>
      <c r="D884" s="3">
        <v>7.72</v>
      </c>
      <c r="E884" s="3">
        <v>1.33</v>
      </c>
    </row>
    <row r="885" ht="12.75" customHeight="1">
      <c r="A885" s="3">
        <v>46.0</v>
      </c>
      <c r="B885" s="3">
        <v>506.0</v>
      </c>
      <c r="C885" s="3">
        <v>1590000.0</v>
      </c>
      <c r="D885" s="3">
        <v>10.65</v>
      </c>
      <c r="E885" s="3">
        <v>1.59</v>
      </c>
    </row>
    <row r="886" ht="12.75" customHeight="1">
      <c r="A886" s="3">
        <v>46.0</v>
      </c>
      <c r="B886" s="3">
        <v>508.0</v>
      </c>
      <c r="C886" s="3">
        <v>1870000.0</v>
      </c>
      <c r="D886" s="3">
        <v>14.13</v>
      </c>
      <c r="E886" s="3">
        <v>1.87</v>
      </c>
    </row>
    <row r="887" ht="12.75" customHeight="1">
      <c r="A887" s="3">
        <v>46.0</v>
      </c>
      <c r="B887" s="3">
        <v>510.0</v>
      </c>
      <c r="C887" s="3">
        <v>2180000.0</v>
      </c>
      <c r="D887" s="3">
        <v>18.19</v>
      </c>
      <c r="E887" s="3">
        <v>2.18</v>
      </c>
    </row>
    <row r="888" ht="12.75" customHeight="1">
      <c r="A888" s="3">
        <v>46.0</v>
      </c>
      <c r="B888" s="3">
        <v>512.0</v>
      </c>
      <c r="C888" s="3">
        <v>2450000.0</v>
      </c>
      <c r="D888" s="3">
        <v>22.82</v>
      </c>
      <c r="E888" s="3">
        <v>2.45</v>
      </c>
    </row>
    <row r="889" ht="12.75" customHeight="1">
      <c r="A889" s="3">
        <v>46.0</v>
      </c>
      <c r="B889" s="3">
        <v>513.0</v>
      </c>
      <c r="C889" s="3">
        <v>2760000.0</v>
      </c>
      <c r="D889" s="3">
        <v>25.43</v>
      </c>
      <c r="E889" s="3">
        <v>2.76</v>
      </c>
    </row>
    <row r="890" ht="12.75" customHeight="1">
      <c r="A890" s="3">
        <v>47.0</v>
      </c>
      <c r="B890" s="3">
        <v>388.34</v>
      </c>
      <c r="C890" s="3">
        <v>0.0</v>
      </c>
      <c r="D890" s="3">
        <v>0.0</v>
      </c>
      <c r="E890" s="3">
        <v>0.0</v>
      </c>
    </row>
    <row r="891" ht="12.75" customHeight="1">
      <c r="A891" s="3">
        <v>47.0</v>
      </c>
      <c r="B891" s="3">
        <v>389.0</v>
      </c>
      <c r="C891" s="3">
        <v>23.0</v>
      </c>
      <c r="D891" s="3">
        <v>0.0</v>
      </c>
      <c r="E891" s="3">
        <v>2.3E-5</v>
      </c>
    </row>
    <row r="892" ht="12.75" customHeight="1">
      <c r="A892" s="3">
        <v>47.0</v>
      </c>
      <c r="B892" s="3">
        <v>390.0</v>
      </c>
      <c r="C892" s="3">
        <v>1710.0</v>
      </c>
      <c r="D892" s="3">
        <v>0.004</v>
      </c>
      <c r="E892" s="3">
        <v>0.00171</v>
      </c>
    </row>
    <row r="893" ht="12.75" customHeight="1">
      <c r="A893" s="3">
        <v>47.0</v>
      </c>
      <c r="B893" s="3">
        <v>391.0</v>
      </c>
      <c r="C893" s="3">
        <v>9432.0</v>
      </c>
      <c r="D893" s="3">
        <v>0.013</v>
      </c>
      <c r="E893" s="3">
        <v>0.009432</v>
      </c>
    </row>
    <row r="894" ht="12.75" customHeight="1">
      <c r="A894" s="3">
        <v>47.0</v>
      </c>
      <c r="B894" s="3">
        <v>392.0</v>
      </c>
      <c r="C894" s="3">
        <v>29063.0</v>
      </c>
      <c r="D894" s="3">
        <v>0.028</v>
      </c>
      <c r="E894" s="3">
        <v>0.029063</v>
      </c>
    </row>
    <row r="895" ht="12.75" customHeight="1">
      <c r="A895" s="3">
        <v>47.0</v>
      </c>
      <c r="B895" s="3">
        <v>393.0</v>
      </c>
      <c r="C895" s="3">
        <v>69031.0</v>
      </c>
      <c r="D895" s="3">
        <v>0.054</v>
      </c>
      <c r="E895" s="3">
        <v>0.069031</v>
      </c>
    </row>
    <row r="896" ht="12.75" customHeight="1">
      <c r="A896" s="3">
        <v>47.0</v>
      </c>
      <c r="B896" s="3">
        <v>394.0</v>
      </c>
      <c r="C896" s="3">
        <v>140063.0</v>
      </c>
      <c r="D896" s="3">
        <v>0.09</v>
      </c>
      <c r="E896" s="3">
        <v>0.140063</v>
      </c>
    </row>
    <row r="897" ht="12.75" customHeight="1">
      <c r="A897" s="3">
        <v>47.0</v>
      </c>
      <c r="B897" s="3">
        <v>395.0</v>
      </c>
      <c r="C897" s="3">
        <v>254069.0</v>
      </c>
      <c r="D897" s="3">
        <v>0.142</v>
      </c>
      <c r="E897" s="3">
        <v>0.254069</v>
      </c>
    </row>
    <row r="898" ht="12.75" customHeight="1">
      <c r="A898" s="3">
        <v>47.0</v>
      </c>
      <c r="B898" s="3">
        <v>396.0</v>
      </c>
      <c r="C898" s="3">
        <v>432901.0</v>
      </c>
      <c r="D898" s="3">
        <v>0.216</v>
      </c>
      <c r="E898" s="3">
        <v>0.432901</v>
      </c>
    </row>
    <row r="899" ht="12.75" customHeight="1">
      <c r="A899" s="3">
        <v>47.0</v>
      </c>
      <c r="B899" s="3">
        <v>397.0</v>
      </c>
      <c r="C899" s="3">
        <v>690396.0</v>
      </c>
      <c r="D899" s="3">
        <v>0.3</v>
      </c>
      <c r="E899" s="3">
        <v>0.690396</v>
      </c>
    </row>
    <row r="900" ht="12.75" customHeight="1">
      <c r="A900" s="3">
        <v>47.0</v>
      </c>
      <c r="B900" s="3">
        <v>398.0</v>
      </c>
      <c r="C900" s="3">
        <v>1042940.0</v>
      </c>
      <c r="D900" s="3">
        <v>0.406</v>
      </c>
      <c r="E900" s="3">
        <v>1.04294</v>
      </c>
    </row>
    <row r="901" ht="12.75" customHeight="1">
      <c r="A901" s="3">
        <v>47.0</v>
      </c>
      <c r="B901" s="3">
        <v>399.0</v>
      </c>
      <c r="C901" s="3">
        <v>1513438.0</v>
      </c>
      <c r="D901" s="3">
        <v>0.532</v>
      </c>
      <c r="E901" s="3">
        <v>1.513438</v>
      </c>
    </row>
    <row r="902" ht="12.75" customHeight="1">
      <c r="A902" s="3">
        <v>47.0</v>
      </c>
      <c r="B902" s="3">
        <v>400.0</v>
      </c>
      <c r="C902" s="3">
        <v>2119992.0</v>
      </c>
      <c r="D902" s="3">
        <v>0.674</v>
      </c>
      <c r="E902" s="3">
        <v>2.119992</v>
      </c>
    </row>
    <row r="903" ht="12.75" customHeight="1">
      <c r="A903" s="3">
        <v>47.0</v>
      </c>
      <c r="B903" s="3">
        <v>401.0</v>
      </c>
      <c r="C903" s="3">
        <v>2861714.0</v>
      </c>
      <c r="D903" s="3">
        <v>0.808</v>
      </c>
      <c r="E903" s="3">
        <v>2.861714</v>
      </c>
    </row>
    <row r="904" ht="12.75" customHeight="1">
      <c r="A904" s="3">
        <v>47.0</v>
      </c>
      <c r="B904" s="3">
        <v>402.0</v>
      </c>
      <c r="C904" s="3">
        <v>3741843.0</v>
      </c>
      <c r="D904" s="3">
        <v>0.946</v>
      </c>
      <c r="E904" s="3">
        <v>3.741843</v>
      </c>
    </row>
    <row r="905" ht="12.75" customHeight="1">
      <c r="A905" s="3">
        <v>47.0</v>
      </c>
      <c r="B905" s="3">
        <v>403.0</v>
      </c>
      <c r="C905" s="3">
        <v>4755774.0</v>
      </c>
      <c r="D905" s="3">
        <v>1.081</v>
      </c>
      <c r="E905" s="3">
        <v>4.755774</v>
      </c>
    </row>
    <row r="906" ht="12.75" customHeight="1">
      <c r="A906" s="3">
        <v>47.0</v>
      </c>
      <c r="B906" s="3">
        <v>404.0</v>
      </c>
      <c r="C906" s="3">
        <v>5916505.0</v>
      </c>
      <c r="D906" s="3">
        <v>1.236</v>
      </c>
      <c r="E906" s="3">
        <v>5.916505</v>
      </c>
    </row>
    <row r="907" ht="12.75" customHeight="1">
      <c r="A907" s="3">
        <v>47.0</v>
      </c>
      <c r="B907" s="3">
        <v>405.0</v>
      </c>
      <c r="C907" s="3">
        <v>7230190.0</v>
      </c>
      <c r="D907" s="3">
        <v>1.388</v>
      </c>
      <c r="E907" s="3">
        <v>7.23019</v>
      </c>
    </row>
    <row r="908" ht="12.75" customHeight="1">
      <c r="A908" s="3">
        <v>47.0</v>
      </c>
      <c r="B908" s="3">
        <v>406.0</v>
      </c>
      <c r="C908" s="3">
        <v>8696478.0</v>
      </c>
      <c r="D908" s="3">
        <v>1.541</v>
      </c>
      <c r="E908" s="3">
        <v>8.696478</v>
      </c>
    </row>
    <row r="909" ht="12.75" customHeight="1">
      <c r="A909" s="3">
        <v>47.0</v>
      </c>
      <c r="B909" s="3">
        <v>407.0</v>
      </c>
      <c r="C909" s="3">
        <v>1.0315905E7</v>
      </c>
      <c r="D909" s="3">
        <v>1.694</v>
      </c>
      <c r="E909" s="3">
        <v>10.315905</v>
      </c>
    </row>
    <row r="910" ht="12.75" customHeight="1">
      <c r="A910" s="3">
        <v>47.0</v>
      </c>
      <c r="B910" s="3">
        <v>408.0</v>
      </c>
      <c r="C910" s="3">
        <v>1.2096693E7</v>
      </c>
      <c r="D910" s="3">
        <v>1.867</v>
      </c>
      <c r="E910" s="3">
        <v>12.096693</v>
      </c>
    </row>
    <row r="911" ht="12.75" customHeight="1">
      <c r="A911" s="3">
        <v>47.0</v>
      </c>
      <c r="B911" s="3">
        <v>409.0</v>
      </c>
      <c r="C911" s="3">
        <v>1.4048885E7</v>
      </c>
      <c r="D911" s="3">
        <v>2.034</v>
      </c>
      <c r="E911" s="3">
        <v>14.048885</v>
      </c>
    </row>
    <row r="912" ht="12.75" customHeight="1">
      <c r="A912" s="3">
        <v>47.0</v>
      </c>
      <c r="B912" s="3">
        <v>410.0</v>
      </c>
      <c r="C912" s="3">
        <v>1.6160723E7</v>
      </c>
      <c r="D912" s="3">
        <v>2.187</v>
      </c>
      <c r="E912" s="3">
        <v>16.160723</v>
      </c>
    </row>
    <row r="913" ht="12.75" customHeight="1">
      <c r="A913" s="3">
        <v>47.0</v>
      </c>
      <c r="B913" s="3">
        <v>411.0</v>
      </c>
      <c r="C913" s="3">
        <v>1.8422784E7</v>
      </c>
      <c r="D913" s="3">
        <v>2.34</v>
      </c>
      <c r="E913" s="3">
        <v>18.422784</v>
      </c>
    </row>
    <row r="914" ht="12.75" customHeight="1">
      <c r="A914" s="3">
        <v>47.0</v>
      </c>
      <c r="B914" s="3">
        <v>412.0</v>
      </c>
      <c r="C914" s="3">
        <v>2.0850835E7</v>
      </c>
      <c r="D914" s="3">
        <v>2.513</v>
      </c>
      <c r="E914" s="3">
        <v>20.850835</v>
      </c>
    </row>
    <row r="915" ht="12.75" customHeight="1">
      <c r="A915" s="3">
        <v>47.0</v>
      </c>
      <c r="B915" s="3">
        <v>413.0</v>
      </c>
      <c r="C915" s="3">
        <v>2.3457252E7</v>
      </c>
      <c r="D915" s="3">
        <v>2.706</v>
      </c>
      <c r="E915" s="3">
        <v>23.457252</v>
      </c>
    </row>
    <row r="916" ht="12.75" customHeight="1">
      <c r="A916" s="3">
        <v>47.0</v>
      </c>
      <c r="B916" s="3">
        <v>414.0</v>
      </c>
      <c r="C916" s="3">
        <v>2.6278428E7</v>
      </c>
      <c r="D916" s="3">
        <v>2.928</v>
      </c>
      <c r="E916" s="3">
        <v>26.278428</v>
      </c>
    </row>
    <row r="917" ht="12.75" customHeight="1">
      <c r="A917" s="3">
        <v>47.0</v>
      </c>
      <c r="B917" s="3">
        <v>415.0</v>
      </c>
      <c r="C917" s="3">
        <v>2.9319041E7</v>
      </c>
      <c r="D917" s="3">
        <v>3.148</v>
      </c>
      <c r="E917" s="3">
        <v>29.319041</v>
      </c>
    </row>
    <row r="918" ht="12.75" customHeight="1">
      <c r="A918" s="3">
        <v>47.0</v>
      </c>
      <c r="B918" s="3">
        <v>416.0</v>
      </c>
      <c r="C918" s="3">
        <v>3.2575482E7</v>
      </c>
      <c r="D918" s="3">
        <v>3.36</v>
      </c>
      <c r="E918" s="3">
        <v>32.575482</v>
      </c>
    </row>
    <row r="919" ht="12.75" customHeight="1">
      <c r="A919" s="3">
        <v>47.0</v>
      </c>
      <c r="B919" s="3">
        <v>417.0</v>
      </c>
      <c r="C919" s="3">
        <v>3.6040875E7</v>
      </c>
      <c r="D919" s="3">
        <v>3.569</v>
      </c>
      <c r="E919" s="3">
        <v>36.040875</v>
      </c>
    </row>
    <row r="920" ht="12.75" customHeight="1">
      <c r="A920" s="3">
        <v>47.0</v>
      </c>
      <c r="B920" s="3">
        <v>418.0</v>
      </c>
      <c r="C920" s="3">
        <v>3.9716237E7</v>
      </c>
      <c r="D920" s="3">
        <v>3.781</v>
      </c>
      <c r="E920" s="3">
        <v>39.716237</v>
      </c>
    </row>
    <row r="921" ht="12.75" customHeight="1">
      <c r="A921" s="3">
        <v>47.0</v>
      </c>
      <c r="B921" s="3">
        <v>419.0</v>
      </c>
      <c r="C921" s="3">
        <v>4.3604137E7</v>
      </c>
      <c r="D921" s="3">
        <v>3.995</v>
      </c>
      <c r="E921" s="3">
        <v>43.604137</v>
      </c>
    </row>
    <row r="922" ht="12.75" customHeight="1">
      <c r="A922" s="3">
        <v>47.0</v>
      </c>
      <c r="B922" s="3">
        <v>419.42</v>
      </c>
      <c r="C922" s="3">
        <v>4.5300927E7</v>
      </c>
      <c r="D922" s="3">
        <v>4.085</v>
      </c>
      <c r="E922" s="3">
        <v>45.300927</v>
      </c>
    </row>
    <row r="923" ht="12.75" customHeight="1">
      <c r="A923" s="3">
        <v>47.0</v>
      </c>
      <c r="B923" s="3">
        <v>420.0</v>
      </c>
      <c r="C923" s="3">
        <v>4.785E7</v>
      </c>
      <c r="D923" s="3">
        <v>4.178</v>
      </c>
      <c r="E923" s="3">
        <v>47.85</v>
      </c>
    </row>
    <row r="924" ht="12.75" customHeight="1">
      <c r="A924" s="3">
        <v>47.0</v>
      </c>
      <c r="B924" s="3">
        <v>421.0</v>
      </c>
      <c r="C924" s="3">
        <v>5.227E7</v>
      </c>
      <c r="D924" s="3">
        <v>4.383</v>
      </c>
      <c r="E924" s="3">
        <v>52.27</v>
      </c>
    </row>
    <row r="925" ht="12.75" customHeight="1">
      <c r="A925" s="3">
        <v>47.0</v>
      </c>
      <c r="B925" s="3">
        <v>422.0</v>
      </c>
      <c r="C925" s="3">
        <v>5.695E7</v>
      </c>
      <c r="D925" s="3">
        <v>4.588</v>
      </c>
      <c r="E925" s="3">
        <v>56.95</v>
      </c>
    </row>
    <row r="926" ht="12.75" customHeight="1">
      <c r="A926" s="3">
        <v>47.0</v>
      </c>
      <c r="B926" s="3">
        <v>423.0</v>
      </c>
      <c r="C926" s="3">
        <v>6.188E7</v>
      </c>
      <c r="D926" s="3">
        <v>4.793</v>
      </c>
      <c r="E926" s="3">
        <v>61.88</v>
      </c>
    </row>
    <row r="927" ht="12.75" customHeight="1">
      <c r="A927" s="3">
        <v>47.0</v>
      </c>
      <c r="B927" s="3">
        <v>424.0</v>
      </c>
      <c r="C927" s="3">
        <v>6.708E7</v>
      </c>
      <c r="D927" s="3">
        <v>4.996</v>
      </c>
      <c r="E927" s="3">
        <v>67.08</v>
      </c>
    </row>
    <row r="928" ht="12.75" customHeight="1">
      <c r="A928" s="3">
        <v>47.0</v>
      </c>
      <c r="B928" s="3">
        <v>425.0</v>
      </c>
      <c r="C928" s="3">
        <v>7.2552E7</v>
      </c>
      <c r="D928" s="3">
        <v>5.197</v>
      </c>
      <c r="E928" s="3">
        <v>72.552</v>
      </c>
    </row>
    <row r="929" ht="12.75" customHeight="1">
      <c r="A929" s="3">
        <v>48.0</v>
      </c>
      <c r="B929" s="3">
        <v>90.0</v>
      </c>
      <c r="C929" s="3">
        <v>0.0</v>
      </c>
      <c r="D929" s="3">
        <v>0.0</v>
      </c>
      <c r="E929" s="3">
        <v>0.0</v>
      </c>
    </row>
    <row r="930" ht="12.75" customHeight="1">
      <c r="A930" s="3">
        <v>48.0</v>
      </c>
      <c r="B930" s="3">
        <v>91.0</v>
      </c>
      <c r="C930" s="3">
        <v>4000.0</v>
      </c>
      <c r="D930" s="3">
        <v>0.008</v>
      </c>
      <c r="E930" s="3">
        <v>0.004</v>
      </c>
    </row>
    <row r="931" ht="12.75" customHeight="1">
      <c r="A931" s="3">
        <v>48.0</v>
      </c>
      <c r="B931" s="3">
        <v>92.0</v>
      </c>
      <c r="C931" s="3">
        <v>20000.0</v>
      </c>
      <c r="D931" s="3">
        <v>0.03</v>
      </c>
      <c r="E931" s="3">
        <v>0.02</v>
      </c>
    </row>
    <row r="932" ht="12.75" customHeight="1">
      <c r="A932" s="3">
        <v>48.0</v>
      </c>
      <c r="B932" s="3">
        <v>93.0</v>
      </c>
      <c r="C932" s="3">
        <v>80000.0</v>
      </c>
      <c r="D932" s="3">
        <v>0.08</v>
      </c>
      <c r="E932" s="3">
        <v>0.08</v>
      </c>
    </row>
    <row r="933" ht="12.75" customHeight="1">
      <c r="A933" s="3">
        <v>48.0</v>
      </c>
      <c r="B933" s="3">
        <v>94.0</v>
      </c>
      <c r="C933" s="3">
        <v>210000.0</v>
      </c>
      <c r="D933" s="3">
        <v>0.17</v>
      </c>
      <c r="E933" s="3">
        <v>0.21</v>
      </c>
    </row>
    <row r="934" ht="12.75" customHeight="1">
      <c r="A934" s="3">
        <v>48.0</v>
      </c>
      <c r="B934" s="3">
        <v>95.0</v>
      </c>
      <c r="C934" s="3">
        <v>470000.0</v>
      </c>
      <c r="D934" s="3">
        <v>0.35</v>
      </c>
      <c r="E934" s="3">
        <v>0.47</v>
      </c>
    </row>
    <row r="935" ht="12.75" customHeight="1">
      <c r="A935" s="3">
        <v>48.0</v>
      </c>
      <c r="B935" s="3">
        <v>96.0</v>
      </c>
      <c r="C935" s="3">
        <v>910000.0</v>
      </c>
      <c r="D935" s="3">
        <v>0.52</v>
      </c>
      <c r="E935" s="3">
        <v>0.91</v>
      </c>
    </row>
    <row r="936" ht="12.75" customHeight="1">
      <c r="A936" s="3">
        <v>48.0</v>
      </c>
      <c r="B936" s="3">
        <v>97.0</v>
      </c>
      <c r="C936" s="3">
        <v>1500000.0</v>
      </c>
      <c r="D936" s="3">
        <v>0.65</v>
      </c>
      <c r="E936" s="3">
        <v>1.5</v>
      </c>
    </row>
    <row r="937" ht="12.75" customHeight="1">
      <c r="A937" s="3">
        <v>48.0</v>
      </c>
      <c r="B937" s="3">
        <v>98.0</v>
      </c>
      <c r="C937" s="3">
        <v>2210000.0</v>
      </c>
      <c r="D937" s="3">
        <v>0.78</v>
      </c>
      <c r="E937" s="3">
        <v>2.21</v>
      </c>
    </row>
    <row r="938" ht="12.75" customHeight="1">
      <c r="A938" s="3">
        <v>48.0</v>
      </c>
      <c r="B938" s="3">
        <v>99.0</v>
      </c>
      <c r="C938" s="3">
        <v>3060000.0</v>
      </c>
      <c r="D938" s="3">
        <v>0.92</v>
      </c>
      <c r="E938" s="3">
        <v>3.06</v>
      </c>
    </row>
    <row r="939" ht="12.75" customHeight="1">
      <c r="A939" s="3">
        <v>48.0</v>
      </c>
      <c r="B939" s="3">
        <v>100.0</v>
      </c>
      <c r="C939" s="3">
        <v>4070000.0</v>
      </c>
      <c r="D939" s="3">
        <v>1.08</v>
      </c>
      <c r="E939" s="3">
        <v>4.07</v>
      </c>
    </row>
    <row r="940" ht="12.75" customHeight="1">
      <c r="A940" s="3">
        <v>48.0</v>
      </c>
      <c r="B940" s="3">
        <v>100.2</v>
      </c>
      <c r="C940" s="3">
        <v>5150000.0</v>
      </c>
      <c r="D940" s="3">
        <v>1.09</v>
      </c>
      <c r="E940" s="3">
        <v>5.15</v>
      </c>
    </row>
    <row r="941" ht="12.75" customHeight="1">
      <c r="A941" s="3">
        <v>49.0</v>
      </c>
      <c r="B941" s="3">
        <v>70.11</v>
      </c>
      <c r="C941" s="3">
        <v>0.0</v>
      </c>
      <c r="D941" s="3">
        <v>0.0</v>
      </c>
      <c r="E941" s="3">
        <v>0.0</v>
      </c>
    </row>
    <row r="942" ht="12.75" customHeight="1">
      <c r="A942" s="3">
        <v>49.0</v>
      </c>
      <c r="B942" s="3">
        <v>70.5</v>
      </c>
      <c r="C942" s="3">
        <v>4.0</v>
      </c>
      <c r="D942" s="3">
        <v>0.0</v>
      </c>
      <c r="E942" s="3">
        <v>4.0E-6</v>
      </c>
    </row>
    <row r="943" ht="12.75" customHeight="1">
      <c r="A943" s="3">
        <v>49.0</v>
      </c>
      <c r="B943" s="3">
        <v>71.0</v>
      </c>
      <c r="C943" s="3">
        <v>42.0</v>
      </c>
      <c r="D943" s="3">
        <v>1.0E-4</v>
      </c>
      <c r="E943" s="3">
        <v>4.2E-5</v>
      </c>
    </row>
    <row r="944" ht="12.75" customHeight="1">
      <c r="A944" s="3">
        <v>49.0</v>
      </c>
      <c r="B944" s="3">
        <v>71.5</v>
      </c>
      <c r="C944" s="3">
        <v>139.0</v>
      </c>
      <c r="D944" s="3">
        <v>3.0E-4</v>
      </c>
      <c r="E944" s="3">
        <v>1.39E-4</v>
      </c>
    </row>
    <row r="945" ht="12.75" customHeight="1">
      <c r="A945" s="3">
        <v>49.0</v>
      </c>
      <c r="B945" s="3">
        <v>72.0</v>
      </c>
      <c r="C945" s="3">
        <v>451.0</v>
      </c>
      <c r="D945" s="3">
        <v>0.0014</v>
      </c>
      <c r="E945" s="3">
        <v>4.51E-4</v>
      </c>
    </row>
    <row r="946" ht="12.75" customHeight="1">
      <c r="A946" s="3">
        <v>49.0</v>
      </c>
      <c r="B946" s="3">
        <v>72.5</v>
      </c>
      <c r="C946" s="3">
        <v>2302.0</v>
      </c>
      <c r="D946" s="3">
        <v>0.0068</v>
      </c>
      <c r="E946" s="3">
        <v>0.002302</v>
      </c>
    </row>
    <row r="947" ht="12.75" customHeight="1">
      <c r="A947" s="3">
        <v>49.0</v>
      </c>
      <c r="B947" s="3">
        <v>73.0</v>
      </c>
      <c r="C947" s="3">
        <v>7525.0</v>
      </c>
      <c r="D947" s="3">
        <v>0.0148</v>
      </c>
      <c r="E947" s="3">
        <v>0.007525</v>
      </c>
    </row>
    <row r="948" ht="12.75" customHeight="1">
      <c r="A948" s="3">
        <v>49.0</v>
      </c>
      <c r="B948" s="3">
        <v>73.5</v>
      </c>
      <c r="C948" s="3">
        <v>17498.0</v>
      </c>
      <c r="D948" s="3">
        <v>0.0253</v>
      </c>
      <c r="E948" s="3">
        <v>0.017498</v>
      </c>
    </row>
    <row r="949" ht="12.75" customHeight="1">
      <c r="A949" s="3">
        <v>49.0</v>
      </c>
      <c r="B949" s="3">
        <v>74.0</v>
      </c>
      <c r="C949" s="3">
        <v>33226.0</v>
      </c>
      <c r="D949" s="3">
        <v>0.0383</v>
      </c>
      <c r="E949" s="3">
        <v>0.033226</v>
      </c>
    </row>
    <row r="950" ht="12.75" customHeight="1">
      <c r="A950" s="3">
        <v>49.0</v>
      </c>
      <c r="B950" s="3">
        <v>74.5</v>
      </c>
      <c r="C950" s="3">
        <v>56945.0</v>
      </c>
      <c r="D950" s="3">
        <v>0.0576</v>
      </c>
      <c r="E950" s="3">
        <v>0.056945</v>
      </c>
    </row>
    <row r="951" ht="12.75" customHeight="1">
      <c r="A951" s="3">
        <v>49.0</v>
      </c>
      <c r="B951" s="3">
        <v>75.0</v>
      </c>
      <c r="C951" s="3">
        <v>91854.0</v>
      </c>
      <c r="D951" s="3">
        <v>0.0833</v>
      </c>
      <c r="E951" s="3">
        <v>0.091854</v>
      </c>
    </row>
    <row r="952" ht="12.75" customHeight="1">
      <c r="A952" s="3">
        <v>49.0</v>
      </c>
      <c r="B952" s="3">
        <v>75.5</v>
      </c>
      <c r="C952" s="3">
        <v>142896.0</v>
      </c>
      <c r="D952" s="3">
        <v>0.122</v>
      </c>
      <c r="E952" s="3">
        <v>0.142896</v>
      </c>
    </row>
    <row r="953" ht="12.75" customHeight="1">
      <c r="A953" s="3">
        <v>49.0</v>
      </c>
      <c r="B953" s="3">
        <v>76.0</v>
      </c>
      <c r="C953" s="3">
        <v>215445.0</v>
      </c>
      <c r="D953" s="3">
        <v>0.1703</v>
      </c>
      <c r="E953" s="3">
        <v>0.215445</v>
      </c>
    </row>
    <row r="954" ht="12.75" customHeight="1">
      <c r="A954" s="3">
        <v>49.0</v>
      </c>
      <c r="B954" s="3">
        <v>76.5</v>
      </c>
      <c r="C954" s="3">
        <v>317230.0</v>
      </c>
      <c r="D954" s="3">
        <v>0.2372</v>
      </c>
      <c r="E954" s="3">
        <v>0.31723</v>
      </c>
    </row>
    <row r="955" ht="12.75" customHeight="1">
      <c r="A955" s="3">
        <v>49.0</v>
      </c>
      <c r="B955" s="3">
        <v>77.0</v>
      </c>
      <c r="C955" s="3">
        <v>457688.0</v>
      </c>
      <c r="D955" s="3">
        <v>0.326</v>
      </c>
      <c r="E955" s="3">
        <v>0.457688</v>
      </c>
    </row>
    <row r="956" ht="12.75" customHeight="1">
      <c r="A956" s="3">
        <v>49.0</v>
      </c>
      <c r="B956" s="3">
        <v>77.5</v>
      </c>
      <c r="C956" s="3">
        <v>648048.0</v>
      </c>
      <c r="D956" s="3">
        <v>0.439</v>
      </c>
      <c r="E956" s="3">
        <v>0.648048</v>
      </c>
    </row>
    <row r="957" ht="12.75" customHeight="1">
      <c r="A957" s="3">
        <v>49.0</v>
      </c>
      <c r="B957" s="3">
        <v>78.0</v>
      </c>
      <c r="C957" s="3">
        <v>902924.0</v>
      </c>
      <c r="D957" s="3">
        <v>0.5974</v>
      </c>
      <c r="E957" s="3">
        <v>0.902924</v>
      </c>
    </row>
    <row r="958" ht="12.75" customHeight="1">
      <c r="A958" s="3">
        <v>49.0</v>
      </c>
      <c r="B958" s="3">
        <v>78.5</v>
      </c>
      <c r="C958" s="3">
        <v>1251872.0</v>
      </c>
      <c r="D958" s="3">
        <v>0.7856</v>
      </c>
      <c r="E958" s="3">
        <v>1.251872</v>
      </c>
    </row>
    <row r="959" ht="12.75" customHeight="1">
      <c r="A959" s="3">
        <v>49.0</v>
      </c>
      <c r="B959" s="3">
        <v>79.0</v>
      </c>
      <c r="C959" s="3">
        <v>1703196.0</v>
      </c>
      <c r="D959" s="3">
        <v>0.997</v>
      </c>
      <c r="E959" s="3">
        <v>1.703196</v>
      </c>
    </row>
    <row r="960" ht="12.75" customHeight="1">
      <c r="A960" s="3">
        <v>49.0</v>
      </c>
      <c r="B960" s="3">
        <v>79.5</v>
      </c>
      <c r="C960" s="3">
        <v>2265118.0</v>
      </c>
      <c r="D960" s="3">
        <v>1.2489</v>
      </c>
      <c r="E960" s="3">
        <v>2.265118</v>
      </c>
    </row>
    <row r="961" ht="12.75" customHeight="1">
      <c r="A961" s="3">
        <v>49.0</v>
      </c>
      <c r="B961" s="3">
        <v>80.0</v>
      </c>
      <c r="C961" s="3">
        <v>2967691.0</v>
      </c>
      <c r="D961" s="3">
        <v>1.5479</v>
      </c>
      <c r="E961" s="3">
        <v>2.967691</v>
      </c>
    </row>
    <row r="962" ht="12.75" customHeight="1">
      <c r="A962" s="3">
        <v>49.0</v>
      </c>
      <c r="B962" s="3">
        <v>80.5</v>
      </c>
      <c r="C962" s="3">
        <v>3832218.0</v>
      </c>
      <c r="D962" s="3">
        <v>1.8822</v>
      </c>
      <c r="E962" s="3">
        <v>3.832218</v>
      </c>
    </row>
    <row r="963" ht="12.75" customHeight="1">
      <c r="A963" s="3">
        <v>49.0</v>
      </c>
      <c r="B963" s="3">
        <v>81.0</v>
      </c>
      <c r="C963" s="3">
        <v>4861276.0</v>
      </c>
      <c r="D963" s="3">
        <v>2.2108</v>
      </c>
      <c r="E963" s="3">
        <v>4.861276</v>
      </c>
    </row>
    <row r="964" ht="12.75" customHeight="1">
      <c r="A964" s="3">
        <v>49.0</v>
      </c>
      <c r="B964" s="3">
        <v>81.5</v>
      </c>
      <c r="C964" s="3">
        <v>6056576.0</v>
      </c>
      <c r="D964" s="3">
        <v>2.5521</v>
      </c>
      <c r="E964" s="3">
        <v>6.056576</v>
      </c>
    </row>
    <row r="965" ht="12.75" customHeight="1">
      <c r="A965" s="3">
        <v>49.0</v>
      </c>
      <c r="B965" s="3">
        <v>82.0</v>
      </c>
      <c r="C965" s="3">
        <v>7419856.0</v>
      </c>
      <c r="D965" s="3">
        <v>2.8842</v>
      </c>
      <c r="E965" s="3">
        <v>7.419856</v>
      </c>
    </row>
    <row r="966" ht="12.75" customHeight="1">
      <c r="A966" s="3">
        <v>49.0</v>
      </c>
      <c r="B966" s="3">
        <v>82.5</v>
      </c>
      <c r="C966" s="3">
        <v>8948893.0</v>
      </c>
      <c r="D966" s="3">
        <v>3.2167</v>
      </c>
      <c r="E966" s="3">
        <v>8.948893</v>
      </c>
    </row>
    <row r="967" ht="12.75" customHeight="1">
      <c r="A967" s="3">
        <v>49.0</v>
      </c>
      <c r="B967" s="3">
        <v>83.0</v>
      </c>
      <c r="C967" s="3">
        <v>1.064413E7</v>
      </c>
      <c r="D967" s="3">
        <v>3.5397</v>
      </c>
      <c r="E967" s="3">
        <v>10.64413</v>
      </c>
    </row>
    <row r="968" ht="12.75" customHeight="1">
      <c r="A968" s="3">
        <v>49.0</v>
      </c>
      <c r="B968" s="3">
        <v>83.5</v>
      </c>
      <c r="C968" s="3">
        <v>1.2492266E7</v>
      </c>
      <c r="D968" s="3">
        <v>3.8397</v>
      </c>
      <c r="E968" s="3">
        <v>12.492266</v>
      </c>
    </row>
    <row r="969" ht="12.75" customHeight="1">
      <c r="A969" s="3">
        <v>49.0</v>
      </c>
      <c r="B969" s="3">
        <v>84.0</v>
      </c>
      <c r="C969" s="3">
        <v>1.4486369E7</v>
      </c>
      <c r="D969" s="3">
        <v>4.1316</v>
      </c>
      <c r="E969" s="3">
        <v>14.486369</v>
      </c>
    </row>
    <row r="970" ht="12.75" customHeight="1">
      <c r="A970" s="3">
        <v>49.0</v>
      </c>
      <c r="B970" s="3">
        <v>84.5</v>
      </c>
      <c r="C970" s="3">
        <v>1.6629233E7</v>
      </c>
      <c r="D970" s="3">
        <v>4.4282</v>
      </c>
      <c r="E970" s="3">
        <v>16.629233</v>
      </c>
    </row>
    <row r="971" ht="12.75" customHeight="1">
      <c r="A971" s="3">
        <v>49.0</v>
      </c>
      <c r="B971" s="3">
        <v>85.0</v>
      </c>
      <c r="C971" s="3">
        <v>1.8925025E7</v>
      </c>
      <c r="D971" s="3">
        <v>4.7431</v>
      </c>
      <c r="E971" s="3">
        <v>18.925025</v>
      </c>
    </row>
    <row r="972" ht="12.75" customHeight="1">
      <c r="A972" s="3">
        <v>49.0</v>
      </c>
      <c r="B972" s="3">
        <v>85.5</v>
      </c>
      <c r="C972" s="3">
        <v>2.1390115E7</v>
      </c>
      <c r="D972" s="3">
        <v>5.0563</v>
      </c>
      <c r="E972" s="3">
        <v>21.390115</v>
      </c>
    </row>
    <row r="973" ht="12.75" customHeight="1">
      <c r="A973" s="3">
        <v>49.0</v>
      </c>
      <c r="B973" s="3">
        <v>86.0</v>
      </c>
      <c r="C973" s="3">
        <v>2.3986228E7</v>
      </c>
      <c r="D973" s="3">
        <v>5.3571</v>
      </c>
      <c r="E973" s="3">
        <v>23.986228</v>
      </c>
    </row>
    <row r="974" ht="12.75" customHeight="1">
      <c r="A974" s="3">
        <v>49.0</v>
      </c>
      <c r="B974" s="3">
        <v>86.5</v>
      </c>
      <c r="C974" s="3">
        <v>2.6742334E7</v>
      </c>
      <c r="D974" s="3">
        <v>5.6735</v>
      </c>
      <c r="E974" s="3">
        <v>26.742334</v>
      </c>
    </row>
    <row r="975" ht="12.75" customHeight="1">
      <c r="A975" s="3">
        <v>49.0</v>
      </c>
      <c r="B975" s="3">
        <v>87.0</v>
      </c>
      <c r="C975" s="3">
        <v>2.9664094E7</v>
      </c>
      <c r="D975" s="3">
        <v>6.0046</v>
      </c>
      <c r="E975" s="3">
        <v>29.664094</v>
      </c>
    </row>
    <row r="976" ht="12.75" customHeight="1">
      <c r="A976" s="3">
        <v>49.0</v>
      </c>
      <c r="B976" s="3">
        <v>87.5</v>
      </c>
      <c r="C976" s="3">
        <v>3.2754697E7</v>
      </c>
      <c r="D976" s="3">
        <v>6.3473</v>
      </c>
      <c r="E976" s="3">
        <v>32.754697</v>
      </c>
    </row>
    <row r="977" ht="12.75" customHeight="1">
      <c r="A977" s="3">
        <v>49.0</v>
      </c>
      <c r="B977" s="3">
        <v>88.0</v>
      </c>
      <c r="C977" s="3">
        <v>3.6027166E7</v>
      </c>
      <c r="D977" s="3">
        <v>6.6979</v>
      </c>
      <c r="E977" s="3">
        <v>36.027166</v>
      </c>
    </row>
    <row r="978" ht="12.75" customHeight="1">
      <c r="A978" s="3">
        <v>49.0</v>
      </c>
      <c r="B978" s="3">
        <v>88.5</v>
      </c>
      <c r="C978" s="3">
        <v>3.9459667E7</v>
      </c>
      <c r="D978" s="3">
        <v>6.9973</v>
      </c>
      <c r="E978" s="3">
        <v>39.459667</v>
      </c>
    </row>
    <row r="979" ht="12.75" customHeight="1">
      <c r="A979" s="3">
        <v>49.0</v>
      </c>
      <c r="B979" s="3">
        <v>89.0</v>
      </c>
      <c r="C979" s="3">
        <v>4.3044449E7</v>
      </c>
      <c r="D979" s="3">
        <v>7.3301</v>
      </c>
      <c r="E979" s="3">
        <v>43.044449</v>
      </c>
    </row>
    <row r="980" ht="12.75" customHeight="1">
      <c r="A980" s="3">
        <v>49.0</v>
      </c>
      <c r="B980" s="3">
        <v>89.5</v>
      </c>
      <c r="C980" s="3">
        <v>4.6773798E7</v>
      </c>
      <c r="D980" s="3">
        <v>7.5815</v>
      </c>
      <c r="E980" s="3">
        <v>46.773798</v>
      </c>
    </row>
    <row r="981" ht="12.75" customHeight="1">
      <c r="A981" s="3">
        <v>49.0</v>
      </c>
      <c r="B981" s="3">
        <v>90.0</v>
      </c>
      <c r="C981" s="3">
        <v>5.0625833E7</v>
      </c>
      <c r="D981" s="3">
        <v>7.8265</v>
      </c>
      <c r="E981" s="3">
        <v>50.625833</v>
      </c>
    </row>
    <row r="982" ht="12.75" customHeight="1">
      <c r="A982" s="3">
        <v>49.0</v>
      </c>
      <c r="B982" s="3">
        <v>90.11</v>
      </c>
      <c r="C982" s="3">
        <v>5.14897E7</v>
      </c>
      <c r="D982" s="3">
        <v>7.8802</v>
      </c>
      <c r="E982" s="3">
        <v>51.4897</v>
      </c>
    </row>
    <row r="983" ht="12.75" customHeight="1">
      <c r="A983" s="3">
        <v>49.0</v>
      </c>
      <c r="B983" s="3">
        <v>90.5</v>
      </c>
      <c r="C983" s="3">
        <v>5.47E7</v>
      </c>
      <c r="D983" s="3">
        <v>8.22</v>
      </c>
      <c r="E983" s="3">
        <v>54.7</v>
      </c>
    </row>
    <row r="984" ht="12.75" customHeight="1">
      <c r="A984" s="3">
        <v>49.0</v>
      </c>
      <c r="B984" s="3">
        <v>91.0</v>
      </c>
      <c r="C984" s="3">
        <v>5.9E7</v>
      </c>
      <c r="D984" s="3">
        <v>8.5</v>
      </c>
      <c r="E984" s="3">
        <v>59.0</v>
      </c>
    </row>
    <row r="985" ht="12.75" customHeight="1">
      <c r="A985" s="3">
        <v>49.0</v>
      </c>
      <c r="B985" s="3">
        <v>91.5</v>
      </c>
      <c r="C985" s="3">
        <v>6.33E7</v>
      </c>
      <c r="D985" s="3">
        <v>8.8</v>
      </c>
      <c r="E985" s="3">
        <v>63.3</v>
      </c>
    </row>
    <row r="986" ht="12.75" customHeight="1">
      <c r="A986" s="3">
        <v>49.0</v>
      </c>
      <c r="B986" s="3">
        <v>92.0</v>
      </c>
      <c r="C986" s="3">
        <v>6.77E7</v>
      </c>
      <c r="D986" s="3">
        <v>9.07</v>
      </c>
      <c r="E986" s="3">
        <v>67.7</v>
      </c>
    </row>
    <row r="987" ht="12.75" customHeight="1">
      <c r="A987" s="3">
        <v>49.0</v>
      </c>
      <c r="B987" s="3">
        <v>92.5</v>
      </c>
      <c r="C987" s="3">
        <v>7.22E7</v>
      </c>
      <c r="D987" s="3">
        <v>9.35</v>
      </c>
      <c r="E987" s="3">
        <v>72.2</v>
      </c>
    </row>
    <row r="988" ht="12.75" customHeight="1">
      <c r="A988" s="3">
        <v>49.0</v>
      </c>
      <c r="B988" s="3">
        <v>93.0</v>
      </c>
      <c r="C988" s="3">
        <v>7.7E7</v>
      </c>
      <c r="D988" s="3">
        <v>9.6</v>
      </c>
      <c r="E988" s="3">
        <v>77.0</v>
      </c>
    </row>
    <row r="989" ht="12.75" customHeight="1">
      <c r="A989" s="3">
        <v>49.0</v>
      </c>
      <c r="B989" s="3">
        <v>93.5</v>
      </c>
      <c r="C989" s="3">
        <v>8.2E7</v>
      </c>
      <c r="D989" s="3">
        <v>9.85</v>
      </c>
      <c r="E989" s="3">
        <v>82.0</v>
      </c>
    </row>
    <row r="990" ht="12.75" customHeight="1">
      <c r="A990" s="3">
        <v>49.0</v>
      </c>
      <c r="B990" s="3">
        <v>94.0</v>
      </c>
      <c r="C990" s="3">
        <v>8.67E7</v>
      </c>
      <c r="D990" s="3">
        <v>10.08</v>
      </c>
      <c r="E990" s="3">
        <v>86.7</v>
      </c>
    </row>
    <row r="991" ht="12.75" customHeight="1">
      <c r="A991" s="3">
        <v>49.0</v>
      </c>
      <c r="B991" s="3">
        <v>94.5</v>
      </c>
      <c r="C991" s="3">
        <v>9.19E7</v>
      </c>
      <c r="D991" s="3">
        <v>10.28</v>
      </c>
      <c r="E991" s="3">
        <v>91.9</v>
      </c>
    </row>
    <row r="992" ht="12.75" customHeight="1">
      <c r="A992" s="3">
        <v>49.0</v>
      </c>
      <c r="B992" s="3">
        <v>95.0</v>
      </c>
      <c r="C992" s="3">
        <v>9.68E7</v>
      </c>
      <c r="D992" s="3">
        <v>10.49</v>
      </c>
      <c r="E992" s="3">
        <v>96.8</v>
      </c>
    </row>
    <row r="993" ht="12.75" customHeight="1">
      <c r="A993" s="3">
        <v>49.0</v>
      </c>
      <c r="B993" s="3">
        <v>96.0</v>
      </c>
      <c r="C993" s="3">
        <v>1.07E8</v>
      </c>
      <c r="D993" s="3">
        <v>10.83</v>
      </c>
      <c r="E993" s="3">
        <v>107.0</v>
      </c>
    </row>
    <row r="994" ht="12.75" customHeight="1">
      <c r="A994" s="3">
        <v>49.0</v>
      </c>
      <c r="B994" s="3">
        <v>97.0</v>
      </c>
      <c r="C994" s="3">
        <v>1.18E8</v>
      </c>
      <c r="D994" s="3">
        <v>11.2</v>
      </c>
      <c r="E994" s="3">
        <v>118.0</v>
      </c>
    </row>
    <row r="995" ht="12.75" customHeight="1">
      <c r="A995" s="3">
        <v>50.0</v>
      </c>
      <c r="B995" s="3">
        <v>79.0</v>
      </c>
      <c r="C995" s="3">
        <v>0.0</v>
      </c>
      <c r="D995" s="3">
        <v>0.0</v>
      </c>
      <c r="E995" s="3">
        <v>0.0</v>
      </c>
    </row>
    <row r="996" ht="12.75" customHeight="1">
      <c r="A996" s="3">
        <v>50.0</v>
      </c>
      <c r="B996" s="3">
        <v>80.0</v>
      </c>
      <c r="C996" s="3">
        <v>140000.0</v>
      </c>
      <c r="D996" s="3">
        <v>0.1</v>
      </c>
      <c r="E996" s="3">
        <v>0.14</v>
      </c>
    </row>
    <row r="997" ht="12.75" customHeight="1">
      <c r="A997" s="3">
        <v>50.0</v>
      </c>
      <c r="B997" s="3">
        <v>81.0</v>
      </c>
      <c r="C997" s="3">
        <v>300000.0</v>
      </c>
      <c r="D997" s="3">
        <v>0.21</v>
      </c>
      <c r="E997" s="3">
        <v>0.3</v>
      </c>
    </row>
    <row r="998" ht="12.75" customHeight="1">
      <c r="A998" s="3">
        <v>50.0</v>
      </c>
      <c r="B998" s="3">
        <v>82.0</v>
      </c>
      <c r="C998" s="3">
        <v>550000.0</v>
      </c>
      <c r="D998" s="3">
        <v>0.3</v>
      </c>
      <c r="E998" s="3">
        <v>0.55</v>
      </c>
    </row>
    <row r="999" ht="12.75" customHeight="1">
      <c r="A999" s="3">
        <v>50.0</v>
      </c>
      <c r="B999" s="3">
        <v>83.0</v>
      </c>
      <c r="C999" s="3">
        <v>1080000.0</v>
      </c>
      <c r="D999" s="3">
        <v>0.75</v>
      </c>
      <c r="E999" s="3">
        <v>1.08</v>
      </c>
    </row>
    <row r="1000" ht="12.75" customHeight="1">
      <c r="A1000" s="3">
        <v>50.0</v>
      </c>
      <c r="B1000" s="3">
        <v>84.0</v>
      </c>
      <c r="C1000" s="3">
        <v>1940000.0</v>
      </c>
      <c r="D1000" s="3">
        <v>0.95</v>
      </c>
      <c r="E1000" s="3">
        <v>1.94</v>
      </c>
    </row>
    <row r="1001" ht="12.75" customHeight="1">
      <c r="A1001" s="3">
        <v>50.0</v>
      </c>
      <c r="B1001" s="3">
        <v>85.0</v>
      </c>
      <c r="C1001" s="3">
        <v>3050000.0</v>
      </c>
      <c r="D1001" s="3">
        <v>1.26</v>
      </c>
      <c r="E1001" s="3">
        <v>3.05</v>
      </c>
    </row>
    <row r="1002" ht="12.75" customHeight="1">
      <c r="A1002" s="3">
        <v>50.0</v>
      </c>
      <c r="B1002" s="3">
        <v>86.0</v>
      </c>
      <c r="C1002" s="3">
        <v>4400000.0</v>
      </c>
      <c r="D1002" s="3">
        <v>1.41</v>
      </c>
      <c r="E1002" s="3">
        <v>4.4</v>
      </c>
    </row>
    <row r="1003" ht="12.75" customHeight="1">
      <c r="A1003" s="3">
        <v>50.0</v>
      </c>
      <c r="B1003" s="3">
        <v>87.0</v>
      </c>
      <c r="C1003" s="3">
        <v>6000000.0</v>
      </c>
      <c r="D1003" s="3">
        <v>1.78</v>
      </c>
      <c r="E1003" s="3">
        <v>6.0</v>
      </c>
    </row>
    <row r="1004" ht="12.75" customHeight="1">
      <c r="A1004" s="3">
        <v>50.0</v>
      </c>
      <c r="B1004" s="3">
        <v>88.0</v>
      </c>
      <c r="C1004" s="3">
        <v>7900000.0</v>
      </c>
      <c r="D1004" s="3">
        <v>2.01</v>
      </c>
      <c r="E1004" s="3">
        <v>7.9</v>
      </c>
    </row>
    <row r="1005" ht="12.75" customHeight="1">
      <c r="A1005" s="3">
        <v>50.0</v>
      </c>
      <c r="B1005" s="3">
        <v>89.0</v>
      </c>
      <c r="C1005" s="3">
        <v>1.008E7</v>
      </c>
      <c r="D1005" s="3">
        <v>2.35</v>
      </c>
      <c r="E1005" s="3">
        <v>10.08</v>
      </c>
    </row>
    <row r="1006" ht="12.75" customHeight="1">
      <c r="A1006" s="3">
        <v>50.0</v>
      </c>
      <c r="B1006" s="3">
        <v>90.0</v>
      </c>
      <c r="C1006" s="3">
        <v>1.294E7</v>
      </c>
      <c r="D1006" s="3">
        <v>3.35</v>
      </c>
      <c r="E1006" s="3">
        <v>12.94</v>
      </c>
    </row>
    <row r="1007" ht="12.75" customHeight="1">
      <c r="A1007" s="3">
        <v>50.0</v>
      </c>
      <c r="B1007" s="3">
        <v>91.0</v>
      </c>
      <c r="C1007" s="3">
        <v>1.647E7</v>
      </c>
      <c r="D1007" s="3">
        <v>3.69</v>
      </c>
      <c r="E1007" s="3">
        <v>16.47</v>
      </c>
    </row>
    <row r="1008" ht="12.75" customHeight="1">
      <c r="A1008" s="3">
        <v>50.0</v>
      </c>
      <c r="B1008" s="3">
        <v>92.0</v>
      </c>
      <c r="C1008" s="3">
        <v>2.022E7</v>
      </c>
      <c r="D1008" s="3">
        <v>3.81</v>
      </c>
      <c r="E1008" s="3">
        <v>20.22</v>
      </c>
    </row>
    <row r="1009" ht="12.75" customHeight="1">
      <c r="A1009" s="3">
        <v>50.0</v>
      </c>
      <c r="B1009" s="3">
        <v>93.0</v>
      </c>
      <c r="C1009" s="3">
        <v>2.434E7</v>
      </c>
      <c r="D1009" s="3">
        <v>4.4</v>
      </c>
      <c r="E1009" s="3">
        <v>24.34</v>
      </c>
    </row>
    <row r="1010" ht="12.75" customHeight="1">
      <c r="A1010" s="3">
        <v>50.0</v>
      </c>
      <c r="B1010" s="3">
        <v>94.0</v>
      </c>
      <c r="C1010" s="3">
        <v>2.9E7</v>
      </c>
      <c r="D1010" s="3">
        <v>5.0</v>
      </c>
      <c r="E1010" s="3">
        <v>29.0</v>
      </c>
    </row>
    <row r="1011" ht="12.75" customHeight="1">
      <c r="A1011" s="3">
        <v>50.0</v>
      </c>
      <c r="B1011" s="3">
        <v>95.0</v>
      </c>
      <c r="C1011" s="3">
        <v>3.45E7</v>
      </c>
      <c r="D1011" s="3">
        <v>5.55</v>
      </c>
      <c r="E1011" s="3">
        <v>34.5</v>
      </c>
    </row>
    <row r="1012" ht="12.75" customHeight="1">
      <c r="A1012" s="3">
        <v>51.0</v>
      </c>
      <c r="B1012" s="3">
        <v>99.59</v>
      </c>
      <c r="C1012" s="3">
        <v>0.0</v>
      </c>
      <c r="D1012" s="3">
        <v>0.0</v>
      </c>
      <c r="E1012" s="3">
        <v>0.0</v>
      </c>
    </row>
    <row r="1013" ht="12.75" customHeight="1">
      <c r="A1013" s="3">
        <v>51.0</v>
      </c>
      <c r="B1013" s="3">
        <v>99.79</v>
      </c>
      <c r="C1013" s="3">
        <v>4.0</v>
      </c>
      <c r="D1013" s="3">
        <v>0.0</v>
      </c>
      <c r="E1013" s="3">
        <v>4.0E-6</v>
      </c>
    </row>
    <row r="1014" ht="12.75" customHeight="1">
      <c r="A1014" s="3">
        <v>51.0</v>
      </c>
      <c r="B1014" s="3">
        <v>100.29</v>
      </c>
      <c r="C1014" s="3">
        <v>4569.0</v>
      </c>
      <c r="D1014" s="3">
        <v>0.029</v>
      </c>
      <c r="E1014" s="3">
        <v>0.004569</v>
      </c>
    </row>
    <row r="1015" ht="12.75" customHeight="1">
      <c r="A1015" s="3">
        <v>51.0</v>
      </c>
      <c r="B1015" s="3">
        <v>100.79</v>
      </c>
      <c r="C1015" s="3">
        <v>36086.0</v>
      </c>
      <c r="D1015" s="3">
        <v>0.1</v>
      </c>
      <c r="E1015" s="3">
        <v>0.036086</v>
      </c>
    </row>
    <row r="1016" ht="12.75" customHeight="1">
      <c r="A1016" s="3">
        <v>51.0</v>
      </c>
      <c r="B1016" s="3">
        <v>101.29</v>
      </c>
      <c r="C1016" s="3">
        <v>120212.0</v>
      </c>
      <c r="D1016" s="3">
        <v>0.255</v>
      </c>
      <c r="E1016" s="3">
        <v>0.120212</v>
      </c>
    </row>
    <row r="1017" ht="12.75" customHeight="1">
      <c r="A1017" s="3">
        <v>51.0</v>
      </c>
      <c r="B1017" s="3">
        <v>101.79</v>
      </c>
      <c r="C1017" s="3">
        <v>296660.0</v>
      </c>
      <c r="D1017" s="3">
        <v>0.439</v>
      </c>
      <c r="E1017" s="3">
        <v>0.29666</v>
      </c>
    </row>
    <row r="1018" ht="12.75" customHeight="1">
      <c r="A1018" s="3">
        <v>51.0</v>
      </c>
      <c r="B1018" s="3">
        <v>102.29</v>
      </c>
      <c r="C1018" s="3">
        <v>569922.0</v>
      </c>
      <c r="D1018" s="3">
        <v>0.682</v>
      </c>
      <c r="E1018" s="3">
        <v>0.569922</v>
      </c>
    </row>
    <row r="1019" ht="12.75" customHeight="1">
      <c r="A1019" s="3">
        <v>51.0</v>
      </c>
      <c r="B1019" s="3">
        <v>102.79</v>
      </c>
      <c r="C1019" s="3">
        <v>982935.0</v>
      </c>
      <c r="D1019" s="3">
        <v>0.967</v>
      </c>
      <c r="E1019" s="3">
        <v>0.982935</v>
      </c>
    </row>
    <row r="1020" ht="12.75" customHeight="1">
      <c r="A1020" s="3">
        <v>51.0</v>
      </c>
      <c r="B1020" s="3">
        <v>103.29</v>
      </c>
      <c r="C1020" s="3">
        <v>1566462.0</v>
      </c>
      <c r="D1020" s="3">
        <v>1.364</v>
      </c>
      <c r="E1020" s="3">
        <v>1.566462</v>
      </c>
    </row>
    <row r="1021" ht="12.75" customHeight="1">
      <c r="A1021" s="3">
        <v>51.0</v>
      </c>
      <c r="B1021" s="3">
        <v>103.79</v>
      </c>
      <c r="C1021" s="3">
        <v>2324233.0</v>
      </c>
      <c r="D1021" s="3">
        <v>1.697</v>
      </c>
      <c r="E1021" s="3">
        <v>2.324233</v>
      </c>
    </row>
    <row r="1022" ht="12.75" customHeight="1">
      <c r="A1022" s="3">
        <v>51.0</v>
      </c>
      <c r="B1022" s="3">
        <v>104.29</v>
      </c>
      <c r="C1022" s="3">
        <v>3270287.0</v>
      </c>
      <c r="D1022" s="3">
        <v>2.079</v>
      </c>
      <c r="E1022" s="3">
        <v>3.270287</v>
      </c>
    </row>
    <row r="1023" ht="12.75" customHeight="1">
      <c r="A1023" s="3">
        <v>51.0</v>
      </c>
      <c r="B1023" s="3">
        <v>104.79</v>
      </c>
      <c r="C1023" s="3">
        <v>4390786.0</v>
      </c>
      <c r="D1023" s="3">
        <v>2.4</v>
      </c>
      <c r="E1023" s="3">
        <v>4.390786</v>
      </c>
    </row>
    <row r="1024" ht="12.75" customHeight="1">
      <c r="A1024" s="3">
        <v>51.0</v>
      </c>
      <c r="B1024" s="3">
        <v>105.29</v>
      </c>
      <c r="C1024" s="3">
        <v>5691598.0</v>
      </c>
      <c r="D1024" s="3">
        <v>2.8</v>
      </c>
      <c r="E1024" s="3">
        <v>5.691598</v>
      </c>
    </row>
    <row r="1025" ht="12.75" customHeight="1">
      <c r="A1025" s="3">
        <v>51.0</v>
      </c>
      <c r="B1025" s="3">
        <v>105.79</v>
      </c>
      <c r="C1025" s="3">
        <v>7183821.0</v>
      </c>
      <c r="D1025" s="3">
        <v>3.188</v>
      </c>
      <c r="E1025" s="3">
        <v>7.183821</v>
      </c>
    </row>
    <row r="1026" ht="12.75" customHeight="1">
      <c r="A1026" s="3">
        <v>51.0</v>
      </c>
      <c r="B1026" s="3">
        <v>106.29</v>
      </c>
      <c r="C1026" s="3">
        <v>8878414.0</v>
      </c>
      <c r="D1026" s="3">
        <v>3.587</v>
      </c>
      <c r="E1026" s="3">
        <v>8.878414</v>
      </c>
    </row>
    <row r="1027" ht="12.75" customHeight="1">
      <c r="A1027" s="3">
        <v>51.0</v>
      </c>
      <c r="B1027" s="3">
        <v>106.79</v>
      </c>
      <c r="C1027" s="3">
        <v>1.0791066E7</v>
      </c>
      <c r="D1027" s="3">
        <v>4.115</v>
      </c>
      <c r="E1027" s="3">
        <v>10.791066</v>
      </c>
    </row>
    <row r="1028" ht="12.75" customHeight="1">
      <c r="A1028" s="3">
        <v>51.0</v>
      </c>
      <c r="B1028" s="3">
        <v>107.0</v>
      </c>
      <c r="C1028" s="3">
        <v>1.439E7</v>
      </c>
      <c r="D1028" s="3">
        <v>4.57</v>
      </c>
      <c r="E1028" s="3">
        <v>14.39</v>
      </c>
    </row>
    <row r="1029" ht="12.75" customHeight="1">
      <c r="A1029" s="3">
        <v>51.0</v>
      </c>
      <c r="B1029" s="3">
        <v>108.0</v>
      </c>
      <c r="C1029" s="3">
        <v>1.949E7</v>
      </c>
      <c r="D1029" s="3">
        <v>5.47</v>
      </c>
      <c r="E1029" s="3">
        <v>19.49</v>
      </c>
    </row>
    <row r="1030" ht="12.75" customHeight="1">
      <c r="A1030" s="3">
        <v>51.0</v>
      </c>
      <c r="B1030" s="3">
        <v>109.0</v>
      </c>
      <c r="C1030" s="3">
        <v>2.552E7</v>
      </c>
      <c r="D1030" s="3">
        <v>6.4</v>
      </c>
      <c r="E1030" s="3">
        <v>25.52</v>
      </c>
    </row>
    <row r="1031" ht="12.75" customHeight="1">
      <c r="A1031" s="3">
        <v>51.0</v>
      </c>
      <c r="B1031" s="3">
        <v>110.0</v>
      </c>
      <c r="C1031" s="3">
        <v>3.243E7</v>
      </c>
      <c r="D1031" s="3">
        <v>7.25</v>
      </c>
      <c r="E1031" s="3">
        <v>32.43</v>
      </c>
    </row>
    <row r="1032" ht="12.75" customHeight="1">
      <c r="A1032" s="3">
        <v>51.0</v>
      </c>
      <c r="B1032" s="3">
        <v>111.0</v>
      </c>
      <c r="C1032" s="3">
        <v>4.017E7</v>
      </c>
      <c r="D1032" s="3">
        <v>8.07</v>
      </c>
      <c r="E1032" s="3">
        <v>40.17</v>
      </c>
    </row>
    <row r="1033" ht="12.75" customHeight="1">
      <c r="A1033" s="3">
        <v>51.0</v>
      </c>
      <c r="B1033" s="3">
        <v>112.0</v>
      </c>
      <c r="C1033" s="3">
        <v>5.013E7</v>
      </c>
      <c r="D1033" s="3">
        <v>9.23</v>
      </c>
      <c r="E1033" s="3">
        <v>50.13</v>
      </c>
    </row>
    <row r="1034" ht="12.75" customHeight="1">
      <c r="A1034" s="3">
        <v>51.0</v>
      </c>
      <c r="B1034" s="3">
        <v>113.0</v>
      </c>
      <c r="C1034" s="3">
        <v>6.05E7</v>
      </c>
      <c r="D1034" s="3">
        <v>10.15</v>
      </c>
      <c r="E1034" s="3">
        <v>60.5</v>
      </c>
    </row>
    <row r="1035" ht="12.75" customHeight="1">
      <c r="A1035" s="3">
        <v>52.0</v>
      </c>
      <c r="B1035" s="3">
        <v>88.02</v>
      </c>
      <c r="C1035" s="3">
        <v>0.0</v>
      </c>
      <c r="D1035" s="3">
        <v>0.0</v>
      </c>
      <c r="E1035" s="3">
        <v>0.0</v>
      </c>
    </row>
    <row r="1036" ht="12.75" customHeight="1">
      <c r="A1036" s="3">
        <v>52.0</v>
      </c>
      <c r="B1036" s="3">
        <v>89.0</v>
      </c>
      <c r="C1036" s="3">
        <v>643.0</v>
      </c>
      <c r="D1036" s="3">
        <v>0.0015</v>
      </c>
      <c r="E1036" s="3">
        <v>6.43E-4</v>
      </c>
    </row>
    <row r="1037" ht="12.75" customHeight="1">
      <c r="A1037" s="3">
        <v>52.0</v>
      </c>
      <c r="B1037" s="3">
        <v>90.0</v>
      </c>
      <c r="C1037" s="3">
        <v>5098.0</v>
      </c>
      <c r="D1037" s="3">
        <v>0.0103</v>
      </c>
      <c r="E1037" s="3">
        <v>0.005098</v>
      </c>
    </row>
    <row r="1038" ht="12.75" customHeight="1">
      <c r="A1038" s="3">
        <v>52.0</v>
      </c>
      <c r="B1038" s="3">
        <v>91.0</v>
      </c>
      <c r="C1038" s="3">
        <v>26450.0</v>
      </c>
      <c r="D1038" s="3">
        <v>0.0362</v>
      </c>
      <c r="E1038" s="3">
        <v>0.02645</v>
      </c>
    </row>
    <row r="1039" ht="12.75" customHeight="1">
      <c r="A1039" s="3">
        <v>52.0</v>
      </c>
      <c r="B1039" s="3">
        <v>92.0</v>
      </c>
      <c r="C1039" s="3">
        <v>96879.0</v>
      </c>
      <c r="D1039" s="3">
        <v>0.1222</v>
      </c>
      <c r="E1039" s="3">
        <v>0.096879</v>
      </c>
    </row>
    <row r="1040" ht="12.75" customHeight="1">
      <c r="A1040" s="3">
        <v>52.0</v>
      </c>
      <c r="B1040" s="3">
        <v>93.0</v>
      </c>
      <c r="C1040" s="3">
        <v>402704.0</v>
      </c>
      <c r="D1040" s="3">
        <v>0.6068</v>
      </c>
      <c r="E1040" s="3">
        <v>0.402704</v>
      </c>
    </row>
    <row r="1041" ht="12.75" customHeight="1">
      <c r="A1041" s="3">
        <v>52.0</v>
      </c>
      <c r="B1041" s="3">
        <v>94.0</v>
      </c>
      <c r="C1041" s="3">
        <v>1536981.0</v>
      </c>
      <c r="D1041" s="3">
        <v>1.6722</v>
      </c>
      <c r="E1041" s="3">
        <v>1.536981</v>
      </c>
    </row>
    <row r="1042" ht="12.75" customHeight="1">
      <c r="A1042" s="3">
        <v>52.0</v>
      </c>
      <c r="B1042" s="3">
        <v>95.0</v>
      </c>
      <c r="C1042" s="3">
        <v>3845224.0</v>
      </c>
      <c r="D1042" s="3">
        <v>2.9819</v>
      </c>
      <c r="E1042" s="3">
        <v>3.845224</v>
      </c>
    </row>
    <row r="1043" ht="12.75" customHeight="1">
      <c r="A1043" s="3">
        <v>52.0</v>
      </c>
      <c r="B1043" s="3">
        <v>96.0</v>
      </c>
      <c r="C1043" s="3">
        <v>7686680.0</v>
      </c>
      <c r="D1043" s="3">
        <v>4.7001</v>
      </c>
      <c r="E1043" s="3">
        <v>7.68668</v>
      </c>
    </row>
    <row r="1044" ht="12.75" customHeight="1">
      <c r="A1044" s="3">
        <v>52.0</v>
      </c>
      <c r="B1044" s="3">
        <v>97.0</v>
      </c>
      <c r="C1044" s="3">
        <v>1.3053663E7</v>
      </c>
      <c r="D1044" s="3">
        <v>5.7249</v>
      </c>
      <c r="E1044" s="3">
        <v>13.053663</v>
      </c>
    </row>
    <row r="1045" ht="12.75" customHeight="1">
      <c r="A1045" s="3">
        <v>52.0</v>
      </c>
      <c r="B1045" s="3">
        <v>97.72</v>
      </c>
      <c r="C1045" s="3">
        <v>1.7232566E7</v>
      </c>
      <c r="D1045" s="3">
        <v>5.8805</v>
      </c>
      <c r="E1045" s="3">
        <v>17.232566</v>
      </c>
    </row>
    <row r="1046" ht="12.75" customHeight="1">
      <c r="A1046" s="3">
        <v>52.0</v>
      </c>
      <c r="B1046" s="3">
        <v>98.0</v>
      </c>
      <c r="C1046" s="3">
        <v>1.9416556E7</v>
      </c>
      <c r="D1046" s="3">
        <v>6.6645</v>
      </c>
      <c r="E1046" s="3">
        <v>19.416556</v>
      </c>
    </row>
    <row r="1047" ht="12.75" customHeight="1">
      <c r="A1047" s="3">
        <v>52.0</v>
      </c>
      <c r="B1047" s="3">
        <v>99.0</v>
      </c>
      <c r="C1047" s="3">
        <v>3.6436556E7</v>
      </c>
      <c r="D1047" s="3">
        <v>10.2145</v>
      </c>
      <c r="E1047" s="3">
        <v>36.436556</v>
      </c>
    </row>
    <row r="1048" ht="12.75" customHeight="1">
      <c r="A1048" s="3">
        <v>52.0</v>
      </c>
      <c r="B1048" s="3">
        <v>100.0</v>
      </c>
      <c r="C1048" s="3">
        <v>5.4055556E7</v>
      </c>
      <c r="D1048" s="3">
        <v>13.8645</v>
      </c>
      <c r="E1048" s="3">
        <v>54.055556</v>
      </c>
    </row>
    <row r="1049" ht="12.75" customHeight="1">
      <c r="A1049" s="3">
        <v>52.0</v>
      </c>
      <c r="B1049" s="3">
        <v>101.0</v>
      </c>
      <c r="C1049" s="3">
        <v>7.5306556E7</v>
      </c>
      <c r="D1049" s="3">
        <v>17.4645</v>
      </c>
      <c r="E1049" s="3">
        <v>75.306556</v>
      </c>
    </row>
    <row r="1050" ht="12.75" customHeight="1">
      <c r="A1050" s="3">
        <v>52.0</v>
      </c>
      <c r="B1050" s="3">
        <v>101.57</v>
      </c>
      <c r="C1050" s="3">
        <v>8.9516556E7</v>
      </c>
      <c r="D1050" s="3">
        <v>19.6045</v>
      </c>
      <c r="E1050" s="3">
        <v>89.516556</v>
      </c>
    </row>
    <row r="1051" ht="12.75" customHeight="1">
      <c r="A1051" s="3">
        <v>52.0</v>
      </c>
      <c r="B1051" s="3">
        <v>102.0</v>
      </c>
      <c r="C1051" s="3">
        <v>1.00241556E8</v>
      </c>
      <c r="D1051" s="3">
        <v>21.2145</v>
      </c>
      <c r="E1051" s="3">
        <v>100.241556</v>
      </c>
    </row>
    <row r="1052" ht="12.75" customHeight="1">
      <c r="A1052" s="3">
        <v>52.0</v>
      </c>
      <c r="B1052" s="3">
        <v>102.08</v>
      </c>
      <c r="C1052" s="3">
        <v>1.01641E8</v>
      </c>
      <c r="D1052" s="3">
        <v>21.6445</v>
      </c>
      <c r="E1052" s="3">
        <v>101.641</v>
      </c>
    </row>
    <row r="1053" ht="12.75" customHeight="1">
      <c r="A1053" s="3">
        <v>52.0</v>
      </c>
      <c r="B1053" s="3">
        <v>102.5</v>
      </c>
      <c r="C1053" s="3">
        <v>1.14306556E8</v>
      </c>
      <c r="D1053" s="3">
        <v>23.9145</v>
      </c>
      <c r="E1053" s="3">
        <v>114.306556</v>
      </c>
    </row>
    <row r="1054" ht="12.75" customHeight="1">
      <c r="A1054" s="3">
        <v>52.0</v>
      </c>
      <c r="B1054" s="3">
        <v>103.0</v>
      </c>
      <c r="C1054" s="3">
        <v>1.16616556E8</v>
      </c>
      <c r="D1054" s="3">
        <v>26.4145</v>
      </c>
      <c r="E1054" s="3">
        <v>116.616556</v>
      </c>
    </row>
    <row r="1055" ht="12.75" customHeight="1">
      <c r="A1055" s="3">
        <v>53.0</v>
      </c>
      <c r="B1055" s="3">
        <v>285.05</v>
      </c>
      <c r="C1055" s="3">
        <v>0.0</v>
      </c>
      <c r="D1055" s="3">
        <v>0.0</v>
      </c>
      <c r="E1055" s="3">
        <v>0.0</v>
      </c>
    </row>
    <row r="1056" ht="12.75" customHeight="1">
      <c r="A1056" s="3">
        <v>53.0</v>
      </c>
      <c r="B1056" s="3">
        <v>286.0</v>
      </c>
      <c r="C1056" s="3">
        <v>198.0</v>
      </c>
      <c r="D1056" s="3">
        <v>5.44E-4</v>
      </c>
      <c r="E1056" s="3">
        <v>1.98E-4</v>
      </c>
    </row>
    <row r="1057" ht="12.75" customHeight="1">
      <c r="A1057" s="3">
        <v>53.0</v>
      </c>
      <c r="B1057" s="3">
        <v>287.0</v>
      </c>
      <c r="C1057" s="3">
        <v>10189.0</v>
      </c>
      <c r="D1057" s="3">
        <v>0.040658</v>
      </c>
      <c r="E1057" s="3">
        <v>0.010189</v>
      </c>
    </row>
    <row r="1058" ht="12.75" customHeight="1">
      <c r="A1058" s="3">
        <v>53.0</v>
      </c>
      <c r="B1058" s="3">
        <v>288.0</v>
      </c>
      <c r="C1058" s="3">
        <v>83302.0</v>
      </c>
      <c r="D1058" s="3">
        <v>0.12686</v>
      </c>
      <c r="E1058" s="3">
        <v>0.083302</v>
      </c>
    </row>
    <row r="1059" ht="12.75" customHeight="1">
      <c r="A1059" s="3">
        <v>53.0</v>
      </c>
      <c r="B1059" s="3">
        <v>289.0</v>
      </c>
      <c r="C1059" s="3">
        <v>268065.0</v>
      </c>
      <c r="D1059" s="3">
        <v>0.258166</v>
      </c>
      <c r="E1059" s="3">
        <v>0.268065</v>
      </c>
    </row>
    <row r="1060" ht="12.75" customHeight="1">
      <c r="A1060" s="3">
        <v>53.0</v>
      </c>
      <c r="B1060" s="3">
        <v>290.0</v>
      </c>
      <c r="C1060" s="3">
        <v>671644.0</v>
      </c>
      <c r="D1060" s="3">
        <v>0.703069</v>
      </c>
      <c r="E1060" s="3">
        <v>0.671644</v>
      </c>
    </row>
    <row r="1061" ht="12.75" customHeight="1">
      <c r="A1061" s="3">
        <v>53.0</v>
      </c>
      <c r="B1061" s="3">
        <v>291.0</v>
      </c>
      <c r="C1061" s="3">
        <v>1722475.0</v>
      </c>
      <c r="D1061" s="3">
        <v>1.350462</v>
      </c>
      <c r="E1061" s="3">
        <v>1.722475</v>
      </c>
    </row>
    <row r="1062" ht="12.75" customHeight="1">
      <c r="A1062" s="3">
        <v>53.0</v>
      </c>
      <c r="B1062" s="3">
        <v>292.0</v>
      </c>
      <c r="C1062" s="3">
        <v>3366020.0</v>
      </c>
      <c r="D1062" s="3">
        <v>1.963018</v>
      </c>
      <c r="E1062" s="3">
        <v>3.36602</v>
      </c>
    </row>
    <row r="1063" ht="12.75" customHeight="1">
      <c r="A1063" s="3">
        <v>53.0</v>
      </c>
      <c r="B1063" s="3">
        <v>293.0</v>
      </c>
      <c r="C1063" s="3">
        <v>5641415.0</v>
      </c>
      <c r="D1063" s="3">
        <v>2.609934</v>
      </c>
      <c r="E1063" s="3">
        <v>5.641415</v>
      </c>
    </row>
    <row r="1064" ht="12.75" customHeight="1">
      <c r="A1064" s="3">
        <v>53.0</v>
      </c>
      <c r="B1064" s="3">
        <v>294.0</v>
      </c>
      <c r="C1064" s="3">
        <v>8623934.0</v>
      </c>
      <c r="D1064" s="3">
        <v>3.399811</v>
      </c>
      <c r="E1064" s="3">
        <v>8.623934</v>
      </c>
    </row>
    <row r="1065" ht="12.75" customHeight="1">
      <c r="A1065" s="3">
        <v>53.0</v>
      </c>
      <c r="B1065" s="3">
        <v>295.0</v>
      </c>
      <c r="C1065" s="3">
        <v>1.2352489E7</v>
      </c>
      <c r="D1065" s="3">
        <v>4.156619</v>
      </c>
      <c r="E1065" s="3">
        <v>12.352489</v>
      </c>
    </row>
    <row r="1066" ht="12.75" customHeight="1">
      <c r="A1066" s="3">
        <v>53.0</v>
      </c>
      <c r="B1066" s="3">
        <v>296.0</v>
      </c>
      <c r="C1066" s="3">
        <v>1.6611596E7</v>
      </c>
      <c r="D1066" s="3">
        <v>5.072931</v>
      </c>
      <c r="E1066" s="3">
        <v>16.611596</v>
      </c>
    </row>
    <row r="1067" ht="12.75" customHeight="1">
      <c r="A1067" s="3">
        <v>53.0</v>
      </c>
      <c r="B1067" s="3">
        <v>297.0</v>
      </c>
      <c r="C1067" s="3">
        <v>2.1598445E7</v>
      </c>
      <c r="D1067" s="3">
        <v>6.21629</v>
      </c>
      <c r="E1067" s="3">
        <v>21.598445</v>
      </c>
    </row>
    <row r="1068" ht="12.75" customHeight="1">
      <c r="A1068" s="3">
        <v>53.0</v>
      </c>
      <c r="B1068" s="3">
        <v>298.0</v>
      </c>
      <c r="C1068" s="3">
        <v>2.7712471E7</v>
      </c>
      <c r="D1068" s="3">
        <v>7.495559</v>
      </c>
      <c r="E1068" s="3">
        <v>27.712471</v>
      </c>
    </row>
    <row r="1069" ht="12.75" customHeight="1">
      <c r="A1069" s="3">
        <v>53.0</v>
      </c>
      <c r="B1069" s="3">
        <v>298.43</v>
      </c>
      <c r="C1069" s="3">
        <v>3.1063319E7</v>
      </c>
      <c r="D1069" s="3">
        <v>8.283316</v>
      </c>
      <c r="E1069" s="3">
        <v>31.063319</v>
      </c>
    </row>
    <row r="1070" ht="12.75" customHeight="1">
      <c r="A1070" s="3">
        <v>53.0</v>
      </c>
      <c r="B1070" s="3">
        <v>299.0</v>
      </c>
      <c r="C1070" s="3">
        <v>3.6118541E7</v>
      </c>
      <c r="D1070" s="3">
        <v>9.454304</v>
      </c>
      <c r="E1070" s="3">
        <v>36.118541</v>
      </c>
    </row>
    <row r="1071" ht="12.75" customHeight="1">
      <c r="A1071" s="3">
        <v>53.0</v>
      </c>
      <c r="B1071" s="3">
        <v>300.0</v>
      </c>
      <c r="C1071" s="3">
        <v>4.6621015E7</v>
      </c>
      <c r="D1071" s="3">
        <v>11.550646</v>
      </c>
      <c r="E1071" s="3">
        <v>46.621015</v>
      </c>
    </row>
    <row r="1072" ht="12.75" customHeight="1">
      <c r="A1072" s="3">
        <v>53.0</v>
      </c>
      <c r="B1072" s="3">
        <v>301.0</v>
      </c>
      <c r="C1072" s="3">
        <v>5.9601829E7</v>
      </c>
      <c r="D1072" s="3">
        <v>14.410982</v>
      </c>
      <c r="E1072" s="3">
        <v>59.601829</v>
      </c>
    </row>
    <row r="1073" ht="12.75" customHeight="1">
      <c r="A1073" s="3">
        <v>54.0</v>
      </c>
      <c r="B1073" s="3">
        <v>309.0</v>
      </c>
      <c r="C1073" s="3">
        <v>0.0</v>
      </c>
      <c r="D1073" s="3">
        <v>0.0</v>
      </c>
      <c r="E1073" s="3">
        <v>0.0</v>
      </c>
    </row>
    <row r="1074" ht="12.75" customHeight="1">
      <c r="A1074" s="3">
        <v>54.0</v>
      </c>
      <c r="B1074" s="3">
        <v>310.0</v>
      </c>
      <c r="C1074" s="3">
        <v>2000.0</v>
      </c>
      <c r="D1074" s="3">
        <v>0.005</v>
      </c>
      <c r="E1074" s="3">
        <v>0.002</v>
      </c>
    </row>
    <row r="1075" ht="12.75" customHeight="1">
      <c r="A1075" s="3">
        <v>54.0</v>
      </c>
      <c r="B1075" s="3">
        <v>311.0</v>
      </c>
      <c r="C1075" s="3">
        <v>10000.0</v>
      </c>
      <c r="D1075" s="3">
        <v>0.012</v>
      </c>
      <c r="E1075" s="3">
        <v>0.01</v>
      </c>
    </row>
    <row r="1076" ht="12.75" customHeight="1">
      <c r="A1076" s="3">
        <v>54.0</v>
      </c>
      <c r="B1076" s="3">
        <v>312.0</v>
      </c>
      <c r="C1076" s="3">
        <v>40000.0</v>
      </c>
      <c r="D1076" s="3">
        <v>0.05</v>
      </c>
      <c r="E1076" s="3">
        <v>0.04</v>
      </c>
    </row>
    <row r="1077" ht="12.75" customHeight="1">
      <c r="A1077" s="3">
        <v>54.0</v>
      </c>
      <c r="B1077" s="3">
        <v>313.0</v>
      </c>
      <c r="C1077" s="3">
        <v>130000.0</v>
      </c>
      <c r="D1077" s="3">
        <v>0.12</v>
      </c>
      <c r="E1077" s="3">
        <v>0.13</v>
      </c>
    </row>
    <row r="1078" ht="12.75" customHeight="1">
      <c r="A1078" s="3">
        <v>54.0</v>
      </c>
      <c r="B1078" s="3">
        <v>314.0</v>
      </c>
      <c r="C1078" s="3">
        <v>310000.0</v>
      </c>
      <c r="D1078" s="3">
        <v>0.24</v>
      </c>
      <c r="E1078" s="3">
        <v>0.31</v>
      </c>
    </row>
    <row r="1079" ht="12.75" customHeight="1">
      <c r="A1079" s="3">
        <v>54.0</v>
      </c>
      <c r="B1079" s="3">
        <v>315.0</v>
      </c>
      <c r="C1079" s="3">
        <v>630000.0</v>
      </c>
      <c r="D1079" s="3">
        <v>0.39</v>
      </c>
      <c r="E1079" s="3">
        <v>0.63</v>
      </c>
    </row>
    <row r="1080" ht="12.75" customHeight="1">
      <c r="A1080" s="3">
        <v>54.0</v>
      </c>
      <c r="B1080" s="3">
        <v>316.0</v>
      </c>
      <c r="C1080" s="3">
        <v>1160000.0</v>
      </c>
      <c r="D1080" s="3">
        <v>0.65</v>
      </c>
      <c r="E1080" s="3">
        <v>1.16</v>
      </c>
    </row>
    <row r="1081" ht="12.75" customHeight="1">
      <c r="A1081" s="3">
        <v>54.0</v>
      </c>
      <c r="B1081" s="3">
        <v>317.0</v>
      </c>
      <c r="C1081" s="3">
        <v>1910000.0</v>
      </c>
      <c r="D1081" s="3">
        <v>0.85</v>
      </c>
      <c r="E1081" s="3">
        <v>1.91</v>
      </c>
    </row>
    <row r="1082" ht="12.75" customHeight="1">
      <c r="A1082" s="3">
        <v>54.0</v>
      </c>
      <c r="B1082" s="3">
        <v>318.0</v>
      </c>
      <c r="C1082" s="3">
        <v>2970000.0</v>
      </c>
      <c r="D1082" s="3">
        <v>1.25</v>
      </c>
      <c r="E1082" s="3">
        <v>2.97</v>
      </c>
    </row>
    <row r="1083" ht="12.75" customHeight="1">
      <c r="A1083" s="3">
        <v>54.0</v>
      </c>
      <c r="B1083" s="3">
        <v>319.0</v>
      </c>
      <c r="C1083" s="3">
        <v>4390000.0</v>
      </c>
      <c r="D1083" s="3">
        <v>1.59</v>
      </c>
      <c r="E1083" s="3">
        <v>4.39</v>
      </c>
    </row>
    <row r="1084" ht="12.75" customHeight="1">
      <c r="A1084" s="3">
        <v>54.0</v>
      </c>
      <c r="B1084" s="3">
        <v>320.0</v>
      </c>
      <c r="C1084" s="3">
        <v>6150000.0</v>
      </c>
      <c r="D1084" s="3">
        <v>1.92</v>
      </c>
      <c r="E1084" s="3">
        <v>6.15</v>
      </c>
    </row>
    <row r="1085" ht="12.75" customHeight="1">
      <c r="A1085" s="3">
        <v>54.0</v>
      </c>
      <c r="B1085" s="3">
        <v>321.0</v>
      </c>
      <c r="C1085" s="3">
        <v>8410000.0</v>
      </c>
      <c r="D1085" s="3">
        <v>2.58</v>
      </c>
      <c r="E1085" s="3">
        <v>8.41</v>
      </c>
    </row>
    <row r="1086" ht="12.75" customHeight="1">
      <c r="A1086" s="3">
        <v>54.0</v>
      </c>
      <c r="B1086" s="3">
        <v>322.0</v>
      </c>
      <c r="C1086" s="3">
        <v>1.122E7</v>
      </c>
      <c r="D1086" s="3">
        <v>3.04</v>
      </c>
      <c r="E1086" s="3">
        <v>11.22</v>
      </c>
    </row>
    <row r="1087" ht="12.75" customHeight="1">
      <c r="A1087" s="3">
        <v>54.0</v>
      </c>
      <c r="B1087" s="3">
        <v>323.0</v>
      </c>
      <c r="C1087" s="3">
        <v>1.436E7</v>
      </c>
      <c r="D1087" s="3">
        <v>3.23</v>
      </c>
      <c r="E1087" s="3">
        <v>14.36</v>
      </c>
    </row>
    <row r="1088" ht="12.75" customHeight="1">
      <c r="A1088" s="3">
        <v>54.0</v>
      </c>
      <c r="B1088" s="3">
        <v>324.0</v>
      </c>
      <c r="C1088" s="3">
        <v>1.782E7</v>
      </c>
      <c r="D1088" s="3">
        <v>3.68</v>
      </c>
      <c r="E1088" s="3">
        <v>17.82</v>
      </c>
    </row>
    <row r="1089" ht="12.75" customHeight="1">
      <c r="A1089" s="3">
        <v>54.0</v>
      </c>
      <c r="B1089" s="3">
        <v>325.0</v>
      </c>
      <c r="C1089" s="3">
        <v>2.182E7</v>
      </c>
      <c r="D1089" s="3">
        <v>4.31</v>
      </c>
      <c r="E1089" s="3">
        <v>21.82</v>
      </c>
    </row>
    <row r="1090" ht="12.75" customHeight="1">
      <c r="A1090" s="3">
        <v>54.0</v>
      </c>
      <c r="B1090" s="3">
        <v>326.0</v>
      </c>
      <c r="C1090" s="3">
        <v>2.647E7</v>
      </c>
      <c r="D1090" s="3">
        <v>4.98</v>
      </c>
      <c r="E1090" s="3">
        <v>26.47</v>
      </c>
    </row>
    <row r="1091" ht="12.75" customHeight="1">
      <c r="A1091" s="3">
        <v>54.0</v>
      </c>
      <c r="B1091" s="3">
        <v>327.0</v>
      </c>
      <c r="C1091" s="3">
        <v>3.155E7</v>
      </c>
      <c r="D1091" s="3">
        <v>5.15</v>
      </c>
      <c r="E1091" s="3">
        <v>31.55</v>
      </c>
    </row>
    <row r="1092" ht="12.75" customHeight="1">
      <c r="A1092" s="3">
        <v>54.0</v>
      </c>
      <c r="B1092" s="3">
        <v>328.0</v>
      </c>
      <c r="C1092" s="3">
        <v>3.727E7</v>
      </c>
      <c r="D1092" s="3">
        <v>6.29</v>
      </c>
      <c r="E1092" s="3">
        <v>37.27</v>
      </c>
    </row>
    <row r="1093" ht="12.75" customHeight="1">
      <c r="A1093" s="3">
        <v>55.0</v>
      </c>
      <c r="B1093" s="3">
        <v>89.0</v>
      </c>
      <c r="C1093" s="3">
        <v>0.0</v>
      </c>
      <c r="D1093" s="3">
        <v>0.0</v>
      </c>
      <c r="E1093" s="3">
        <v>0.0</v>
      </c>
    </row>
    <row r="1094" ht="12.75" customHeight="1">
      <c r="A1094" s="3">
        <v>55.0</v>
      </c>
      <c r="B1094" s="3">
        <v>90.0</v>
      </c>
      <c r="C1094" s="3">
        <v>40000.0</v>
      </c>
      <c r="D1094" s="3">
        <v>0.09</v>
      </c>
      <c r="E1094" s="3">
        <v>0.04</v>
      </c>
    </row>
    <row r="1095" ht="12.75" customHeight="1">
      <c r="A1095" s="3">
        <v>55.0</v>
      </c>
      <c r="B1095" s="3">
        <v>91.0</v>
      </c>
      <c r="C1095" s="3">
        <v>90000.0</v>
      </c>
      <c r="D1095" s="3">
        <v>0.19</v>
      </c>
      <c r="E1095" s="3">
        <v>0.09</v>
      </c>
    </row>
    <row r="1096" ht="12.75" customHeight="1">
      <c r="A1096" s="3">
        <v>55.0</v>
      </c>
      <c r="B1096" s="3">
        <v>92.0</v>
      </c>
      <c r="C1096" s="3">
        <v>450000.0</v>
      </c>
      <c r="D1096" s="3">
        <v>0.3</v>
      </c>
      <c r="E1096" s="3">
        <v>0.45</v>
      </c>
    </row>
    <row r="1097" ht="12.75" customHeight="1">
      <c r="A1097" s="3">
        <v>55.0</v>
      </c>
      <c r="B1097" s="3">
        <v>93.0</v>
      </c>
      <c r="C1097" s="3">
        <v>1000000.0</v>
      </c>
      <c r="D1097" s="3">
        <v>0.6</v>
      </c>
      <c r="E1097" s="3">
        <v>1.0</v>
      </c>
    </row>
    <row r="1098" ht="12.75" customHeight="1">
      <c r="A1098" s="3">
        <v>55.0</v>
      </c>
      <c r="B1098" s="3">
        <v>94.0</v>
      </c>
      <c r="C1098" s="3">
        <v>1540000.0</v>
      </c>
      <c r="D1098" s="3">
        <v>0.9</v>
      </c>
      <c r="E1098" s="3">
        <v>1.54</v>
      </c>
    </row>
    <row r="1099" ht="12.75" customHeight="1">
      <c r="A1099" s="3">
        <v>55.0</v>
      </c>
      <c r="B1099" s="3">
        <v>95.0</v>
      </c>
      <c r="C1099" s="3">
        <v>2480000.0</v>
      </c>
      <c r="D1099" s="3">
        <v>1.23</v>
      </c>
      <c r="E1099" s="3">
        <v>2.48</v>
      </c>
    </row>
    <row r="1100" ht="12.75" customHeight="1">
      <c r="A1100" s="3">
        <v>55.0</v>
      </c>
      <c r="B1100" s="3">
        <v>96.0</v>
      </c>
      <c r="C1100" s="3">
        <v>4080000.0</v>
      </c>
      <c r="D1100" s="3">
        <v>1.5</v>
      </c>
      <c r="E1100" s="3">
        <v>4.08</v>
      </c>
    </row>
    <row r="1101" ht="12.75" customHeight="1">
      <c r="A1101" s="3">
        <v>55.0</v>
      </c>
      <c r="B1101" s="3">
        <v>97.0</v>
      </c>
      <c r="C1101" s="3">
        <v>6120000.0</v>
      </c>
      <c r="D1101" s="3">
        <v>1.98</v>
      </c>
      <c r="E1101" s="3">
        <v>6.12</v>
      </c>
    </row>
    <row r="1102" ht="12.75" customHeight="1">
      <c r="A1102" s="3">
        <v>55.0</v>
      </c>
      <c r="B1102" s="3">
        <v>98.0</v>
      </c>
      <c r="C1102" s="3">
        <v>8200000.0</v>
      </c>
      <c r="D1102" s="3">
        <v>2.4</v>
      </c>
      <c r="E1102" s="3">
        <v>8.2</v>
      </c>
    </row>
    <row r="1103" ht="12.75" customHeight="1">
      <c r="A1103" s="3">
        <v>55.0</v>
      </c>
      <c r="B1103" s="3">
        <v>99.0</v>
      </c>
      <c r="C1103" s="3">
        <v>9000000.0</v>
      </c>
      <c r="D1103" s="3">
        <v>3.0</v>
      </c>
      <c r="E1103" s="3">
        <v>9.0</v>
      </c>
    </row>
    <row r="1104" ht="12.75" customHeight="1">
      <c r="A1104" s="3">
        <v>56.0</v>
      </c>
      <c r="B1104" s="3">
        <v>95.0</v>
      </c>
      <c r="C1104" s="3">
        <v>0.0</v>
      </c>
      <c r="D1104" s="3">
        <v>0.0</v>
      </c>
      <c r="E1104" s="3">
        <v>0.0</v>
      </c>
    </row>
    <row r="1105" ht="12.75" customHeight="1">
      <c r="A1105" s="3">
        <v>56.0</v>
      </c>
      <c r="B1105" s="3">
        <v>96.0</v>
      </c>
      <c r="C1105" s="3">
        <v>4000.0</v>
      </c>
      <c r="D1105" s="3">
        <v>0.008</v>
      </c>
      <c r="E1105" s="3">
        <v>0.004</v>
      </c>
    </row>
    <row r="1106" ht="12.75" customHeight="1">
      <c r="A1106" s="3">
        <v>56.0</v>
      </c>
      <c r="B1106" s="3">
        <v>97.0</v>
      </c>
      <c r="C1106" s="3">
        <v>30000.0</v>
      </c>
      <c r="D1106" s="3">
        <v>0.05</v>
      </c>
      <c r="E1106" s="3">
        <v>0.03</v>
      </c>
    </row>
    <row r="1107" ht="12.75" customHeight="1">
      <c r="A1107" s="3">
        <v>56.0</v>
      </c>
      <c r="B1107" s="3">
        <v>98.0</v>
      </c>
      <c r="C1107" s="3">
        <v>130000.0</v>
      </c>
      <c r="D1107" s="3">
        <v>0.13</v>
      </c>
      <c r="E1107" s="3">
        <v>0.13</v>
      </c>
    </row>
    <row r="1108" ht="12.75" customHeight="1">
      <c r="A1108" s="3">
        <v>56.0</v>
      </c>
      <c r="B1108" s="3">
        <v>99.0</v>
      </c>
      <c r="C1108" s="3">
        <v>300000.0</v>
      </c>
      <c r="D1108" s="3">
        <v>0.22</v>
      </c>
      <c r="E1108" s="3">
        <v>0.3</v>
      </c>
    </row>
    <row r="1109" ht="12.75" customHeight="1">
      <c r="A1109" s="3">
        <v>56.0</v>
      </c>
      <c r="B1109" s="3">
        <v>100.0</v>
      </c>
      <c r="C1109" s="3">
        <v>600000.0</v>
      </c>
      <c r="D1109" s="3">
        <v>0.36</v>
      </c>
      <c r="E1109" s="3">
        <v>0.6</v>
      </c>
    </row>
    <row r="1110" ht="12.75" customHeight="1">
      <c r="A1110" s="3">
        <v>56.0</v>
      </c>
      <c r="B1110" s="3">
        <v>101.0</v>
      </c>
      <c r="C1110" s="3">
        <v>1120000.0</v>
      </c>
      <c r="D1110" s="3">
        <v>0.68</v>
      </c>
      <c r="E1110" s="3">
        <v>1.12</v>
      </c>
    </row>
    <row r="1111" ht="12.75" customHeight="1">
      <c r="A1111" s="3">
        <v>56.0</v>
      </c>
      <c r="B1111" s="3">
        <v>102.0</v>
      </c>
      <c r="C1111" s="3">
        <v>1920000.0</v>
      </c>
      <c r="D1111" s="3">
        <v>0.9</v>
      </c>
      <c r="E1111" s="3">
        <v>1.92</v>
      </c>
    </row>
    <row r="1112" ht="12.75" customHeight="1">
      <c r="A1112" s="3">
        <v>56.0</v>
      </c>
      <c r="B1112" s="3">
        <v>103.0</v>
      </c>
      <c r="C1112" s="3">
        <v>2910000.0</v>
      </c>
      <c r="D1112" s="3">
        <v>1.08</v>
      </c>
      <c r="E1112" s="3">
        <v>2.91</v>
      </c>
    </row>
    <row r="1113" ht="12.75" customHeight="1">
      <c r="A1113" s="3">
        <v>56.0</v>
      </c>
      <c r="B1113" s="3">
        <v>104.0</v>
      </c>
      <c r="C1113" s="3">
        <v>4130000.0</v>
      </c>
      <c r="D1113" s="3">
        <v>1.34</v>
      </c>
      <c r="E1113" s="3">
        <v>4.13</v>
      </c>
    </row>
    <row r="1114" ht="12.75" customHeight="1">
      <c r="A1114" s="3">
        <v>56.0</v>
      </c>
      <c r="B1114" s="3">
        <v>105.0</v>
      </c>
      <c r="C1114" s="3">
        <v>5650000.0</v>
      </c>
      <c r="D1114" s="3">
        <v>1.7</v>
      </c>
      <c r="E1114" s="3">
        <v>5.65</v>
      </c>
    </row>
    <row r="1115" ht="12.75" customHeight="1">
      <c r="A1115" s="3">
        <v>56.0</v>
      </c>
      <c r="B1115" s="3">
        <v>106.0</v>
      </c>
      <c r="C1115" s="3">
        <v>7550000.0</v>
      </c>
      <c r="D1115" s="3">
        <v>2.09</v>
      </c>
      <c r="E1115" s="3">
        <v>7.55</v>
      </c>
    </row>
    <row r="1116" ht="12.75" customHeight="1">
      <c r="A1116" s="3">
        <v>56.0</v>
      </c>
      <c r="B1116" s="3">
        <v>107.0</v>
      </c>
      <c r="C1116" s="3">
        <v>9700000.0</v>
      </c>
      <c r="D1116" s="3">
        <v>2.53</v>
      </c>
      <c r="E1116" s="3">
        <v>9.7</v>
      </c>
    </row>
    <row r="1117" ht="12.75" customHeight="1">
      <c r="A1117" s="3">
        <v>56.0</v>
      </c>
      <c r="B1117" s="3">
        <v>108.0</v>
      </c>
      <c r="C1117" s="3">
        <v>1.0E7</v>
      </c>
      <c r="D1117" s="3">
        <v>3.0</v>
      </c>
      <c r="E1117" s="3">
        <v>10.0</v>
      </c>
    </row>
    <row r="1118" ht="12.75" customHeight="1">
      <c r="A1118" s="3">
        <v>57.0</v>
      </c>
      <c r="B1118" s="3">
        <v>86.3</v>
      </c>
      <c r="C1118" s="3">
        <v>0.0</v>
      </c>
      <c r="D1118" s="3">
        <v>0.0</v>
      </c>
      <c r="E1118" s="3">
        <v>0.0</v>
      </c>
    </row>
    <row r="1119" ht="12.75" customHeight="1">
      <c r="A1119" s="3">
        <v>57.0</v>
      </c>
      <c r="B1119" s="3">
        <v>87.0</v>
      </c>
      <c r="C1119" s="3">
        <v>4000.0</v>
      </c>
      <c r="D1119" s="3">
        <v>0.01</v>
      </c>
      <c r="E1119" s="3">
        <v>0.004</v>
      </c>
    </row>
    <row r="1120" ht="12.75" customHeight="1">
      <c r="A1120" s="3">
        <v>57.0</v>
      </c>
      <c r="B1120" s="3">
        <v>88.0</v>
      </c>
      <c r="C1120" s="3">
        <v>30000.0</v>
      </c>
      <c r="D1120" s="3">
        <v>0.04</v>
      </c>
      <c r="E1120" s="3">
        <v>0.03</v>
      </c>
    </row>
    <row r="1121" ht="12.75" customHeight="1">
      <c r="A1121" s="3">
        <v>57.0</v>
      </c>
      <c r="B1121" s="3">
        <v>89.0</v>
      </c>
      <c r="C1121" s="3">
        <v>130000.0</v>
      </c>
      <c r="D1121" s="3">
        <v>0.15</v>
      </c>
      <c r="E1121" s="3">
        <v>0.13</v>
      </c>
    </row>
    <row r="1122" ht="12.75" customHeight="1">
      <c r="A1122" s="3">
        <v>57.0</v>
      </c>
      <c r="B1122" s="3">
        <v>90.0</v>
      </c>
      <c r="C1122" s="3">
        <v>340000.0</v>
      </c>
      <c r="D1122" s="3">
        <v>0.27</v>
      </c>
      <c r="E1122" s="3">
        <v>0.34</v>
      </c>
    </row>
    <row r="1123" ht="12.75" customHeight="1">
      <c r="A1123" s="3">
        <v>57.0</v>
      </c>
      <c r="B1123" s="3">
        <v>91.0</v>
      </c>
      <c r="C1123" s="3">
        <v>700000.0</v>
      </c>
      <c r="D1123" s="3">
        <v>0.44</v>
      </c>
      <c r="E1123" s="3">
        <v>0.7</v>
      </c>
    </row>
    <row r="1124" ht="12.75" customHeight="1">
      <c r="A1124" s="3">
        <v>57.0</v>
      </c>
      <c r="B1124" s="3">
        <v>92.0</v>
      </c>
      <c r="C1124" s="3">
        <v>1250000.0</v>
      </c>
      <c r="D1124" s="3">
        <v>0.65</v>
      </c>
      <c r="E1124" s="3">
        <v>1.25</v>
      </c>
    </row>
    <row r="1125" ht="12.75" customHeight="1">
      <c r="A1125" s="3">
        <v>57.0</v>
      </c>
      <c r="B1125" s="3">
        <v>93.0</v>
      </c>
      <c r="C1125" s="3">
        <v>2040000.0</v>
      </c>
      <c r="D1125" s="3">
        <v>0.93</v>
      </c>
      <c r="E1125" s="3">
        <v>2.04</v>
      </c>
    </row>
    <row r="1126" ht="12.75" customHeight="1">
      <c r="A1126" s="3">
        <v>57.0</v>
      </c>
      <c r="B1126" s="3">
        <v>94.0</v>
      </c>
      <c r="C1126" s="3">
        <v>3130000.0</v>
      </c>
      <c r="D1126" s="3">
        <v>1.23</v>
      </c>
      <c r="E1126" s="3">
        <v>3.13</v>
      </c>
    </row>
    <row r="1127" ht="12.75" customHeight="1">
      <c r="A1127" s="3">
        <v>57.0</v>
      </c>
      <c r="B1127" s="3">
        <v>95.0</v>
      </c>
      <c r="C1127" s="3">
        <v>4560000.0</v>
      </c>
      <c r="D1127" s="3">
        <v>1.63</v>
      </c>
      <c r="E1127" s="3">
        <v>4.56</v>
      </c>
    </row>
    <row r="1128" ht="12.75" customHeight="1">
      <c r="A1128" s="3">
        <v>57.0</v>
      </c>
      <c r="B1128" s="3">
        <v>96.0</v>
      </c>
      <c r="C1128" s="3">
        <v>6400000.0</v>
      </c>
      <c r="D1128" s="3">
        <v>2.04</v>
      </c>
      <c r="E1128" s="3">
        <v>6.4</v>
      </c>
    </row>
    <row r="1129" ht="12.75" customHeight="1">
      <c r="A1129" s="3">
        <v>57.0</v>
      </c>
      <c r="B1129" s="3">
        <v>97.0</v>
      </c>
      <c r="C1129" s="3">
        <v>8680000.0</v>
      </c>
      <c r="D1129" s="3">
        <v>2.53</v>
      </c>
      <c r="E1129" s="3">
        <v>8.68</v>
      </c>
    </row>
    <row r="1130" ht="12.75" customHeight="1">
      <c r="A1130" s="3">
        <v>57.0</v>
      </c>
      <c r="B1130" s="3">
        <v>98.0</v>
      </c>
      <c r="C1130" s="3">
        <v>1.147E7</v>
      </c>
      <c r="D1130" s="3">
        <v>3.03</v>
      </c>
      <c r="E1130" s="3">
        <v>11.47</v>
      </c>
    </row>
    <row r="1131" ht="12.75" customHeight="1">
      <c r="A1131" s="3">
        <v>57.0</v>
      </c>
      <c r="B1131" s="3">
        <v>99.0</v>
      </c>
      <c r="C1131" s="3">
        <v>1.477E7</v>
      </c>
      <c r="D1131" s="3">
        <v>3.55</v>
      </c>
      <c r="E1131" s="3">
        <v>14.77</v>
      </c>
    </row>
    <row r="1132" ht="12.75" customHeight="1">
      <c r="A1132" s="3">
        <v>57.0</v>
      </c>
      <c r="B1132" s="3">
        <v>100.0</v>
      </c>
      <c r="C1132" s="3">
        <v>1.853E7</v>
      </c>
      <c r="D1132" s="3">
        <v>3.98</v>
      </c>
      <c r="E1132" s="3">
        <v>18.53</v>
      </c>
    </row>
    <row r="1133" ht="12.75" customHeight="1">
      <c r="A1133" s="3">
        <v>58.0</v>
      </c>
      <c r="B1133" s="3">
        <v>98.0</v>
      </c>
      <c r="C1133" s="3">
        <v>0.0</v>
      </c>
      <c r="D1133" s="3">
        <v>0.0</v>
      </c>
      <c r="E1133" s="3">
        <v>0.0</v>
      </c>
    </row>
    <row r="1134" ht="12.75" customHeight="1">
      <c r="A1134" s="3">
        <v>58.0</v>
      </c>
      <c r="B1134" s="3">
        <v>99.0</v>
      </c>
      <c r="C1134" s="3">
        <v>100000.0</v>
      </c>
      <c r="D1134" s="3">
        <v>0.19</v>
      </c>
      <c r="E1134" s="3">
        <v>0.1</v>
      </c>
    </row>
    <row r="1135" ht="12.75" customHeight="1">
      <c r="A1135" s="3">
        <v>58.0</v>
      </c>
      <c r="B1135" s="3">
        <v>100.0</v>
      </c>
      <c r="C1135" s="3">
        <v>390000.0</v>
      </c>
      <c r="D1135" s="3">
        <v>0.63</v>
      </c>
      <c r="E1135" s="3">
        <v>0.39</v>
      </c>
    </row>
    <row r="1136" ht="12.75" customHeight="1">
      <c r="A1136" s="3">
        <v>58.0</v>
      </c>
      <c r="B1136" s="3">
        <v>101.0</v>
      </c>
      <c r="C1136" s="3">
        <v>1200000.0</v>
      </c>
      <c r="D1136" s="3">
        <v>1.07</v>
      </c>
      <c r="E1136" s="3">
        <v>1.2</v>
      </c>
    </row>
    <row r="1137" ht="12.75" customHeight="1">
      <c r="A1137" s="3">
        <v>58.0</v>
      </c>
      <c r="B1137" s="3">
        <v>102.0</v>
      </c>
      <c r="C1137" s="3">
        <v>2550000.0</v>
      </c>
      <c r="D1137" s="3">
        <v>1.87</v>
      </c>
      <c r="E1137" s="3">
        <v>2.55</v>
      </c>
    </row>
    <row r="1138" ht="12.75" customHeight="1">
      <c r="A1138" s="3">
        <v>58.0</v>
      </c>
      <c r="B1138" s="3">
        <v>103.0</v>
      </c>
      <c r="C1138" s="3">
        <v>4700000.0</v>
      </c>
      <c r="D1138" s="3">
        <v>2.66</v>
      </c>
      <c r="E1138" s="3">
        <v>4.7</v>
      </c>
    </row>
    <row r="1139" ht="12.75" customHeight="1">
      <c r="A1139" s="3">
        <v>58.0</v>
      </c>
      <c r="B1139" s="3">
        <v>104.0</v>
      </c>
      <c r="C1139" s="3">
        <v>7880000.0</v>
      </c>
      <c r="D1139" s="3">
        <v>3.68</v>
      </c>
      <c r="E1139" s="3">
        <v>7.88</v>
      </c>
    </row>
    <row r="1140" ht="12.75" customHeight="1">
      <c r="A1140" s="3">
        <v>58.0</v>
      </c>
      <c r="B1140" s="3">
        <v>105.0</v>
      </c>
      <c r="C1140" s="3">
        <v>1.208E7</v>
      </c>
      <c r="D1140" s="3">
        <v>4.69</v>
      </c>
      <c r="E1140" s="3">
        <v>12.08</v>
      </c>
    </row>
    <row r="1141" ht="12.75" customHeight="1">
      <c r="A1141" s="3">
        <v>58.0</v>
      </c>
      <c r="B1141" s="3">
        <v>106.0</v>
      </c>
      <c r="C1141" s="3">
        <v>1.727E7</v>
      </c>
      <c r="D1141" s="3">
        <v>5.85</v>
      </c>
      <c r="E1141" s="3">
        <v>17.27</v>
      </c>
    </row>
    <row r="1142" ht="12.75" customHeight="1">
      <c r="A1142" s="3">
        <v>58.0</v>
      </c>
      <c r="B1142" s="3">
        <v>107.0</v>
      </c>
      <c r="C1142" s="3">
        <v>2.38E7</v>
      </c>
      <c r="D1142" s="3">
        <v>7.01</v>
      </c>
      <c r="E1142" s="3">
        <v>23.8</v>
      </c>
    </row>
    <row r="1143" ht="12.75" customHeight="1">
      <c r="A1143" s="3">
        <v>58.0</v>
      </c>
      <c r="B1143" s="3">
        <v>108.0</v>
      </c>
      <c r="C1143" s="3">
        <v>3.13E7</v>
      </c>
      <c r="D1143" s="3">
        <v>8.89</v>
      </c>
      <c r="E1143" s="3">
        <v>31.3</v>
      </c>
    </row>
    <row r="1144" ht="12.75" customHeight="1">
      <c r="A1144" s="3">
        <v>58.0</v>
      </c>
      <c r="B1144" s="3">
        <v>109.0</v>
      </c>
      <c r="C1144" s="3">
        <v>4.143E7</v>
      </c>
      <c r="D1144" s="3">
        <v>10.77</v>
      </c>
      <c r="E1144" s="3">
        <v>41.43</v>
      </c>
    </row>
    <row r="1145" ht="12.75" customHeight="1">
      <c r="A1145" s="3">
        <v>58.0</v>
      </c>
      <c r="B1145" s="3">
        <v>110.0</v>
      </c>
      <c r="C1145" s="3">
        <v>5.285E7</v>
      </c>
      <c r="D1145" s="3">
        <v>12.59</v>
      </c>
      <c r="E1145" s="3">
        <v>52.85</v>
      </c>
    </row>
    <row r="1146" ht="12.75" customHeight="1">
      <c r="A1146" s="3">
        <v>58.0</v>
      </c>
      <c r="B1146" s="3">
        <v>111.0</v>
      </c>
      <c r="C1146" s="3">
        <v>6.621E7</v>
      </c>
      <c r="D1146" s="3">
        <v>14.41</v>
      </c>
      <c r="E1146" s="3">
        <v>66.21</v>
      </c>
    </row>
    <row r="1147" ht="12.75" customHeight="1">
      <c r="A1147" s="3">
        <v>59.0</v>
      </c>
      <c r="B1147" s="3">
        <v>86.0</v>
      </c>
      <c r="C1147" s="3">
        <v>0.0</v>
      </c>
      <c r="D1147" s="3">
        <v>0.0</v>
      </c>
      <c r="E1147" s="3">
        <v>0.0</v>
      </c>
    </row>
    <row r="1148" ht="12.75" customHeight="1">
      <c r="A1148" s="3">
        <v>59.0</v>
      </c>
      <c r="B1148" s="3">
        <v>86.63</v>
      </c>
      <c r="C1148" s="3">
        <v>390549.0</v>
      </c>
      <c r="D1148" s="3">
        <v>0.1818</v>
      </c>
      <c r="E1148" s="3">
        <v>0.390549</v>
      </c>
    </row>
    <row r="1149" ht="12.75" customHeight="1">
      <c r="A1149" s="3">
        <v>59.0</v>
      </c>
      <c r="B1149" s="3">
        <v>87.0</v>
      </c>
      <c r="C1149" s="3">
        <v>550549.0</v>
      </c>
      <c r="D1149" s="3">
        <v>2.3218</v>
      </c>
      <c r="E1149" s="3">
        <v>0.550549</v>
      </c>
    </row>
    <row r="1150" ht="12.75" customHeight="1">
      <c r="A1150" s="3">
        <v>59.0</v>
      </c>
      <c r="B1150" s="3">
        <v>88.0</v>
      </c>
      <c r="C1150" s="3">
        <v>780549.0</v>
      </c>
      <c r="D1150" s="3">
        <v>2.5018</v>
      </c>
      <c r="E1150" s="3">
        <v>0.780549</v>
      </c>
    </row>
    <row r="1151" ht="12.75" customHeight="1">
      <c r="A1151" s="3">
        <v>59.0</v>
      </c>
      <c r="B1151" s="3">
        <v>89.0</v>
      </c>
      <c r="C1151" s="3">
        <v>1190549.0</v>
      </c>
      <c r="D1151" s="3">
        <v>2.6818</v>
      </c>
      <c r="E1151" s="3">
        <v>1.190549</v>
      </c>
    </row>
    <row r="1152" ht="12.75" customHeight="1">
      <c r="A1152" s="3">
        <v>59.0</v>
      </c>
      <c r="B1152" s="3">
        <v>90.0</v>
      </c>
      <c r="C1152" s="3">
        <v>1760549.0</v>
      </c>
      <c r="D1152" s="3">
        <v>2.8218</v>
      </c>
      <c r="E1152" s="3">
        <v>1.760549</v>
      </c>
    </row>
    <row r="1153" ht="12.75" customHeight="1">
      <c r="A1153" s="3">
        <v>59.0</v>
      </c>
      <c r="B1153" s="3">
        <v>91.0</v>
      </c>
      <c r="C1153" s="3">
        <v>2470549.0</v>
      </c>
      <c r="D1153" s="3">
        <v>2.9618</v>
      </c>
      <c r="E1153" s="3">
        <v>2.470549</v>
      </c>
    </row>
    <row r="1154" ht="12.75" customHeight="1">
      <c r="A1154" s="3">
        <v>59.0</v>
      </c>
      <c r="B1154" s="3">
        <v>92.0</v>
      </c>
      <c r="C1154" s="3">
        <v>3330549.0</v>
      </c>
      <c r="D1154" s="3">
        <v>3.1218</v>
      </c>
      <c r="E1154" s="3">
        <v>3.330549</v>
      </c>
    </row>
    <row r="1155" ht="12.75" customHeight="1">
      <c r="A1155" s="3">
        <v>59.0</v>
      </c>
      <c r="B1155" s="3">
        <v>93.0</v>
      </c>
      <c r="C1155" s="3">
        <v>4350549.0</v>
      </c>
      <c r="D1155" s="3">
        <v>3.2818</v>
      </c>
      <c r="E1155" s="3">
        <v>4.350549</v>
      </c>
    </row>
    <row r="1156" ht="12.75" customHeight="1">
      <c r="A1156" s="3">
        <v>59.0</v>
      </c>
      <c r="B1156" s="3">
        <v>94.0</v>
      </c>
      <c r="C1156" s="3">
        <v>5560549.0</v>
      </c>
      <c r="D1156" s="3">
        <v>3.4818</v>
      </c>
      <c r="E1156" s="3">
        <v>5.560549</v>
      </c>
    </row>
    <row r="1157" ht="12.75" customHeight="1">
      <c r="A1157" s="3">
        <v>59.0</v>
      </c>
      <c r="B1157" s="3">
        <v>95.0</v>
      </c>
      <c r="C1157" s="3">
        <v>6980549.0</v>
      </c>
      <c r="D1157" s="3">
        <v>3.7018</v>
      </c>
      <c r="E1157" s="3">
        <v>6.980549</v>
      </c>
    </row>
    <row r="1158" ht="12.75" customHeight="1">
      <c r="A1158" s="3">
        <v>59.0</v>
      </c>
      <c r="B1158" s="3">
        <v>96.0</v>
      </c>
      <c r="C1158" s="3">
        <v>8620549.0</v>
      </c>
      <c r="D1158" s="3">
        <v>3.9318</v>
      </c>
      <c r="E1158" s="3">
        <v>8.620549</v>
      </c>
    </row>
    <row r="1159" ht="12.75" customHeight="1">
      <c r="A1159" s="3">
        <v>59.0</v>
      </c>
      <c r="B1159" s="3">
        <v>97.0</v>
      </c>
      <c r="C1159" s="3">
        <v>1.0500549E7</v>
      </c>
      <c r="D1159" s="3">
        <v>4.1818</v>
      </c>
      <c r="E1159" s="3">
        <v>10.500549</v>
      </c>
    </row>
    <row r="1160" ht="12.75" customHeight="1">
      <c r="A1160" s="3">
        <v>59.0</v>
      </c>
      <c r="B1160" s="3">
        <v>98.0</v>
      </c>
      <c r="C1160" s="3">
        <v>1.223E7</v>
      </c>
      <c r="D1160" s="3">
        <v>4.5688</v>
      </c>
      <c r="E1160" s="3">
        <v>12.23</v>
      </c>
    </row>
    <row r="1161" ht="12.75" customHeight="1">
      <c r="A1161" s="3">
        <v>59.0</v>
      </c>
      <c r="B1161" s="3">
        <v>99.0</v>
      </c>
      <c r="C1161" s="3">
        <v>1.4390549E7</v>
      </c>
      <c r="D1161" s="3">
        <v>4.7018</v>
      </c>
      <c r="E1161" s="3">
        <v>14.390549</v>
      </c>
    </row>
    <row r="1162" ht="12.75" customHeight="1">
      <c r="A1162" s="3">
        <v>59.0</v>
      </c>
      <c r="B1162" s="3">
        <v>100.0</v>
      </c>
      <c r="C1162" s="3">
        <v>1.6640549E7</v>
      </c>
      <c r="D1162" s="3">
        <v>4.9918</v>
      </c>
      <c r="E1162" s="3">
        <v>16.640549</v>
      </c>
    </row>
    <row r="1163" ht="12.75" customHeight="1">
      <c r="A1163" s="3">
        <v>60.0</v>
      </c>
      <c r="B1163" s="3">
        <v>85.0</v>
      </c>
      <c r="C1163" s="3">
        <v>0.0</v>
      </c>
      <c r="D1163" s="3">
        <v>0.0</v>
      </c>
      <c r="E1163" s="3">
        <v>0.0</v>
      </c>
    </row>
    <row r="1164" ht="12.75" customHeight="1">
      <c r="A1164" s="3">
        <v>60.0</v>
      </c>
      <c r="B1164" s="3">
        <v>88.0</v>
      </c>
      <c r="C1164" s="3">
        <v>200000.0</v>
      </c>
      <c r="D1164" s="3">
        <v>0.18</v>
      </c>
      <c r="E1164" s="3">
        <v>0.2</v>
      </c>
    </row>
    <row r="1165" ht="12.75" customHeight="1">
      <c r="A1165" s="3">
        <v>60.0</v>
      </c>
      <c r="B1165" s="3">
        <v>89.0</v>
      </c>
      <c r="C1165" s="3">
        <v>500000.0</v>
      </c>
      <c r="D1165" s="3">
        <v>0.3</v>
      </c>
      <c r="E1165" s="3">
        <v>0.5</v>
      </c>
    </row>
    <row r="1166" ht="12.75" customHeight="1">
      <c r="A1166" s="3">
        <v>60.0</v>
      </c>
      <c r="B1166" s="3">
        <v>90.0</v>
      </c>
      <c r="C1166" s="3">
        <v>1000000.0</v>
      </c>
      <c r="D1166" s="3">
        <v>0.44</v>
      </c>
      <c r="E1166" s="3">
        <v>1.0</v>
      </c>
    </row>
    <row r="1167" ht="12.75" customHeight="1">
      <c r="A1167" s="3">
        <v>60.0</v>
      </c>
      <c r="B1167" s="3">
        <v>91.0</v>
      </c>
      <c r="C1167" s="3">
        <v>1600000.0</v>
      </c>
      <c r="D1167" s="3">
        <v>0.62</v>
      </c>
      <c r="E1167" s="3">
        <v>1.6</v>
      </c>
    </row>
    <row r="1168" ht="12.75" customHeight="1">
      <c r="A1168" s="3">
        <v>60.0</v>
      </c>
      <c r="B1168" s="3">
        <v>92.0</v>
      </c>
      <c r="C1168" s="3">
        <v>2300000.0</v>
      </c>
      <c r="D1168" s="3">
        <v>0.84</v>
      </c>
      <c r="E1168" s="3">
        <v>2.3</v>
      </c>
    </row>
    <row r="1169" ht="12.75" customHeight="1">
      <c r="A1169" s="3">
        <v>60.0</v>
      </c>
      <c r="B1169" s="3">
        <v>93.0</v>
      </c>
      <c r="C1169" s="3">
        <v>3200000.0</v>
      </c>
      <c r="D1169" s="3">
        <v>1.1</v>
      </c>
      <c r="E1169" s="3">
        <v>3.2</v>
      </c>
    </row>
    <row r="1170" ht="12.75" customHeight="1">
      <c r="A1170" s="3">
        <v>60.0</v>
      </c>
      <c r="B1170" s="3">
        <v>94.0</v>
      </c>
      <c r="C1170" s="3">
        <v>4200000.0</v>
      </c>
      <c r="D1170" s="3">
        <v>1.42</v>
      </c>
      <c r="E1170" s="3">
        <v>4.2</v>
      </c>
    </row>
    <row r="1171" ht="12.75" customHeight="1">
      <c r="A1171" s="3">
        <v>60.0</v>
      </c>
      <c r="B1171" s="3">
        <v>95.0</v>
      </c>
      <c r="C1171" s="3">
        <v>5800000.0</v>
      </c>
      <c r="D1171" s="3">
        <v>1.78</v>
      </c>
      <c r="E1171" s="3">
        <v>5.8</v>
      </c>
    </row>
    <row r="1172" ht="12.75" customHeight="1">
      <c r="A1172" s="3">
        <v>60.0</v>
      </c>
      <c r="B1172" s="3">
        <v>96.0</v>
      </c>
      <c r="C1172" s="3">
        <v>8000000.0</v>
      </c>
      <c r="D1172" s="3">
        <v>2.2</v>
      </c>
      <c r="E1172" s="3">
        <v>8.0</v>
      </c>
    </row>
    <row r="1173" ht="12.75" customHeight="1">
      <c r="A1173" s="3">
        <v>60.0</v>
      </c>
      <c r="B1173" s="3">
        <v>97.0</v>
      </c>
      <c r="C1173" s="3">
        <v>1.05E7</v>
      </c>
      <c r="D1173" s="3">
        <v>2.62</v>
      </c>
      <c r="E1173" s="3">
        <v>10.5</v>
      </c>
    </row>
    <row r="1174" ht="12.75" customHeight="1">
      <c r="A1174" s="3">
        <v>60.0</v>
      </c>
      <c r="B1174" s="3">
        <v>98.0</v>
      </c>
      <c r="C1174" s="3">
        <v>1.32E7</v>
      </c>
      <c r="D1174" s="3">
        <v>3.2</v>
      </c>
      <c r="E1174" s="3">
        <v>13.2</v>
      </c>
    </row>
    <row r="1175" ht="12.75" customHeight="1">
      <c r="A1175" s="3">
        <v>60.0</v>
      </c>
      <c r="B1175" s="3">
        <v>99.0</v>
      </c>
      <c r="C1175" s="3">
        <v>1.7E7</v>
      </c>
      <c r="D1175" s="3">
        <v>3.8</v>
      </c>
      <c r="E1175" s="3">
        <v>17.0</v>
      </c>
    </row>
    <row r="1176" ht="12.75" customHeight="1">
      <c r="A1176" s="3">
        <v>60.0</v>
      </c>
      <c r="B1176" s="3">
        <v>100.0</v>
      </c>
      <c r="C1176" s="3">
        <v>2.0E7</v>
      </c>
      <c r="D1176" s="3">
        <v>4.2</v>
      </c>
      <c r="E1176" s="3">
        <v>20.0</v>
      </c>
    </row>
    <row r="1177" ht="12.75" customHeight="1">
      <c r="A1177" s="3">
        <v>61.0</v>
      </c>
      <c r="B1177" s="3">
        <v>132.38</v>
      </c>
      <c r="C1177" s="3">
        <v>0.0</v>
      </c>
      <c r="D1177" s="3">
        <v>0.0</v>
      </c>
      <c r="E1177" s="3">
        <v>0.0</v>
      </c>
    </row>
    <row r="1178" ht="12.75" customHeight="1">
      <c r="A1178" s="3">
        <v>61.0</v>
      </c>
      <c r="B1178" s="3">
        <v>137.38</v>
      </c>
      <c r="C1178" s="3">
        <v>50000.0</v>
      </c>
      <c r="D1178" s="3">
        <v>0.02</v>
      </c>
      <c r="E1178" s="3">
        <v>0.05</v>
      </c>
    </row>
    <row r="1179" ht="12.75" customHeight="1">
      <c r="A1179" s="3">
        <v>61.0</v>
      </c>
      <c r="B1179" s="3">
        <v>142.38</v>
      </c>
      <c r="C1179" s="3">
        <v>840000.0</v>
      </c>
      <c r="D1179" s="3">
        <v>0.29</v>
      </c>
      <c r="E1179" s="3">
        <v>0.84</v>
      </c>
    </row>
    <row r="1180" ht="12.75" customHeight="1">
      <c r="A1180" s="3">
        <v>61.0</v>
      </c>
      <c r="B1180" s="3">
        <v>147.38</v>
      </c>
      <c r="C1180" s="3">
        <v>3100000.0</v>
      </c>
      <c r="D1180" s="3">
        <v>0.61</v>
      </c>
      <c r="E1180" s="3">
        <v>3.1</v>
      </c>
    </row>
    <row r="1181" ht="12.75" customHeight="1">
      <c r="A1181" s="3">
        <v>61.0</v>
      </c>
      <c r="B1181" s="3">
        <v>152.38</v>
      </c>
      <c r="C1181" s="3">
        <v>6700000.0</v>
      </c>
      <c r="D1181" s="3">
        <v>0.82</v>
      </c>
      <c r="E1181" s="3">
        <v>6.7</v>
      </c>
    </row>
    <row r="1182" ht="12.75" customHeight="1">
      <c r="A1182" s="3">
        <v>61.0</v>
      </c>
      <c r="B1182" s="3">
        <v>157.38</v>
      </c>
      <c r="C1182" s="3">
        <v>1.122E7</v>
      </c>
      <c r="D1182" s="3">
        <v>0.97</v>
      </c>
      <c r="E1182" s="3">
        <v>11.22</v>
      </c>
    </row>
    <row r="1183" ht="12.75" customHeight="1">
      <c r="A1183" s="3">
        <v>61.0</v>
      </c>
      <c r="B1183" s="3">
        <v>162.38</v>
      </c>
      <c r="C1183" s="3">
        <v>1.651E7</v>
      </c>
      <c r="D1183" s="3">
        <v>1.14</v>
      </c>
      <c r="E1183" s="3">
        <v>16.51</v>
      </c>
    </row>
    <row r="1184" ht="12.75" customHeight="1">
      <c r="A1184" s="3">
        <v>61.0</v>
      </c>
      <c r="B1184" s="3">
        <v>166.38</v>
      </c>
      <c r="C1184" s="3">
        <v>2.13E7</v>
      </c>
      <c r="D1184" s="3">
        <v>1.23</v>
      </c>
      <c r="E1184" s="3">
        <v>21.3</v>
      </c>
    </row>
    <row r="1185" ht="12.75" customHeight="1">
      <c r="A1185" s="3">
        <v>61.0</v>
      </c>
      <c r="B1185" s="3">
        <v>167.38</v>
      </c>
      <c r="C1185" s="3">
        <v>2.25E7</v>
      </c>
      <c r="D1185" s="3">
        <v>1.25</v>
      </c>
      <c r="E1185" s="3">
        <v>22.5</v>
      </c>
    </row>
    <row r="1186" ht="12.75" customHeight="1">
      <c r="A1186" s="3">
        <v>61.0</v>
      </c>
      <c r="B1186" s="3">
        <v>172.38</v>
      </c>
      <c r="C1186" s="3">
        <v>2.917E7</v>
      </c>
      <c r="D1186" s="3">
        <v>1.41</v>
      </c>
      <c r="E1186" s="3">
        <v>29.17</v>
      </c>
    </row>
    <row r="1187" ht="12.75" customHeight="1">
      <c r="A1187" s="3">
        <v>61.0</v>
      </c>
      <c r="B1187" s="3">
        <v>177.38</v>
      </c>
      <c r="C1187" s="3">
        <v>3.649E7</v>
      </c>
      <c r="D1187" s="3">
        <v>1.51</v>
      </c>
      <c r="E1187" s="3">
        <v>36.49</v>
      </c>
    </row>
    <row r="1188" ht="12.75" customHeight="1">
      <c r="A1188" s="3">
        <v>61.0</v>
      </c>
      <c r="B1188" s="3">
        <v>182.38</v>
      </c>
      <c r="C1188" s="3">
        <v>4.445E7</v>
      </c>
      <c r="D1188" s="3">
        <v>1.66</v>
      </c>
      <c r="E1188" s="3">
        <v>44.45</v>
      </c>
    </row>
    <row r="1189" ht="12.75" customHeight="1">
      <c r="A1189" s="3">
        <v>62.0</v>
      </c>
      <c r="B1189" s="3">
        <v>77.0</v>
      </c>
      <c r="C1189" s="3">
        <v>0.0</v>
      </c>
      <c r="D1189" s="3">
        <v>0.0</v>
      </c>
      <c r="E1189" s="3">
        <v>0.0</v>
      </c>
    </row>
    <row r="1190" ht="12.75" customHeight="1">
      <c r="A1190" s="3">
        <v>62.0</v>
      </c>
      <c r="B1190" s="3">
        <v>78.0</v>
      </c>
      <c r="C1190" s="3">
        <v>3000.0</v>
      </c>
      <c r="D1190" s="3">
        <v>0.006</v>
      </c>
      <c r="E1190" s="3">
        <v>0.003</v>
      </c>
    </row>
    <row r="1191" ht="12.75" customHeight="1">
      <c r="A1191" s="3">
        <v>62.0</v>
      </c>
      <c r="B1191" s="3">
        <v>79.0</v>
      </c>
      <c r="C1191" s="3">
        <v>20000.0</v>
      </c>
      <c r="D1191" s="3">
        <v>0.03</v>
      </c>
      <c r="E1191" s="3">
        <v>0.02</v>
      </c>
    </row>
    <row r="1192" ht="12.75" customHeight="1">
      <c r="A1192" s="3">
        <v>62.0</v>
      </c>
      <c r="B1192" s="3">
        <v>80.0</v>
      </c>
      <c r="C1192" s="3">
        <v>90000.0</v>
      </c>
      <c r="D1192" s="3">
        <v>0.1</v>
      </c>
      <c r="E1192" s="3">
        <v>0.09</v>
      </c>
    </row>
    <row r="1193" ht="12.75" customHeight="1">
      <c r="A1193" s="3">
        <v>62.0</v>
      </c>
      <c r="B1193" s="3">
        <v>81.0</v>
      </c>
      <c r="C1193" s="3">
        <v>250000.0</v>
      </c>
      <c r="D1193" s="3">
        <v>0.2</v>
      </c>
      <c r="E1193" s="3">
        <v>0.25</v>
      </c>
    </row>
    <row r="1194" ht="12.75" customHeight="1">
      <c r="A1194" s="3">
        <v>62.0</v>
      </c>
      <c r="B1194" s="3">
        <v>82.0</v>
      </c>
      <c r="C1194" s="3">
        <v>510000.0</v>
      </c>
      <c r="D1194" s="3">
        <v>0.31</v>
      </c>
      <c r="E1194" s="3">
        <v>0.51</v>
      </c>
    </row>
    <row r="1195" ht="12.75" customHeight="1">
      <c r="A1195" s="3">
        <v>62.0</v>
      </c>
      <c r="B1195" s="3">
        <v>83.0</v>
      </c>
      <c r="C1195" s="3">
        <v>890000.0</v>
      </c>
      <c r="D1195" s="3">
        <v>0.45</v>
      </c>
      <c r="E1195" s="3">
        <v>0.89</v>
      </c>
    </row>
    <row r="1196" ht="12.75" customHeight="1">
      <c r="A1196" s="3">
        <v>62.0</v>
      </c>
      <c r="B1196" s="3">
        <v>84.0</v>
      </c>
      <c r="C1196" s="3">
        <v>1410000.0</v>
      </c>
      <c r="D1196" s="3">
        <v>0.59</v>
      </c>
      <c r="E1196" s="3">
        <v>1.41</v>
      </c>
    </row>
    <row r="1197" ht="12.75" customHeight="1">
      <c r="A1197" s="3">
        <v>62.0</v>
      </c>
      <c r="B1197" s="3">
        <v>85.0</v>
      </c>
      <c r="C1197" s="3">
        <v>2090000.0</v>
      </c>
      <c r="D1197" s="3">
        <v>0.74</v>
      </c>
      <c r="E1197" s="3">
        <v>2.09</v>
      </c>
    </row>
    <row r="1198" ht="12.75" customHeight="1">
      <c r="A1198" s="3">
        <v>62.0</v>
      </c>
      <c r="B1198" s="3">
        <v>86.0</v>
      </c>
      <c r="C1198" s="3">
        <v>2930000.0</v>
      </c>
      <c r="D1198" s="3">
        <v>0.94</v>
      </c>
      <c r="E1198" s="3">
        <v>2.93</v>
      </c>
    </row>
    <row r="1199" ht="12.75" customHeight="1">
      <c r="A1199" s="3">
        <v>62.0</v>
      </c>
      <c r="B1199" s="3">
        <v>87.0</v>
      </c>
      <c r="C1199" s="3">
        <v>3970000.0</v>
      </c>
      <c r="D1199" s="3">
        <v>1.13</v>
      </c>
      <c r="E1199" s="3">
        <v>3.97</v>
      </c>
    </row>
    <row r="1200" ht="12.75" customHeight="1">
      <c r="A1200" s="3">
        <v>62.0</v>
      </c>
      <c r="B1200" s="3">
        <v>88.0</v>
      </c>
      <c r="C1200" s="3">
        <v>5200000.0</v>
      </c>
      <c r="D1200" s="3">
        <v>1.33</v>
      </c>
      <c r="E1200" s="3">
        <v>5.2</v>
      </c>
    </row>
    <row r="1201" ht="12.75" customHeight="1">
      <c r="A1201" s="3">
        <v>62.0</v>
      </c>
      <c r="B1201" s="3">
        <v>89.0</v>
      </c>
      <c r="C1201" s="3">
        <v>6630000.0</v>
      </c>
      <c r="D1201" s="3">
        <v>1.53</v>
      </c>
      <c r="E1201" s="3">
        <v>6.63</v>
      </c>
    </row>
    <row r="1202" ht="12.75" customHeight="1">
      <c r="A1202" s="3">
        <v>62.0</v>
      </c>
      <c r="B1202" s="3">
        <v>90.0</v>
      </c>
      <c r="C1202" s="3">
        <v>8270000.0</v>
      </c>
      <c r="D1202" s="3">
        <v>1.74</v>
      </c>
      <c r="E1202" s="3">
        <v>8.27</v>
      </c>
    </row>
    <row r="1203" ht="12.75" customHeight="1">
      <c r="A1203" s="3">
        <v>63.0</v>
      </c>
      <c r="B1203" s="3">
        <v>163.51</v>
      </c>
      <c r="C1203" s="3">
        <v>0.0</v>
      </c>
      <c r="D1203" s="3">
        <v>0.0</v>
      </c>
      <c r="E1203" s="3">
        <v>0.0</v>
      </c>
    </row>
    <row r="1204" ht="12.75" customHeight="1">
      <c r="A1204" s="3">
        <v>63.0</v>
      </c>
      <c r="B1204" s="3">
        <v>164.0</v>
      </c>
      <c r="C1204" s="3">
        <v>100.0</v>
      </c>
      <c r="D1204" s="3">
        <v>7.0E-4</v>
      </c>
      <c r="E1204" s="3">
        <v>1.0E-4</v>
      </c>
    </row>
    <row r="1205" ht="12.75" customHeight="1">
      <c r="A1205" s="3">
        <v>63.0</v>
      </c>
      <c r="B1205" s="3">
        <v>165.0</v>
      </c>
      <c r="C1205" s="3">
        <v>5442.0</v>
      </c>
      <c r="D1205" s="3">
        <v>0.0128</v>
      </c>
      <c r="E1205" s="3">
        <v>0.005442</v>
      </c>
    </row>
    <row r="1206" ht="12.75" customHeight="1">
      <c r="A1206" s="3">
        <v>63.0</v>
      </c>
      <c r="B1206" s="3">
        <v>166.0</v>
      </c>
      <c r="C1206" s="3">
        <v>78981.0</v>
      </c>
      <c r="D1206" s="3">
        <v>0.1998</v>
      </c>
      <c r="E1206" s="3">
        <v>0.078981</v>
      </c>
    </row>
    <row r="1207" ht="12.75" customHeight="1">
      <c r="A1207" s="3">
        <v>63.0</v>
      </c>
      <c r="B1207" s="3">
        <v>167.0</v>
      </c>
      <c r="C1207" s="3">
        <v>566876.0</v>
      </c>
      <c r="D1207" s="3">
        <v>0.8175</v>
      </c>
      <c r="E1207" s="3">
        <v>0.566876</v>
      </c>
    </row>
    <row r="1208" ht="12.75" customHeight="1">
      <c r="A1208" s="3">
        <v>63.0</v>
      </c>
      <c r="B1208" s="3">
        <v>168.0</v>
      </c>
      <c r="C1208" s="3">
        <v>1828617.0</v>
      </c>
      <c r="D1208" s="3">
        <v>1.7938</v>
      </c>
      <c r="E1208" s="3">
        <v>1.828617</v>
      </c>
    </row>
    <row r="1209" ht="12.75" customHeight="1">
      <c r="A1209" s="3">
        <v>63.0</v>
      </c>
      <c r="B1209" s="3">
        <v>169.0</v>
      </c>
      <c r="C1209" s="3">
        <v>4251368.0</v>
      </c>
      <c r="D1209" s="3">
        <v>2.969</v>
      </c>
      <c r="E1209" s="3">
        <v>4.251368</v>
      </c>
    </row>
    <row r="1210" ht="12.75" customHeight="1">
      <c r="A1210" s="3">
        <v>63.0</v>
      </c>
      <c r="B1210" s="3">
        <v>170.0</v>
      </c>
      <c r="C1210" s="3">
        <v>7525256.0</v>
      </c>
      <c r="D1210" s="3">
        <v>3.4217</v>
      </c>
      <c r="E1210" s="3">
        <v>7.525256</v>
      </c>
    </row>
    <row r="1211" ht="12.75" customHeight="1">
      <c r="A1211" s="3">
        <v>63.0</v>
      </c>
      <c r="B1211" s="3">
        <v>170.62</v>
      </c>
      <c r="C1211" s="3">
        <v>9667419.0</v>
      </c>
      <c r="D1211" s="3">
        <v>3.485</v>
      </c>
      <c r="E1211" s="3">
        <v>9.667419</v>
      </c>
    </row>
    <row r="1212" ht="12.75" customHeight="1">
      <c r="A1212" s="3">
        <v>63.0</v>
      </c>
      <c r="B1212" s="3">
        <v>171.0</v>
      </c>
      <c r="C1212" s="3">
        <v>1.1742246E7</v>
      </c>
      <c r="D1212" s="3">
        <v>3.9714</v>
      </c>
      <c r="E1212" s="3">
        <v>11.742246</v>
      </c>
    </row>
    <row r="1213" ht="12.75" customHeight="1">
      <c r="A1213" s="3">
        <v>63.0</v>
      </c>
      <c r="B1213" s="3">
        <v>172.0</v>
      </c>
      <c r="C1213" s="3">
        <v>1.8702246E7</v>
      </c>
      <c r="D1213" s="3">
        <v>5.7114</v>
      </c>
      <c r="E1213" s="3">
        <v>18.702246</v>
      </c>
    </row>
    <row r="1214" ht="12.75" customHeight="1">
      <c r="A1214" s="3">
        <v>63.0</v>
      </c>
      <c r="B1214" s="3">
        <v>173.0</v>
      </c>
      <c r="C1214" s="3">
        <v>2.7592246E7</v>
      </c>
      <c r="D1214" s="3">
        <v>7.8314</v>
      </c>
      <c r="E1214" s="3">
        <v>27.592246</v>
      </c>
    </row>
    <row r="1215" ht="12.75" customHeight="1">
      <c r="A1215" s="3">
        <v>63.0</v>
      </c>
      <c r="B1215" s="3">
        <v>174.0</v>
      </c>
      <c r="C1215" s="3">
        <v>3.8602246E7</v>
      </c>
      <c r="D1215" s="3">
        <v>9.9314</v>
      </c>
      <c r="E1215" s="3">
        <v>38.602246</v>
      </c>
    </row>
    <row r="1216" ht="12.75" customHeight="1">
      <c r="A1216" s="3">
        <v>63.0</v>
      </c>
      <c r="B1216" s="3">
        <v>175.0</v>
      </c>
      <c r="C1216" s="3">
        <v>5.2042246E7</v>
      </c>
      <c r="D1216" s="3">
        <v>12.7514</v>
      </c>
      <c r="E1216" s="3">
        <v>52.042246</v>
      </c>
    </row>
    <row r="1217" ht="12.75" customHeight="1">
      <c r="A1217" s="3">
        <v>63.0</v>
      </c>
      <c r="B1217" s="3">
        <v>175.48</v>
      </c>
      <c r="C1217" s="3">
        <v>5.9837378E7</v>
      </c>
      <c r="D1217" s="3">
        <v>14.009</v>
      </c>
      <c r="E1217" s="3">
        <v>59.837378</v>
      </c>
    </row>
    <row r="1218" ht="12.75" customHeight="1">
      <c r="A1218" s="3">
        <v>63.0</v>
      </c>
      <c r="B1218" s="3">
        <v>175.5</v>
      </c>
      <c r="C1218" s="3">
        <v>6.638E7</v>
      </c>
      <c r="D1218" s="3">
        <v>14.8016</v>
      </c>
      <c r="E1218" s="3">
        <v>66.38</v>
      </c>
    </row>
    <row r="1219" ht="12.75" customHeight="1">
      <c r="A1219" s="3">
        <v>63.0</v>
      </c>
      <c r="B1219" s="3">
        <v>176.0</v>
      </c>
      <c r="C1219" s="3">
        <v>6.8252246E7</v>
      </c>
      <c r="D1219" s="3">
        <v>15.3741</v>
      </c>
      <c r="E1219" s="3">
        <v>68.252246</v>
      </c>
    </row>
    <row r="1220" ht="12.75" customHeight="1">
      <c r="A1220" s="3">
        <v>63.0</v>
      </c>
      <c r="B1220" s="3">
        <v>177.0</v>
      </c>
      <c r="C1220" s="3">
        <v>8.7422246E7</v>
      </c>
      <c r="D1220" s="3">
        <v>18.7114</v>
      </c>
      <c r="E1220" s="3">
        <v>87.422246</v>
      </c>
    </row>
    <row r="1221" ht="12.75" customHeight="1">
      <c r="A1221" s="3">
        <v>63.0</v>
      </c>
      <c r="B1221" s="3">
        <v>178.0</v>
      </c>
      <c r="C1221" s="3">
        <v>1.10102246E8</v>
      </c>
      <c r="D1221" s="3">
        <v>22.4014</v>
      </c>
      <c r="E1221" s="3">
        <v>110.102246</v>
      </c>
    </row>
    <row r="1222" ht="12.75" customHeight="1">
      <c r="A1222" s="3">
        <v>63.0</v>
      </c>
      <c r="B1222" s="3">
        <v>179.0</v>
      </c>
      <c r="C1222" s="3">
        <v>1.36402246E8</v>
      </c>
      <c r="D1222" s="3">
        <v>25.9514</v>
      </c>
      <c r="E1222" s="3">
        <v>136.402246</v>
      </c>
    </row>
    <row r="1223" ht="12.75" customHeight="1">
      <c r="A1223" s="3">
        <v>63.0</v>
      </c>
      <c r="B1223" s="3">
        <v>180.0</v>
      </c>
      <c r="C1223" s="3">
        <v>1.66272246E8</v>
      </c>
      <c r="D1223" s="3">
        <v>29.5314</v>
      </c>
      <c r="E1223" s="3">
        <v>166.272246</v>
      </c>
    </row>
    <row r="1224" ht="12.75" customHeight="1">
      <c r="A1224" s="3">
        <v>64.0</v>
      </c>
      <c r="B1224" s="3">
        <v>95.0</v>
      </c>
      <c r="C1224" s="3">
        <v>0.0</v>
      </c>
      <c r="D1224" s="3">
        <v>0.0</v>
      </c>
      <c r="E1224" s="3">
        <v>0.0</v>
      </c>
    </row>
    <row r="1225" ht="12.75" customHeight="1">
      <c r="A1225" s="3">
        <v>64.0</v>
      </c>
      <c r="B1225" s="3">
        <v>96.0</v>
      </c>
      <c r="C1225" s="3">
        <v>150000.0</v>
      </c>
      <c r="D1225" s="3">
        <v>0.08</v>
      </c>
      <c r="E1225" s="3">
        <v>0.15</v>
      </c>
    </row>
    <row r="1226" ht="12.75" customHeight="1">
      <c r="A1226" s="3">
        <v>64.0</v>
      </c>
      <c r="B1226" s="3">
        <v>97.0</v>
      </c>
      <c r="C1226" s="3">
        <v>250000.0</v>
      </c>
      <c r="D1226" s="3">
        <v>0.11</v>
      </c>
      <c r="E1226" s="3">
        <v>0.25</v>
      </c>
    </row>
    <row r="1227" ht="12.75" customHeight="1">
      <c r="A1227" s="3">
        <v>64.0</v>
      </c>
      <c r="B1227" s="3">
        <v>98.0</v>
      </c>
      <c r="C1227" s="3">
        <v>450000.0</v>
      </c>
      <c r="D1227" s="3">
        <v>0.28</v>
      </c>
      <c r="E1227" s="3">
        <v>0.45</v>
      </c>
    </row>
    <row r="1228" ht="12.75" customHeight="1">
      <c r="A1228" s="3">
        <v>64.0</v>
      </c>
      <c r="B1228" s="3">
        <v>99.0</v>
      </c>
      <c r="C1228" s="3">
        <v>800000.0</v>
      </c>
      <c r="D1228" s="3">
        <v>0.41</v>
      </c>
      <c r="E1228" s="3">
        <v>0.8</v>
      </c>
    </row>
    <row r="1229" ht="12.75" customHeight="1">
      <c r="A1229" s="3">
        <v>64.0</v>
      </c>
      <c r="B1229" s="3">
        <v>100.0</v>
      </c>
      <c r="C1229" s="3">
        <v>1300000.0</v>
      </c>
      <c r="D1229" s="3">
        <v>0.58</v>
      </c>
      <c r="E1229" s="3">
        <v>1.3</v>
      </c>
    </row>
    <row r="1230" ht="12.75" customHeight="1">
      <c r="A1230" s="3">
        <v>64.0</v>
      </c>
      <c r="B1230" s="3">
        <v>101.0</v>
      </c>
      <c r="C1230" s="3">
        <v>2000000.0</v>
      </c>
      <c r="D1230" s="3">
        <v>0.81</v>
      </c>
      <c r="E1230" s="3">
        <v>2.0</v>
      </c>
    </row>
    <row r="1231" ht="12.75" customHeight="1">
      <c r="A1231" s="3">
        <v>64.0</v>
      </c>
      <c r="B1231" s="3">
        <v>102.0</v>
      </c>
      <c r="C1231" s="3">
        <v>2850000.0</v>
      </c>
      <c r="D1231" s="3">
        <v>0.88</v>
      </c>
      <c r="E1231" s="3">
        <v>2.85</v>
      </c>
    </row>
    <row r="1232" ht="12.75" customHeight="1">
      <c r="A1232" s="3">
        <v>64.0</v>
      </c>
      <c r="B1232" s="3">
        <v>103.0</v>
      </c>
      <c r="C1232" s="3">
        <v>3850000.0</v>
      </c>
      <c r="D1232" s="3">
        <v>1.11</v>
      </c>
      <c r="E1232" s="3">
        <v>3.85</v>
      </c>
    </row>
    <row r="1233" ht="12.75" customHeight="1">
      <c r="A1233" s="3">
        <v>64.0</v>
      </c>
      <c r="B1233" s="3">
        <v>104.0</v>
      </c>
      <c r="C1233" s="3">
        <v>5150000.0</v>
      </c>
      <c r="D1233" s="3">
        <v>1.48</v>
      </c>
      <c r="E1233" s="3">
        <v>5.15</v>
      </c>
    </row>
    <row r="1234" ht="12.75" customHeight="1">
      <c r="A1234" s="3">
        <v>64.0</v>
      </c>
      <c r="B1234" s="3">
        <v>104.5</v>
      </c>
      <c r="C1234" s="3">
        <v>6000000.0</v>
      </c>
      <c r="D1234" s="3">
        <v>1.54</v>
      </c>
      <c r="E1234" s="3">
        <v>6.0</v>
      </c>
    </row>
    <row r="1235" ht="12.75" customHeight="1">
      <c r="A1235" s="3">
        <v>64.0</v>
      </c>
      <c r="B1235" s="3">
        <v>105.0</v>
      </c>
      <c r="C1235" s="3">
        <v>6700000.0</v>
      </c>
      <c r="D1235" s="3">
        <v>1.61</v>
      </c>
      <c r="E1235" s="3">
        <v>6.7</v>
      </c>
    </row>
    <row r="1236" ht="12.75" customHeight="1">
      <c r="A1236" s="3">
        <v>64.0</v>
      </c>
      <c r="B1236" s="3">
        <v>106.0</v>
      </c>
      <c r="C1236" s="3">
        <v>8500000.0</v>
      </c>
      <c r="D1236" s="3">
        <v>1.98</v>
      </c>
      <c r="E1236" s="3">
        <v>8.5</v>
      </c>
    </row>
    <row r="1237" ht="12.75" customHeight="1">
      <c r="A1237" s="3">
        <v>64.0</v>
      </c>
      <c r="B1237" s="3">
        <v>107.0</v>
      </c>
      <c r="C1237" s="3">
        <v>1.06E7</v>
      </c>
      <c r="D1237" s="3">
        <v>2.22</v>
      </c>
      <c r="E1237" s="3">
        <v>10.6</v>
      </c>
    </row>
    <row r="1238" ht="12.75" customHeight="1">
      <c r="A1238" s="3">
        <v>65.0</v>
      </c>
      <c r="B1238" s="3">
        <v>82.97</v>
      </c>
      <c r="C1238" s="3">
        <v>0.0</v>
      </c>
      <c r="D1238" s="3">
        <v>0.0</v>
      </c>
      <c r="E1238" s="3">
        <v>0.0</v>
      </c>
    </row>
    <row r="1239" ht="12.75" customHeight="1">
      <c r="A1239" s="3">
        <v>65.0</v>
      </c>
      <c r="B1239" s="3">
        <v>83.0</v>
      </c>
      <c r="C1239" s="3">
        <v>232000.0</v>
      </c>
      <c r="D1239" s="3">
        <v>0.158</v>
      </c>
      <c r="E1239" s="3">
        <v>0.232</v>
      </c>
    </row>
    <row r="1240" ht="12.75" customHeight="1">
      <c r="A1240" s="3">
        <v>65.0</v>
      </c>
      <c r="B1240" s="3">
        <v>84.0</v>
      </c>
      <c r="C1240" s="3">
        <v>398000.0</v>
      </c>
      <c r="D1240" s="3">
        <v>0.173</v>
      </c>
      <c r="E1240" s="3">
        <v>0.398</v>
      </c>
    </row>
    <row r="1241" ht="12.75" customHeight="1">
      <c r="A1241" s="3">
        <v>65.0</v>
      </c>
      <c r="B1241" s="3">
        <v>85.0</v>
      </c>
      <c r="C1241" s="3">
        <v>597000.0</v>
      </c>
      <c r="D1241" s="3">
        <v>0.224</v>
      </c>
      <c r="E1241" s="3">
        <v>0.597</v>
      </c>
    </row>
    <row r="1242" ht="12.75" customHeight="1">
      <c r="A1242" s="3">
        <v>65.0</v>
      </c>
      <c r="B1242" s="3">
        <v>86.0</v>
      </c>
      <c r="C1242" s="3">
        <v>948000.0</v>
      </c>
      <c r="D1242" s="3">
        <v>0.478</v>
      </c>
      <c r="E1242" s="3">
        <v>0.948</v>
      </c>
    </row>
    <row r="1243" ht="12.75" customHeight="1">
      <c r="A1243" s="3">
        <v>65.0</v>
      </c>
      <c r="B1243" s="3">
        <v>87.0</v>
      </c>
      <c r="C1243" s="3">
        <v>1593000.0</v>
      </c>
      <c r="D1243" s="3">
        <v>0.81</v>
      </c>
      <c r="E1243" s="3">
        <v>1.593</v>
      </c>
    </row>
    <row r="1244" ht="12.75" customHeight="1">
      <c r="A1244" s="3">
        <v>65.0</v>
      </c>
      <c r="B1244" s="3">
        <v>88.0</v>
      </c>
      <c r="C1244" s="3">
        <v>2523000.0</v>
      </c>
      <c r="D1244" s="3">
        <v>1.05</v>
      </c>
      <c r="E1244" s="3">
        <v>2.523</v>
      </c>
    </row>
    <row r="1245" ht="12.75" customHeight="1">
      <c r="A1245" s="3">
        <v>65.0</v>
      </c>
      <c r="B1245" s="3">
        <v>89.0</v>
      </c>
      <c r="C1245" s="3">
        <v>3895000.0</v>
      </c>
      <c r="D1245" s="3">
        <v>1.693</v>
      </c>
      <c r="E1245" s="3">
        <v>3.895</v>
      </c>
    </row>
    <row r="1246" ht="12.75" customHeight="1">
      <c r="A1246" s="3">
        <v>65.0</v>
      </c>
      <c r="B1246" s="3">
        <v>90.0</v>
      </c>
      <c r="C1246" s="3">
        <v>5809000.0</v>
      </c>
      <c r="D1246" s="3">
        <v>2.134</v>
      </c>
      <c r="E1246" s="3">
        <v>5.809</v>
      </c>
    </row>
    <row r="1247" ht="12.75" customHeight="1">
      <c r="A1247" s="3">
        <v>65.0</v>
      </c>
      <c r="B1247" s="3">
        <v>91.0</v>
      </c>
      <c r="C1247" s="3">
        <v>8139000.0</v>
      </c>
      <c r="D1247" s="3">
        <v>2.526</v>
      </c>
      <c r="E1247" s="3">
        <v>8.139</v>
      </c>
    </row>
    <row r="1248" ht="12.75" customHeight="1">
      <c r="A1248" s="3">
        <v>65.0</v>
      </c>
      <c r="B1248" s="3">
        <v>92.0</v>
      </c>
      <c r="C1248" s="3">
        <v>1.0797E7</v>
      </c>
      <c r="D1248" s="3">
        <v>2.789</v>
      </c>
      <c r="E1248" s="3">
        <v>10.797</v>
      </c>
    </row>
    <row r="1249" ht="12.75" customHeight="1">
      <c r="A1249" s="3">
        <v>65.0</v>
      </c>
      <c r="B1249" s="3">
        <v>93.0</v>
      </c>
      <c r="C1249" s="3">
        <v>1.3655E7</v>
      </c>
      <c r="D1249" s="3">
        <v>2.926</v>
      </c>
      <c r="E1249" s="3">
        <v>13.655</v>
      </c>
    </row>
    <row r="1250" ht="12.75" customHeight="1">
      <c r="A1250" s="3">
        <v>65.0</v>
      </c>
      <c r="B1250" s="3">
        <v>94.0</v>
      </c>
      <c r="C1250" s="3">
        <v>1.668E7</v>
      </c>
      <c r="D1250" s="3">
        <v>3.122</v>
      </c>
      <c r="E1250" s="3">
        <v>16.68</v>
      </c>
    </row>
    <row r="1251" ht="12.75" customHeight="1">
      <c r="A1251" s="3">
        <v>65.0</v>
      </c>
      <c r="B1251" s="3">
        <v>95.0</v>
      </c>
      <c r="C1251" s="3">
        <v>2.062E7</v>
      </c>
      <c r="D1251" s="3">
        <v>4.756</v>
      </c>
      <c r="E1251" s="3">
        <v>20.62</v>
      </c>
    </row>
    <row r="1252" ht="12.75" customHeight="1">
      <c r="A1252" s="3">
        <v>65.0</v>
      </c>
      <c r="B1252" s="3">
        <v>96.0</v>
      </c>
      <c r="C1252" s="3">
        <v>2.6234E7</v>
      </c>
      <c r="D1252" s="3">
        <v>6.471</v>
      </c>
      <c r="E1252" s="3">
        <v>26.234</v>
      </c>
    </row>
    <row r="1253" ht="12.75" customHeight="1">
      <c r="A1253" s="3">
        <v>65.0</v>
      </c>
      <c r="B1253" s="3">
        <v>97.0</v>
      </c>
      <c r="C1253" s="3">
        <v>3.0E7</v>
      </c>
      <c r="D1253" s="3">
        <v>10.0</v>
      </c>
      <c r="E1253" s="3">
        <v>30.0</v>
      </c>
    </row>
    <row r="1254" ht="12.75" customHeight="1">
      <c r="A1254" s="3">
        <v>66.0</v>
      </c>
      <c r="B1254" s="3">
        <v>89.23</v>
      </c>
      <c r="C1254" s="3">
        <v>0.0</v>
      </c>
      <c r="D1254" s="3">
        <v>0.0</v>
      </c>
      <c r="E1254" s="3">
        <v>0.0</v>
      </c>
    </row>
    <row r="1255" ht="12.75" customHeight="1">
      <c r="A1255" s="3">
        <v>66.0</v>
      </c>
      <c r="B1255" s="3">
        <v>90.0</v>
      </c>
      <c r="C1255" s="3">
        <v>1.0</v>
      </c>
      <c r="D1255" s="3">
        <v>0.0</v>
      </c>
      <c r="E1255" s="3">
        <v>1.0E-6</v>
      </c>
    </row>
    <row r="1256" ht="12.75" customHeight="1">
      <c r="A1256" s="3">
        <v>66.0</v>
      </c>
      <c r="B1256" s="3">
        <v>91.0</v>
      </c>
      <c r="C1256" s="3">
        <v>10.0</v>
      </c>
      <c r="D1256" s="3">
        <v>0.0</v>
      </c>
      <c r="E1256" s="3">
        <v>1.0E-5</v>
      </c>
    </row>
    <row r="1257" ht="12.75" customHeight="1">
      <c r="A1257" s="3">
        <v>66.0</v>
      </c>
      <c r="B1257" s="3">
        <v>92.0</v>
      </c>
      <c r="C1257" s="3">
        <v>100.0</v>
      </c>
      <c r="D1257" s="3">
        <v>2.0E-4</v>
      </c>
      <c r="E1257" s="3">
        <v>1.0E-4</v>
      </c>
    </row>
    <row r="1258" ht="12.75" customHeight="1">
      <c r="A1258" s="3">
        <v>66.0</v>
      </c>
      <c r="B1258" s="3">
        <v>93.0</v>
      </c>
      <c r="C1258" s="3">
        <v>700.0</v>
      </c>
      <c r="D1258" s="3">
        <v>0.001</v>
      </c>
      <c r="E1258" s="3">
        <v>7.0E-4</v>
      </c>
    </row>
    <row r="1259" ht="12.75" customHeight="1">
      <c r="A1259" s="3">
        <v>66.0</v>
      </c>
      <c r="B1259" s="3">
        <v>94.0</v>
      </c>
      <c r="C1259" s="3">
        <v>11000.0</v>
      </c>
      <c r="D1259" s="3">
        <v>0.027</v>
      </c>
      <c r="E1259" s="3">
        <v>0.011</v>
      </c>
    </row>
    <row r="1260" ht="12.75" customHeight="1">
      <c r="A1260" s="3">
        <v>66.0</v>
      </c>
      <c r="B1260" s="3">
        <v>95.0</v>
      </c>
      <c r="C1260" s="3">
        <v>107000.0</v>
      </c>
      <c r="D1260" s="3">
        <v>0.194</v>
      </c>
      <c r="E1260" s="3">
        <v>0.107</v>
      </c>
    </row>
    <row r="1261" ht="12.75" customHeight="1">
      <c r="A1261" s="3">
        <v>66.0</v>
      </c>
      <c r="B1261" s="3">
        <v>96.0</v>
      </c>
      <c r="C1261" s="3">
        <v>478000.0</v>
      </c>
      <c r="D1261" s="3">
        <v>0.555</v>
      </c>
      <c r="E1261" s="3">
        <v>0.478</v>
      </c>
    </row>
    <row r="1262" ht="12.75" customHeight="1">
      <c r="A1262" s="3">
        <v>66.0</v>
      </c>
      <c r="B1262" s="3">
        <v>97.0</v>
      </c>
      <c r="C1262" s="3">
        <v>1180000.0</v>
      </c>
      <c r="D1262" s="3">
        <v>0.783</v>
      </c>
      <c r="E1262" s="3">
        <v>1.18</v>
      </c>
    </row>
    <row r="1263" ht="12.75" customHeight="1">
      <c r="A1263" s="3">
        <v>66.0</v>
      </c>
      <c r="B1263" s="3">
        <v>97.5</v>
      </c>
      <c r="C1263" s="3">
        <v>1578000.0</v>
      </c>
      <c r="D1263" s="3">
        <v>0.809</v>
      </c>
      <c r="E1263" s="3">
        <v>1.578</v>
      </c>
    </row>
    <row r="1264" ht="12.75" customHeight="1">
      <c r="A1264" s="3">
        <v>66.0</v>
      </c>
      <c r="B1264" s="3">
        <v>98.0</v>
      </c>
      <c r="C1264" s="3">
        <v>2448000.0</v>
      </c>
      <c r="D1264" s="3">
        <v>0.949</v>
      </c>
      <c r="E1264" s="3">
        <v>2.448</v>
      </c>
    </row>
    <row r="1265" ht="12.75" customHeight="1">
      <c r="A1265" s="3">
        <v>66.0</v>
      </c>
      <c r="B1265" s="3">
        <v>99.0</v>
      </c>
      <c r="C1265" s="3">
        <v>4400000.0</v>
      </c>
      <c r="D1265" s="3">
        <v>1.169</v>
      </c>
      <c r="E1265" s="3">
        <v>4.4</v>
      </c>
    </row>
    <row r="1266" ht="12.75" customHeight="1">
      <c r="A1266" s="3">
        <v>66.0</v>
      </c>
      <c r="B1266" s="3">
        <v>100.0</v>
      </c>
      <c r="C1266" s="3">
        <v>6600000.0</v>
      </c>
      <c r="D1266" s="3">
        <v>1.449</v>
      </c>
      <c r="E1266" s="3">
        <v>6.6</v>
      </c>
    </row>
    <row r="1267" ht="12.75" customHeight="1">
      <c r="A1267" s="3">
        <v>66.0</v>
      </c>
      <c r="B1267" s="3">
        <v>101.0</v>
      </c>
      <c r="C1267" s="3">
        <v>8910000.0</v>
      </c>
      <c r="D1267" s="3">
        <v>1.629</v>
      </c>
      <c r="E1267" s="3">
        <v>8.91</v>
      </c>
    </row>
    <row r="1268" ht="12.75" customHeight="1">
      <c r="A1268" s="3">
        <v>67.0</v>
      </c>
      <c r="B1268" s="3">
        <v>103.48</v>
      </c>
      <c r="C1268" s="3">
        <v>22000.0</v>
      </c>
      <c r="D1268" s="3">
        <v>0.3</v>
      </c>
      <c r="E1268" s="3">
        <v>0.022</v>
      </c>
    </row>
    <row r="1269" ht="12.75" customHeight="1">
      <c r="A1269" s="3">
        <v>67.0</v>
      </c>
      <c r="B1269" s="3">
        <v>104.0</v>
      </c>
      <c r="C1269" s="3">
        <v>200000.0</v>
      </c>
      <c r="D1269" s="3">
        <v>0.5</v>
      </c>
      <c r="E1269" s="3">
        <v>0.2</v>
      </c>
    </row>
    <row r="1270" ht="12.75" customHeight="1">
      <c r="A1270" s="3">
        <v>67.0</v>
      </c>
      <c r="B1270" s="3">
        <v>105.0</v>
      </c>
      <c r="C1270" s="3">
        <v>300000.0</v>
      </c>
      <c r="D1270" s="3">
        <v>0.7</v>
      </c>
      <c r="E1270" s="3">
        <v>0.3</v>
      </c>
    </row>
    <row r="1271" ht="12.75" customHeight="1">
      <c r="A1271" s="3">
        <v>67.0</v>
      </c>
      <c r="B1271" s="3">
        <v>106.0</v>
      </c>
      <c r="C1271" s="3">
        <v>700000.0</v>
      </c>
      <c r="D1271" s="3">
        <v>0.8</v>
      </c>
      <c r="E1271" s="3">
        <v>0.7</v>
      </c>
    </row>
    <row r="1272" ht="12.75" customHeight="1">
      <c r="A1272" s="3">
        <v>67.0</v>
      </c>
      <c r="B1272" s="3">
        <v>107.0</v>
      </c>
      <c r="C1272" s="3">
        <v>903000.0</v>
      </c>
      <c r="D1272" s="3">
        <v>0.9</v>
      </c>
      <c r="E1272" s="3">
        <v>0.903</v>
      </c>
    </row>
    <row r="1273" ht="12.75" customHeight="1">
      <c r="A1273" s="3">
        <v>67.0</v>
      </c>
      <c r="B1273" s="3">
        <v>108.0</v>
      </c>
      <c r="C1273" s="3">
        <v>1800000.0</v>
      </c>
      <c r="D1273" s="3">
        <v>1.1753</v>
      </c>
      <c r="E1273" s="3">
        <v>1.8</v>
      </c>
    </row>
    <row r="1274" ht="12.75" customHeight="1">
      <c r="A1274" s="3">
        <v>67.0</v>
      </c>
      <c r="B1274" s="3">
        <v>109.0</v>
      </c>
      <c r="C1274" s="3">
        <v>3350000.0</v>
      </c>
      <c r="D1274" s="3">
        <v>1.4505</v>
      </c>
      <c r="E1274" s="3">
        <v>3.35</v>
      </c>
    </row>
    <row r="1275" ht="12.75" customHeight="1">
      <c r="A1275" s="3">
        <v>67.0</v>
      </c>
      <c r="B1275" s="3">
        <v>110.0</v>
      </c>
      <c r="C1275" s="3">
        <v>4701000.0</v>
      </c>
      <c r="D1275" s="3">
        <v>1.68</v>
      </c>
      <c r="E1275" s="3">
        <v>4.701</v>
      </c>
    </row>
    <row r="1276" ht="12.75" customHeight="1">
      <c r="A1276" s="3">
        <v>67.0</v>
      </c>
      <c r="B1276" s="3">
        <v>111.0</v>
      </c>
      <c r="C1276" s="3">
        <v>6337500.0</v>
      </c>
      <c r="D1276" s="3">
        <v>1.9095</v>
      </c>
      <c r="E1276" s="3">
        <v>6.3375</v>
      </c>
    </row>
    <row r="1277" ht="12.75" customHeight="1">
      <c r="A1277" s="3">
        <v>67.0</v>
      </c>
      <c r="B1277" s="3">
        <v>112.0</v>
      </c>
      <c r="C1277" s="3">
        <v>8520000.0</v>
      </c>
      <c r="D1277" s="3">
        <v>2.4998</v>
      </c>
      <c r="E1277" s="3">
        <v>8.52</v>
      </c>
    </row>
    <row r="1278" ht="12.75" customHeight="1">
      <c r="A1278" s="3">
        <v>67.0</v>
      </c>
      <c r="B1278" s="3">
        <v>113.0</v>
      </c>
      <c r="C1278" s="3">
        <v>1.13495E7</v>
      </c>
      <c r="D1278" s="3">
        <v>3.09</v>
      </c>
      <c r="E1278" s="3">
        <v>11.3495</v>
      </c>
    </row>
    <row r="1279" ht="12.75" customHeight="1">
      <c r="A1279" s="3">
        <v>67.0</v>
      </c>
      <c r="B1279" s="3">
        <v>114.0</v>
      </c>
      <c r="C1279" s="3">
        <v>1.47E7</v>
      </c>
      <c r="D1279" s="3">
        <v>3.62</v>
      </c>
      <c r="E1279" s="3">
        <v>14.7</v>
      </c>
    </row>
    <row r="1280" ht="12.75" customHeight="1">
      <c r="A1280" s="3">
        <v>67.0</v>
      </c>
      <c r="B1280" s="3">
        <v>115.0</v>
      </c>
      <c r="C1280" s="3">
        <v>1.83875E7</v>
      </c>
      <c r="D1280" s="3">
        <v>4.15</v>
      </c>
      <c r="E1280" s="3">
        <v>18.3875</v>
      </c>
    </row>
    <row r="1281" ht="12.75" customHeight="1">
      <c r="A1281" s="3">
        <v>67.0</v>
      </c>
      <c r="B1281" s="3">
        <v>116.0</v>
      </c>
      <c r="C1281" s="3">
        <v>2.3E7</v>
      </c>
      <c r="D1281" s="3">
        <v>5.2</v>
      </c>
      <c r="E1281" s="3">
        <v>23.0</v>
      </c>
    </row>
    <row r="1282" ht="12.75" customHeight="1">
      <c r="A1282" s="3">
        <v>67.0</v>
      </c>
      <c r="B1282" s="3">
        <v>117.0</v>
      </c>
      <c r="C1282" s="3">
        <v>2.8667E7</v>
      </c>
      <c r="D1282" s="3">
        <v>6.25</v>
      </c>
      <c r="E1282" s="3">
        <v>28.667</v>
      </c>
    </row>
    <row r="1283" ht="12.75" customHeight="1">
      <c r="A1283" s="3">
        <v>67.0</v>
      </c>
      <c r="B1283" s="3">
        <v>118.0</v>
      </c>
      <c r="C1283" s="3">
        <v>3.55E7</v>
      </c>
      <c r="D1283" s="3">
        <v>7.25</v>
      </c>
      <c r="E1283" s="3">
        <v>35.5</v>
      </c>
    </row>
    <row r="1284" ht="12.75" customHeight="1">
      <c r="A1284" s="3">
        <v>67.0</v>
      </c>
      <c r="B1284" s="3">
        <v>119.0</v>
      </c>
      <c r="C1284" s="3">
        <v>4.325E7</v>
      </c>
      <c r="D1284" s="3">
        <v>8.25</v>
      </c>
      <c r="E1284" s="3">
        <v>43.25</v>
      </c>
    </row>
    <row r="1285" ht="12.75" customHeight="1">
      <c r="A1285" s="3">
        <v>67.0</v>
      </c>
      <c r="B1285" s="3">
        <v>120.0</v>
      </c>
      <c r="C1285" s="3">
        <v>5.2E7</v>
      </c>
      <c r="D1285" s="3">
        <v>9.5953</v>
      </c>
      <c r="E1285" s="3">
        <v>52.0</v>
      </c>
    </row>
    <row r="1286" ht="12.75" customHeight="1">
      <c r="A1286" s="3">
        <v>67.0</v>
      </c>
      <c r="B1286" s="3">
        <v>121.0</v>
      </c>
      <c r="C1286" s="3">
        <v>6.236E7</v>
      </c>
      <c r="D1286" s="3">
        <v>10.9405</v>
      </c>
      <c r="E1286" s="3">
        <v>62.36</v>
      </c>
    </row>
    <row r="1287" ht="12.75" customHeight="1">
      <c r="A1287" s="3">
        <v>68.0</v>
      </c>
      <c r="B1287" s="3">
        <v>83.2</v>
      </c>
      <c r="C1287" s="3">
        <v>0.0</v>
      </c>
      <c r="D1287" s="3">
        <v>0.0</v>
      </c>
      <c r="E1287" s="3">
        <v>0.0</v>
      </c>
    </row>
    <row r="1288" ht="12.75" customHeight="1">
      <c r="A1288" s="3">
        <v>68.0</v>
      </c>
      <c r="B1288" s="3">
        <v>83.5</v>
      </c>
      <c r="C1288" s="3">
        <v>30.0</v>
      </c>
      <c r="D1288" s="3">
        <v>3.0E-4</v>
      </c>
      <c r="E1288" s="3">
        <v>3.0E-5</v>
      </c>
    </row>
    <row r="1289" ht="12.75" customHeight="1">
      <c r="A1289" s="3">
        <v>68.0</v>
      </c>
      <c r="B1289" s="3">
        <v>84.0</v>
      </c>
      <c r="C1289" s="3">
        <v>463.0</v>
      </c>
      <c r="D1289" s="3">
        <v>0.0016</v>
      </c>
      <c r="E1289" s="3">
        <v>4.63E-4</v>
      </c>
    </row>
    <row r="1290" ht="12.75" customHeight="1">
      <c r="A1290" s="3">
        <v>68.0</v>
      </c>
      <c r="B1290" s="3">
        <v>84.5</v>
      </c>
      <c r="C1290" s="3">
        <v>1855.0</v>
      </c>
      <c r="D1290" s="3">
        <v>0.0043</v>
      </c>
      <c r="E1290" s="3">
        <v>0.001855</v>
      </c>
    </row>
    <row r="1291" ht="12.75" customHeight="1">
      <c r="A1291" s="3">
        <v>68.0</v>
      </c>
      <c r="B1291" s="3">
        <v>85.0</v>
      </c>
      <c r="C1291" s="3">
        <v>6355.0</v>
      </c>
      <c r="D1291" s="3">
        <v>0.0159</v>
      </c>
      <c r="E1291" s="3">
        <v>0.006355</v>
      </c>
    </row>
    <row r="1292" ht="12.75" customHeight="1">
      <c r="A1292" s="3">
        <v>68.0</v>
      </c>
      <c r="B1292" s="3">
        <v>85.5</v>
      </c>
      <c r="C1292" s="3">
        <v>18573.0</v>
      </c>
      <c r="D1292" s="3">
        <v>0.0335</v>
      </c>
      <c r="E1292" s="3">
        <v>0.018573</v>
      </c>
    </row>
    <row r="1293" ht="12.75" customHeight="1">
      <c r="A1293" s="3">
        <v>68.0</v>
      </c>
      <c r="B1293" s="3">
        <v>86.0</v>
      </c>
      <c r="C1293" s="3">
        <v>38742.0</v>
      </c>
      <c r="D1293" s="3">
        <v>0.0508</v>
      </c>
      <c r="E1293" s="3">
        <v>0.038742</v>
      </c>
    </row>
    <row r="1294" ht="12.75" customHeight="1">
      <c r="A1294" s="3">
        <v>68.0</v>
      </c>
      <c r="B1294" s="3">
        <v>86.5</v>
      </c>
      <c r="C1294" s="3">
        <v>73468.0</v>
      </c>
      <c r="D1294" s="3">
        <v>0.0788</v>
      </c>
      <c r="E1294" s="3">
        <v>0.073468</v>
      </c>
    </row>
    <row r="1295" ht="12.75" customHeight="1">
      <c r="A1295" s="3">
        <v>68.0</v>
      </c>
      <c r="B1295" s="3">
        <v>87.0</v>
      </c>
      <c r="C1295" s="3">
        <v>119674.0</v>
      </c>
      <c r="D1295" s="3">
        <v>0.1042</v>
      </c>
      <c r="E1295" s="3">
        <v>0.119674</v>
      </c>
    </row>
    <row r="1296" ht="12.75" customHeight="1">
      <c r="A1296" s="3">
        <v>68.0</v>
      </c>
      <c r="B1296" s="3">
        <v>87.5</v>
      </c>
      <c r="C1296" s="3">
        <v>180885.0</v>
      </c>
      <c r="D1296" s="3">
        <v>0.1333</v>
      </c>
      <c r="E1296" s="3">
        <v>0.180885</v>
      </c>
    </row>
    <row r="1297" ht="12.75" customHeight="1">
      <c r="A1297" s="3">
        <v>68.0</v>
      </c>
      <c r="B1297" s="3">
        <v>88.0</v>
      </c>
      <c r="C1297" s="3">
        <v>252083.0</v>
      </c>
      <c r="D1297" s="3">
        <v>0.1583</v>
      </c>
      <c r="E1297" s="3">
        <v>0.252083</v>
      </c>
    </row>
    <row r="1298" ht="12.75" customHeight="1">
      <c r="A1298" s="3">
        <v>68.0</v>
      </c>
      <c r="B1298" s="3">
        <v>88.5</v>
      </c>
      <c r="C1298" s="3">
        <v>339940.0</v>
      </c>
      <c r="D1298" s="3">
        <v>0.1897</v>
      </c>
      <c r="E1298" s="3">
        <v>0.33994</v>
      </c>
    </row>
    <row r="1299" ht="12.75" customHeight="1">
      <c r="A1299" s="3">
        <v>68.0</v>
      </c>
      <c r="B1299" s="3">
        <v>89.0</v>
      </c>
      <c r="C1299" s="3">
        <v>445443.0</v>
      </c>
      <c r="D1299" s="3">
        <v>0.2286</v>
      </c>
      <c r="E1299" s="3">
        <v>0.445443</v>
      </c>
    </row>
    <row r="1300" ht="12.75" customHeight="1">
      <c r="A1300" s="3">
        <v>68.0</v>
      </c>
      <c r="B1300" s="3">
        <v>89.5</v>
      </c>
      <c r="C1300" s="3">
        <v>575220.0</v>
      </c>
      <c r="D1300" s="3">
        <v>0.2822</v>
      </c>
      <c r="E1300" s="3">
        <v>0.57522</v>
      </c>
    </row>
    <row r="1301" ht="12.75" customHeight="1">
      <c r="A1301" s="3">
        <v>68.0</v>
      </c>
      <c r="B1301" s="3">
        <v>90.0</v>
      </c>
      <c r="C1301" s="3">
        <v>727198.0</v>
      </c>
      <c r="D1301" s="3">
        <v>0.3453</v>
      </c>
      <c r="E1301" s="3">
        <v>0.727198</v>
      </c>
    </row>
    <row r="1302" ht="12.75" customHeight="1">
      <c r="A1302" s="3">
        <v>68.0</v>
      </c>
      <c r="B1302" s="3">
        <v>90.5</v>
      </c>
      <c r="C1302" s="3">
        <v>929393.0</v>
      </c>
      <c r="D1302" s="3">
        <v>0.4117</v>
      </c>
      <c r="E1302" s="3">
        <v>0.929393</v>
      </c>
    </row>
    <row r="1303" ht="12.75" customHeight="1">
      <c r="A1303" s="3">
        <v>68.0</v>
      </c>
      <c r="B1303" s="3">
        <v>91.0</v>
      </c>
      <c r="C1303" s="3">
        <v>1151233.0</v>
      </c>
      <c r="D1303" s="3">
        <v>0.4754</v>
      </c>
      <c r="E1303" s="3">
        <v>1.151233</v>
      </c>
    </row>
    <row r="1304" ht="12.75" customHeight="1">
      <c r="A1304" s="3">
        <v>68.0</v>
      </c>
      <c r="B1304" s="3">
        <v>91.5</v>
      </c>
      <c r="C1304" s="3">
        <v>1411249.0</v>
      </c>
      <c r="D1304" s="3">
        <v>0.5499</v>
      </c>
      <c r="E1304" s="3">
        <v>1.411249</v>
      </c>
    </row>
    <row r="1305" ht="12.75" customHeight="1">
      <c r="A1305" s="3">
        <v>68.0</v>
      </c>
      <c r="B1305" s="3">
        <v>92.0</v>
      </c>
      <c r="C1305" s="3">
        <v>1710509.0</v>
      </c>
      <c r="D1305" s="3">
        <v>0.6374</v>
      </c>
      <c r="E1305" s="3">
        <v>1.710509</v>
      </c>
    </row>
    <row r="1306" ht="12.75" customHeight="1">
      <c r="A1306" s="3">
        <v>68.0</v>
      </c>
      <c r="B1306" s="3">
        <v>92.5</v>
      </c>
      <c r="C1306" s="3">
        <v>2048381.0</v>
      </c>
      <c r="D1306" s="3">
        <v>0.7168</v>
      </c>
      <c r="E1306" s="3">
        <v>2.048381</v>
      </c>
    </row>
    <row r="1307" ht="12.75" customHeight="1">
      <c r="A1307" s="3">
        <v>68.0</v>
      </c>
      <c r="B1307" s="3">
        <v>93.0</v>
      </c>
      <c r="C1307" s="3">
        <v>2430752.0</v>
      </c>
      <c r="D1307" s="3">
        <v>0.7948</v>
      </c>
      <c r="E1307" s="3">
        <v>2.430752</v>
      </c>
    </row>
    <row r="1308" ht="12.75" customHeight="1">
      <c r="A1308" s="3">
        <v>68.0</v>
      </c>
      <c r="B1308" s="3">
        <v>93.5</v>
      </c>
      <c r="C1308" s="3">
        <v>2850413.0</v>
      </c>
      <c r="D1308" s="3">
        <v>0.8731</v>
      </c>
      <c r="E1308" s="3">
        <v>2.850413</v>
      </c>
    </row>
    <row r="1309" ht="12.75" customHeight="1">
      <c r="A1309" s="3">
        <v>68.0</v>
      </c>
      <c r="B1309" s="3">
        <v>94.0</v>
      </c>
      <c r="C1309" s="3">
        <v>3306075.0</v>
      </c>
      <c r="D1309" s="3">
        <v>0.9429</v>
      </c>
      <c r="E1309" s="3">
        <v>3.306075</v>
      </c>
    </row>
    <row r="1310" ht="12.75" customHeight="1">
      <c r="A1310" s="3">
        <v>68.0</v>
      </c>
      <c r="B1310" s="3">
        <v>94.5</v>
      </c>
      <c r="C1310" s="3">
        <v>3794650.0</v>
      </c>
      <c r="D1310" s="3">
        <v>1.0119</v>
      </c>
      <c r="E1310" s="3">
        <v>3.79465</v>
      </c>
    </row>
    <row r="1311" ht="12.75" customHeight="1">
      <c r="A1311" s="3">
        <v>68.0</v>
      </c>
      <c r="B1311" s="3">
        <v>95.0</v>
      </c>
      <c r="C1311" s="3">
        <v>4300000.0</v>
      </c>
      <c r="D1311" s="3">
        <v>1.0971</v>
      </c>
      <c r="E1311" s="3">
        <v>4.3</v>
      </c>
    </row>
    <row r="1312" ht="12.75" customHeight="1">
      <c r="A1312" s="3">
        <v>68.0</v>
      </c>
      <c r="B1312" s="3">
        <v>96.0</v>
      </c>
      <c r="C1312" s="3">
        <v>5358679.0</v>
      </c>
      <c r="D1312" s="3">
        <v>1.2513</v>
      </c>
      <c r="E1312" s="3">
        <v>5.358679</v>
      </c>
    </row>
    <row r="1313" ht="12.75" customHeight="1">
      <c r="A1313" s="3">
        <v>69.0</v>
      </c>
      <c r="B1313" s="3">
        <v>674.49</v>
      </c>
      <c r="C1313" s="3">
        <v>0.0</v>
      </c>
      <c r="D1313" s="3">
        <v>0.0</v>
      </c>
      <c r="E1313" s="3">
        <v>0.0</v>
      </c>
    </row>
    <row r="1314" ht="12.75" customHeight="1">
      <c r="A1314" s="3">
        <v>69.0</v>
      </c>
      <c r="B1314" s="3">
        <v>675.3</v>
      </c>
      <c r="C1314" s="3">
        <v>200.0</v>
      </c>
      <c r="D1314" s="3">
        <v>6.0E-4</v>
      </c>
      <c r="E1314" s="3">
        <v>2.0E-4</v>
      </c>
    </row>
    <row r="1315" ht="12.75" customHeight="1">
      <c r="A1315" s="3">
        <v>69.0</v>
      </c>
      <c r="B1315" s="3">
        <v>676.3</v>
      </c>
      <c r="C1315" s="3">
        <v>1900.0</v>
      </c>
      <c r="D1315" s="3">
        <v>0.003</v>
      </c>
      <c r="E1315" s="3">
        <v>0.0019</v>
      </c>
    </row>
    <row r="1316" ht="12.75" customHeight="1">
      <c r="A1316" s="3">
        <v>69.0</v>
      </c>
      <c r="B1316" s="3">
        <v>677.3</v>
      </c>
      <c r="C1316" s="3">
        <v>10000.0</v>
      </c>
      <c r="D1316" s="3">
        <v>0.015</v>
      </c>
      <c r="E1316" s="3">
        <v>0.01</v>
      </c>
    </row>
    <row r="1317" ht="12.75" customHeight="1">
      <c r="A1317" s="3">
        <v>69.0</v>
      </c>
      <c r="B1317" s="3">
        <v>678.3</v>
      </c>
      <c r="C1317" s="3">
        <v>36000.0</v>
      </c>
      <c r="D1317" s="3">
        <v>0.04</v>
      </c>
      <c r="E1317" s="3">
        <v>0.036</v>
      </c>
    </row>
    <row r="1318" ht="12.75" customHeight="1">
      <c r="A1318" s="3">
        <v>69.0</v>
      </c>
      <c r="B1318" s="3">
        <v>679.3</v>
      </c>
      <c r="C1318" s="3">
        <v>92000.0</v>
      </c>
      <c r="D1318" s="3">
        <v>0.08</v>
      </c>
      <c r="E1318" s="3">
        <v>0.092</v>
      </c>
    </row>
    <row r="1319" ht="12.75" customHeight="1">
      <c r="A1319" s="3">
        <v>69.0</v>
      </c>
      <c r="B1319" s="3">
        <v>680.3</v>
      </c>
      <c r="C1319" s="3">
        <v>200000.0</v>
      </c>
      <c r="D1319" s="3">
        <v>0.14</v>
      </c>
      <c r="E1319" s="3">
        <v>0.2</v>
      </c>
    </row>
    <row r="1320" ht="12.75" customHeight="1">
      <c r="A1320" s="3">
        <v>69.0</v>
      </c>
      <c r="B1320" s="3">
        <v>681.3</v>
      </c>
      <c r="C1320" s="3">
        <v>385000.0</v>
      </c>
      <c r="D1320" s="3">
        <v>0.23</v>
      </c>
      <c r="E1320" s="3">
        <v>0.385</v>
      </c>
    </row>
    <row r="1321" ht="12.75" customHeight="1">
      <c r="A1321" s="3">
        <v>69.0</v>
      </c>
      <c r="B1321" s="3">
        <v>682.3</v>
      </c>
      <c r="C1321" s="3">
        <v>664000.0</v>
      </c>
      <c r="D1321" s="3">
        <v>0.33</v>
      </c>
      <c r="E1321" s="3">
        <v>0.664</v>
      </c>
    </row>
    <row r="1322" ht="12.75" customHeight="1">
      <c r="A1322" s="3">
        <v>69.0</v>
      </c>
      <c r="B1322" s="3">
        <v>683.3</v>
      </c>
      <c r="C1322" s="3">
        <v>1051000.0</v>
      </c>
      <c r="D1322" s="3">
        <v>0.44</v>
      </c>
      <c r="E1322" s="3">
        <v>1.051</v>
      </c>
    </row>
    <row r="1323" ht="12.75" customHeight="1">
      <c r="A1323" s="3">
        <v>69.0</v>
      </c>
      <c r="B1323" s="3">
        <v>684.3</v>
      </c>
      <c r="C1323" s="3">
        <v>1537000.0</v>
      </c>
      <c r="D1323" s="3">
        <v>0.54</v>
      </c>
      <c r="E1323" s="3">
        <v>1.537</v>
      </c>
    </row>
    <row r="1324" ht="12.75" customHeight="1">
      <c r="A1324" s="3">
        <v>69.0</v>
      </c>
      <c r="B1324" s="3">
        <v>685.3</v>
      </c>
      <c r="C1324" s="3">
        <v>2116000.0</v>
      </c>
      <c r="D1324" s="3">
        <v>0.62</v>
      </c>
      <c r="E1324" s="3">
        <v>2.116</v>
      </c>
    </row>
    <row r="1325" ht="12.75" customHeight="1">
      <c r="A1325" s="3">
        <v>69.0</v>
      </c>
      <c r="B1325" s="3">
        <v>686.3</v>
      </c>
      <c r="C1325" s="3">
        <v>2786000.0</v>
      </c>
      <c r="D1325" s="3">
        <v>0.73</v>
      </c>
      <c r="E1325" s="3">
        <v>2.786</v>
      </c>
    </row>
    <row r="1326" ht="12.75" customHeight="1">
      <c r="A1326" s="3">
        <v>69.0</v>
      </c>
      <c r="B1326" s="3">
        <v>687.3</v>
      </c>
      <c r="C1326" s="3">
        <v>3570000.0</v>
      </c>
      <c r="D1326" s="3">
        <v>0.84</v>
      </c>
      <c r="E1326" s="3">
        <v>3.57</v>
      </c>
    </row>
    <row r="1327" ht="12.75" customHeight="1">
      <c r="A1327" s="3">
        <v>69.0</v>
      </c>
      <c r="B1327" s="3">
        <v>688.3</v>
      </c>
      <c r="C1327" s="3">
        <v>4466000.0</v>
      </c>
      <c r="D1327" s="3">
        <v>0.95</v>
      </c>
      <c r="E1327" s="3">
        <v>4.466</v>
      </c>
    </row>
    <row r="1328" ht="12.75" customHeight="1">
      <c r="A1328" s="3">
        <v>69.0</v>
      </c>
      <c r="B1328" s="3">
        <v>689.3</v>
      </c>
      <c r="C1328" s="3">
        <v>5475000.0</v>
      </c>
      <c r="D1328" s="3">
        <v>1.06</v>
      </c>
      <c r="E1328" s="3">
        <v>5.475</v>
      </c>
    </row>
    <row r="1329" ht="12.75" customHeight="1">
      <c r="A1329" s="3">
        <v>69.0</v>
      </c>
      <c r="B1329" s="3">
        <v>690.3</v>
      </c>
      <c r="C1329" s="3">
        <v>6590000.0</v>
      </c>
      <c r="D1329" s="3">
        <v>1.17</v>
      </c>
      <c r="E1329" s="3">
        <v>6.59</v>
      </c>
    </row>
    <row r="1330" ht="12.75" customHeight="1">
      <c r="A1330" s="3">
        <v>69.0</v>
      </c>
      <c r="B1330" s="3">
        <v>691.3</v>
      </c>
      <c r="C1330" s="3">
        <v>7810000.0</v>
      </c>
      <c r="D1330" s="3">
        <v>1.28</v>
      </c>
      <c r="E1330" s="3">
        <v>7.81</v>
      </c>
    </row>
    <row r="1331" ht="12.75" customHeight="1">
      <c r="A1331" s="3">
        <v>69.0</v>
      </c>
      <c r="B1331" s="3">
        <v>692.3</v>
      </c>
      <c r="C1331" s="3">
        <v>9146000.0</v>
      </c>
      <c r="D1331" s="3">
        <v>1.4</v>
      </c>
      <c r="E1331" s="3">
        <v>9.146</v>
      </c>
    </row>
    <row r="1332" ht="12.75" customHeight="1">
      <c r="A1332" s="3">
        <v>69.0</v>
      </c>
      <c r="B1332" s="3">
        <v>693.3</v>
      </c>
      <c r="C1332" s="3">
        <v>1.072E7</v>
      </c>
      <c r="D1332" s="3">
        <v>1.55</v>
      </c>
      <c r="E1332" s="3">
        <v>10.72</v>
      </c>
    </row>
    <row r="1333" ht="12.75" customHeight="1">
      <c r="A1333" s="3">
        <v>69.0</v>
      </c>
      <c r="B1333" s="3">
        <v>694.3</v>
      </c>
      <c r="C1333" s="3">
        <v>1.227E7</v>
      </c>
      <c r="D1333" s="3">
        <v>1.76</v>
      </c>
      <c r="E1333" s="3">
        <v>12.27</v>
      </c>
    </row>
    <row r="1334" ht="12.75" customHeight="1">
      <c r="A1334" s="3">
        <v>69.0</v>
      </c>
      <c r="B1334" s="3">
        <v>695.3</v>
      </c>
      <c r="C1334" s="3">
        <v>1.414E7</v>
      </c>
      <c r="D1334" s="3">
        <v>2.0</v>
      </c>
      <c r="E1334" s="3">
        <v>14.14</v>
      </c>
    </row>
    <row r="1335" ht="12.75" customHeight="1">
      <c r="A1335" s="3">
        <v>69.0</v>
      </c>
      <c r="B1335" s="3">
        <v>696.3</v>
      </c>
      <c r="C1335" s="3">
        <v>1.629E7</v>
      </c>
      <c r="D1335" s="3">
        <v>2.28</v>
      </c>
      <c r="E1335" s="3">
        <v>16.29</v>
      </c>
    </row>
    <row r="1336" ht="12.75" customHeight="1">
      <c r="A1336" s="3">
        <v>69.0</v>
      </c>
      <c r="B1336" s="3">
        <v>697.3</v>
      </c>
      <c r="C1336" s="3">
        <v>1.87E7</v>
      </c>
      <c r="D1336" s="3">
        <v>2.54</v>
      </c>
      <c r="E1336" s="3">
        <v>18.7</v>
      </c>
    </row>
    <row r="1337" ht="12.75" customHeight="1">
      <c r="A1337" s="3">
        <v>69.0</v>
      </c>
      <c r="B1337" s="3">
        <v>698.3</v>
      </c>
      <c r="C1337" s="3">
        <v>2.14E7</v>
      </c>
      <c r="D1337" s="3">
        <v>2.83</v>
      </c>
      <c r="E1337" s="3">
        <v>21.4</v>
      </c>
    </row>
    <row r="1338" ht="12.75" customHeight="1">
      <c r="A1338" s="3">
        <v>69.0</v>
      </c>
      <c r="B1338" s="3">
        <v>699.3</v>
      </c>
      <c r="C1338" s="3">
        <v>2.437E7</v>
      </c>
      <c r="D1338" s="3">
        <v>3.17</v>
      </c>
      <c r="E1338" s="3">
        <v>24.37</v>
      </c>
    </row>
    <row r="1339" ht="12.75" customHeight="1">
      <c r="A1339" s="3">
        <v>69.0</v>
      </c>
      <c r="B1339" s="3">
        <v>700.3</v>
      </c>
      <c r="C1339" s="3">
        <v>2.78E7</v>
      </c>
      <c r="D1339" s="3">
        <v>3.54</v>
      </c>
      <c r="E1339" s="3">
        <v>27.8</v>
      </c>
    </row>
    <row r="1340" ht="12.75" customHeight="1">
      <c r="A1340" s="3">
        <v>69.0</v>
      </c>
      <c r="B1340" s="3">
        <v>701.3</v>
      </c>
      <c r="C1340" s="3">
        <v>3.15E7</v>
      </c>
      <c r="D1340" s="3">
        <v>4.0</v>
      </c>
      <c r="E1340" s="3">
        <v>31.5</v>
      </c>
    </row>
    <row r="1341" ht="12.75" customHeight="1">
      <c r="A1341" s="3">
        <v>69.0</v>
      </c>
      <c r="B1341" s="3">
        <v>702.3</v>
      </c>
      <c r="C1341" s="3">
        <v>3.56E7</v>
      </c>
      <c r="D1341" s="3">
        <v>4.36</v>
      </c>
      <c r="E1341" s="3">
        <v>35.6</v>
      </c>
    </row>
    <row r="1342" ht="12.75" customHeight="1">
      <c r="A1342" s="3">
        <v>69.0</v>
      </c>
      <c r="B1342" s="3">
        <v>703.3</v>
      </c>
      <c r="C1342" s="3">
        <v>4.02E7</v>
      </c>
      <c r="D1342" s="3">
        <v>4.81</v>
      </c>
      <c r="E1342" s="3">
        <v>40.2</v>
      </c>
    </row>
    <row r="1343" ht="12.75" customHeight="1">
      <c r="A1343" s="3">
        <v>69.0</v>
      </c>
      <c r="B1343" s="3">
        <v>704.3</v>
      </c>
      <c r="C1343" s="3">
        <v>4.521E7</v>
      </c>
      <c r="D1343" s="3">
        <v>5.26</v>
      </c>
      <c r="E1343" s="3">
        <v>45.21</v>
      </c>
    </row>
    <row r="1344" ht="12.75" customHeight="1">
      <c r="A1344" s="3">
        <v>69.0</v>
      </c>
      <c r="B1344" s="3">
        <v>705.3</v>
      </c>
      <c r="C1344" s="3">
        <v>5.07E7</v>
      </c>
      <c r="D1344" s="3">
        <v>5.7</v>
      </c>
      <c r="E1344" s="3">
        <v>50.7</v>
      </c>
    </row>
    <row r="1345" ht="12.75" customHeight="1">
      <c r="A1345" s="3">
        <v>69.0</v>
      </c>
      <c r="B1345" s="3">
        <v>706.3</v>
      </c>
      <c r="C1345" s="3">
        <v>5.66E7</v>
      </c>
      <c r="D1345" s="3">
        <v>6.13</v>
      </c>
      <c r="E1345" s="3">
        <v>56.6</v>
      </c>
    </row>
    <row r="1346" ht="12.75" customHeight="1">
      <c r="A1346" s="3">
        <v>69.0</v>
      </c>
      <c r="B1346" s="3">
        <v>707.3</v>
      </c>
      <c r="C1346" s="3">
        <v>6.3E7</v>
      </c>
      <c r="D1346" s="3">
        <v>6.58</v>
      </c>
      <c r="E1346" s="3">
        <v>63.0</v>
      </c>
    </row>
    <row r="1347" ht="12.75" customHeight="1">
      <c r="A1347" s="3">
        <v>69.0</v>
      </c>
      <c r="B1347" s="3">
        <v>708.3</v>
      </c>
      <c r="C1347" s="3">
        <v>6.976E7</v>
      </c>
      <c r="D1347" s="3">
        <v>7.03</v>
      </c>
      <c r="E1347" s="3">
        <v>69.76</v>
      </c>
    </row>
    <row r="1348" ht="12.75" customHeight="1">
      <c r="A1348" s="3">
        <v>69.0</v>
      </c>
      <c r="B1348" s="3">
        <v>709.3</v>
      </c>
      <c r="C1348" s="3">
        <v>7.7E7</v>
      </c>
      <c r="D1348" s="3">
        <v>7.46</v>
      </c>
      <c r="E1348" s="3">
        <v>77.0</v>
      </c>
    </row>
    <row r="1349" ht="12.75" customHeight="1">
      <c r="A1349" s="3">
        <v>69.0</v>
      </c>
      <c r="B1349" s="3">
        <v>710.3</v>
      </c>
      <c r="C1349" s="3">
        <v>8.47E7</v>
      </c>
      <c r="D1349" s="3">
        <v>7.83</v>
      </c>
      <c r="E1349" s="3">
        <v>84.7</v>
      </c>
    </row>
    <row r="1350" ht="12.75" customHeight="1">
      <c r="A1350" s="3">
        <v>69.0</v>
      </c>
      <c r="B1350" s="3">
        <v>711.3</v>
      </c>
      <c r="C1350" s="3">
        <v>9.27E7</v>
      </c>
      <c r="D1350" s="3">
        <v>8.15</v>
      </c>
      <c r="E1350" s="3">
        <v>92.7</v>
      </c>
    </row>
    <row r="1351" ht="12.75" customHeight="1">
      <c r="A1351" s="3">
        <v>69.0</v>
      </c>
      <c r="B1351" s="3">
        <v>712.3</v>
      </c>
      <c r="C1351" s="3">
        <v>1.01E8</v>
      </c>
      <c r="D1351" s="3">
        <v>8.4</v>
      </c>
      <c r="E1351" s="3">
        <v>101.0</v>
      </c>
    </row>
    <row r="1352" ht="12.75" customHeight="1">
      <c r="A1352" s="3">
        <v>69.0</v>
      </c>
      <c r="B1352" s="3">
        <v>713.3</v>
      </c>
      <c r="C1352" s="3">
        <v>1.095E8</v>
      </c>
      <c r="D1352" s="3">
        <v>8.58</v>
      </c>
      <c r="E1352" s="3">
        <v>109.5</v>
      </c>
    </row>
    <row r="1353" ht="12.75" customHeight="1">
      <c r="A1353" s="3">
        <v>69.0</v>
      </c>
      <c r="B1353" s="3">
        <v>713.77</v>
      </c>
      <c r="C1353" s="3">
        <v>1.135E8</v>
      </c>
      <c r="D1353" s="3">
        <v>8.73</v>
      </c>
      <c r="E1353" s="3">
        <v>113.5</v>
      </c>
    </row>
    <row r="1354" ht="12.75" customHeight="1">
      <c r="A1354" s="3">
        <v>69.0</v>
      </c>
      <c r="B1354" s="3">
        <v>714.3</v>
      </c>
      <c r="C1354" s="3">
        <v>1.192E8</v>
      </c>
      <c r="D1354" s="3">
        <v>9.0</v>
      </c>
      <c r="E1354" s="3">
        <v>119.2</v>
      </c>
    </row>
    <row r="1355" ht="12.75" customHeight="1">
      <c r="A1355" s="3">
        <v>69.0</v>
      </c>
      <c r="B1355" s="3">
        <v>715.3</v>
      </c>
      <c r="C1355" s="3">
        <v>1.3E8</v>
      </c>
      <c r="D1355" s="3">
        <v>9.23</v>
      </c>
      <c r="E1355" s="3">
        <v>130.0</v>
      </c>
    </row>
    <row r="1356" ht="12.75" customHeight="1">
      <c r="A1356" s="3">
        <v>69.0</v>
      </c>
      <c r="B1356" s="3">
        <v>716.3</v>
      </c>
      <c r="C1356" s="3">
        <v>1.405E8</v>
      </c>
      <c r="D1356" s="3">
        <v>9.4</v>
      </c>
      <c r="E1356" s="3">
        <v>140.5</v>
      </c>
    </row>
    <row r="1357" ht="12.75" customHeight="1">
      <c r="A1357" s="3">
        <v>69.0</v>
      </c>
      <c r="B1357" s="3">
        <v>716.38</v>
      </c>
      <c r="C1357" s="3">
        <v>1.41E8</v>
      </c>
      <c r="D1357" s="3">
        <v>9.41</v>
      </c>
      <c r="E1357" s="3">
        <v>141.0</v>
      </c>
    </row>
    <row r="1358" ht="12.75" customHeight="1">
      <c r="A1358" s="3">
        <v>69.0</v>
      </c>
      <c r="B1358" s="3">
        <v>717.0</v>
      </c>
      <c r="C1358" s="3">
        <v>1.4261E8</v>
      </c>
      <c r="D1358" s="3">
        <v>9.5</v>
      </c>
      <c r="E1358" s="3">
        <v>142.61</v>
      </c>
    </row>
    <row r="1359" ht="12.75" customHeight="1">
      <c r="A1359" s="3">
        <v>69.0</v>
      </c>
      <c r="B1359" s="3">
        <v>718.0</v>
      </c>
      <c r="C1359" s="3">
        <v>1.5182E8</v>
      </c>
      <c r="D1359" s="3">
        <v>9.55</v>
      </c>
      <c r="E1359" s="3">
        <v>151.82</v>
      </c>
    </row>
    <row r="1360" ht="12.75" customHeight="1">
      <c r="A1360" s="3">
        <v>70.0</v>
      </c>
      <c r="B1360" s="3">
        <v>100.2</v>
      </c>
      <c r="C1360" s="3">
        <v>0.0</v>
      </c>
      <c r="D1360" s="3">
        <v>0.0</v>
      </c>
      <c r="E1360" s="3">
        <v>0.0</v>
      </c>
    </row>
    <row r="1361" ht="12.75" customHeight="1">
      <c r="A1361" s="3">
        <v>70.0</v>
      </c>
      <c r="B1361" s="3">
        <v>101.0</v>
      </c>
      <c r="C1361" s="3">
        <v>383.0</v>
      </c>
      <c r="D1361" s="3">
        <v>0.002</v>
      </c>
      <c r="E1361" s="3">
        <v>3.83E-4</v>
      </c>
    </row>
    <row r="1362" ht="12.75" customHeight="1">
      <c r="A1362" s="3">
        <v>70.0</v>
      </c>
      <c r="B1362" s="3">
        <v>102.0</v>
      </c>
      <c r="C1362" s="3">
        <v>121797.0</v>
      </c>
      <c r="D1362" s="3">
        <v>0.353</v>
      </c>
      <c r="E1362" s="3">
        <v>0.121797</v>
      </c>
    </row>
    <row r="1363" ht="12.75" customHeight="1">
      <c r="A1363" s="3">
        <v>70.0</v>
      </c>
      <c r="B1363" s="3">
        <v>103.0</v>
      </c>
      <c r="C1363" s="3">
        <v>767567.0</v>
      </c>
      <c r="D1363" s="3">
        <v>0.951</v>
      </c>
      <c r="E1363" s="3">
        <v>0.767567</v>
      </c>
    </row>
    <row r="1364" ht="12.75" customHeight="1">
      <c r="A1364" s="3">
        <v>70.0</v>
      </c>
      <c r="B1364" s="3">
        <v>104.0</v>
      </c>
      <c r="C1364" s="3">
        <v>1854910.0</v>
      </c>
      <c r="D1364" s="3">
        <v>1.135</v>
      </c>
      <c r="E1364" s="3">
        <v>1.85491</v>
      </c>
    </row>
    <row r="1365" ht="12.75" customHeight="1">
      <c r="A1365" s="3">
        <v>70.0</v>
      </c>
      <c r="B1365" s="3">
        <v>104.4</v>
      </c>
      <c r="C1365" s="3">
        <v>2314363.0</v>
      </c>
      <c r="D1365" s="3">
        <v>1.162</v>
      </c>
      <c r="E1365" s="3">
        <v>2.314363</v>
      </c>
    </row>
    <row r="1366" ht="12.75" customHeight="1">
      <c r="A1366" s="3">
        <v>70.0</v>
      </c>
      <c r="B1366" s="3">
        <v>105.0</v>
      </c>
      <c r="C1366" s="3">
        <v>3400000.0</v>
      </c>
      <c r="D1366" s="3">
        <v>1.32</v>
      </c>
      <c r="E1366" s="3">
        <v>3.4</v>
      </c>
    </row>
    <row r="1367" ht="12.75" customHeight="1">
      <c r="A1367" s="3">
        <v>70.0</v>
      </c>
      <c r="B1367" s="3">
        <v>106.0</v>
      </c>
      <c r="C1367" s="3">
        <v>4950000.0</v>
      </c>
      <c r="D1367" s="3">
        <v>2.55</v>
      </c>
      <c r="E1367" s="3">
        <v>4.95</v>
      </c>
    </row>
    <row r="1368" ht="12.75" customHeight="1">
      <c r="A1368" s="3">
        <v>70.0</v>
      </c>
      <c r="B1368" s="3">
        <v>107.0</v>
      </c>
      <c r="C1368" s="3">
        <v>7750000.0</v>
      </c>
      <c r="D1368" s="3">
        <v>3.77</v>
      </c>
      <c r="E1368" s="3">
        <v>7.75</v>
      </c>
    </row>
    <row r="1369" ht="12.75" customHeight="1">
      <c r="A1369" s="3">
        <v>70.0</v>
      </c>
      <c r="B1369" s="3">
        <v>108.0</v>
      </c>
      <c r="C1369" s="3">
        <v>1.25E7</v>
      </c>
      <c r="D1369" s="3">
        <v>4.55</v>
      </c>
      <c r="E1369" s="3">
        <v>12.5</v>
      </c>
    </row>
    <row r="1370" ht="12.75" customHeight="1">
      <c r="A1370" s="3">
        <v>70.0</v>
      </c>
      <c r="B1370" s="3">
        <v>109.0</v>
      </c>
      <c r="C1370" s="3">
        <v>1.663E7</v>
      </c>
      <c r="D1370" s="3">
        <v>5.33</v>
      </c>
      <c r="E1370" s="3">
        <v>16.63</v>
      </c>
    </row>
    <row r="1371" ht="12.75" customHeight="1">
      <c r="A1371" s="3">
        <v>70.0</v>
      </c>
      <c r="B1371" s="3">
        <v>110.0</v>
      </c>
      <c r="C1371" s="3">
        <v>1.8E7</v>
      </c>
      <c r="D1371" s="3">
        <v>7.0</v>
      </c>
      <c r="E1371" s="3">
        <v>18.0</v>
      </c>
    </row>
    <row r="1372" ht="12.75" customHeight="1">
      <c r="A1372" s="3">
        <v>71.0</v>
      </c>
      <c r="B1372" s="3">
        <v>20.0</v>
      </c>
      <c r="C1372" s="3">
        <v>0.0</v>
      </c>
      <c r="D1372" s="3">
        <v>0.0</v>
      </c>
      <c r="E1372" s="3">
        <v>0.0</v>
      </c>
    </row>
    <row r="1373" ht="12.75" customHeight="1">
      <c r="A1373" s="3">
        <v>71.0</v>
      </c>
      <c r="B1373" s="3">
        <v>22.0</v>
      </c>
      <c r="C1373" s="3">
        <v>10000.0</v>
      </c>
      <c r="D1373" s="3">
        <v>0.02</v>
      </c>
      <c r="E1373" s="3">
        <v>0.01</v>
      </c>
    </row>
    <row r="1374" ht="12.75" customHeight="1">
      <c r="A1374" s="3">
        <v>71.0</v>
      </c>
      <c r="B1374" s="3">
        <v>23.0</v>
      </c>
      <c r="C1374" s="3">
        <v>60015.0</v>
      </c>
      <c r="D1374" s="3">
        <v>0.07</v>
      </c>
      <c r="E1374" s="3">
        <v>0.060015</v>
      </c>
    </row>
    <row r="1375" ht="12.75" customHeight="1">
      <c r="A1375" s="3">
        <v>71.0</v>
      </c>
      <c r="B1375" s="3">
        <v>24.0</v>
      </c>
      <c r="C1375" s="3">
        <v>190504.0</v>
      </c>
      <c r="D1375" s="3">
        <v>0.21</v>
      </c>
      <c r="E1375" s="3">
        <v>0.190504</v>
      </c>
    </row>
    <row r="1376" ht="12.75" customHeight="1">
      <c r="A1376" s="3">
        <v>71.0</v>
      </c>
      <c r="B1376" s="3">
        <v>25.0</v>
      </c>
      <c r="C1376" s="3">
        <v>550000.0</v>
      </c>
      <c r="D1376" s="3">
        <v>0.55</v>
      </c>
      <c r="E1376" s="3">
        <v>0.55</v>
      </c>
    </row>
    <row r="1377" ht="12.75" customHeight="1">
      <c r="A1377" s="3">
        <v>71.0</v>
      </c>
      <c r="B1377" s="3">
        <v>26.0</v>
      </c>
      <c r="C1377" s="3">
        <v>1390000.0</v>
      </c>
      <c r="D1377" s="3">
        <v>1.17</v>
      </c>
      <c r="E1377" s="3">
        <v>1.39</v>
      </c>
    </row>
    <row r="1378" ht="12.75" customHeight="1">
      <c r="A1378" s="3">
        <v>71.0</v>
      </c>
      <c r="B1378" s="3">
        <v>27.0</v>
      </c>
      <c r="C1378" s="3">
        <v>3120000.0</v>
      </c>
      <c r="D1378" s="3">
        <v>2.33</v>
      </c>
      <c r="E1378" s="3">
        <v>3.12</v>
      </c>
    </row>
    <row r="1379" ht="12.75" customHeight="1">
      <c r="A1379" s="3">
        <v>71.0</v>
      </c>
      <c r="B1379" s="3">
        <v>28.0</v>
      </c>
      <c r="C1379" s="3">
        <v>6130000.0</v>
      </c>
      <c r="D1379" s="3">
        <v>3.74</v>
      </c>
      <c r="E1379" s="3">
        <v>6.13</v>
      </c>
    </row>
    <row r="1380" ht="12.75" customHeight="1">
      <c r="A1380" s="3">
        <v>71.0</v>
      </c>
      <c r="B1380" s="3">
        <v>29.0</v>
      </c>
      <c r="C1380" s="3">
        <v>1.068E7</v>
      </c>
      <c r="D1380" s="3">
        <v>5.37</v>
      </c>
      <c r="E1380" s="3">
        <v>10.68</v>
      </c>
    </row>
    <row r="1381" ht="12.75" customHeight="1">
      <c r="A1381" s="3">
        <v>71.0</v>
      </c>
      <c r="B1381" s="3">
        <v>30.0</v>
      </c>
      <c r="C1381" s="3">
        <v>1.692E7</v>
      </c>
      <c r="D1381" s="3">
        <v>7.11</v>
      </c>
      <c r="E1381" s="3">
        <v>16.92</v>
      </c>
    </row>
    <row r="1382" ht="12.75" customHeight="1">
      <c r="A1382" s="3">
        <v>71.0</v>
      </c>
      <c r="B1382" s="3">
        <v>31.0</v>
      </c>
      <c r="C1382" s="3">
        <v>2.498E7</v>
      </c>
      <c r="D1382" s="3">
        <v>9.02</v>
      </c>
      <c r="E1382" s="3">
        <v>24.98</v>
      </c>
    </row>
    <row r="1383" ht="12.75" customHeight="1">
      <c r="A1383" s="3">
        <v>71.0</v>
      </c>
      <c r="B1383" s="3">
        <v>32.0</v>
      </c>
      <c r="C1383" s="3">
        <v>3.504E7</v>
      </c>
      <c r="D1383" s="3">
        <v>11.03</v>
      </c>
      <c r="E1383" s="3">
        <v>35.04</v>
      </c>
    </row>
    <row r="1384" ht="12.75" customHeight="1">
      <c r="A1384" s="3">
        <v>71.0</v>
      </c>
      <c r="B1384" s="3">
        <v>33.0</v>
      </c>
      <c r="C1384" s="3">
        <v>4.72E7</v>
      </c>
      <c r="D1384" s="3">
        <v>13.38</v>
      </c>
      <c r="E1384" s="3">
        <v>47.2</v>
      </c>
    </row>
    <row r="1385" ht="12.75" customHeight="1">
      <c r="A1385" s="3">
        <v>71.0</v>
      </c>
      <c r="B1385" s="3">
        <v>34.0</v>
      </c>
      <c r="C1385" s="3">
        <v>6.178E7</v>
      </c>
      <c r="D1385" s="3">
        <v>15.72</v>
      </c>
      <c r="E1385" s="3">
        <v>61.78</v>
      </c>
    </row>
    <row r="1386" ht="12.75" customHeight="1">
      <c r="A1386" s="3">
        <v>71.0</v>
      </c>
      <c r="B1386" s="3">
        <v>35.0</v>
      </c>
      <c r="C1386" s="3">
        <v>7.882E7</v>
      </c>
      <c r="D1386" s="3">
        <v>18.31</v>
      </c>
      <c r="E1386" s="3">
        <v>78.82</v>
      </c>
    </row>
    <row r="1387" ht="12.75" customHeight="1">
      <c r="A1387" s="3">
        <v>71.0</v>
      </c>
      <c r="B1387" s="3">
        <v>36.0</v>
      </c>
      <c r="C1387" s="3">
        <v>9.85E7</v>
      </c>
      <c r="D1387" s="3">
        <v>21.09</v>
      </c>
      <c r="E1387" s="3">
        <v>98.5</v>
      </c>
    </row>
    <row r="1388" ht="12.75" customHeight="1">
      <c r="A1388" s="3">
        <v>71.0</v>
      </c>
      <c r="B1388" s="3">
        <v>37.0</v>
      </c>
      <c r="C1388" s="3">
        <v>1.213E8</v>
      </c>
      <c r="D1388" s="3">
        <v>24.25</v>
      </c>
      <c r="E1388" s="3">
        <v>121.3</v>
      </c>
    </row>
    <row r="1389" ht="12.75" customHeight="1">
      <c r="A1389" s="3">
        <v>71.0</v>
      </c>
      <c r="B1389" s="3">
        <v>38.0</v>
      </c>
      <c r="C1389" s="3">
        <v>1.4718E8</v>
      </c>
      <c r="D1389" s="3">
        <v>27.48</v>
      </c>
      <c r="E1389" s="3">
        <v>147.18</v>
      </c>
    </row>
    <row r="1390" ht="12.75" customHeight="1">
      <c r="A1390" s="3">
        <v>71.0</v>
      </c>
      <c r="B1390" s="3">
        <v>39.0</v>
      </c>
      <c r="C1390" s="3">
        <v>1.76E8</v>
      </c>
      <c r="D1390" s="3">
        <v>30.13</v>
      </c>
      <c r="E1390" s="3">
        <v>176.0</v>
      </c>
    </row>
    <row r="1391" ht="12.75" customHeight="1">
      <c r="A1391" s="3">
        <v>71.0</v>
      </c>
      <c r="B1391" s="3">
        <v>39.66</v>
      </c>
      <c r="C1391" s="3">
        <v>1.96555E8</v>
      </c>
      <c r="D1391" s="3">
        <v>31.28</v>
      </c>
      <c r="E1391" s="3">
        <v>196.555</v>
      </c>
    </row>
    <row r="1392" ht="12.75" customHeight="1">
      <c r="A1392" s="3">
        <v>71.0</v>
      </c>
      <c r="B1392" s="3">
        <v>40.0</v>
      </c>
      <c r="C1392" s="3">
        <v>2.0631E8</v>
      </c>
      <c r="D1392" s="3">
        <v>33.89</v>
      </c>
      <c r="E1392" s="3">
        <v>206.31</v>
      </c>
    </row>
    <row r="1393" ht="12.75" customHeight="1">
      <c r="A1393" s="3">
        <v>71.0</v>
      </c>
      <c r="B1393" s="3">
        <v>41.0</v>
      </c>
      <c r="C1393" s="3">
        <v>2.428E8</v>
      </c>
      <c r="D1393" s="3">
        <v>37.46</v>
      </c>
      <c r="E1393" s="3">
        <v>242.8</v>
      </c>
    </row>
    <row r="1394" ht="12.75" customHeight="1">
      <c r="A1394" s="3">
        <v>71.0</v>
      </c>
      <c r="B1394" s="3">
        <v>41.42</v>
      </c>
      <c r="C1394" s="3">
        <v>2.6E8</v>
      </c>
      <c r="D1394" s="3">
        <v>38.98</v>
      </c>
      <c r="E1394" s="3">
        <v>260.0</v>
      </c>
    </row>
    <row r="1395" ht="12.75" customHeight="1">
      <c r="A1395" s="3">
        <v>71.0</v>
      </c>
      <c r="B1395" s="3">
        <v>42.0</v>
      </c>
      <c r="C1395" s="3">
        <v>2.8137E8</v>
      </c>
      <c r="D1395" s="3">
        <v>41.07</v>
      </c>
      <c r="E1395" s="3">
        <v>281.37</v>
      </c>
    </row>
    <row r="1396" ht="12.75" customHeight="1">
      <c r="A1396" s="3">
        <v>71.0</v>
      </c>
      <c r="B1396" s="3">
        <v>43.0</v>
      </c>
      <c r="C1396" s="3">
        <v>3.2474E8</v>
      </c>
      <c r="D1396" s="3">
        <v>45.1</v>
      </c>
      <c r="E1396" s="3">
        <v>324.74</v>
      </c>
    </row>
    <row r="1397" ht="12.75" customHeight="1">
      <c r="A1397" s="3">
        <v>71.0</v>
      </c>
      <c r="B1397" s="3">
        <v>44.0</v>
      </c>
      <c r="C1397" s="3">
        <v>3.7355E8</v>
      </c>
      <c r="D1397" s="3">
        <v>49.3</v>
      </c>
      <c r="E1397" s="3">
        <v>373.55</v>
      </c>
    </row>
    <row r="1398" ht="12.75" customHeight="1">
      <c r="A1398" s="3">
        <v>71.0</v>
      </c>
      <c r="B1398" s="3">
        <v>45.0</v>
      </c>
      <c r="C1398" s="3">
        <v>4.2695E8</v>
      </c>
      <c r="D1398" s="3">
        <v>53.69</v>
      </c>
      <c r="E1398" s="3">
        <v>426.95</v>
      </c>
    </row>
    <row r="1399" ht="12.75" customHeight="1">
      <c r="A1399" s="3">
        <v>71.0</v>
      </c>
      <c r="B1399" s="3">
        <v>46.0</v>
      </c>
      <c r="C1399" s="3">
        <v>4.8516E8</v>
      </c>
      <c r="D1399" s="3">
        <v>58.25</v>
      </c>
      <c r="E1399" s="3">
        <v>485.16</v>
      </c>
    </row>
    <row r="1400" ht="12.75" customHeight="1">
      <c r="A1400" s="3">
        <v>72.0</v>
      </c>
      <c r="B1400" s="3">
        <v>89.6</v>
      </c>
      <c r="C1400" s="3">
        <v>0.0</v>
      </c>
      <c r="D1400" s="3">
        <v>0.0</v>
      </c>
      <c r="E1400" s="3">
        <v>0.0</v>
      </c>
    </row>
    <row r="1401" ht="12.75" customHeight="1">
      <c r="A1401" s="3">
        <v>72.0</v>
      </c>
      <c r="B1401" s="3">
        <v>90.0</v>
      </c>
      <c r="C1401" s="3">
        <v>120000.0</v>
      </c>
      <c r="D1401" s="3">
        <v>0.08</v>
      </c>
      <c r="E1401" s="3">
        <v>0.12</v>
      </c>
    </row>
    <row r="1402" ht="12.75" customHeight="1">
      <c r="A1402" s="3">
        <v>72.0</v>
      </c>
      <c r="B1402" s="3">
        <v>91.0</v>
      </c>
      <c r="C1402" s="3">
        <v>230000.0</v>
      </c>
      <c r="D1402" s="3">
        <v>0.12</v>
      </c>
      <c r="E1402" s="3">
        <v>0.23</v>
      </c>
    </row>
    <row r="1403" ht="12.75" customHeight="1">
      <c r="A1403" s="3">
        <v>72.0</v>
      </c>
      <c r="B1403" s="3">
        <v>92.0</v>
      </c>
      <c r="C1403" s="3">
        <v>400000.0</v>
      </c>
      <c r="D1403" s="3">
        <v>0.18</v>
      </c>
      <c r="E1403" s="3">
        <v>0.4</v>
      </c>
    </row>
    <row r="1404" ht="12.75" customHeight="1">
      <c r="A1404" s="3">
        <v>72.0</v>
      </c>
      <c r="B1404" s="3">
        <v>93.0</v>
      </c>
      <c r="C1404" s="3">
        <v>600000.0</v>
      </c>
      <c r="D1404" s="3">
        <v>0.26</v>
      </c>
      <c r="E1404" s="3">
        <v>0.6</v>
      </c>
    </row>
    <row r="1405" ht="12.75" customHeight="1">
      <c r="A1405" s="3">
        <v>72.0</v>
      </c>
      <c r="B1405" s="3">
        <v>94.0</v>
      </c>
      <c r="C1405" s="3">
        <v>930000.0</v>
      </c>
      <c r="D1405" s="3">
        <v>0.38</v>
      </c>
      <c r="E1405" s="3">
        <v>0.93</v>
      </c>
    </row>
    <row r="1406" ht="12.75" customHeight="1">
      <c r="A1406" s="3">
        <v>72.0</v>
      </c>
      <c r="B1406" s="3">
        <v>95.0</v>
      </c>
      <c r="C1406" s="3">
        <v>1390000.0</v>
      </c>
      <c r="D1406" s="3">
        <v>0.46</v>
      </c>
      <c r="E1406" s="3">
        <v>1.39</v>
      </c>
    </row>
    <row r="1407" ht="12.75" customHeight="1">
      <c r="A1407" s="3">
        <v>72.0</v>
      </c>
      <c r="B1407" s="3">
        <v>96.0</v>
      </c>
      <c r="C1407" s="3">
        <v>1900000.0</v>
      </c>
      <c r="D1407" s="3">
        <v>0.6</v>
      </c>
      <c r="E1407" s="3">
        <v>1.9</v>
      </c>
    </row>
    <row r="1408" ht="12.75" customHeight="1">
      <c r="A1408" s="3">
        <v>72.0</v>
      </c>
      <c r="B1408" s="3">
        <v>97.0</v>
      </c>
      <c r="C1408" s="3">
        <v>2580000.0</v>
      </c>
      <c r="D1408" s="3">
        <v>0.76</v>
      </c>
      <c r="E1408" s="3">
        <v>2.58</v>
      </c>
    </row>
    <row r="1409" ht="12.75" customHeight="1">
      <c r="A1409" s="3">
        <v>72.0</v>
      </c>
      <c r="B1409" s="3">
        <v>97.5</v>
      </c>
      <c r="C1409" s="3">
        <v>3000000.0</v>
      </c>
      <c r="D1409" s="3">
        <v>0.83</v>
      </c>
      <c r="E1409" s="3">
        <v>3.0</v>
      </c>
    </row>
    <row r="1410" ht="12.75" customHeight="1">
      <c r="A1410" s="3">
        <v>72.0</v>
      </c>
      <c r="B1410" s="3">
        <v>98.0</v>
      </c>
      <c r="C1410" s="3">
        <v>3400000.0</v>
      </c>
      <c r="D1410" s="3">
        <v>0.9</v>
      </c>
      <c r="E1410" s="3">
        <v>3.4</v>
      </c>
    </row>
    <row r="1411" ht="12.75" customHeight="1">
      <c r="A1411" s="3">
        <v>72.0</v>
      </c>
      <c r="B1411" s="3">
        <v>99.0</v>
      </c>
      <c r="C1411" s="3">
        <v>4400000.0</v>
      </c>
      <c r="D1411" s="3">
        <v>1.06</v>
      </c>
      <c r="E1411" s="3">
        <v>4.4</v>
      </c>
    </row>
    <row r="1412" ht="12.75" customHeight="1">
      <c r="A1412" s="3">
        <v>72.0</v>
      </c>
      <c r="B1412" s="3">
        <v>100.0</v>
      </c>
      <c r="C1412" s="3">
        <v>5530000.0</v>
      </c>
      <c r="D1412" s="3">
        <v>1.2</v>
      </c>
      <c r="E1412" s="3">
        <v>5.53</v>
      </c>
    </row>
    <row r="1413" ht="12.75" customHeight="1">
      <c r="A1413" s="3">
        <v>73.0</v>
      </c>
      <c r="B1413" s="3">
        <v>89.75</v>
      </c>
      <c r="C1413" s="3">
        <v>0.0</v>
      </c>
      <c r="D1413" s="3">
        <v>0.0</v>
      </c>
      <c r="E1413" s="3">
        <v>0.0</v>
      </c>
    </row>
    <row r="1414" ht="12.75" customHeight="1">
      <c r="A1414" s="3">
        <v>73.0</v>
      </c>
      <c r="B1414" s="3">
        <v>90.0</v>
      </c>
      <c r="C1414" s="3">
        <v>10.0</v>
      </c>
      <c r="D1414" s="3">
        <v>2.0E-4</v>
      </c>
      <c r="E1414" s="3">
        <v>1.0E-5</v>
      </c>
    </row>
    <row r="1415" ht="12.75" customHeight="1">
      <c r="A1415" s="3">
        <v>73.0</v>
      </c>
      <c r="B1415" s="3">
        <v>90.5</v>
      </c>
      <c r="C1415" s="3">
        <v>500.0</v>
      </c>
      <c r="D1415" s="3">
        <v>0.0023</v>
      </c>
      <c r="E1415" s="3">
        <v>5.0E-4</v>
      </c>
    </row>
    <row r="1416" ht="12.75" customHeight="1">
      <c r="A1416" s="3">
        <v>73.0</v>
      </c>
      <c r="B1416" s="3">
        <v>91.0</v>
      </c>
      <c r="C1416" s="3">
        <v>2300.0</v>
      </c>
      <c r="D1416" s="3">
        <v>0.004</v>
      </c>
      <c r="E1416" s="3">
        <v>0.0023</v>
      </c>
    </row>
    <row r="1417" ht="12.75" customHeight="1">
      <c r="A1417" s="3">
        <v>73.0</v>
      </c>
      <c r="B1417" s="3">
        <v>91.5</v>
      </c>
      <c r="C1417" s="3">
        <v>4800.0</v>
      </c>
      <c r="D1417" s="3">
        <v>0.006</v>
      </c>
      <c r="E1417" s="3">
        <v>0.0048</v>
      </c>
    </row>
    <row r="1418" ht="12.75" customHeight="1">
      <c r="A1418" s="3">
        <v>73.0</v>
      </c>
      <c r="B1418" s="3">
        <v>92.0</v>
      </c>
      <c r="C1418" s="3">
        <v>8600.0</v>
      </c>
      <c r="D1418" s="3">
        <v>0.009</v>
      </c>
      <c r="E1418" s="3">
        <v>0.0086</v>
      </c>
    </row>
    <row r="1419" ht="12.75" customHeight="1">
      <c r="A1419" s="3">
        <v>73.0</v>
      </c>
      <c r="B1419" s="3">
        <v>92.5</v>
      </c>
      <c r="C1419" s="3">
        <v>14000.0</v>
      </c>
      <c r="D1419" s="3">
        <v>0.01</v>
      </c>
      <c r="E1419" s="3">
        <v>0.014</v>
      </c>
    </row>
    <row r="1420" ht="12.75" customHeight="1">
      <c r="A1420" s="3">
        <v>73.0</v>
      </c>
      <c r="B1420" s="3">
        <v>93.0</v>
      </c>
      <c r="C1420" s="3">
        <v>21000.0</v>
      </c>
      <c r="D1420" s="3">
        <v>0.02</v>
      </c>
      <c r="E1420" s="3">
        <v>0.021</v>
      </c>
    </row>
    <row r="1421" ht="12.75" customHeight="1">
      <c r="A1421" s="3">
        <v>73.0</v>
      </c>
      <c r="B1421" s="3">
        <v>93.5</v>
      </c>
      <c r="C1421" s="3">
        <v>29000.0</v>
      </c>
      <c r="D1421" s="3">
        <v>0.02</v>
      </c>
      <c r="E1421" s="3">
        <v>0.029</v>
      </c>
    </row>
    <row r="1422" ht="12.75" customHeight="1">
      <c r="A1422" s="3">
        <v>73.0</v>
      </c>
      <c r="B1422" s="3">
        <v>94.0</v>
      </c>
      <c r="C1422" s="3">
        <v>38500.0</v>
      </c>
      <c r="D1422" s="3">
        <v>0.02</v>
      </c>
      <c r="E1422" s="3">
        <v>0.0385</v>
      </c>
    </row>
    <row r="1423" ht="12.75" customHeight="1">
      <c r="A1423" s="3">
        <v>73.0</v>
      </c>
      <c r="B1423" s="3">
        <v>94.5</v>
      </c>
      <c r="C1423" s="3">
        <v>50000.0</v>
      </c>
      <c r="D1423" s="3">
        <v>0.03</v>
      </c>
      <c r="E1423" s="3">
        <v>0.05</v>
      </c>
    </row>
    <row r="1424" ht="12.75" customHeight="1">
      <c r="A1424" s="3">
        <v>73.0</v>
      </c>
      <c r="B1424" s="3">
        <v>95.0</v>
      </c>
      <c r="C1424" s="3">
        <v>64000.0</v>
      </c>
      <c r="D1424" s="3">
        <v>0.03</v>
      </c>
      <c r="E1424" s="3">
        <v>0.064</v>
      </c>
    </row>
    <row r="1425" ht="12.75" customHeight="1">
      <c r="A1425" s="3">
        <v>73.0</v>
      </c>
      <c r="B1425" s="3">
        <v>95.5</v>
      </c>
      <c r="C1425" s="3">
        <v>79000.0</v>
      </c>
      <c r="D1425" s="3">
        <v>0.03</v>
      </c>
      <c r="E1425" s="3">
        <v>0.079</v>
      </c>
    </row>
    <row r="1426" ht="12.75" customHeight="1">
      <c r="A1426" s="3">
        <v>73.0</v>
      </c>
      <c r="B1426" s="3">
        <v>96.0</v>
      </c>
      <c r="C1426" s="3">
        <v>98000.0</v>
      </c>
      <c r="D1426" s="3">
        <v>0.04</v>
      </c>
      <c r="E1426" s="3">
        <v>0.098</v>
      </c>
    </row>
    <row r="1427" ht="12.75" customHeight="1">
      <c r="A1427" s="3">
        <v>73.0</v>
      </c>
      <c r="B1427" s="3">
        <v>96.5</v>
      </c>
      <c r="C1427" s="3">
        <v>120000.0</v>
      </c>
      <c r="D1427" s="3">
        <v>0.05</v>
      </c>
      <c r="E1427" s="3">
        <v>0.12</v>
      </c>
    </row>
    <row r="1428" ht="12.75" customHeight="1">
      <c r="A1428" s="3">
        <v>73.0</v>
      </c>
      <c r="B1428" s="3">
        <v>97.0</v>
      </c>
      <c r="C1428" s="3">
        <v>146000.0</v>
      </c>
      <c r="D1428" s="3">
        <v>0.06</v>
      </c>
      <c r="E1428" s="3">
        <v>0.146</v>
      </c>
    </row>
    <row r="1429" ht="12.75" customHeight="1">
      <c r="A1429" s="3">
        <v>73.0</v>
      </c>
      <c r="B1429" s="3">
        <v>98.0</v>
      </c>
      <c r="C1429" s="3">
        <v>190000.0</v>
      </c>
      <c r="D1429" s="3">
        <v>0.07</v>
      </c>
      <c r="E1429" s="3">
        <v>0.19</v>
      </c>
    </row>
    <row r="1430" ht="12.75" customHeight="1">
      <c r="A1430" s="3">
        <v>73.0</v>
      </c>
      <c r="B1430" s="3">
        <v>99.0</v>
      </c>
      <c r="C1430" s="3">
        <v>244000.0</v>
      </c>
      <c r="D1430" s="3">
        <v>0.09</v>
      </c>
      <c r="E1430" s="3">
        <v>0.244</v>
      </c>
    </row>
    <row r="1431" ht="12.75" customHeight="1">
      <c r="A1431" s="3">
        <v>74.0</v>
      </c>
      <c r="B1431" s="3">
        <v>90.0</v>
      </c>
      <c r="C1431" s="3">
        <v>0.0</v>
      </c>
      <c r="D1431" s="3">
        <v>0.0</v>
      </c>
      <c r="E1431" s="3">
        <v>0.0</v>
      </c>
    </row>
    <row r="1432" ht="12.75" customHeight="1">
      <c r="A1432" s="3">
        <v>74.0</v>
      </c>
      <c r="B1432" s="3">
        <v>91.0</v>
      </c>
      <c r="C1432" s="3">
        <v>20000.0</v>
      </c>
      <c r="D1432" s="3">
        <v>0.05</v>
      </c>
      <c r="E1432" s="3">
        <v>0.02</v>
      </c>
    </row>
    <row r="1433" ht="12.75" customHeight="1">
      <c r="A1433" s="3">
        <v>74.0</v>
      </c>
      <c r="B1433" s="3">
        <v>92.0</v>
      </c>
      <c r="C1433" s="3">
        <v>130000.0</v>
      </c>
      <c r="D1433" s="3">
        <v>0.14</v>
      </c>
      <c r="E1433" s="3">
        <v>0.13</v>
      </c>
    </row>
    <row r="1434" ht="12.75" customHeight="1">
      <c r="A1434" s="3">
        <v>74.0</v>
      </c>
      <c r="B1434" s="3">
        <v>93.0</v>
      </c>
      <c r="C1434" s="3">
        <v>370000.0</v>
      </c>
      <c r="D1434" s="3">
        <v>0.35</v>
      </c>
      <c r="E1434" s="3">
        <v>0.37</v>
      </c>
    </row>
    <row r="1435" ht="12.75" customHeight="1">
      <c r="A1435" s="3">
        <v>74.0</v>
      </c>
      <c r="B1435" s="3">
        <v>94.0</v>
      </c>
      <c r="C1435" s="3">
        <v>810000.0</v>
      </c>
      <c r="D1435" s="3">
        <v>0.54</v>
      </c>
      <c r="E1435" s="3">
        <v>0.81</v>
      </c>
    </row>
    <row r="1436" ht="12.75" customHeight="1">
      <c r="A1436" s="3">
        <v>74.0</v>
      </c>
      <c r="B1436" s="3">
        <v>95.0</v>
      </c>
      <c r="C1436" s="3">
        <v>1510000.0</v>
      </c>
      <c r="D1436" s="3">
        <v>0.84</v>
      </c>
      <c r="E1436" s="3">
        <v>1.51</v>
      </c>
    </row>
    <row r="1437" ht="12.75" customHeight="1">
      <c r="A1437" s="3">
        <v>74.0</v>
      </c>
      <c r="B1437" s="3">
        <v>96.0</v>
      </c>
      <c r="C1437" s="3">
        <v>2510000.0</v>
      </c>
      <c r="D1437" s="3">
        <v>1.16</v>
      </c>
      <c r="E1437" s="3">
        <v>2.51</v>
      </c>
    </row>
    <row r="1438" ht="12.75" customHeight="1">
      <c r="A1438" s="3">
        <v>74.0</v>
      </c>
      <c r="B1438" s="3">
        <v>97.0</v>
      </c>
      <c r="C1438" s="3">
        <v>3880000.0</v>
      </c>
      <c r="D1438" s="3">
        <v>1.56</v>
      </c>
      <c r="E1438" s="3">
        <v>3.88</v>
      </c>
    </row>
    <row r="1439" ht="12.75" customHeight="1">
      <c r="A1439" s="3">
        <v>74.0</v>
      </c>
      <c r="B1439" s="3">
        <v>98.0</v>
      </c>
      <c r="C1439" s="3">
        <v>5630000.0</v>
      </c>
      <c r="D1439" s="3">
        <v>1.94</v>
      </c>
      <c r="E1439" s="3">
        <v>5.63</v>
      </c>
    </row>
    <row r="1440" ht="12.75" customHeight="1">
      <c r="A1440" s="3">
        <v>74.0</v>
      </c>
      <c r="B1440" s="3">
        <v>99.0</v>
      </c>
      <c r="C1440" s="3">
        <v>7730000.0</v>
      </c>
      <c r="D1440" s="3">
        <v>2.25</v>
      </c>
      <c r="E1440" s="3">
        <v>7.73</v>
      </c>
    </row>
    <row r="1441" ht="12.75" customHeight="1">
      <c r="A1441" s="3">
        <v>74.0</v>
      </c>
      <c r="B1441" s="3">
        <v>100.0</v>
      </c>
      <c r="C1441" s="3">
        <v>1.02E7</v>
      </c>
      <c r="D1441" s="3">
        <v>2.67</v>
      </c>
      <c r="E1441" s="3">
        <v>10.2</v>
      </c>
    </row>
    <row r="1442" ht="12.75" customHeight="1">
      <c r="A1442" s="3">
        <v>74.0</v>
      </c>
      <c r="B1442" s="3">
        <v>101.0</v>
      </c>
      <c r="C1442" s="3">
        <v>1.311E7</v>
      </c>
      <c r="D1442" s="3">
        <v>3.15</v>
      </c>
      <c r="E1442" s="3">
        <v>13.11</v>
      </c>
    </row>
    <row r="1443" ht="12.75" customHeight="1">
      <c r="A1443" s="3">
        <v>74.0</v>
      </c>
      <c r="B1443" s="3">
        <v>102.0</v>
      </c>
      <c r="C1443" s="3">
        <v>1.5E7</v>
      </c>
      <c r="D1443" s="3">
        <v>4.5</v>
      </c>
      <c r="E1443" s="3">
        <v>15.0</v>
      </c>
    </row>
    <row r="1444" ht="12.75" customHeight="1">
      <c r="A1444" s="3">
        <v>74.0</v>
      </c>
      <c r="B1444" s="3">
        <v>103.0</v>
      </c>
      <c r="C1444" s="3">
        <v>1.7E7</v>
      </c>
      <c r="D1444" s="3">
        <v>5.0</v>
      </c>
      <c r="E1444" s="3">
        <v>17.0</v>
      </c>
    </row>
    <row r="1445" ht="12.75" customHeight="1">
      <c r="A1445" s="3">
        <v>75.0</v>
      </c>
      <c r="B1445" s="3">
        <v>206.0</v>
      </c>
      <c r="C1445" s="3">
        <v>0.0</v>
      </c>
      <c r="D1445" s="3">
        <v>0.0</v>
      </c>
      <c r="E1445" s="3">
        <v>0.0</v>
      </c>
    </row>
    <row r="1446" ht="12.75" customHeight="1">
      <c r="A1446" s="3">
        <v>75.0</v>
      </c>
      <c r="B1446" s="3">
        <v>207.0</v>
      </c>
      <c r="C1446" s="3">
        <v>2000.0</v>
      </c>
      <c r="D1446" s="3">
        <v>0.004</v>
      </c>
      <c r="E1446" s="3">
        <v>0.002</v>
      </c>
    </row>
    <row r="1447" ht="12.75" customHeight="1">
      <c r="A1447" s="3">
        <v>75.0</v>
      </c>
      <c r="B1447" s="3">
        <v>208.0</v>
      </c>
      <c r="C1447" s="3">
        <v>10000.0</v>
      </c>
      <c r="D1447" s="3">
        <v>0.01</v>
      </c>
      <c r="E1447" s="3">
        <v>0.01</v>
      </c>
    </row>
    <row r="1448" ht="12.75" customHeight="1">
      <c r="A1448" s="3">
        <v>75.0</v>
      </c>
      <c r="B1448" s="3">
        <v>209.0</v>
      </c>
      <c r="C1448" s="3">
        <v>20000.0</v>
      </c>
      <c r="D1448" s="3">
        <v>0.03</v>
      </c>
      <c r="E1448" s="3">
        <v>0.02</v>
      </c>
    </row>
    <row r="1449" ht="12.75" customHeight="1">
      <c r="A1449" s="3">
        <v>75.0</v>
      </c>
      <c r="B1449" s="3">
        <v>210.0</v>
      </c>
      <c r="C1449" s="3">
        <v>60000.0</v>
      </c>
      <c r="D1449" s="3">
        <v>0.06</v>
      </c>
      <c r="E1449" s="3">
        <v>0.06</v>
      </c>
    </row>
    <row r="1450" ht="12.75" customHeight="1">
      <c r="A1450" s="3">
        <v>75.0</v>
      </c>
      <c r="B1450" s="3">
        <v>211.0</v>
      </c>
      <c r="C1450" s="3">
        <v>110000.0</v>
      </c>
      <c r="D1450" s="3">
        <v>0.1</v>
      </c>
      <c r="E1450" s="3">
        <v>0.11</v>
      </c>
    </row>
    <row r="1451" ht="12.75" customHeight="1">
      <c r="A1451" s="3">
        <v>75.0</v>
      </c>
      <c r="B1451" s="3">
        <v>212.0</v>
      </c>
      <c r="C1451" s="3">
        <v>180000.0</v>
      </c>
      <c r="D1451" s="3">
        <v>0.14</v>
      </c>
      <c r="E1451" s="3">
        <v>0.18</v>
      </c>
    </row>
    <row r="1452" ht="12.75" customHeight="1">
      <c r="A1452" s="3">
        <v>75.0</v>
      </c>
      <c r="B1452" s="3">
        <v>213.0</v>
      </c>
      <c r="C1452" s="3">
        <v>280000.0</v>
      </c>
      <c r="D1452" s="3">
        <v>0.2</v>
      </c>
      <c r="E1452" s="3">
        <v>0.28</v>
      </c>
    </row>
    <row r="1453" ht="12.75" customHeight="1">
      <c r="A1453" s="3">
        <v>75.0</v>
      </c>
      <c r="B1453" s="3">
        <v>214.0</v>
      </c>
      <c r="C1453" s="3">
        <v>430000.0</v>
      </c>
      <c r="D1453" s="3">
        <v>0.29</v>
      </c>
      <c r="E1453" s="3">
        <v>0.43</v>
      </c>
    </row>
    <row r="1454" ht="12.75" customHeight="1">
      <c r="A1454" s="3">
        <v>75.0</v>
      </c>
      <c r="B1454" s="3">
        <v>215.0</v>
      </c>
      <c r="C1454" s="3">
        <v>620000.0</v>
      </c>
      <c r="D1454" s="3">
        <v>0.37</v>
      </c>
      <c r="E1454" s="3">
        <v>0.62</v>
      </c>
    </row>
    <row r="1455" ht="12.75" customHeight="1">
      <c r="A1455" s="3">
        <v>75.0</v>
      </c>
      <c r="B1455" s="3">
        <v>216.0</v>
      </c>
      <c r="C1455" s="3">
        <v>830000.0</v>
      </c>
      <c r="D1455" s="3">
        <v>0.41</v>
      </c>
      <c r="E1455" s="3">
        <v>0.83</v>
      </c>
    </row>
    <row r="1456" ht="12.75" customHeight="1">
      <c r="A1456" s="3">
        <v>75.0</v>
      </c>
      <c r="B1456" s="3">
        <v>217.0</v>
      </c>
      <c r="C1456" s="3">
        <v>1090000.0</v>
      </c>
      <c r="D1456" s="3">
        <v>0.52</v>
      </c>
      <c r="E1456" s="3">
        <v>1.09</v>
      </c>
    </row>
    <row r="1457" ht="12.75" customHeight="1">
      <c r="A1457" s="3">
        <v>75.0</v>
      </c>
      <c r="B1457" s="3">
        <v>218.0</v>
      </c>
      <c r="C1457" s="3">
        <v>1430000.0</v>
      </c>
      <c r="D1457" s="3">
        <v>0.69</v>
      </c>
      <c r="E1457" s="3">
        <v>1.43</v>
      </c>
    </row>
    <row r="1458" ht="12.75" customHeight="1">
      <c r="A1458" s="3">
        <v>75.0</v>
      </c>
      <c r="B1458" s="3">
        <v>219.0</v>
      </c>
      <c r="C1458" s="3">
        <v>1820000.0</v>
      </c>
      <c r="D1458" s="3">
        <v>0.77</v>
      </c>
      <c r="E1458" s="3">
        <v>1.82</v>
      </c>
    </row>
    <row r="1459" ht="12.75" customHeight="1">
      <c r="A1459" s="3">
        <v>75.0</v>
      </c>
      <c r="B1459" s="3">
        <v>220.0</v>
      </c>
      <c r="C1459" s="3">
        <v>2240000.0</v>
      </c>
      <c r="D1459" s="3">
        <v>0.84</v>
      </c>
      <c r="E1459" s="3">
        <v>2.24</v>
      </c>
    </row>
    <row r="1460" ht="12.75" customHeight="1">
      <c r="A1460" s="3">
        <v>75.0</v>
      </c>
      <c r="B1460" s="3">
        <v>220.5</v>
      </c>
      <c r="C1460" s="3">
        <v>2720000.0</v>
      </c>
      <c r="D1460" s="3">
        <v>0.94</v>
      </c>
      <c r="E1460" s="3">
        <v>2.72</v>
      </c>
    </row>
    <row r="1461" ht="12.75" customHeight="1">
      <c r="A1461" s="3">
        <v>75.0</v>
      </c>
      <c r="B1461" s="3">
        <v>221.0</v>
      </c>
      <c r="C1461" s="3">
        <v>3000000.0</v>
      </c>
      <c r="D1461" s="3">
        <v>1.0</v>
      </c>
      <c r="E1461" s="3">
        <v>3.0</v>
      </c>
    </row>
    <row r="1462" ht="12.75" customHeight="1">
      <c r="A1462" s="3">
        <v>75.0</v>
      </c>
      <c r="B1462" s="3">
        <v>222.0</v>
      </c>
      <c r="C1462" s="3">
        <v>3500000.0</v>
      </c>
      <c r="D1462" s="3">
        <v>1.8</v>
      </c>
      <c r="E1462" s="3">
        <v>3.5</v>
      </c>
    </row>
    <row r="1463" ht="12.75" customHeight="1">
      <c r="A1463" s="3">
        <v>76.0</v>
      </c>
      <c r="B1463" s="3">
        <v>305.0</v>
      </c>
      <c r="C1463" s="3">
        <v>0.0</v>
      </c>
      <c r="D1463" s="3">
        <v>0.0</v>
      </c>
      <c r="E1463" s="3">
        <v>0.0</v>
      </c>
    </row>
    <row r="1464" ht="12.75" customHeight="1">
      <c r="A1464" s="3">
        <v>76.0</v>
      </c>
      <c r="B1464" s="3">
        <v>307.0</v>
      </c>
      <c r="C1464" s="3">
        <v>160000.0</v>
      </c>
      <c r="D1464" s="3">
        <v>0.0</v>
      </c>
      <c r="E1464" s="3">
        <v>0.16</v>
      </c>
    </row>
    <row r="1465" ht="12.75" customHeight="1">
      <c r="A1465" s="3">
        <v>76.0</v>
      </c>
      <c r="B1465" s="3">
        <v>309.0</v>
      </c>
      <c r="C1465" s="3">
        <v>500000.0</v>
      </c>
      <c r="D1465" s="3">
        <v>0.0</v>
      </c>
      <c r="E1465" s="3">
        <v>0.5</v>
      </c>
    </row>
    <row r="1466" ht="12.75" customHeight="1">
      <c r="A1466" s="3">
        <v>76.0</v>
      </c>
      <c r="B1466" s="3">
        <v>311.0</v>
      </c>
      <c r="C1466" s="3">
        <v>1200000.0</v>
      </c>
      <c r="D1466" s="3">
        <v>0.0</v>
      </c>
      <c r="E1466" s="3">
        <v>1.2</v>
      </c>
    </row>
    <row r="1467" ht="12.75" customHeight="1">
      <c r="A1467" s="3">
        <v>76.0</v>
      </c>
      <c r="B1467" s="3">
        <v>313.0</v>
      </c>
      <c r="C1467" s="3">
        <v>2130000.0</v>
      </c>
      <c r="D1467" s="3">
        <v>0.0</v>
      </c>
      <c r="E1467" s="3">
        <v>2.13</v>
      </c>
    </row>
    <row r="1468" ht="12.75" customHeight="1">
      <c r="A1468" s="3">
        <v>76.0</v>
      </c>
      <c r="B1468" s="3">
        <v>314.0</v>
      </c>
      <c r="C1468" s="3">
        <v>2680000.0</v>
      </c>
      <c r="D1468" s="3">
        <v>0.0</v>
      </c>
      <c r="E1468" s="3">
        <v>2.68</v>
      </c>
    </row>
    <row r="1469" ht="12.75" customHeight="1">
      <c r="A1469" s="3">
        <v>77.0</v>
      </c>
      <c r="B1469" s="3">
        <v>33.0</v>
      </c>
      <c r="C1469" s="3">
        <v>0.0</v>
      </c>
      <c r="D1469" s="3">
        <v>0.0</v>
      </c>
      <c r="E1469" s="3">
        <v>0.0</v>
      </c>
    </row>
    <row r="1470" ht="12.75" customHeight="1">
      <c r="A1470" s="3">
        <v>77.0</v>
      </c>
      <c r="B1470" s="3">
        <v>34.0</v>
      </c>
      <c r="C1470" s="3">
        <v>3733.0</v>
      </c>
      <c r="D1470" s="3">
        <v>0.01</v>
      </c>
      <c r="E1470" s="3">
        <v>0.003733</v>
      </c>
    </row>
    <row r="1471" ht="12.75" customHeight="1">
      <c r="A1471" s="3">
        <v>77.0</v>
      </c>
      <c r="B1471" s="3">
        <v>35.0</v>
      </c>
      <c r="C1471" s="3">
        <v>20000.0</v>
      </c>
      <c r="D1471" s="3">
        <v>0.03</v>
      </c>
      <c r="E1471" s="3">
        <v>0.02</v>
      </c>
    </row>
    <row r="1472" ht="12.75" customHeight="1">
      <c r="A1472" s="3">
        <v>77.0</v>
      </c>
      <c r="B1472" s="3">
        <v>36.0</v>
      </c>
      <c r="C1472" s="3">
        <v>90000.0</v>
      </c>
      <c r="D1472" s="3">
        <v>0.1</v>
      </c>
      <c r="E1472" s="3">
        <v>0.09</v>
      </c>
    </row>
    <row r="1473" ht="12.75" customHeight="1">
      <c r="A1473" s="3">
        <v>77.0</v>
      </c>
      <c r="B1473" s="3">
        <v>37.0</v>
      </c>
      <c r="C1473" s="3">
        <v>280000.0</v>
      </c>
      <c r="D1473" s="3">
        <v>0.27</v>
      </c>
      <c r="E1473" s="3">
        <v>0.28</v>
      </c>
    </row>
    <row r="1474" ht="12.75" customHeight="1">
      <c r="A1474" s="3">
        <v>77.0</v>
      </c>
      <c r="B1474" s="3">
        <v>38.0</v>
      </c>
      <c r="C1474" s="3">
        <v>640000.0</v>
      </c>
      <c r="D1474" s="3">
        <v>0.45</v>
      </c>
      <c r="E1474" s="3">
        <v>0.64</v>
      </c>
    </row>
    <row r="1475" ht="12.75" customHeight="1">
      <c r="A1475" s="3">
        <v>77.0</v>
      </c>
      <c r="B1475" s="3">
        <v>39.0</v>
      </c>
      <c r="C1475" s="3">
        <v>1210000.0</v>
      </c>
      <c r="D1475" s="3">
        <v>0.67</v>
      </c>
      <c r="E1475" s="3">
        <v>1.21</v>
      </c>
    </row>
    <row r="1476" ht="12.75" customHeight="1">
      <c r="A1476" s="3">
        <v>77.0</v>
      </c>
      <c r="B1476" s="3">
        <v>40.0</v>
      </c>
      <c r="C1476" s="3">
        <v>2020000.0</v>
      </c>
      <c r="D1476" s="3">
        <v>0.94</v>
      </c>
      <c r="E1476" s="3">
        <v>2.02</v>
      </c>
    </row>
    <row r="1477" ht="12.75" customHeight="1">
      <c r="A1477" s="3">
        <v>77.0</v>
      </c>
      <c r="B1477" s="3">
        <v>41.0</v>
      </c>
      <c r="C1477" s="3">
        <v>3160000.0</v>
      </c>
      <c r="D1477" s="3">
        <v>1.32</v>
      </c>
      <c r="E1477" s="3">
        <v>3.16</v>
      </c>
    </row>
    <row r="1478" ht="12.75" customHeight="1">
      <c r="A1478" s="3">
        <v>77.0</v>
      </c>
      <c r="B1478" s="3">
        <v>42.0</v>
      </c>
      <c r="C1478" s="3">
        <v>4620000.0</v>
      </c>
      <c r="D1478" s="3">
        <v>1.6</v>
      </c>
      <c r="E1478" s="3">
        <v>4.62</v>
      </c>
    </row>
    <row r="1479" ht="12.75" customHeight="1">
      <c r="A1479" s="3">
        <v>77.0</v>
      </c>
      <c r="B1479" s="3">
        <v>43.0</v>
      </c>
      <c r="C1479" s="3">
        <v>6440000.0</v>
      </c>
      <c r="D1479" s="3">
        <v>2.03</v>
      </c>
      <c r="E1479" s="3">
        <v>6.44</v>
      </c>
    </row>
    <row r="1480" ht="12.75" customHeight="1">
      <c r="A1480" s="3">
        <v>77.0</v>
      </c>
      <c r="B1480" s="3">
        <v>44.0</v>
      </c>
      <c r="C1480" s="3">
        <v>8680000.0</v>
      </c>
      <c r="D1480" s="3">
        <v>2.45</v>
      </c>
      <c r="E1480" s="3">
        <v>8.68</v>
      </c>
    </row>
    <row r="1481" ht="12.75" customHeight="1">
      <c r="A1481" s="3">
        <v>77.0</v>
      </c>
      <c r="B1481" s="3">
        <v>45.0</v>
      </c>
      <c r="C1481" s="3">
        <v>1.136E7</v>
      </c>
      <c r="D1481" s="3">
        <v>2.89</v>
      </c>
      <c r="E1481" s="3">
        <v>11.36</v>
      </c>
    </row>
    <row r="1482" ht="12.75" customHeight="1">
      <c r="A1482" s="3">
        <v>77.0</v>
      </c>
      <c r="B1482" s="3">
        <v>46.0</v>
      </c>
      <c r="C1482" s="3">
        <v>1.448E7</v>
      </c>
      <c r="D1482" s="3">
        <v>3.34</v>
      </c>
      <c r="E1482" s="3">
        <v>14.48</v>
      </c>
    </row>
    <row r="1483" ht="12.75" customHeight="1">
      <c r="A1483" s="3">
        <v>77.0</v>
      </c>
      <c r="B1483" s="3">
        <v>47.0</v>
      </c>
      <c r="C1483" s="3">
        <v>1.811E7</v>
      </c>
      <c r="D1483" s="3">
        <v>3.9</v>
      </c>
      <c r="E1483" s="3">
        <v>18.11</v>
      </c>
    </row>
    <row r="1484" ht="12.75" customHeight="1">
      <c r="A1484" s="3">
        <v>77.0</v>
      </c>
      <c r="B1484" s="3">
        <v>48.0</v>
      </c>
      <c r="C1484" s="3">
        <v>2.236E7</v>
      </c>
      <c r="D1484" s="3">
        <v>4.59</v>
      </c>
      <c r="E1484" s="3">
        <v>22.36</v>
      </c>
    </row>
    <row r="1485" ht="12.75" customHeight="1">
      <c r="A1485" s="3">
        <v>77.0</v>
      </c>
      <c r="B1485" s="3">
        <v>49.0</v>
      </c>
      <c r="C1485" s="3">
        <v>2.732E7</v>
      </c>
      <c r="D1485" s="3">
        <v>5.32</v>
      </c>
      <c r="E1485" s="3">
        <v>27.32</v>
      </c>
    </row>
    <row r="1486" ht="12.75" customHeight="1">
      <c r="A1486" s="3">
        <v>77.0</v>
      </c>
      <c r="B1486" s="3">
        <v>50.0</v>
      </c>
      <c r="C1486" s="3">
        <v>3.302E7</v>
      </c>
      <c r="D1486" s="3">
        <v>6.07</v>
      </c>
      <c r="E1486" s="3">
        <v>33.02</v>
      </c>
    </row>
    <row r="1487" ht="12.75" customHeight="1">
      <c r="A1487" s="3">
        <v>77.0</v>
      </c>
      <c r="B1487" s="3">
        <v>51.0</v>
      </c>
      <c r="C1487" s="3">
        <v>3.951E7</v>
      </c>
      <c r="D1487" s="3">
        <v>6.9</v>
      </c>
      <c r="E1487" s="3">
        <v>39.51</v>
      </c>
    </row>
    <row r="1488" ht="12.75" customHeight="1">
      <c r="A1488" s="3">
        <v>77.0</v>
      </c>
      <c r="B1488" s="3">
        <v>52.0</v>
      </c>
      <c r="C1488" s="3">
        <v>4.69E7</v>
      </c>
      <c r="D1488" s="3">
        <v>7.88</v>
      </c>
      <c r="E1488" s="3">
        <v>46.9</v>
      </c>
    </row>
    <row r="1489" ht="12.75" customHeight="1">
      <c r="A1489" s="3">
        <v>77.0</v>
      </c>
      <c r="B1489" s="3">
        <v>53.0</v>
      </c>
      <c r="C1489" s="3">
        <v>5.515E7</v>
      </c>
      <c r="D1489" s="3">
        <v>8.6</v>
      </c>
      <c r="E1489" s="3">
        <v>55.15</v>
      </c>
    </row>
    <row r="1490" ht="12.75" customHeight="1">
      <c r="A1490" s="3">
        <v>77.0</v>
      </c>
      <c r="B1490" s="3">
        <v>54.0</v>
      </c>
      <c r="C1490" s="3">
        <v>6.447E7</v>
      </c>
      <c r="D1490" s="3">
        <v>10.02</v>
      </c>
      <c r="E1490" s="3">
        <v>64.47</v>
      </c>
    </row>
    <row r="1491" ht="12.75" customHeight="1">
      <c r="A1491" s="3">
        <v>78.0</v>
      </c>
      <c r="B1491" s="3">
        <v>102.95</v>
      </c>
      <c r="C1491" s="3">
        <v>0.0</v>
      </c>
      <c r="D1491" s="3">
        <v>0.0</v>
      </c>
      <c r="E1491" s="3">
        <v>0.0</v>
      </c>
    </row>
    <row r="1492" ht="12.75" customHeight="1">
      <c r="A1492" s="3">
        <v>78.0</v>
      </c>
      <c r="B1492" s="3">
        <v>103.0</v>
      </c>
      <c r="C1492" s="3">
        <v>0.0</v>
      </c>
      <c r="D1492" s="3">
        <v>9.0E-4</v>
      </c>
      <c r="E1492" s="3">
        <v>0.0</v>
      </c>
    </row>
    <row r="1493" ht="12.75" customHeight="1">
      <c r="A1493" s="3">
        <v>78.0</v>
      </c>
      <c r="B1493" s="3">
        <v>104.0</v>
      </c>
      <c r="C1493" s="3">
        <v>1000.0</v>
      </c>
      <c r="D1493" s="3">
        <v>0.003</v>
      </c>
      <c r="E1493" s="3">
        <v>0.001</v>
      </c>
    </row>
    <row r="1494" ht="12.75" customHeight="1">
      <c r="A1494" s="3">
        <v>78.0</v>
      </c>
      <c r="B1494" s="3">
        <v>105.0</v>
      </c>
      <c r="C1494" s="3">
        <v>10000.0</v>
      </c>
      <c r="D1494" s="3">
        <v>0.018</v>
      </c>
      <c r="E1494" s="3">
        <v>0.01</v>
      </c>
    </row>
    <row r="1495" ht="12.75" customHeight="1">
      <c r="A1495" s="3">
        <v>78.0</v>
      </c>
      <c r="B1495" s="3">
        <v>106.0</v>
      </c>
      <c r="C1495" s="3">
        <v>46000.0</v>
      </c>
      <c r="D1495" s="3">
        <v>0.059</v>
      </c>
      <c r="E1495" s="3">
        <v>0.046</v>
      </c>
    </row>
    <row r="1496" ht="12.75" customHeight="1">
      <c r="A1496" s="3">
        <v>78.0</v>
      </c>
      <c r="B1496" s="3">
        <v>107.0</v>
      </c>
      <c r="C1496" s="3">
        <v>137000.0</v>
      </c>
      <c r="D1496" s="3">
        <v>0.13</v>
      </c>
      <c r="E1496" s="3">
        <v>0.137</v>
      </c>
    </row>
    <row r="1497" ht="12.75" customHeight="1">
      <c r="A1497" s="3">
        <v>78.0</v>
      </c>
      <c r="B1497" s="3">
        <v>108.0</v>
      </c>
      <c r="C1497" s="3">
        <v>316000.0</v>
      </c>
      <c r="D1497" s="3">
        <v>0.235</v>
      </c>
      <c r="E1497" s="3">
        <v>0.316</v>
      </c>
    </row>
    <row r="1498" ht="12.75" customHeight="1">
      <c r="A1498" s="3">
        <v>78.0</v>
      </c>
      <c r="B1498" s="3">
        <v>109.0</v>
      </c>
      <c r="C1498" s="3">
        <v>617000.0</v>
      </c>
      <c r="D1498" s="3">
        <v>0.373</v>
      </c>
      <c r="E1498" s="3">
        <v>0.617</v>
      </c>
    </row>
    <row r="1499" ht="12.75" customHeight="1">
      <c r="A1499" s="3">
        <v>78.0</v>
      </c>
      <c r="B1499" s="3">
        <v>110.0</v>
      </c>
      <c r="C1499" s="3">
        <v>1050000.0</v>
      </c>
      <c r="D1499" s="3">
        <v>0.492</v>
      </c>
      <c r="E1499" s="3">
        <v>1.05</v>
      </c>
    </row>
    <row r="1500" ht="12.75" customHeight="1">
      <c r="A1500" s="3">
        <v>78.0</v>
      </c>
      <c r="B1500" s="3">
        <v>111.0</v>
      </c>
      <c r="C1500" s="3">
        <v>1600000.0</v>
      </c>
      <c r="D1500" s="3">
        <v>0.59</v>
      </c>
      <c r="E1500" s="3">
        <v>1.6</v>
      </c>
    </row>
    <row r="1501" ht="12.75" customHeight="1">
      <c r="A1501" s="3">
        <v>78.0</v>
      </c>
      <c r="B1501" s="3">
        <v>112.0</v>
      </c>
      <c r="C1501" s="3">
        <v>2230000.0</v>
      </c>
      <c r="D1501" s="3">
        <v>0.684</v>
      </c>
      <c r="E1501" s="3">
        <v>2.23</v>
      </c>
    </row>
    <row r="1502" ht="12.75" customHeight="1">
      <c r="A1502" s="3">
        <v>78.0</v>
      </c>
      <c r="B1502" s="3">
        <v>113.0</v>
      </c>
      <c r="C1502" s="3">
        <v>2950000.0</v>
      </c>
      <c r="D1502" s="3">
        <v>0.753</v>
      </c>
      <c r="E1502" s="3">
        <v>2.95</v>
      </c>
    </row>
    <row r="1503" ht="12.75" customHeight="1">
      <c r="A1503" s="3">
        <v>78.0</v>
      </c>
      <c r="B1503" s="3">
        <v>114.0</v>
      </c>
      <c r="C1503" s="3">
        <v>3740000.0</v>
      </c>
      <c r="D1503" s="3">
        <v>0.818</v>
      </c>
      <c r="E1503" s="3">
        <v>3.74</v>
      </c>
    </row>
    <row r="1504" ht="12.75" customHeight="1">
      <c r="A1504" s="3">
        <v>78.0</v>
      </c>
      <c r="B1504" s="3">
        <v>115.0</v>
      </c>
      <c r="C1504" s="3">
        <v>4600000.0</v>
      </c>
      <c r="D1504" s="3">
        <v>0.911</v>
      </c>
      <c r="E1504" s="3">
        <v>4.6</v>
      </c>
    </row>
    <row r="1505" ht="12.75" customHeight="1">
      <c r="A1505" s="3">
        <v>78.0</v>
      </c>
      <c r="B1505" s="3">
        <v>116.0</v>
      </c>
      <c r="C1505" s="3">
        <v>5570000.0</v>
      </c>
      <c r="D1505" s="3">
        <v>1.046</v>
      </c>
      <c r="E1505" s="3">
        <v>5.57</v>
      </c>
    </row>
    <row r="1506" ht="12.75" customHeight="1">
      <c r="A1506" s="3">
        <v>78.0</v>
      </c>
      <c r="B1506" s="3">
        <v>117.0</v>
      </c>
      <c r="C1506" s="3">
        <v>6680000.0</v>
      </c>
      <c r="D1506" s="3">
        <v>1.174</v>
      </c>
      <c r="E1506" s="3">
        <v>6.68</v>
      </c>
    </row>
    <row r="1507" ht="12.75" customHeight="1">
      <c r="A1507" s="3">
        <v>78.0</v>
      </c>
      <c r="B1507" s="3">
        <v>118.0</v>
      </c>
      <c r="C1507" s="3">
        <v>7905000.0</v>
      </c>
      <c r="D1507" s="3">
        <v>1.278</v>
      </c>
      <c r="E1507" s="3">
        <v>7.905</v>
      </c>
    </row>
    <row r="1508" ht="12.75" customHeight="1">
      <c r="A1508" s="3">
        <v>78.0</v>
      </c>
      <c r="B1508" s="3">
        <v>119.0</v>
      </c>
      <c r="C1508" s="3">
        <v>9630000.0</v>
      </c>
      <c r="D1508" s="3">
        <v>1.379</v>
      </c>
      <c r="E1508" s="3">
        <v>9.63</v>
      </c>
    </row>
    <row r="1509" ht="12.75" customHeight="1">
      <c r="A1509" s="3">
        <v>78.0</v>
      </c>
      <c r="B1509" s="3">
        <v>120.0</v>
      </c>
      <c r="C1509" s="3">
        <v>1.066E7</v>
      </c>
      <c r="D1509" s="3">
        <v>1.471</v>
      </c>
      <c r="E1509" s="3">
        <v>10.66</v>
      </c>
    </row>
    <row r="1510" ht="12.75" customHeight="1">
      <c r="A1510" s="3">
        <v>78.0</v>
      </c>
      <c r="B1510" s="3">
        <v>121.0</v>
      </c>
      <c r="C1510" s="3">
        <v>1.22E7</v>
      </c>
      <c r="D1510" s="3">
        <v>1.562</v>
      </c>
      <c r="E1510" s="3">
        <v>12.2</v>
      </c>
    </row>
    <row r="1511" ht="12.75" customHeight="1">
      <c r="A1511" s="3">
        <v>78.0</v>
      </c>
      <c r="B1511" s="3">
        <v>122.0</v>
      </c>
      <c r="C1511" s="3">
        <v>1.38E7</v>
      </c>
      <c r="D1511" s="3">
        <v>1.661</v>
      </c>
      <c r="E1511" s="3">
        <v>13.8</v>
      </c>
    </row>
    <row r="1512" ht="12.75" customHeight="1">
      <c r="A1512" s="3">
        <v>78.0</v>
      </c>
      <c r="B1512" s="3">
        <v>123.0</v>
      </c>
      <c r="C1512" s="3">
        <v>1.55E7</v>
      </c>
      <c r="D1512" s="3">
        <v>1.746</v>
      </c>
      <c r="E1512" s="3">
        <v>15.5</v>
      </c>
    </row>
    <row r="1513" ht="12.75" customHeight="1">
      <c r="A1513" s="3">
        <v>78.0</v>
      </c>
      <c r="B1513" s="3">
        <v>124.0</v>
      </c>
      <c r="C1513" s="3">
        <v>1.728E7</v>
      </c>
      <c r="D1513" s="3">
        <v>1.825</v>
      </c>
      <c r="E1513" s="3">
        <v>17.28</v>
      </c>
    </row>
    <row r="1514" ht="12.75" customHeight="1">
      <c r="A1514" s="3">
        <v>78.0</v>
      </c>
      <c r="B1514" s="3">
        <v>125.0</v>
      </c>
      <c r="C1514" s="3">
        <v>1.914E7</v>
      </c>
      <c r="D1514" s="3">
        <v>1.898</v>
      </c>
      <c r="E1514" s="3">
        <v>19.14</v>
      </c>
    </row>
    <row r="1515" ht="12.75" customHeight="1">
      <c r="A1515" s="3">
        <v>78.0</v>
      </c>
      <c r="B1515" s="3">
        <v>126.0</v>
      </c>
      <c r="C1515" s="3">
        <v>2.1073E7</v>
      </c>
      <c r="D1515" s="3">
        <v>1.969</v>
      </c>
      <c r="E1515" s="3">
        <v>21.073</v>
      </c>
    </row>
    <row r="1516" ht="12.75" customHeight="1">
      <c r="A1516" s="3">
        <v>78.0</v>
      </c>
      <c r="B1516" s="3">
        <v>127.0</v>
      </c>
      <c r="C1516" s="3">
        <v>2.308E7</v>
      </c>
      <c r="D1516" s="3">
        <v>2.04</v>
      </c>
      <c r="E1516" s="3">
        <v>23.08</v>
      </c>
    </row>
    <row r="1517" ht="12.75" customHeight="1">
      <c r="A1517" s="3">
        <v>78.0</v>
      </c>
      <c r="B1517" s="3">
        <v>128.0</v>
      </c>
      <c r="C1517" s="3">
        <v>2.515E7</v>
      </c>
      <c r="D1517" s="3">
        <v>2.115</v>
      </c>
      <c r="E1517" s="3">
        <v>25.15</v>
      </c>
    </row>
    <row r="1518" ht="12.75" customHeight="1">
      <c r="A1518" s="3">
        <v>78.0</v>
      </c>
      <c r="B1518" s="3">
        <v>129.0</v>
      </c>
      <c r="C1518" s="3">
        <v>2.731E7</v>
      </c>
      <c r="D1518" s="3">
        <v>2.196</v>
      </c>
      <c r="E1518" s="3">
        <v>27.31</v>
      </c>
    </row>
    <row r="1519" ht="12.75" customHeight="1">
      <c r="A1519" s="3">
        <v>78.0</v>
      </c>
      <c r="B1519" s="3">
        <v>130.0</v>
      </c>
      <c r="C1519" s="3">
        <v>2.9E7</v>
      </c>
      <c r="D1519" s="3">
        <v>2.281</v>
      </c>
      <c r="E1519" s="3">
        <v>29.0</v>
      </c>
    </row>
    <row r="1520" ht="12.75" customHeight="1">
      <c r="A1520" s="3">
        <v>78.0</v>
      </c>
      <c r="B1520" s="3">
        <v>130.02</v>
      </c>
      <c r="C1520" s="3">
        <v>2.96E7</v>
      </c>
      <c r="D1520" s="3">
        <v>2.293</v>
      </c>
      <c r="E1520" s="3">
        <v>29.6</v>
      </c>
    </row>
    <row r="1521" ht="12.75" customHeight="1">
      <c r="A1521" s="3">
        <v>78.0</v>
      </c>
      <c r="B1521" s="3">
        <v>131.0</v>
      </c>
      <c r="C1521" s="3">
        <v>3.18E7</v>
      </c>
      <c r="D1521" s="3">
        <v>2.367</v>
      </c>
      <c r="E1521" s="3">
        <v>31.8</v>
      </c>
    </row>
    <row r="1522" ht="12.75" customHeight="1">
      <c r="A1522" s="3">
        <v>78.0</v>
      </c>
      <c r="B1522" s="3">
        <v>132.0</v>
      </c>
      <c r="C1522" s="3">
        <v>3.4E7</v>
      </c>
      <c r="D1522" s="3">
        <v>2.452</v>
      </c>
      <c r="E1522" s="3">
        <v>34.0</v>
      </c>
    </row>
    <row r="1523" ht="12.75" customHeight="1">
      <c r="A1523" s="3">
        <v>79.0</v>
      </c>
      <c r="B1523" s="3">
        <v>81.88</v>
      </c>
      <c r="C1523" s="3">
        <v>0.0</v>
      </c>
      <c r="D1523" s="3">
        <v>0.0</v>
      </c>
      <c r="E1523" s="3">
        <v>0.0</v>
      </c>
    </row>
    <row r="1524" ht="12.75" customHeight="1">
      <c r="A1524" s="3">
        <v>79.0</v>
      </c>
      <c r="B1524" s="3">
        <v>82.45</v>
      </c>
      <c r="C1524" s="3">
        <v>30.0</v>
      </c>
      <c r="D1524" s="3">
        <v>3.0E-4</v>
      </c>
      <c r="E1524" s="3">
        <v>3.0E-5</v>
      </c>
    </row>
    <row r="1525" ht="12.75" customHeight="1">
      <c r="A1525" s="3">
        <v>79.0</v>
      </c>
      <c r="B1525" s="3">
        <v>83.45</v>
      </c>
      <c r="C1525" s="3">
        <v>2100.0</v>
      </c>
      <c r="D1525" s="3">
        <v>0.0</v>
      </c>
      <c r="E1525" s="3">
        <v>0.0021</v>
      </c>
    </row>
    <row r="1526" ht="12.75" customHeight="1">
      <c r="A1526" s="3">
        <v>79.0</v>
      </c>
      <c r="B1526" s="3">
        <v>84.45</v>
      </c>
      <c r="C1526" s="3">
        <v>11300.0</v>
      </c>
      <c r="D1526" s="3">
        <v>0.01</v>
      </c>
      <c r="E1526" s="3">
        <v>0.0113</v>
      </c>
    </row>
    <row r="1527" ht="12.75" customHeight="1">
      <c r="A1527" s="3">
        <v>79.0</v>
      </c>
      <c r="B1527" s="3">
        <v>85.45</v>
      </c>
      <c r="C1527" s="3">
        <v>31100.0</v>
      </c>
      <c r="D1527" s="3">
        <v>0.03</v>
      </c>
      <c r="E1527" s="3">
        <v>0.0311</v>
      </c>
    </row>
    <row r="1528" ht="12.75" customHeight="1">
      <c r="A1528" s="3">
        <v>79.0</v>
      </c>
      <c r="B1528" s="3">
        <v>86.45</v>
      </c>
      <c r="C1528" s="3">
        <v>66300.0</v>
      </c>
      <c r="D1528" s="3">
        <v>0.04</v>
      </c>
      <c r="E1528" s="3">
        <v>0.0663</v>
      </c>
    </row>
    <row r="1529" ht="12.75" customHeight="1">
      <c r="A1529" s="3">
        <v>79.0</v>
      </c>
      <c r="B1529" s="3">
        <v>87.45</v>
      </c>
      <c r="C1529" s="3">
        <v>120700.0</v>
      </c>
      <c r="D1529" s="3">
        <v>0.06</v>
      </c>
      <c r="E1529" s="3">
        <v>0.1207</v>
      </c>
    </row>
    <row r="1530" ht="12.75" customHeight="1">
      <c r="A1530" s="3">
        <v>79.0</v>
      </c>
      <c r="B1530" s="3">
        <v>88.45</v>
      </c>
      <c r="C1530" s="3">
        <v>196000.0</v>
      </c>
      <c r="D1530" s="3">
        <v>0.09</v>
      </c>
      <c r="E1530" s="3">
        <v>0.196</v>
      </c>
    </row>
    <row r="1531" ht="12.75" customHeight="1">
      <c r="A1531" s="3">
        <v>79.0</v>
      </c>
      <c r="B1531" s="3">
        <v>89.45</v>
      </c>
      <c r="C1531" s="3">
        <v>295400.0</v>
      </c>
      <c r="D1531" s="3">
        <v>0.11</v>
      </c>
      <c r="E1531" s="3">
        <v>0.2954</v>
      </c>
    </row>
    <row r="1532" ht="12.75" customHeight="1">
      <c r="A1532" s="3">
        <v>79.0</v>
      </c>
      <c r="B1532" s="3">
        <v>90.45</v>
      </c>
      <c r="C1532" s="3">
        <v>416700.0</v>
      </c>
      <c r="D1532" s="3">
        <v>0.13</v>
      </c>
      <c r="E1532" s="3">
        <v>0.4167</v>
      </c>
    </row>
    <row r="1533" ht="12.75" customHeight="1">
      <c r="A1533" s="3">
        <v>79.0</v>
      </c>
      <c r="B1533" s="3">
        <v>91.45</v>
      </c>
      <c r="C1533" s="3">
        <v>560000.0</v>
      </c>
      <c r="D1533" s="3">
        <v>0.16</v>
      </c>
      <c r="E1533" s="3">
        <v>0.56</v>
      </c>
    </row>
    <row r="1534" ht="12.75" customHeight="1">
      <c r="A1534" s="3">
        <v>79.0</v>
      </c>
      <c r="B1534" s="3">
        <v>92.45</v>
      </c>
      <c r="C1534" s="3">
        <v>725000.0</v>
      </c>
      <c r="D1534" s="3">
        <v>0.18</v>
      </c>
      <c r="E1534" s="3">
        <v>0.725</v>
      </c>
    </row>
    <row r="1535" ht="12.75" customHeight="1">
      <c r="A1535" s="3">
        <v>79.0</v>
      </c>
      <c r="B1535" s="3">
        <v>93.45</v>
      </c>
      <c r="C1535" s="3">
        <v>805000.0</v>
      </c>
      <c r="D1535" s="3">
        <v>0.18</v>
      </c>
      <c r="E1535" s="3">
        <v>0.805</v>
      </c>
    </row>
    <row r="1536" ht="12.75" customHeight="1">
      <c r="A1536" s="3">
        <v>79.0</v>
      </c>
      <c r="B1536" s="3">
        <v>94.0</v>
      </c>
      <c r="C1536" s="3">
        <v>975500.0</v>
      </c>
      <c r="D1536" s="3">
        <v>0.21</v>
      </c>
      <c r="E1536" s="3">
        <v>0.9755</v>
      </c>
    </row>
    <row r="1537" ht="12.75" customHeight="1">
      <c r="A1537" s="3">
        <v>79.0</v>
      </c>
      <c r="B1537" s="3">
        <v>95.0</v>
      </c>
      <c r="C1537" s="3">
        <v>1315500.0</v>
      </c>
      <c r="D1537" s="3">
        <v>0.24</v>
      </c>
      <c r="E1537" s="3">
        <v>1.3155</v>
      </c>
    </row>
    <row r="1538" ht="12.75" customHeight="1">
      <c r="A1538" s="3">
        <v>79.0</v>
      </c>
      <c r="B1538" s="3">
        <v>96.0</v>
      </c>
      <c r="C1538" s="3">
        <v>1755500.0</v>
      </c>
      <c r="D1538" s="3">
        <v>0.28</v>
      </c>
      <c r="E1538" s="3">
        <v>1.7555</v>
      </c>
    </row>
    <row r="1539" ht="12.75" customHeight="1">
      <c r="A1539" s="3">
        <v>79.0</v>
      </c>
      <c r="B1539" s="3">
        <v>97.0</v>
      </c>
      <c r="C1539" s="3">
        <v>2135500.0</v>
      </c>
      <c r="D1539" s="3">
        <v>0.33</v>
      </c>
      <c r="E1539" s="3">
        <v>2.1355</v>
      </c>
    </row>
    <row r="1540" ht="12.75" customHeight="1">
      <c r="A1540" s="3">
        <v>79.0</v>
      </c>
      <c r="B1540" s="3">
        <v>97.5</v>
      </c>
      <c r="C1540" s="3">
        <v>2965500.0</v>
      </c>
      <c r="D1540" s="3">
        <v>0.35</v>
      </c>
      <c r="E1540" s="3">
        <v>2.9655</v>
      </c>
    </row>
    <row r="1541" ht="12.75" customHeight="1">
      <c r="A1541" s="3">
        <v>79.0</v>
      </c>
      <c r="B1541" s="3">
        <v>98.5</v>
      </c>
      <c r="C1541" s="3">
        <v>3370000.0</v>
      </c>
      <c r="D1541" s="3">
        <v>0.4</v>
      </c>
      <c r="E1541" s="3">
        <v>3.37</v>
      </c>
    </row>
    <row r="1542" ht="12.75" customHeight="1">
      <c r="A1542" s="3">
        <v>79.0</v>
      </c>
      <c r="B1542" s="3">
        <v>99.0</v>
      </c>
      <c r="C1542" s="3">
        <v>3793500.0</v>
      </c>
      <c r="D1542" s="3">
        <v>0.43</v>
      </c>
      <c r="E1542" s="3">
        <v>3.7935</v>
      </c>
    </row>
    <row r="1543" ht="12.75" customHeight="1">
      <c r="A1543" s="3">
        <v>79.0</v>
      </c>
      <c r="B1543" s="3">
        <v>100.0</v>
      </c>
      <c r="C1543" s="3">
        <v>4483500.0</v>
      </c>
      <c r="D1543" s="3">
        <v>0.48</v>
      </c>
      <c r="E1543" s="3">
        <v>4.4835</v>
      </c>
    </row>
    <row r="1544" ht="12.75" customHeight="1">
      <c r="A1544" s="3">
        <v>80.0</v>
      </c>
      <c r="B1544" s="3">
        <v>22.48</v>
      </c>
      <c r="C1544" s="3">
        <v>0.0</v>
      </c>
      <c r="D1544" s="3">
        <v>0.0</v>
      </c>
      <c r="E1544" s="3">
        <v>0.0</v>
      </c>
    </row>
    <row r="1545" ht="12.75" customHeight="1">
      <c r="A1545" s="3">
        <v>80.0</v>
      </c>
      <c r="B1545" s="3">
        <v>23.0</v>
      </c>
      <c r="C1545" s="3">
        <v>100.0</v>
      </c>
      <c r="D1545" s="3">
        <v>0.001</v>
      </c>
      <c r="E1545" s="3">
        <v>1.0E-4</v>
      </c>
    </row>
    <row r="1546" ht="12.75" customHeight="1">
      <c r="A1546" s="3">
        <v>80.0</v>
      </c>
      <c r="B1546" s="3">
        <v>24.0</v>
      </c>
      <c r="C1546" s="3">
        <v>17000.0</v>
      </c>
      <c r="D1546" s="3">
        <v>0.063</v>
      </c>
      <c r="E1546" s="3">
        <v>0.017</v>
      </c>
    </row>
    <row r="1547" ht="12.75" customHeight="1">
      <c r="A1547" s="3">
        <v>80.0</v>
      </c>
      <c r="B1547" s="3">
        <v>25.0</v>
      </c>
      <c r="C1547" s="3">
        <v>357000.0</v>
      </c>
      <c r="D1547" s="3">
        <v>0.74</v>
      </c>
      <c r="E1547" s="3">
        <v>0.357</v>
      </c>
    </row>
    <row r="1548" ht="12.75" customHeight="1">
      <c r="A1548" s="3">
        <v>80.0</v>
      </c>
      <c r="B1548" s="3">
        <v>26.0</v>
      </c>
      <c r="C1548" s="3">
        <v>1902000.0</v>
      </c>
      <c r="D1548" s="3">
        <v>2.59</v>
      </c>
      <c r="E1548" s="3">
        <v>1.902</v>
      </c>
    </row>
    <row r="1549" ht="12.75" customHeight="1">
      <c r="A1549" s="3">
        <v>80.0</v>
      </c>
      <c r="B1549" s="3">
        <v>27.0</v>
      </c>
      <c r="C1549" s="3">
        <v>5923000.0</v>
      </c>
      <c r="D1549" s="3">
        <v>5.44</v>
      </c>
      <c r="E1549" s="3">
        <v>5.923</v>
      </c>
    </row>
    <row r="1550" ht="12.75" customHeight="1">
      <c r="A1550" s="3">
        <v>80.0</v>
      </c>
      <c r="B1550" s="3">
        <v>28.0</v>
      </c>
      <c r="C1550" s="3">
        <v>1.2506E7</v>
      </c>
      <c r="D1550" s="3">
        <v>7.55</v>
      </c>
      <c r="E1550" s="3">
        <v>12.506</v>
      </c>
    </row>
    <row r="1551" ht="12.75" customHeight="1">
      <c r="A1551" s="3">
        <v>80.0</v>
      </c>
      <c r="B1551" s="3">
        <v>29.0</v>
      </c>
      <c r="C1551" s="3">
        <v>2.1128E7</v>
      </c>
      <c r="D1551" s="3">
        <v>9.7</v>
      </c>
      <c r="E1551" s="3">
        <v>21.128</v>
      </c>
    </row>
    <row r="1552" ht="12.75" customHeight="1">
      <c r="A1552" s="3">
        <v>80.0</v>
      </c>
      <c r="B1552" s="3">
        <v>30.0</v>
      </c>
      <c r="C1552" s="3">
        <v>3.1868E7</v>
      </c>
      <c r="D1552" s="3">
        <v>11.44</v>
      </c>
      <c r="E1552" s="3">
        <v>31.868</v>
      </c>
    </row>
    <row r="1553" ht="12.75" customHeight="1">
      <c r="A1553" s="3">
        <v>80.0</v>
      </c>
      <c r="B1553" s="3">
        <v>31.0</v>
      </c>
      <c r="C1553" s="3">
        <v>4.3626E7</v>
      </c>
      <c r="D1553" s="3">
        <v>12.0</v>
      </c>
      <c r="E1553" s="3">
        <v>43.626</v>
      </c>
    </row>
    <row r="1554" ht="12.75" customHeight="1">
      <c r="A1554" s="3">
        <v>80.0</v>
      </c>
      <c r="B1554" s="3">
        <v>31.22</v>
      </c>
      <c r="C1554" s="3">
        <v>4.63E7</v>
      </c>
      <c r="D1554" s="3">
        <v>12.2</v>
      </c>
      <c r="E1554" s="3">
        <v>46.3</v>
      </c>
    </row>
    <row r="1555" ht="12.75" customHeight="1">
      <c r="A1555" s="3">
        <v>80.0</v>
      </c>
      <c r="B1555" s="3">
        <v>32.0</v>
      </c>
      <c r="C1555" s="3">
        <v>6.095E7</v>
      </c>
      <c r="D1555" s="3">
        <v>15.1</v>
      </c>
      <c r="E1555" s="3">
        <v>60.95</v>
      </c>
    </row>
    <row r="1556" ht="12.75" customHeight="1">
      <c r="A1556" s="3">
        <v>80.0</v>
      </c>
      <c r="B1556" s="3">
        <v>33.0</v>
      </c>
      <c r="C1556" s="3">
        <v>8.3488E7</v>
      </c>
      <c r="D1556" s="3">
        <v>18.6</v>
      </c>
      <c r="E1556" s="3">
        <v>83.488</v>
      </c>
    </row>
    <row r="1557" ht="12.75" customHeight="1">
      <c r="A1557" s="3">
        <v>80.0</v>
      </c>
      <c r="B1557" s="3">
        <v>34.0</v>
      </c>
      <c r="C1557" s="3">
        <v>1.0928E8</v>
      </c>
      <c r="D1557" s="3">
        <v>21.5</v>
      </c>
      <c r="E1557" s="3">
        <v>109.28</v>
      </c>
    </row>
    <row r="1558" ht="12.75" customHeight="1">
      <c r="A1558" s="3">
        <v>80.0</v>
      </c>
      <c r="B1558" s="3">
        <v>35.0</v>
      </c>
      <c r="C1558" s="3">
        <v>1.37428E8</v>
      </c>
      <c r="D1558" s="3">
        <v>23.46</v>
      </c>
      <c r="E1558" s="3">
        <v>137.428</v>
      </c>
    </row>
    <row r="1559" ht="12.75" customHeight="1">
      <c r="A1559" s="3">
        <v>80.0</v>
      </c>
      <c r="B1559" s="3">
        <v>36.0</v>
      </c>
      <c r="C1559" s="3">
        <v>1.67418E8</v>
      </c>
      <c r="D1559" s="3">
        <v>25.26</v>
      </c>
      <c r="E1559" s="3">
        <v>167.418</v>
      </c>
    </row>
    <row r="1560" ht="12.75" customHeight="1">
      <c r="A1560" s="3">
        <v>80.0</v>
      </c>
      <c r="B1560" s="3">
        <v>37.0</v>
      </c>
      <c r="C1560" s="3">
        <v>1.99E8</v>
      </c>
      <c r="D1560" s="3">
        <v>27.1</v>
      </c>
      <c r="E1560" s="3">
        <v>199.0</v>
      </c>
    </row>
    <row r="1561" ht="12.75" customHeight="1">
      <c r="A1561" s="3">
        <v>80.0</v>
      </c>
      <c r="B1561" s="3">
        <v>38.0</v>
      </c>
      <c r="C1561" s="3">
        <v>2.32E8</v>
      </c>
      <c r="D1561" s="3">
        <v>30.0</v>
      </c>
      <c r="E1561" s="3">
        <v>232.0</v>
      </c>
    </row>
    <row r="1562" ht="12.75" customHeight="1">
      <c r="A1562" s="3">
        <v>80.0</v>
      </c>
      <c r="B1562" s="3">
        <v>39.0</v>
      </c>
      <c r="C1562" s="3">
        <v>2.7035E8</v>
      </c>
      <c r="D1562" s="3">
        <v>35.34</v>
      </c>
      <c r="E1562" s="3">
        <v>270.35</v>
      </c>
    </row>
    <row r="1563" ht="12.75" customHeight="1">
      <c r="A1563" s="3">
        <v>81.0</v>
      </c>
      <c r="B1563" s="3">
        <v>87.0</v>
      </c>
      <c r="C1563" s="3">
        <v>0.0</v>
      </c>
      <c r="D1563" s="3">
        <v>0.03</v>
      </c>
      <c r="E1563" s="3">
        <v>0.0</v>
      </c>
    </row>
    <row r="1564" ht="12.75" customHeight="1">
      <c r="A1564" s="3">
        <v>81.0</v>
      </c>
      <c r="B1564" s="3">
        <v>88.0</v>
      </c>
      <c r="C1564" s="3">
        <v>40000.0</v>
      </c>
      <c r="D1564" s="3">
        <v>0.05</v>
      </c>
      <c r="E1564" s="3">
        <v>0.04</v>
      </c>
    </row>
    <row r="1565" ht="12.75" customHeight="1">
      <c r="A1565" s="3">
        <v>81.0</v>
      </c>
      <c r="B1565" s="3">
        <v>89.0</v>
      </c>
      <c r="C1565" s="3">
        <v>150000.0</v>
      </c>
      <c r="D1565" s="3">
        <v>0.15</v>
      </c>
      <c r="E1565" s="3">
        <v>0.15</v>
      </c>
    </row>
    <row r="1566" ht="12.75" customHeight="1">
      <c r="A1566" s="3">
        <v>81.0</v>
      </c>
      <c r="B1566" s="3">
        <v>90.0</v>
      </c>
      <c r="C1566" s="3">
        <v>310000.0</v>
      </c>
      <c r="D1566" s="3">
        <v>0.17</v>
      </c>
      <c r="E1566" s="3">
        <v>0.31</v>
      </c>
    </row>
    <row r="1567" ht="12.75" customHeight="1">
      <c r="A1567" s="3">
        <v>81.0</v>
      </c>
      <c r="B1567" s="3">
        <v>91.0</v>
      </c>
      <c r="C1567" s="3">
        <v>580000.0</v>
      </c>
      <c r="D1567" s="3">
        <v>0.35</v>
      </c>
      <c r="E1567" s="3">
        <v>0.58</v>
      </c>
    </row>
    <row r="1568" ht="12.75" customHeight="1">
      <c r="A1568" s="3">
        <v>81.0</v>
      </c>
      <c r="B1568" s="3">
        <v>92.0</v>
      </c>
      <c r="C1568" s="3">
        <v>940000.0</v>
      </c>
      <c r="D1568" s="3">
        <v>0.36</v>
      </c>
      <c r="E1568" s="3">
        <v>0.94</v>
      </c>
    </row>
    <row r="1569" ht="12.75" customHeight="1">
      <c r="A1569" s="3">
        <v>81.0</v>
      </c>
      <c r="B1569" s="3">
        <v>93.0</v>
      </c>
      <c r="C1569" s="3">
        <v>1350000.0</v>
      </c>
      <c r="D1569" s="3">
        <v>0.46</v>
      </c>
      <c r="E1569" s="3">
        <v>1.35</v>
      </c>
    </row>
    <row r="1570" ht="12.75" customHeight="1">
      <c r="A1570" s="3">
        <v>81.0</v>
      </c>
      <c r="B1570" s="3">
        <v>94.0</v>
      </c>
      <c r="C1570" s="3">
        <v>1850000.0</v>
      </c>
      <c r="D1570" s="3">
        <v>0.53</v>
      </c>
      <c r="E1570" s="3">
        <v>1.85</v>
      </c>
    </row>
    <row r="1571" ht="12.75" customHeight="1">
      <c r="A1571" s="3">
        <v>81.0</v>
      </c>
      <c r="B1571" s="3">
        <v>95.0</v>
      </c>
      <c r="C1571" s="3">
        <v>2410000.0</v>
      </c>
      <c r="D1571" s="3">
        <v>0.58</v>
      </c>
      <c r="E1571" s="3">
        <v>2.41</v>
      </c>
    </row>
    <row r="1572" ht="12.75" customHeight="1">
      <c r="A1572" s="3">
        <v>81.0</v>
      </c>
      <c r="B1572" s="3">
        <v>96.0</v>
      </c>
      <c r="C1572" s="3">
        <v>3060000.0</v>
      </c>
      <c r="D1572" s="3">
        <v>0.7</v>
      </c>
      <c r="E1572" s="3">
        <v>3.06</v>
      </c>
    </row>
    <row r="1573" ht="12.75" customHeight="1">
      <c r="A1573" s="3">
        <v>81.0</v>
      </c>
      <c r="B1573" s="3">
        <v>97.0</v>
      </c>
      <c r="C1573" s="3">
        <v>3830000.0</v>
      </c>
      <c r="D1573" s="3">
        <v>0.82</v>
      </c>
      <c r="E1573" s="3">
        <v>3.83</v>
      </c>
    </row>
    <row r="1574" ht="12.75" customHeight="1">
      <c r="A1574" s="3">
        <v>81.0</v>
      </c>
      <c r="B1574" s="3">
        <v>98.0</v>
      </c>
      <c r="C1574" s="3">
        <v>4740000.0</v>
      </c>
      <c r="D1574" s="3">
        <v>0.99</v>
      </c>
      <c r="E1574" s="3">
        <v>4.74</v>
      </c>
    </row>
    <row r="1575" ht="12.75" customHeight="1">
      <c r="A1575" s="3">
        <v>81.0</v>
      </c>
      <c r="B1575" s="3">
        <v>99.0</v>
      </c>
      <c r="C1575" s="3">
        <v>5820000.0</v>
      </c>
      <c r="D1575" s="3">
        <v>1.16</v>
      </c>
      <c r="E1575" s="3">
        <v>5.82</v>
      </c>
    </row>
    <row r="1576" ht="12.75" customHeight="1">
      <c r="A1576" s="3">
        <v>81.0</v>
      </c>
      <c r="B1576" s="3">
        <v>100.0</v>
      </c>
      <c r="C1576" s="3">
        <v>7000000.0</v>
      </c>
      <c r="D1576" s="3">
        <v>1.18</v>
      </c>
      <c r="E1576" s="3">
        <v>7.0</v>
      </c>
    </row>
    <row r="1577" ht="12.75" customHeight="1">
      <c r="A1577" s="3">
        <v>81.0</v>
      </c>
      <c r="B1577" s="3">
        <v>101.0</v>
      </c>
      <c r="C1577" s="3">
        <v>8200000.0</v>
      </c>
      <c r="D1577" s="3">
        <v>1.19</v>
      </c>
      <c r="E1577" s="3">
        <v>8.2</v>
      </c>
    </row>
    <row r="1578" ht="12.75" customHeight="1">
      <c r="A1578" s="3">
        <v>81.0</v>
      </c>
      <c r="B1578" s="3">
        <v>102.0</v>
      </c>
      <c r="C1578" s="3">
        <v>9840000.0</v>
      </c>
      <c r="D1578" s="3">
        <v>2.09</v>
      </c>
      <c r="E1578" s="3">
        <v>9.84</v>
      </c>
    </row>
    <row r="1579" ht="12.75" customHeight="1">
      <c r="A1579" s="3">
        <v>81.0</v>
      </c>
      <c r="B1579" s="3">
        <v>103.0</v>
      </c>
      <c r="C1579" s="3">
        <v>1.1E7</v>
      </c>
      <c r="D1579" s="3">
        <v>2.7</v>
      </c>
      <c r="E1579" s="3">
        <v>11.0</v>
      </c>
    </row>
    <row r="1580" ht="12.75" customHeight="1">
      <c r="A1580" s="3">
        <v>81.0</v>
      </c>
      <c r="B1580" s="3">
        <v>104.0</v>
      </c>
      <c r="C1580" s="3">
        <v>1.5E7</v>
      </c>
      <c r="D1580" s="3">
        <v>3.5</v>
      </c>
      <c r="E1580" s="3">
        <v>15.0</v>
      </c>
    </row>
    <row r="1581" ht="12.75" customHeight="1">
      <c r="A1581" s="3">
        <v>82.0</v>
      </c>
      <c r="B1581" s="3">
        <v>86.87</v>
      </c>
      <c r="C1581" s="3">
        <v>0.0</v>
      </c>
      <c r="D1581" s="3">
        <v>0.0</v>
      </c>
      <c r="E1581" s="3">
        <v>0.0</v>
      </c>
    </row>
    <row r="1582" ht="12.75" customHeight="1">
      <c r="A1582" s="3">
        <v>82.0</v>
      </c>
      <c r="B1582" s="3">
        <v>87.0</v>
      </c>
      <c r="C1582" s="3">
        <v>0.0</v>
      </c>
      <c r="D1582" s="3">
        <v>0.0</v>
      </c>
      <c r="E1582" s="3">
        <v>0.0</v>
      </c>
    </row>
    <row r="1583" ht="12.75" customHeight="1">
      <c r="A1583" s="3">
        <v>82.0</v>
      </c>
      <c r="B1583" s="3">
        <v>88.0</v>
      </c>
      <c r="C1583" s="3">
        <v>20.0</v>
      </c>
      <c r="D1583" s="3">
        <v>1.0E-4</v>
      </c>
      <c r="E1583" s="3">
        <v>2.0E-5</v>
      </c>
    </row>
    <row r="1584" ht="12.75" customHeight="1">
      <c r="A1584" s="3">
        <v>82.0</v>
      </c>
      <c r="B1584" s="3">
        <v>89.0</v>
      </c>
      <c r="C1584" s="3">
        <v>1600.0</v>
      </c>
      <c r="D1584" s="3">
        <v>0.006</v>
      </c>
      <c r="E1584" s="3">
        <v>0.0016</v>
      </c>
    </row>
    <row r="1585" ht="12.75" customHeight="1">
      <c r="A1585" s="3">
        <v>82.0</v>
      </c>
      <c r="B1585" s="3">
        <v>90.0</v>
      </c>
      <c r="C1585" s="3">
        <v>30000.0</v>
      </c>
      <c r="D1585" s="3">
        <v>0.06</v>
      </c>
      <c r="E1585" s="3">
        <v>0.03</v>
      </c>
    </row>
    <row r="1586" ht="12.75" customHeight="1">
      <c r="A1586" s="3">
        <v>82.0</v>
      </c>
      <c r="B1586" s="3">
        <v>90.01</v>
      </c>
      <c r="C1586" s="3">
        <v>60000.0</v>
      </c>
      <c r="D1586" s="3">
        <v>0.6</v>
      </c>
      <c r="E1586" s="3">
        <v>0.06</v>
      </c>
    </row>
    <row r="1587" ht="12.75" customHeight="1">
      <c r="A1587" s="3">
        <v>82.0</v>
      </c>
      <c r="B1587" s="3">
        <v>91.0</v>
      </c>
      <c r="C1587" s="3">
        <v>159000.0</v>
      </c>
      <c r="D1587" s="3">
        <v>0.23</v>
      </c>
      <c r="E1587" s="3">
        <v>0.159</v>
      </c>
    </row>
    <row r="1588" ht="12.75" customHeight="1">
      <c r="A1588" s="3">
        <v>82.0</v>
      </c>
      <c r="B1588" s="3">
        <v>92.0</v>
      </c>
      <c r="C1588" s="3">
        <v>417000.0</v>
      </c>
      <c r="D1588" s="3">
        <v>0.27</v>
      </c>
      <c r="E1588" s="3">
        <v>0.417</v>
      </c>
    </row>
    <row r="1589" ht="12.75" customHeight="1">
      <c r="A1589" s="3">
        <v>82.0</v>
      </c>
      <c r="B1589" s="3">
        <v>92.23</v>
      </c>
      <c r="C1589" s="3">
        <v>480000.0</v>
      </c>
      <c r="D1589" s="3">
        <v>0.28</v>
      </c>
      <c r="E1589" s="3">
        <v>0.48</v>
      </c>
    </row>
    <row r="1590" ht="12.75" customHeight="1">
      <c r="A1590" s="3">
        <v>82.0</v>
      </c>
      <c r="B1590" s="3">
        <v>93.0</v>
      </c>
      <c r="C1590" s="3">
        <v>695000.0</v>
      </c>
      <c r="D1590" s="3">
        <v>0.34</v>
      </c>
      <c r="E1590" s="3">
        <v>0.695</v>
      </c>
    </row>
    <row r="1591" ht="12.75" customHeight="1">
      <c r="A1591" s="3">
        <v>82.0</v>
      </c>
      <c r="B1591" s="3">
        <v>94.0</v>
      </c>
      <c r="C1591" s="3">
        <v>1085000.0</v>
      </c>
      <c r="D1591" s="3">
        <v>0.48</v>
      </c>
      <c r="E1591" s="3">
        <v>1.085</v>
      </c>
    </row>
    <row r="1592" ht="12.75" customHeight="1">
      <c r="A1592" s="3">
        <v>82.0</v>
      </c>
      <c r="B1592" s="3">
        <v>95.0</v>
      </c>
      <c r="C1592" s="3">
        <v>1630000.0</v>
      </c>
      <c r="D1592" s="3">
        <v>0.67</v>
      </c>
      <c r="E1592" s="3">
        <v>1.63</v>
      </c>
    </row>
    <row r="1593" ht="12.75" customHeight="1">
      <c r="A1593" s="3">
        <v>82.0</v>
      </c>
      <c r="B1593" s="3">
        <v>96.0</v>
      </c>
      <c r="C1593" s="3">
        <v>2400000.0</v>
      </c>
      <c r="D1593" s="3">
        <v>0.95</v>
      </c>
      <c r="E1593" s="3">
        <v>2.4</v>
      </c>
    </row>
    <row r="1594" ht="12.75" customHeight="1">
      <c r="A1594" s="3">
        <v>82.0</v>
      </c>
      <c r="B1594" s="3">
        <v>97.0</v>
      </c>
      <c r="C1594" s="3">
        <v>3450000.0</v>
      </c>
      <c r="D1594" s="3">
        <v>1.15</v>
      </c>
      <c r="E1594" s="3">
        <v>3.45</v>
      </c>
    </row>
    <row r="1595" ht="12.75" customHeight="1">
      <c r="A1595" s="3">
        <v>82.0</v>
      </c>
      <c r="B1595" s="3">
        <v>98.0</v>
      </c>
      <c r="C1595" s="3">
        <v>4740000.0</v>
      </c>
      <c r="D1595" s="3">
        <v>1.5</v>
      </c>
      <c r="E1595" s="3">
        <v>4.74</v>
      </c>
    </row>
    <row r="1596" ht="12.75" customHeight="1">
      <c r="A1596" s="3">
        <v>82.0</v>
      </c>
      <c r="B1596" s="3">
        <v>99.0</v>
      </c>
      <c r="C1596" s="3">
        <v>6380000.0</v>
      </c>
      <c r="D1596" s="3">
        <v>1.81</v>
      </c>
      <c r="E1596" s="3">
        <v>6.38</v>
      </c>
    </row>
    <row r="1597" ht="12.75" customHeight="1">
      <c r="A1597" s="3">
        <v>82.0</v>
      </c>
      <c r="B1597" s="3">
        <v>100.0</v>
      </c>
      <c r="C1597" s="3">
        <v>7050000.0</v>
      </c>
      <c r="D1597" s="3">
        <v>2.03</v>
      </c>
      <c r="E1597" s="3">
        <v>7.05</v>
      </c>
    </row>
    <row r="1598" ht="12.75" customHeight="1">
      <c r="A1598" s="3">
        <v>82.0</v>
      </c>
      <c r="B1598" s="3">
        <v>101.0</v>
      </c>
      <c r="C1598" s="3">
        <v>9050000.0</v>
      </c>
      <c r="D1598" s="3">
        <v>3.53</v>
      </c>
      <c r="E1598" s="3">
        <v>9.05</v>
      </c>
    </row>
    <row r="1599" ht="12.75" customHeight="1">
      <c r="A1599" s="3">
        <v>83.0</v>
      </c>
      <c r="B1599" s="3">
        <v>96.8</v>
      </c>
      <c r="C1599" s="3">
        <v>0.0</v>
      </c>
      <c r="D1599" s="3">
        <v>0.0</v>
      </c>
      <c r="E1599" s="3">
        <v>0.0</v>
      </c>
    </row>
    <row r="1600" ht="12.75" customHeight="1">
      <c r="A1600" s="3">
        <v>83.0</v>
      </c>
      <c r="B1600" s="3">
        <v>97.0</v>
      </c>
      <c r="C1600" s="3">
        <v>1.0</v>
      </c>
      <c r="D1600" s="3">
        <v>0.0</v>
      </c>
      <c r="E1600" s="3">
        <v>1.0E-6</v>
      </c>
    </row>
    <row r="1601" ht="12.75" customHeight="1">
      <c r="A1601" s="3">
        <v>83.0</v>
      </c>
      <c r="B1601" s="3">
        <v>98.0</v>
      </c>
      <c r="C1601" s="3">
        <v>300.0</v>
      </c>
      <c r="D1601" s="3">
        <v>6.0E-4</v>
      </c>
      <c r="E1601" s="3">
        <v>3.0E-4</v>
      </c>
    </row>
    <row r="1602" ht="12.75" customHeight="1">
      <c r="A1602" s="3">
        <v>83.0</v>
      </c>
      <c r="B1602" s="3">
        <v>99.0</v>
      </c>
      <c r="C1602" s="3">
        <v>2150.0</v>
      </c>
      <c r="D1602" s="3">
        <v>0.0038</v>
      </c>
      <c r="E1602" s="3">
        <v>0.00215</v>
      </c>
    </row>
    <row r="1603" ht="12.75" customHeight="1">
      <c r="A1603" s="3">
        <v>83.0</v>
      </c>
      <c r="B1603" s="3">
        <v>100.0</v>
      </c>
      <c r="C1603" s="3">
        <v>10700.0</v>
      </c>
      <c r="D1603" s="3">
        <v>0.0148</v>
      </c>
      <c r="E1603" s="3">
        <v>0.0107</v>
      </c>
    </row>
    <row r="1604" ht="12.75" customHeight="1">
      <c r="A1604" s="3">
        <v>83.0</v>
      </c>
      <c r="B1604" s="3">
        <v>101.0</v>
      </c>
      <c r="C1604" s="3">
        <v>40000.0</v>
      </c>
      <c r="D1604" s="3">
        <v>0.0574</v>
      </c>
      <c r="E1604" s="3">
        <v>0.04</v>
      </c>
    </row>
    <row r="1605" ht="12.75" customHeight="1">
      <c r="A1605" s="3">
        <v>83.0</v>
      </c>
      <c r="B1605" s="3">
        <v>102.0</v>
      </c>
      <c r="C1605" s="3">
        <v>210000.0</v>
      </c>
      <c r="D1605" s="3">
        <v>0.1667</v>
      </c>
      <c r="E1605" s="3">
        <v>0.21</v>
      </c>
    </row>
    <row r="1606" ht="12.75" customHeight="1">
      <c r="A1606" s="3">
        <v>83.0</v>
      </c>
      <c r="B1606" s="3">
        <v>103.0</v>
      </c>
      <c r="C1606" s="3">
        <v>473000.0</v>
      </c>
      <c r="D1606" s="3">
        <v>0.4036</v>
      </c>
      <c r="E1606" s="3">
        <v>0.473</v>
      </c>
    </row>
    <row r="1607" ht="12.75" customHeight="1">
      <c r="A1607" s="3">
        <v>83.0</v>
      </c>
      <c r="B1607" s="3">
        <v>104.0</v>
      </c>
      <c r="C1607" s="3">
        <v>1001000.0</v>
      </c>
      <c r="D1607" s="3">
        <v>0.6445</v>
      </c>
      <c r="E1607" s="3">
        <v>1.001</v>
      </c>
    </row>
    <row r="1608" ht="12.75" customHeight="1">
      <c r="A1608" s="3">
        <v>83.0</v>
      </c>
      <c r="B1608" s="3">
        <v>105.0</v>
      </c>
      <c r="C1608" s="3">
        <v>1753000.0</v>
      </c>
      <c r="D1608" s="3">
        <v>0.8432</v>
      </c>
      <c r="E1608" s="3">
        <v>1.753</v>
      </c>
    </row>
    <row r="1609" ht="12.75" customHeight="1">
      <c r="A1609" s="3">
        <v>83.0</v>
      </c>
      <c r="B1609" s="3">
        <v>106.0</v>
      </c>
      <c r="C1609" s="3">
        <v>2618000.0</v>
      </c>
      <c r="D1609" s="3">
        <v>0.8857</v>
      </c>
      <c r="E1609" s="3">
        <v>2.618</v>
      </c>
    </row>
    <row r="1610" ht="12.75" customHeight="1">
      <c r="A1610" s="3">
        <v>83.0</v>
      </c>
      <c r="B1610" s="3">
        <v>106.3</v>
      </c>
      <c r="C1610" s="3">
        <v>2886000.0</v>
      </c>
      <c r="D1610" s="3">
        <v>0.8979</v>
      </c>
      <c r="E1610" s="3">
        <v>2.886</v>
      </c>
    </row>
    <row r="1611" ht="12.75" customHeight="1">
      <c r="A1611" s="3">
        <v>83.0</v>
      </c>
      <c r="B1611" s="3">
        <v>107.0</v>
      </c>
      <c r="C1611" s="3">
        <v>4027000.0</v>
      </c>
      <c r="D1611" s="3">
        <v>1.157</v>
      </c>
      <c r="E1611" s="3">
        <v>4.027</v>
      </c>
    </row>
    <row r="1612" ht="12.75" customHeight="1">
      <c r="A1612" s="3">
        <v>83.0</v>
      </c>
      <c r="B1612" s="3">
        <v>108.0</v>
      </c>
      <c r="C1612" s="3">
        <v>6057000.0</v>
      </c>
      <c r="D1612" s="3">
        <v>1.577</v>
      </c>
      <c r="E1612" s="3">
        <v>6.057</v>
      </c>
    </row>
    <row r="1613" ht="12.75" customHeight="1">
      <c r="A1613" s="3">
        <v>83.0</v>
      </c>
      <c r="B1613" s="3">
        <v>109.0</v>
      </c>
      <c r="C1613" s="3">
        <v>8487000.0</v>
      </c>
      <c r="D1613" s="3">
        <v>1.977</v>
      </c>
      <c r="E1613" s="3">
        <v>8.487</v>
      </c>
    </row>
    <row r="1614" ht="12.75" customHeight="1">
      <c r="A1614" s="3">
        <v>83.0</v>
      </c>
      <c r="B1614" s="3">
        <v>110.0</v>
      </c>
      <c r="C1614" s="3">
        <v>1.1357E7</v>
      </c>
      <c r="D1614" s="3">
        <v>2.437</v>
      </c>
      <c r="E1614" s="3">
        <v>11.357</v>
      </c>
    </row>
    <row r="1615" ht="12.75" customHeight="1">
      <c r="A1615" s="3">
        <v>83.0</v>
      </c>
      <c r="B1615" s="3">
        <v>111.0</v>
      </c>
      <c r="C1615" s="3">
        <v>1.4677E7</v>
      </c>
      <c r="D1615" s="3">
        <v>2.897</v>
      </c>
      <c r="E1615" s="3">
        <v>14.677</v>
      </c>
    </row>
    <row r="1616" ht="12.75" customHeight="1">
      <c r="A1616" s="3">
        <v>83.0</v>
      </c>
      <c r="B1616" s="3">
        <v>112.0</v>
      </c>
      <c r="C1616" s="3">
        <v>1.853E7</v>
      </c>
      <c r="D1616" s="3">
        <v>3.477</v>
      </c>
      <c r="E1616" s="3">
        <v>18.53</v>
      </c>
    </row>
    <row r="1617" ht="12.75" customHeight="1">
      <c r="A1617" s="3">
        <v>83.0</v>
      </c>
      <c r="B1617" s="3">
        <v>113.0</v>
      </c>
      <c r="C1617" s="3">
        <v>2.3037E7</v>
      </c>
      <c r="D1617" s="3">
        <v>4.227</v>
      </c>
      <c r="E1617" s="3">
        <v>23.037</v>
      </c>
    </row>
    <row r="1618" ht="12.75" customHeight="1">
      <c r="A1618" s="3">
        <v>83.0</v>
      </c>
      <c r="B1618" s="3">
        <v>114.0</v>
      </c>
      <c r="C1618" s="3">
        <v>2.8157E7</v>
      </c>
      <c r="D1618" s="3">
        <v>4.697</v>
      </c>
      <c r="E1618" s="3">
        <v>28.157</v>
      </c>
    </row>
    <row r="1619" ht="12.75" customHeight="1">
      <c r="A1619" s="3">
        <v>83.0</v>
      </c>
      <c r="B1619" s="3">
        <v>115.0</v>
      </c>
      <c r="C1619" s="3">
        <v>3.3787E7</v>
      </c>
      <c r="D1619" s="3">
        <v>5.237</v>
      </c>
      <c r="E1619" s="3">
        <v>33.787</v>
      </c>
    </row>
    <row r="1620" ht="12.75" customHeight="1">
      <c r="A1620" s="3">
        <v>84.0</v>
      </c>
      <c r="B1620" s="3">
        <v>87.5</v>
      </c>
      <c r="C1620" s="3">
        <v>0.0</v>
      </c>
      <c r="D1620" s="3">
        <v>0.0</v>
      </c>
      <c r="E1620" s="3">
        <v>0.0</v>
      </c>
    </row>
    <row r="1621" ht="12.75" customHeight="1">
      <c r="A1621" s="3">
        <v>84.0</v>
      </c>
      <c r="B1621" s="3">
        <v>88.0</v>
      </c>
      <c r="C1621" s="3">
        <v>0.0</v>
      </c>
      <c r="D1621" s="3">
        <v>0.0</v>
      </c>
      <c r="E1621" s="3">
        <v>0.0</v>
      </c>
    </row>
    <row r="1622" ht="12.75" customHeight="1">
      <c r="A1622" s="3">
        <v>84.0</v>
      </c>
      <c r="B1622" s="3">
        <v>89.0</v>
      </c>
      <c r="C1622" s="3">
        <v>130000.0</v>
      </c>
      <c r="D1622" s="3">
        <v>0.27</v>
      </c>
      <c r="E1622" s="3">
        <v>0.13</v>
      </c>
    </row>
    <row r="1623" ht="12.75" customHeight="1">
      <c r="A1623" s="3">
        <v>84.0</v>
      </c>
      <c r="B1623" s="3">
        <v>90.0</v>
      </c>
      <c r="C1623" s="3">
        <v>800000.0</v>
      </c>
      <c r="D1623" s="3">
        <v>1.06</v>
      </c>
      <c r="E1623" s="3">
        <v>0.8</v>
      </c>
    </row>
    <row r="1624" ht="12.75" customHeight="1">
      <c r="A1624" s="3">
        <v>84.0</v>
      </c>
      <c r="B1624" s="3">
        <v>91.0</v>
      </c>
      <c r="C1624" s="3">
        <v>2170000.0</v>
      </c>
      <c r="D1624" s="3">
        <v>1.67</v>
      </c>
      <c r="E1624" s="3">
        <v>2.17</v>
      </c>
    </row>
    <row r="1625" ht="12.75" customHeight="1">
      <c r="A1625" s="3">
        <v>84.0</v>
      </c>
      <c r="B1625" s="3">
        <v>92.0</v>
      </c>
      <c r="C1625" s="3">
        <v>4030000.0</v>
      </c>
      <c r="D1625" s="3">
        <v>2.04</v>
      </c>
      <c r="E1625" s="3">
        <v>4.03</v>
      </c>
    </row>
    <row r="1626" ht="12.75" customHeight="1">
      <c r="A1626" s="3">
        <v>84.0</v>
      </c>
      <c r="B1626" s="3">
        <v>93.0</v>
      </c>
      <c r="C1626" s="3">
        <v>6520000.0</v>
      </c>
      <c r="D1626" s="3">
        <v>2.94</v>
      </c>
      <c r="E1626" s="3">
        <v>6.52</v>
      </c>
    </row>
    <row r="1627" ht="12.75" customHeight="1">
      <c r="A1627" s="3">
        <v>84.0</v>
      </c>
      <c r="B1627" s="3">
        <v>94.0</v>
      </c>
      <c r="C1627" s="3">
        <v>9750000.0</v>
      </c>
      <c r="D1627" s="3">
        <v>3.5</v>
      </c>
      <c r="E1627" s="3">
        <v>9.75</v>
      </c>
    </row>
    <row r="1628" ht="12.75" customHeight="1">
      <c r="A1628" s="3">
        <v>84.0</v>
      </c>
      <c r="B1628" s="3">
        <v>95.0</v>
      </c>
      <c r="C1628" s="3">
        <v>1.354E7</v>
      </c>
      <c r="D1628" s="3">
        <v>4.08</v>
      </c>
      <c r="E1628" s="3">
        <v>13.54</v>
      </c>
    </row>
    <row r="1629" ht="12.75" customHeight="1">
      <c r="A1629" s="3">
        <v>84.0</v>
      </c>
      <c r="B1629" s="3">
        <v>96.0</v>
      </c>
      <c r="C1629" s="3">
        <v>1.807E7</v>
      </c>
      <c r="D1629" s="3">
        <v>4.98</v>
      </c>
      <c r="E1629" s="3">
        <v>18.07</v>
      </c>
    </row>
    <row r="1630" ht="12.75" customHeight="1">
      <c r="A1630" s="3">
        <v>84.0</v>
      </c>
      <c r="B1630" s="3">
        <v>97.0</v>
      </c>
      <c r="C1630" s="3">
        <v>2.394E7</v>
      </c>
      <c r="D1630" s="3">
        <v>6.74</v>
      </c>
      <c r="E1630" s="3">
        <v>23.94</v>
      </c>
    </row>
    <row r="1631" ht="12.75" customHeight="1">
      <c r="A1631" s="3">
        <v>84.0</v>
      </c>
      <c r="B1631" s="3">
        <v>98.0</v>
      </c>
      <c r="C1631" s="3">
        <v>3.114E7</v>
      </c>
      <c r="D1631" s="3">
        <v>7.66</v>
      </c>
      <c r="E1631" s="3">
        <v>31.14</v>
      </c>
    </row>
    <row r="1632" ht="12.75" customHeight="1">
      <c r="A1632" s="3">
        <v>84.0</v>
      </c>
      <c r="B1632" s="3">
        <v>99.0</v>
      </c>
      <c r="C1632" s="3">
        <v>3.938E7</v>
      </c>
      <c r="D1632" s="3">
        <v>8.81</v>
      </c>
      <c r="E1632" s="3">
        <v>39.38</v>
      </c>
    </row>
    <row r="1633" ht="12.75" customHeight="1">
      <c r="A1633" s="3">
        <v>84.0</v>
      </c>
      <c r="B1633" s="3">
        <v>100.0</v>
      </c>
      <c r="C1633" s="3">
        <v>4.891E7</v>
      </c>
      <c r="D1633" s="3">
        <v>10.25</v>
      </c>
      <c r="E1633" s="3">
        <v>48.91</v>
      </c>
    </row>
    <row r="1634" ht="12.75" customHeight="1">
      <c r="A1634" s="3">
        <v>84.0</v>
      </c>
      <c r="B1634" s="3">
        <v>101.0</v>
      </c>
      <c r="C1634" s="3">
        <v>5.987E7</v>
      </c>
      <c r="D1634" s="3">
        <v>11.64</v>
      </c>
      <c r="E1634" s="3">
        <v>59.87</v>
      </c>
    </row>
    <row r="1635" ht="12.75" customHeight="1">
      <c r="A1635" s="3">
        <v>84.0</v>
      </c>
      <c r="B1635" s="3">
        <v>102.0</v>
      </c>
      <c r="C1635" s="3">
        <v>7.222E7</v>
      </c>
      <c r="D1635" s="3">
        <v>13.07</v>
      </c>
      <c r="E1635" s="3">
        <v>72.22</v>
      </c>
    </row>
    <row r="1636" ht="12.75" customHeight="1">
      <c r="A1636" s="3">
        <v>84.0</v>
      </c>
      <c r="B1636" s="3">
        <v>103.0</v>
      </c>
      <c r="C1636" s="3">
        <v>8.609E7</v>
      </c>
      <c r="D1636" s="3">
        <v>14.66</v>
      </c>
      <c r="E1636" s="3">
        <v>86.09</v>
      </c>
    </row>
    <row r="1637" ht="12.75" customHeight="1">
      <c r="A1637" s="3">
        <v>84.0</v>
      </c>
      <c r="B1637" s="3">
        <v>104.0</v>
      </c>
      <c r="C1637" s="3">
        <v>1.013E8</v>
      </c>
      <c r="D1637" s="3">
        <v>16.16</v>
      </c>
      <c r="E1637" s="3">
        <v>101.3</v>
      </c>
    </row>
    <row r="1638" ht="12.75" customHeight="1">
      <c r="A1638" s="3">
        <v>84.0</v>
      </c>
      <c r="B1638" s="3">
        <v>105.0</v>
      </c>
      <c r="C1638" s="3">
        <v>1.1869E8</v>
      </c>
      <c r="D1638" s="3">
        <v>18.21</v>
      </c>
      <c r="E1638" s="3">
        <v>118.69</v>
      </c>
    </row>
    <row r="1639" ht="12.75" customHeight="1">
      <c r="A1639" s="3">
        <v>84.0</v>
      </c>
      <c r="B1639" s="3">
        <v>106.0</v>
      </c>
      <c r="C1639" s="3">
        <v>1.3785E8</v>
      </c>
      <c r="D1639" s="3">
        <v>20.12</v>
      </c>
      <c r="E1639" s="3">
        <v>137.85</v>
      </c>
    </row>
    <row r="1640" ht="12.75" customHeight="1">
      <c r="A1640" s="3">
        <v>85.0</v>
      </c>
      <c r="B1640" s="3">
        <v>235.78</v>
      </c>
      <c r="C1640" s="3">
        <v>0.0</v>
      </c>
      <c r="D1640" s="3">
        <v>0.0</v>
      </c>
      <c r="E1640" s="3">
        <v>0.0</v>
      </c>
    </row>
    <row r="1641" ht="12.75" customHeight="1">
      <c r="A1641" s="3">
        <v>85.0</v>
      </c>
      <c r="B1641" s="3">
        <v>236.0</v>
      </c>
      <c r="C1641" s="3">
        <v>0.0</v>
      </c>
      <c r="D1641" s="3">
        <v>0.0</v>
      </c>
      <c r="E1641" s="3">
        <v>0.0</v>
      </c>
    </row>
    <row r="1642" ht="12.75" customHeight="1">
      <c r="A1642" s="3">
        <v>85.0</v>
      </c>
      <c r="B1642" s="3">
        <v>237.0</v>
      </c>
      <c r="C1642" s="3">
        <v>690.0</v>
      </c>
      <c r="D1642" s="3">
        <v>0.0025</v>
      </c>
      <c r="E1642" s="3">
        <v>6.9E-4</v>
      </c>
    </row>
    <row r="1643" ht="12.75" customHeight="1">
      <c r="A1643" s="3">
        <v>85.0</v>
      </c>
      <c r="B1643" s="3">
        <v>238.0</v>
      </c>
      <c r="C1643" s="3">
        <v>8000.0</v>
      </c>
      <c r="D1643" s="3">
        <v>0.01</v>
      </c>
      <c r="E1643" s="3">
        <v>0.008</v>
      </c>
    </row>
    <row r="1644" ht="12.75" customHeight="1">
      <c r="A1644" s="3">
        <v>85.0</v>
      </c>
      <c r="B1644" s="3">
        <v>239.0</v>
      </c>
      <c r="C1644" s="3">
        <v>38000.0</v>
      </c>
      <c r="D1644" s="3">
        <v>0.05</v>
      </c>
      <c r="E1644" s="3">
        <v>0.038</v>
      </c>
    </row>
    <row r="1645" ht="12.75" customHeight="1">
      <c r="A1645" s="3">
        <v>85.0</v>
      </c>
      <c r="B1645" s="3">
        <v>240.0</v>
      </c>
      <c r="C1645" s="3">
        <v>123000.0</v>
      </c>
      <c r="D1645" s="3">
        <v>0.12</v>
      </c>
      <c r="E1645" s="3">
        <v>0.123</v>
      </c>
    </row>
    <row r="1646" ht="12.75" customHeight="1">
      <c r="A1646" s="3">
        <v>85.0</v>
      </c>
      <c r="B1646" s="3">
        <v>241.0</v>
      </c>
      <c r="C1646" s="3">
        <v>289000.0</v>
      </c>
      <c r="D1646" s="3">
        <v>0.21</v>
      </c>
      <c r="E1646" s="3">
        <v>0.289</v>
      </c>
    </row>
    <row r="1647" ht="12.75" customHeight="1">
      <c r="A1647" s="3">
        <v>85.0</v>
      </c>
      <c r="B1647" s="3">
        <v>242.0</v>
      </c>
      <c r="C1647" s="3">
        <v>540000.0</v>
      </c>
      <c r="D1647" s="3">
        <v>0.29</v>
      </c>
      <c r="E1647" s="3">
        <v>0.54</v>
      </c>
    </row>
    <row r="1648" ht="12.75" customHeight="1">
      <c r="A1648" s="3">
        <v>85.0</v>
      </c>
      <c r="B1648" s="3">
        <v>243.0</v>
      </c>
      <c r="C1648" s="3">
        <v>852000.0</v>
      </c>
      <c r="D1648" s="3">
        <v>0.33</v>
      </c>
      <c r="E1648" s="3">
        <v>0.852</v>
      </c>
    </row>
    <row r="1649" ht="12.75" customHeight="1">
      <c r="A1649" s="3">
        <v>85.0</v>
      </c>
      <c r="B1649" s="3">
        <v>243.65</v>
      </c>
      <c r="C1649" s="3">
        <v>1070000.0</v>
      </c>
      <c r="D1649" s="3">
        <v>0.38</v>
      </c>
      <c r="E1649" s="3">
        <v>1.07</v>
      </c>
    </row>
    <row r="1650" ht="12.75" customHeight="1">
      <c r="A1650" s="3">
        <v>85.0</v>
      </c>
      <c r="B1650" s="3">
        <v>245.0</v>
      </c>
      <c r="C1650" s="3">
        <v>3300000.0</v>
      </c>
      <c r="D1650" s="3">
        <v>0.74</v>
      </c>
      <c r="E1650" s="3">
        <v>3.3</v>
      </c>
    </row>
    <row r="1651" ht="12.75" customHeight="1">
      <c r="A1651" s="3">
        <v>85.0</v>
      </c>
      <c r="B1651" s="3">
        <v>247.0</v>
      </c>
      <c r="C1651" s="3">
        <v>8800000.0</v>
      </c>
      <c r="D1651" s="3">
        <v>1.55</v>
      </c>
      <c r="E1651" s="3">
        <v>8.8</v>
      </c>
    </row>
    <row r="1652" ht="12.75" customHeight="1">
      <c r="A1652" s="3">
        <v>85.0</v>
      </c>
      <c r="B1652" s="3">
        <v>250.0</v>
      </c>
      <c r="C1652" s="3">
        <v>2.1E7</v>
      </c>
      <c r="D1652" s="3">
        <v>3.02</v>
      </c>
      <c r="E1652" s="3">
        <v>21.0</v>
      </c>
    </row>
    <row r="1653" ht="12.75" customHeight="1">
      <c r="A1653" s="3">
        <v>85.0</v>
      </c>
      <c r="B1653" s="3">
        <v>255.0</v>
      </c>
      <c r="C1653" s="3">
        <v>5.23E7</v>
      </c>
      <c r="D1653" s="3">
        <v>6.22</v>
      </c>
      <c r="E1653" s="3">
        <v>52.3</v>
      </c>
    </row>
    <row r="1654" ht="12.75" customHeight="1">
      <c r="A1654" s="3">
        <v>86.0</v>
      </c>
      <c r="B1654" s="3">
        <v>81.9</v>
      </c>
      <c r="C1654" s="3">
        <v>0.0</v>
      </c>
      <c r="D1654" s="3">
        <v>0.0</v>
      </c>
      <c r="E1654" s="3">
        <v>0.0</v>
      </c>
    </row>
    <row r="1655" ht="12.75" customHeight="1">
      <c r="A1655" s="3">
        <v>86.0</v>
      </c>
      <c r="B1655" s="3">
        <v>83.0</v>
      </c>
      <c r="C1655" s="3">
        <v>50000.0</v>
      </c>
      <c r="D1655" s="3">
        <v>0.08</v>
      </c>
      <c r="E1655" s="3">
        <v>0.05</v>
      </c>
    </row>
    <row r="1656" ht="12.75" customHeight="1">
      <c r="A1656" s="3">
        <v>86.0</v>
      </c>
      <c r="B1656" s="3">
        <v>84.0</v>
      </c>
      <c r="C1656" s="3">
        <v>150000.0</v>
      </c>
      <c r="D1656" s="3">
        <v>0.11</v>
      </c>
      <c r="E1656" s="3">
        <v>0.15</v>
      </c>
    </row>
    <row r="1657" ht="12.75" customHeight="1">
      <c r="A1657" s="3">
        <v>86.0</v>
      </c>
      <c r="B1657" s="3">
        <v>85.0</v>
      </c>
      <c r="C1657" s="3">
        <v>300000.0</v>
      </c>
      <c r="D1657" s="3">
        <v>0.17</v>
      </c>
      <c r="E1657" s="3">
        <v>0.3</v>
      </c>
    </row>
    <row r="1658" ht="12.75" customHeight="1">
      <c r="A1658" s="3">
        <v>86.0</v>
      </c>
      <c r="B1658" s="3">
        <v>86.0</v>
      </c>
      <c r="C1658" s="3">
        <v>510000.0</v>
      </c>
      <c r="D1658" s="3">
        <v>0.24</v>
      </c>
      <c r="E1658" s="3">
        <v>0.51</v>
      </c>
    </row>
    <row r="1659" ht="12.75" customHeight="1">
      <c r="A1659" s="3">
        <v>86.0</v>
      </c>
      <c r="B1659" s="3">
        <v>87.0</v>
      </c>
      <c r="C1659" s="3">
        <v>810000.0</v>
      </c>
      <c r="D1659" s="3">
        <v>0.35</v>
      </c>
      <c r="E1659" s="3">
        <v>0.81</v>
      </c>
    </row>
    <row r="1660" ht="12.75" customHeight="1">
      <c r="A1660" s="3">
        <v>86.0</v>
      </c>
      <c r="B1660" s="3">
        <v>88.0</v>
      </c>
      <c r="C1660" s="3">
        <v>1210000.0</v>
      </c>
      <c r="D1660" s="3">
        <v>0.45</v>
      </c>
      <c r="E1660" s="3">
        <v>1.21</v>
      </c>
    </row>
    <row r="1661" ht="12.75" customHeight="1">
      <c r="A1661" s="3">
        <v>86.0</v>
      </c>
      <c r="B1661" s="3">
        <v>89.0</v>
      </c>
      <c r="C1661" s="3">
        <v>1730000.0</v>
      </c>
      <c r="D1661" s="3">
        <v>0.58</v>
      </c>
      <c r="E1661" s="3">
        <v>1.73</v>
      </c>
    </row>
    <row r="1662" ht="12.75" customHeight="1">
      <c r="A1662" s="3">
        <v>86.0</v>
      </c>
      <c r="B1662" s="3">
        <v>90.0</v>
      </c>
      <c r="C1662" s="3">
        <v>2390000.0</v>
      </c>
      <c r="D1662" s="3">
        <v>0.72</v>
      </c>
      <c r="E1662" s="3">
        <v>2.39</v>
      </c>
    </row>
    <row r="1663" ht="12.75" customHeight="1">
      <c r="A1663" s="3">
        <v>86.0</v>
      </c>
      <c r="B1663" s="3">
        <v>91.0</v>
      </c>
      <c r="C1663" s="3">
        <v>3180000.0</v>
      </c>
      <c r="D1663" s="3">
        <v>0.86</v>
      </c>
      <c r="E1663" s="3">
        <v>3.18</v>
      </c>
    </row>
    <row r="1664" ht="12.75" customHeight="1">
      <c r="A1664" s="3">
        <v>86.0</v>
      </c>
      <c r="B1664" s="3">
        <v>92.0</v>
      </c>
      <c r="C1664" s="3">
        <v>4110000.0</v>
      </c>
      <c r="D1664" s="3">
        <v>1.0</v>
      </c>
      <c r="E1664" s="3">
        <v>4.11</v>
      </c>
    </row>
    <row r="1665" ht="12.75" customHeight="1">
      <c r="A1665" s="3">
        <v>86.0</v>
      </c>
      <c r="B1665" s="3">
        <v>93.0</v>
      </c>
      <c r="C1665" s="3">
        <v>5190000.0</v>
      </c>
      <c r="D1665" s="3">
        <v>1.15</v>
      </c>
      <c r="E1665" s="3">
        <v>5.19</v>
      </c>
    </row>
    <row r="1666" ht="12.75" customHeight="1">
      <c r="A1666" s="3">
        <v>86.0</v>
      </c>
      <c r="B1666" s="3">
        <v>94.0</v>
      </c>
      <c r="C1666" s="3">
        <v>6410000.0</v>
      </c>
      <c r="D1666" s="3">
        <v>1.29</v>
      </c>
      <c r="E1666" s="3">
        <v>6.41</v>
      </c>
    </row>
    <row r="1667" ht="12.75" customHeight="1">
      <c r="A1667" s="3">
        <v>86.0</v>
      </c>
      <c r="B1667" s="3">
        <v>95.0</v>
      </c>
      <c r="C1667" s="3">
        <v>7780000.0</v>
      </c>
      <c r="D1667" s="3">
        <v>1.42</v>
      </c>
      <c r="E1667" s="3">
        <v>7.78</v>
      </c>
    </row>
    <row r="1668" ht="12.75" customHeight="1">
      <c r="A1668" s="3">
        <v>86.0</v>
      </c>
      <c r="B1668" s="3">
        <v>96.0</v>
      </c>
      <c r="C1668" s="3">
        <v>9310000.0</v>
      </c>
      <c r="D1668" s="3">
        <v>1.62</v>
      </c>
      <c r="E1668" s="3">
        <v>9.31</v>
      </c>
    </row>
    <row r="1669" ht="12.75" customHeight="1">
      <c r="A1669" s="3">
        <v>86.0</v>
      </c>
      <c r="B1669" s="3">
        <v>97.0</v>
      </c>
      <c r="C1669" s="3">
        <v>1.107E7</v>
      </c>
      <c r="D1669" s="3">
        <v>1.9</v>
      </c>
      <c r="E1669" s="3">
        <v>11.07</v>
      </c>
    </row>
    <row r="1670" ht="12.75" customHeight="1">
      <c r="A1670" s="3">
        <v>86.0</v>
      </c>
      <c r="B1670" s="3">
        <v>98.0</v>
      </c>
      <c r="C1670" s="3">
        <v>1.311E7</v>
      </c>
      <c r="D1670" s="3">
        <v>2.16</v>
      </c>
      <c r="E1670" s="3">
        <v>13.11</v>
      </c>
    </row>
    <row r="1671" ht="12.75" customHeight="1">
      <c r="A1671" s="3">
        <v>87.0</v>
      </c>
      <c r="B1671" s="3">
        <v>93.0</v>
      </c>
      <c r="C1671" s="3">
        <v>150.0</v>
      </c>
      <c r="D1671" s="3">
        <v>3.0E-4</v>
      </c>
      <c r="E1671" s="3">
        <v>1.5E-4</v>
      </c>
    </row>
    <row r="1672" ht="12.75" customHeight="1">
      <c r="A1672" s="3">
        <v>87.0</v>
      </c>
      <c r="B1672" s="3">
        <v>94.0</v>
      </c>
      <c r="C1672" s="3">
        <v>1300.0</v>
      </c>
      <c r="D1672" s="3">
        <v>0.002</v>
      </c>
      <c r="E1672" s="3">
        <v>0.0013</v>
      </c>
    </row>
    <row r="1673" ht="12.75" customHeight="1">
      <c r="A1673" s="3">
        <v>87.0</v>
      </c>
      <c r="B1673" s="3">
        <v>95.0</v>
      </c>
      <c r="C1673" s="3">
        <v>6050.0</v>
      </c>
      <c r="D1673" s="3">
        <v>0.0075</v>
      </c>
      <c r="E1673" s="3">
        <v>0.00605</v>
      </c>
    </row>
    <row r="1674" ht="12.75" customHeight="1">
      <c r="A1674" s="3">
        <v>87.0</v>
      </c>
      <c r="B1674" s="3">
        <v>96.0</v>
      </c>
      <c r="C1674" s="3">
        <v>20000.0</v>
      </c>
      <c r="D1674" s="3">
        <v>0.02</v>
      </c>
      <c r="E1674" s="3">
        <v>0.02</v>
      </c>
    </row>
    <row r="1675" ht="12.75" customHeight="1">
      <c r="A1675" s="3">
        <v>87.0</v>
      </c>
      <c r="B1675" s="3">
        <v>97.0</v>
      </c>
      <c r="C1675" s="3">
        <v>50000.0</v>
      </c>
      <c r="D1675" s="3">
        <v>0.03</v>
      </c>
      <c r="E1675" s="3">
        <v>0.05</v>
      </c>
    </row>
    <row r="1676" ht="12.75" customHeight="1">
      <c r="A1676" s="3">
        <v>87.0</v>
      </c>
      <c r="B1676" s="3">
        <v>98.0</v>
      </c>
      <c r="C1676" s="3">
        <v>110000.0</v>
      </c>
      <c r="D1676" s="3">
        <v>0.07</v>
      </c>
      <c r="E1676" s="3">
        <v>0.11</v>
      </c>
    </row>
    <row r="1677" ht="12.75" customHeight="1">
      <c r="A1677" s="3">
        <v>87.0</v>
      </c>
      <c r="B1677" s="3">
        <v>99.0</v>
      </c>
      <c r="C1677" s="3">
        <v>220000.0</v>
      </c>
      <c r="D1677" s="3">
        <v>0.15</v>
      </c>
      <c r="E1677" s="3">
        <v>0.22</v>
      </c>
    </row>
    <row r="1678" ht="12.75" customHeight="1">
      <c r="A1678" s="3">
        <v>87.0</v>
      </c>
      <c r="B1678" s="3">
        <v>100.0</v>
      </c>
      <c r="C1678" s="3">
        <v>400000.0</v>
      </c>
      <c r="D1678" s="3">
        <v>0.19</v>
      </c>
      <c r="E1678" s="3">
        <v>0.4</v>
      </c>
    </row>
    <row r="1679" ht="12.75" customHeight="1">
      <c r="A1679" s="3">
        <v>88.0</v>
      </c>
      <c r="B1679" s="3">
        <v>20.0</v>
      </c>
      <c r="C1679" s="3">
        <v>0.0</v>
      </c>
      <c r="D1679" s="3">
        <v>0.0</v>
      </c>
      <c r="E1679" s="3">
        <v>0.0</v>
      </c>
    </row>
    <row r="1680" ht="12.75" customHeight="1">
      <c r="A1680" s="3">
        <v>88.0</v>
      </c>
      <c r="B1680" s="3">
        <v>21.0</v>
      </c>
      <c r="C1680" s="3">
        <v>2.0</v>
      </c>
      <c r="D1680" s="3">
        <v>2.0E-4</v>
      </c>
      <c r="E1680" s="3">
        <v>2.0E-6</v>
      </c>
    </row>
    <row r="1681" ht="12.75" customHeight="1">
      <c r="A1681" s="3">
        <v>88.0</v>
      </c>
      <c r="B1681" s="3">
        <v>22.0</v>
      </c>
      <c r="C1681" s="3">
        <v>10000.0</v>
      </c>
      <c r="D1681" s="3">
        <v>0.02</v>
      </c>
      <c r="E1681" s="3">
        <v>0.01</v>
      </c>
    </row>
    <row r="1682" ht="12.75" customHeight="1">
      <c r="A1682" s="3">
        <v>88.0</v>
      </c>
      <c r="B1682" s="3">
        <v>23.0</v>
      </c>
      <c r="C1682" s="3">
        <v>60000.0</v>
      </c>
      <c r="D1682" s="3">
        <v>0.07</v>
      </c>
      <c r="E1682" s="3">
        <v>0.06</v>
      </c>
    </row>
    <row r="1683" ht="12.75" customHeight="1">
      <c r="A1683" s="3">
        <v>88.0</v>
      </c>
      <c r="B1683" s="3">
        <v>24.0</v>
      </c>
      <c r="C1683" s="3">
        <v>190000.0</v>
      </c>
      <c r="D1683" s="3">
        <v>0.21</v>
      </c>
      <c r="E1683" s="3">
        <v>0.19</v>
      </c>
    </row>
    <row r="1684" ht="12.75" customHeight="1">
      <c r="A1684" s="3">
        <v>88.0</v>
      </c>
      <c r="B1684" s="3">
        <v>25.0</v>
      </c>
      <c r="C1684" s="3">
        <v>540000.0</v>
      </c>
      <c r="D1684" s="3">
        <v>0.51</v>
      </c>
      <c r="E1684" s="3">
        <v>0.54</v>
      </c>
    </row>
    <row r="1685" ht="12.75" customHeight="1">
      <c r="A1685" s="3">
        <v>88.0</v>
      </c>
      <c r="B1685" s="3">
        <v>26.0</v>
      </c>
      <c r="C1685" s="3">
        <v>1270000.0</v>
      </c>
      <c r="D1685" s="3">
        <v>0.99</v>
      </c>
      <c r="E1685" s="3">
        <v>1.27</v>
      </c>
    </row>
    <row r="1686" ht="12.75" customHeight="1">
      <c r="A1686" s="3">
        <v>88.0</v>
      </c>
      <c r="B1686" s="3">
        <v>27.0</v>
      </c>
      <c r="C1686" s="3">
        <v>2740000.0</v>
      </c>
      <c r="D1686" s="3">
        <v>2.0</v>
      </c>
      <c r="E1686" s="3">
        <v>2.74</v>
      </c>
    </row>
    <row r="1687" ht="12.75" customHeight="1">
      <c r="A1687" s="3">
        <v>88.0</v>
      </c>
      <c r="B1687" s="3">
        <v>28.0</v>
      </c>
      <c r="C1687" s="3">
        <v>5340000.0</v>
      </c>
      <c r="D1687" s="3">
        <v>3.24</v>
      </c>
      <c r="E1687" s="3">
        <v>5.34</v>
      </c>
    </row>
    <row r="1688" ht="12.75" customHeight="1">
      <c r="A1688" s="3">
        <v>88.0</v>
      </c>
      <c r="B1688" s="3">
        <v>29.0</v>
      </c>
      <c r="C1688" s="3">
        <v>9280000.0</v>
      </c>
      <c r="D1688" s="3">
        <v>4.66</v>
      </c>
      <c r="E1688" s="3">
        <v>9.28</v>
      </c>
    </row>
    <row r="1689" ht="12.75" customHeight="1">
      <c r="A1689" s="3">
        <v>88.0</v>
      </c>
      <c r="B1689" s="3">
        <v>30.0</v>
      </c>
      <c r="C1689" s="3">
        <v>1.471E7</v>
      </c>
      <c r="D1689" s="3">
        <v>6.2</v>
      </c>
      <c r="E1689" s="3">
        <v>14.71</v>
      </c>
    </row>
    <row r="1690" ht="12.75" customHeight="1">
      <c r="A1690" s="3">
        <v>88.0</v>
      </c>
      <c r="B1690" s="3">
        <v>31.0</v>
      </c>
      <c r="C1690" s="3">
        <v>2.174E7</v>
      </c>
      <c r="D1690" s="3">
        <v>7.89</v>
      </c>
      <c r="E1690" s="3">
        <v>21.74</v>
      </c>
    </row>
    <row r="1691" ht="12.75" customHeight="1">
      <c r="A1691" s="3">
        <v>88.0</v>
      </c>
      <c r="B1691" s="3">
        <v>32.0</v>
      </c>
      <c r="C1691" s="3">
        <v>3.054E7</v>
      </c>
      <c r="D1691" s="3">
        <v>9.65</v>
      </c>
      <c r="E1691" s="3">
        <v>30.54</v>
      </c>
    </row>
    <row r="1692" ht="12.75" customHeight="1">
      <c r="A1692" s="3">
        <v>88.0</v>
      </c>
      <c r="B1692" s="3">
        <v>33.0</v>
      </c>
      <c r="C1692" s="3">
        <v>4.12E7</v>
      </c>
      <c r="D1692" s="3">
        <v>11.75</v>
      </c>
      <c r="E1692" s="3">
        <v>41.2</v>
      </c>
    </row>
    <row r="1693" ht="12.75" customHeight="1">
      <c r="A1693" s="3">
        <v>88.0</v>
      </c>
      <c r="B1693" s="3">
        <v>34.0</v>
      </c>
      <c r="C1693" s="3">
        <v>5.401E7</v>
      </c>
      <c r="D1693" s="3">
        <v>13.82</v>
      </c>
      <c r="E1693" s="3">
        <v>54.01</v>
      </c>
    </row>
    <row r="1694" ht="12.75" customHeight="1">
      <c r="A1694" s="3">
        <v>88.0</v>
      </c>
      <c r="B1694" s="3">
        <v>35.0</v>
      </c>
      <c r="C1694" s="3">
        <v>6.9E7</v>
      </c>
      <c r="D1694" s="3">
        <v>16.14</v>
      </c>
      <c r="E1694" s="3">
        <v>69.0</v>
      </c>
    </row>
    <row r="1695" ht="12.75" customHeight="1">
      <c r="A1695" s="3">
        <v>88.0</v>
      </c>
      <c r="B1695" s="3">
        <v>36.0</v>
      </c>
      <c r="C1695" s="3">
        <v>8.64E7</v>
      </c>
      <c r="D1695" s="3">
        <v>18.62</v>
      </c>
      <c r="E1695" s="3">
        <v>86.4</v>
      </c>
    </row>
    <row r="1696" ht="12.75" customHeight="1">
      <c r="A1696" s="3">
        <v>88.0</v>
      </c>
      <c r="B1696" s="3">
        <v>37.0</v>
      </c>
      <c r="C1696" s="3">
        <v>1.0652E8</v>
      </c>
      <c r="D1696" s="3">
        <v>21.45</v>
      </c>
      <c r="E1696" s="3">
        <v>106.52</v>
      </c>
    </row>
    <row r="1697" ht="12.75" customHeight="1">
      <c r="A1697" s="3">
        <v>88.0</v>
      </c>
      <c r="B1697" s="3">
        <v>38.0</v>
      </c>
      <c r="C1697" s="3">
        <v>1.294E8</v>
      </c>
      <c r="D1697" s="3">
        <v>24.29</v>
      </c>
      <c r="E1697" s="3">
        <v>129.4</v>
      </c>
    </row>
    <row r="1698" ht="12.75" customHeight="1">
      <c r="A1698" s="3">
        <v>88.0</v>
      </c>
      <c r="B1698" s="3">
        <v>39.0</v>
      </c>
      <c r="C1698" s="3">
        <v>1.5504E8</v>
      </c>
      <c r="D1698" s="3">
        <v>26.51</v>
      </c>
      <c r="E1698" s="3">
        <v>155.04</v>
      </c>
    </row>
    <row r="1699" ht="12.75" customHeight="1">
      <c r="A1699" s="3">
        <v>88.0</v>
      </c>
      <c r="B1699" s="3">
        <v>39.66</v>
      </c>
      <c r="C1699" s="3">
        <v>1.7285E8</v>
      </c>
      <c r="D1699" s="3">
        <v>27.36</v>
      </c>
      <c r="E1699" s="3">
        <v>172.85</v>
      </c>
    </row>
    <row r="1700" ht="12.75" customHeight="1">
      <c r="A1700" s="3">
        <v>88.0</v>
      </c>
      <c r="B1700" s="3">
        <v>40.0</v>
      </c>
      <c r="C1700" s="3">
        <v>1.8131E8</v>
      </c>
      <c r="D1700" s="3">
        <v>29.81</v>
      </c>
      <c r="E1700" s="3">
        <v>181.31</v>
      </c>
    </row>
    <row r="1701" ht="12.75" customHeight="1">
      <c r="A1701" s="3">
        <v>88.0</v>
      </c>
      <c r="B1701" s="3">
        <v>41.0</v>
      </c>
      <c r="C1701" s="3">
        <v>2.1356E8</v>
      </c>
      <c r="D1701" s="3">
        <v>33.12</v>
      </c>
      <c r="E1701" s="3">
        <v>213.56</v>
      </c>
    </row>
    <row r="1702" ht="12.75" customHeight="1">
      <c r="A1702" s="3">
        <v>88.0</v>
      </c>
      <c r="B1702" s="3">
        <v>42.0</v>
      </c>
      <c r="C1702" s="3">
        <v>2.4937E8</v>
      </c>
      <c r="D1702" s="3">
        <v>36.59</v>
      </c>
      <c r="E1702" s="3">
        <v>249.37</v>
      </c>
    </row>
    <row r="1703" ht="12.75" customHeight="1">
      <c r="A1703" s="3">
        <v>88.0</v>
      </c>
      <c r="B1703" s="3">
        <v>43.0</v>
      </c>
      <c r="C1703" s="3">
        <v>2.8893E8</v>
      </c>
      <c r="D1703" s="3">
        <v>40.24</v>
      </c>
      <c r="E1703" s="3">
        <v>288.93</v>
      </c>
    </row>
    <row r="1704" ht="12.75" customHeight="1">
      <c r="A1704" s="3">
        <v>88.0</v>
      </c>
      <c r="B1704" s="3">
        <v>44.0</v>
      </c>
      <c r="C1704" s="3">
        <v>3.3241E8</v>
      </c>
      <c r="D1704" s="3">
        <v>44.05</v>
      </c>
      <c r="E1704" s="3">
        <v>332.41</v>
      </c>
    </row>
    <row r="1705" ht="12.75" customHeight="1">
      <c r="A1705" s="3">
        <v>88.0</v>
      </c>
      <c r="B1705" s="3">
        <v>45.0</v>
      </c>
      <c r="C1705" s="3">
        <v>3.8E8</v>
      </c>
      <c r="D1705" s="3">
        <v>48.04</v>
      </c>
      <c r="E1705" s="3">
        <v>380.0</v>
      </c>
    </row>
    <row r="1706" ht="12.75" customHeight="1">
      <c r="A1706" s="3">
        <v>88.0</v>
      </c>
      <c r="B1706" s="3">
        <v>46.0</v>
      </c>
      <c r="C1706" s="3">
        <v>4.319E8</v>
      </c>
      <c r="D1706" s="3">
        <v>52.21</v>
      </c>
      <c r="E1706" s="3">
        <v>431.9</v>
      </c>
    </row>
    <row r="1707" ht="12.75" customHeight="1">
      <c r="A1707" s="3">
        <v>89.0</v>
      </c>
      <c r="B1707" s="3">
        <v>466.58</v>
      </c>
      <c r="C1707" s="3">
        <v>0.0</v>
      </c>
      <c r="D1707" s="3">
        <v>0.0</v>
      </c>
      <c r="E1707" s="3">
        <v>0.0</v>
      </c>
    </row>
    <row r="1708" ht="12.75" customHeight="1">
      <c r="A1708" s="3">
        <v>89.0</v>
      </c>
      <c r="B1708" s="3">
        <v>467.0</v>
      </c>
      <c r="C1708" s="3">
        <v>10.0</v>
      </c>
      <c r="D1708" s="3">
        <v>1.0E-4</v>
      </c>
      <c r="E1708" s="3">
        <v>1.0E-5</v>
      </c>
    </row>
    <row r="1709" ht="12.75" customHeight="1">
      <c r="A1709" s="3">
        <v>89.0</v>
      </c>
      <c r="B1709" s="3">
        <v>468.0</v>
      </c>
      <c r="C1709" s="3">
        <v>600.0</v>
      </c>
      <c r="D1709" s="3">
        <v>0.0012</v>
      </c>
      <c r="E1709" s="3">
        <v>6.0E-4</v>
      </c>
    </row>
    <row r="1710" ht="12.75" customHeight="1">
      <c r="A1710" s="3">
        <v>89.0</v>
      </c>
      <c r="B1710" s="3">
        <v>469.0</v>
      </c>
      <c r="C1710" s="3">
        <v>3000.0</v>
      </c>
      <c r="D1710" s="3">
        <v>0.005</v>
      </c>
      <c r="E1710" s="3">
        <v>0.003</v>
      </c>
    </row>
    <row r="1711" ht="12.75" customHeight="1">
      <c r="A1711" s="3">
        <v>89.0</v>
      </c>
      <c r="B1711" s="3">
        <v>470.0</v>
      </c>
      <c r="C1711" s="3">
        <v>12000.0</v>
      </c>
      <c r="D1711" s="3">
        <v>0.01</v>
      </c>
      <c r="E1711" s="3">
        <v>0.012</v>
      </c>
    </row>
    <row r="1712" ht="12.75" customHeight="1">
      <c r="A1712" s="3">
        <v>89.0</v>
      </c>
      <c r="B1712" s="3">
        <v>471.0</v>
      </c>
      <c r="C1712" s="3">
        <v>33000.0</v>
      </c>
      <c r="D1712" s="3">
        <v>0.03</v>
      </c>
      <c r="E1712" s="3">
        <v>0.033</v>
      </c>
    </row>
    <row r="1713" ht="12.75" customHeight="1">
      <c r="A1713" s="3">
        <v>89.0</v>
      </c>
      <c r="B1713" s="3">
        <v>472.0</v>
      </c>
      <c r="C1713" s="3">
        <v>79000.0</v>
      </c>
      <c r="D1713" s="3">
        <v>0.06</v>
      </c>
      <c r="E1713" s="3">
        <v>0.079</v>
      </c>
    </row>
    <row r="1714" ht="12.75" customHeight="1">
      <c r="A1714" s="3">
        <v>89.0</v>
      </c>
      <c r="B1714" s="3">
        <v>473.0</v>
      </c>
      <c r="C1714" s="3">
        <v>161000.0</v>
      </c>
      <c r="D1714" s="3">
        <v>0.11</v>
      </c>
      <c r="E1714" s="3">
        <v>0.161</v>
      </c>
    </row>
    <row r="1715" ht="12.75" customHeight="1">
      <c r="A1715" s="3">
        <v>89.0</v>
      </c>
      <c r="B1715" s="3">
        <v>474.0</v>
      </c>
      <c r="C1715" s="3">
        <v>303000.0</v>
      </c>
      <c r="D1715" s="3">
        <v>0.18</v>
      </c>
      <c r="E1715" s="3">
        <v>0.303</v>
      </c>
    </row>
    <row r="1716" ht="12.75" customHeight="1">
      <c r="A1716" s="3">
        <v>89.0</v>
      </c>
      <c r="B1716" s="3">
        <v>475.0</v>
      </c>
      <c r="C1716" s="3">
        <v>518000.0</v>
      </c>
      <c r="D1716" s="3">
        <v>0.25</v>
      </c>
      <c r="E1716" s="3">
        <v>0.518</v>
      </c>
    </row>
    <row r="1717" ht="12.75" customHeight="1">
      <c r="A1717" s="3">
        <v>89.0</v>
      </c>
      <c r="B1717" s="3">
        <v>475.95</v>
      </c>
      <c r="C1717" s="3">
        <v>766000.0</v>
      </c>
      <c r="D1717" s="3">
        <v>0.28</v>
      </c>
      <c r="E1717" s="3">
        <v>0.766</v>
      </c>
    </row>
    <row r="1718" ht="12.75" customHeight="1">
      <c r="A1718" s="3">
        <v>89.0</v>
      </c>
      <c r="B1718" s="3">
        <v>476.0</v>
      </c>
      <c r="C1718" s="3">
        <v>791000.0</v>
      </c>
      <c r="D1718" s="3">
        <v>0.29</v>
      </c>
      <c r="E1718" s="3">
        <v>0.791</v>
      </c>
    </row>
    <row r="1719" ht="12.75" customHeight="1">
      <c r="A1719" s="3">
        <v>89.0</v>
      </c>
      <c r="B1719" s="3">
        <v>477.0</v>
      </c>
      <c r="C1719" s="3">
        <v>1299000.0</v>
      </c>
      <c r="D1719" s="3">
        <v>0.47</v>
      </c>
      <c r="E1719" s="3">
        <v>1.299</v>
      </c>
    </row>
    <row r="1720" ht="12.75" customHeight="1">
      <c r="A1720" s="3">
        <v>89.0</v>
      </c>
      <c r="B1720" s="3">
        <v>478.0</v>
      </c>
      <c r="C1720" s="3">
        <v>1807000.0</v>
      </c>
      <c r="D1720" s="3">
        <v>0.65</v>
      </c>
      <c r="E1720" s="3">
        <v>1.807</v>
      </c>
    </row>
    <row r="1721" ht="12.75" customHeight="1">
      <c r="A1721" s="3">
        <v>89.0</v>
      </c>
      <c r="B1721" s="3">
        <v>479.0</v>
      </c>
      <c r="C1721" s="3">
        <v>2315000.0</v>
      </c>
      <c r="D1721" s="3">
        <v>0.83</v>
      </c>
      <c r="E1721" s="3">
        <v>2.315</v>
      </c>
    </row>
    <row r="1722" ht="12.75" customHeight="1">
      <c r="A1722" s="3">
        <v>89.0</v>
      </c>
      <c r="B1722" s="3">
        <v>480.0</v>
      </c>
      <c r="C1722" s="3">
        <v>2823000.0</v>
      </c>
      <c r="D1722" s="3">
        <v>1.01</v>
      </c>
      <c r="E1722" s="3">
        <v>2.823</v>
      </c>
    </row>
    <row r="1723" ht="12.75" customHeight="1">
      <c r="A1723" s="3">
        <v>89.0</v>
      </c>
      <c r="B1723" s="3">
        <v>481.0</v>
      </c>
      <c r="C1723" s="3">
        <v>3928000.0</v>
      </c>
      <c r="D1723" s="3">
        <v>1.15</v>
      </c>
      <c r="E1723" s="3">
        <v>3.928</v>
      </c>
    </row>
    <row r="1724" ht="12.75" customHeight="1">
      <c r="A1724" s="3">
        <v>89.0</v>
      </c>
      <c r="B1724" s="3">
        <v>482.0</v>
      </c>
      <c r="C1724" s="3">
        <v>5033000.0</v>
      </c>
      <c r="D1724" s="3">
        <v>1.29</v>
      </c>
      <c r="E1724" s="3">
        <v>5.033</v>
      </c>
    </row>
    <row r="1725" ht="12.75" customHeight="1">
      <c r="A1725" s="3">
        <v>89.0</v>
      </c>
      <c r="B1725" s="3">
        <v>483.0</v>
      </c>
      <c r="C1725" s="3">
        <v>6418000.0</v>
      </c>
      <c r="D1725" s="3">
        <v>1.43</v>
      </c>
      <c r="E1725" s="3">
        <v>6.418</v>
      </c>
    </row>
    <row r="1726" ht="12.75" customHeight="1">
      <c r="A1726" s="3">
        <v>89.0</v>
      </c>
      <c r="B1726" s="3">
        <v>484.0</v>
      </c>
      <c r="C1726" s="3">
        <v>7803000.0</v>
      </c>
      <c r="D1726" s="3">
        <v>1.57</v>
      </c>
      <c r="E1726" s="3">
        <v>7.803</v>
      </c>
    </row>
    <row r="1727" ht="12.75" customHeight="1">
      <c r="A1727" s="3">
        <v>89.0</v>
      </c>
      <c r="B1727" s="3">
        <v>484.5</v>
      </c>
      <c r="C1727" s="3">
        <v>8600000.0</v>
      </c>
      <c r="D1727" s="3">
        <v>1.64</v>
      </c>
      <c r="E1727" s="3">
        <v>8.6</v>
      </c>
    </row>
    <row r="1728" ht="12.75" customHeight="1">
      <c r="A1728" s="3">
        <v>89.0</v>
      </c>
      <c r="B1728" s="3">
        <v>485.0</v>
      </c>
      <c r="C1728" s="3">
        <v>9393000.0</v>
      </c>
      <c r="D1728" s="3">
        <v>1.7</v>
      </c>
      <c r="E1728" s="3">
        <v>9.393</v>
      </c>
    </row>
    <row r="1729" ht="12.75" customHeight="1">
      <c r="A1729" s="3">
        <v>89.0</v>
      </c>
      <c r="B1729" s="3">
        <v>486.0</v>
      </c>
      <c r="C1729" s="3">
        <v>1.1401E7</v>
      </c>
      <c r="D1729" s="3">
        <v>1.85</v>
      </c>
      <c r="E1729" s="3">
        <v>11.401</v>
      </c>
    </row>
    <row r="1730" ht="12.75" customHeight="1">
      <c r="A1730" s="3">
        <v>89.0</v>
      </c>
      <c r="B1730" s="3">
        <v>487.0</v>
      </c>
      <c r="C1730" s="3">
        <v>1.341E7</v>
      </c>
      <c r="D1730" s="3">
        <v>1.99</v>
      </c>
      <c r="E1730" s="3">
        <v>13.41</v>
      </c>
    </row>
    <row r="1731" ht="12.75" customHeight="1">
      <c r="A1731" s="3">
        <v>89.0</v>
      </c>
      <c r="B1731" s="3">
        <v>488.0</v>
      </c>
      <c r="C1731" s="3">
        <v>1.5417E7</v>
      </c>
      <c r="D1731" s="3">
        <v>2.13</v>
      </c>
      <c r="E1731" s="3">
        <v>15.417</v>
      </c>
    </row>
    <row r="1732" ht="12.75" customHeight="1">
      <c r="A1732" s="3">
        <v>89.0</v>
      </c>
      <c r="B1732" s="3">
        <v>489.0</v>
      </c>
      <c r="C1732" s="3">
        <v>1.7425E7</v>
      </c>
      <c r="D1732" s="3">
        <v>2.27</v>
      </c>
      <c r="E1732" s="3">
        <v>17.425</v>
      </c>
    </row>
    <row r="1733" ht="12.75" customHeight="1">
      <c r="A1733" s="3">
        <v>89.0</v>
      </c>
      <c r="B1733" s="3">
        <v>490.0</v>
      </c>
      <c r="C1733" s="3">
        <v>1.9433E7</v>
      </c>
      <c r="D1733" s="3">
        <v>2.41</v>
      </c>
      <c r="E1733" s="3">
        <v>19.433</v>
      </c>
    </row>
    <row r="1734" ht="12.75" customHeight="1">
      <c r="A1734" s="3">
        <v>90.0</v>
      </c>
      <c r="B1734" s="3">
        <v>58.32</v>
      </c>
      <c r="C1734" s="3">
        <v>0.0</v>
      </c>
      <c r="D1734" s="3">
        <v>0.0</v>
      </c>
      <c r="E1734" s="3">
        <v>0.0</v>
      </c>
    </row>
    <row r="1735" ht="12.75" customHeight="1">
      <c r="A1735" s="3">
        <v>90.0</v>
      </c>
      <c r="B1735" s="3">
        <v>59.0</v>
      </c>
      <c r="C1735" s="3">
        <v>500.0</v>
      </c>
      <c r="D1735" s="3">
        <v>0.0025</v>
      </c>
      <c r="E1735" s="3">
        <v>5.0E-4</v>
      </c>
    </row>
    <row r="1736" ht="12.75" customHeight="1">
      <c r="A1736" s="3">
        <v>90.0</v>
      </c>
      <c r="B1736" s="3">
        <v>60.0</v>
      </c>
      <c r="C1736" s="3">
        <v>20000.0</v>
      </c>
      <c r="D1736" s="3">
        <v>0.05</v>
      </c>
      <c r="E1736" s="3">
        <v>0.02</v>
      </c>
    </row>
    <row r="1737" ht="12.75" customHeight="1">
      <c r="A1737" s="3">
        <v>90.0</v>
      </c>
      <c r="B1737" s="3">
        <v>61.0</v>
      </c>
      <c r="C1737" s="3">
        <v>166000.0</v>
      </c>
      <c r="D1737" s="3">
        <v>0.24</v>
      </c>
      <c r="E1737" s="3">
        <v>0.166</v>
      </c>
    </row>
    <row r="1738" ht="12.75" customHeight="1">
      <c r="A1738" s="3">
        <v>90.0</v>
      </c>
      <c r="B1738" s="3">
        <v>63.0</v>
      </c>
      <c r="C1738" s="3">
        <v>1307000.0</v>
      </c>
      <c r="D1738" s="3">
        <v>1.01</v>
      </c>
      <c r="E1738" s="3">
        <v>1.307</v>
      </c>
    </row>
    <row r="1739" ht="12.75" customHeight="1">
      <c r="A1739" s="3">
        <v>90.0</v>
      </c>
      <c r="B1739" s="3">
        <v>64.0</v>
      </c>
      <c r="C1739" s="3">
        <v>2585000.0</v>
      </c>
      <c r="D1739" s="3">
        <v>1.54</v>
      </c>
      <c r="E1739" s="3">
        <v>2.585</v>
      </c>
    </row>
    <row r="1740" ht="12.75" customHeight="1">
      <c r="A1740" s="3">
        <v>90.0</v>
      </c>
      <c r="B1740" s="3">
        <v>65.0</v>
      </c>
      <c r="C1740" s="3">
        <v>4430000.0</v>
      </c>
      <c r="D1740" s="3">
        <v>2.15</v>
      </c>
      <c r="E1740" s="3">
        <v>4.43</v>
      </c>
    </row>
    <row r="1741" ht="12.75" customHeight="1">
      <c r="A1741" s="3">
        <v>90.0</v>
      </c>
      <c r="B1741" s="3">
        <v>66.0</v>
      </c>
      <c r="C1741" s="3">
        <v>6850000.0</v>
      </c>
      <c r="D1741" s="3">
        <v>2.62</v>
      </c>
      <c r="E1741" s="3">
        <v>6.85</v>
      </c>
    </row>
    <row r="1742" ht="12.75" customHeight="1">
      <c r="A1742" s="3">
        <v>90.0</v>
      </c>
      <c r="B1742" s="3">
        <v>67.0</v>
      </c>
      <c r="C1742" s="3">
        <v>9567000.0</v>
      </c>
      <c r="D1742" s="3">
        <v>2.81</v>
      </c>
      <c r="E1742" s="3">
        <v>9.567</v>
      </c>
    </row>
    <row r="1743" ht="12.75" customHeight="1">
      <c r="A1743" s="3">
        <v>90.0</v>
      </c>
      <c r="B1743" s="3">
        <v>67.7</v>
      </c>
      <c r="C1743" s="3">
        <v>1.1583E7</v>
      </c>
      <c r="D1743" s="3">
        <v>2.96</v>
      </c>
      <c r="E1743" s="3">
        <v>11.583</v>
      </c>
    </row>
    <row r="1744" ht="12.75" customHeight="1">
      <c r="A1744" s="3">
        <v>90.0</v>
      </c>
      <c r="B1744" s="3">
        <v>68.0</v>
      </c>
      <c r="C1744" s="3">
        <v>1.243E7</v>
      </c>
      <c r="D1744" s="3">
        <v>3.04</v>
      </c>
      <c r="E1744" s="3">
        <v>12.43</v>
      </c>
    </row>
    <row r="1745" ht="12.75" customHeight="1">
      <c r="A1745" s="3">
        <v>90.0</v>
      </c>
      <c r="B1745" s="3">
        <v>69.0</v>
      </c>
      <c r="C1745" s="3">
        <v>1.535E7</v>
      </c>
      <c r="D1745" s="3">
        <v>3.83</v>
      </c>
      <c r="E1745" s="3">
        <v>15.35</v>
      </c>
    </row>
    <row r="1746" ht="12.75" customHeight="1">
      <c r="A1746" s="3">
        <v>91.0</v>
      </c>
      <c r="B1746" s="3">
        <v>90.0</v>
      </c>
      <c r="C1746" s="3">
        <v>838.0</v>
      </c>
      <c r="D1746" s="3">
        <v>0.16</v>
      </c>
      <c r="E1746" s="3">
        <v>8.38E-4</v>
      </c>
    </row>
    <row r="1747" ht="12.75" customHeight="1">
      <c r="A1747" s="3">
        <v>91.0</v>
      </c>
      <c r="B1747" s="3">
        <v>91.0</v>
      </c>
      <c r="C1747" s="3">
        <v>10000.0</v>
      </c>
      <c r="D1747" s="3">
        <v>1.92</v>
      </c>
      <c r="E1747" s="3">
        <v>0.01</v>
      </c>
    </row>
    <row r="1748" ht="12.75" customHeight="1">
      <c r="A1748" s="3">
        <v>91.0</v>
      </c>
      <c r="B1748" s="3">
        <v>92.0</v>
      </c>
      <c r="C1748" s="3">
        <v>50000.0</v>
      </c>
      <c r="D1748" s="3">
        <v>6.15</v>
      </c>
      <c r="E1748" s="3">
        <v>0.05</v>
      </c>
    </row>
    <row r="1749" ht="12.75" customHeight="1">
      <c r="A1749" s="3">
        <v>91.0</v>
      </c>
      <c r="B1749" s="3">
        <v>93.0</v>
      </c>
      <c r="C1749" s="3">
        <v>150000.0</v>
      </c>
      <c r="D1749" s="3">
        <v>14.78</v>
      </c>
      <c r="E1749" s="3">
        <v>0.15</v>
      </c>
    </row>
    <row r="1750" ht="12.75" customHeight="1">
      <c r="A1750" s="3">
        <v>91.0</v>
      </c>
      <c r="B1750" s="3">
        <v>94.0</v>
      </c>
      <c r="C1750" s="3">
        <v>360000.0</v>
      </c>
      <c r="D1750" s="3">
        <v>26.18</v>
      </c>
      <c r="E1750" s="3">
        <v>0.36</v>
      </c>
    </row>
    <row r="1751" ht="12.75" customHeight="1">
      <c r="A1751" s="3">
        <v>91.0</v>
      </c>
      <c r="B1751" s="3">
        <v>95.0</v>
      </c>
      <c r="C1751" s="3">
        <v>660000.0</v>
      </c>
      <c r="D1751" s="3">
        <v>35.12</v>
      </c>
      <c r="E1751" s="3">
        <v>0.66</v>
      </c>
    </row>
    <row r="1752" ht="12.75" customHeight="1">
      <c r="A1752" s="3">
        <v>91.0</v>
      </c>
      <c r="B1752" s="3">
        <v>96.0</v>
      </c>
      <c r="C1752" s="3">
        <v>1060000.0</v>
      </c>
      <c r="D1752" s="3">
        <v>44.4</v>
      </c>
      <c r="E1752" s="3">
        <v>1.06</v>
      </c>
    </row>
    <row r="1753" ht="12.75" customHeight="1">
      <c r="A1753" s="3">
        <v>91.0</v>
      </c>
      <c r="B1753" s="3">
        <v>97.0</v>
      </c>
      <c r="C1753" s="3">
        <v>1550000.0</v>
      </c>
      <c r="D1753" s="3">
        <v>54.38</v>
      </c>
      <c r="E1753" s="3">
        <v>1.55</v>
      </c>
    </row>
    <row r="1754" ht="12.75" customHeight="1">
      <c r="A1754" s="3">
        <v>91.0</v>
      </c>
      <c r="B1754" s="3">
        <v>98.0</v>
      </c>
      <c r="C1754" s="3">
        <v>2160000.0</v>
      </c>
      <c r="D1754" s="3">
        <v>65.82</v>
      </c>
      <c r="E1754" s="3">
        <v>2.16</v>
      </c>
    </row>
    <row r="1755" ht="12.75" customHeight="1">
      <c r="A1755" s="3">
        <v>91.0</v>
      </c>
      <c r="B1755" s="3">
        <v>98.05</v>
      </c>
      <c r="C1755" s="3">
        <v>2190000.0</v>
      </c>
      <c r="D1755" s="3">
        <v>66.36</v>
      </c>
      <c r="E1755" s="3">
        <v>2.19</v>
      </c>
    </row>
    <row r="1756" ht="12.75" customHeight="1">
      <c r="A1756" s="3">
        <v>92.0</v>
      </c>
      <c r="B1756" s="3">
        <v>98.0</v>
      </c>
      <c r="C1756" s="3">
        <v>0.0</v>
      </c>
      <c r="D1756" s="3">
        <v>0.0</v>
      </c>
      <c r="E1756" s="3">
        <v>0.0</v>
      </c>
    </row>
    <row r="1757" ht="12.75" customHeight="1">
      <c r="A1757" s="3">
        <v>92.0</v>
      </c>
      <c r="B1757" s="3">
        <v>99.0</v>
      </c>
      <c r="C1757" s="3">
        <v>0.0</v>
      </c>
      <c r="D1757" s="3">
        <v>0.0</v>
      </c>
      <c r="E1757" s="3">
        <v>0.0</v>
      </c>
    </row>
    <row r="1758" ht="12.75" customHeight="1">
      <c r="A1758" s="3">
        <v>92.0</v>
      </c>
      <c r="B1758" s="3">
        <v>99.04</v>
      </c>
      <c r="C1758" s="3">
        <v>0.0</v>
      </c>
      <c r="D1758" s="3">
        <v>0.0</v>
      </c>
      <c r="E1758" s="3">
        <v>0.0</v>
      </c>
    </row>
    <row r="1759" ht="12.75" customHeight="1">
      <c r="A1759" s="3">
        <v>92.0</v>
      </c>
      <c r="B1759" s="3">
        <v>99.78</v>
      </c>
      <c r="C1759" s="3">
        <v>15734.0</v>
      </c>
      <c r="D1759" s="3">
        <v>0.0447</v>
      </c>
      <c r="E1759" s="3">
        <v>0.015734</v>
      </c>
    </row>
    <row r="1760" ht="12.75" customHeight="1">
      <c r="A1760" s="3">
        <v>92.0</v>
      </c>
      <c r="B1760" s="3">
        <v>100.78</v>
      </c>
      <c r="C1760" s="3">
        <v>87928.0</v>
      </c>
      <c r="D1760" s="3">
        <v>0.1025</v>
      </c>
      <c r="E1760" s="3">
        <v>0.087928</v>
      </c>
    </row>
    <row r="1761" ht="12.75" customHeight="1">
      <c r="A1761" s="3">
        <v>92.0</v>
      </c>
      <c r="B1761" s="3">
        <v>101.78</v>
      </c>
      <c r="C1761" s="3">
        <v>227897.0</v>
      </c>
      <c r="D1761" s="3">
        <v>0.1763</v>
      </c>
      <c r="E1761" s="3">
        <v>0.227897</v>
      </c>
    </row>
    <row r="1762" ht="12.75" customHeight="1">
      <c r="A1762" s="3">
        <v>92.0</v>
      </c>
      <c r="B1762" s="3">
        <v>102.78</v>
      </c>
      <c r="C1762" s="3">
        <v>429031.0</v>
      </c>
      <c r="D1762" s="3">
        <v>0.2133</v>
      </c>
      <c r="E1762" s="3">
        <v>0.429031</v>
      </c>
    </row>
    <row r="1763" ht="12.75" customHeight="1">
      <c r="A1763" s="3">
        <v>92.0</v>
      </c>
      <c r="B1763" s="3">
        <v>103.0</v>
      </c>
      <c r="C1763" s="3">
        <v>508231.0</v>
      </c>
      <c r="D1763" s="3">
        <v>0.2441</v>
      </c>
      <c r="E1763" s="3">
        <v>0.508231</v>
      </c>
    </row>
    <row r="1764" ht="12.75" customHeight="1">
      <c r="A1764" s="3">
        <v>92.0</v>
      </c>
      <c r="B1764" s="3">
        <v>104.0</v>
      </c>
      <c r="C1764" s="3">
        <v>998231.0</v>
      </c>
      <c r="D1764" s="3">
        <v>0.3841</v>
      </c>
      <c r="E1764" s="3">
        <v>0.998231</v>
      </c>
    </row>
    <row r="1765" ht="12.75" customHeight="1">
      <c r="A1765" s="3">
        <v>92.0</v>
      </c>
      <c r="B1765" s="3">
        <v>105.0</v>
      </c>
      <c r="C1765" s="3">
        <v>1648231.0</v>
      </c>
      <c r="D1765" s="3">
        <v>0.5441</v>
      </c>
      <c r="E1765" s="3">
        <v>1.648231</v>
      </c>
    </row>
    <row r="1766" ht="12.75" customHeight="1">
      <c r="A1766" s="3">
        <v>92.0</v>
      </c>
      <c r="B1766" s="3">
        <v>106.0</v>
      </c>
      <c r="C1766" s="3">
        <v>2448231.0</v>
      </c>
      <c r="D1766" s="3">
        <v>0.6941</v>
      </c>
      <c r="E1766" s="3">
        <v>2.448231</v>
      </c>
    </row>
    <row r="1767" ht="12.75" customHeight="1">
      <c r="A1767" s="3">
        <v>92.0</v>
      </c>
      <c r="B1767" s="3">
        <v>107.0</v>
      </c>
      <c r="C1767" s="3">
        <v>3408231.0</v>
      </c>
      <c r="D1767" s="3">
        <v>0.8641</v>
      </c>
      <c r="E1767" s="3">
        <v>3.408231</v>
      </c>
    </row>
    <row r="1768" ht="12.75" customHeight="1">
      <c r="A1768" s="3">
        <v>92.0</v>
      </c>
      <c r="B1768" s="3">
        <v>108.0</v>
      </c>
      <c r="C1768" s="3">
        <v>4568231.0</v>
      </c>
      <c r="D1768" s="3">
        <v>1.1041</v>
      </c>
      <c r="E1768" s="3">
        <v>4.568231</v>
      </c>
    </row>
    <row r="1769" ht="12.75" customHeight="1">
      <c r="A1769" s="3">
        <v>92.0</v>
      </c>
      <c r="B1769" s="3">
        <v>109.0</v>
      </c>
      <c r="C1769" s="3">
        <v>5988231.0</v>
      </c>
      <c r="D1769" s="3">
        <v>1.3741</v>
      </c>
      <c r="E1769" s="3">
        <v>5.988231</v>
      </c>
    </row>
    <row r="1770" ht="12.75" customHeight="1">
      <c r="A1770" s="3">
        <v>92.0</v>
      </c>
      <c r="B1770" s="3">
        <v>110.0</v>
      </c>
      <c r="C1770" s="3">
        <v>7668231.0</v>
      </c>
      <c r="D1770" s="3">
        <v>1.6241</v>
      </c>
      <c r="E1770" s="3">
        <v>7.668231</v>
      </c>
    </row>
    <row r="1771" ht="12.75" customHeight="1">
      <c r="A1771" s="3">
        <v>92.0</v>
      </c>
      <c r="B1771" s="3">
        <v>111.0</v>
      </c>
      <c r="C1771" s="3">
        <v>9608231.0</v>
      </c>
      <c r="D1771" s="3">
        <v>1.8941</v>
      </c>
      <c r="E1771" s="3">
        <v>9.608231</v>
      </c>
    </row>
    <row r="1772" ht="12.75" customHeight="1">
      <c r="A1772" s="3">
        <v>92.0</v>
      </c>
      <c r="B1772" s="3">
        <v>112.0</v>
      </c>
      <c r="C1772" s="3">
        <v>1.1838231E7</v>
      </c>
      <c r="D1772" s="3">
        <v>2.1941</v>
      </c>
      <c r="E1772" s="3">
        <v>11.838231</v>
      </c>
    </row>
    <row r="1773" ht="12.75" customHeight="1">
      <c r="A1773" s="3">
        <v>92.0</v>
      </c>
      <c r="B1773" s="3">
        <v>113.0</v>
      </c>
      <c r="C1773" s="3">
        <v>1.4418231E7</v>
      </c>
      <c r="D1773" s="3">
        <v>2.6041</v>
      </c>
      <c r="E1773" s="3">
        <v>14.418231</v>
      </c>
    </row>
    <row r="1774" ht="12.75" customHeight="1">
      <c r="A1774" s="3">
        <v>92.0</v>
      </c>
      <c r="B1774" s="3">
        <v>114.0</v>
      </c>
      <c r="C1774" s="3">
        <v>1.7408231E7</v>
      </c>
      <c r="D1774" s="3">
        <v>3.0041</v>
      </c>
      <c r="E1774" s="3">
        <v>17.408231</v>
      </c>
    </row>
    <row r="1775" ht="12.75" customHeight="1">
      <c r="A1775" s="3">
        <v>92.0</v>
      </c>
      <c r="B1775" s="3">
        <v>115.0</v>
      </c>
      <c r="C1775" s="3">
        <v>2.0878231E7</v>
      </c>
      <c r="D1775" s="3">
        <v>3.5841</v>
      </c>
      <c r="E1775" s="3">
        <v>20.878231</v>
      </c>
    </row>
    <row r="1776" ht="12.75" customHeight="1">
      <c r="A1776" s="3">
        <v>92.0</v>
      </c>
      <c r="B1776" s="3">
        <v>116.0</v>
      </c>
      <c r="C1776" s="3">
        <v>2.4888231E7</v>
      </c>
      <c r="D1776" s="3">
        <v>4.0741</v>
      </c>
      <c r="E1776" s="3">
        <v>24.888231</v>
      </c>
    </row>
    <row r="1777" ht="12.75" customHeight="1">
      <c r="A1777" s="3">
        <v>92.0</v>
      </c>
      <c r="B1777" s="3">
        <v>116.61</v>
      </c>
      <c r="C1777" s="3">
        <v>2.7638231E7</v>
      </c>
      <c r="D1777" s="3">
        <v>4.3941</v>
      </c>
      <c r="E1777" s="3">
        <v>27.638231</v>
      </c>
    </row>
    <row r="1778" ht="12.75" customHeight="1">
      <c r="A1778" s="3">
        <v>92.0</v>
      </c>
      <c r="B1778" s="3">
        <v>117.0</v>
      </c>
      <c r="C1778" s="3">
        <v>2.9398231E7</v>
      </c>
      <c r="D1778" s="3">
        <v>4.5941</v>
      </c>
      <c r="E1778" s="3">
        <v>29.398231</v>
      </c>
    </row>
    <row r="1779" ht="12.75" customHeight="1">
      <c r="A1779" s="3">
        <v>92.0</v>
      </c>
      <c r="B1779" s="3">
        <v>118.0</v>
      </c>
      <c r="C1779" s="3">
        <v>3.4448231E7</v>
      </c>
      <c r="D1779" s="3">
        <v>5.1441</v>
      </c>
      <c r="E1779" s="3">
        <v>34.448231</v>
      </c>
    </row>
    <row r="1780" ht="12.75" customHeight="1">
      <c r="A1780" s="3">
        <v>92.0</v>
      </c>
      <c r="B1780" s="3">
        <v>119.0</v>
      </c>
      <c r="C1780" s="3">
        <v>4.0188231E7</v>
      </c>
      <c r="D1780" s="3">
        <v>5.9741</v>
      </c>
      <c r="E1780" s="3">
        <v>40.188231</v>
      </c>
    </row>
    <row r="1781" ht="12.75" customHeight="1">
      <c r="A1781" s="3">
        <v>92.0</v>
      </c>
      <c r="B1781" s="3">
        <v>120.0</v>
      </c>
      <c r="C1781" s="3">
        <v>4.6738231E7</v>
      </c>
      <c r="D1781" s="3">
        <v>6.7741</v>
      </c>
      <c r="E1781" s="3">
        <v>46.738231</v>
      </c>
    </row>
    <row r="1782" ht="12.75" customHeight="1">
      <c r="A1782" s="3">
        <v>92.0</v>
      </c>
      <c r="B1782" s="3">
        <v>121.0</v>
      </c>
      <c r="C1782" s="3">
        <v>5.4108231E7</v>
      </c>
      <c r="D1782" s="3">
        <v>7.6141</v>
      </c>
      <c r="E1782" s="3">
        <v>54.108231</v>
      </c>
    </row>
    <row r="1783" ht="12.75" customHeight="1">
      <c r="A1783" s="3">
        <v>92.0</v>
      </c>
      <c r="B1783" s="3">
        <v>122.0</v>
      </c>
      <c r="C1783" s="3">
        <v>6.2338231E7</v>
      </c>
      <c r="D1783" s="3">
        <v>8.4741</v>
      </c>
      <c r="E1783" s="3">
        <v>62.338231</v>
      </c>
    </row>
    <row r="1784" ht="12.75" customHeight="1">
      <c r="A1784" s="3">
        <v>94.0</v>
      </c>
      <c r="B1784" s="3">
        <v>25.0</v>
      </c>
      <c r="C1784" s="3">
        <v>1000000.0</v>
      </c>
      <c r="D1784" s="3">
        <v>50.0</v>
      </c>
      <c r="E1784" s="3">
        <v>1.0</v>
      </c>
    </row>
    <row r="1785" ht="12.75" customHeight="1">
      <c r="A1785" s="3">
        <v>94.0</v>
      </c>
      <c r="B1785" s="3">
        <v>26.0</v>
      </c>
      <c r="C1785" s="3">
        <v>4500000.0</v>
      </c>
      <c r="D1785" s="3">
        <v>200.0</v>
      </c>
      <c r="E1785" s="3">
        <v>4.5</v>
      </c>
    </row>
    <row r="1786" ht="12.75" customHeight="1">
      <c r="A1786" s="3">
        <v>94.0</v>
      </c>
      <c r="B1786" s="3">
        <v>27.0</v>
      </c>
      <c r="C1786" s="3">
        <v>7000000.0</v>
      </c>
      <c r="D1786" s="3">
        <v>340.0</v>
      </c>
      <c r="E1786" s="3">
        <v>7.0</v>
      </c>
    </row>
    <row r="1787" ht="12.75" customHeight="1">
      <c r="A1787" s="3">
        <v>94.0</v>
      </c>
      <c r="B1787" s="3">
        <v>28.0</v>
      </c>
      <c r="C1787" s="3">
        <v>1.3E7</v>
      </c>
      <c r="D1787" s="3">
        <v>490.0</v>
      </c>
      <c r="E1787" s="3">
        <v>13.0</v>
      </c>
    </row>
    <row r="1788" ht="12.75" customHeight="1">
      <c r="A1788" s="3">
        <v>94.0</v>
      </c>
      <c r="B1788" s="3">
        <v>29.0</v>
      </c>
      <c r="C1788" s="3">
        <v>1.6E7</v>
      </c>
      <c r="D1788" s="3">
        <v>670.0</v>
      </c>
      <c r="E1788" s="3">
        <v>16.0</v>
      </c>
    </row>
    <row r="1789" ht="12.75" customHeight="1">
      <c r="A1789" s="3">
        <v>94.0</v>
      </c>
      <c r="B1789" s="3">
        <v>30.0</v>
      </c>
      <c r="C1789" s="3">
        <v>2.4E7</v>
      </c>
      <c r="D1789" s="3">
        <v>810.0</v>
      </c>
      <c r="E1789" s="3">
        <v>24.0</v>
      </c>
    </row>
    <row r="1790" ht="12.75" customHeight="1">
      <c r="A1790" s="3">
        <v>94.0</v>
      </c>
      <c r="B1790" s="3">
        <v>31.0</v>
      </c>
      <c r="C1790" s="3">
        <v>3.2E7</v>
      </c>
      <c r="D1790" s="3">
        <v>1020.0</v>
      </c>
      <c r="E1790" s="3">
        <v>32.0</v>
      </c>
    </row>
    <row r="1791" ht="12.75" customHeight="1">
      <c r="A1791" s="3">
        <v>94.0</v>
      </c>
      <c r="B1791" s="3">
        <v>32.0</v>
      </c>
      <c r="C1791" s="3">
        <v>4.3E7</v>
      </c>
      <c r="D1791" s="3">
        <v>1220.0</v>
      </c>
      <c r="E1791" s="3">
        <v>43.0</v>
      </c>
    </row>
    <row r="1792" ht="12.75" customHeight="1">
      <c r="A1792" s="3">
        <v>94.0</v>
      </c>
      <c r="B1792" s="3">
        <v>33.0</v>
      </c>
      <c r="C1792" s="3">
        <v>5.3E7</v>
      </c>
      <c r="D1792" s="3">
        <v>1360.0</v>
      </c>
      <c r="E1792" s="3">
        <v>53.0</v>
      </c>
    </row>
    <row r="1793" ht="12.75" customHeight="1">
      <c r="A1793" s="3">
        <v>94.0</v>
      </c>
      <c r="B1793" s="3">
        <v>34.0</v>
      </c>
      <c r="C1793" s="3">
        <v>5.8E7</v>
      </c>
      <c r="D1793" s="3">
        <v>1500.0</v>
      </c>
      <c r="E1793" s="3">
        <v>58.0</v>
      </c>
    </row>
    <row r="1794" ht="12.75" customHeight="1">
      <c r="A1794" s="3">
        <v>94.0</v>
      </c>
      <c r="B1794" s="3">
        <v>35.0</v>
      </c>
      <c r="C1794" s="3">
        <v>7.7E7</v>
      </c>
      <c r="D1794" s="3">
        <v>1760.0</v>
      </c>
      <c r="E1794" s="3">
        <v>77.0</v>
      </c>
    </row>
    <row r="1795" ht="12.75" customHeight="1">
      <c r="A1795" s="3">
        <v>94.0</v>
      </c>
      <c r="B1795" s="3">
        <v>36.0</v>
      </c>
      <c r="C1795" s="3">
        <v>1.15E8</v>
      </c>
      <c r="D1795" s="3">
        <v>2290.0</v>
      </c>
      <c r="E1795" s="3">
        <v>115.0</v>
      </c>
    </row>
    <row r="1796" ht="12.75" customHeight="1">
      <c r="A1796" s="3">
        <v>94.0</v>
      </c>
      <c r="B1796" s="3">
        <v>37.0</v>
      </c>
      <c r="C1796" s="3">
        <v>1.39E8</v>
      </c>
      <c r="D1796" s="3">
        <v>2580.0</v>
      </c>
      <c r="E1796" s="3">
        <v>139.0</v>
      </c>
    </row>
    <row r="1797" ht="12.75" customHeight="1">
      <c r="A1797" s="3">
        <v>94.0</v>
      </c>
      <c r="B1797" s="3">
        <v>38.0</v>
      </c>
      <c r="C1797" s="3">
        <v>1.67E8</v>
      </c>
      <c r="D1797" s="3">
        <v>2870.0</v>
      </c>
      <c r="E1797" s="3">
        <v>167.0</v>
      </c>
    </row>
    <row r="1798" ht="12.75" customHeight="1">
      <c r="A1798" s="3">
        <v>94.0</v>
      </c>
      <c r="B1798" s="3">
        <v>39.0</v>
      </c>
      <c r="C1798" s="3">
        <v>2.01E8</v>
      </c>
      <c r="D1798" s="3">
        <v>3220.0</v>
      </c>
      <c r="E1798" s="3">
        <v>201.0</v>
      </c>
    </row>
    <row r="1799" ht="12.75" customHeight="1">
      <c r="A1799" s="3">
        <v>94.0</v>
      </c>
      <c r="B1799" s="3">
        <v>40.0</v>
      </c>
      <c r="C1799" s="3">
        <v>2.38E8</v>
      </c>
      <c r="D1799" s="3">
        <v>3540.0</v>
      </c>
      <c r="E1799" s="3">
        <v>238.0</v>
      </c>
    </row>
    <row r="1800" ht="12.75" customHeight="1">
      <c r="A1800" s="3">
        <v>94.0</v>
      </c>
      <c r="B1800" s="3">
        <v>41.0</v>
      </c>
      <c r="C1800" s="3">
        <v>2.75E8</v>
      </c>
      <c r="D1800" s="3">
        <v>3900.0</v>
      </c>
      <c r="E1800" s="3">
        <v>275.0</v>
      </c>
    </row>
    <row r="1801" ht="12.75" customHeight="1">
      <c r="A1801" s="3">
        <v>94.0</v>
      </c>
      <c r="B1801" s="3">
        <v>42.0</v>
      </c>
      <c r="C1801" s="3">
        <v>3.2E8</v>
      </c>
      <c r="D1801" s="3">
        <v>4250.0</v>
      </c>
      <c r="E1801" s="3">
        <v>320.0</v>
      </c>
    </row>
    <row r="1802" ht="12.75" customHeight="1">
      <c r="A1802" s="3">
        <v>94.0</v>
      </c>
      <c r="B1802" s="3">
        <v>43.0</v>
      </c>
      <c r="C1802" s="3">
        <v>3.52E8</v>
      </c>
      <c r="D1802" s="3">
        <v>4630.0</v>
      </c>
      <c r="E1802" s="3">
        <v>352.0</v>
      </c>
    </row>
    <row r="1803" ht="12.75" customHeight="1">
      <c r="A1803" s="3">
        <v>94.0</v>
      </c>
      <c r="B1803" s="3">
        <v>44.0</v>
      </c>
      <c r="C1803" s="3">
        <v>4.09E8</v>
      </c>
      <c r="D1803" s="3">
        <v>5000.0</v>
      </c>
      <c r="E1803" s="3">
        <v>409.0</v>
      </c>
    </row>
    <row r="1804" ht="12.75" customHeight="1">
      <c r="A1804" s="3">
        <v>94.0</v>
      </c>
      <c r="B1804" s="3">
        <v>45.0</v>
      </c>
      <c r="C1804" s="3">
        <v>4.57E8</v>
      </c>
      <c r="D1804" s="3">
        <v>5380.0</v>
      </c>
      <c r="E1804" s="3">
        <v>457.0</v>
      </c>
    </row>
    <row r="1805" ht="12.75" customHeight="1">
      <c r="A1805" s="3">
        <v>94.0</v>
      </c>
      <c r="B1805" s="3">
        <v>46.0</v>
      </c>
      <c r="C1805" s="3">
        <v>5.08E8</v>
      </c>
      <c r="D1805" s="3">
        <v>5800.0</v>
      </c>
      <c r="E1805" s="3">
        <v>508.0</v>
      </c>
    </row>
    <row r="1806" ht="12.75" customHeight="1">
      <c r="A1806" s="3">
        <v>94.0</v>
      </c>
      <c r="B1806" s="3">
        <v>47.0</v>
      </c>
      <c r="C1806" s="3">
        <v>5.63E8</v>
      </c>
      <c r="D1806" s="3">
        <v>6220.0</v>
      </c>
      <c r="E1806" s="3">
        <v>563.0</v>
      </c>
    </row>
    <row r="1807" ht="12.75" customHeight="1">
      <c r="A1807" s="3">
        <v>94.0</v>
      </c>
      <c r="B1807" s="3">
        <v>48.0</v>
      </c>
      <c r="C1807" s="3">
        <v>6.25E8</v>
      </c>
      <c r="D1807" s="3">
        <v>6700.0</v>
      </c>
      <c r="E1807" s="3">
        <v>625.0</v>
      </c>
    </row>
    <row r="1808" ht="12.75" customHeight="1">
      <c r="A1808" s="3">
        <v>95.0</v>
      </c>
      <c r="B1808" s="3">
        <v>23.12</v>
      </c>
      <c r="C1808" s="3">
        <v>0.0</v>
      </c>
      <c r="D1808" s="3">
        <v>0.0</v>
      </c>
      <c r="E1808" s="3">
        <v>0.0</v>
      </c>
    </row>
    <row r="1809" ht="12.75" customHeight="1">
      <c r="A1809" s="3">
        <v>95.0</v>
      </c>
      <c r="B1809" s="3">
        <v>24.0</v>
      </c>
      <c r="C1809" s="3">
        <v>6600.0</v>
      </c>
      <c r="D1809" s="3">
        <v>0.04</v>
      </c>
      <c r="E1809" s="3">
        <v>0.0066</v>
      </c>
    </row>
    <row r="1810" ht="12.75" customHeight="1">
      <c r="A1810" s="3">
        <v>95.0</v>
      </c>
      <c r="B1810" s="3">
        <v>25.0</v>
      </c>
      <c r="C1810" s="3">
        <v>192000.0</v>
      </c>
      <c r="D1810" s="3">
        <v>0.34</v>
      </c>
      <c r="E1810" s="3">
        <v>0.192</v>
      </c>
    </row>
    <row r="1811" ht="12.75" customHeight="1">
      <c r="A1811" s="3">
        <v>95.0</v>
      </c>
      <c r="B1811" s="3">
        <v>26.0</v>
      </c>
      <c r="C1811" s="3">
        <v>688000.0</v>
      </c>
      <c r="D1811" s="3">
        <v>0.65</v>
      </c>
      <c r="E1811" s="3">
        <v>0.688</v>
      </c>
    </row>
    <row r="1812" ht="12.75" customHeight="1">
      <c r="A1812" s="3">
        <v>95.0</v>
      </c>
      <c r="B1812" s="3">
        <v>27.0</v>
      </c>
      <c r="C1812" s="3">
        <v>1525000.0</v>
      </c>
      <c r="D1812" s="3">
        <v>1.06</v>
      </c>
      <c r="E1812" s="3">
        <v>1.525</v>
      </c>
    </row>
    <row r="1813" ht="12.75" customHeight="1">
      <c r="A1813" s="3">
        <v>95.0</v>
      </c>
      <c r="B1813" s="3">
        <v>28.0</v>
      </c>
      <c r="C1813" s="3">
        <v>2800000.0</v>
      </c>
      <c r="D1813" s="3">
        <v>1.52</v>
      </c>
      <c r="E1813" s="3">
        <v>2.8</v>
      </c>
    </row>
    <row r="1814" ht="12.75" customHeight="1">
      <c r="A1814" s="3">
        <v>95.0</v>
      </c>
      <c r="B1814" s="3">
        <v>29.0</v>
      </c>
      <c r="C1814" s="3">
        <v>4560000.0</v>
      </c>
      <c r="D1814" s="3">
        <v>2.03</v>
      </c>
      <c r="E1814" s="3">
        <v>4.56</v>
      </c>
    </row>
    <row r="1815" ht="12.75" customHeight="1">
      <c r="A1815" s="3">
        <v>95.0</v>
      </c>
      <c r="B1815" s="3">
        <v>30.0</v>
      </c>
      <c r="C1815" s="3">
        <v>6870000.0</v>
      </c>
      <c r="D1815" s="3">
        <v>2.58</v>
      </c>
      <c r="E1815" s="3">
        <v>6.87</v>
      </c>
    </row>
    <row r="1816" ht="12.75" customHeight="1">
      <c r="A1816" s="3">
        <v>95.0</v>
      </c>
      <c r="B1816" s="3">
        <v>31.0</v>
      </c>
      <c r="C1816" s="3">
        <v>9750000.0</v>
      </c>
      <c r="D1816" s="3">
        <v>3.19</v>
      </c>
      <c r="E1816" s="3">
        <v>9.75</v>
      </c>
    </row>
    <row r="1817" ht="12.75" customHeight="1">
      <c r="A1817" s="3">
        <v>95.0</v>
      </c>
      <c r="B1817" s="3">
        <v>32.0</v>
      </c>
      <c r="C1817" s="3">
        <v>1.326E7</v>
      </c>
      <c r="D1817" s="3">
        <v>3.83</v>
      </c>
      <c r="E1817" s="3">
        <v>13.26</v>
      </c>
    </row>
    <row r="1818" ht="12.75" customHeight="1">
      <c r="A1818" s="3">
        <v>95.0</v>
      </c>
      <c r="B1818" s="3">
        <v>33.0</v>
      </c>
      <c r="C1818" s="3">
        <v>1.743E7</v>
      </c>
      <c r="D1818" s="3">
        <v>4.54</v>
      </c>
      <c r="E1818" s="3">
        <v>17.43</v>
      </c>
    </row>
    <row r="1819" ht="12.75" customHeight="1">
      <c r="A1819" s="3">
        <v>95.0</v>
      </c>
      <c r="B1819" s="3">
        <v>34.0</v>
      </c>
      <c r="C1819" s="3">
        <v>2.222E7</v>
      </c>
      <c r="D1819" s="3">
        <v>5.01</v>
      </c>
      <c r="E1819" s="3">
        <v>22.22</v>
      </c>
    </row>
    <row r="1820" ht="12.75" customHeight="1">
      <c r="A1820" s="3">
        <v>95.0</v>
      </c>
      <c r="B1820" s="3">
        <v>35.0</v>
      </c>
      <c r="C1820" s="3">
        <v>2.741E7</v>
      </c>
      <c r="D1820" s="3">
        <v>5.4</v>
      </c>
      <c r="E1820" s="3">
        <v>27.41</v>
      </c>
    </row>
    <row r="1821" ht="12.75" customHeight="1">
      <c r="A1821" s="3">
        <v>95.0</v>
      </c>
      <c r="B1821" s="3">
        <v>35.57</v>
      </c>
      <c r="C1821" s="3">
        <v>3.055E7</v>
      </c>
      <c r="D1821" s="3">
        <v>5.81</v>
      </c>
      <c r="E1821" s="3">
        <v>30.55</v>
      </c>
    </row>
    <row r="1822" ht="12.75" customHeight="1">
      <c r="A1822" s="3">
        <v>95.0</v>
      </c>
      <c r="B1822" s="3">
        <v>36.0</v>
      </c>
      <c r="C1822" s="3">
        <v>3.33E7</v>
      </c>
      <c r="D1822" s="3">
        <v>5.9</v>
      </c>
      <c r="E1822" s="3">
        <v>33.3</v>
      </c>
    </row>
    <row r="1823" ht="12.75" customHeight="1">
      <c r="A1823" s="3">
        <v>95.0</v>
      </c>
      <c r="B1823" s="3">
        <v>37.0</v>
      </c>
      <c r="C1823" s="3">
        <v>4.005E7</v>
      </c>
      <c r="D1823" s="3">
        <v>6.14</v>
      </c>
      <c r="E1823" s="3">
        <v>40.05</v>
      </c>
    </row>
    <row r="1824" ht="12.75" customHeight="1">
      <c r="A1824" s="3">
        <v>95.0</v>
      </c>
      <c r="B1824" s="3">
        <v>37.5</v>
      </c>
      <c r="C1824" s="3">
        <v>4.3157E7</v>
      </c>
      <c r="D1824" s="3">
        <v>6.29</v>
      </c>
      <c r="E1824" s="3">
        <v>43.157</v>
      </c>
    </row>
    <row r="1825" ht="12.75" customHeight="1">
      <c r="A1825" s="3">
        <v>95.0</v>
      </c>
      <c r="B1825" s="3">
        <v>38.0</v>
      </c>
      <c r="C1825" s="3">
        <v>4.6327E7</v>
      </c>
      <c r="D1825" s="3">
        <v>6.39</v>
      </c>
      <c r="E1825" s="3">
        <v>46.327</v>
      </c>
    </row>
    <row r="1826" ht="12.75" customHeight="1">
      <c r="A1826" s="3">
        <v>96.0</v>
      </c>
      <c r="B1826" s="3">
        <v>490.0</v>
      </c>
      <c r="C1826" s="3">
        <v>0.0</v>
      </c>
      <c r="D1826" s="3">
        <v>0.0</v>
      </c>
      <c r="E1826" s="3">
        <v>0.0</v>
      </c>
    </row>
    <row r="1827" ht="12.75" customHeight="1">
      <c r="A1827" s="3">
        <v>96.0</v>
      </c>
      <c r="B1827" s="3">
        <v>491.0</v>
      </c>
      <c r="C1827" s="3">
        <v>26000.0</v>
      </c>
      <c r="D1827" s="3">
        <v>0.03</v>
      </c>
      <c r="E1827" s="3">
        <v>0.026</v>
      </c>
    </row>
    <row r="1828" ht="12.75" customHeight="1">
      <c r="A1828" s="3">
        <v>96.0</v>
      </c>
      <c r="B1828" s="3">
        <v>492.0</v>
      </c>
      <c r="C1828" s="3">
        <v>72500.0</v>
      </c>
      <c r="D1828" s="3">
        <v>0.07</v>
      </c>
      <c r="E1828" s="3">
        <v>0.0725</v>
      </c>
    </row>
    <row r="1829" ht="12.75" customHeight="1">
      <c r="A1829" s="3">
        <v>96.0</v>
      </c>
      <c r="B1829" s="3">
        <v>493.0</v>
      </c>
      <c r="C1829" s="3">
        <v>165000.0</v>
      </c>
      <c r="D1829" s="3">
        <v>0.12</v>
      </c>
      <c r="E1829" s="3">
        <v>0.165</v>
      </c>
    </row>
    <row r="1830" ht="12.75" customHeight="1">
      <c r="A1830" s="3">
        <v>96.0</v>
      </c>
      <c r="B1830" s="3">
        <v>494.0</v>
      </c>
      <c r="C1830" s="3">
        <v>308000.0</v>
      </c>
      <c r="D1830" s="3">
        <v>0.17</v>
      </c>
      <c r="E1830" s="3">
        <v>0.308</v>
      </c>
    </row>
    <row r="1831" ht="12.75" customHeight="1">
      <c r="A1831" s="3">
        <v>96.0</v>
      </c>
      <c r="B1831" s="3">
        <v>495.0</v>
      </c>
      <c r="C1831" s="3">
        <v>509000.0</v>
      </c>
      <c r="D1831" s="3">
        <v>0.23</v>
      </c>
      <c r="E1831" s="3">
        <v>0.509</v>
      </c>
    </row>
    <row r="1832" ht="12.75" customHeight="1">
      <c r="A1832" s="3">
        <v>96.0</v>
      </c>
      <c r="B1832" s="3">
        <v>496.0</v>
      </c>
      <c r="C1832" s="3">
        <v>787000.0</v>
      </c>
      <c r="D1832" s="3">
        <v>0.33</v>
      </c>
      <c r="E1832" s="3">
        <v>0.787</v>
      </c>
    </row>
    <row r="1833" ht="12.75" customHeight="1">
      <c r="A1833" s="3">
        <v>96.0</v>
      </c>
      <c r="B1833" s="3">
        <v>497.0</v>
      </c>
      <c r="C1833" s="3">
        <v>1200000.0</v>
      </c>
      <c r="D1833" s="3">
        <v>0.44</v>
      </c>
      <c r="E1833" s="3">
        <v>1.2</v>
      </c>
    </row>
    <row r="1834" ht="12.75" customHeight="1">
      <c r="A1834" s="3">
        <v>96.0</v>
      </c>
      <c r="B1834" s="3">
        <v>498.0</v>
      </c>
      <c r="C1834" s="3">
        <v>1670000.0</v>
      </c>
      <c r="D1834" s="3">
        <v>0.55</v>
      </c>
      <c r="E1834" s="3">
        <v>1.67</v>
      </c>
    </row>
    <row r="1835" ht="12.75" customHeight="1">
      <c r="A1835" s="3">
        <v>96.0</v>
      </c>
      <c r="B1835" s="3">
        <v>499.0</v>
      </c>
      <c r="C1835" s="3">
        <v>2290000.0</v>
      </c>
      <c r="D1835" s="3">
        <v>0.69</v>
      </c>
      <c r="E1835" s="3">
        <v>2.29</v>
      </c>
    </row>
    <row r="1836" ht="12.75" customHeight="1">
      <c r="A1836" s="3">
        <v>96.0</v>
      </c>
      <c r="B1836" s="3">
        <v>500.0</v>
      </c>
      <c r="C1836" s="3">
        <v>3050000.0</v>
      </c>
      <c r="D1836" s="3">
        <v>0.84</v>
      </c>
      <c r="E1836" s="3">
        <v>3.05</v>
      </c>
    </row>
    <row r="1837" ht="12.75" customHeight="1">
      <c r="A1837" s="3">
        <v>96.0</v>
      </c>
      <c r="B1837" s="3">
        <v>501.0</v>
      </c>
      <c r="C1837" s="3">
        <v>3900000.0</v>
      </c>
      <c r="D1837" s="3">
        <v>0.96</v>
      </c>
      <c r="E1837" s="3">
        <v>3.9</v>
      </c>
    </row>
    <row r="1838" ht="12.75" customHeight="1">
      <c r="A1838" s="3">
        <v>96.0</v>
      </c>
      <c r="B1838" s="3">
        <v>502.0</v>
      </c>
      <c r="C1838" s="3">
        <v>5000000.0</v>
      </c>
      <c r="D1838" s="3">
        <v>1.04</v>
      </c>
      <c r="E1838" s="3">
        <v>5.0</v>
      </c>
    </row>
    <row r="1839" ht="12.75" customHeight="1">
      <c r="A1839" s="3">
        <v>96.0</v>
      </c>
      <c r="B1839" s="3">
        <v>502.24</v>
      </c>
      <c r="C1839" s="3">
        <v>5200000.0</v>
      </c>
      <c r="D1839" s="3">
        <v>1.07</v>
      </c>
      <c r="E1839" s="3">
        <v>5.2</v>
      </c>
    </row>
    <row r="1840" ht="12.75" customHeight="1">
      <c r="A1840" s="3">
        <v>96.0</v>
      </c>
      <c r="B1840" s="3">
        <v>504.0</v>
      </c>
      <c r="C1840" s="3">
        <v>7330000.0</v>
      </c>
      <c r="D1840" s="3">
        <v>1.3</v>
      </c>
      <c r="E1840" s="3">
        <v>7.33</v>
      </c>
    </row>
    <row r="1841" ht="12.75" customHeight="1">
      <c r="A1841" s="3">
        <v>96.0</v>
      </c>
      <c r="B1841" s="3">
        <v>506.0</v>
      </c>
      <c r="C1841" s="3">
        <v>1.03E7</v>
      </c>
      <c r="D1841" s="3">
        <v>1.56</v>
      </c>
      <c r="E1841" s="3">
        <v>10.3</v>
      </c>
    </row>
    <row r="1842" ht="12.75" customHeight="1">
      <c r="A1842" s="3">
        <v>96.0</v>
      </c>
      <c r="B1842" s="3">
        <v>508.0</v>
      </c>
      <c r="C1842" s="3">
        <v>1.38E7</v>
      </c>
      <c r="D1842" s="3">
        <v>1.84</v>
      </c>
      <c r="E1842" s="3">
        <v>13.8</v>
      </c>
    </row>
    <row r="1843" ht="12.75" customHeight="1">
      <c r="A1843" s="3">
        <v>96.0</v>
      </c>
      <c r="B1843" s="3">
        <v>510.0</v>
      </c>
      <c r="C1843" s="3">
        <v>1.8E7</v>
      </c>
      <c r="D1843" s="3">
        <v>2.15</v>
      </c>
      <c r="E1843" s="3">
        <v>18.0</v>
      </c>
    </row>
    <row r="1844" ht="12.75" customHeight="1">
      <c r="A1844" s="3">
        <v>96.0</v>
      </c>
      <c r="B1844" s="3">
        <v>512.0</v>
      </c>
      <c r="C1844" s="3">
        <v>2.2408E7</v>
      </c>
      <c r="D1844" s="3">
        <v>2.42</v>
      </c>
      <c r="E1844" s="3">
        <v>22.408</v>
      </c>
    </row>
    <row r="1845" ht="12.75" customHeight="1">
      <c r="A1845" s="3">
        <v>96.0</v>
      </c>
      <c r="B1845" s="3">
        <v>513.0</v>
      </c>
      <c r="C1845" s="3">
        <v>2.504E7</v>
      </c>
      <c r="D1845" s="3">
        <v>2.73</v>
      </c>
      <c r="E1845" s="3">
        <v>25.04</v>
      </c>
    </row>
    <row r="1846" ht="12.75" customHeight="1">
      <c r="A1846" s="3">
        <v>97.0</v>
      </c>
      <c r="B1846" s="3">
        <v>128.53</v>
      </c>
      <c r="C1846" s="3">
        <v>0.0</v>
      </c>
      <c r="D1846" s="3">
        <v>0.0</v>
      </c>
      <c r="E1846" s="3">
        <v>0.0</v>
      </c>
    </row>
    <row r="1847" ht="12.75" customHeight="1">
      <c r="A1847" s="3">
        <v>97.0</v>
      </c>
      <c r="B1847" s="3">
        <v>129.0</v>
      </c>
      <c r="C1847" s="3">
        <v>44.0</v>
      </c>
      <c r="D1847" s="3">
        <v>4.0E-4</v>
      </c>
      <c r="E1847" s="3">
        <v>4.4E-5</v>
      </c>
    </row>
    <row r="1848" ht="12.75" customHeight="1">
      <c r="A1848" s="3">
        <v>97.0</v>
      </c>
      <c r="B1848" s="3">
        <v>130.0</v>
      </c>
      <c r="C1848" s="3">
        <v>2000.0</v>
      </c>
      <c r="D1848" s="3">
        <v>0.004</v>
      </c>
      <c r="E1848" s="3">
        <v>0.002</v>
      </c>
    </row>
    <row r="1849" ht="12.75" customHeight="1">
      <c r="A1849" s="3">
        <v>97.0</v>
      </c>
      <c r="B1849" s="3">
        <v>131.0</v>
      </c>
      <c r="C1849" s="3">
        <v>13000.0</v>
      </c>
      <c r="D1849" s="3">
        <v>0.02</v>
      </c>
      <c r="E1849" s="3">
        <v>0.013</v>
      </c>
    </row>
    <row r="1850" ht="12.75" customHeight="1">
      <c r="A1850" s="3">
        <v>97.0</v>
      </c>
      <c r="B1850" s="3">
        <v>132.0</v>
      </c>
      <c r="C1850" s="3">
        <v>58000.0</v>
      </c>
      <c r="D1850" s="3">
        <v>0.07</v>
      </c>
      <c r="E1850" s="3">
        <v>0.058</v>
      </c>
    </row>
    <row r="1851" ht="12.75" customHeight="1">
      <c r="A1851" s="3">
        <v>97.0</v>
      </c>
      <c r="B1851" s="3">
        <v>133.0</v>
      </c>
      <c r="C1851" s="3">
        <v>193000.0</v>
      </c>
      <c r="D1851" s="3">
        <v>0.2</v>
      </c>
      <c r="E1851" s="3">
        <v>0.193</v>
      </c>
    </row>
    <row r="1852" ht="12.75" customHeight="1">
      <c r="A1852" s="3">
        <v>97.0</v>
      </c>
      <c r="B1852" s="3">
        <v>134.0</v>
      </c>
      <c r="C1852" s="3">
        <v>480000.0</v>
      </c>
      <c r="D1852" s="3">
        <v>0.36</v>
      </c>
      <c r="E1852" s="3">
        <v>0.48</v>
      </c>
    </row>
    <row r="1853" ht="12.75" customHeight="1">
      <c r="A1853" s="3">
        <v>97.0</v>
      </c>
      <c r="B1853" s="3">
        <v>135.0</v>
      </c>
      <c r="C1853" s="3">
        <v>950000.0</v>
      </c>
      <c r="D1853" s="3">
        <v>0.56</v>
      </c>
      <c r="E1853" s="3">
        <v>0.95</v>
      </c>
    </row>
    <row r="1854" ht="12.75" customHeight="1">
      <c r="A1854" s="3">
        <v>97.0</v>
      </c>
      <c r="B1854" s="3">
        <v>136.0</v>
      </c>
      <c r="C1854" s="3">
        <v>1600000.0</v>
      </c>
      <c r="D1854" s="3">
        <v>0.7</v>
      </c>
      <c r="E1854" s="3">
        <v>1.6</v>
      </c>
    </row>
    <row r="1855" ht="12.75" customHeight="1">
      <c r="A1855" s="3">
        <v>97.0</v>
      </c>
      <c r="B1855" s="3">
        <v>136.79</v>
      </c>
      <c r="C1855" s="3">
        <v>2170000.0</v>
      </c>
      <c r="D1855" s="3">
        <v>0.74</v>
      </c>
      <c r="E1855" s="3">
        <v>2.17</v>
      </c>
    </row>
    <row r="1856" ht="12.75" customHeight="1">
      <c r="A1856" s="3">
        <v>97.0</v>
      </c>
      <c r="B1856" s="3">
        <v>140.0</v>
      </c>
      <c r="C1856" s="3">
        <v>6230000.0</v>
      </c>
      <c r="D1856" s="3">
        <v>1.6</v>
      </c>
      <c r="E1856" s="3">
        <v>6.23</v>
      </c>
    </row>
    <row r="1857" ht="12.75" customHeight="1">
      <c r="A1857" s="3">
        <v>97.0</v>
      </c>
      <c r="B1857" s="3">
        <v>145.0</v>
      </c>
      <c r="C1857" s="3">
        <v>2.087E7</v>
      </c>
      <c r="D1857" s="3">
        <v>3.6</v>
      </c>
      <c r="E1857" s="3">
        <v>20.87</v>
      </c>
    </row>
    <row r="1858" ht="12.75" customHeight="1">
      <c r="A1858" s="3">
        <v>97.0</v>
      </c>
      <c r="B1858" s="3">
        <v>150.0</v>
      </c>
      <c r="C1858" s="3">
        <v>4.833E7</v>
      </c>
      <c r="D1858" s="3">
        <v>6.7</v>
      </c>
      <c r="E1858" s="3">
        <v>48.33</v>
      </c>
    </row>
    <row r="1859" ht="12.75" customHeight="1">
      <c r="A1859" s="3">
        <v>97.0</v>
      </c>
      <c r="B1859" s="3">
        <v>151.5</v>
      </c>
      <c r="C1859" s="3">
        <v>6.231E7</v>
      </c>
      <c r="D1859" s="3">
        <v>8.1</v>
      </c>
      <c r="E1859" s="3">
        <v>62.31</v>
      </c>
    </row>
    <row r="1860" ht="12.75" customHeight="1">
      <c r="A1860" s="3">
        <v>97.0</v>
      </c>
      <c r="B1860" s="3">
        <v>152.0</v>
      </c>
      <c r="C1860" s="3">
        <v>6.3408E7</v>
      </c>
      <c r="D1860" s="3">
        <v>8.7</v>
      </c>
      <c r="E1860" s="3">
        <v>63.408</v>
      </c>
    </row>
    <row r="1861" ht="12.75" customHeight="1">
      <c r="A1861" s="3">
        <v>97.0</v>
      </c>
      <c r="B1861" s="3">
        <v>153.0</v>
      </c>
      <c r="C1861" s="3">
        <v>6.5408E7</v>
      </c>
      <c r="D1861" s="3">
        <v>10.7</v>
      </c>
      <c r="E1861" s="3">
        <v>65.408</v>
      </c>
    </row>
    <row r="1862" ht="12.75" customHeight="1">
      <c r="A1862" s="3">
        <v>99.0</v>
      </c>
      <c r="B1862" s="3">
        <v>235.49</v>
      </c>
      <c r="C1862" s="3">
        <v>0.0</v>
      </c>
      <c r="D1862" s="3">
        <v>0.0</v>
      </c>
      <c r="E1862" s="3">
        <v>0.0</v>
      </c>
    </row>
    <row r="1863" ht="12.75" customHeight="1">
      <c r="A1863" s="3">
        <v>99.0</v>
      </c>
      <c r="B1863" s="3">
        <v>236.0</v>
      </c>
      <c r="C1863" s="3">
        <v>574.0</v>
      </c>
      <c r="D1863" s="3">
        <v>0.0</v>
      </c>
      <c r="E1863" s="3">
        <v>5.74E-4</v>
      </c>
    </row>
    <row r="1864" ht="12.75" customHeight="1">
      <c r="A1864" s="3">
        <v>99.0</v>
      </c>
      <c r="B1864" s="3">
        <v>237.0</v>
      </c>
      <c r="C1864" s="3">
        <v>17223.0</v>
      </c>
      <c r="D1864" s="3">
        <v>0.0</v>
      </c>
      <c r="E1864" s="3">
        <v>0.017223</v>
      </c>
    </row>
    <row r="1865" ht="12.75" customHeight="1">
      <c r="A1865" s="3">
        <v>99.0</v>
      </c>
      <c r="B1865" s="3">
        <v>238.0</v>
      </c>
      <c r="C1865" s="3">
        <v>83623.0</v>
      </c>
      <c r="D1865" s="3">
        <v>0.0</v>
      </c>
      <c r="E1865" s="3">
        <v>0.083623</v>
      </c>
    </row>
    <row r="1866" ht="12.75" customHeight="1">
      <c r="A1866" s="3">
        <v>99.0</v>
      </c>
      <c r="B1866" s="3">
        <v>239.0</v>
      </c>
      <c r="C1866" s="3">
        <v>220010.0</v>
      </c>
      <c r="D1866" s="3">
        <v>0.0</v>
      </c>
      <c r="E1866" s="3">
        <v>0.22001</v>
      </c>
    </row>
    <row r="1867" ht="12.75" customHeight="1">
      <c r="A1867" s="3">
        <v>99.0</v>
      </c>
      <c r="B1867" s="3">
        <v>240.0</v>
      </c>
      <c r="C1867" s="3">
        <v>443454.0</v>
      </c>
      <c r="D1867" s="3">
        <v>0.0</v>
      </c>
      <c r="E1867" s="3">
        <v>0.443454</v>
      </c>
    </row>
    <row r="1868" ht="12.75" customHeight="1">
      <c r="A1868" s="3">
        <v>99.0</v>
      </c>
      <c r="B1868" s="3">
        <v>241.0</v>
      </c>
      <c r="C1868" s="3">
        <v>781943.0</v>
      </c>
      <c r="D1868" s="3">
        <v>0.0</v>
      </c>
      <c r="E1868" s="3">
        <v>0.781943</v>
      </c>
    </row>
    <row r="1869" ht="12.75" customHeight="1">
      <c r="A1869" s="3">
        <v>99.0</v>
      </c>
      <c r="B1869" s="3">
        <v>242.0</v>
      </c>
      <c r="C1869" s="3">
        <v>1250905.0</v>
      </c>
      <c r="D1869" s="3">
        <v>1.0</v>
      </c>
      <c r="E1869" s="3">
        <v>1.250905</v>
      </c>
    </row>
    <row r="1870" ht="12.75" customHeight="1">
      <c r="A1870" s="3">
        <v>99.0</v>
      </c>
      <c r="B1870" s="3">
        <v>243.0</v>
      </c>
      <c r="C1870" s="3">
        <v>1862350.0</v>
      </c>
      <c r="D1870" s="3">
        <v>1.0</v>
      </c>
      <c r="E1870" s="3">
        <v>1.86235</v>
      </c>
    </row>
    <row r="1871" ht="12.75" customHeight="1">
      <c r="A1871" s="3">
        <v>99.0</v>
      </c>
      <c r="B1871" s="3">
        <v>243.79</v>
      </c>
      <c r="C1871" s="3">
        <v>2399047.0</v>
      </c>
      <c r="D1871" s="3">
        <v>1.0</v>
      </c>
      <c r="E1871" s="3">
        <v>2.399047</v>
      </c>
    </row>
    <row r="1872" ht="12.75" customHeight="1">
      <c r="A1872" s="3">
        <v>99.0</v>
      </c>
      <c r="B1872" s="3">
        <v>245.0</v>
      </c>
      <c r="C1872" s="3">
        <v>3796943.0</v>
      </c>
      <c r="D1872" s="3">
        <v>1.0</v>
      </c>
      <c r="E1872" s="3">
        <v>3.796943</v>
      </c>
    </row>
    <row r="1873" ht="12.75" customHeight="1">
      <c r="A1873" s="3">
        <v>99.0</v>
      </c>
      <c r="B1873" s="3">
        <v>250.0</v>
      </c>
      <c r="C1873" s="3">
        <v>1.7136943E7</v>
      </c>
      <c r="D1873" s="3">
        <v>3.0</v>
      </c>
      <c r="E1873" s="3">
        <v>17.136943</v>
      </c>
    </row>
    <row r="1874" ht="12.75" customHeight="1">
      <c r="A1874" s="3">
        <v>99.0</v>
      </c>
      <c r="B1874" s="3">
        <v>254.5</v>
      </c>
      <c r="C1874" s="3">
        <v>4.0936943E7</v>
      </c>
      <c r="D1874" s="3">
        <v>6.0</v>
      </c>
      <c r="E1874" s="3">
        <v>40.936943</v>
      </c>
    </row>
    <row r="1875" ht="12.75" customHeight="1">
      <c r="A1875" s="3">
        <v>99.0</v>
      </c>
      <c r="B1875" s="3">
        <v>255.5</v>
      </c>
      <c r="C1875" s="3">
        <v>4.8936943E7</v>
      </c>
      <c r="D1875" s="3">
        <v>7.0</v>
      </c>
      <c r="E1875" s="3">
        <v>48.936943</v>
      </c>
    </row>
    <row r="1876" ht="12.75" customHeight="1">
      <c r="A1876" s="3">
        <v>99.0</v>
      </c>
      <c r="B1876" s="3">
        <v>256.0</v>
      </c>
      <c r="C1876" s="3">
        <v>5.7936943E7</v>
      </c>
      <c r="D1876" s="3">
        <v>8.0</v>
      </c>
      <c r="E1876" s="3">
        <v>57.936943</v>
      </c>
    </row>
    <row r="1877" ht="12.75" customHeight="1">
      <c r="A1877" s="3">
        <v>99.0</v>
      </c>
      <c r="B1877" s="3">
        <v>257.0</v>
      </c>
      <c r="C1877" s="3">
        <v>6.1936943E7</v>
      </c>
      <c r="D1877" s="3">
        <v>9.0</v>
      </c>
      <c r="E1877" s="3">
        <v>61.936943</v>
      </c>
    </row>
    <row r="1878" ht="12.75" customHeight="1">
      <c r="A1878" s="3">
        <v>102.0</v>
      </c>
      <c r="B1878" s="3">
        <v>88.0</v>
      </c>
      <c r="C1878" s="3">
        <v>0.0</v>
      </c>
      <c r="D1878" s="3">
        <v>0.0</v>
      </c>
      <c r="E1878" s="3">
        <v>0.0</v>
      </c>
    </row>
    <row r="1879" ht="12.75" customHeight="1">
      <c r="A1879" s="3">
        <v>102.0</v>
      </c>
      <c r="B1879" s="3">
        <v>89.0</v>
      </c>
      <c r="C1879" s="3">
        <v>1400.0</v>
      </c>
      <c r="D1879" s="3">
        <v>0.0028</v>
      </c>
      <c r="E1879" s="3">
        <v>0.0014</v>
      </c>
    </row>
    <row r="1880" ht="12.75" customHeight="1">
      <c r="A1880" s="3">
        <v>102.0</v>
      </c>
      <c r="B1880" s="3">
        <v>90.0</v>
      </c>
      <c r="C1880" s="3">
        <v>10000.0</v>
      </c>
      <c r="D1880" s="3">
        <v>0.02</v>
      </c>
      <c r="E1880" s="3">
        <v>0.01</v>
      </c>
    </row>
    <row r="1881" ht="12.75" customHeight="1">
      <c r="A1881" s="3">
        <v>102.0</v>
      </c>
      <c r="B1881" s="3">
        <v>91.0</v>
      </c>
      <c r="C1881" s="3">
        <v>50000.0</v>
      </c>
      <c r="D1881" s="3">
        <v>0.06</v>
      </c>
      <c r="E1881" s="3">
        <v>0.05</v>
      </c>
    </row>
    <row r="1882" ht="12.75" customHeight="1">
      <c r="A1882" s="3">
        <v>102.0</v>
      </c>
      <c r="B1882" s="3">
        <v>92.0</v>
      </c>
      <c r="C1882" s="3">
        <v>140000.0</v>
      </c>
      <c r="D1882" s="3">
        <v>0.1</v>
      </c>
      <c r="E1882" s="3">
        <v>0.14</v>
      </c>
    </row>
    <row r="1883" ht="12.75" customHeight="1">
      <c r="A1883" s="3">
        <v>102.0</v>
      </c>
      <c r="B1883" s="3">
        <v>93.0</v>
      </c>
      <c r="C1883" s="3">
        <v>270000.0</v>
      </c>
      <c r="D1883" s="3">
        <v>0.14</v>
      </c>
      <c r="E1883" s="3">
        <v>0.27</v>
      </c>
    </row>
    <row r="1884" ht="12.75" customHeight="1">
      <c r="A1884" s="3">
        <v>102.0</v>
      </c>
      <c r="B1884" s="3">
        <v>94.0</v>
      </c>
      <c r="C1884" s="3">
        <v>460000.0</v>
      </c>
      <c r="D1884" s="3">
        <v>0.22</v>
      </c>
      <c r="E1884" s="3">
        <v>0.46</v>
      </c>
    </row>
    <row r="1885" ht="12.75" customHeight="1">
      <c r="A1885" s="3">
        <v>102.0</v>
      </c>
      <c r="B1885" s="3">
        <v>95.0</v>
      </c>
      <c r="C1885" s="3">
        <v>720000.0</v>
      </c>
      <c r="D1885" s="3">
        <v>0.3</v>
      </c>
      <c r="E1885" s="3">
        <v>0.72</v>
      </c>
    </row>
    <row r="1886" ht="12.75" customHeight="1">
      <c r="A1886" s="3">
        <v>102.0</v>
      </c>
      <c r="B1886" s="3">
        <v>96.0</v>
      </c>
      <c r="C1886" s="3">
        <v>1060000.0</v>
      </c>
      <c r="D1886" s="3">
        <v>0.37</v>
      </c>
      <c r="E1886" s="3">
        <v>1.06</v>
      </c>
    </row>
    <row r="1887" ht="12.75" customHeight="1">
      <c r="A1887" s="3">
        <v>102.0</v>
      </c>
      <c r="B1887" s="3">
        <v>96.5</v>
      </c>
      <c r="C1887" s="3">
        <v>1260000.0</v>
      </c>
      <c r="D1887" s="3">
        <v>0.4</v>
      </c>
      <c r="E1887" s="3">
        <v>1.26</v>
      </c>
    </row>
    <row r="1888" ht="12.75" customHeight="1">
      <c r="A1888" s="3">
        <v>102.0</v>
      </c>
      <c r="B1888" s="3">
        <v>97.0</v>
      </c>
      <c r="C1888" s="3">
        <v>1470000.0</v>
      </c>
      <c r="D1888" s="3">
        <v>0.44</v>
      </c>
      <c r="E1888" s="3">
        <v>1.47</v>
      </c>
    </row>
    <row r="1889" ht="12.75" customHeight="1">
      <c r="A1889" s="3">
        <v>102.0</v>
      </c>
      <c r="B1889" s="3">
        <v>98.0</v>
      </c>
      <c r="C1889" s="3">
        <v>1950000.0</v>
      </c>
      <c r="D1889" s="3">
        <v>0.51</v>
      </c>
      <c r="E1889" s="3">
        <v>1.95</v>
      </c>
    </row>
    <row r="1890" ht="12.75" customHeight="1">
      <c r="A1890" s="3">
        <v>108.0</v>
      </c>
      <c r="B1890" s="3">
        <v>100.0</v>
      </c>
      <c r="C1890" s="3">
        <v>0.0</v>
      </c>
      <c r="D1890" s="3">
        <v>0.0</v>
      </c>
      <c r="E1890" s="3">
        <v>0.0</v>
      </c>
    </row>
    <row r="1891" ht="12.75" customHeight="1">
      <c r="A1891" s="3">
        <v>108.0</v>
      </c>
      <c r="B1891" s="3">
        <v>101.0</v>
      </c>
      <c r="C1891" s="3">
        <v>0.0</v>
      </c>
      <c r="D1891" s="3">
        <v>0.0</v>
      </c>
      <c r="E1891" s="3">
        <v>0.0</v>
      </c>
    </row>
    <row r="1892" ht="12.75" customHeight="1">
      <c r="A1892" s="3">
        <v>108.0</v>
      </c>
      <c r="B1892" s="3">
        <v>102.0</v>
      </c>
      <c r="C1892" s="3">
        <v>0.0</v>
      </c>
      <c r="D1892" s="3">
        <v>0.0</v>
      </c>
      <c r="E1892" s="3">
        <v>0.0</v>
      </c>
    </row>
    <row r="1893" ht="12.75" customHeight="1">
      <c r="A1893" s="3">
        <v>108.0</v>
      </c>
      <c r="B1893" s="3">
        <v>103.0</v>
      </c>
      <c r="C1893" s="3">
        <v>50000.0</v>
      </c>
      <c r="D1893" s="3">
        <v>0.07</v>
      </c>
      <c r="E1893" s="3">
        <v>0.05</v>
      </c>
    </row>
    <row r="1894" ht="12.75" customHeight="1">
      <c r="A1894" s="3">
        <v>108.0</v>
      </c>
      <c r="B1894" s="3">
        <v>104.0</v>
      </c>
      <c r="C1894" s="3">
        <v>150000.0</v>
      </c>
      <c r="D1894" s="3">
        <v>0.21</v>
      </c>
      <c r="E1894" s="3">
        <v>0.15</v>
      </c>
    </row>
    <row r="1895" ht="12.75" customHeight="1">
      <c r="A1895" s="3">
        <v>108.0</v>
      </c>
      <c r="B1895" s="3">
        <v>105.0</v>
      </c>
      <c r="C1895" s="3">
        <v>500000.0</v>
      </c>
      <c r="D1895" s="3">
        <v>0.35</v>
      </c>
      <c r="E1895" s="3">
        <v>0.5</v>
      </c>
    </row>
    <row r="1896" ht="12.75" customHeight="1">
      <c r="A1896" s="3">
        <v>108.0</v>
      </c>
      <c r="B1896" s="3">
        <v>106.0</v>
      </c>
      <c r="C1896" s="3">
        <v>850000.0</v>
      </c>
      <c r="D1896" s="3">
        <v>0.52</v>
      </c>
      <c r="E1896" s="3">
        <v>0.85</v>
      </c>
    </row>
    <row r="1897" ht="12.75" customHeight="1">
      <c r="A1897" s="3">
        <v>108.0</v>
      </c>
      <c r="B1897" s="3">
        <v>107.0</v>
      </c>
      <c r="C1897" s="3">
        <v>1400000.0</v>
      </c>
      <c r="D1897" s="3">
        <v>0.7</v>
      </c>
      <c r="E1897" s="3">
        <v>1.4</v>
      </c>
    </row>
    <row r="1898" ht="12.75" customHeight="1">
      <c r="A1898" s="3">
        <v>108.0</v>
      </c>
      <c r="B1898" s="3">
        <v>108.0</v>
      </c>
      <c r="C1898" s="3">
        <v>2250000.0</v>
      </c>
      <c r="D1898" s="3">
        <v>0.83</v>
      </c>
      <c r="E1898" s="3">
        <v>2.25</v>
      </c>
    </row>
    <row r="1899" ht="12.75" customHeight="1">
      <c r="A1899" s="3">
        <v>108.0</v>
      </c>
      <c r="B1899" s="3">
        <v>109.0</v>
      </c>
      <c r="C1899" s="3">
        <v>3150000.0</v>
      </c>
      <c r="D1899" s="3">
        <v>0.97</v>
      </c>
      <c r="E1899" s="3">
        <v>3.15</v>
      </c>
    </row>
    <row r="1900" ht="12.75" customHeight="1">
      <c r="A1900" s="3">
        <v>108.0</v>
      </c>
      <c r="B1900" s="3">
        <v>110.0</v>
      </c>
      <c r="C1900" s="3">
        <v>4200000.0</v>
      </c>
      <c r="D1900" s="3">
        <v>1.06</v>
      </c>
      <c r="E1900" s="3">
        <v>4.2</v>
      </c>
    </row>
    <row r="1901" ht="12.75" customHeight="1">
      <c r="A1901" s="3">
        <v>108.0</v>
      </c>
      <c r="B1901" s="3">
        <v>111.0</v>
      </c>
      <c r="C1901" s="3">
        <v>5250000.0</v>
      </c>
      <c r="D1901" s="3">
        <v>1.15</v>
      </c>
      <c r="E1901" s="3">
        <v>5.25</v>
      </c>
    </row>
    <row r="1902" ht="12.75" customHeight="1">
      <c r="A1902" s="3">
        <v>108.0</v>
      </c>
      <c r="B1902" s="3">
        <v>112.0</v>
      </c>
      <c r="C1902" s="3">
        <v>6500000.0</v>
      </c>
      <c r="D1902" s="3">
        <v>1.73</v>
      </c>
      <c r="E1902" s="3">
        <v>6.5</v>
      </c>
    </row>
    <row r="1903" ht="12.75" customHeight="1">
      <c r="A1903" s="3">
        <v>108.0</v>
      </c>
      <c r="B1903" s="3">
        <v>113.0</v>
      </c>
      <c r="C1903" s="3">
        <v>9000000.0</v>
      </c>
      <c r="D1903" s="3">
        <v>2.31</v>
      </c>
      <c r="E1903" s="3">
        <v>9.0</v>
      </c>
    </row>
    <row r="1904" ht="12.75" customHeight="1">
      <c r="A1904" s="3">
        <v>108.0</v>
      </c>
      <c r="B1904" s="3">
        <v>114.0</v>
      </c>
      <c r="C1904" s="3">
        <v>1.113E7</v>
      </c>
      <c r="D1904" s="3">
        <v>2.42</v>
      </c>
      <c r="E1904" s="3">
        <v>11.13</v>
      </c>
    </row>
    <row r="1905" ht="12.75" customHeight="1">
      <c r="A1905" s="3">
        <v>108.0</v>
      </c>
      <c r="B1905" s="3">
        <v>115.0</v>
      </c>
      <c r="C1905" s="3">
        <v>1.36E7</v>
      </c>
      <c r="D1905" s="3">
        <v>2.53</v>
      </c>
      <c r="E1905" s="3">
        <v>13.6</v>
      </c>
    </row>
    <row r="1906" ht="12.75" customHeight="1">
      <c r="A1906" s="3">
        <v>110.0</v>
      </c>
      <c r="B1906" s="3">
        <v>38.98</v>
      </c>
      <c r="C1906" s="3">
        <v>0.0</v>
      </c>
      <c r="D1906" s="3">
        <v>0.0</v>
      </c>
      <c r="E1906" s="3">
        <v>0.0</v>
      </c>
    </row>
    <row r="1907" ht="12.75" customHeight="1">
      <c r="A1907" s="3">
        <v>110.0</v>
      </c>
      <c r="B1907" s="3">
        <v>39.0</v>
      </c>
      <c r="C1907" s="3">
        <v>0.0</v>
      </c>
      <c r="D1907" s="3">
        <v>0.0</v>
      </c>
      <c r="E1907" s="3">
        <v>0.0</v>
      </c>
    </row>
    <row r="1908" ht="12.75" customHeight="1">
      <c r="A1908" s="3">
        <v>110.0</v>
      </c>
      <c r="B1908" s="3">
        <v>40.0</v>
      </c>
      <c r="C1908" s="3">
        <v>400.0</v>
      </c>
      <c r="D1908" s="3">
        <v>0.002</v>
      </c>
      <c r="E1908" s="3">
        <v>4.0E-4</v>
      </c>
    </row>
    <row r="1909" ht="12.75" customHeight="1">
      <c r="A1909" s="3">
        <v>110.0</v>
      </c>
      <c r="B1909" s="3">
        <v>41.0</v>
      </c>
      <c r="C1909" s="3">
        <v>9000.0</v>
      </c>
      <c r="D1909" s="3">
        <v>0.017</v>
      </c>
      <c r="E1909" s="3">
        <v>0.009</v>
      </c>
    </row>
    <row r="1910" ht="12.75" customHeight="1">
      <c r="A1910" s="3">
        <v>110.0</v>
      </c>
      <c r="B1910" s="3">
        <v>42.0</v>
      </c>
      <c r="C1910" s="3">
        <v>35000.0</v>
      </c>
      <c r="D1910" s="3">
        <v>0.03</v>
      </c>
      <c r="E1910" s="3">
        <v>0.035</v>
      </c>
    </row>
    <row r="1911" ht="12.75" customHeight="1">
      <c r="A1911" s="3">
        <v>110.0</v>
      </c>
      <c r="B1911" s="3">
        <v>43.0</v>
      </c>
      <c r="C1911" s="3">
        <v>78000.0</v>
      </c>
      <c r="D1911" s="3">
        <v>0.05</v>
      </c>
      <c r="E1911" s="3">
        <v>0.078</v>
      </c>
    </row>
    <row r="1912" ht="12.75" customHeight="1">
      <c r="A1912" s="3">
        <v>110.0</v>
      </c>
      <c r="B1912" s="3">
        <v>44.0</v>
      </c>
      <c r="C1912" s="3">
        <v>138000.0</v>
      </c>
      <c r="D1912" s="3">
        <v>0.07</v>
      </c>
      <c r="E1912" s="3">
        <v>0.138</v>
      </c>
    </row>
    <row r="1913" ht="12.75" customHeight="1">
      <c r="A1913" s="3">
        <v>110.0</v>
      </c>
      <c r="B1913" s="3">
        <v>45.0</v>
      </c>
      <c r="C1913" s="3">
        <v>218000.0</v>
      </c>
      <c r="D1913" s="3">
        <v>0.09</v>
      </c>
      <c r="E1913" s="3">
        <v>0.218</v>
      </c>
    </row>
    <row r="1914" ht="12.75" customHeight="1">
      <c r="A1914" s="3">
        <v>110.0</v>
      </c>
      <c r="B1914" s="3">
        <v>46.0</v>
      </c>
      <c r="C1914" s="3">
        <v>320000.0</v>
      </c>
      <c r="D1914" s="3">
        <v>0.11</v>
      </c>
      <c r="E1914" s="3">
        <v>0.32</v>
      </c>
    </row>
    <row r="1915" ht="12.75" customHeight="1">
      <c r="A1915" s="3">
        <v>110.0</v>
      </c>
      <c r="B1915" s="3">
        <v>47.0</v>
      </c>
      <c r="C1915" s="3">
        <v>440000.0</v>
      </c>
      <c r="D1915" s="3">
        <v>0.13</v>
      </c>
      <c r="E1915" s="3">
        <v>0.44</v>
      </c>
    </row>
    <row r="1916" ht="12.75" customHeight="1">
      <c r="A1916" s="3">
        <v>110.0</v>
      </c>
      <c r="B1916" s="3">
        <v>48.0</v>
      </c>
      <c r="C1916" s="3">
        <v>582000.0</v>
      </c>
      <c r="D1916" s="3">
        <v>0.15</v>
      </c>
      <c r="E1916" s="3">
        <v>0.582</v>
      </c>
    </row>
    <row r="1917" ht="12.75" customHeight="1">
      <c r="A1917" s="3">
        <v>110.0</v>
      </c>
      <c r="B1917" s="3">
        <v>49.0</v>
      </c>
      <c r="C1917" s="3">
        <v>738000.0</v>
      </c>
      <c r="D1917" s="3">
        <v>0.16</v>
      </c>
      <c r="E1917" s="3">
        <v>0.738</v>
      </c>
    </row>
    <row r="1918" ht="12.75" customHeight="1">
      <c r="A1918" s="3">
        <v>110.0</v>
      </c>
      <c r="B1918" s="3">
        <v>49.29</v>
      </c>
      <c r="C1918" s="3">
        <v>784000.0</v>
      </c>
      <c r="D1918" s="3">
        <v>0.17</v>
      </c>
      <c r="E1918" s="3">
        <v>0.784</v>
      </c>
    </row>
    <row r="1919" ht="12.75" customHeight="1">
      <c r="A1919" s="3">
        <v>110.0</v>
      </c>
      <c r="B1919" s="3">
        <v>50.0</v>
      </c>
      <c r="C1919" s="3">
        <v>920000.0</v>
      </c>
      <c r="D1919" s="3">
        <v>0.2</v>
      </c>
      <c r="E1919" s="3">
        <v>0.92</v>
      </c>
    </row>
    <row r="1920" ht="12.75" customHeight="1">
      <c r="A1920" s="3">
        <v>110.0</v>
      </c>
      <c r="B1920" s="3">
        <v>51.0</v>
      </c>
      <c r="C1920" s="3">
        <v>1120000.0</v>
      </c>
      <c r="D1920" s="3">
        <v>0.23</v>
      </c>
      <c r="E1920" s="3">
        <v>1.12</v>
      </c>
    </row>
    <row r="1921" ht="12.75" customHeight="1">
      <c r="A1921" s="3">
        <v>110.0</v>
      </c>
      <c r="B1921" s="3">
        <v>52.0</v>
      </c>
      <c r="C1921" s="3">
        <v>1360000.0</v>
      </c>
      <c r="D1921" s="3">
        <v>0.29</v>
      </c>
      <c r="E1921" s="3">
        <v>1.36</v>
      </c>
    </row>
    <row r="1922" ht="12.75" customHeight="1">
      <c r="A1922" s="3">
        <v>110.0</v>
      </c>
      <c r="B1922" s="3">
        <v>53.0</v>
      </c>
      <c r="C1922" s="3">
        <v>1600000.0</v>
      </c>
      <c r="D1922" s="3">
        <v>0.31</v>
      </c>
      <c r="E1922" s="3">
        <v>1.6</v>
      </c>
    </row>
    <row r="1923" ht="12.75" customHeight="1">
      <c r="A1923" s="3">
        <v>110.0</v>
      </c>
      <c r="B1923" s="3">
        <v>54.0</v>
      </c>
      <c r="C1923" s="3">
        <v>1860000.0</v>
      </c>
      <c r="D1923" s="3">
        <v>0.34</v>
      </c>
      <c r="E1923" s="3">
        <v>1.86</v>
      </c>
    </row>
    <row r="1924" ht="12.75" customHeight="1">
      <c r="A1924" s="3">
        <v>110.0</v>
      </c>
      <c r="B1924" s="3">
        <v>55.0</v>
      </c>
      <c r="C1924" s="3">
        <v>2120000.0</v>
      </c>
      <c r="D1924" s="3">
        <v>0.41</v>
      </c>
      <c r="E1924" s="3">
        <v>2.12</v>
      </c>
    </row>
    <row r="1925" ht="12.75" customHeight="1">
      <c r="A1925" s="3">
        <v>111.0</v>
      </c>
      <c r="B1925" s="3">
        <v>86.0</v>
      </c>
      <c r="C1925" s="3">
        <v>0.0</v>
      </c>
      <c r="D1925" s="3">
        <v>0.0084</v>
      </c>
      <c r="E1925" s="3">
        <v>0.0</v>
      </c>
    </row>
    <row r="1926" ht="12.75" customHeight="1">
      <c r="A1926" s="3">
        <v>111.0</v>
      </c>
      <c r="B1926" s="3">
        <v>87.0</v>
      </c>
      <c r="C1926" s="3">
        <v>13400.0</v>
      </c>
      <c r="D1926" s="3">
        <v>0.018</v>
      </c>
      <c r="E1926" s="3">
        <v>0.0134</v>
      </c>
    </row>
    <row r="1927" ht="12.75" customHeight="1">
      <c r="A1927" s="3">
        <v>111.0</v>
      </c>
      <c r="B1927" s="3">
        <v>88.0</v>
      </c>
      <c r="C1927" s="3">
        <v>45000.0</v>
      </c>
      <c r="D1927" s="3">
        <v>0.05</v>
      </c>
      <c r="E1927" s="3">
        <v>0.045</v>
      </c>
    </row>
    <row r="1928" ht="12.75" customHeight="1">
      <c r="A1928" s="3">
        <v>111.0</v>
      </c>
      <c r="B1928" s="3">
        <v>89.0</v>
      </c>
      <c r="C1928" s="3">
        <v>105000.0</v>
      </c>
      <c r="D1928" s="3">
        <v>0.08</v>
      </c>
      <c r="E1928" s="3">
        <v>0.105</v>
      </c>
    </row>
    <row r="1929" ht="12.75" customHeight="1">
      <c r="A1929" s="3">
        <v>111.0</v>
      </c>
      <c r="B1929" s="3">
        <v>90.0</v>
      </c>
      <c r="C1929" s="3">
        <v>194000.0</v>
      </c>
      <c r="D1929" s="3">
        <v>0.1</v>
      </c>
      <c r="E1929" s="3">
        <v>0.194</v>
      </c>
    </row>
    <row r="1930" ht="12.75" customHeight="1">
      <c r="A1930" s="3">
        <v>111.0</v>
      </c>
      <c r="B1930" s="3">
        <v>91.0</v>
      </c>
      <c r="C1930" s="3">
        <v>310000.0</v>
      </c>
      <c r="D1930" s="3">
        <v>0.13</v>
      </c>
      <c r="E1930" s="3">
        <v>0.31</v>
      </c>
    </row>
    <row r="1931" ht="12.75" customHeight="1">
      <c r="A1931" s="3">
        <v>111.0</v>
      </c>
      <c r="B1931" s="3">
        <v>92.0</v>
      </c>
      <c r="C1931" s="3">
        <v>460000.0</v>
      </c>
      <c r="D1931" s="3">
        <v>0.16</v>
      </c>
      <c r="E1931" s="3">
        <v>0.46</v>
      </c>
    </row>
    <row r="1932" ht="12.75" customHeight="1">
      <c r="A1932" s="3">
        <v>111.0</v>
      </c>
      <c r="B1932" s="3">
        <v>93.0</v>
      </c>
      <c r="C1932" s="3">
        <v>637000.0</v>
      </c>
      <c r="D1932" s="3">
        <v>0.2</v>
      </c>
      <c r="E1932" s="3">
        <v>0.637</v>
      </c>
    </row>
    <row r="1933" ht="12.75" customHeight="1">
      <c r="A1933" s="3">
        <v>111.0</v>
      </c>
      <c r="B1933" s="3">
        <v>94.0</v>
      </c>
      <c r="C1933" s="3">
        <v>865000.0</v>
      </c>
      <c r="D1933" s="3">
        <v>0.25</v>
      </c>
      <c r="E1933" s="3">
        <v>0.865</v>
      </c>
    </row>
    <row r="1934" ht="12.75" customHeight="1">
      <c r="A1934" s="3">
        <v>111.0</v>
      </c>
      <c r="B1934" s="3">
        <v>95.0</v>
      </c>
      <c r="C1934" s="3">
        <v>1152000.0</v>
      </c>
      <c r="D1934" s="3">
        <v>0.32</v>
      </c>
      <c r="E1934" s="3">
        <v>1.152</v>
      </c>
    </row>
    <row r="1935" ht="12.75" customHeight="1">
      <c r="A1935" s="3">
        <v>111.0</v>
      </c>
      <c r="B1935" s="3">
        <v>96.0</v>
      </c>
      <c r="C1935" s="3">
        <v>1510000.0</v>
      </c>
      <c r="D1935" s="3">
        <v>0.4</v>
      </c>
      <c r="E1935" s="3">
        <v>1.51</v>
      </c>
    </row>
    <row r="1936" ht="12.75" customHeight="1">
      <c r="A1936" s="3">
        <v>111.0</v>
      </c>
      <c r="B1936" s="3">
        <v>97.0</v>
      </c>
      <c r="C1936" s="3">
        <v>1947000.0</v>
      </c>
      <c r="D1936" s="3">
        <v>0.48</v>
      </c>
      <c r="E1936" s="3">
        <v>1.947</v>
      </c>
    </row>
    <row r="1937" ht="12.75" customHeight="1">
      <c r="A1937" s="3">
        <v>111.0</v>
      </c>
      <c r="B1937" s="3">
        <v>98.0</v>
      </c>
      <c r="C1937" s="3">
        <v>2475000.0</v>
      </c>
      <c r="D1937" s="3">
        <v>0.58</v>
      </c>
      <c r="E1937" s="3">
        <v>2.475</v>
      </c>
    </row>
    <row r="1938" ht="12.75" customHeight="1">
      <c r="A1938" s="3">
        <v>111.0</v>
      </c>
      <c r="B1938" s="3">
        <v>98.94</v>
      </c>
      <c r="C1938" s="3">
        <v>3040000.0</v>
      </c>
      <c r="D1938" s="3">
        <v>0.63</v>
      </c>
      <c r="E1938" s="3">
        <v>3.04</v>
      </c>
    </row>
    <row r="1939" ht="12.75" customHeight="1">
      <c r="A1939" s="3">
        <v>111.0</v>
      </c>
      <c r="B1939" s="3">
        <v>100.0</v>
      </c>
      <c r="C1939" s="3">
        <v>3510000.0</v>
      </c>
      <c r="D1939" s="3">
        <v>0.74</v>
      </c>
      <c r="E1939" s="3">
        <v>3.51</v>
      </c>
    </row>
    <row r="1940" ht="12.75" customHeight="1">
      <c r="A1940" s="3">
        <v>112.0</v>
      </c>
      <c r="B1940" s="3">
        <v>90.01</v>
      </c>
      <c r="C1940" s="3">
        <v>0.0</v>
      </c>
      <c r="D1940" s="3">
        <v>0.0</v>
      </c>
      <c r="E1940" s="3">
        <v>0.0</v>
      </c>
    </row>
    <row r="1941" ht="12.75" customHeight="1">
      <c r="A1941" s="3">
        <v>112.0</v>
      </c>
      <c r="B1941" s="3">
        <v>91.0</v>
      </c>
      <c r="C1941" s="3">
        <v>500.0</v>
      </c>
      <c r="D1941" s="3">
        <v>0.002</v>
      </c>
      <c r="E1941" s="3">
        <v>5.0E-4</v>
      </c>
    </row>
    <row r="1942" ht="12.75" customHeight="1">
      <c r="A1942" s="3">
        <v>112.0</v>
      </c>
      <c r="B1942" s="3">
        <v>92.0</v>
      </c>
      <c r="C1942" s="3">
        <v>9000.0</v>
      </c>
      <c r="D1942" s="3">
        <v>0.2</v>
      </c>
      <c r="E1942" s="3">
        <v>0.009</v>
      </c>
    </row>
    <row r="1943" ht="12.75" customHeight="1">
      <c r="A1943" s="3">
        <v>112.0</v>
      </c>
      <c r="B1943" s="3">
        <v>93.0</v>
      </c>
      <c r="C1943" s="3">
        <v>50000.0</v>
      </c>
      <c r="D1943" s="3">
        <v>0.07</v>
      </c>
      <c r="E1943" s="3">
        <v>0.05</v>
      </c>
    </row>
    <row r="1944" ht="12.75" customHeight="1">
      <c r="A1944" s="3">
        <v>112.0</v>
      </c>
      <c r="B1944" s="3">
        <v>94.0</v>
      </c>
      <c r="C1944" s="3">
        <v>210000.0</v>
      </c>
      <c r="D1944" s="3">
        <v>0.29</v>
      </c>
      <c r="E1944" s="3">
        <v>0.21</v>
      </c>
    </row>
    <row r="1945" ht="12.75" customHeight="1">
      <c r="A1945" s="3">
        <v>112.0</v>
      </c>
      <c r="B1945" s="3">
        <v>95.0</v>
      </c>
      <c r="C1945" s="3">
        <v>694000.0</v>
      </c>
      <c r="D1945" s="3">
        <v>0.67</v>
      </c>
      <c r="E1945" s="3">
        <v>0.694</v>
      </c>
    </row>
    <row r="1946" ht="12.75" customHeight="1">
      <c r="A1946" s="3">
        <v>112.0</v>
      </c>
      <c r="B1946" s="3">
        <v>96.0</v>
      </c>
      <c r="C1946" s="3">
        <v>1604000.0</v>
      </c>
      <c r="D1946" s="3">
        <v>1.17</v>
      </c>
      <c r="E1946" s="3">
        <v>1.604</v>
      </c>
    </row>
    <row r="1947" ht="12.75" customHeight="1">
      <c r="A1947" s="3">
        <v>112.0</v>
      </c>
      <c r="B1947" s="3">
        <v>97.0</v>
      </c>
      <c r="C1947" s="3">
        <v>3127000.0</v>
      </c>
      <c r="D1947" s="3">
        <v>1.88</v>
      </c>
      <c r="E1947" s="3">
        <v>3.127</v>
      </c>
    </row>
    <row r="1948" ht="12.75" customHeight="1">
      <c r="A1948" s="3">
        <v>112.0</v>
      </c>
      <c r="B1948" s="3">
        <v>98.0</v>
      </c>
      <c r="C1948" s="3">
        <v>5403000.0</v>
      </c>
      <c r="D1948" s="3">
        <v>2.67</v>
      </c>
      <c r="E1948" s="3">
        <v>5.403</v>
      </c>
    </row>
    <row r="1949" ht="12.75" customHeight="1">
      <c r="A1949" s="3">
        <v>112.0</v>
      </c>
      <c r="B1949" s="3">
        <v>99.0</v>
      </c>
      <c r="C1949" s="3">
        <v>8517000.0</v>
      </c>
      <c r="D1949" s="3">
        <v>3.58</v>
      </c>
      <c r="E1949" s="3">
        <v>8.517</v>
      </c>
    </row>
    <row r="1950" ht="12.75" customHeight="1">
      <c r="A1950" s="3">
        <v>112.0</v>
      </c>
      <c r="B1950" s="3">
        <v>100.0</v>
      </c>
      <c r="C1950" s="3">
        <v>1.2465E7</v>
      </c>
      <c r="D1950" s="3">
        <v>4.15</v>
      </c>
      <c r="E1950" s="3">
        <v>12.465</v>
      </c>
    </row>
    <row r="1951" ht="12.75" customHeight="1">
      <c r="A1951" s="3">
        <v>112.0</v>
      </c>
      <c r="B1951" s="3">
        <v>100.79</v>
      </c>
      <c r="C1951" s="3">
        <v>1.58E7</v>
      </c>
      <c r="D1951" s="3">
        <v>4.36</v>
      </c>
      <c r="E1951" s="3">
        <v>15.8</v>
      </c>
    </row>
    <row r="1952" ht="12.75" customHeight="1">
      <c r="A1952" s="3">
        <v>112.0</v>
      </c>
      <c r="B1952" s="3">
        <v>101.0</v>
      </c>
      <c r="C1952" s="3">
        <v>1.909E7</v>
      </c>
      <c r="D1952" s="3">
        <v>5.7</v>
      </c>
      <c r="E1952" s="3">
        <v>19.09</v>
      </c>
    </row>
    <row r="1953" ht="12.75" customHeight="1">
      <c r="A1953" s="3">
        <v>112.0</v>
      </c>
      <c r="B1953" s="3">
        <v>102.0</v>
      </c>
      <c r="C1953" s="3">
        <v>2.526E7</v>
      </c>
      <c r="D1953" s="3">
        <v>6.6</v>
      </c>
      <c r="E1953" s="3">
        <v>25.26</v>
      </c>
    </row>
    <row r="1954" ht="12.75" customHeight="1">
      <c r="A1954" s="3">
        <v>112.0</v>
      </c>
      <c r="B1954" s="3">
        <v>103.0</v>
      </c>
      <c r="C1954" s="3">
        <v>3.239E7</v>
      </c>
      <c r="D1954" s="3">
        <v>7.7</v>
      </c>
      <c r="E1954" s="3">
        <v>32.39</v>
      </c>
    </row>
    <row r="1955" ht="12.75" customHeight="1">
      <c r="A1955" s="3">
        <v>112.0</v>
      </c>
      <c r="B1955" s="3">
        <v>104.0</v>
      </c>
      <c r="C1955" s="3">
        <v>4.082E7</v>
      </c>
      <c r="D1955" s="3">
        <v>9.2</v>
      </c>
      <c r="E1955" s="3">
        <v>40.82</v>
      </c>
    </row>
    <row r="1956" ht="12.75" customHeight="1">
      <c r="A1956" s="3">
        <v>112.0</v>
      </c>
      <c r="B1956" s="3">
        <v>105.0</v>
      </c>
      <c r="C1956" s="3">
        <v>5.06E7</v>
      </c>
      <c r="D1956" s="3">
        <v>10.4</v>
      </c>
      <c r="E1956" s="3">
        <v>50.6</v>
      </c>
    </row>
    <row r="1957" ht="12.75" customHeight="1">
      <c r="A1957" s="3">
        <v>112.0</v>
      </c>
      <c r="B1957" s="3">
        <v>105.5</v>
      </c>
      <c r="C1957" s="3">
        <v>5.605E7</v>
      </c>
      <c r="D1957" s="3">
        <v>10.9</v>
      </c>
      <c r="E1957" s="3">
        <v>56.05</v>
      </c>
    </row>
    <row r="1958" ht="12.75" customHeight="1">
      <c r="A1958" s="3">
        <v>112.0</v>
      </c>
      <c r="B1958" s="3">
        <v>106.0</v>
      </c>
      <c r="C1958" s="3">
        <v>6.15E7</v>
      </c>
      <c r="D1958" s="3">
        <v>11.4</v>
      </c>
      <c r="E1958" s="3">
        <v>61.5</v>
      </c>
    </row>
    <row r="1959" ht="12.75" customHeight="1">
      <c r="A1959" s="3">
        <v>112.0</v>
      </c>
      <c r="B1959" s="3">
        <v>107.0</v>
      </c>
      <c r="C1959" s="3">
        <v>7.349E7</v>
      </c>
      <c r="D1959" s="3">
        <v>12.6</v>
      </c>
      <c r="E1959" s="3">
        <v>73.49</v>
      </c>
    </row>
    <row r="1960" ht="12.75" customHeight="1">
      <c r="A1960" s="3">
        <v>112.0</v>
      </c>
      <c r="B1960" s="3">
        <v>108.0</v>
      </c>
      <c r="C1960" s="3">
        <v>8.669E7</v>
      </c>
      <c r="D1960" s="3">
        <v>13.8</v>
      </c>
      <c r="E1960" s="3">
        <v>86.69</v>
      </c>
    </row>
    <row r="1961" ht="12.75" customHeight="1">
      <c r="A1961" s="3">
        <v>112.0</v>
      </c>
      <c r="B1961" s="3">
        <v>109.0</v>
      </c>
      <c r="C1961" s="3">
        <v>1.0114E8</v>
      </c>
      <c r="D1961" s="3">
        <v>15.0</v>
      </c>
      <c r="E1961" s="3">
        <v>101.14</v>
      </c>
    </row>
    <row r="1962" ht="12.75" customHeight="1">
      <c r="A1962" s="3">
        <v>116.0</v>
      </c>
      <c r="B1962" s="3">
        <v>94.0</v>
      </c>
      <c r="C1962" s="3">
        <v>4750.0</v>
      </c>
      <c r="D1962" s="3">
        <v>0.01</v>
      </c>
      <c r="E1962" s="3">
        <v>0.00475</v>
      </c>
    </row>
    <row r="1963" ht="12.75" customHeight="1">
      <c r="A1963" s="3">
        <v>116.0</v>
      </c>
      <c r="B1963" s="3">
        <v>95.0</v>
      </c>
      <c r="C1963" s="3">
        <v>20000.0</v>
      </c>
      <c r="D1963" s="3">
        <v>0.02</v>
      </c>
      <c r="E1963" s="3">
        <v>0.02</v>
      </c>
    </row>
    <row r="1964" ht="12.75" customHeight="1">
      <c r="A1964" s="3">
        <v>116.0</v>
      </c>
      <c r="B1964" s="3">
        <v>96.0</v>
      </c>
      <c r="C1964" s="3">
        <v>70000.0</v>
      </c>
      <c r="D1964" s="3">
        <v>0.07</v>
      </c>
      <c r="E1964" s="3">
        <v>0.07</v>
      </c>
    </row>
    <row r="1965" ht="12.75" customHeight="1">
      <c r="A1965" s="3">
        <v>116.0</v>
      </c>
      <c r="B1965" s="3">
        <v>97.0</v>
      </c>
      <c r="C1965" s="3">
        <v>220000.0</v>
      </c>
      <c r="D1965" s="3">
        <v>0.23</v>
      </c>
      <c r="E1965" s="3">
        <v>0.22</v>
      </c>
    </row>
    <row r="1966" ht="12.75" customHeight="1">
      <c r="A1966" s="3">
        <v>116.0</v>
      </c>
      <c r="B1966" s="3">
        <v>98.0</v>
      </c>
      <c r="C1966" s="3">
        <v>550000.0</v>
      </c>
      <c r="D1966" s="3">
        <v>0.41</v>
      </c>
      <c r="E1966" s="3">
        <v>0.55</v>
      </c>
    </row>
    <row r="1967" ht="12.75" customHeight="1">
      <c r="A1967" s="3">
        <v>116.0</v>
      </c>
      <c r="B1967" s="3">
        <v>99.0</v>
      </c>
      <c r="C1967" s="3">
        <v>1070000.0</v>
      </c>
      <c r="D1967" s="3">
        <v>0.63</v>
      </c>
      <c r="E1967" s="3">
        <v>1.07</v>
      </c>
    </row>
    <row r="1968" ht="12.75" customHeight="1">
      <c r="A1968" s="3">
        <v>116.0</v>
      </c>
      <c r="B1968" s="3">
        <v>100.0</v>
      </c>
      <c r="C1968" s="3">
        <v>1880000.0</v>
      </c>
      <c r="D1968" s="3">
        <v>0.97</v>
      </c>
      <c r="E1968" s="3">
        <v>1.88</v>
      </c>
    </row>
    <row r="1969" ht="12.75" customHeight="1">
      <c r="A1969" s="3">
        <v>117.0</v>
      </c>
      <c r="B1969" s="3">
        <v>1.15</v>
      </c>
      <c r="C1969" s="3">
        <v>0.0</v>
      </c>
      <c r="D1969" s="3">
        <v>0.0</v>
      </c>
      <c r="E1969" s="3">
        <v>0.0</v>
      </c>
    </row>
    <row r="1970" ht="12.75" customHeight="1">
      <c r="A1970" s="3">
        <v>117.0</v>
      </c>
      <c r="B1970" s="3">
        <v>12.0</v>
      </c>
      <c r="C1970" s="3">
        <v>3.0</v>
      </c>
      <c r="D1970" s="3">
        <v>0.0</v>
      </c>
      <c r="E1970" s="3">
        <v>3.0E-6</v>
      </c>
    </row>
    <row r="1971" ht="12.75" customHeight="1">
      <c r="A1971" s="3">
        <v>117.0</v>
      </c>
      <c r="B1971" s="3">
        <v>13.0</v>
      </c>
      <c r="C1971" s="3">
        <v>32.0</v>
      </c>
      <c r="D1971" s="3">
        <v>1.0E-4</v>
      </c>
      <c r="E1971" s="3">
        <v>3.2E-5</v>
      </c>
    </row>
    <row r="1972" ht="12.75" customHeight="1">
      <c r="A1972" s="3">
        <v>117.0</v>
      </c>
      <c r="B1972" s="3">
        <v>14.0</v>
      </c>
      <c r="C1972" s="3">
        <v>129.0</v>
      </c>
      <c r="D1972" s="3">
        <v>1.0E-4</v>
      </c>
      <c r="E1972" s="3">
        <v>1.29E-4</v>
      </c>
    </row>
    <row r="1973" ht="12.75" customHeight="1">
      <c r="A1973" s="3">
        <v>117.0</v>
      </c>
      <c r="B1973" s="3">
        <v>15.0</v>
      </c>
      <c r="C1973" s="3">
        <v>389.0</v>
      </c>
      <c r="D1973" s="3">
        <v>5.0E-4</v>
      </c>
      <c r="E1973" s="3">
        <v>3.89E-4</v>
      </c>
    </row>
    <row r="1974" ht="12.75" customHeight="1">
      <c r="A1974" s="3">
        <v>117.0</v>
      </c>
      <c r="B1974" s="3">
        <v>16.0</v>
      </c>
      <c r="C1974" s="3">
        <v>1628.0</v>
      </c>
      <c r="D1974" s="3">
        <v>0.0023</v>
      </c>
      <c r="E1974" s="3">
        <v>0.001628</v>
      </c>
    </row>
    <row r="1975" ht="12.75" customHeight="1">
      <c r="A1975" s="3">
        <v>117.0</v>
      </c>
      <c r="B1975" s="3">
        <v>17.0</v>
      </c>
      <c r="C1975" s="3">
        <v>5760.0</v>
      </c>
      <c r="D1975" s="3">
        <v>0.0064</v>
      </c>
      <c r="E1975" s="3">
        <v>0.00576</v>
      </c>
    </row>
    <row r="1976" ht="12.75" customHeight="1">
      <c r="A1976" s="3">
        <v>117.0</v>
      </c>
      <c r="B1976" s="3">
        <v>18.0</v>
      </c>
      <c r="C1976" s="3">
        <v>14926.0</v>
      </c>
      <c r="D1976" s="3">
        <v>0.0129</v>
      </c>
      <c r="E1976" s="3">
        <v>0.014926</v>
      </c>
    </row>
    <row r="1977" ht="12.75" customHeight="1">
      <c r="A1977" s="3">
        <v>117.0</v>
      </c>
      <c r="B1977" s="3">
        <v>19.0</v>
      </c>
      <c r="C1977" s="3">
        <v>33129.0</v>
      </c>
      <c r="D1977" s="3">
        <v>0.0231</v>
      </c>
      <c r="E1977" s="3">
        <v>0.033129</v>
      </c>
    </row>
    <row r="1978" ht="12.75" customHeight="1">
      <c r="A1978" s="3">
        <v>117.0</v>
      </c>
      <c r="B1978" s="3">
        <v>20.0</v>
      </c>
      <c r="C1978" s="3">
        <v>62003.0</v>
      </c>
      <c r="D1978" s="3">
        <v>0.0348</v>
      </c>
      <c r="E1978" s="3">
        <v>0.062003</v>
      </c>
    </row>
    <row r="1979" ht="12.75" customHeight="1">
      <c r="A1979" s="3">
        <v>117.0</v>
      </c>
      <c r="B1979" s="3">
        <v>21.0</v>
      </c>
      <c r="C1979" s="3">
        <v>103321.0</v>
      </c>
      <c r="D1979" s="3">
        <v>0.0482</v>
      </c>
      <c r="E1979" s="3">
        <v>0.103321</v>
      </c>
    </row>
    <row r="1980" ht="12.75" customHeight="1">
      <c r="A1980" s="3">
        <v>117.0</v>
      </c>
      <c r="B1980" s="3">
        <v>22.0</v>
      </c>
      <c r="C1980" s="3">
        <v>160097.0</v>
      </c>
      <c r="D1980" s="3">
        <v>0.0661</v>
      </c>
      <c r="E1980" s="3">
        <v>0.160097</v>
      </c>
    </row>
    <row r="1981" ht="12.75" customHeight="1">
      <c r="A1981" s="3">
        <v>117.0</v>
      </c>
      <c r="B1981" s="3">
        <v>23.0</v>
      </c>
      <c r="C1981" s="3">
        <v>237113.0</v>
      </c>
      <c r="D1981" s="3">
        <v>0.0888</v>
      </c>
      <c r="E1981" s="3">
        <v>0.237113</v>
      </c>
    </row>
    <row r="1982" ht="12.75" customHeight="1">
      <c r="A1982" s="3">
        <v>117.0</v>
      </c>
      <c r="B1982" s="3">
        <v>24.0</v>
      </c>
      <c r="C1982" s="3">
        <v>339876.0</v>
      </c>
      <c r="D1982" s="3">
        <v>0.1182</v>
      </c>
      <c r="E1982" s="3">
        <v>0.339876</v>
      </c>
    </row>
    <row r="1983" ht="12.75" customHeight="1">
      <c r="A1983" s="3">
        <v>117.0</v>
      </c>
      <c r="B1983" s="3">
        <v>25.0</v>
      </c>
      <c r="C1983" s="3">
        <v>478162.0</v>
      </c>
      <c r="D1983" s="3">
        <v>0.1633</v>
      </c>
      <c r="E1983" s="3">
        <v>0.478162</v>
      </c>
    </row>
    <row r="1984" ht="12.75" customHeight="1">
      <c r="A1984" s="3">
        <v>117.0</v>
      </c>
      <c r="B1984" s="3">
        <v>26.0</v>
      </c>
      <c r="C1984" s="3">
        <v>669410.0</v>
      </c>
      <c r="D1984" s="3">
        <v>0.2189</v>
      </c>
      <c r="E1984" s="3">
        <v>0.66941</v>
      </c>
    </row>
    <row r="1985" ht="12.75" customHeight="1">
      <c r="A1985" s="3">
        <v>117.0</v>
      </c>
      <c r="B1985" s="3">
        <v>27.0</v>
      </c>
      <c r="C1985" s="3">
        <v>931724.0</v>
      </c>
      <c r="D1985" s="3">
        <v>0.3159</v>
      </c>
      <c r="E1985" s="3">
        <v>0.931724</v>
      </c>
    </row>
    <row r="1986" ht="12.75" customHeight="1">
      <c r="A1986" s="3">
        <v>117.0</v>
      </c>
      <c r="B1986" s="3">
        <v>28.0</v>
      </c>
      <c r="C1986" s="3">
        <v>1333482.0</v>
      </c>
      <c r="D1986" s="3">
        <v>0.4913</v>
      </c>
      <c r="E1986" s="3">
        <v>1.333482</v>
      </c>
    </row>
    <row r="1987" ht="12.75" customHeight="1">
      <c r="A1987" s="3">
        <v>117.0</v>
      </c>
      <c r="B1987" s="3">
        <v>29.0</v>
      </c>
      <c r="C1987" s="3">
        <v>1932820.0</v>
      </c>
      <c r="D1987" s="3">
        <v>0.7151</v>
      </c>
      <c r="E1987" s="3">
        <v>1.93282</v>
      </c>
    </row>
    <row r="1988" ht="12.75" customHeight="1">
      <c r="A1988" s="3">
        <v>117.0</v>
      </c>
      <c r="B1988" s="3">
        <v>30.0</v>
      </c>
      <c r="C1988" s="3">
        <v>2754688.0</v>
      </c>
      <c r="D1988" s="3">
        <v>0.9298</v>
      </c>
      <c r="E1988" s="3">
        <v>2.754688</v>
      </c>
    </row>
    <row r="1989" ht="12.75" customHeight="1">
      <c r="A1989" s="3">
        <v>117.0</v>
      </c>
      <c r="B1989" s="3">
        <v>31.0</v>
      </c>
      <c r="C1989" s="3">
        <v>3799359.0</v>
      </c>
      <c r="D1989" s="3">
        <v>1.164</v>
      </c>
      <c r="E1989" s="3">
        <v>3.799359</v>
      </c>
    </row>
    <row r="1990" ht="12.75" customHeight="1">
      <c r="A1990" s="3">
        <v>117.0</v>
      </c>
      <c r="B1990" s="3">
        <v>32.0</v>
      </c>
      <c r="C1990" s="3">
        <v>5089013.0</v>
      </c>
      <c r="D1990" s="3">
        <v>1.4139</v>
      </c>
      <c r="E1990" s="3">
        <v>5.089013</v>
      </c>
    </row>
    <row r="1991" ht="12.75" customHeight="1">
      <c r="A1991" s="3">
        <v>117.0</v>
      </c>
      <c r="B1991" s="3">
        <v>33.0</v>
      </c>
      <c r="C1991" s="3">
        <v>6635647.0</v>
      </c>
      <c r="D1991" s="3">
        <v>1.6861</v>
      </c>
      <c r="E1991" s="3">
        <v>6.635647</v>
      </c>
    </row>
    <row r="1992" ht="12.75" customHeight="1">
      <c r="A1992" s="3">
        <v>117.0</v>
      </c>
      <c r="B1992" s="3">
        <v>34.0</v>
      </c>
      <c r="C1992" s="3">
        <v>8472293.0</v>
      </c>
      <c r="D1992" s="3">
        <v>1.9902</v>
      </c>
      <c r="E1992" s="3">
        <v>8.472293</v>
      </c>
    </row>
    <row r="1993" ht="12.75" customHeight="1">
      <c r="A1993" s="3">
        <v>117.0</v>
      </c>
      <c r="B1993" s="3">
        <v>35.0</v>
      </c>
      <c r="C1993" s="3">
        <v>1.0632745E7</v>
      </c>
      <c r="D1993" s="3">
        <v>2.3295</v>
      </c>
      <c r="E1993" s="3">
        <v>10.632745</v>
      </c>
    </row>
    <row r="1994" ht="12.75" customHeight="1">
      <c r="A1994" s="3">
        <v>117.0</v>
      </c>
      <c r="B1994" s="3">
        <v>36.0</v>
      </c>
      <c r="C1994" s="3">
        <v>1.3115323E7</v>
      </c>
      <c r="D1994" s="3">
        <v>2.6361</v>
      </c>
      <c r="E1994" s="3">
        <v>13.115323</v>
      </c>
    </row>
    <row r="1995" ht="12.75" customHeight="1">
      <c r="A1995" s="3">
        <v>117.0</v>
      </c>
      <c r="B1995" s="3">
        <v>36.07</v>
      </c>
      <c r="C1995" s="3">
        <v>1.3300611E7</v>
      </c>
      <c r="D1995" s="3">
        <v>2.664</v>
      </c>
      <c r="E1995" s="3">
        <v>13.300611</v>
      </c>
    </row>
    <row r="1996" ht="12.75" customHeight="1">
      <c r="A1996" s="3">
        <v>117.0</v>
      </c>
      <c r="B1996" s="3">
        <v>37.0</v>
      </c>
      <c r="C1996" s="3">
        <v>1.5746512E7</v>
      </c>
      <c r="D1996" s="3">
        <v>2.97088</v>
      </c>
      <c r="E1996" s="3">
        <v>15.746512</v>
      </c>
    </row>
    <row r="1997" ht="12.75" customHeight="1">
      <c r="A1997" s="3">
        <v>117.0</v>
      </c>
      <c r="B1997" s="3">
        <v>38.0</v>
      </c>
      <c r="C1997" s="3">
        <v>1.8746512E7</v>
      </c>
      <c r="D1997" s="3">
        <v>3.36088</v>
      </c>
      <c r="E1997" s="3">
        <v>18.746512</v>
      </c>
    </row>
    <row r="1998" ht="12.75" customHeight="1">
      <c r="A1998" s="3">
        <v>117.0</v>
      </c>
      <c r="B1998" s="3">
        <v>39.0</v>
      </c>
      <c r="C1998" s="3">
        <v>2.2156512E7</v>
      </c>
      <c r="D1998" s="3">
        <v>3.79088</v>
      </c>
      <c r="E1998" s="3">
        <v>22.156512</v>
      </c>
    </row>
    <row r="1999" ht="12.75" customHeight="1">
      <c r="A1999" s="3">
        <v>117.0</v>
      </c>
      <c r="B1999" s="3">
        <v>40.0</v>
      </c>
      <c r="C1999" s="3">
        <v>2.5966512E7</v>
      </c>
      <c r="D1999" s="3">
        <v>4.25088</v>
      </c>
      <c r="E1999" s="3">
        <v>25.966512</v>
      </c>
    </row>
    <row r="2000" ht="12.75" customHeight="1">
      <c r="A2000" s="3">
        <v>117.0</v>
      </c>
      <c r="B2000" s="3">
        <v>41.0</v>
      </c>
      <c r="C2000" s="3">
        <v>3.0246512E7</v>
      </c>
      <c r="D2000" s="3">
        <v>4.51088</v>
      </c>
      <c r="E2000" s="3">
        <v>30.246512</v>
      </c>
    </row>
    <row r="2001" ht="12.75" customHeight="1">
      <c r="A2001" s="3">
        <v>117.0</v>
      </c>
      <c r="B2001" s="3">
        <v>41.42</v>
      </c>
      <c r="C2001" s="3">
        <v>3.1388912E7</v>
      </c>
      <c r="D2001" s="3">
        <v>4.57088</v>
      </c>
      <c r="E2001" s="3">
        <v>31.388912</v>
      </c>
    </row>
    <row r="2002" ht="12.75" customHeight="1">
      <c r="A2002" s="3">
        <v>117.0</v>
      </c>
      <c r="B2002" s="3">
        <v>42.0</v>
      </c>
      <c r="C2002" s="3">
        <v>3.2966512E7</v>
      </c>
      <c r="D2002" s="3">
        <v>4.65088</v>
      </c>
      <c r="E2002" s="3">
        <v>32.966512</v>
      </c>
    </row>
    <row r="2003" ht="12.75" customHeight="1">
      <c r="A2003" s="3">
        <v>117.0</v>
      </c>
      <c r="B2003" s="3">
        <v>43.0</v>
      </c>
      <c r="C2003" s="3">
        <v>3.6776512E7</v>
      </c>
      <c r="D2003" s="3">
        <v>5.03088</v>
      </c>
      <c r="E2003" s="3">
        <v>36.776512</v>
      </c>
    </row>
    <row r="2004" ht="12.75" customHeight="1">
      <c r="A2004" s="3">
        <v>117.0</v>
      </c>
      <c r="B2004" s="3">
        <v>44.0</v>
      </c>
      <c r="C2004" s="3">
        <v>4.2106512E7</v>
      </c>
      <c r="D2004" s="3">
        <v>5.42088</v>
      </c>
      <c r="E2004" s="3">
        <v>42.106512</v>
      </c>
    </row>
    <row r="2005" ht="12.75" customHeight="1">
      <c r="A2005" s="3">
        <v>117.0</v>
      </c>
      <c r="B2005" s="3">
        <v>45.0</v>
      </c>
      <c r="C2005" s="3">
        <v>4.7916512E7</v>
      </c>
      <c r="D2005" s="3">
        <v>5.82088</v>
      </c>
      <c r="E2005" s="3">
        <v>47.916512</v>
      </c>
    </row>
    <row r="2006" ht="12.75" customHeight="1">
      <c r="A2006" s="3">
        <v>117.0</v>
      </c>
      <c r="B2006" s="3">
        <v>46.0</v>
      </c>
      <c r="C2006" s="3">
        <v>5.4226512E7</v>
      </c>
      <c r="D2006" s="3">
        <v>6.21088</v>
      </c>
      <c r="E2006" s="3">
        <v>54.226512</v>
      </c>
    </row>
    <row r="2007" ht="12.75" customHeight="1">
      <c r="A2007" s="3">
        <v>118.0</v>
      </c>
      <c r="B2007" s="3">
        <v>85.0</v>
      </c>
      <c r="C2007" s="3">
        <v>0.0</v>
      </c>
      <c r="D2007" s="3">
        <v>0.0</v>
      </c>
      <c r="E2007" s="3">
        <v>0.0</v>
      </c>
    </row>
    <row r="2008" ht="12.75" customHeight="1">
      <c r="A2008" s="3">
        <v>118.0</v>
      </c>
      <c r="B2008" s="3">
        <v>86.0</v>
      </c>
      <c r="C2008" s="3">
        <v>6400.0</v>
      </c>
      <c r="D2008" s="3">
        <v>0.0</v>
      </c>
      <c r="E2008" s="3">
        <v>0.0064</v>
      </c>
    </row>
    <row r="2009" ht="12.75" customHeight="1">
      <c r="A2009" s="3">
        <v>118.0</v>
      </c>
      <c r="B2009" s="3">
        <v>87.0</v>
      </c>
      <c r="C2009" s="3">
        <v>10000.0</v>
      </c>
      <c r="D2009" s="3">
        <v>0.01</v>
      </c>
      <c r="E2009" s="3">
        <v>0.01</v>
      </c>
    </row>
    <row r="2010" ht="12.75" customHeight="1">
      <c r="A2010" s="3">
        <v>118.0</v>
      </c>
      <c r="B2010" s="3">
        <v>88.0</v>
      </c>
      <c r="C2010" s="3">
        <v>30000.0</v>
      </c>
      <c r="D2010" s="3">
        <v>0.02</v>
      </c>
      <c r="E2010" s="3">
        <v>0.03</v>
      </c>
    </row>
    <row r="2011" ht="12.75" customHeight="1">
      <c r="A2011" s="3">
        <v>118.0</v>
      </c>
      <c r="B2011" s="3">
        <v>89.0</v>
      </c>
      <c r="C2011" s="3">
        <v>60000.0</v>
      </c>
      <c r="D2011" s="3">
        <v>0.03</v>
      </c>
      <c r="E2011" s="3">
        <v>0.06</v>
      </c>
    </row>
    <row r="2012" ht="12.75" customHeight="1">
      <c r="A2012" s="3">
        <v>118.0</v>
      </c>
      <c r="B2012" s="3">
        <v>90.0</v>
      </c>
      <c r="C2012" s="3">
        <v>100000.0</v>
      </c>
      <c r="D2012" s="3">
        <v>0.03</v>
      </c>
      <c r="E2012" s="3">
        <v>0.1</v>
      </c>
    </row>
    <row r="2013" ht="12.75" customHeight="1">
      <c r="A2013" s="3">
        <v>118.0</v>
      </c>
      <c r="B2013" s="3">
        <v>91.0</v>
      </c>
      <c r="C2013" s="3">
        <v>140000.0</v>
      </c>
      <c r="D2013" s="3">
        <v>0.04</v>
      </c>
      <c r="E2013" s="3">
        <v>0.14</v>
      </c>
    </row>
    <row r="2014" ht="12.75" customHeight="1">
      <c r="A2014" s="3">
        <v>118.0</v>
      </c>
      <c r="B2014" s="3">
        <v>92.0</v>
      </c>
      <c r="C2014" s="3">
        <v>220000.0</v>
      </c>
      <c r="D2014" s="3">
        <v>0.1</v>
      </c>
      <c r="E2014" s="3">
        <v>0.22</v>
      </c>
    </row>
    <row r="2015" ht="12.75" customHeight="1">
      <c r="A2015" s="3">
        <v>118.0</v>
      </c>
      <c r="B2015" s="3">
        <v>93.0</v>
      </c>
      <c r="C2015" s="3">
        <v>350000.0</v>
      </c>
      <c r="D2015" s="3">
        <v>0.14</v>
      </c>
      <c r="E2015" s="3">
        <v>0.35</v>
      </c>
    </row>
    <row r="2016" ht="12.75" customHeight="1">
      <c r="A2016" s="3">
        <v>118.0</v>
      </c>
      <c r="B2016" s="3">
        <v>94.0</v>
      </c>
      <c r="C2016" s="3">
        <v>530000.0</v>
      </c>
      <c r="D2016" s="3">
        <v>0.18</v>
      </c>
      <c r="E2016" s="3">
        <v>0.53</v>
      </c>
    </row>
    <row r="2017" ht="12.75" customHeight="1">
      <c r="A2017" s="3">
        <v>118.0</v>
      </c>
      <c r="B2017" s="3">
        <v>95.0</v>
      </c>
      <c r="C2017" s="3">
        <v>750000.0</v>
      </c>
      <c r="D2017" s="3">
        <v>0.24</v>
      </c>
      <c r="E2017" s="3">
        <v>0.75</v>
      </c>
    </row>
    <row r="2018" ht="12.75" customHeight="1">
      <c r="A2018" s="3">
        <v>118.0</v>
      </c>
      <c r="B2018" s="3">
        <v>96.0</v>
      </c>
      <c r="C2018" s="3">
        <v>1020000.0</v>
      </c>
      <c r="D2018" s="3">
        <v>0.3</v>
      </c>
      <c r="E2018" s="3">
        <v>1.02</v>
      </c>
    </row>
    <row r="2019" ht="12.75" customHeight="1">
      <c r="A2019" s="3">
        <v>118.0</v>
      </c>
      <c r="B2019" s="3">
        <v>97.0</v>
      </c>
      <c r="C2019" s="3">
        <v>1300000.0</v>
      </c>
      <c r="D2019" s="3">
        <v>0.42</v>
      </c>
      <c r="E2019" s="3">
        <v>1.3</v>
      </c>
    </row>
    <row r="2020" ht="12.75" customHeight="1">
      <c r="A2020" s="3">
        <v>118.0</v>
      </c>
      <c r="B2020" s="3">
        <v>98.0</v>
      </c>
      <c r="C2020" s="3">
        <v>1850000.0</v>
      </c>
      <c r="D2020" s="3">
        <v>0.47</v>
      </c>
      <c r="E2020" s="3">
        <v>1.85</v>
      </c>
    </row>
    <row r="2021" ht="12.75" customHeight="1">
      <c r="A2021" s="3">
        <v>118.0</v>
      </c>
      <c r="B2021" s="3">
        <v>99.0</v>
      </c>
      <c r="C2021" s="3">
        <v>2350000.0</v>
      </c>
      <c r="D2021" s="3">
        <v>0.53</v>
      </c>
      <c r="E2021" s="3">
        <v>2.35</v>
      </c>
    </row>
    <row r="2022" ht="12.75" customHeight="1">
      <c r="A2022" s="3">
        <v>118.0</v>
      </c>
      <c r="B2022" s="3">
        <v>100.0</v>
      </c>
      <c r="C2022" s="3">
        <v>2900000.0</v>
      </c>
      <c r="D2022" s="3">
        <v>0.55</v>
      </c>
      <c r="E2022" s="3">
        <v>2.9</v>
      </c>
    </row>
    <row r="2023" ht="12.75" customHeight="1">
      <c r="A2023" s="3">
        <v>118.0</v>
      </c>
      <c r="B2023" s="3">
        <v>101.0</v>
      </c>
      <c r="C2023" s="3">
        <v>3620000.0</v>
      </c>
      <c r="D2023" s="3">
        <v>0.56</v>
      </c>
      <c r="E2023" s="3">
        <v>3.62</v>
      </c>
    </row>
    <row r="2024" ht="12.75" customHeight="1">
      <c r="A2024" s="3">
        <v>119.0</v>
      </c>
      <c r="B2024" s="3">
        <v>212.49</v>
      </c>
      <c r="C2024" s="3">
        <v>0.0</v>
      </c>
      <c r="D2024" s="3">
        <v>0.0</v>
      </c>
      <c r="E2024" s="3">
        <v>0.0</v>
      </c>
    </row>
    <row r="2025" ht="12.75" customHeight="1">
      <c r="A2025" s="3">
        <v>119.0</v>
      </c>
      <c r="B2025" s="3">
        <v>213.0</v>
      </c>
      <c r="C2025" s="3">
        <v>7.0</v>
      </c>
      <c r="D2025" s="3">
        <v>0.0</v>
      </c>
      <c r="E2025" s="3">
        <v>7.0E-6</v>
      </c>
    </row>
    <row r="2026" ht="12.75" customHeight="1">
      <c r="A2026" s="3">
        <v>119.0</v>
      </c>
      <c r="B2026" s="3">
        <v>214.0</v>
      </c>
      <c r="C2026" s="3">
        <v>401.0</v>
      </c>
      <c r="D2026" s="3">
        <v>0.001</v>
      </c>
      <c r="E2026" s="3">
        <v>4.01E-4</v>
      </c>
    </row>
    <row r="2027" ht="12.75" customHeight="1">
      <c r="A2027" s="3">
        <v>119.0</v>
      </c>
      <c r="B2027" s="3">
        <v>215.0</v>
      </c>
      <c r="C2027" s="3">
        <v>14425.0</v>
      </c>
      <c r="D2027" s="3">
        <v>0.048</v>
      </c>
      <c r="E2027" s="3">
        <v>0.014425</v>
      </c>
    </row>
    <row r="2028" ht="12.75" customHeight="1">
      <c r="A2028" s="3">
        <v>119.0</v>
      </c>
      <c r="B2028" s="3">
        <v>216.0</v>
      </c>
      <c r="C2028" s="3">
        <v>106957.0</v>
      </c>
      <c r="D2028" s="3">
        <v>0.1408</v>
      </c>
      <c r="E2028" s="3">
        <v>0.106957</v>
      </c>
    </row>
    <row r="2029" ht="12.75" customHeight="1">
      <c r="A2029" s="3">
        <v>119.0</v>
      </c>
      <c r="B2029" s="3">
        <v>217.0</v>
      </c>
      <c r="C2029" s="3">
        <v>324847.0</v>
      </c>
      <c r="D2029" s="3">
        <v>0.3056</v>
      </c>
      <c r="E2029" s="3">
        <v>0.324847</v>
      </c>
    </row>
    <row r="2030" ht="12.75" customHeight="1">
      <c r="A2030" s="3">
        <v>119.0</v>
      </c>
      <c r="B2030" s="3">
        <v>218.0</v>
      </c>
      <c r="C2030" s="3">
        <v>732904.0</v>
      </c>
      <c r="D2030" s="3">
        <v>0.5263</v>
      </c>
      <c r="E2030" s="3">
        <v>0.732904</v>
      </c>
    </row>
    <row r="2031" ht="12.75" customHeight="1">
      <c r="A2031" s="3">
        <v>119.0</v>
      </c>
      <c r="B2031" s="3">
        <v>219.0</v>
      </c>
      <c r="C2031" s="3">
        <v>1387554.0</v>
      </c>
      <c r="D2031" s="3">
        <v>0.7756</v>
      </c>
      <c r="E2031" s="3">
        <v>1.387554</v>
      </c>
    </row>
    <row r="2032" ht="12.75" customHeight="1">
      <c r="A2032" s="3">
        <v>119.0</v>
      </c>
      <c r="B2032" s="3">
        <v>220.0</v>
      </c>
      <c r="C2032" s="3">
        <v>2313056.0</v>
      </c>
      <c r="D2032" s="3">
        <v>1.0758</v>
      </c>
      <c r="E2032" s="3">
        <v>2.313056</v>
      </c>
    </row>
    <row r="2033" ht="12.75" customHeight="1">
      <c r="A2033" s="3">
        <v>119.0</v>
      </c>
      <c r="B2033" s="3">
        <v>221.0</v>
      </c>
      <c r="C2033" s="3">
        <v>3556621.0</v>
      </c>
      <c r="D2033" s="3">
        <v>1.4236</v>
      </c>
      <c r="E2033" s="3">
        <v>3.556621</v>
      </c>
    </row>
    <row r="2034" ht="12.75" customHeight="1">
      <c r="A2034" s="3">
        <v>119.0</v>
      </c>
      <c r="B2034" s="3">
        <v>222.0</v>
      </c>
      <c r="C2034" s="3">
        <v>5182203.0</v>
      </c>
      <c r="D2034" s="3">
        <v>1.8362</v>
      </c>
      <c r="E2034" s="3">
        <v>5.182203</v>
      </c>
    </row>
    <row r="2035" ht="12.75" customHeight="1">
      <c r="A2035" s="3">
        <v>119.0</v>
      </c>
      <c r="B2035" s="3">
        <v>223.0</v>
      </c>
      <c r="C2035" s="3">
        <v>7261636.0</v>
      </c>
      <c r="D2035" s="3">
        <v>2.3197</v>
      </c>
      <c r="E2035" s="3">
        <v>7.261636</v>
      </c>
    </row>
    <row r="2036" ht="12.75" customHeight="1">
      <c r="A2036" s="3">
        <v>119.0</v>
      </c>
      <c r="B2036" s="3">
        <v>224.0</v>
      </c>
      <c r="C2036" s="3">
        <v>9811703.0</v>
      </c>
      <c r="D2036" s="3">
        <v>2.7857</v>
      </c>
      <c r="E2036" s="3">
        <v>9.811703</v>
      </c>
    </row>
    <row r="2037" ht="12.75" customHeight="1">
      <c r="A2037" s="3">
        <v>119.0</v>
      </c>
      <c r="B2037" s="3">
        <v>225.0</v>
      </c>
      <c r="C2037" s="3">
        <v>1.2829374E7</v>
      </c>
      <c r="D2037" s="3">
        <v>3.1772</v>
      </c>
      <c r="E2037" s="3">
        <v>12.829374</v>
      </c>
    </row>
    <row r="2038" ht="12.75" customHeight="1">
      <c r="A2038" s="3">
        <v>119.0</v>
      </c>
      <c r="B2038" s="3">
        <v>225.73</v>
      </c>
      <c r="C2038" s="3">
        <v>1.5190889E7</v>
      </c>
      <c r="D2038" s="3">
        <v>3.2924</v>
      </c>
      <c r="E2038" s="3">
        <v>15.190889</v>
      </c>
    </row>
    <row r="2039" ht="12.75" customHeight="1">
      <c r="A2039" s="3">
        <v>119.0</v>
      </c>
      <c r="B2039" s="3">
        <v>227.5</v>
      </c>
      <c r="C2039" s="3">
        <v>2.2398346E7</v>
      </c>
      <c r="D2039" s="3">
        <v>4.4677</v>
      </c>
      <c r="E2039" s="3">
        <v>22.398346</v>
      </c>
    </row>
    <row r="2040" ht="12.75" customHeight="1">
      <c r="A2040" s="3">
        <v>119.0</v>
      </c>
      <c r="B2040" s="3">
        <v>230.0</v>
      </c>
      <c r="C2040" s="3">
        <v>3.7918346E7</v>
      </c>
      <c r="D2040" s="3">
        <v>7.0777</v>
      </c>
      <c r="E2040" s="3">
        <v>37.918346</v>
      </c>
    </row>
    <row r="2041" ht="12.75" customHeight="1">
      <c r="A2041" s="3">
        <v>119.0</v>
      </c>
      <c r="B2041" s="3">
        <v>232.5</v>
      </c>
      <c r="C2041" s="3">
        <v>6.0748346E7</v>
      </c>
      <c r="D2041" s="3">
        <v>10.3077</v>
      </c>
      <c r="E2041" s="3">
        <v>60.748346</v>
      </c>
    </row>
    <row r="2042" ht="12.75" customHeight="1">
      <c r="A2042" s="3">
        <v>119.0</v>
      </c>
      <c r="B2042" s="3">
        <v>235.0</v>
      </c>
      <c r="C2042" s="3">
        <v>9.3688346E7</v>
      </c>
      <c r="D2042" s="3">
        <v>15.1777</v>
      </c>
      <c r="E2042" s="3">
        <v>93.688346</v>
      </c>
    </row>
    <row r="2043" ht="12.75" customHeight="1">
      <c r="A2043" s="3">
        <v>119.0</v>
      </c>
      <c r="B2043" s="3">
        <v>236.2</v>
      </c>
      <c r="C2043" s="3">
        <v>1.18868346E8</v>
      </c>
      <c r="D2043" s="3">
        <v>18.0253</v>
      </c>
      <c r="E2043" s="3">
        <v>118.868346</v>
      </c>
    </row>
    <row r="2044" ht="12.75" customHeight="1">
      <c r="A2044" s="3">
        <v>119.0</v>
      </c>
      <c r="B2044" s="3">
        <v>237.5</v>
      </c>
      <c r="C2044" s="3">
        <v>1.46098346E8</v>
      </c>
      <c r="D2044" s="3">
        <v>21.1077</v>
      </c>
      <c r="E2044" s="3">
        <v>146.098346</v>
      </c>
    </row>
    <row r="2045" ht="12.75" customHeight="1">
      <c r="A2045" s="3">
        <v>119.0</v>
      </c>
      <c r="B2045" s="3">
        <v>240.0</v>
      </c>
      <c r="C2045" s="3">
        <v>2.00258346E8</v>
      </c>
      <c r="D2045" s="3">
        <v>26.1177</v>
      </c>
      <c r="E2045" s="3">
        <v>200.258346</v>
      </c>
    </row>
    <row r="2046" ht="12.75" customHeight="1">
      <c r="A2046" s="3">
        <v>121.0</v>
      </c>
      <c r="B2046" s="3">
        <v>128.0</v>
      </c>
      <c r="C2046" s="3">
        <v>0.0</v>
      </c>
      <c r="D2046" s="3">
        <v>0.0</v>
      </c>
      <c r="E2046" s="3">
        <v>0.0</v>
      </c>
    </row>
    <row r="2047" ht="12.75" customHeight="1">
      <c r="A2047" s="3">
        <v>121.0</v>
      </c>
      <c r="B2047" s="3">
        <v>129.0</v>
      </c>
      <c r="C2047" s="3">
        <v>15600.0</v>
      </c>
      <c r="D2047" s="3">
        <v>0.02</v>
      </c>
      <c r="E2047" s="3">
        <v>0.0156</v>
      </c>
    </row>
    <row r="2048" ht="12.75" customHeight="1">
      <c r="A2048" s="3">
        <v>121.0</v>
      </c>
      <c r="B2048" s="3">
        <v>130.0</v>
      </c>
      <c r="C2048" s="3">
        <v>58000.0</v>
      </c>
      <c r="D2048" s="3">
        <v>0.07</v>
      </c>
      <c r="E2048" s="3">
        <v>0.058</v>
      </c>
    </row>
    <row r="2049" ht="12.75" customHeight="1">
      <c r="A2049" s="3">
        <v>121.0</v>
      </c>
      <c r="B2049" s="3">
        <v>131.0</v>
      </c>
      <c r="C2049" s="3">
        <v>157000.0</v>
      </c>
      <c r="D2049" s="3">
        <v>0.14</v>
      </c>
      <c r="E2049" s="3">
        <v>0.157</v>
      </c>
    </row>
    <row r="2050" ht="12.75" customHeight="1">
      <c r="A2050" s="3">
        <v>121.0</v>
      </c>
      <c r="B2050" s="3">
        <v>132.0</v>
      </c>
      <c r="C2050" s="3">
        <v>352000.0</v>
      </c>
      <c r="D2050" s="3">
        <v>0.26</v>
      </c>
      <c r="E2050" s="3">
        <v>0.352</v>
      </c>
    </row>
    <row r="2051" ht="12.75" customHeight="1">
      <c r="A2051" s="3">
        <v>121.0</v>
      </c>
      <c r="B2051" s="3">
        <v>133.0</v>
      </c>
      <c r="C2051" s="3">
        <v>652000.0</v>
      </c>
      <c r="D2051" s="3">
        <v>0.33</v>
      </c>
      <c r="E2051" s="3">
        <v>0.652</v>
      </c>
    </row>
    <row r="2052" ht="12.75" customHeight="1">
      <c r="A2052" s="3">
        <v>121.0</v>
      </c>
      <c r="B2052" s="3">
        <v>133.52</v>
      </c>
      <c r="C2052" s="3">
        <v>832000.0</v>
      </c>
      <c r="D2052" s="3">
        <v>0.37</v>
      </c>
      <c r="E2052" s="3">
        <v>0.832</v>
      </c>
    </row>
    <row r="2053" ht="12.75" customHeight="1">
      <c r="A2053" s="3">
        <v>121.0</v>
      </c>
      <c r="B2053" s="3">
        <v>134.0</v>
      </c>
      <c r="C2053" s="3">
        <v>1430000.0</v>
      </c>
      <c r="D2053" s="3">
        <v>0.62</v>
      </c>
      <c r="E2053" s="3">
        <v>1.43</v>
      </c>
    </row>
    <row r="2054" ht="12.75" customHeight="1">
      <c r="A2054" s="3">
        <v>121.0</v>
      </c>
      <c r="B2054" s="3">
        <v>135.0</v>
      </c>
      <c r="C2054" s="3">
        <v>2080000.0</v>
      </c>
      <c r="D2054" s="3">
        <v>0.68</v>
      </c>
      <c r="E2054" s="3">
        <v>2.08</v>
      </c>
    </row>
    <row r="2055" ht="12.75" customHeight="1">
      <c r="A2055" s="3">
        <v>121.0</v>
      </c>
      <c r="B2055" s="3">
        <v>136.0</v>
      </c>
      <c r="C2055" s="3">
        <v>2800000.0</v>
      </c>
      <c r="D2055" s="3">
        <v>0.74</v>
      </c>
      <c r="E2055" s="3">
        <v>2.8</v>
      </c>
    </row>
    <row r="2056" ht="12.75" customHeight="1">
      <c r="A2056" s="3">
        <v>121.0</v>
      </c>
      <c r="B2056" s="3">
        <v>137.0</v>
      </c>
      <c r="C2056" s="3">
        <v>3620000.0</v>
      </c>
      <c r="D2056" s="3">
        <v>0.9</v>
      </c>
      <c r="E2056" s="3">
        <v>3.62</v>
      </c>
    </row>
    <row r="2057" ht="12.75" customHeight="1">
      <c r="A2057" s="3">
        <v>121.0</v>
      </c>
      <c r="B2057" s="3">
        <v>138.0</v>
      </c>
      <c r="C2057" s="3">
        <v>4600000.0</v>
      </c>
      <c r="D2057" s="3">
        <v>1.04</v>
      </c>
      <c r="E2057" s="3">
        <v>4.6</v>
      </c>
    </row>
    <row r="2058" ht="12.75" customHeight="1">
      <c r="A2058" s="3">
        <v>121.0</v>
      </c>
      <c r="B2058" s="3">
        <v>139.0</v>
      </c>
      <c r="C2058" s="3">
        <v>5740000.0</v>
      </c>
      <c r="D2058" s="3">
        <v>1.22</v>
      </c>
      <c r="E2058" s="3">
        <v>5.74</v>
      </c>
    </row>
    <row r="2059" ht="12.75" customHeight="1">
      <c r="A2059" s="3">
        <v>121.0</v>
      </c>
      <c r="B2059" s="3">
        <v>140.0</v>
      </c>
      <c r="C2059" s="3">
        <v>7060000.0</v>
      </c>
      <c r="D2059" s="3">
        <v>1.42</v>
      </c>
      <c r="E2059" s="3">
        <v>7.06</v>
      </c>
    </row>
    <row r="2060" ht="12.75" customHeight="1">
      <c r="A2060" s="3">
        <v>121.0</v>
      </c>
      <c r="B2060" s="3">
        <v>141.0</v>
      </c>
      <c r="C2060" s="3">
        <v>8500000.0</v>
      </c>
      <c r="D2060" s="3">
        <v>1.46</v>
      </c>
      <c r="E2060" s="3">
        <v>8.5</v>
      </c>
    </row>
    <row r="2061" ht="12.75" customHeight="1">
      <c r="A2061" s="3">
        <v>121.0</v>
      </c>
      <c r="B2061" s="3">
        <v>142.0</v>
      </c>
      <c r="C2061" s="3">
        <v>1.004E7</v>
      </c>
      <c r="D2061" s="3">
        <v>1.6</v>
      </c>
      <c r="E2061" s="3">
        <v>10.04</v>
      </c>
    </row>
    <row r="2062" ht="12.75" customHeight="1">
      <c r="A2062" s="3">
        <v>121.0</v>
      </c>
      <c r="B2062" s="3">
        <v>143.0</v>
      </c>
      <c r="C2062" s="3">
        <v>1.172E7</v>
      </c>
      <c r="D2062" s="3">
        <v>1.77</v>
      </c>
      <c r="E2062" s="3">
        <v>11.72</v>
      </c>
    </row>
    <row r="2063" ht="12.75" customHeight="1">
      <c r="A2063" s="3">
        <v>121.0</v>
      </c>
      <c r="B2063" s="3">
        <v>144.0</v>
      </c>
      <c r="C2063" s="3">
        <v>1.358E7</v>
      </c>
      <c r="D2063" s="3">
        <v>1.94</v>
      </c>
      <c r="E2063" s="3">
        <v>13.58</v>
      </c>
    </row>
    <row r="2064" ht="12.75" customHeight="1">
      <c r="A2064" s="3">
        <v>121.0</v>
      </c>
      <c r="B2064" s="3">
        <v>145.0</v>
      </c>
      <c r="C2064" s="3">
        <v>1.566E7</v>
      </c>
      <c r="D2064" s="3">
        <v>2.22</v>
      </c>
      <c r="E2064" s="3">
        <v>15.66</v>
      </c>
    </row>
    <row r="2065" ht="12.75" customHeight="1">
      <c r="A2065" s="3">
        <v>121.0</v>
      </c>
      <c r="B2065" s="3">
        <v>146.0</v>
      </c>
      <c r="C2065" s="3">
        <v>1.798E7</v>
      </c>
      <c r="D2065" s="3">
        <v>2.41</v>
      </c>
      <c r="E2065" s="3">
        <v>17.98</v>
      </c>
    </row>
    <row r="2066" ht="12.75" customHeight="1">
      <c r="A2066" s="3">
        <v>121.0</v>
      </c>
      <c r="B2066" s="3">
        <v>147.0</v>
      </c>
      <c r="C2066" s="3">
        <v>2.05E7</v>
      </c>
      <c r="D2066" s="3">
        <v>2.69</v>
      </c>
      <c r="E2066" s="3">
        <v>20.5</v>
      </c>
    </row>
    <row r="2067" ht="12.75" customHeight="1">
      <c r="A2067" s="3">
        <v>121.0</v>
      </c>
      <c r="B2067" s="3">
        <v>148.0</v>
      </c>
      <c r="C2067" s="3">
        <v>2.338E7</v>
      </c>
      <c r="D2067" s="3">
        <v>3.0</v>
      </c>
      <c r="E2067" s="3">
        <v>23.38</v>
      </c>
    </row>
    <row r="2068" ht="12.75" customHeight="1">
      <c r="A2068" s="3">
        <v>121.0</v>
      </c>
      <c r="B2068" s="3">
        <v>149.0</v>
      </c>
      <c r="C2068" s="3">
        <v>2.661E7</v>
      </c>
      <c r="D2068" s="3">
        <v>3.45</v>
      </c>
      <c r="E2068" s="3">
        <v>26.61</v>
      </c>
    </row>
    <row r="2069" ht="12.75" customHeight="1">
      <c r="A2069" s="3">
        <v>121.0</v>
      </c>
      <c r="B2069" s="3">
        <v>150.0</v>
      </c>
      <c r="C2069" s="3">
        <v>3.031E7</v>
      </c>
      <c r="D2069" s="3">
        <v>3.96</v>
      </c>
      <c r="E2069" s="3">
        <v>30.31</v>
      </c>
    </row>
    <row r="2070" ht="12.75" customHeight="1">
      <c r="A2070" s="3">
        <v>122.0</v>
      </c>
      <c r="B2070" s="3">
        <v>219.94</v>
      </c>
      <c r="C2070" s="3">
        <v>0.0</v>
      </c>
      <c r="D2070" s="3">
        <v>0.0</v>
      </c>
      <c r="E2070" s="3">
        <v>0.0</v>
      </c>
    </row>
    <row r="2071" ht="12.75" customHeight="1">
      <c r="A2071" s="3">
        <v>122.0</v>
      </c>
      <c r="B2071" s="3">
        <v>220.0</v>
      </c>
      <c r="C2071" s="3">
        <v>0.0</v>
      </c>
      <c r="D2071" s="3">
        <v>0.0</v>
      </c>
      <c r="E2071" s="3">
        <v>0.0</v>
      </c>
    </row>
    <row r="2072" ht="12.75" customHeight="1">
      <c r="A2072" s="3">
        <v>122.0</v>
      </c>
      <c r="B2072" s="3">
        <v>221.0</v>
      </c>
      <c r="C2072" s="3">
        <v>5.0</v>
      </c>
      <c r="D2072" s="3">
        <v>0.0</v>
      </c>
      <c r="E2072" s="3">
        <v>5.0E-6</v>
      </c>
    </row>
    <row r="2073" ht="12.75" customHeight="1">
      <c r="A2073" s="3">
        <v>122.0</v>
      </c>
      <c r="B2073" s="3">
        <v>222.0</v>
      </c>
      <c r="C2073" s="3">
        <v>70.0</v>
      </c>
      <c r="D2073" s="3">
        <v>1.0E-4</v>
      </c>
      <c r="E2073" s="3">
        <v>7.0E-5</v>
      </c>
    </row>
    <row r="2074" ht="12.75" customHeight="1">
      <c r="A2074" s="3">
        <v>122.0</v>
      </c>
      <c r="B2074" s="3">
        <v>223.0</v>
      </c>
      <c r="C2074" s="3">
        <v>280.0</v>
      </c>
      <c r="D2074" s="3">
        <v>3.0E-4</v>
      </c>
      <c r="E2074" s="3">
        <v>2.8E-4</v>
      </c>
    </row>
    <row r="2075" ht="12.75" customHeight="1">
      <c r="A2075" s="3">
        <v>122.0</v>
      </c>
      <c r="B2075" s="3">
        <v>224.0</v>
      </c>
      <c r="C2075" s="3">
        <v>800.0</v>
      </c>
      <c r="D2075" s="3">
        <v>8.0E-4</v>
      </c>
      <c r="E2075" s="3">
        <v>8.0E-4</v>
      </c>
    </row>
    <row r="2076" ht="12.75" customHeight="1">
      <c r="A2076" s="3">
        <v>122.0</v>
      </c>
      <c r="B2076" s="3">
        <v>225.0</v>
      </c>
      <c r="C2076" s="3">
        <v>2000.0</v>
      </c>
      <c r="D2076" s="3">
        <v>0.002</v>
      </c>
      <c r="E2076" s="3">
        <v>0.002</v>
      </c>
    </row>
    <row r="2077" ht="12.75" customHeight="1">
      <c r="A2077" s="3">
        <v>122.0</v>
      </c>
      <c r="B2077" s="3">
        <v>226.0</v>
      </c>
      <c r="C2077" s="3">
        <v>5000.0</v>
      </c>
      <c r="D2077" s="3">
        <v>0.006</v>
      </c>
      <c r="E2077" s="3">
        <v>0.005</v>
      </c>
    </row>
    <row r="2078" ht="12.75" customHeight="1">
      <c r="A2078" s="3">
        <v>122.0</v>
      </c>
      <c r="B2078" s="3">
        <v>227.0</v>
      </c>
      <c r="C2078" s="3">
        <v>16000.0</v>
      </c>
      <c r="D2078" s="3">
        <v>0.02</v>
      </c>
      <c r="E2078" s="3">
        <v>0.016</v>
      </c>
    </row>
    <row r="2079" ht="12.75" customHeight="1">
      <c r="A2079" s="3">
        <v>122.0</v>
      </c>
      <c r="B2079" s="3">
        <v>228.0</v>
      </c>
      <c r="C2079" s="3">
        <v>51000.0</v>
      </c>
      <c r="D2079" s="3">
        <v>0.06</v>
      </c>
      <c r="E2079" s="3">
        <v>0.051</v>
      </c>
    </row>
    <row r="2080" ht="12.75" customHeight="1">
      <c r="A2080" s="3">
        <v>122.0</v>
      </c>
      <c r="B2080" s="3">
        <v>229.0</v>
      </c>
      <c r="C2080" s="3">
        <v>165000.0</v>
      </c>
      <c r="D2080" s="3">
        <v>0.19</v>
      </c>
      <c r="E2080" s="3">
        <v>0.165</v>
      </c>
    </row>
    <row r="2081" ht="12.75" customHeight="1">
      <c r="A2081" s="3">
        <v>122.0</v>
      </c>
      <c r="B2081" s="3">
        <v>230.0</v>
      </c>
      <c r="C2081" s="3">
        <v>487000.0</v>
      </c>
      <c r="D2081" s="3">
        <v>0.48</v>
      </c>
      <c r="E2081" s="3">
        <v>0.487</v>
      </c>
    </row>
    <row r="2082" ht="12.75" customHeight="1">
      <c r="A2082" s="3">
        <v>122.0</v>
      </c>
      <c r="B2082" s="3">
        <v>231.0</v>
      </c>
      <c r="C2082" s="3">
        <v>1155000.0</v>
      </c>
      <c r="D2082" s="3">
        <v>0.86</v>
      </c>
      <c r="E2082" s="3">
        <v>1.155</v>
      </c>
    </row>
    <row r="2083" ht="12.75" customHeight="1">
      <c r="A2083" s="3">
        <v>122.0</v>
      </c>
      <c r="B2083" s="3">
        <v>232.0</v>
      </c>
      <c r="C2083" s="3">
        <v>2231000.0</v>
      </c>
      <c r="D2083" s="3">
        <v>1.31</v>
      </c>
      <c r="E2083" s="3">
        <v>2.231</v>
      </c>
    </row>
    <row r="2084" ht="12.75" customHeight="1">
      <c r="A2084" s="3">
        <v>122.0</v>
      </c>
      <c r="B2084" s="3">
        <v>233.0</v>
      </c>
      <c r="C2084" s="3">
        <v>3800000.0</v>
      </c>
      <c r="D2084" s="3">
        <v>1.85</v>
      </c>
      <c r="E2084" s="3">
        <v>3.8</v>
      </c>
    </row>
    <row r="2085" ht="12.75" customHeight="1">
      <c r="A2085" s="3">
        <v>122.0</v>
      </c>
      <c r="B2085" s="3">
        <v>234.0</v>
      </c>
      <c r="C2085" s="3">
        <v>6000000.0</v>
      </c>
      <c r="D2085" s="3">
        <v>2.45</v>
      </c>
      <c r="E2085" s="3">
        <v>6.0</v>
      </c>
    </row>
    <row r="2086" ht="12.75" customHeight="1">
      <c r="A2086" s="3">
        <v>122.0</v>
      </c>
      <c r="B2086" s="3">
        <v>235.0</v>
      </c>
      <c r="C2086" s="3">
        <v>8820000.0</v>
      </c>
      <c r="D2086" s="3">
        <v>3.2</v>
      </c>
      <c r="E2086" s="3">
        <v>8.82</v>
      </c>
    </row>
    <row r="2087" ht="12.75" customHeight="1">
      <c r="A2087" s="3">
        <v>122.0</v>
      </c>
      <c r="B2087" s="3">
        <v>236.0</v>
      </c>
      <c r="C2087" s="3">
        <v>1.235E7</v>
      </c>
      <c r="D2087" s="3">
        <v>3.84</v>
      </c>
      <c r="E2087" s="3">
        <v>12.35</v>
      </c>
    </row>
    <row r="2088" ht="12.75" customHeight="1">
      <c r="A2088" s="3">
        <v>122.0</v>
      </c>
      <c r="B2088" s="3">
        <v>237.0</v>
      </c>
      <c r="C2088" s="3">
        <v>1.65E7</v>
      </c>
      <c r="D2088" s="3">
        <v>4.47</v>
      </c>
      <c r="E2088" s="3">
        <v>16.5</v>
      </c>
    </row>
    <row r="2089" ht="12.75" customHeight="1">
      <c r="A2089" s="3">
        <v>122.0</v>
      </c>
      <c r="B2089" s="3">
        <v>238.0</v>
      </c>
      <c r="C2089" s="3">
        <v>2.13E7</v>
      </c>
      <c r="D2089" s="3">
        <v>5.11</v>
      </c>
      <c r="E2089" s="3">
        <v>21.3</v>
      </c>
    </row>
    <row r="2090" ht="12.75" customHeight="1">
      <c r="A2090" s="3">
        <v>122.0</v>
      </c>
      <c r="B2090" s="3">
        <v>239.0</v>
      </c>
      <c r="C2090" s="3">
        <v>2.68E7</v>
      </c>
      <c r="D2090" s="3">
        <v>5.86</v>
      </c>
      <c r="E2090" s="3">
        <v>26.8</v>
      </c>
    </row>
    <row r="2091" ht="12.75" customHeight="1">
      <c r="A2091" s="3">
        <v>122.0</v>
      </c>
      <c r="B2091" s="3">
        <v>240.0</v>
      </c>
      <c r="C2091" s="3">
        <v>3.3E7</v>
      </c>
      <c r="D2091" s="3">
        <v>6.72</v>
      </c>
      <c r="E2091" s="3">
        <v>33.0</v>
      </c>
    </row>
    <row r="2092" ht="12.75" customHeight="1">
      <c r="A2092" s="3">
        <v>122.0</v>
      </c>
      <c r="B2092" s="3">
        <v>241.0</v>
      </c>
      <c r="C2092" s="3">
        <v>4.02E7</v>
      </c>
      <c r="D2092" s="3">
        <v>7.72</v>
      </c>
      <c r="E2092" s="3">
        <v>40.2</v>
      </c>
    </row>
    <row r="2093" ht="12.75" customHeight="1">
      <c r="A2093" s="3">
        <v>122.0</v>
      </c>
      <c r="B2093" s="3">
        <v>242.0</v>
      </c>
      <c r="C2093" s="3">
        <v>4.84E7</v>
      </c>
      <c r="D2093" s="3">
        <v>8.58</v>
      </c>
      <c r="E2093" s="3">
        <v>48.4</v>
      </c>
    </row>
    <row r="2094" ht="12.75" customHeight="1">
      <c r="A2094" s="3">
        <v>122.0</v>
      </c>
      <c r="B2094" s="3">
        <v>243.0</v>
      </c>
      <c r="C2094" s="3">
        <v>5.7E7</v>
      </c>
      <c r="D2094" s="3">
        <v>9.23</v>
      </c>
      <c r="E2094" s="3">
        <v>57.0</v>
      </c>
    </row>
    <row r="2095" ht="12.75" customHeight="1">
      <c r="A2095" s="3">
        <v>122.0</v>
      </c>
      <c r="B2095" s="3">
        <v>244.0</v>
      </c>
      <c r="C2095" s="3">
        <v>6.68E7</v>
      </c>
      <c r="D2095" s="3">
        <v>9.71</v>
      </c>
      <c r="E2095" s="3">
        <v>66.8</v>
      </c>
    </row>
    <row r="2096" ht="12.75" customHeight="1">
      <c r="A2096" s="3">
        <v>122.0</v>
      </c>
      <c r="B2096" s="3">
        <v>245.01</v>
      </c>
      <c r="C2096" s="3">
        <v>7.67E7</v>
      </c>
      <c r="D2096" s="3">
        <v>10.1</v>
      </c>
      <c r="E2096" s="3">
        <v>76.7</v>
      </c>
    </row>
    <row r="2097" ht="12.75" customHeight="1">
      <c r="A2097" s="3">
        <v>122.0</v>
      </c>
      <c r="B2097" s="3">
        <v>250.0</v>
      </c>
      <c r="C2097" s="3">
        <v>1.6722E8</v>
      </c>
      <c r="D2097" s="3">
        <v>18.15</v>
      </c>
      <c r="E2097" s="3">
        <v>167.22</v>
      </c>
    </row>
    <row r="2098" ht="12.75" customHeight="1">
      <c r="A2098" s="3">
        <v>122.0</v>
      </c>
      <c r="B2098" s="3">
        <v>254.0</v>
      </c>
      <c r="C2098" s="3">
        <v>2.688E8</v>
      </c>
      <c r="D2098" s="3">
        <v>23.43</v>
      </c>
      <c r="E2098" s="3">
        <v>268.8</v>
      </c>
    </row>
    <row r="2099" ht="12.75" customHeight="1">
      <c r="A2099" s="3">
        <v>122.0</v>
      </c>
      <c r="B2099" s="3">
        <v>255.0</v>
      </c>
      <c r="C2099" s="3">
        <v>2.9458E8</v>
      </c>
      <c r="D2099" s="3">
        <v>24.75</v>
      </c>
      <c r="E2099" s="3">
        <v>294.58</v>
      </c>
    </row>
    <row r="2100" ht="12.75" customHeight="1">
      <c r="A2100" s="3">
        <v>122.0</v>
      </c>
      <c r="B2100" s="3">
        <v>256.0</v>
      </c>
      <c r="C2100" s="3">
        <v>3.1779E8</v>
      </c>
      <c r="D2100" s="3">
        <v>25.98</v>
      </c>
      <c r="E2100" s="3">
        <v>317.79</v>
      </c>
    </row>
    <row r="2101" ht="12.75" customHeight="1">
      <c r="A2101" s="3">
        <v>125.0</v>
      </c>
      <c r="B2101" s="3">
        <v>86.96</v>
      </c>
      <c r="C2101" s="3">
        <v>0.0</v>
      </c>
      <c r="D2101" s="3">
        <v>0.0</v>
      </c>
      <c r="E2101" s="3">
        <v>0.0</v>
      </c>
    </row>
    <row r="2102" ht="12.75" customHeight="1">
      <c r="A2102" s="3">
        <v>125.0</v>
      </c>
      <c r="B2102" s="3">
        <v>87.0</v>
      </c>
      <c r="C2102" s="3">
        <v>39.0</v>
      </c>
      <c r="D2102" s="3">
        <v>0.0018</v>
      </c>
      <c r="E2102" s="3">
        <v>3.9E-5</v>
      </c>
    </row>
    <row r="2103" ht="12.75" customHeight="1">
      <c r="A2103" s="3">
        <v>125.0</v>
      </c>
      <c r="B2103" s="3">
        <v>88.0</v>
      </c>
      <c r="C2103" s="3">
        <v>20496.0</v>
      </c>
      <c r="D2103" s="3">
        <v>0.0358</v>
      </c>
      <c r="E2103" s="3">
        <v>0.020496</v>
      </c>
    </row>
    <row r="2104" ht="12.75" customHeight="1">
      <c r="A2104" s="3">
        <v>125.0</v>
      </c>
      <c r="B2104" s="3">
        <v>89.0</v>
      </c>
      <c r="C2104" s="3">
        <v>78695.0</v>
      </c>
      <c r="D2104" s="3">
        <v>0.0874</v>
      </c>
      <c r="E2104" s="3">
        <v>0.078695</v>
      </c>
    </row>
    <row r="2105" ht="12.75" customHeight="1">
      <c r="A2105" s="3">
        <v>125.0</v>
      </c>
      <c r="B2105" s="3">
        <v>90.0</v>
      </c>
      <c r="C2105" s="3">
        <v>209347.0</v>
      </c>
      <c r="D2105" s="3">
        <v>0.1861</v>
      </c>
      <c r="E2105" s="3">
        <v>0.209347</v>
      </c>
    </row>
    <row r="2106" ht="12.75" customHeight="1">
      <c r="A2106" s="3">
        <v>125.0</v>
      </c>
      <c r="B2106" s="3">
        <v>91.0</v>
      </c>
      <c r="C2106" s="3">
        <v>487262.0</v>
      </c>
      <c r="D2106" s="3">
        <v>0.3809</v>
      </c>
      <c r="E2106" s="3">
        <v>0.487262</v>
      </c>
    </row>
    <row r="2107" ht="12.75" customHeight="1">
      <c r="A2107" s="3">
        <v>125.0</v>
      </c>
      <c r="B2107" s="3">
        <v>92.0</v>
      </c>
      <c r="C2107" s="3">
        <v>946839.0</v>
      </c>
      <c r="D2107" s="3">
        <v>0.5199</v>
      </c>
      <c r="E2107" s="3">
        <v>0.946839</v>
      </c>
    </row>
    <row r="2108" ht="12.75" customHeight="1">
      <c r="A2108" s="3">
        <v>125.0</v>
      </c>
      <c r="B2108" s="3">
        <v>93.0</v>
      </c>
      <c r="C2108" s="3">
        <v>1496051.0</v>
      </c>
      <c r="D2108" s="3">
        <v>0.5756</v>
      </c>
      <c r="E2108" s="3">
        <v>1.496051</v>
      </c>
    </row>
    <row r="2109" ht="12.75" customHeight="1">
      <c r="A2109" s="3">
        <v>125.0</v>
      </c>
      <c r="B2109" s="3">
        <v>93.46</v>
      </c>
      <c r="C2109" s="3">
        <v>1766129.0</v>
      </c>
      <c r="D2109" s="3">
        <v>0.6695</v>
      </c>
      <c r="E2109" s="3">
        <v>1.766129</v>
      </c>
    </row>
    <row r="2110" ht="12.75" customHeight="1">
      <c r="A2110" s="3">
        <v>125.0</v>
      </c>
      <c r="B2110" s="3">
        <v>94.0</v>
      </c>
      <c r="C2110" s="3">
        <v>2127891.0</v>
      </c>
      <c r="D2110" s="3">
        <v>0.7718</v>
      </c>
      <c r="E2110" s="3">
        <v>2.127891</v>
      </c>
    </row>
    <row r="2111" ht="12.75" customHeight="1">
      <c r="A2111" s="3">
        <v>125.0</v>
      </c>
      <c r="B2111" s="3">
        <v>95.0</v>
      </c>
      <c r="C2111" s="3">
        <v>2891403.0</v>
      </c>
      <c r="D2111" s="3">
        <v>0.9519</v>
      </c>
      <c r="E2111" s="3">
        <v>2.891403</v>
      </c>
    </row>
    <row r="2112" ht="12.75" customHeight="1">
      <c r="A2112" s="3">
        <v>125.0</v>
      </c>
      <c r="B2112" s="3">
        <v>96.0</v>
      </c>
      <c r="C2112" s="3">
        <v>3770423.0</v>
      </c>
      <c r="D2112" s="3">
        <v>1.1491</v>
      </c>
      <c r="E2112" s="3">
        <v>3.770423</v>
      </c>
    </row>
    <row r="2113" ht="12.75" customHeight="1">
      <c r="A2113" s="3">
        <v>125.0</v>
      </c>
      <c r="B2113" s="3">
        <v>97.0</v>
      </c>
      <c r="C2113" s="3">
        <v>4764952.0</v>
      </c>
      <c r="D2113" s="3">
        <v>1.3633</v>
      </c>
      <c r="E2113" s="3">
        <v>4.764952</v>
      </c>
    </row>
    <row r="2114" ht="12.75" customHeight="1">
      <c r="A2114" s="3">
        <v>125.0</v>
      </c>
      <c r="B2114" s="3">
        <v>98.0</v>
      </c>
      <c r="C2114" s="3">
        <v>5784991.0</v>
      </c>
      <c r="D2114" s="3">
        <v>1.5946</v>
      </c>
      <c r="E2114" s="3">
        <v>5.784991</v>
      </c>
    </row>
    <row r="2115" ht="12.75" customHeight="1">
      <c r="A2115" s="3">
        <v>125.0</v>
      </c>
      <c r="B2115" s="3">
        <v>99.0</v>
      </c>
      <c r="C2115" s="3">
        <v>7100538.0</v>
      </c>
      <c r="D2115" s="3">
        <v>1.8429</v>
      </c>
      <c r="E2115" s="3">
        <v>7.100538</v>
      </c>
    </row>
    <row r="2116" ht="12.75" customHeight="1">
      <c r="A2116" s="3">
        <v>125.0</v>
      </c>
      <c r="B2116" s="3">
        <v>100.0</v>
      </c>
      <c r="C2116" s="3">
        <v>8441594.0</v>
      </c>
      <c r="D2116" s="3">
        <v>2.1082</v>
      </c>
      <c r="E2116" s="3">
        <v>8.441594</v>
      </c>
    </row>
    <row r="2117" ht="12.75" customHeight="1">
      <c r="A2117" s="3">
        <v>126.0</v>
      </c>
      <c r="B2117" s="3">
        <v>88.29</v>
      </c>
      <c r="C2117" s="3">
        <v>0.0</v>
      </c>
      <c r="D2117" s="3">
        <v>0.0</v>
      </c>
      <c r="E2117" s="3">
        <v>0.0</v>
      </c>
    </row>
    <row r="2118" ht="12.75" customHeight="1">
      <c r="A2118" s="3">
        <v>126.0</v>
      </c>
      <c r="B2118" s="3">
        <v>89.0</v>
      </c>
      <c r="C2118" s="3">
        <v>700.0</v>
      </c>
      <c r="D2118" s="3">
        <v>0.0</v>
      </c>
      <c r="E2118" s="3">
        <v>7.0E-4</v>
      </c>
    </row>
    <row r="2119" ht="12.75" customHeight="1">
      <c r="A2119" s="3">
        <v>126.0</v>
      </c>
      <c r="B2119" s="3">
        <v>90.0</v>
      </c>
      <c r="C2119" s="3">
        <v>52000.0</v>
      </c>
      <c r="D2119" s="3">
        <v>0.19</v>
      </c>
      <c r="E2119" s="3">
        <v>0.052</v>
      </c>
    </row>
    <row r="2120" ht="12.75" customHeight="1">
      <c r="A2120" s="3">
        <v>126.0</v>
      </c>
      <c r="B2120" s="3">
        <v>91.0</v>
      </c>
      <c r="C2120" s="3">
        <v>443000.0</v>
      </c>
      <c r="D2120" s="3">
        <v>0.64</v>
      </c>
      <c r="E2120" s="3">
        <v>0.443</v>
      </c>
    </row>
    <row r="2121" ht="12.75" customHeight="1">
      <c r="A2121" s="3">
        <v>126.0</v>
      </c>
      <c r="B2121" s="3">
        <v>92.0</v>
      </c>
      <c r="C2121" s="3">
        <v>1397000.0</v>
      </c>
      <c r="D2121" s="3">
        <v>1.25</v>
      </c>
      <c r="E2121" s="3">
        <v>1.397</v>
      </c>
    </row>
    <row r="2122" ht="12.75" customHeight="1">
      <c r="A2122" s="3">
        <v>126.0</v>
      </c>
      <c r="B2122" s="3">
        <v>93.0</v>
      </c>
      <c r="C2122" s="3">
        <v>2735000.0</v>
      </c>
      <c r="D2122" s="3">
        <v>1.37</v>
      </c>
      <c r="E2122" s="3">
        <v>2.735</v>
      </c>
    </row>
    <row r="2123" ht="12.75" customHeight="1">
      <c r="A2123" s="3">
        <v>126.0</v>
      </c>
      <c r="B2123" s="3">
        <v>93.14</v>
      </c>
      <c r="C2123" s="3">
        <v>2930000.0</v>
      </c>
      <c r="D2123" s="3">
        <v>1.41</v>
      </c>
      <c r="E2123" s="3">
        <v>2.93</v>
      </c>
    </row>
    <row r="2124" ht="12.75" customHeight="1">
      <c r="A2124" s="3">
        <v>126.0</v>
      </c>
      <c r="B2124" s="3">
        <v>94.0</v>
      </c>
      <c r="C2124" s="3">
        <v>4030000.0</v>
      </c>
      <c r="D2124" s="3">
        <v>2.15</v>
      </c>
      <c r="E2124" s="3">
        <v>4.03</v>
      </c>
    </row>
    <row r="2125" ht="12.75" customHeight="1">
      <c r="A2125" s="3">
        <v>126.0</v>
      </c>
      <c r="B2125" s="3">
        <v>95.0</v>
      </c>
      <c r="C2125" s="3">
        <v>6220000.0</v>
      </c>
      <c r="D2125" s="3">
        <v>2.69</v>
      </c>
      <c r="E2125" s="3">
        <v>6.22</v>
      </c>
    </row>
    <row r="2126" ht="12.75" customHeight="1">
      <c r="A2126" s="3">
        <v>126.0</v>
      </c>
      <c r="B2126" s="3">
        <v>96.0</v>
      </c>
      <c r="C2126" s="3">
        <v>9280000.0</v>
      </c>
      <c r="D2126" s="3">
        <v>3.92</v>
      </c>
      <c r="E2126" s="3">
        <v>9.28</v>
      </c>
    </row>
    <row r="2127" ht="12.75" customHeight="1">
      <c r="A2127" s="3">
        <v>126.0</v>
      </c>
      <c r="B2127" s="3">
        <v>97.0</v>
      </c>
      <c r="C2127" s="3">
        <v>1.335E7</v>
      </c>
      <c r="D2127" s="3">
        <v>5.07</v>
      </c>
      <c r="E2127" s="3">
        <v>13.35</v>
      </c>
    </row>
    <row r="2128" ht="12.75" customHeight="1">
      <c r="A2128" s="3">
        <v>126.0</v>
      </c>
      <c r="B2128" s="3">
        <v>98.0</v>
      </c>
      <c r="C2128" s="3">
        <v>1.856E7</v>
      </c>
      <c r="D2128" s="3">
        <v>6.21</v>
      </c>
      <c r="E2128" s="3">
        <v>18.56</v>
      </c>
    </row>
    <row r="2129" ht="12.75" customHeight="1">
      <c r="A2129" s="3">
        <v>126.0</v>
      </c>
      <c r="B2129" s="3">
        <v>99.0</v>
      </c>
      <c r="C2129" s="3">
        <v>2.483E7</v>
      </c>
      <c r="D2129" s="3">
        <v>7.17</v>
      </c>
      <c r="E2129" s="3">
        <v>24.83</v>
      </c>
    </row>
    <row r="2130" ht="12.75" customHeight="1">
      <c r="A2130" s="3">
        <v>126.0</v>
      </c>
      <c r="B2130" s="3">
        <v>100.0</v>
      </c>
      <c r="C2130" s="3">
        <v>3.186E7</v>
      </c>
      <c r="D2130" s="3">
        <v>7.74</v>
      </c>
      <c r="E2130" s="3">
        <v>31.86</v>
      </c>
    </row>
    <row r="2131" ht="12.75" customHeight="1">
      <c r="A2131" s="3">
        <v>126.0</v>
      </c>
      <c r="B2131" s="3">
        <v>101.0</v>
      </c>
      <c r="C2131" s="3">
        <v>3.962E7</v>
      </c>
      <c r="D2131" s="3">
        <v>8.64</v>
      </c>
      <c r="E2131" s="3">
        <v>39.62</v>
      </c>
    </row>
    <row r="2132" ht="12.75" customHeight="1">
      <c r="A2132" s="3">
        <v>126.0</v>
      </c>
      <c r="B2132" s="3">
        <v>102.0</v>
      </c>
      <c r="C2132" s="3">
        <v>4.822E7</v>
      </c>
      <c r="D2132" s="3">
        <v>9.4</v>
      </c>
      <c r="E2132" s="3">
        <v>48.22</v>
      </c>
    </row>
    <row r="2133" ht="12.75" customHeight="1">
      <c r="A2133" s="3">
        <v>127.0</v>
      </c>
      <c r="B2133" s="3">
        <v>349.4</v>
      </c>
      <c r="C2133" s="3">
        <v>0.0</v>
      </c>
      <c r="D2133" s="3">
        <v>0.0</v>
      </c>
      <c r="E2133" s="3">
        <v>0.0</v>
      </c>
    </row>
    <row r="2134" ht="12.75" customHeight="1">
      <c r="A2134" s="3">
        <v>127.0</v>
      </c>
      <c r="B2134" s="3">
        <v>350.0</v>
      </c>
      <c r="C2134" s="3">
        <v>0.0</v>
      </c>
      <c r="D2134" s="3">
        <v>0.0</v>
      </c>
      <c r="E2134" s="3">
        <v>0.0</v>
      </c>
    </row>
    <row r="2135" ht="12.75" customHeight="1">
      <c r="A2135" s="3">
        <v>127.0</v>
      </c>
      <c r="B2135" s="3">
        <v>351.0</v>
      </c>
      <c r="C2135" s="3">
        <v>0.0</v>
      </c>
      <c r="D2135" s="3">
        <v>0.0</v>
      </c>
      <c r="E2135" s="3">
        <v>0.0</v>
      </c>
    </row>
    <row r="2136" ht="12.75" customHeight="1">
      <c r="A2136" s="3">
        <v>127.0</v>
      </c>
      <c r="B2136" s="3">
        <v>352.0</v>
      </c>
      <c r="C2136" s="3">
        <v>1.0</v>
      </c>
      <c r="D2136" s="3">
        <v>0.0</v>
      </c>
      <c r="E2136" s="3">
        <v>1.0E-6</v>
      </c>
    </row>
    <row r="2137" ht="12.75" customHeight="1">
      <c r="A2137" s="3">
        <v>127.0</v>
      </c>
      <c r="B2137" s="3">
        <v>353.0</v>
      </c>
      <c r="C2137" s="3">
        <v>4.0</v>
      </c>
      <c r="D2137" s="3">
        <v>0.0</v>
      </c>
      <c r="E2137" s="3">
        <v>4.0E-6</v>
      </c>
    </row>
    <row r="2138" ht="12.75" customHeight="1">
      <c r="A2138" s="3">
        <v>127.0</v>
      </c>
      <c r="B2138" s="3">
        <v>354.0</v>
      </c>
      <c r="C2138" s="3">
        <v>40.0</v>
      </c>
      <c r="D2138" s="3">
        <v>0.0</v>
      </c>
      <c r="E2138" s="3">
        <v>4.0E-5</v>
      </c>
    </row>
    <row r="2139" ht="12.75" customHeight="1">
      <c r="A2139" s="3">
        <v>127.0</v>
      </c>
      <c r="B2139" s="3">
        <v>355.0</v>
      </c>
      <c r="C2139" s="3">
        <v>200.0</v>
      </c>
      <c r="D2139" s="3">
        <v>0.0</v>
      </c>
      <c r="E2139" s="3">
        <v>2.0E-4</v>
      </c>
    </row>
    <row r="2140" ht="12.75" customHeight="1">
      <c r="A2140" s="3">
        <v>127.0</v>
      </c>
      <c r="B2140" s="3">
        <v>356.0</v>
      </c>
      <c r="C2140" s="3">
        <v>500.0</v>
      </c>
      <c r="D2140" s="3">
        <v>0.0</v>
      </c>
      <c r="E2140" s="3">
        <v>5.0E-4</v>
      </c>
    </row>
    <row r="2141" ht="12.75" customHeight="1">
      <c r="A2141" s="3">
        <v>127.0</v>
      </c>
      <c r="B2141" s="3">
        <v>357.0</v>
      </c>
      <c r="C2141" s="3">
        <v>1000.0</v>
      </c>
      <c r="D2141" s="3">
        <v>0.0</v>
      </c>
      <c r="E2141" s="3">
        <v>0.001</v>
      </c>
    </row>
    <row r="2142" ht="12.75" customHeight="1">
      <c r="A2142" s="3">
        <v>127.0</v>
      </c>
      <c r="B2142" s="3">
        <v>358.0</v>
      </c>
      <c r="C2142" s="3">
        <v>2300.0</v>
      </c>
      <c r="D2142" s="3">
        <v>0.0</v>
      </c>
      <c r="E2142" s="3">
        <v>0.0023</v>
      </c>
    </row>
    <row r="2143" ht="12.75" customHeight="1">
      <c r="A2143" s="3">
        <v>127.0</v>
      </c>
      <c r="B2143" s="3">
        <v>359.0</v>
      </c>
      <c r="C2143" s="3">
        <v>4000.0</v>
      </c>
      <c r="D2143" s="3">
        <v>0.0</v>
      </c>
      <c r="E2143" s="3">
        <v>0.004</v>
      </c>
    </row>
    <row r="2144" ht="12.75" customHeight="1">
      <c r="A2144" s="3">
        <v>127.0</v>
      </c>
      <c r="B2144" s="3">
        <v>360.0</v>
      </c>
      <c r="C2144" s="3">
        <v>7000.0</v>
      </c>
      <c r="D2144" s="3">
        <v>0.0</v>
      </c>
      <c r="E2144" s="3">
        <v>0.007</v>
      </c>
    </row>
    <row r="2145" ht="12.75" customHeight="1">
      <c r="A2145" s="3">
        <v>127.0</v>
      </c>
      <c r="B2145" s="3">
        <v>361.0</v>
      </c>
      <c r="C2145" s="3">
        <v>11200.0</v>
      </c>
      <c r="D2145" s="3">
        <v>0.01</v>
      </c>
      <c r="E2145" s="3">
        <v>0.0112</v>
      </c>
    </row>
    <row r="2146" ht="12.75" customHeight="1">
      <c r="A2146" s="3">
        <v>127.0</v>
      </c>
      <c r="B2146" s="3">
        <v>362.0</v>
      </c>
      <c r="C2146" s="3">
        <v>18000.0</v>
      </c>
      <c r="D2146" s="3">
        <v>0.01</v>
      </c>
      <c r="E2146" s="3">
        <v>0.018</v>
      </c>
    </row>
    <row r="2147" ht="12.75" customHeight="1">
      <c r="A2147" s="3">
        <v>127.0</v>
      </c>
      <c r="B2147" s="3">
        <v>363.0</v>
      </c>
      <c r="C2147" s="3">
        <v>27000.0</v>
      </c>
      <c r="D2147" s="3">
        <v>0.01</v>
      </c>
      <c r="E2147" s="3">
        <v>0.027</v>
      </c>
    </row>
    <row r="2148" ht="12.75" customHeight="1">
      <c r="A2148" s="3">
        <v>127.0</v>
      </c>
      <c r="B2148" s="3">
        <v>364.0</v>
      </c>
      <c r="C2148" s="3">
        <v>40000.0</v>
      </c>
      <c r="D2148" s="3">
        <v>0.02</v>
      </c>
      <c r="E2148" s="3">
        <v>0.04</v>
      </c>
    </row>
    <row r="2149" ht="12.75" customHeight="1">
      <c r="A2149" s="3">
        <v>127.0</v>
      </c>
      <c r="B2149" s="3">
        <v>365.0</v>
      </c>
      <c r="C2149" s="3">
        <v>59000.0</v>
      </c>
      <c r="D2149" s="3">
        <v>0.02</v>
      </c>
      <c r="E2149" s="3">
        <v>0.059</v>
      </c>
    </row>
    <row r="2150" ht="12.75" customHeight="1">
      <c r="A2150" s="3">
        <v>127.0</v>
      </c>
      <c r="B2150" s="3">
        <v>366.0</v>
      </c>
      <c r="C2150" s="3">
        <v>84000.0</v>
      </c>
      <c r="D2150" s="3">
        <v>0.03</v>
      </c>
      <c r="E2150" s="3">
        <v>0.084</v>
      </c>
    </row>
    <row r="2151" ht="12.75" customHeight="1">
      <c r="A2151" s="3">
        <v>127.0</v>
      </c>
      <c r="B2151" s="3">
        <v>367.0</v>
      </c>
      <c r="C2151" s="3">
        <v>118000.0</v>
      </c>
      <c r="D2151" s="3">
        <v>0.04</v>
      </c>
      <c r="E2151" s="3">
        <v>0.118</v>
      </c>
    </row>
    <row r="2152" ht="12.75" customHeight="1">
      <c r="A2152" s="3">
        <v>127.0</v>
      </c>
      <c r="B2152" s="3">
        <v>368.0</v>
      </c>
      <c r="C2152" s="3">
        <v>165000.0</v>
      </c>
      <c r="D2152" s="3">
        <v>0.06</v>
      </c>
      <c r="E2152" s="3">
        <v>0.165</v>
      </c>
    </row>
    <row r="2153" ht="12.75" customHeight="1">
      <c r="A2153" s="3">
        <v>127.0</v>
      </c>
      <c r="B2153" s="3">
        <v>369.0</v>
      </c>
      <c r="C2153" s="3">
        <v>213000.0</v>
      </c>
      <c r="D2153" s="3">
        <v>0.07</v>
      </c>
      <c r="E2153" s="3">
        <v>0.213</v>
      </c>
    </row>
    <row r="2154" ht="12.75" customHeight="1">
      <c r="A2154" s="3">
        <v>127.0</v>
      </c>
      <c r="B2154" s="3">
        <v>370.0</v>
      </c>
      <c r="C2154" s="3">
        <v>321000.0</v>
      </c>
      <c r="D2154" s="3">
        <v>0.1</v>
      </c>
      <c r="E2154" s="3">
        <v>0.321</v>
      </c>
    </row>
    <row r="2155" ht="12.75" customHeight="1">
      <c r="A2155" s="3">
        <v>127.0</v>
      </c>
      <c r="B2155" s="3">
        <v>371.0</v>
      </c>
      <c r="C2155" s="3">
        <v>445000.0</v>
      </c>
      <c r="D2155" s="3">
        <v>0.15</v>
      </c>
      <c r="E2155" s="3">
        <v>0.445</v>
      </c>
    </row>
    <row r="2156" ht="12.75" customHeight="1">
      <c r="A2156" s="3">
        <v>127.0</v>
      </c>
      <c r="B2156" s="3">
        <v>372.0</v>
      </c>
      <c r="C2156" s="3">
        <v>631000.0</v>
      </c>
      <c r="D2156" s="3">
        <v>0.23</v>
      </c>
      <c r="E2156" s="3">
        <v>0.631</v>
      </c>
    </row>
    <row r="2157" ht="12.75" customHeight="1">
      <c r="A2157" s="3">
        <v>127.0</v>
      </c>
      <c r="B2157" s="3">
        <v>373.0</v>
      </c>
      <c r="C2157" s="3">
        <v>921000.0</v>
      </c>
      <c r="D2157" s="3">
        <v>0.36</v>
      </c>
      <c r="E2157" s="3">
        <v>0.921</v>
      </c>
    </row>
    <row r="2158" ht="12.75" customHeight="1">
      <c r="A2158" s="3">
        <v>127.0</v>
      </c>
      <c r="B2158" s="3">
        <v>374.0</v>
      </c>
      <c r="C2158" s="3">
        <v>1345000.0</v>
      </c>
      <c r="D2158" s="3">
        <v>0.48</v>
      </c>
      <c r="E2158" s="3">
        <v>1.345</v>
      </c>
    </row>
    <row r="2159" ht="12.75" customHeight="1">
      <c r="A2159" s="3">
        <v>127.0</v>
      </c>
      <c r="B2159" s="3">
        <v>375.0</v>
      </c>
      <c r="C2159" s="3">
        <v>1896000.0</v>
      </c>
      <c r="D2159" s="3">
        <v>0.61</v>
      </c>
      <c r="E2159" s="3">
        <v>1.896</v>
      </c>
    </row>
    <row r="2160" ht="12.75" customHeight="1">
      <c r="A2160" s="3">
        <v>127.0</v>
      </c>
      <c r="B2160" s="3">
        <v>376.0</v>
      </c>
      <c r="C2160" s="3">
        <v>2584000.0</v>
      </c>
      <c r="D2160" s="3">
        <v>0.76</v>
      </c>
      <c r="E2160" s="3">
        <v>2.584</v>
      </c>
    </row>
    <row r="2161" ht="12.75" customHeight="1">
      <c r="A2161" s="3">
        <v>127.0</v>
      </c>
      <c r="B2161" s="3">
        <v>377.0</v>
      </c>
      <c r="C2161" s="3">
        <v>3430000.0</v>
      </c>
      <c r="D2161" s="3">
        <v>0.93</v>
      </c>
      <c r="E2161" s="3">
        <v>3.43</v>
      </c>
    </row>
    <row r="2162" ht="12.75" customHeight="1">
      <c r="A2162" s="3">
        <v>127.0</v>
      </c>
      <c r="B2162" s="3">
        <v>378.0</v>
      </c>
      <c r="C2162" s="3">
        <v>4480000.0</v>
      </c>
      <c r="D2162" s="3">
        <v>1.17</v>
      </c>
      <c r="E2162" s="3">
        <v>4.48</v>
      </c>
    </row>
    <row r="2163" ht="12.75" customHeight="1">
      <c r="A2163" s="3">
        <v>127.0</v>
      </c>
      <c r="B2163" s="3">
        <v>379.0</v>
      </c>
      <c r="C2163" s="3">
        <v>5780000.0</v>
      </c>
      <c r="D2163" s="3">
        <v>1.45</v>
      </c>
      <c r="E2163" s="3">
        <v>5.78</v>
      </c>
    </row>
    <row r="2164" ht="12.75" customHeight="1">
      <c r="A2164" s="3">
        <v>127.0</v>
      </c>
      <c r="B2164" s="3">
        <v>380.0</v>
      </c>
      <c r="C2164" s="3">
        <v>7380000.0</v>
      </c>
      <c r="D2164" s="3">
        <v>1.75</v>
      </c>
      <c r="E2164" s="3">
        <v>7.38</v>
      </c>
    </row>
    <row r="2165" ht="12.75" customHeight="1">
      <c r="A2165" s="3">
        <v>127.0</v>
      </c>
      <c r="B2165" s="3">
        <v>381.0</v>
      </c>
      <c r="C2165" s="3">
        <v>9300000.0</v>
      </c>
      <c r="D2165" s="3">
        <v>2.08</v>
      </c>
      <c r="E2165" s="3">
        <v>9.3</v>
      </c>
    </row>
    <row r="2166" ht="12.75" customHeight="1">
      <c r="A2166" s="3">
        <v>127.0</v>
      </c>
      <c r="B2166" s="3">
        <v>382.0</v>
      </c>
      <c r="C2166" s="3">
        <v>1.1526E7</v>
      </c>
      <c r="D2166" s="3">
        <v>2.37</v>
      </c>
      <c r="E2166" s="3">
        <v>11.526</v>
      </c>
    </row>
    <row r="2167" ht="12.75" customHeight="1">
      <c r="A2167" s="3">
        <v>127.0</v>
      </c>
      <c r="B2167" s="3">
        <v>383.0</v>
      </c>
      <c r="C2167" s="3">
        <v>1.402E7</v>
      </c>
      <c r="D2167" s="3">
        <v>2.58</v>
      </c>
      <c r="E2167" s="3">
        <v>14.02</v>
      </c>
    </row>
    <row r="2168" ht="12.75" customHeight="1">
      <c r="A2168" s="3">
        <v>127.0</v>
      </c>
      <c r="B2168" s="3">
        <v>384.0</v>
      </c>
      <c r="C2168" s="3">
        <v>1.669E7</v>
      </c>
      <c r="D2168" s="3">
        <v>2.74</v>
      </c>
      <c r="E2168" s="3">
        <v>16.69</v>
      </c>
    </row>
    <row r="2169" ht="12.75" customHeight="1">
      <c r="A2169" s="3">
        <v>127.0</v>
      </c>
      <c r="B2169" s="3">
        <v>384.31</v>
      </c>
      <c r="C2169" s="3">
        <v>1.755E7</v>
      </c>
      <c r="D2169" s="3">
        <v>2.8</v>
      </c>
      <c r="E2169" s="3">
        <v>17.55</v>
      </c>
    </row>
    <row r="2170" ht="12.75" customHeight="1">
      <c r="A2170" s="3">
        <v>127.0</v>
      </c>
      <c r="B2170" s="3">
        <v>385.0</v>
      </c>
      <c r="C2170" s="3">
        <v>2.583E7</v>
      </c>
      <c r="D2170" s="3">
        <v>3.08</v>
      </c>
      <c r="E2170" s="3">
        <v>25.83</v>
      </c>
    </row>
    <row r="2171" ht="12.75" customHeight="1">
      <c r="A2171" s="3">
        <v>127.0</v>
      </c>
      <c r="B2171" s="3">
        <v>390.0</v>
      </c>
      <c r="C2171" s="3">
        <v>4.678E7</v>
      </c>
      <c r="D2171" s="3">
        <v>5.3</v>
      </c>
      <c r="E2171" s="3">
        <v>46.78</v>
      </c>
    </row>
    <row r="2172" ht="12.75" customHeight="1">
      <c r="A2172" s="3">
        <v>127.0</v>
      </c>
      <c r="B2172" s="3">
        <v>393.0</v>
      </c>
      <c r="C2172" s="3">
        <v>6.925E7</v>
      </c>
      <c r="D2172" s="3">
        <v>6.6</v>
      </c>
      <c r="E2172" s="3">
        <v>69.25</v>
      </c>
    </row>
    <row r="2173" ht="12.75" customHeight="1">
      <c r="A2173" s="3">
        <v>127.0</v>
      </c>
      <c r="B2173" s="3">
        <v>395.0</v>
      </c>
      <c r="C2173" s="3">
        <v>8.385E7</v>
      </c>
      <c r="D2173" s="3">
        <v>18.0</v>
      </c>
      <c r="E2173" s="3">
        <v>83.85</v>
      </c>
    </row>
    <row r="2174" ht="12.75" customHeight="1">
      <c r="A2174" s="3">
        <v>127.0</v>
      </c>
      <c r="B2174" s="3">
        <v>400.0</v>
      </c>
      <c r="C2174" s="3">
        <v>1.2885E8</v>
      </c>
      <c r="D2174" s="3">
        <v>20.0</v>
      </c>
      <c r="E2174" s="3">
        <v>128.85</v>
      </c>
    </row>
    <row r="2175" ht="12.75" customHeight="1">
      <c r="A2175" s="3">
        <v>128.0</v>
      </c>
      <c r="B2175" s="3">
        <v>100.0</v>
      </c>
      <c r="C2175" s="3">
        <v>0.0</v>
      </c>
      <c r="D2175" s="3">
        <v>0.29</v>
      </c>
      <c r="E2175" s="3">
        <v>0.0</v>
      </c>
    </row>
    <row r="2176" ht="12.75" customHeight="1">
      <c r="A2176" s="3">
        <v>128.0</v>
      </c>
      <c r="B2176" s="3">
        <v>101.0</v>
      </c>
      <c r="C2176" s="3">
        <v>420000.0</v>
      </c>
      <c r="D2176" s="3">
        <v>0.54</v>
      </c>
      <c r="E2176" s="3">
        <v>0.42</v>
      </c>
    </row>
    <row r="2177" ht="12.75" customHeight="1">
      <c r="A2177" s="3">
        <v>128.0</v>
      </c>
      <c r="B2177" s="3">
        <v>102.0</v>
      </c>
      <c r="C2177" s="3">
        <v>1120000.0</v>
      </c>
      <c r="D2177" s="3">
        <v>0.85</v>
      </c>
      <c r="E2177" s="3">
        <v>1.12</v>
      </c>
    </row>
    <row r="2178" ht="12.75" customHeight="1">
      <c r="A2178" s="3">
        <v>128.0</v>
      </c>
      <c r="B2178" s="3">
        <v>103.0</v>
      </c>
      <c r="C2178" s="3">
        <v>2150000.0</v>
      </c>
      <c r="D2178" s="3">
        <v>1.21</v>
      </c>
      <c r="E2178" s="3">
        <v>2.15</v>
      </c>
    </row>
    <row r="2179" ht="12.75" customHeight="1">
      <c r="A2179" s="3">
        <v>128.0</v>
      </c>
      <c r="B2179" s="3">
        <v>104.0</v>
      </c>
      <c r="C2179" s="3">
        <v>3590000.0</v>
      </c>
      <c r="D2179" s="3">
        <v>1.66</v>
      </c>
      <c r="E2179" s="3">
        <v>3.59</v>
      </c>
    </row>
    <row r="2180" ht="12.75" customHeight="1">
      <c r="A2180" s="3">
        <v>128.0</v>
      </c>
      <c r="B2180" s="3">
        <v>105.0</v>
      </c>
      <c r="C2180" s="3">
        <v>5480000.0</v>
      </c>
      <c r="D2180" s="3">
        <v>2.13</v>
      </c>
      <c r="E2180" s="3">
        <v>5.48</v>
      </c>
    </row>
    <row r="2181" ht="12.75" customHeight="1">
      <c r="A2181" s="3">
        <v>128.0</v>
      </c>
      <c r="B2181" s="3">
        <v>106.0</v>
      </c>
      <c r="C2181" s="3">
        <v>7860000.0</v>
      </c>
      <c r="D2181" s="3">
        <v>2.62</v>
      </c>
      <c r="E2181" s="3">
        <v>7.86</v>
      </c>
    </row>
    <row r="2182" ht="12.75" customHeight="1">
      <c r="A2182" s="3">
        <v>128.0</v>
      </c>
      <c r="B2182" s="3">
        <v>106.5</v>
      </c>
      <c r="C2182" s="3">
        <v>9500000.0</v>
      </c>
      <c r="D2182" s="3">
        <v>2.85</v>
      </c>
      <c r="E2182" s="3">
        <v>9.5</v>
      </c>
    </row>
    <row r="2183" ht="12.75" customHeight="1">
      <c r="A2183" s="3">
        <v>128.0</v>
      </c>
      <c r="B2183" s="3">
        <v>107.0</v>
      </c>
      <c r="C2183" s="3">
        <v>1.1E7</v>
      </c>
      <c r="D2183" s="3">
        <v>3.07</v>
      </c>
      <c r="E2183" s="3">
        <v>11.0</v>
      </c>
    </row>
    <row r="2184" ht="12.75" customHeight="1">
      <c r="A2184" s="3">
        <v>128.0</v>
      </c>
      <c r="B2184" s="3">
        <v>108.0</v>
      </c>
      <c r="C2184" s="3">
        <v>1.44E7</v>
      </c>
      <c r="D2184" s="3">
        <v>3.27</v>
      </c>
      <c r="E2184" s="3">
        <v>14.4</v>
      </c>
    </row>
    <row r="2185" ht="12.75" customHeight="1">
      <c r="A2185" s="3">
        <v>128.0</v>
      </c>
      <c r="B2185" s="3">
        <v>109.0</v>
      </c>
      <c r="C2185" s="3">
        <v>1.84E7</v>
      </c>
      <c r="D2185" s="3">
        <v>4.1</v>
      </c>
      <c r="E2185" s="3">
        <v>18.4</v>
      </c>
    </row>
    <row r="2186" ht="12.75" customHeight="1">
      <c r="A2186" s="3">
        <v>128.0</v>
      </c>
      <c r="B2186" s="3">
        <v>110.0</v>
      </c>
      <c r="C2186" s="3">
        <v>2.26E7</v>
      </c>
      <c r="D2186" s="3">
        <v>4.7</v>
      </c>
      <c r="E2186" s="3">
        <v>22.6</v>
      </c>
    </row>
    <row r="2187" ht="12.75" customHeight="1">
      <c r="A2187" s="3">
        <v>128.0</v>
      </c>
      <c r="B2187" s="3">
        <v>111.0</v>
      </c>
      <c r="C2187" s="3">
        <v>2.74E7</v>
      </c>
      <c r="D2187" s="3">
        <v>5.3</v>
      </c>
      <c r="E2187" s="3">
        <v>27.4</v>
      </c>
    </row>
    <row r="2188" ht="12.75" customHeight="1">
      <c r="A2188" s="3">
        <v>128.0</v>
      </c>
      <c r="B2188" s="3">
        <v>112.0</v>
      </c>
      <c r="C2188" s="3">
        <v>3.32E7</v>
      </c>
      <c r="D2188" s="3">
        <v>5.7</v>
      </c>
      <c r="E2188" s="3">
        <v>33.2</v>
      </c>
    </row>
    <row r="2189" ht="12.75" customHeight="1">
      <c r="A2189" s="3">
        <v>128.0</v>
      </c>
      <c r="B2189" s="3">
        <v>113.0</v>
      </c>
      <c r="C2189" s="3">
        <v>3.92E7</v>
      </c>
      <c r="D2189" s="3">
        <v>6.1</v>
      </c>
      <c r="E2189" s="3">
        <v>39.2</v>
      </c>
    </row>
    <row r="2190" ht="12.75" customHeight="1">
      <c r="A2190" s="3">
        <v>128.0</v>
      </c>
      <c r="B2190" s="3">
        <v>114.0</v>
      </c>
      <c r="C2190" s="3">
        <v>4.54E7</v>
      </c>
      <c r="D2190" s="3">
        <v>6.78</v>
      </c>
      <c r="E2190" s="3">
        <v>45.4</v>
      </c>
    </row>
    <row r="2191" ht="12.75" customHeight="1">
      <c r="A2191" s="3">
        <v>128.0</v>
      </c>
      <c r="B2191" s="3">
        <v>115.0</v>
      </c>
      <c r="C2191" s="3">
        <v>5.276E7</v>
      </c>
      <c r="D2191" s="3">
        <v>7.46</v>
      </c>
      <c r="E2191" s="3">
        <v>52.76</v>
      </c>
    </row>
    <row r="2192" ht="12.75" customHeight="1">
      <c r="A2192" s="3">
        <v>129.0</v>
      </c>
      <c r="B2192" s="3">
        <v>85.0</v>
      </c>
      <c r="C2192" s="3">
        <v>0.0</v>
      </c>
      <c r="D2192" s="3">
        <v>0.0</v>
      </c>
      <c r="E2192" s="3">
        <v>0.0</v>
      </c>
    </row>
    <row r="2193" ht="12.75" customHeight="1">
      <c r="A2193" s="3">
        <v>129.0</v>
      </c>
      <c r="B2193" s="3">
        <v>86.0</v>
      </c>
      <c r="C2193" s="3">
        <v>1250.0</v>
      </c>
      <c r="D2193" s="3">
        <v>0.0025</v>
      </c>
      <c r="E2193" s="3">
        <v>0.00125</v>
      </c>
    </row>
    <row r="2194" ht="12.75" customHeight="1">
      <c r="A2194" s="3">
        <v>129.0</v>
      </c>
      <c r="B2194" s="3">
        <v>87.0</v>
      </c>
      <c r="C2194" s="3">
        <v>6250.0</v>
      </c>
      <c r="D2194" s="3">
        <v>0.0075</v>
      </c>
      <c r="E2194" s="3">
        <v>0.00625</v>
      </c>
    </row>
    <row r="2195" ht="12.75" customHeight="1">
      <c r="A2195" s="3">
        <v>129.0</v>
      </c>
      <c r="B2195" s="3">
        <v>88.0</v>
      </c>
      <c r="C2195" s="3">
        <v>10000.0</v>
      </c>
      <c r="D2195" s="3">
        <v>0.01</v>
      </c>
      <c r="E2195" s="3">
        <v>0.01</v>
      </c>
    </row>
    <row r="2196" ht="12.75" customHeight="1">
      <c r="A2196" s="3">
        <v>129.0</v>
      </c>
      <c r="B2196" s="3">
        <v>89.0</v>
      </c>
      <c r="C2196" s="3">
        <v>40000.0</v>
      </c>
      <c r="D2196" s="3">
        <v>0.03</v>
      </c>
      <c r="E2196" s="3">
        <v>0.04</v>
      </c>
    </row>
    <row r="2197" ht="12.75" customHeight="1">
      <c r="A2197" s="3">
        <v>129.0</v>
      </c>
      <c r="B2197" s="3">
        <v>90.0</v>
      </c>
      <c r="C2197" s="3">
        <v>110000.0</v>
      </c>
      <c r="D2197" s="3">
        <v>0.09</v>
      </c>
      <c r="E2197" s="3">
        <v>0.11</v>
      </c>
    </row>
    <row r="2198" ht="12.75" customHeight="1">
      <c r="A2198" s="3">
        <v>129.0</v>
      </c>
      <c r="B2198" s="3">
        <v>91.0</v>
      </c>
      <c r="C2198" s="3">
        <v>220000.0</v>
      </c>
      <c r="D2198" s="3">
        <v>0.13</v>
      </c>
      <c r="E2198" s="3">
        <v>0.22</v>
      </c>
    </row>
    <row r="2199" ht="12.75" customHeight="1">
      <c r="A2199" s="3">
        <v>129.0</v>
      </c>
      <c r="B2199" s="3">
        <v>92.0</v>
      </c>
      <c r="C2199" s="3">
        <v>390000.0</v>
      </c>
      <c r="D2199" s="3">
        <v>0.2</v>
      </c>
      <c r="E2199" s="3">
        <v>0.39</v>
      </c>
    </row>
    <row r="2200" ht="12.75" customHeight="1">
      <c r="A2200" s="3">
        <v>129.0</v>
      </c>
      <c r="B2200" s="3">
        <v>93.0</v>
      </c>
      <c r="C2200" s="3">
        <v>620000.0</v>
      </c>
      <c r="D2200" s="3">
        <v>0.25</v>
      </c>
      <c r="E2200" s="3">
        <v>0.62</v>
      </c>
    </row>
    <row r="2201" ht="12.75" customHeight="1">
      <c r="A2201" s="3">
        <v>129.0</v>
      </c>
      <c r="B2201" s="3">
        <v>94.0</v>
      </c>
      <c r="C2201" s="3">
        <v>930000.0</v>
      </c>
      <c r="D2201" s="3">
        <v>0.35</v>
      </c>
      <c r="E2201" s="3">
        <v>0.93</v>
      </c>
    </row>
    <row r="2202" ht="12.75" customHeight="1">
      <c r="A2202" s="3">
        <v>129.0</v>
      </c>
      <c r="B2202" s="3">
        <v>95.0</v>
      </c>
      <c r="C2202" s="3">
        <v>1330000.0</v>
      </c>
      <c r="D2202" s="3">
        <v>0.45</v>
      </c>
      <c r="E2202" s="3">
        <v>1.33</v>
      </c>
    </row>
    <row r="2203" ht="12.75" customHeight="1">
      <c r="A2203" s="3">
        <v>129.0</v>
      </c>
      <c r="B2203" s="3">
        <v>96.0</v>
      </c>
      <c r="C2203" s="3">
        <v>1850000.0</v>
      </c>
      <c r="D2203" s="3">
        <v>0.57</v>
      </c>
      <c r="E2203" s="3">
        <v>1.85</v>
      </c>
    </row>
    <row r="2204" ht="12.75" customHeight="1">
      <c r="A2204" s="3">
        <v>129.0</v>
      </c>
      <c r="B2204" s="3">
        <v>97.0</v>
      </c>
      <c r="C2204" s="3">
        <v>2490000.0</v>
      </c>
      <c r="D2204" s="3">
        <v>0.71</v>
      </c>
      <c r="E2204" s="3">
        <v>2.49</v>
      </c>
    </row>
    <row r="2205" ht="12.75" customHeight="1">
      <c r="A2205" s="3">
        <v>129.0</v>
      </c>
      <c r="B2205" s="3">
        <v>98.0</v>
      </c>
      <c r="C2205" s="3">
        <v>3300000.0</v>
      </c>
      <c r="D2205" s="3">
        <v>0.9</v>
      </c>
      <c r="E2205" s="3">
        <v>3.3</v>
      </c>
    </row>
    <row r="2206" ht="12.75" customHeight="1">
      <c r="A2206" s="3">
        <v>129.0</v>
      </c>
      <c r="B2206" s="3">
        <v>99.0</v>
      </c>
      <c r="C2206" s="3">
        <v>4300000.0</v>
      </c>
      <c r="D2206" s="3">
        <v>1.11</v>
      </c>
      <c r="E2206" s="3">
        <v>4.3</v>
      </c>
    </row>
    <row r="2207" ht="12.75" customHeight="1">
      <c r="A2207" s="3">
        <v>129.0</v>
      </c>
      <c r="B2207" s="3">
        <v>100.0</v>
      </c>
      <c r="C2207" s="3">
        <v>5510000.0</v>
      </c>
      <c r="D2207" s="3">
        <v>1.3</v>
      </c>
      <c r="E2207" s="3">
        <v>5.51</v>
      </c>
    </row>
    <row r="2208" ht="12.75" customHeight="1">
      <c r="A2208" s="3">
        <v>129.0</v>
      </c>
      <c r="B2208" s="3">
        <v>101.0</v>
      </c>
      <c r="C2208" s="3">
        <v>6880000.0</v>
      </c>
      <c r="D2208" s="3">
        <v>1.57</v>
      </c>
      <c r="E2208" s="3">
        <v>6.88</v>
      </c>
    </row>
    <row r="2209" ht="12.75" customHeight="1">
      <c r="A2209" s="3">
        <v>130.0</v>
      </c>
      <c r="B2209" s="3">
        <v>83.81</v>
      </c>
      <c r="C2209" s="3">
        <v>0.0</v>
      </c>
      <c r="D2209" s="3">
        <v>0.0</v>
      </c>
      <c r="E2209" s="3">
        <v>0.0</v>
      </c>
    </row>
    <row r="2210" ht="12.75" customHeight="1">
      <c r="A2210" s="3">
        <v>130.0</v>
      </c>
      <c r="B2210" s="3">
        <v>84.0</v>
      </c>
      <c r="C2210" s="3">
        <v>300.0</v>
      </c>
      <c r="D2210" s="3">
        <v>0.0</v>
      </c>
      <c r="E2210" s="3">
        <v>3.0E-4</v>
      </c>
    </row>
    <row r="2211" ht="12.75" customHeight="1">
      <c r="A2211" s="3">
        <v>130.0</v>
      </c>
      <c r="B2211" s="3">
        <v>85.0</v>
      </c>
      <c r="C2211" s="3">
        <v>4600.0</v>
      </c>
      <c r="D2211" s="3">
        <v>0.01</v>
      </c>
      <c r="E2211" s="3">
        <v>0.0046</v>
      </c>
    </row>
    <row r="2212" ht="12.75" customHeight="1">
      <c r="A2212" s="3">
        <v>130.0</v>
      </c>
      <c r="B2212" s="3">
        <v>86.0</v>
      </c>
      <c r="C2212" s="3">
        <v>18000.0</v>
      </c>
      <c r="D2212" s="3">
        <v>0.02</v>
      </c>
      <c r="E2212" s="3">
        <v>0.018</v>
      </c>
    </row>
    <row r="2213" ht="12.75" customHeight="1">
      <c r="A2213" s="3">
        <v>130.0</v>
      </c>
      <c r="B2213" s="3">
        <v>87.0</v>
      </c>
      <c r="C2213" s="3">
        <v>55000.0</v>
      </c>
      <c r="D2213" s="3">
        <v>0.06</v>
      </c>
      <c r="E2213" s="3">
        <v>0.055</v>
      </c>
    </row>
    <row r="2214" ht="12.75" customHeight="1">
      <c r="A2214" s="3">
        <v>130.0</v>
      </c>
      <c r="B2214" s="3">
        <v>88.0</v>
      </c>
      <c r="C2214" s="3">
        <v>138000.0</v>
      </c>
      <c r="D2214" s="3">
        <v>0.12</v>
      </c>
      <c r="E2214" s="3">
        <v>0.138</v>
      </c>
    </row>
    <row r="2215" ht="12.75" customHeight="1">
      <c r="A2215" s="3">
        <v>130.0</v>
      </c>
      <c r="B2215" s="3">
        <v>89.0</v>
      </c>
      <c r="C2215" s="3">
        <v>293000.0</v>
      </c>
      <c r="D2215" s="3">
        <v>0.2</v>
      </c>
      <c r="E2215" s="3">
        <v>0.293</v>
      </c>
    </row>
    <row r="2216" ht="12.75" customHeight="1">
      <c r="A2216" s="3">
        <v>130.0</v>
      </c>
      <c r="B2216" s="3">
        <v>90.0</v>
      </c>
      <c r="C2216" s="3">
        <v>563000.0</v>
      </c>
      <c r="D2216" s="3">
        <v>0.36</v>
      </c>
      <c r="E2216" s="3">
        <v>0.563</v>
      </c>
    </row>
    <row r="2217" ht="12.75" customHeight="1">
      <c r="A2217" s="3">
        <v>130.0</v>
      </c>
      <c r="B2217" s="3">
        <v>91.0</v>
      </c>
      <c r="C2217" s="3">
        <v>1013000.0</v>
      </c>
      <c r="D2217" s="3">
        <v>0.55</v>
      </c>
      <c r="E2217" s="3">
        <v>1.013</v>
      </c>
    </row>
    <row r="2218" ht="12.75" customHeight="1">
      <c r="A2218" s="3">
        <v>130.0</v>
      </c>
      <c r="B2218" s="3">
        <v>92.0</v>
      </c>
      <c r="C2218" s="3">
        <v>1660000.0</v>
      </c>
      <c r="D2218" s="3">
        <v>0.73</v>
      </c>
      <c r="E2218" s="3">
        <v>1.66</v>
      </c>
    </row>
    <row r="2219" ht="12.75" customHeight="1">
      <c r="A2219" s="3">
        <v>130.0</v>
      </c>
      <c r="B2219" s="3">
        <v>93.0</v>
      </c>
      <c r="C2219" s="3">
        <v>2440000.0</v>
      </c>
      <c r="D2219" s="3">
        <v>0.83</v>
      </c>
      <c r="E2219" s="3">
        <v>2.44</v>
      </c>
    </row>
    <row r="2220" ht="12.75" customHeight="1">
      <c r="A2220" s="3">
        <v>130.0</v>
      </c>
      <c r="B2220" s="3">
        <v>93.3</v>
      </c>
      <c r="C2220" s="3">
        <v>2700000.0</v>
      </c>
      <c r="D2220" s="3">
        <v>0.92</v>
      </c>
      <c r="E2220" s="3">
        <v>2.7</v>
      </c>
    </row>
    <row r="2221" ht="12.75" customHeight="1">
      <c r="A2221" s="3">
        <v>130.0</v>
      </c>
      <c r="B2221" s="3">
        <v>94.0</v>
      </c>
      <c r="C2221" s="3">
        <v>3350000.0</v>
      </c>
      <c r="D2221" s="3">
        <v>1.1</v>
      </c>
      <c r="E2221" s="3">
        <v>3.35</v>
      </c>
    </row>
    <row r="2222" ht="12.75" customHeight="1">
      <c r="A2222" s="3">
        <v>130.0</v>
      </c>
      <c r="B2222" s="3">
        <v>95.0</v>
      </c>
      <c r="C2222" s="3">
        <v>4550000.0</v>
      </c>
      <c r="D2222" s="3">
        <v>1.37</v>
      </c>
      <c r="E2222" s="3">
        <v>4.55</v>
      </c>
    </row>
    <row r="2223" ht="12.75" customHeight="1">
      <c r="A2223" s="3">
        <v>130.0</v>
      </c>
      <c r="B2223" s="3">
        <v>96.0</v>
      </c>
      <c r="C2223" s="3">
        <v>6014000.0</v>
      </c>
      <c r="D2223" s="3">
        <v>1.64</v>
      </c>
      <c r="E2223" s="3">
        <v>6.014</v>
      </c>
    </row>
    <row r="2224" ht="12.75" customHeight="1">
      <c r="A2224" s="3">
        <v>130.0</v>
      </c>
      <c r="B2224" s="3">
        <v>97.0</v>
      </c>
      <c r="C2224" s="3">
        <v>7760000.0</v>
      </c>
      <c r="D2224" s="3">
        <v>1.93</v>
      </c>
      <c r="E2224" s="3">
        <v>7.76</v>
      </c>
    </row>
    <row r="2225" ht="12.75" customHeight="1">
      <c r="A2225" s="3">
        <v>130.0</v>
      </c>
      <c r="B2225" s="3">
        <v>98.0</v>
      </c>
      <c r="C2225" s="3">
        <v>9830000.0</v>
      </c>
      <c r="D2225" s="3">
        <v>2.27</v>
      </c>
      <c r="E2225" s="3">
        <v>9.83</v>
      </c>
    </row>
    <row r="2226" ht="12.75" customHeight="1">
      <c r="A2226" s="3">
        <v>130.0</v>
      </c>
      <c r="B2226" s="3">
        <v>99.0</v>
      </c>
      <c r="C2226" s="3">
        <v>1.225E7</v>
      </c>
      <c r="D2226" s="3">
        <v>2.63</v>
      </c>
      <c r="E2226" s="3">
        <v>12.25</v>
      </c>
    </row>
    <row r="2227" ht="12.75" customHeight="1">
      <c r="A2227" s="3">
        <v>130.0</v>
      </c>
      <c r="B2227" s="3">
        <v>100.0</v>
      </c>
      <c r="C2227" s="3">
        <v>1.508E7</v>
      </c>
      <c r="D2227" s="3">
        <v>3.14</v>
      </c>
      <c r="E2227" s="3">
        <v>15.08</v>
      </c>
    </row>
    <row r="2228" ht="12.75" customHeight="1">
      <c r="A2228" s="3">
        <v>130.0</v>
      </c>
      <c r="B2228" s="3">
        <v>101.0</v>
      </c>
      <c r="C2228" s="3">
        <v>1.86E7</v>
      </c>
      <c r="D2228" s="3">
        <v>3.96</v>
      </c>
      <c r="E2228" s="3">
        <v>18.6</v>
      </c>
    </row>
    <row r="2229" ht="12.75" customHeight="1">
      <c r="A2229" s="3">
        <v>130.0</v>
      </c>
      <c r="B2229" s="3">
        <v>101.5</v>
      </c>
      <c r="C2229" s="3">
        <v>2.07E7</v>
      </c>
      <c r="D2229" s="3">
        <v>4.59</v>
      </c>
      <c r="E2229" s="3">
        <v>20.7</v>
      </c>
    </row>
    <row r="2230" ht="12.75" customHeight="1">
      <c r="A2230" s="3">
        <v>130.0</v>
      </c>
      <c r="B2230" s="3">
        <v>102.5</v>
      </c>
      <c r="C2230" s="3">
        <v>2.475E7</v>
      </c>
      <c r="D2230" s="3">
        <v>5.04</v>
      </c>
      <c r="E2230" s="3">
        <v>24.75</v>
      </c>
    </row>
    <row r="2231" ht="12.75" customHeight="1">
      <c r="A2231" s="3">
        <v>131.0</v>
      </c>
      <c r="B2231" s="3">
        <v>266.0</v>
      </c>
      <c r="C2231" s="3">
        <v>5000.0</v>
      </c>
      <c r="D2231" s="3">
        <v>0.01</v>
      </c>
      <c r="E2231" s="3">
        <v>0.005</v>
      </c>
    </row>
    <row r="2232" ht="12.75" customHeight="1">
      <c r="A2232" s="3">
        <v>131.0</v>
      </c>
      <c r="B2232" s="3">
        <v>267.0</v>
      </c>
      <c r="C2232" s="3">
        <v>20000.0</v>
      </c>
      <c r="D2232" s="3">
        <v>0.02</v>
      </c>
      <c r="E2232" s="3">
        <v>0.02</v>
      </c>
    </row>
    <row r="2233" ht="12.75" customHeight="1">
      <c r="A2233" s="3">
        <v>131.0</v>
      </c>
      <c r="B2233" s="3">
        <v>268.0</v>
      </c>
      <c r="C2233" s="3">
        <v>50000.0</v>
      </c>
      <c r="D2233" s="3">
        <v>0.04</v>
      </c>
      <c r="E2233" s="3">
        <v>0.05</v>
      </c>
    </row>
    <row r="2234" ht="12.75" customHeight="1">
      <c r="A2234" s="3">
        <v>131.0</v>
      </c>
      <c r="B2234" s="3">
        <v>269.0</v>
      </c>
      <c r="C2234" s="3">
        <v>110000.0</v>
      </c>
      <c r="D2234" s="3">
        <v>0.08</v>
      </c>
      <c r="E2234" s="3">
        <v>0.11</v>
      </c>
    </row>
    <row r="2235" ht="12.75" customHeight="1">
      <c r="A2235" s="3">
        <v>131.0</v>
      </c>
      <c r="B2235" s="3">
        <v>270.0</v>
      </c>
      <c r="C2235" s="3">
        <v>230000.0</v>
      </c>
      <c r="D2235" s="3">
        <v>0.15</v>
      </c>
      <c r="E2235" s="3">
        <v>0.23</v>
      </c>
    </row>
    <row r="2236" ht="12.75" customHeight="1">
      <c r="A2236" s="3">
        <v>131.0</v>
      </c>
      <c r="B2236" s="3">
        <v>271.0</v>
      </c>
      <c r="C2236" s="3">
        <v>440000.0</v>
      </c>
      <c r="D2236" s="3">
        <v>0.24</v>
      </c>
      <c r="E2236" s="3">
        <v>0.44</v>
      </c>
    </row>
    <row r="2237" ht="12.75" customHeight="1">
      <c r="A2237" s="3">
        <v>131.0</v>
      </c>
      <c r="B2237" s="3">
        <v>272.0</v>
      </c>
      <c r="C2237" s="3">
        <v>740000.0</v>
      </c>
      <c r="D2237" s="3">
        <v>0.37</v>
      </c>
      <c r="E2237" s="3">
        <v>0.74</v>
      </c>
    </row>
    <row r="2238" ht="12.75" customHeight="1">
      <c r="A2238" s="3">
        <v>131.0</v>
      </c>
      <c r="B2238" s="3">
        <v>273.0</v>
      </c>
      <c r="C2238" s="3">
        <v>1200000.0</v>
      </c>
      <c r="D2238" s="3">
        <v>0.53</v>
      </c>
      <c r="E2238" s="3">
        <v>1.2</v>
      </c>
    </row>
    <row r="2239" ht="12.75" customHeight="1">
      <c r="A2239" s="3">
        <v>131.0</v>
      </c>
      <c r="B2239" s="3">
        <v>274.0</v>
      </c>
      <c r="C2239" s="3">
        <v>1830000.0</v>
      </c>
      <c r="D2239" s="3">
        <v>0.73</v>
      </c>
      <c r="E2239" s="3">
        <v>1.83</v>
      </c>
    </row>
    <row r="2240" ht="12.75" customHeight="1">
      <c r="A2240" s="3">
        <v>131.0</v>
      </c>
      <c r="B2240" s="3">
        <v>275.0</v>
      </c>
      <c r="C2240" s="3">
        <v>2690000.0</v>
      </c>
      <c r="D2240" s="3">
        <v>0.98</v>
      </c>
      <c r="E2240" s="3">
        <v>2.69</v>
      </c>
    </row>
    <row r="2241" ht="12.75" customHeight="1">
      <c r="A2241" s="3">
        <v>131.0</v>
      </c>
      <c r="B2241" s="3">
        <v>276.0</v>
      </c>
      <c r="C2241" s="3">
        <v>3820000.0</v>
      </c>
      <c r="D2241" s="3">
        <v>1.58</v>
      </c>
      <c r="E2241" s="3">
        <v>3.82</v>
      </c>
    </row>
    <row r="2242" ht="12.75" customHeight="1">
      <c r="A2242" s="3">
        <v>131.0</v>
      </c>
      <c r="B2242" s="3">
        <v>277.0</v>
      </c>
      <c r="C2242" s="3">
        <v>5450000.0</v>
      </c>
      <c r="D2242" s="3">
        <v>1.65</v>
      </c>
      <c r="E2242" s="3">
        <v>5.45</v>
      </c>
    </row>
    <row r="2243" ht="12.75" customHeight="1">
      <c r="A2243" s="3">
        <v>131.0</v>
      </c>
      <c r="B2243" s="3">
        <v>278.0</v>
      </c>
      <c r="C2243" s="3">
        <v>7220000.0</v>
      </c>
      <c r="D2243" s="3">
        <v>1.9</v>
      </c>
      <c r="E2243" s="3">
        <v>7.22</v>
      </c>
    </row>
    <row r="2244" ht="12.75" customHeight="1">
      <c r="A2244" s="3">
        <v>131.0</v>
      </c>
      <c r="B2244" s="3">
        <v>279.0</v>
      </c>
      <c r="C2244" s="3">
        <v>9300000.0</v>
      </c>
      <c r="D2244" s="3">
        <v>2.23</v>
      </c>
      <c r="E2244" s="3">
        <v>9.3</v>
      </c>
    </row>
    <row r="2245" ht="12.75" customHeight="1">
      <c r="A2245" s="3">
        <v>131.0</v>
      </c>
      <c r="B2245" s="3">
        <v>280.0</v>
      </c>
      <c r="C2245" s="3">
        <v>1.177E7</v>
      </c>
      <c r="D2245" s="3">
        <v>2.7</v>
      </c>
      <c r="E2245" s="3">
        <v>11.77</v>
      </c>
    </row>
    <row r="2246" ht="12.75" customHeight="1">
      <c r="A2246" s="3">
        <v>131.0</v>
      </c>
      <c r="B2246" s="3">
        <v>281.0</v>
      </c>
      <c r="C2246" s="3">
        <v>1.471E7</v>
      </c>
      <c r="D2246" s="3">
        <v>3.17</v>
      </c>
      <c r="E2246" s="3">
        <v>14.71</v>
      </c>
    </row>
    <row r="2247" ht="12.75" customHeight="1">
      <c r="A2247" s="3">
        <v>132.0</v>
      </c>
      <c r="B2247" s="3">
        <v>351.13</v>
      </c>
      <c r="C2247" s="3">
        <v>0.0</v>
      </c>
      <c r="D2247" s="3">
        <v>0.0</v>
      </c>
      <c r="E2247" s="3">
        <v>0.0</v>
      </c>
    </row>
    <row r="2248" ht="12.75" customHeight="1">
      <c r="A2248" s="3">
        <v>132.0</v>
      </c>
      <c r="B2248" s="3">
        <v>352.0</v>
      </c>
      <c r="C2248" s="3">
        <v>15.0</v>
      </c>
      <c r="D2248" s="3">
        <v>1.0E-4</v>
      </c>
      <c r="E2248" s="3">
        <v>1.5E-5</v>
      </c>
    </row>
    <row r="2249" ht="12.75" customHeight="1">
      <c r="A2249" s="3">
        <v>132.0</v>
      </c>
      <c r="B2249" s="3">
        <v>353.0</v>
      </c>
      <c r="C2249" s="3">
        <v>266.0</v>
      </c>
      <c r="D2249" s="3">
        <v>8.0E-4</v>
      </c>
      <c r="E2249" s="3">
        <v>2.66E-4</v>
      </c>
    </row>
    <row r="2250" ht="12.75" customHeight="1">
      <c r="A2250" s="3">
        <v>132.0</v>
      </c>
      <c r="B2250" s="3">
        <v>354.0</v>
      </c>
      <c r="C2250" s="3">
        <v>2572.0</v>
      </c>
      <c r="D2250" s="3">
        <v>0.0042</v>
      </c>
      <c r="E2250" s="3">
        <v>0.002572</v>
      </c>
    </row>
    <row r="2251" ht="12.75" customHeight="1">
      <c r="A2251" s="3">
        <v>132.0</v>
      </c>
      <c r="B2251" s="3">
        <v>355.0</v>
      </c>
      <c r="C2251" s="3">
        <v>9922.0</v>
      </c>
      <c r="D2251" s="3">
        <v>0.1058</v>
      </c>
      <c r="E2251" s="3">
        <v>0.009922</v>
      </c>
    </row>
    <row r="2252" ht="12.75" customHeight="1">
      <c r="A2252" s="3">
        <v>132.0</v>
      </c>
      <c r="B2252" s="3">
        <v>356.0</v>
      </c>
      <c r="C2252" s="3">
        <v>23300.0</v>
      </c>
      <c r="D2252" s="3">
        <v>0.0158</v>
      </c>
      <c r="E2252" s="3">
        <v>0.0233</v>
      </c>
    </row>
    <row r="2253" ht="12.75" customHeight="1">
      <c r="A2253" s="3">
        <v>132.0</v>
      </c>
      <c r="B2253" s="3">
        <v>357.0</v>
      </c>
      <c r="C2253" s="3">
        <v>42154.0</v>
      </c>
      <c r="D2253" s="3">
        <v>0.0219</v>
      </c>
      <c r="E2253" s="3">
        <v>0.042154</v>
      </c>
    </row>
    <row r="2254" ht="12.75" customHeight="1">
      <c r="A2254" s="3">
        <v>132.0</v>
      </c>
      <c r="B2254" s="3">
        <v>358.0</v>
      </c>
      <c r="C2254" s="3">
        <v>67355.0</v>
      </c>
      <c r="D2254" s="3">
        <v>0.0292</v>
      </c>
      <c r="E2254" s="3">
        <v>0.067355</v>
      </c>
    </row>
    <row r="2255" ht="12.75" customHeight="1">
      <c r="A2255" s="3">
        <v>132.0</v>
      </c>
      <c r="B2255" s="3">
        <v>359.0</v>
      </c>
      <c r="C2255" s="3">
        <v>104609.0</v>
      </c>
      <c r="D2255" s="3">
        <v>0.0454</v>
      </c>
      <c r="E2255" s="3">
        <v>0.104609</v>
      </c>
    </row>
    <row r="2256" ht="12.75" customHeight="1">
      <c r="A2256" s="3">
        <v>132.0</v>
      </c>
      <c r="B2256" s="3">
        <v>360.0</v>
      </c>
      <c r="C2256" s="3">
        <v>159544.0</v>
      </c>
      <c r="D2256" s="3">
        <v>0.0666</v>
      </c>
      <c r="E2256" s="3">
        <v>0.159544</v>
      </c>
    </row>
    <row r="2257" ht="12.75" customHeight="1">
      <c r="A2257" s="3">
        <v>132.0</v>
      </c>
      <c r="B2257" s="3">
        <v>361.0</v>
      </c>
      <c r="C2257" s="3">
        <v>234000.0</v>
      </c>
      <c r="D2257" s="3">
        <v>0.0793</v>
      </c>
      <c r="E2257" s="3">
        <v>0.234</v>
      </c>
    </row>
    <row r="2258" ht="12.75" customHeight="1">
      <c r="A2258" s="3">
        <v>132.0</v>
      </c>
      <c r="B2258" s="3">
        <v>362.0</v>
      </c>
      <c r="C2258" s="3">
        <v>315303.0</v>
      </c>
      <c r="D2258" s="3">
        <v>0.0828</v>
      </c>
      <c r="E2258" s="3">
        <v>0.315303</v>
      </c>
    </row>
    <row r="2259" ht="12.75" customHeight="1">
      <c r="A2259" s="3">
        <v>132.0</v>
      </c>
      <c r="B2259" s="3">
        <v>363.0</v>
      </c>
      <c r="C2259" s="3">
        <v>399581.0</v>
      </c>
      <c r="D2259" s="3">
        <v>0.0857</v>
      </c>
      <c r="E2259" s="3">
        <v>0.399581</v>
      </c>
    </row>
    <row r="2260" ht="12.75" customHeight="1">
      <c r="A2260" s="3">
        <v>132.0</v>
      </c>
      <c r="B2260" s="3">
        <v>363.05</v>
      </c>
      <c r="C2260" s="3">
        <v>403871.0</v>
      </c>
      <c r="D2260" s="3">
        <v>0.0859</v>
      </c>
      <c r="E2260" s="3">
        <v>0.403871</v>
      </c>
    </row>
    <row r="2261" ht="12.75" customHeight="1">
      <c r="A2261" s="3">
        <v>132.0</v>
      </c>
      <c r="B2261" s="3">
        <v>363.17</v>
      </c>
      <c r="C2261" s="3">
        <v>421067.0</v>
      </c>
      <c r="D2261" s="3">
        <v>0.08707</v>
      </c>
      <c r="E2261" s="3">
        <v>0.421067</v>
      </c>
    </row>
    <row r="2262" ht="12.75" customHeight="1">
      <c r="A2262" s="3">
        <v>132.0</v>
      </c>
      <c r="B2262" s="3">
        <v>363.5</v>
      </c>
      <c r="C2262" s="3">
        <v>468067.0</v>
      </c>
      <c r="D2262" s="3">
        <v>0.09037</v>
      </c>
      <c r="E2262" s="3">
        <v>0.468067</v>
      </c>
    </row>
    <row r="2263" ht="12.75" customHeight="1">
      <c r="A2263" s="3">
        <v>132.0</v>
      </c>
      <c r="B2263" s="3">
        <v>364.35</v>
      </c>
      <c r="C2263" s="3">
        <v>557067.0</v>
      </c>
      <c r="D2263" s="3">
        <v>0.10037</v>
      </c>
      <c r="E2263" s="3">
        <v>0.557067</v>
      </c>
    </row>
    <row r="2264" ht="12.75" customHeight="1">
      <c r="A2264" s="3">
        <v>132.0</v>
      </c>
      <c r="B2264" s="3">
        <v>364.5</v>
      </c>
      <c r="C2264" s="3">
        <v>623067.0</v>
      </c>
      <c r="D2264" s="3">
        <v>0.11037</v>
      </c>
      <c r="E2264" s="3">
        <v>0.623067</v>
      </c>
    </row>
    <row r="2265" ht="12.75" customHeight="1">
      <c r="A2265" s="3">
        <v>132.0</v>
      </c>
      <c r="B2265" s="3">
        <v>365.0</v>
      </c>
      <c r="C2265" s="3">
        <v>705067.0</v>
      </c>
      <c r="D2265" s="3">
        <v>0.12037</v>
      </c>
      <c r="E2265" s="3">
        <v>0.705067</v>
      </c>
    </row>
    <row r="2266" ht="12.75" customHeight="1">
      <c r="A2266" s="3">
        <v>133.0</v>
      </c>
      <c r="B2266" s="3">
        <v>88.0</v>
      </c>
      <c r="C2266" s="3">
        <v>0.0</v>
      </c>
      <c r="D2266" s="3">
        <v>0.0</v>
      </c>
      <c r="E2266" s="3">
        <v>0.0</v>
      </c>
    </row>
    <row r="2267" ht="12.75" customHeight="1">
      <c r="A2267" s="3">
        <v>133.0</v>
      </c>
      <c r="B2267" s="3">
        <v>89.14</v>
      </c>
      <c r="C2267" s="3">
        <v>0.0</v>
      </c>
      <c r="D2267" s="3">
        <v>0.0</v>
      </c>
      <c r="E2267" s="3">
        <v>0.0</v>
      </c>
    </row>
    <row r="2268" ht="12.75" customHeight="1">
      <c r="A2268" s="3">
        <v>133.0</v>
      </c>
      <c r="B2268" s="3">
        <v>90.0</v>
      </c>
      <c r="C2268" s="3">
        <v>1667.0</v>
      </c>
      <c r="D2268" s="3">
        <v>0.0062</v>
      </c>
      <c r="E2268" s="3">
        <v>0.001667</v>
      </c>
    </row>
    <row r="2269" ht="12.75" customHeight="1">
      <c r="A2269" s="3">
        <v>133.0</v>
      </c>
      <c r="B2269" s="3">
        <v>91.0</v>
      </c>
      <c r="C2269" s="3">
        <v>17892.0</v>
      </c>
      <c r="D2269" s="3">
        <v>0.0303</v>
      </c>
      <c r="E2269" s="3">
        <v>0.017892</v>
      </c>
    </row>
    <row r="2270" ht="12.75" customHeight="1">
      <c r="A2270" s="3">
        <v>133.0</v>
      </c>
      <c r="B2270" s="3">
        <v>92.0</v>
      </c>
      <c r="C2270" s="3">
        <v>82574.0</v>
      </c>
      <c r="D2270" s="3">
        <v>0.1122</v>
      </c>
      <c r="E2270" s="3">
        <v>0.082574</v>
      </c>
    </row>
    <row r="2271" ht="12.75" customHeight="1">
      <c r="A2271" s="3">
        <v>133.0</v>
      </c>
      <c r="B2271" s="3">
        <v>93.0</v>
      </c>
      <c r="C2271" s="3">
        <v>271683.0</v>
      </c>
      <c r="D2271" s="3">
        <v>0.2825</v>
      </c>
      <c r="E2271" s="3">
        <v>0.271683</v>
      </c>
    </row>
    <row r="2272" ht="12.75" customHeight="1">
      <c r="A2272" s="3">
        <v>133.0</v>
      </c>
      <c r="B2272" s="3">
        <v>94.0</v>
      </c>
      <c r="C2272" s="3">
        <v>649422.0</v>
      </c>
      <c r="D2272" s="3">
        <v>0.4579</v>
      </c>
      <c r="E2272" s="3">
        <v>0.649422</v>
      </c>
    </row>
    <row r="2273" ht="12.75" customHeight="1">
      <c r="A2273" s="3">
        <v>133.0</v>
      </c>
      <c r="B2273" s="3">
        <v>95.0</v>
      </c>
      <c r="C2273" s="3">
        <v>1194789.0</v>
      </c>
      <c r="D2273" s="3">
        <v>0.6504</v>
      </c>
      <c r="E2273" s="3">
        <v>1.194789</v>
      </c>
    </row>
    <row r="2274" ht="12.75" customHeight="1">
      <c r="A2274" s="3">
        <v>133.0</v>
      </c>
      <c r="B2274" s="3">
        <v>96.0</v>
      </c>
      <c r="C2274" s="3">
        <v>1991164.0</v>
      </c>
      <c r="D2274" s="3">
        <v>0.9314</v>
      </c>
      <c r="E2274" s="3">
        <v>1.991164</v>
      </c>
    </row>
    <row r="2275" ht="12.75" customHeight="1">
      <c r="A2275" s="3">
        <v>133.0</v>
      </c>
      <c r="B2275" s="3">
        <v>97.0</v>
      </c>
      <c r="C2275" s="3">
        <v>3047633.0</v>
      </c>
      <c r="D2275" s="3">
        <v>1.1831</v>
      </c>
      <c r="E2275" s="3">
        <v>3.047633</v>
      </c>
    </row>
    <row r="2276" ht="12.75" customHeight="1">
      <c r="A2276" s="3">
        <v>133.0</v>
      </c>
      <c r="B2276" s="3">
        <v>98.0</v>
      </c>
      <c r="C2276" s="3">
        <v>4297203.0</v>
      </c>
      <c r="D2276" s="3">
        <v>1.2949</v>
      </c>
      <c r="E2276" s="3">
        <v>4.297203</v>
      </c>
    </row>
    <row r="2277" ht="12.75" customHeight="1">
      <c r="A2277" s="3">
        <v>133.0</v>
      </c>
      <c r="B2277" s="3">
        <v>99.0</v>
      </c>
      <c r="C2277" s="3">
        <v>5546700.0</v>
      </c>
      <c r="D2277" s="3">
        <v>1.4067</v>
      </c>
      <c r="E2277" s="3">
        <v>5.5467</v>
      </c>
    </row>
    <row r="2278" ht="12.75" customHeight="1">
      <c r="A2278" s="3">
        <v>133.0</v>
      </c>
      <c r="B2278" s="3">
        <v>100.0</v>
      </c>
      <c r="C2278" s="3">
        <v>6796300.0</v>
      </c>
      <c r="D2278" s="3">
        <v>1.5185</v>
      </c>
      <c r="E2278" s="3">
        <v>6.7963</v>
      </c>
    </row>
    <row r="2279" ht="12.75" customHeight="1">
      <c r="A2279" s="3">
        <v>134.0</v>
      </c>
      <c r="B2279" s="3">
        <v>321.0</v>
      </c>
      <c r="C2279" s="3">
        <v>0.0</v>
      </c>
      <c r="D2279" s="3">
        <v>0.0</v>
      </c>
      <c r="E2279" s="3">
        <v>0.0</v>
      </c>
    </row>
    <row r="2280" ht="12.75" customHeight="1">
      <c r="A2280" s="3">
        <v>134.0</v>
      </c>
      <c r="B2280" s="3">
        <v>322.0</v>
      </c>
      <c r="C2280" s="3">
        <v>400.0</v>
      </c>
      <c r="D2280" s="3">
        <v>0.0</v>
      </c>
      <c r="E2280" s="3">
        <v>4.0E-4</v>
      </c>
    </row>
    <row r="2281" ht="12.75" customHeight="1">
      <c r="A2281" s="3">
        <v>134.0</v>
      </c>
      <c r="B2281" s="3">
        <v>323.0</v>
      </c>
      <c r="C2281" s="3">
        <v>5000.0</v>
      </c>
      <c r="D2281" s="3">
        <v>0.0</v>
      </c>
      <c r="E2281" s="3">
        <v>0.005</v>
      </c>
    </row>
    <row r="2282" ht="12.75" customHeight="1">
      <c r="A2282" s="3">
        <v>134.0</v>
      </c>
      <c r="B2282" s="3">
        <v>324.0</v>
      </c>
      <c r="C2282" s="3">
        <v>10000.0</v>
      </c>
      <c r="D2282" s="3">
        <v>0.01</v>
      </c>
      <c r="E2282" s="3">
        <v>0.01</v>
      </c>
    </row>
    <row r="2283" ht="12.75" customHeight="1">
      <c r="A2283" s="3">
        <v>134.0</v>
      </c>
      <c r="B2283" s="3">
        <v>325.0</v>
      </c>
      <c r="C2283" s="3">
        <v>40000.0</v>
      </c>
      <c r="D2283" s="3">
        <v>0.03</v>
      </c>
      <c r="E2283" s="3">
        <v>0.04</v>
      </c>
    </row>
    <row r="2284" ht="12.75" customHeight="1">
      <c r="A2284" s="3">
        <v>134.0</v>
      </c>
      <c r="B2284" s="3">
        <v>326.0</v>
      </c>
      <c r="C2284" s="3">
        <v>80000.0</v>
      </c>
      <c r="D2284" s="3">
        <v>0.05</v>
      </c>
      <c r="E2284" s="3">
        <v>0.08</v>
      </c>
    </row>
    <row r="2285" ht="12.75" customHeight="1">
      <c r="A2285" s="3">
        <v>134.0</v>
      </c>
      <c r="B2285" s="3">
        <v>327.0</v>
      </c>
      <c r="C2285" s="3">
        <v>150000.0</v>
      </c>
      <c r="D2285" s="3">
        <v>0.07</v>
      </c>
      <c r="E2285" s="3">
        <v>0.15</v>
      </c>
    </row>
    <row r="2286" ht="12.75" customHeight="1">
      <c r="A2286" s="3">
        <v>134.0</v>
      </c>
      <c r="B2286" s="3">
        <v>328.0</v>
      </c>
      <c r="C2286" s="3">
        <v>240000.0</v>
      </c>
      <c r="D2286" s="3">
        <v>0.1</v>
      </c>
      <c r="E2286" s="3">
        <v>0.24</v>
      </c>
    </row>
    <row r="2287" ht="12.75" customHeight="1">
      <c r="A2287" s="3">
        <v>134.0</v>
      </c>
      <c r="B2287" s="3">
        <v>329.0</v>
      </c>
      <c r="C2287" s="3">
        <v>360000.0</v>
      </c>
      <c r="D2287" s="3">
        <v>0.13</v>
      </c>
      <c r="E2287" s="3">
        <v>0.36</v>
      </c>
    </row>
    <row r="2288" ht="12.75" customHeight="1">
      <c r="A2288" s="3">
        <v>134.0</v>
      </c>
      <c r="B2288" s="3">
        <v>330.0</v>
      </c>
      <c r="C2288" s="3">
        <v>510000.0</v>
      </c>
      <c r="D2288" s="3">
        <v>0.17</v>
      </c>
      <c r="E2288" s="3">
        <v>0.51</v>
      </c>
    </row>
    <row r="2289" ht="12.75" customHeight="1">
      <c r="A2289" s="3">
        <v>134.0</v>
      </c>
      <c r="B2289" s="3">
        <v>331.0</v>
      </c>
      <c r="C2289" s="3">
        <v>710000.0</v>
      </c>
      <c r="D2289" s="3">
        <v>0.22</v>
      </c>
      <c r="E2289" s="3">
        <v>0.71</v>
      </c>
    </row>
    <row r="2290" ht="12.75" customHeight="1">
      <c r="A2290" s="3">
        <v>134.0</v>
      </c>
      <c r="B2290" s="3">
        <v>332.0</v>
      </c>
      <c r="C2290" s="3">
        <v>970000.0</v>
      </c>
      <c r="D2290" s="3">
        <v>0.29</v>
      </c>
      <c r="E2290" s="3">
        <v>0.97</v>
      </c>
    </row>
    <row r="2291" ht="12.75" customHeight="1">
      <c r="A2291" s="3">
        <v>134.0</v>
      </c>
      <c r="B2291" s="3">
        <v>333.0</v>
      </c>
      <c r="C2291" s="3">
        <v>1320000.0</v>
      </c>
      <c r="D2291" s="3">
        <v>0.39</v>
      </c>
      <c r="E2291" s="3">
        <v>1.32</v>
      </c>
    </row>
    <row r="2292" ht="12.75" customHeight="1">
      <c r="A2292" s="3">
        <v>134.0</v>
      </c>
      <c r="B2292" s="3">
        <v>334.0</v>
      </c>
      <c r="C2292" s="3">
        <v>1770000.0</v>
      </c>
      <c r="D2292" s="3">
        <v>0.5</v>
      </c>
      <c r="E2292" s="3">
        <v>1.77</v>
      </c>
    </row>
    <row r="2293" ht="12.75" customHeight="1">
      <c r="A2293" s="3">
        <v>134.0</v>
      </c>
      <c r="B2293" s="3">
        <v>335.0</v>
      </c>
      <c r="C2293" s="3">
        <v>2350000.0</v>
      </c>
      <c r="D2293" s="3">
        <v>0.65</v>
      </c>
      <c r="E2293" s="3">
        <v>2.35</v>
      </c>
    </row>
    <row r="2294" ht="12.75" customHeight="1">
      <c r="A2294" s="3">
        <v>134.0</v>
      </c>
      <c r="B2294" s="3">
        <v>336.0</v>
      </c>
      <c r="C2294" s="3">
        <v>3000000.0</v>
      </c>
      <c r="D2294" s="3">
        <v>1.0</v>
      </c>
      <c r="E2294" s="3">
        <v>3.0</v>
      </c>
    </row>
    <row r="2295" ht="12.75" customHeight="1">
      <c r="A2295" s="3">
        <v>135.0</v>
      </c>
      <c r="B2295" s="3">
        <v>205.0</v>
      </c>
      <c r="C2295" s="3">
        <v>0.0</v>
      </c>
      <c r="D2295" s="3">
        <v>0.0</v>
      </c>
      <c r="E2295" s="3">
        <v>0.0</v>
      </c>
    </row>
    <row r="2296" ht="12.75" customHeight="1">
      <c r="A2296" s="3">
        <v>135.0</v>
      </c>
      <c r="B2296" s="3">
        <v>206.0</v>
      </c>
      <c r="C2296" s="3">
        <v>4750.0</v>
      </c>
      <c r="D2296" s="3">
        <v>0.007</v>
      </c>
      <c r="E2296" s="3">
        <v>0.00475</v>
      </c>
    </row>
    <row r="2297" ht="12.75" customHeight="1">
      <c r="A2297" s="3">
        <v>135.0</v>
      </c>
      <c r="B2297" s="3">
        <v>207.0</v>
      </c>
      <c r="C2297" s="3">
        <v>20000.0</v>
      </c>
      <c r="D2297" s="3">
        <v>0.04</v>
      </c>
      <c r="E2297" s="3">
        <v>0.02</v>
      </c>
    </row>
    <row r="2298" ht="12.75" customHeight="1">
      <c r="A2298" s="3">
        <v>135.0</v>
      </c>
      <c r="B2298" s="3">
        <v>208.0</v>
      </c>
      <c r="C2298" s="3">
        <v>70000.0</v>
      </c>
      <c r="D2298" s="3">
        <v>0.05</v>
      </c>
      <c r="E2298" s="3">
        <v>0.07</v>
      </c>
    </row>
    <row r="2299" ht="12.75" customHeight="1">
      <c r="A2299" s="3">
        <v>135.0</v>
      </c>
      <c r="B2299" s="3">
        <v>209.0</v>
      </c>
      <c r="C2299" s="3">
        <v>140000.0</v>
      </c>
      <c r="D2299" s="3">
        <v>0.08</v>
      </c>
      <c r="E2299" s="3">
        <v>0.14</v>
      </c>
    </row>
    <row r="2300" ht="12.75" customHeight="1">
      <c r="A2300" s="3">
        <v>135.0</v>
      </c>
      <c r="B2300" s="3">
        <v>210.0</v>
      </c>
      <c r="C2300" s="3">
        <v>230000.0</v>
      </c>
      <c r="D2300" s="3">
        <v>0.1</v>
      </c>
      <c r="E2300" s="3">
        <v>0.23</v>
      </c>
    </row>
    <row r="2301" ht="12.75" customHeight="1">
      <c r="A2301" s="3">
        <v>135.0</v>
      </c>
      <c r="B2301" s="3">
        <v>211.0</v>
      </c>
      <c r="C2301" s="3">
        <v>370000.0</v>
      </c>
      <c r="D2301" s="3">
        <v>0.16</v>
      </c>
      <c r="E2301" s="3">
        <v>0.37</v>
      </c>
    </row>
    <row r="2302" ht="12.75" customHeight="1">
      <c r="A2302" s="3">
        <v>135.0</v>
      </c>
      <c r="B2302" s="3">
        <v>212.0</v>
      </c>
      <c r="C2302" s="3">
        <v>550000.0</v>
      </c>
      <c r="D2302" s="3">
        <v>0.2</v>
      </c>
      <c r="E2302" s="3">
        <v>0.55</v>
      </c>
    </row>
    <row r="2303" ht="12.75" customHeight="1">
      <c r="A2303" s="3">
        <v>135.0</v>
      </c>
      <c r="B2303" s="3">
        <v>213.0</v>
      </c>
      <c r="C2303" s="3">
        <v>780000.0</v>
      </c>
      <c r="D2303" s="3">
        <v>0.25</v>
      </c>
      <c r="E2303" s="3">
        <v>0.78</v>
      </c>
    </row>
    <row r="2304" ht="12.75" customHeight="1">
      <c r="A2304" s="3">
        <v>135.0</v>
      </c>
      <c r="B2304" s="3">
        <v>214.0</v>
      </c>
      <c r="C2304" s="3">
        <v>1070000.0</v>
      </c>
      <c r="D2304" s="3">
        <v>0.3</v>
      </c>
      <c r="E2304" s="3">
        <v>1.07</v>
      </c>
    </row>
    <row r="2305" ht="12.75" customHeight="1">
      <c r="A2305" s="3">
        <v>135.0</v>
      </c>
      <c r="B2305" s="3">
        <v>215.0</v>
      </c>
      <c r="C2305" s="3">
        <v>1400000.0</v>
      </c>
      <c r="D2305" s="3">
        <v>0.36</v>
      </c>
      <c r="E2305" s="3">
        <v>1.4</v>
      </c>
    </row>
    <row r="2306" ht="12.75" customHeight="1">
      <c r="A2306" s="3">
        <v>135.0</v>
      </c>
      <c r="B2306" s="3">
        <v>216.0</v>
      </c>
      <c r="C2306" s="3">
        <v>1790000.0</v>
      </c>
      <c r="D2306" s="3">
        <v>0.41</v>
      </c>
      <c r="E2306" s="3">
        <v>1.79</v>
      </c>
    </row>
    <row r="2307" ht="12.75" customHeight="1">
      <c r="A2307" s="3">
        <v>135.0</v>
      </c>
      <c r="B2307" s="3">
        <v>217.0</v>
      </c>
      <c r="C2307" s="3">
        <v>2240000.0</v>
      </c>
      <c r="D2307" s="3">
        <v>0.47</v>
      </c>
      <c r="E2307" s="3">
        <v>2.24</v>
      </c>
    </row>
    <row r="2308" ht="12.75" customHeight="1">
      <c r="A2308" s="3">
        <v>141.0</v>
      </c>
      <c r="B2308" s="3">
        <v>85.72</v>
      </c>
      <c r="C2308" s="3">
        <v>0.0</v>
      </c>
      <c r="D2308" s="3">
        <v>0.0</v>
      </c>
      <c r="E2308" s="3">
        <v>0.0</v>
      </c>
    </row>
    <row r="2309" ht="12.75" customHeight="1">
      <c r="A2309" s="3">
        <v>141.0</v>
      </c>
      <c r="B2309" s="3">
        <v>86.0</v>
      </c>
      <c r="C2309" s="3">
        <v>12.0</v>
      </c>
      <c r="D2309" s="3">
        <v>1.0E-4</v>
      </c>
      <c r="E2309" s="3">
        <v>1.2E-5</v>
      </c>
    </row>
    <row r="2310" ht="12.75" customHeight="1">
      <c r="A2310" s="3">
        <v>141.0</v>
      </c>
      <c r="B2310" s="3">
        <v>87.0</v>
      </c>
      <c r="C2310" s="3">
        <v>820.0</v>
      </c>
      <c r="D2310" s="3">
        <v>0.0025</v>
      </c>
      <c r="E2310" s="3">
        <v>8.2E-4</v>
      </c>
    </row>
    <row r="2311" ht="12.75" customHeight="1">
      <c r="A2311" s="3">
        <v>141.0</v>
      </c>
      <c r="B2311" s="3">
        <v>88.0</v>
      </c>
      <c r="C2311" s="3">
        <v>7403.0</v>
      </c>
      <c r="D2311" s="3">
        <v>0.0121</v>
      </c>
      <c r="E2311" s="3">
        <v>0.007403</v>
      </c>
    </row>
    <row r="2312" ht="12.75" customHeight="1">
      <c r="A2312" s="3">
        <v>141.0</v>
      </c>
      <c r="B2312" s="3">
        <v>89.0</v>
      </c>
      <c r="C2312" s="3">
        <v>27738.0</v>
      </c>
      <c r="D2312" s="3">
        <v>0.0315</v>
      </c>
      <c r="E2312" s="3">
        <v>0.027738</v>
      </c>
    </row>
    <row r="2313" ht="12.75" customHeight="1">
      <c r="A2313" s="3">
        <v>141.0</v>
      </c>
      <c r="B2313" s="3">
        <v>90.0</v>
      </c>
      <c r="C2313" s="3">
        <v>79299.0</v>
      </c>
      <c r="D2313" s="3">
        <v>0.0763</v>
      </c>
      <c r="E2313" s="3">
        <v>0.079299</v>
      </c>
    </row>
    <row r="2314" ht="12.75" customHeight="1">
      <c r="A2314" s="3">
        <v>141.0</v>
      </c>
      <c r="B2314" s="3">
        <v>91.0</v>
      </c>
      <c r="C2314" s="3">
        <v>179972.0</v>
      </c>
      <c r="D2314" s="3">
        <v>0.1296</v>
      </c>
      <c r="E2314" s="3">
        <v>0.179972</v>
      </c>
    </row>
    <row r="2315" ht="12.75" customHeight="1">
      <c r="A2315" s="3">
        <v>141.0</v>
      </c>
      <c r="B2315" s="3">
        <v>92.0</v>
      </c>
      <c r="C2315" s="3">
        <v>340925.0</v>
      </c>
      <c r="D2315" s="3">
        <v>0.1975</v>
      </c>
      <c r="E2315" s="3">
        <v>0.340925</v>
      </c>
    </row>
    <row r="2316" ht="12.75" customHeight="1">
      <c r="A2316" s="3">
        <v>141.0</v>
      </c>
      <c r="B2316" s="3">
        <v>93.0</v>
      </c>
      <c r="C2316" s="3">
        <v>576186.0</v>
      </c>
      <c r="D2316" s="3">
        <v>0.2704</v>
      </c>
      <c r="E2316" s="3">
        <v>0.576186</v>
      </c>
    </row>
    <row r="2317" ht="12.75" customHeight="1">
      <c r="A2317" s="3">
        <v>141.0</v>
      </c>
      <c r="B2317" s="3">
        <v>94.0</v>
      </c>
      <c r="C2317" s="3">
        <v>879519.0</v>
      </c>
      <c r="D2317" s="3">
        <v>0.3344</v>
      </c>
      <c r="E2317" s="3">
        <v>0.879519</v>
      </c>
    </row>
    <row r="2318" ht="12.75" customHeight="1">
      <c r="A2318" s="3">
        <v>141.0</v>
      </c>
      <c r="B2318" s="3">
        <v>95.0</v>
      </c>
      <c r="C2318" s="3">
        <v>1234927.0</v>
      </c>
      <c r="D2318" s="3">
        <v>0.3732</v>
      </c>
      <c r="E2318" s="3">
        <v>1.234927</v>
      </c>
    </row>
    <row r="2319" ht="12.75" customHeight="1">
      <c r="A2319" s="3">
        <v>141.0</v>
      </c>
      <c r="B2319" s="3">
        <v>95.8</v>
      </c>
      <c r="C2319" s="3">
        <v>1543677.0</v>
      </c>
      <c r="D2319" s="3">
        <v>0.398</v>
      </c>
      <c r="E2319" s="3">
        <v>1.543677</v>
      </c>
    </row>
    <row r="2320" ht="12.75" customHeight="1">
      <c r="A2320" s="3">
        <v>141.0</v>
      </c>
      <c r="B2320" s="3">
        <v>96.0</v>
      </c>
      <c r="C2320" s="3">
        <v>1665000.0</v>
      </c>
      <c r="D2320" s="3">
        <v>0.403</v>
      </c>
      <c r="E2320" s="3">
        <v>1.665</v>
      </c>
    </row>
    <row r="2321" ht="12.75" customHeight="1">
      <c r="A2321" s="3">
        <v>141.0</v>
      </c>
      <c r="B2321" s="3">
        <v>97.0</v>
      </c>
      <c r="C2321" s="3">
        <v>2200000.0</v>
      </c>
      <c r="D2321" s="3">
        <v>0.442</v>
      </c>
      <c r="E2321" s="3">
        <v>2.2</v>
      </c>
    </row>
    <row r="2322" ht="12.75" customHeight="1">
      <c r="A2322" s="3">
        <v>141.0</v>
      </c>
      <c r="B2322" s="3">
        <v>98.0</v>
      </c>
      <c r="C2322" s="3">
        <v>2840000.0</v>
      </c>
      <c r="D2322" s="3">
        <v>0.555</v>
      </c>
      <c r="E2322" s="3">
        <v>2.84</v>
      </c>
    </row>
    <row r="2323" ht="12.75" customHeight="1">
      <c r="A2323" s="3">
        <v>141.0</v>
      </c>
      <c r="B2323" s="3">
        <v>98.5</v>
      </c>
      <c r="C2323" s="3">
        <v>3200000.0</v>
      </c>
      <c r="D2323" s="3">
        <v>0.672</v>
      </c>
      <c r="E2323" s="3">
        <v>3.2</v>
      </c>
    </row>
    <row r="2324" ht="12.75" customHeight="1">
      <c r="A2324" s="3">
        <v>141.0</v>
      </c>
      <c r="B2324" s="3">
        <v>99.0</v>
      </c>
      <c r="C2324" s="3">
        <v>3585000.0</v>
      </c>
      <c r="D2324" s="3">
        <v>0.82</v>
      </c>
      <c r="E2324" s="3">
        <v>3.585</v>
      </c>
    </row>
    <row r="2325" ht="12.75" customHeight="1">
      <c r="A2325" s="3">
        <v>143.0</v>
      </c>
      <c r="B2325" s="3">
        <v>88.0</v>
      </c>
      <c r="C2325" s="3">
        <v>0.0</v>
      </c>
      <c r="D2325" s="3">
        <v>0.0</v>
      </c>
      <c r="E2325" s="3">
        <v>0.0</v>
      </c>
    </row>
    <row r="2326" ht="12.75" customHeight="1">
      <c r="A2326" s="3">
        <v>143.0</v>
      </c>
      <c r="B2326" s="3">
        <v>89.0</v>
      </c>
      <c r="C2326" s="3">
        <v>20000.0</v>
      </c>
      <c r="D2326" s="3">
        <v>0.04</v>
      </c>
      <c r="E2326" s="3">
        <v>0.02</v>
      </c>
    </row>
    <row r="2327" ht="12.75" customHeight="1">
      <c r="A2327" s="3">
        <v>143.0</v>
      </c>
      <c r="B2327" s="3">
        <v>90.0</v>
      </c>
      <c r="C2327" s="3">
        <v>70000.0</v>
      </c>
      <c r="D2327" s="3">
        <v>0.1</v>
      </c>
      <c r="E2327" s="3">
        <v>0.07</v>
      </c>
    </row>
    <row r="2328" ht="12.75" customHeight="1">
      <c r="A2328" s="3">
        <v>143.0</v>
      </c>
      <c r="B2328" s="3">
        <v>91.0</v>
      </c>
      <c r="C2328" s="3">
        <v>160000.0</v>
      </c>
      <c r="D2328" s="3">
        <v>0.18</v>
      </c>
      <c r="E2328" s="3">
        <v>0.16</v>
      </c>
    </row>
    <row r="2329" ht="12.75" customHeight="1">
      <c r="A2329" s="3">
        <v>143.0</v>
      </c>
      <c r="B2329" s="3">
        <v>92.0</v>
      </c>
      <c r="C2329" s="3">
        <v>310000.0</v>
      </c>
      <c r="D2329" s="3">
        <v>0.29</v>
      </c>
      <c r="E2329" s="3">
        <v>0.31</v>
      </c>
    </row>
    <row r="2330" ht="12.75" customHeight="1">
      <c r="A2330" s="3">
        <v>143.0</v>
      </c>
      <c r="B2330" s="3">
        <v>93.0</v>
      </c>
      <c r="C2330" s="3">
        <v>520000.0</v>
      </c>
      <c r="D2330" s="3">
        <v>0.43</v>
      </c>
      <c r="E2330" s="3">
        <v>0.52</v>
      </c>
    </row>
    <row r="2331" ht="12.75" customHeight="1">
      <c r="A2331" s="3">
        <v>143.0</v>
      </c>
      <c r="B2331" s="3">
        <v>94.0</v>
      </c>
      <c r="C2331" s="3">
        <v>820000.0</v>
      </c>
      <c r="D2331" s="3">
        <v>0.59</v>
      </c>
      <c r="E2331" s="3">
        <v>0.82</v>
      </c>
    </row>
    <row r="2332" ht="12.75" customHeight="1">
      <c r="A2332" s="3">
        <v>143.0</v>
      </c>
      <c r="B2332" s="3">
        <v>95.0</v>
      </c>
      <c r="C2332" s="3">
        <v>1210000.0</v>
      </c>
      <c r="D2332" s="3">
        <v>0.78</v>
      </c>
      <c r="E2332" s="3">
        <v>1.21</v>
      </c>
    </row>
    <row r="2333" ht="12.75" customHeight="1">
      <c r="A2333" s="3">
        <v>143.0</v>
      </c>
      <c r="B2333" s="3">
        <v>96.0</v>
      </c>
      <c r="C2333" s="3">
        <v>1710000.0</v>
      </c>
      <c r="D2333" s="3">
        <v>0.99</v>
      </c>
      <c r="E2333" s="3">
        <v>1.71</v>
      </c>
    </row>
    <row r="2334" ht="12.75" customHeight="1">
      <c r="A2334" s="3">
        <v>143.0</v>
      </c>
      <c r="B2334" s="3">
        <v>97.0</v>
      </c>
      <c r="C2334" s="3">
        <v>2320000.0</v>
      </c>
      <c r="D2334" s="3">
        <v>1.23</v>
      </c>
      <c r="E2334" s="3">
        <v>2.32</v>
      </c>
    </row>
    <row r="2335" ht="12.75" customHeight="1">
      <c r="A2335" s="3">
        <v>143.0</v>
      </c>
      <c r="B2335" s="3">
        <v>98.0</v>
      </c>
      <c r="C2335" s="3">
        <v>3060000.0</v>
      </c>
      <c r="D2335" s="3">
        <v>1.48</v>
      </c>
      <c r="E2335" s="3">
        <v>3.06</v>
      </c>
    </row>
    <row r="2336" ht="12.75" customHeight="1">
      <c r="A2336" s="3">
        <v>143.0</v>
      </c>
      <c r="B2336" s="3">
        <v>98.5</v>
      </c>
      <c r="C2336" s="3">
        <v>3510000.0</v>
      </c>
      <c r="D2336" s="3">
        <v>1.79</v>
      </c>
      <c r="E2336" s="3">
        <v>3.51</v>
      </c>
    </row>
    <row r="2337" ht="12.75" customHeight="1">
      <c r="A2337" s="3">
        <v>145.0</v>
      </c>
      <c r="B2337" s="3">
        <v>92.0</v>
      </c>
      <c r="C2337" s="3">
        <v>0.0</v>
      </c>
      <c r="D2337" s="3">
        <v>0.02</v>
      </c>
      <c r="E2337" s="3">
        <v>0.0</v>
      </c>
    </row>
    <row r="2338" ht="12.75" customHeight="1">
      <c r="A2338" s="3">
        <v>145.0</v>
      </c>
      <c r="B2338" s="3">
        <v>93.0</v>
      </c>
      <c r="C2338" s="3">
        <v>70000.0</v>
      </c>
      <c r="D2338" s="3">
        <v>0.11</v>
      </c>
      <c r="E2338" s="3">
        <v>0.07</v>
      </c>
    </row>
    <row r="2339" ht="12.75" customHeight="1">
      <c r="A2339" s="3">
        <v>145.0</v>
      </c>
      <c r="B2339" s="3">
        <v>94.0</v>
      </c>
      <c r="C2339" s="3">
        <v>210000.0</v>
      </c>
      <c r="D2339" s="3">
        <v>0.17</v>
      </c>
      <c r="E2339" s="3">
        <v>0.21</v>
      </c>
    </row>
    <row r="2340" ht="12.75" customHeight="1">
      <c r="A2340" s="3">
        <v>145.0</v>
      </c>
      <c r="B2340" s="3">
        <v>95.0</v>
      </c>
      <c r="C2340" s="3">
        <v>440000.0</v>
      </c>
      <c r="D2340" s="3">
        <v>0.28</v>
      </c>
      <c r="E2340" s="3">
        <v>0.44</v>
      </c>
    </row>
    <row r="2341" ht="12.75" customHeight="1">
      <c r="A2341" s="3">
        <v>145.0</v>
      </c>
      <c r="B2341" s="3">
        <v>96.0</v>
      </c>
      <c r="C2341" s="3">
        <v>800000.0</v>
      </c>
      <c r="D2341" s="3">
        <v>0.41</v>
      </c>
      <c r="E2341" s="3">
        <v>0.8</v>
      </c>
    </row>
    <row r="2342" ht="12.75" customHeight="1">
      <c r="A2342" s="3">
        <v>145.0</v>
      </c>
      <c r="B2342" s="3">
        <v>97.0</v>
      </c>
      <c r="C2342" s="3">
        <v>1280000.0</v>
      </c>
      <c r="D2342" s="3">
        <v>0.55</v>
      </c>
      <c r="E2342" s="3">
        <v>1.28</v>
      </c>
    </row>
    <row r="2343" ht="12.75" customHeight="1">
      <c r="A2343" s="3">
        <v>145.0</v>
      </c>
      <c r="B2343" s="3">
        <v>98.0</v>
      </c>
      <c r="C2343" s="3">
        <v>1910000.0</v>
      </c>
      <c r="D2343" s="3">
        <v>0.69</v>
      </c>
      <c r="E2343" s="3">
        <v>1.91</v>
      </c>
    </row>
    <row r="2344" ht="12.75" customHeight="1">
      <c r="A2344" s="3">
        <v>145.0</v>
      </c>
      <c r="B2344" s="3">
        <v>99.0</v>
      </c>
      <c r="C2344" s="3">
        <v>2700000.0</v>
      </c>
      <c r="D2344" s="3">
        <v>0.88</v>
      </c>
      <c r="E2344" s="3">
        <v>2.7</v>
      </c>
    </row>
    <row r="2345" ht="12.75" customHeight="1">
      <c r="A2345" s="3">
        <v>145.0</v>
      </c>
      <c r="B2345" s="3">
        <v>100.0</v>
      </c>
      <c r="C2345" s="3">
        <v>3670000.0</v>
      </c>
      <c r="D2345" s="3">
        <v>1.06</v>
      </c>
      <c r="E2345" s="3">
        <v>3.67</v>
      </c>
    </row>
    <row r="2346" ht="12.75" customHeight="1">
      <c r="A2346" s="3">
        <v>147.0</v>
      </c>
      <c r="B2346" s="3">
        <v>81.32</v>
      </c>
      <c r="C2346" s="3">
        <v>0.0</v>
      </c>
      <c r="D2346" s="3">
        <v>0.0</v>
      </c>
      <c r="E2346" s="3">
        <v>0.0</v>
      </c>
    </row>
    <row r="2347" ht="12.75" customHeight="1">
      <c r="A2347" s="3">
        <v>147.0</v>
      </c>
      <c r="B2347" s="3">
        <v>82.0</v>
      </c>
      <c r="C2347" s="3">
        <v>21.0</v>
      </c>
      <c r="D2347" s="3">
        <v>1.0E-4</v>
      </c>
      <c r="E2347" s="3">
        <v>2.1E-5</v>
      </c>
    </row>
    <row r="2348" ht="12.75" customHeight="1">
      <c r="A2348" s="3">
        <v>147.0</v>
      </c>
      <c r="B2348" s="3">
        <v>83.0</v>
      </c>
      <c r="C2348" s="3">
        <v>1450.0</v>
      </c>
      <c r="D2348" s="3">
        <v>0.005</v>
      </c>
      <c r="E2348" s="3">
        <v>0.00145</v>
      </c>
    </row>
    <row r="2349" ht="12.75" customHeight="1">
      <c r="A2349" s="3">
        <v>147.0</v>
      </c>
      <c r="B2349" s="3">
        <v>84.0</v>
      </c>
      <c r="C2349" s="3">
        <v>12000.0</v>
      </c>
      <c r="D2349" s="3">
        <v>0.02</v>
      </c>
      <c r="E2349" s="3">
        <v>0.012</v>
      </c>
    </row>
    <row r="2350" ht="12.75" customHeight="1">
      <c r="A2350" s="3">
        <v>147.0</v>
      </c>
      <c r="B2350" s="3">
        <v>85.0</v>
      </c>
      <c r="C2350" s="3">
        <v>40000.0</v>
      </c>
      <c r="D2350" s="3">
        <v>0.04</v>
      </c>
      <c r="E2350" s="3">
        <v>0.04</v>
      </c>
    </row>
    <row r="2351" ht="12.75" customHeight="1">
      <c r="A2351" s="3">
        <v>147.0</v>
      </c>
      <c r="B2351" s="3">
        <v>86.0</v>
      </c>
      <c r="C2351" s="3">
        <v>92000.0</v>
      </c>
      <c r="D2351" s="3">
        <v>0.07</v>
      </c>
      <c r="E2351" s="3">
        <v>0.092</v>
      </c>
    </row>
    <row r="2352" ht="12.75" customHeight="1">
      <c r="A2352" s="3">
        <v>147.0</v>
      </c>
      <c r="B2352" s="3">
        <v>87.0</v>
      </c>
      <c r="C2352" s="3">
        <v>174000.0</v>
      </c>
      <c r="D2352" s="3">
        <v>0.1</v>
      </c>
      <c r="E2352" s="3">
        <v>0.174</v>
      </c>
    </row>
    <row r="2353" ht="12.75" customHeight="1">
      <c r="A2353" s="3">
        <v>147.0</v>
      </c>
      <c r="B2353" s="3">
        <v>88.0</v>
      </c>
      <c r="C2353" s="3">
        <v>296000.0</v>
      </c>
      <c r="D2353" s="3">
        <v>0.15</v>
      </c>
      <c r="E2353" s="3">
        <v>0.296</v>
      </c>
    </row>
    <row r="2354" ht="12.75" customHeight="1">
      <c r="A2354" s="3">
        <v>147.0</v>
      </c>
      <c r="B2354" s="3">
        <v>89.0</v>
      </c>
      <c r="C2354" s="3">
        <v>471000.0</v>
      </c>
      <c r="D2354" s="3">
        <v>0.2</v>
      </c>
      <c r="E2354" s="3">
        <v>0.471</v>
      </c>
    </row>
    <row r="2355" ht="12.75" customHeight="1">
      <c r="A2355" s="3">
        <v>147.0</v>
      </c>
      <c r="B2355" s="3">
        <v>90.0</v>
      </c>
      <c r="C2355" s="3">
        <v>701000.0</v>
      </c>
      <c r="D2355" s="3">
        <v>0.25</v>
      </c>
      <c r="E2355" s="3">
        <v>0.701</v>
      </c>
    </row>
    <row r="2356" ht="12.75" customHeight="1">
      <c r="A2356" s="3">
        <v>147.0</v>
      </c>
      <c r="B2356" s="3">
        <v>91.0</v>
      </c>
      <c r="C2356" s="3">
        <v>978000.0</v>
      </c>
      <c r="D2356" s="3">
        <v>0.3</v>
      </c>
      <c r="E2356" s="3">
        <v>0.978</v>
      </c>
    </row>
    <row r="2357" ht="12.75" customHeight="1">
      <c r="A2357" s="3">
        <v>147.0</v>
      </c>
      <c r="B2357" s="3">
        <v>92.0</v>
      </c>
      <c r="C2357" s="3">
        <v>1296000.0</v>
      </c>
      <c r="D2357" s="3">
        <v>0.34</v>
      </c>
      <c r="E2357" s="3">
        <v>1.296</v>
      </c>
    </row>
    <row r="2358" ht="12.75" customHeight="1">
      <c r="A2358" s="3">
        <v>147.0</v>
      </c>
      <c r="B2358" s="3">
        <v>93.0</v>
      </c>
      <c r="C2358" s="3">
        <v>1640000.0</v>
      </c>
      <c r="D2358" s="3">
        <v>0.36</v>
      </c>
      <c r="E2358" s="3">
        <v>1.64</v>
      </c>
    </row>
    <row r="2359" ht="12.75" customHeight="1">
      <c r="A2359" s="3">
        <v>147.0</v>
      </c>
      <c r="B2359" s="3">
        <v>94.0</v>
      </c>
      <c r="C2359" s="3">
        <v>2010000.0</v>
      </c>
      <c r="D2359" s="3">
        <v>0.37</v>
      </c>
      <c r="E2359" s="3">
        <v>2.01</v>
      </c>
    </row>
    <row r="2360" ht="12.75" customHeight="1">
      <c r="A2360" s="3">
        <v>147.0</v>
      </c>
      <c r="B2360" s="3">
        <v>94.7</v>
      </c>
      <c r="C2360" s="3">
        <v>2270000.0</v>
      </c>
      <c r="D2360" s="3">
        <v>0.38</v>
      </c>
      <c r="E2360" s="3">
        <v>2.27</v>
      </c>
    </row>
    <row r="2361" ht="12.75" customHeight="1">
      <c r="A2361" s="3">
        <v>147.0</v>
      </c>
      <c r="B2361" s="3">
        <v>95.0</v>
      </c>
      <c r="C2361" s="3">
        <v>2390000.0</v>
      </c>
      <c r="D2361" s="3">
        <v>0.38</v>
      </c>
      <c r="E2361" s="3">
        <v>2.39</v>
      </c>
    </row>
    <row r="2362" ht="12.75" customHeight="1">
      <c r="A2362" s="3">
        <v>147.0</v>
      </c>
      <c r="B2362" s="3">
        <v>96.0</v>
      </c>
      <c r="C2362" s="3">
        <v>2770000.0</v>
      </c>
      <c r="D2362" s="3">
        <v>0.38</v>
      </c>
      <c r="E2362" s="3">
        <v>2.77</v>
      </c>
    </row>
    <row r="2363" ht="12.75" customHeight="1">
      <c r="A2363" s="3">
        <v>147.0</v>
      </c>
      <c r="B2363" s="3">
        <v>97.0</v>
      </c>
      <c r="C2363" s="3">
        <v>3150000.0</v>
      </c>
      <c r="D2363" s="3">
        <v>0.38</v>
      </c>
      <c r="E2363" s="3">
        <v>3.15</v>
      </c>
    </row>
    <row r="2364" ht="12.75" customHeight="1">
      <c r="A2364" s="3">
        <v>147.0</v>
      </c>
      <c r="B2364" s="3">
        <v>98.0</v>
      </c>
      <c r="C2364" s="3">
        <v>3534000.0</v>
      </c>
      <c r="D2364" s="3">
        <v>0.38</v>
      </c>
      <c r="E2364" s="3">
        <v>3.534</v>
      </c>
    </row>
    <row r="2365" ht="12.75" customHeight="1">
      <c r="A2365" s="3">
        <v>147.0</v>
      </c>
      <c r="B2365" s="3">
        <v>99.0</v>
      </c>
      <c r="C2365" s="3">
        <v>3917000.0</v>
      </c>
      <c r="D2365" s="3">
        <v>0.38</v>
      </c>
      <c r="E2365" s="3">
        <v>3.917</v>
      </c>
    </row>
    <row r="2366" ht="12.75" customHeight="1">
      <c r="A2366" s="3">
        <v>147.0</v>
      </c>
      <c r="B2366" s="3">
        <v>100.0</v>
      </c>
      <c r="C2366" s="3">
        <v>4300000.0</v>
      </c>
      <c r="D2366" s="3">
        <v>0.38</v>
      </c>
      <c r="E2366" s="3">
        <v>4.3</v>
      </c>
    </row>
    <row r="2367" ht="12.75" customHeight="1">
      <c r="A2367" s="3">
        <v>148.0</v>
      </c>
      <c r="B2367" s="3">
        <v>986.88</v>
      </c>
      <c r="C2367" s="3">
        <v>0.0</v>
      </c>
      <c r="D2367" s="3">
        <v>0.0</v>
      </c>
      <c r="E2367" s="3">
        <v>0.0</v>
      </c>
    </row>
    <row r="2368" ht="12.75" customHeight="1">
      <c r="A2368" s="3">
        <v>148.0</v>
      </c>
      <c r="B2368" s="3">
        <v>987.0</v>
      </c>
      <c r="C2368" s="3">
        <v>3.0</v>
      </c>
      <c r="D2368" s="3">
        <v>8.0E-5</v>
      </c>
      <c r="E2368" s="3">
        <v>3.0E-6</v>
      </c>
    </row>
    <row r="2369" ht="12.75" customHeight="1">
      <c r="A2369" s="3">
        <v>148.0</v>
      </c>
      <c r="B2369" s="3">
        <v>988.0</v>
      </c>
      <c r="C2369" s="3">
        <v>5000.0</v>
      </c>
      <c r="D2369" s="3">
        <v>0.012</v>
      </c>
      <c r="E2369" s="3">
        <v>0.005</v>
      </c>
    </row>
    <row r="2370" ht="12.75" customHeight="1">
      <c r="A2370" s="3">
        <v>148.0</v>
      </c>
      <c r="B2370" s="3">
        <v>989.0</v>
      </c>
      <c r="C2370" s="3">
        <v>27000.0</v>
      </c>
      <c r="D2370" s="3">
        <v>0.03</v>
      </c>
      <c r="E2370" s="3">
        <v>0.027</v>
      </c>
    </row>
    <row r="2371" ht="12.75" customHeight="1">
      <c r="A2371" s="3">
        <v>148.0</v>
      </c>
      <c r="B2371" s="3">
        <v>990.0</v>
      </c>
      <c r="C2371" s="3">
        <v>76000.0</v>
      </c>
      <c r="D2371" s="3">
        <v>0.07</v>
      </c>
      <c r="E2371" s="3">
        <v>0.076</v>
      </c>
    </row>
    <row r="2372" ht="12.75" customHeight="1">
      <c r="A2372" s="3">
        <v>148.0</v>
      </c>
      <c r="B2372" s="3">
        <v>991.0</v>
      </c>
      <c r="C2372" s="3">
        <v>167000.0</v>
      </c>
      <c r="D2372" s="3">
        <v>0.11</v>
      </c>
      <c r="E2372" s="3">
        <v>0.167</v>
      </c>
    </row>
    <row r="2373" ht="12.75" customHeight="1">
      <c r="A2373" s="3">
        <v>148.0</v>
      </c>
      <c r="B2373" s="3">
        <v>992.0</v>
      </c>
      <c r="C2373" s="3">
        <v>287000.0</v>
      </c>
      <c r="D2373" s="3">
        <v>0.13</v>
      </c>
      <c r="E2373" s="3">
        <v>0.287</v>
      </c>
    </row>
    <row r="2374" ht="12.75" customHeight="1">
      <c r="A2374" s="3">
        <v>148.0</v>
      </c>
      <c r="B2374" s="3">
        <v>992.31</v>
      </c>
      <c r="C2374" s="3">
        <v>327000.0</v>
      </c>
      <c r="D2374" s="3">
        <v>0.13</v>
      </c>
      <c r="E2374" s="3">
        <v>0.327</v>
      </c>
    </row>
    <row r="2375" ht="12.75" customHeight="1">
      <c r="A2375" s="3">
        <v>148.0</v>
      </c>
      <c r="B2375" s="3">
        <v>993.0</v>
      </c>
      <c r="C2375" s="3">
        <v>450000.0</v>
      </c>
      <c r="D2375" s="3">
        <v>0.19</v>
      </c>
      <c r="E2375" s="3">
        <v>0.45</v>
      </c>
    </row>
    <row r="2376" ht="12.75" customHeight="1">
      <c r="A2376" s="3">
        <v>148.0</v>
      </c>
      <c r="B2376" s="3">
        <v>994.0</v>
      </c>
      <c r="C2376" s="3">
        <v>715000.0</v>
      </c>
      <c r="D2376" s="3">
        <v>0.28</v>
      </c>
      <c r="E2376" s="3">
        <v>0.715</v>
      </c>
    </row>
    <row r="2377" ht="12.75" customHeight="1">
      <c r="A2377" s="3">
        <v>148.0</v>
      </c>
      <c r="B2377" s="3">
        <v>995.0</v>
      </c>
      <c r="C2377" s="3">
        <v>1064000.0</v>
      </c>
      <c r="D2377" s="3">
        <v>0.36</v>
      </c>
      <c r="E2377" s="3">
        <v>1.064</v>
      </c>
    </row>
    <row r="2378" ht="12.75" customHeight="1">
      <c r="A2378" s="3">
        <v>148.0</v>
      </c>
      <c r="B2378" s="3">
        <v>996.0</v>
      </c>
      <c r="C2378" s="3">
        <v>1300000.0</v>
      </c>
      <c r="D2378" s="3">
        <v>0.49</v>
      </c>
      <c r="E2378" s="3">
        <v>1.3</v>
      </c>
    </row>
    <row r="2379" ht="12.75" customHeight="1">
      <c r="A2379" s="3">
        <v>148.0</v>
      </c>
      <c r="B2379" s="3">
        <v>997.0</v>
      </c>
      <c r="C2379" s="3">
        <v>1570000.0</v>
      </c>
      <c r="D2379" s="3">
        <v>0.62</v>
      </c>
      <c r="E2379" s="3">
        <v>1.57</v>
      </c>
    </row>
    <row r="2380" ht="12.75" customHeight="1">
      <c r="A2380" s="3">
        <v>148.0</v>
      </c>
      <c r="B2380" s="3">
        <v>998.0</v>
      </c>
      <c r="C2380" s="3">
        <v>1863000.0</v>
      </c>
      <c r="D2380" s="3">
        <v>0.78</v>
      </c>
      <c r="E2380" s="3">
        <v>1.863</v>
      </c>
    </row>
    <row r="2381" ht="12.75" customHeight="1">
      <c r="A2381" s="3">
        <v>148.0</v>
      </c>
      <c r="B2381" s="3">
        <v>998.09</v>
      </c>
      <c r="C2381" s="3">
        <v>1900000.0</v>
      </c>
      <c r="D2381" s="3">
        <v>0.79</v>
      </c>
      <c r="E2381" s="3">
        <v>1.9</v>
      </c>
    </row>
    <row r="2382" ht="12.75" customHeight="1">
      <c r="A2382" s="3">
        <v>148.0</v>
      </c>
      <c r="B2382" s="3">
        <v>999.0</v>
      </c>
      <c r="C2382" s="3">
        <v>2265000.0</v>
      </c>
      <c r="D2382" s="3">
        <v>0.93</v>
      </c>
      <c r="E2382" s="3">
        <v>2.265</v>
      </c>
    </row>
    <row r="2383" ht="12.75" customHeight="1">
      <c r="A2383" s="3">
        <v>148.0</v>
      </c>
      <c r="B2383" s="3">
        <v>1000.0</v>
      </c>
      <c r="C2383" s="3">
        <v>2690000.0</v>
      </c>
      <c r="D2383" s="3">
        <v>1.11</v>
      </c>
      <c r="E2383" s="3">
        <v>2.69</v>
      </c>
    </row>
    <row r="2384" ht="12.75" customHeight="1">
      <c r="A2384" s="3">
        <v>155.0</v>
      </c>
      <c r="B2384" s="3">
        <v>328.47</v>
      </c>
      <c r="C2384" s="3">
        <v>0.0</v>
      </c>
      <c r="D2384" s="3">
        <v>0.0</v>
      </c>
      <c r="E2384" s="3">
        <v>0.0</v>
      </c>
    </row>
    <row r="2385" ht="12.75" customHeight="1">
      <c r="A2385" s="3">
        <v>155.0</v>
      </c>
      <c r="B2385" s="3">
        <v>329.0</v>
      </c>
      <c r="C2385" s="3">
        <v>20.0</v>
      </c>
      <c r="D2385" s="3">
        <v>2.0E-4</v>
      </c>
      <c r="E2385" s="3">
        <v>2.0E-5</v>
      </c>
    </row>
    <row r="2386" ht="12.75" customHeight="1">
      <c r="A2386" s="3">
        <v>155.0</v>
      </c>
      <c r="B2386" s="3">
        <v>330.0</v>
      </c>
      <c r="C2386" s="3">
        <v>6000.0</v>
      </c>
      <c r="D2386" s="3">
        <v>0.014</v>
      </c>
      <c r="E2386" s="3">
        <v>0.006</v>
      </c>
    </row>
    <row r="2387" ht="12.75" customHeight="1">
      <c r="A2387" s="3">
        <v>155.0</v>
      </c>
      <c r="B2387" s="3">
        <v>331.0</v>
      </c>
      <c r="C2387" s="3">
        <v>34000.0</v>
      </c>
      <c r="D2387" s="3">
        <v>0.04</v>
      </c>
      <c r="E2387" s="3">
        <v>0.034</v>
      </c>
    </row>
    <row r="2388" ht="12.75" customHeight="1">
      <c r="A2388" s="3">
        <v>155.0</v>
      </c>
      <c r="B2388" s="3">
        <v>332.0</v>
      </c>
      <c r="C2388" s="3">
        <v>106000.0</v>
      </c>
      <c r="D2388" s="3">
        <v>0.12</v>
      </c>
      <c r="E2388" s="3">
        <v>0.106</v>
      </c>
    </row>
    <row r="2389" ht="12.75" customHeight="1">
      <c r="A2389" s="3">
        <v>155.0</v>
      </c>
      <c r="B2389" s="3">
        <v>333.0</v>
      </c>
      <c r="C2389" s="3">
        <v>287000.0</v>
      </c>
      <c r="D2389" s="3">
        <v>0.24</v>
      </c>
      <c r="E2389" s="3">
        <v>0.287</v>
      </c>
    </row>
    <row r="2390" ht="12.75" customHeight="1">
      <c r="A2390" s="3">
        <v>155.0</v>
      </c>
      <c r="B2390" s="3">
        <v>334.0</v>
      </c>
      <c r="C2390" s="3">
        <v>583000.0</v>
      </c>
      <c r="D2390" s="3">
        <v>0.35</v>
      </c>
      <c r="E2390" s="3">
        <v>0.583</v>
      </c>
    </row>
    <row r="2391" ht="12.75" customHeight="1">
      <c r="A2391" s="3">
        <v>155.0</v>
      </c>
      <c r="B2391" s="3">
        <v>335.0</v>
      </c>
      <c r="C2391" s="3">
        <v>985000.0</v>
      </c>
      <c r="D2391" s="3">
        <v>0.45</v>
      </c>
      <c r="E2391" s="3">
        <v>0.985</v>
      </c>
    </row>
    <row r="2392" ht="12.75" customHeight="1">
      <c r="A2392" s="3">
        <v>155.0</v>
      </c>
      <c r="B2392" s="3">
        <v>336.0</v>
      </c>
      <c r="C2392" s="3">
        <v>1476000.0</v>
      </c>
      <c r="D2392" s="3">
        <v>0.54</v>
      </c>
      <c r="E2392" s="3">
        <v>1.476</v>
      </c>
    </row>
    <row r="2393" ht="12.75" customHeight="1">
      <c r="A2393" s="3">
        <v>155.0</v>
      </c>
      <c r="B2393" s="3">
        <v>337.0</v>
      </c>
      <c r="C2393" s="3">
        <v>2063000.0</v>
      </c>
      <c r="D2393" s="3">
        <v>0.64</v>
      </c>
      <c r="E2393" s="3">
        <v>2.063</v>
      </c>
    </row>
    <row r="2394" ht="12.75" customHeight="1">
      <c r="A2394" s="3">
        <v>155.0</v>
      </c>
      <c r="B2394" s="3">
        <v>338.0</v>
      </c>
      <c r="C2394" s="3">
        <v>2753000.0</v>
      </c>
      <c r="D2394" s="3">
        <v>0.75</v>
      </c>
      <c r="E2394" s="3">
        <v>2.753</v>
      </c>
    </row>
    <row r="2395" ht="12.75" customHeight="1">
      <c r="A2395" s="3">
        <v>155.0</v>
      </c>
      <c r="B2395" s="3">
        <v>339.0</v>
      </c>
      <c r="C2395" s="3">
        <v>3570000.0</v>
      </c>
      <c r="D2395" s="3">
        <v>0.89</v>
      </c>
      <c r="E2395" s="3">
        <v>3.57</v>
      </c>
    </row>
    <row r="2396" ht="12.75" customHeight="1">
      <c r="A2396" s="3">
        <v>155.0</v>
      </c>
      <c r="B2396" s="3">
        <v>340.0</v>
      </c>
      <c r="C2396" s="3">
        <v>4514000.0</v>
      </c>
      <c r="D2396" s="3">
        <v>1.0</v>
      </c>
      <c r="E2396" s="3">
        <v>4.514</v>
      </c>
    </row>
    <row r="2397" ht="12.75" customHeight="1">
      <c r="A2397" s="3">
        <v>155.0</v>
      </c>
      <c r="B2397" s="3">
        <v>341.0</v>
      </c>
      <c r="C2397" s="3">
        <v>5567000.0</v>
      </c>
      <c r="D2397" s="3">
        <v>1.1</v>
      </c>
      <c r="E2397" s="3">
        <v>5.567</v>
      </c>
    </row>
    <row r="2398" ht="12.75" customHeight="1">
      <c r="A2398" s="3">
        <v>155.0</v>
      </c>
      <c r="B2398" s="3">
        <v>342.0</v>
      </c>
      <c r="C2398" s="3">
        <v>6700000.0</v>
      </c>
      <c r="D2398" s="3">
        <v>1.17</v>
      </c>
      <c r="E2398" s="3">
        <v>6.7</v>
      </c>
    </row>
    <row r="2399" ht="12.75" customHeight="1">
      <c r="A2399" s="3">
        <v>155.0</v>
      </c>
      <c r="B2399" s="3">
        <v>343.0</v>
      </c>
      <c r="C2399" s="3">
        <v>7897000.0</v>
      </c>
      <c r="D2399" s="3">
        <v>1.22</v>
      </c>
      <c r="E2399" s="3">
        <v>7.897</v>
      </c>
    </row>
    <row r="2400" ht="12.75" customHeight="1">
      <c r="A2400" s="3">
        <v>155.0</v>
      </c>
      <c r="B2400" s="3">
        <v>344.0</v>
      </c>
      <c r="C2400" s="3">
        <v>9134000.0</v>
      </c>
      <c r="D2400" s="3">
        <v>1.25</v>
      </c>
      <c r="E2400" s="3">
        <v>9.134</v>
      </c>
    </row>
    <row r="2401" ht="12.75" customHeight="1">
      <c r="A2401" s="3">
        <v>155.0</v>
      </c>
      <c r="B2401" s="3">
        <v>345.0</v>
      </c>
      <c r="C2401" s="3">
        <v>1.04E7</v>
      </c>
      <c r="D2401" s="3">
        <v>1.28</v>
      </c>
      <c r="E2401" s="3">
        <v>10.4</v>
      </c>
    </row>
    <row r="2402" ht="12.75" customHeight="1">
      <c r="A2402" s="3">
        <v>155.0</v>
      </c>
      <c r="B2402" s="3">
        <v>345.19</v>
      </c>
      <c r="C2402" s="3">
        <v>1.0645E7</v>
      </c>
      <c r="D2402" s="3">
        <v>1.29</v>
      </c>
      <c r="E2402" s="3">
        <v>10.645</v>
      </c>
    </row>
    <row r="2403" ht="12.75" customHeight="1">
      <c r="A2403" s="3">
        <v>155.0</v>
      </c>
      <c r="B2403" s="3">
        <v>346.0</v>
      </c>
      <c r="C2403" s="3">
        <v>1.189E7</v>
      </c>
      <c r="D2403" s="3">
        <v>1.34</v>
      </c>
      <c r="E2403" s="3">
        <v>11.89</v>
      </c>
    </row>
    <row r="2404" ht="12.75" customHeight="1">
      <c r="A2404" s="3">
        <v>155.0</v>
      </c>
      <c r="B2404" s="3">
        <v>347.0</v>
      </c>
      <c r="C2404" s="3">
        <v>1.349E7</v>
      </c>
      <c r="D2404" s="3">
        <v>1.41</v>
      </c>
      <c r="E2404" s="3">
        <v>13.49</v>
      </c>
    </row>
    <row r="2405" ht="12.75" customHeight="1">
      <c r="A2405" s="3">
        <v>155.0</v>
      </c>
      <c r="B2405" s="3">
        <v>348.0</v>
      </c>
      <c r="C2405" s="3">
        <v>1.517E7</v>
      </c>
      <c r="D2405" s="3">
        <v>1.49</v>
      </c>
      <c r="E2405" s="3">
        <v>15.17</v>
      </c>
    </row>
    <row r="2406" ht="12.75" customHeight="1">
      <c r="A2406" s="3">
        <v>155.0</v>
      </c>
      <c r="B2406" s="3">
        <v>349.0</v>
      </c>
      <c r="C2406" s="3">
        <v>1.7E7</v>
      </c>
      <c r="D2406" s="3">
        <v>1.58</v>
      </c>
      <c r="E2406" s="3">
        <v>17.0</v>
      </c>
    </row>
    <row r="2407" ht="12.75" customHeight="1">
      <c r="A2407" s="3">
        <v>155.0</v>
      </c>
      <c r="B2407" s="3">
        <v>350.0</v>
      </c>
      <c r="C2407" s="3">
        <v>1.9E7</v>
      </c>
      <c r="D2407" s="3">
        <v>1.71</v>
      </c>
      <c r="E2407" s="3">
        <v>19.0</v>
      </c>
    </row>
    <row r="2408" ht="12.75" customHeight="1">
      <c r="A2408" s="3">
        <v>155.0</v>
      </c>
      <c r="B2408" s="3">
        <v>351.0</v>
      </c>
      <c r="C2408" s="3">
        <v>2.078E7</v>
      </c>
      <c r="D2408" s="3">
        <v>1.77</v>
      </c>
      <c r="E2408" s="3">
        <v>20.78</v>
      </c>
    </row>
    <row r="2409" ht="12.75" customHeight="1">
      <c r="A2409" s="3">
        <v>155.0</v>
      </c>
      <c r="B2409" s="3">
        <v>352.0</v>
      </c>
      <c r="C2409" s="3">
        <v>2.353E7</v>
      </c>
      <c r="D2409" s="3">
        <v>3.27</v>
      </c>
      <c r="E2409" s="3">
        <v>23.53</v>
      </c>
    </row>
    <row r="2410" ht="12.75" customHeight="1">
      <c r="A2410" s="3">
        <v>156.0</v>
      </c>
      <c r="B2410" s="3">
        <v>103.0</v>
      </c>
      <c r="C2410" s="3">
        <v>110000.0</v>
      </c>
      <c r="D2410" s="3">
        <v>0.07</v>
      </c>
      <c r="E2410" s="3">
        <v>0.11</v>
      </c>
    </row>
    <row r="2411" ht="12.75" customHeight="1">
      <c r="A2411" s="3">
        <v>156.0</v>
      </c>
      <c r="B2411" s="3">
        <v>105.0</v>
      </c>
      <c r="C2411" s="3">
        <v>510000.0</v>
      </c>
      <c r="D2411" s="3">
        <v>0.32</v>
      </c>
      <c r="E2411" s="3">
        <v>0.51</v>
      </c>
    </row>
    <row r="2412" ht="12.75" customHeight="1">
      <c r="A2412" s="3">
        <v>156.0</v>
      </c>
      <c r="B2412" s="3">
        <v>108.0</v>
      </c>
      <c r="C2412" s="3">
        <v>2270000.0</v>
      </c>
      <c r="D2412" s="3">
        <v>0.84</v>
      </c>
      <c r="E2412" s="3">
        <v>2.27</v>
      </c>
    </row>
    <row r="2413" ht="12.75" customHeight="1">
      <c r="A2413" s="3">
        <v>156.0</v>
      </c>
      <c r="B2413" s="3">
        <v>110.0</v>
      </c>
      <c r="C2413" s="3">
        <v>4340000.0</v>
      </c>
      <c r="D2413" s="3">
        <v>1.22</v>
      </c>
      <c r="E2413" s="3">
        <v>4.34</v>
      </c>
    </row>
    <row r="2414" ht="12.75" customHeight="1">
      <c r="A2414" s="3">
        <v>156.0</v>
      </c>
      <c r="B2414" s="3">
        <v>112.0</v>
      </c>
      <c r="C2414" s="3">
        <v>7010000.0</v>
      </c>
      <c r="D2414" s="3">
        <v>1.43</v>
      </c>
      <c r="E2414" s="3">
        <v>7.01</v>
      </c>
    </row>
    <row r="2415" ht="12.75" customHeight="1">
      <c r="A2415" s="3">
        <v>156.0</v>
      </c>
      <c r="B2415" s="3">
        <v>113.0</v>
      </c>
      <c r="C2415" s="3">
        <v>8600000.0</v>
      </c>
      <c r="D2415" s="3">
        <v>1.76</v>
      </c>
      <c r="E2415" s="3">
        <v>8.6</v>
      </c>
    </row>
    <row r="2416" ht="12.75" customHeight="1">
      <c r="A2416" s="3">
        <v>156.0</v>
      </c>
      <c r="B2416" s="3">
        <v>115.0</v>
      </c>
      <c r="C2416" s="3">
        <v>1.499E7</v>
      </c>
      <c r="D2416" s="3">
        <v>4.62</v>
      </c>
      <c r="E2416" s="3">
        <v>14.99</v>
      </c>
    </row>
    <row r="2417" ht="12.75" customHeight="1">
      <c r="A2417" s="3">
        <v>158.0</v>
      </c>
      <c r="B2417" s="3">
        <v>28.0</v>
      </c>
      <c r="C2417" s="3">
        <v>0.0</v>
      </c>
      <c r="D2417" s="3">
        <v>0.0</v>
      </c>
      <c r="E2417" s="3">
        <v>0.0</v>
      </c>
    </row>
    <row r="2418" ht="12.75" customHeight="1">
      <c r="A2418" s="3">
        <v>158.0</v>
      </c>
      <c r="B2418" s="3">
        <v>29.0</v>
      </c>
      <c r="C2418" s="3">
        <v>11000.0</v>
      </c>
      <c r="D2418" s="3">
        <v>0.02</v>
      </c>
      <c r="E2418" s="3">
        <v>0.011</v>
      </c>
    </row>
    <row r="2419" ht="12.75" customHeight="1">
      <c r="A2419" s="3">
        <v>158.0</v>
      </c>
      <c r="B2419" s="3">
        <v>30.0</v>
      </c>
      <c r="C2419" s="3">
        <v>119000.0</v>
      </c>
      <c r="D2419" s="3">
        <v>0.19</v>
      </c>
      <c r="E2419" s="3">
        <v>0.119</v>
      </c>
    </row>
    <row r="2420" ht="12.75" customHeight="1">
      <c r="A2420" s="3">
        <v>158.0</v>
      </c>
      <c r="B2420" s="3">
        <v>31.0</v>
      </c>
      <c r="C2420" s="3">
        <v>498000.0</v>
      </c>
      <c r="D2420" s="3">
        <v>0.57</v>
      </c>
      <c r="E2420" s="3">
        <v>0.498</v>
      </c>
    </row>
    <row r="2421" ht="12.75" customHeight="1">
      <c r="A2421" s="3">
        <v>158.0</v>
      </c>
      <c r="B2421" s="3">
        <v>32.0</v>
      </c>
      <c r="C2421" s="3">
        <v>1252000.0</v>
      </c>
      <c r="D2421" s="3">
        <v>0.94</v>
      </c>
      <c r="E2421" s="3">
        <v>1.252</v>
      </c>
    </row>
    <row r="2422" ht="12.75" customHeight="1">
      <c r="A2422" s="3">
        <v>158.0</v>
      </c>
      <c r="B2422" s="3">
        <v>33.0</v>
      </c>
      <c r="C2422" s="3">
        <v>2396000.0</v>
      </c>
      <c r="D2422" s="3">
        <v>1.35</v>
      </c>
      <c r="E2422" s="3">
        <v>2.396</v>
      </c>
    </row>
    <row r="2423" ht="12.75" customHeight="1">
      <c r="A2423" s="3">
        <v>158.0</v>
      </c>
      <c r="B2423" s="3">
        <v>34.0</v>
      </c>
      <c r="C2423" s="3">
        <v>4045000.0</v>
      </c>
      <c r="D2423" s="3">
        <v>1.95</v>
      </c>
      <c r="E2423" s="3">
        <v>4.045</v>
      </c>
    </row>
    <row r="2424" ht="12.75" customHeight="1">
      <c r="A2424" s="3">
        <v>158.0</v>
      </c>
      <c r="B2424" s="3">
        <v>35.0</v>
      </c>
      <c r="C2424" s="3">
        <v>5935000.0</v>
      </c>
      <c r="D2424" s="3">
        <v>2.62</v>
      </c>
      <c r="E2424" s="3">
        <v>5.935</v>
      </c>
    </row>
    <row r="2425" ht="12.75" customHeight="1">
      <c r="A2425" s="3">
        <v>158.0</v>
      </c>
      <c r="B2425" s="3">
        <v>36.0</v>
      </c>
      <c r="C2425" s="3">
        <v>8928000.0</v>
      </c>
      <c r="D2425" s="3">
        <v>3.37</v>
      </c>
      <c r="E2425" s="3">
        <v>8.928</v>
      </c>
    </row>
    <row r="2426" ht="12.75" customHeight="1">
      <c r="A2426" s="3">
        <v>158.0</v>
      </c>
      <c r="B2426" s="3">
        <v>36.89</v>
      </c>
      <c r="C2426" s="3">
        <v>1.2E7</v>
      </c>
      <c r="D2426" s="3">
        <v>3.9</v>
      </c>
      <c r="E2426" s="3">
        <v>12.0</v>
      </c>
    </row>
    <row r="2427" ht="12.75" customHeight="1">
      <c r="A2427" s="3">
        <v>158.0</v>
      </c>
      <c r="B2427" s="3">
        <v>37.0</v>
      </c>
      <c r="C2427" s="3">
        <v>1.2595E7</v>
      </c>
      <c r="D2427" s="3">
        <v>3.97</v>
      </c>
      <c r="E2427" s="3">
        <v>12.595</v>
      </c>
    </row>
    <row r="2428" ht="12.75" customHeight="1">
      <c r="A2428" s="3">
        <v>158.0</v>
      </c>
      <c r="B2428" s="3">
        <v>38.0</v>
      </c>
      <c r="C2428" s="3">
        <v>1.6865E7</v>
      </c>
      <c r="D2428" s="3">
        <v>4.57</v>
      </c>
      <c r="E2428" s="3">
        <v>16.865</v>
      </c>
    </row>
    <row r="2429" ht="12.75" customHeight="1">
      <c r="A2429" s="3">
        <v>158.0</v>
      </c>
      <c r="B2429" s="3">
        <v>39.0</v>
      </c>
      <c r="C2429" s="3">
        <v>2.1786E7</v>
      </c>
      <c r="D2429" s="3">
        <v>5.27</v>
      </c>
      <c r="E2429" s="3">
        <v>21.786</v>
      </c>
    </row>
    <row r="2430" ht="12.75" customHeight="1">
      <c r="A2430" s="3">
        <v>159.0</v>
      </c>
      <c r="B2430" s="3">
        <v>27.28</v>
      </c>
      <c r="C2430" s="3">
        <v>0.0</v>
      </c>
      <c r="D2430" s="3">
        <v>0.0</v>
      </c>
      <c r="E2430" s="3">
        <v>0.0</v>
      </c>
    </row>
    <row r="2431" ht="12.75" customHeight="1">
      <c r="A2431" s="3">
        <v>159.0</v>
      </c>
      <c r="B2431" s="3">
        <v>28.0</v>
      </c>
      <c r="C2431" s="3">
        <v>197.0</v>
      </c>
      <c r="D2431" s="3">
        <v>9.0E-4</v>
      </c>
      <c r="E2431" s="3">
        <v>1.97E-4</v>
      </c>
    </row>
    <row r="2432" ht="12.75" customHeight="1">
      <c r="A2432" s="3">
        <v>159.0</v>
      </c>
      <c r="B2432" s="3">
        <v>29.0</v>
      </c>
      <c r="C2432" s="3">
        <v>7600.0</v>
      </c>
      <c r="D2432" s="3">
        <v>0.026</v>
      </c>
      <c r="E2432" s="3">
        <v>0.0076</v>
      </c>
    </row>
    <row r="2433" ht="12.75" customHeight="1">
      <c r="A2433" s="3">
        <v>159.0</v>
      </c>
      <c r="B2433" s="3">
        <v>30.0</v>
      </c>
      <c r="C2433" s="3">
        <v>88900.0</v>
      </c>
      <c r="D2433" s="3">
        <v>0.153</v>
      </c>
      <c r="E2433" s="3">
        <v>0.0889</v>
      </c>
    </row>
    <row r="2434" ht="12.75" customHeight="1">
      <c r="A2434" s="3">
        <v>159.0</v>
      </c>
      <c r="B2434" s="3">
        <v>31.0</v>
      </c>
      <c r="C2434" s="3">
        <v>378000.0</v>
      </c>
      <c r="D2434" s="3">
        <v>0.496</v>
      </c>
      <c r="E2434" s="3">
        <v>0.378</v>
      </c>
    </row>
    <row r="2435" ht="12.75" customHeight="1">
      <c r="A2435" s="3">
        <v>159.0</v>
      </c>
      <c r="B2435" s="3">
        <v>32.0</v>
      </c>
      <c r="C2435" s="3">
        <v>1140000.0</v>
      </c>
      <c r="D2435" s="3">
        <v>1.054</v>
      </c>
      <c r="E2435" s="3">
        <v>1.14</v>
      </c>
    </row>
    <row r="2436" ht="12.75" customHeight="1">
      <c r="A2436" s="3">
        <v>159.0</v>
      </c>
      <c r="B2436" s="3">
        <v>33.0</v>
      </c>
      <c r="C2436" s="3">
        <v>2565000.0</v>
      </c>
      <c r="D2436" s="3">
        <v>1.87</v>
      </c>
      <c r="E2436" s="3">
        <v>2.565</v>
      </c>
    </row>
    <row r="2437" ht="12.75" customHeight="1">
      <c r="A2437" s="3">
        <v>159.0</v>
      </c>
      <c r="B2437" s="3">
        <v>34.0</v>
      </c>
      <c r="C2437" s="3">
        <v>4903000.0</v>
      </c>
      <c r="D2437" s="3">
        <v>2.823</v>
      </c>
      <c r="E2437" s="3">
        <v>4.903</v>
      </c>
    </row>
    <row r="2438" ht="12.75" customHeight="1">
      <c r="A2438" s="3">
        <v>159.0</v>
      </c>
      <c r="B2438" s="3">
        <v>35.0</v>
      </c>
      <c r="C2438" s="3">
        <v>8264000.0</v>
      </c>
      <c r="D2438" s="3">
        <v>3.891</v>
      </c>
      <c r="E2438" s="3">
        <v>8.264</v>
      </c>
    </row>
    <row r="2439" ht="12.75" customHeight="1">
      <c r="A2439" s="3">
        <v>159.0</v>
      </c>
      <c r="B2439" s="3">
        <v>36.0</v>
      </c>
      <c r="C2439" s="3">
        <v>1.2664E7</v>
      </c>
      <c r="D2439" s="3">
        <v>4.926</v>
      </c>
      <c r="E2439" s="3">
        <v>12.664</v>
      </c>
    </row>
    <row r="2440" ht="12.75" customHeight="1">
      <c r="A2440" s="3">
        <v>159.0</v>
      </c>
      <c r="B2440" s="3">
        <v>37.0</v>
      </c>
      <c r="C2440" s="3">
        <v>1.8209E7</v>
      </c>
      <c r="D2440" s="3">
        <v>6.176</v>
      </c>
      <c r="E2440" s="3">
        <v>18.209</v>
      </c>
    </row>
    <row r="2441" ht="12.75" customHeight="1">
      <c r="A2441" s="3">
        <v>159.0</v>
      </c>
      <c r="B2441" s="3">
        <v>38.0</v>
      </c>
      <c r="C2441" s="3">
        <v>2.5E7</v>
      </c>
      <c r="D2441" s="3">
        <v>7.36</v>
      </c>
      <c r="E2441" s="3">
        <v>25.0</v>
      </c>
    </row>
    <row r="2442" ht="12.75" customHeight="1">
      <c r="A2442" s="3">
        <v>159.0</v>
      </c>
      <c r="B2442" s="3">
        <v>39.0</v>
      </c>
      <c r="C2442" s="3">
        <v>3.279E7</v>
      </c>
      <c r="D2442" s="3">
        <v>8.085</v>
      </c>
      <c r="E2442" s="3">
        <v>32.79</v>
      </c>
    </row>
    <row r="2443" ht="12.75" customHeight="1">
      <c r="A2443" s="3">
        <v>159.0</v>
      </c>
      <c r="B2443" s="3">
        <v>40.0</v>
      </c>
      <c r="C2443" s="3">
        <v>4.1003E7</v>
      </c>
      <c r="D2443" s="3">
        <v>8.323</v>
      </c>
      <c r="E2443" s="3">
        <v>41.003</v>
      </c>
    </row>
    <row r="2444" ht="12.75" customHeight="1">
      <c r="A2444" s="3">
        <v>159.0</v>
      </c>
      <c r="B2444" s="3">
        <v>40.17</v>
      </c>
      <c r="C2444" s="3">
        <v>4.2421E7</v>
      </c>
      <c r="D2444" s="3">
        <v>8.607</v>
      </c>
      <c r="E2444" s="3">
        <v>42.421</v>
      </c>
    </row>
    <row r="2445" ht="12.75" customHeight="1">
      <c r="A2445" s="3">
        <v>159.0</v>
      </c>
      <c r="B2445" s="3">
        <v>41.0</v>
      </c>
      <c r="C2445" s="3">
        <v>5.774E7</v>
      </c>
      <c r="D2445" s="3">
        <v>23.39</v>
      </c>
      <c r="E2445" s="3">
        <v>57.74</v>
      </c>
    </row>
    <row r="2446" ht="12.75" customHeight="1">
      <c r="A2446" s="3">
        <v>159.0</v>
      </c>
      <c r="B2446" s="3">
        <v>42.0</v>
      </c>
      <c r="C2446" s="3">
        <v>7.12E7</v>
      </c>
      <c r="D2446" s="3">
        <v>26.93</v>
      </c>
      <c r="E2446" s="3">
        <v>71.2</v>
      </c>
    </row>
    <row r="2447" ht="12.75" customHeight="1">
      <c r="A2447" s="3">
        <v>159.0</v>
      </c>
      <c r="B2447" s="3">
        <v>43.0</v>
      </c>
      <c r="C2447" s="3">
        <v>8.65E7</v>
      </c>
      <c r="D2447" s="3">
        <v>30.59</v>
      </c>
      <c r="E2447" s="3">
        <v>86.5</v>
      </c>
    </row>
    <row r="2448" ht="12.75" customHeight="1">
      <c r="A2448" s="3">
        <v>159.0</v>
      </c>
      <c r="B2448" s="3">
        <v>44.0</v>
      </c>
      <c r="C2448" s="3">
        <v>1.0367E8</v>
      </c>
      <c r="D2448" s="3">
        <v>34.33</v>
      </c>
      <c r="E2448" s="3">
        <v>103.67</v>
      </c>
    </row>
    <row r="2449" ht="12.75" customHeight="1">
      <c r="A2449" s="3">
        <v>159.0</v>
      </c>
      <c r="B2449" s="3">
        <v>45.0</v>
      </c>
      <c r="C2449" s="3">
        <v>1.2323E8</v>
      </c>
      <c r="D2449" s="3">
        <v>38.11</v>
      </c>
      <c r="E2449" s="3">
        <v>123.23</v>
      </c>
    </row>
    <row r="2450" ht="12.75" customHeight="1">
      <c r="A2450" s="3">
        <v>159.0</v>
      </c>
      <c r="B2450" s="3">
        <v>45.15</v>
      </c>
      <c r="C2450" s="3">
        <v>1.26E8</v>
      </c>
      <c r="D2450" s="3">
        <v>38.73</v>
      </c>
      <c r="E2450" s="3">
        <v>126.0</v>
      </c>
    </row>
    <row r="2451" ht="12.75" customHeight="1">
      <c r="A2451" s="3">
        <v>159.0</v>
      </c>
      <c r="B2451" s="3">
        <v>46.0</v>
      </c>
      <c r="C2451" s="3">
        <v>1.4434E8</v>
      </c>
      <c r="D2451" s="3">
        <v>42.22</v>
      </c>
      <c r="E2451" s="3">
        <v>144.34</v>
      </c>
    </row>
    <row r="2452" ht="12.75" customHeight="1">
      <c r="A2452" s="3">
        <v>159.0</v>
      </c>
      <c r="B2452" s="3">
        <v>47.0</v>
      </c>
      <c r="C2452" s="3">
        <v>1.6755E8</v>
      </c>
      <c r="D2452" s="3">
        <v>46.41</v>
      </c>
      <c r="E2452" s="3">
        <v>167.55</v>
      </c>
    </row>
    <row r="2453" ht="12.75" customHeight="1">
      <c r="A2453" s="3">
        <v>159.0</v>
      </c>
      <c r="B2453" s="3">
        <v>48.0</v>
      </c>
      <c r="C2453" s="3">
        <v>1.9267E8</v>
      </c>
      <c r="D2453" s="3">
        <v>50.23</v>
      </c>
      <c r="E2453" s="3">
        <v>192.67</v>
      </c>
    </row>
    <row r="2454" ht="12.75" customHeight="1">
      <c r="A2454" s="3">
        <v>159.0</v>
      </c>
      <c r="B2454" s="3">
        <v>49.0</v>
      </c>
      <c r="C2454" s="3">
        <v>2.1958E8</v>
      </c>
      <c r="D2454" s="3">
        <v>53.83</v>
      </c>
      <c r="E2454" s="3">
        <v>219.58</v>
      </c>
    </row>
    <row r="2455" ht="12.75" customHeight="1">
      <c r="A2455" s="3">
        <v>159.0</v>
      </c>
      <c r="B2455" s="3">
        <v>50.0</v>
      </c>
      <c r="C2455" s="3">
        <v>2.4828E8</v>
      </c>
      <c r="D2455" s="3">
        <v>57.39</v>
      </c>
      <c r="E2455" s="3">
        <v>248.28</v>
      </c>
    </row>
    <row r="2456" ht="12.75" customHeight="1">
      <c r="A2456" s="3">
        <v>160.0</v>
      </c>
      <c r="B2456" s="3">
        <v>147.5</v>
      </c>
      <c r="C2456" s="3">
        <v>0.0</v>
      </c>
      <c r="D2456" s="3">
        <v>0.0</v>
      </c>
      <c r="E2456" s="3">
        <v>0.0</v>
      </c>
    </row>
    <row r="2457" ht="12.75" customHeight="1">
      <c r="A2457" s="3">
        <v>160.0</v>
      </c>
      <c r="B2457" s="3">
        <v>148.0</v>
      </c>
      <c r="C2457" s="3">
        <v>34000.0</v>
      </c>
      <c r="D2457" s="3">
        <v>0.051</v>
      </c>
      <c r="E2457" s="3">
        <v>0.034</v>
      </c>
    </row>
    <row r="2458" ht="12.75" customHeight="1">
      <c r="A2458" s="3">
        <v>160.0</v>
      </c>
      <c r="B2458" s="3">
        <v>149.0</v>
      </c>
      <c r="C2458" s="3">
        <v>118000.0</v>
      </c>
      <c r="D2458" s="3">
        <v>0.117</v>
      </c>
      <c r="E2458" s="3">
        <v>0.118</v>
      </c>
    </row>
    <row r="2459" ht="12.75" customHeight="1">
      <c r="A2459" s="3">
        <v>160.0</v>
      </c>
      <c r="B2459" s="3">
        <v>150.0</v>
      </c>
      <c r="C2459" s="3">
        <v>283000.0</v>
      </c>
      <c r="D2459" s="3">
        <v>0.212</v>
      </c>
      <c r="E2459" s="3">
        <v>0.283</v>
      </c>
    </row>
    <row r="2460" ht="12.75" customHeight="1">
      <c r="A2460" s="3">
        <v>160.0</v>
      </c>
      <c r="B2460" s="3">
        <v>151.0</v>
      </c>
      <c r="C2460" s="3">
        <v>528000.0</v>
      </c>
      <c r="D2460" s="3">
        <v>0.274</v>
      </c>
      <c r="E2460" s="3">
        <v>0.528</v>
      </c>
    </row>
    <row r="2461" ht="12.75" customHeight="1">
      <c r="A2461" s="3">
        <v>160.0</v>
      </c>
      <c r="B2461" s="3">
        <v>151.49</v>
      </c>
      <c r="C2461" s="3">
        <v>670000.0</v>
      </c>
      <c r="D2461" s="3">
        <v>0.3</v>
      </c>
      <c r="E2461" s="3">
        <v>0.67</v>
      </c>
    </row>
    <row r="2462" ht="12.75" customHeight="1">
      <c r="A2462" s="3">
        <v>160.0</v>
      </c>
      <c r="B2462" s="3">
        <v>152.0</v>
      </c>
      <c r="C2462" s="3">
        <v>2070000.0</v>
      </c>
      <c r="D2462" s="3">
        <v>0.73</v>
      </c>
      <c r="E2462" s="3">
        <v>2.07</v>
      </c>
    </row>
    <row r="2463" ht="12.75" customHeight="1">
      <c r="A2463" s="3">
        <v>160.0</v>
      </c>
      <c r="B2463" s="3">
        <v>153.0</v>
      </c>
      <c r="C2463" s="3">
        <v>2910000.0</v>
      </c>
      <c r="D2463" s="3">
        <v>0.94</v>
      </c>
      <c r="E2463" s="3">
        <v>2.91</v>
      </c>
    </row>
    <row r="2464" ht="12.75" customHeight="1">
      <c r="A2464" s="3">
        <v>160.0</v>
      </c>
      <c r="B2464" s="3">
        <v>154.0</v>
      </c>
      <c r="C2464" s="3">
        <v>3940000.0</v>
      </c>
      <c r="D2464" s="3">
        <v>1.1</v>
      </c>
      <c r="E2464" s="3">
        <v>3.94</v>
      </c>
    </row>
    <row r="2465" ht="12.75" customHeight="1">
      <c r="A2465" s="3">
        <v>160.0</v>
      </c>
      <c r="B2465" s="3">
        <v>155.0</v>
      </c>
      <c r="C2465" s="3">
        <v>5250000.0</v>
      </c>
      <c r="D2465" s="3">
        <v>1.5</v>
      </c>
      <c r="E2465" s="3">
        <v>5.25</v>
      </c>
    </row>
    <row r="2466" ht="12.75" customHeight="1">
      <c r="A2466" s="3">
        <v>160.0</v>
      </c>
      <c r="B2466" s="3">
        <v>156.0</v>
      </c>
      <c r="C2466" s="3">
        <v>6920000.0</v>
      </c>
      <c r="D2466" s="3">
        <v>1.83</v>
      </c>
      <c r="E2466" s="3">
        <v>6.92</v>
      </c>
    </row>
    <row r="2467" ht="12.75" customHeight="1">
      <c r="A2467" s="3">
        <v>160.0</v>
      </c>
      <c r="B2467" s="3">
        <v>157.0</v>
      </c>
      <c r="C2467" s="3">
        <v>8940000.0</v>
      </c>
      <c r="D2467" s="3">
        <v>2.2</v>
      </c>
      <c r="E2467" s="3">
        <v>8.94</v>
      </c>
    </row>
    <row r="2468" ht="12.75" customHeight="1">
      <c r="A2468" s="3">
        <v>160.0</v>
      </c>
      <c r="B2468" s="3">
        <v>158.0</v>
      </c>
      <c r="C2468" s="3">
        <v>1.14E7</v>
      </c>
      <c r="D2468" s="3">
        <v>2.7</v>
      </c>
      <c r="E2468" s="3">
        <v>11.4</v>
      </c>
    </row>
    <row r="2469" ht="12.75" customHeight="1">
      <c r="A2469" s="3">
        <v>160.0</v>
      </c>
      <c r="B2469" s="3">
        <v>159.0</v>
      </c>
      <c r="C2469" s="3">
        <v>1.439E7</v>
      </c>
      <c r="D2469" s="3">
        <v>3.3</v>
      </c>
      <c r="E2469" s="3">
        <v>14.39</v>
      </c>
    </row>
    <row r="2470" ht="12.75" customHeight="1">
      <c r="A2470" s="3">
        <v>160.0</v>
      </c>
      <c r="B2470" s="3">
        <v>160.0</v>
      </c>
      <c r="C2470" s="3">
        <v>1.804E7</v>
      </c>
      <c r="D2470" s="3">
        <v>4.0</v>
      </c>
      <c r="E2470" s="3">
        <v>18.04</v>
      </c>
    </row>
    <row r="2471" ht="12.75" customHeight="1">
      <c r="A2471" s="3">
        <v>160.0</v>
      </c>
      <c r="B2471" s="3">
        <v>161.0</v>
      </c>
      <c r="C2471" s="3">
        <v>2.251E7</v>
      </c>
      <c r="D2471" s="3">
        <v>5.0</v>
      </c>
      <c r="E2471" s="3">
        <v>22.51</v>
      </c>
    </row>
    <row r="2472" ht="12.75" customHeight="1">
      <c r="A2472" s="3">
        <v>160.0</v>
      </c>
      <c r="B2472" s="3">
        <v>162.0</v>
      </c>
      <c r="C2472" s="3">
        <v>2.809E7</v>
      </c>
      <c r="D2472" s="3">
        <v>6.2</v>
      </c>
      <c r="E2472" s="3">
        <v>28.09</v>
      </c>
    </row>
    <row r="2473" ht="12.75" customHeight="1">
      <c r="A2473" s="3">
        <v>160.0</v>
      </c>
      <c r="B2473" s="3">
        <v>162.5</v>
      </c>
      <c r="C2473" s="3">
        <v>3.084E7</v>
      </c>
      <c r="D2473" s="3">
        <v>6.84</v>
      </c>
      <c r="E2473" s="3">
        <v>30.84</v>
      </c>
    </row>
    <row r="2474" ht="12.75" customHeight="1">
      <c r="A2474" s="3">
        <v>160.0</v>
      </c>
      <c r="B2474" s="3">
        <v>163.0</v>
      </c>
      <c r="C2474" s="3">
        <v>3.366E7</v>
      </c>
      <c r="D2474" s="3">
        <v>7.47</v>
      </c>
      <c r="E2474" s="3">
        <v>33.66</v>
      </c>
    </row>
    <row r="2475" ht="12.75" customHeight="1">
      <c r="A2475" s="3">
        <v>160.0</v>
      </c>
      <c r="B2475" s="3">
        <v>164.0</v>
      </c>
      <c r="C2475" s="3">
        <v>3.924E7</v>
      </c>
      <c r="D2475" s="3">
        <v>8.74</v>
      </c>
      <c r="E2475" s="3">
        <v>39.24</v>
      </c>
    </row>
    <row r="2476" ht="12.75" customHeight="1">
      <c r="A2476" s="3">
        <v>161.0</v>
      </c>
      <c r="B2476" s="3">
        <v>635.8</v>
      </c>
      <c r="C2476" s="3">
        <v>0.0</v>
      </c>
      <c r="D2476" s="3">
        <v>0.0</v>
      </c>
      <c r="E2476" s="3">
        <v>0.0</v>
      </c>
    </row>
    <row r="2477" ht="12.75" customHeight="1">
      <c r="A2477" s="3">
        <v>161.0</v>
      </c>
      <c r="B2477" s="3">
        <v>636.0</v>
      </c>
      <c r="C2477" s="3">
        <v>17.0</v>
      </c>
      <c r="D2477" s="3">
        <v>2.0E-4</v>
      </c>
      <c r="E2477" s="3">
        <v>1.7E-5</v>
      </c>
    </row>
    <row r="2478" ht="12.75" customHeight="1">
      <c r="A2478" s="3">
        <v>161.0</v>
      </c>
      <c r="B2478" s="3">
        <v>637.0</v>
      </c>
      <c r="C2478" s="3">
        <v>2987.0</v>
      </c>
      <c r="D2478" s="3">
        <v>0.0074</v>
      </c>
      <c r="E2478" s="3">
        <v>0.002987</v>
      </c>
    </row>
    <row r="2479" ht="12.75" customHeight="1">
      <c r="A2479" s="3">
        <v>161.0</v>
      </c>
      <c r="B2479" s="3">
        <v>638.0</v>
      </c>
      <c r="C2479" s="3">
        <v>16790.0</v>
      </c>
      <c r="D2479" s="3">
        <v>0.0212</v>
      </c>
      <c r="E2479" s="3">
        <v>0.01679</v>
      </c>
    </row>
    <row r="2480" ht="12.75" customHeight="1">
      <c r="A2480" s="3">
        <v>161.0</v>
      </c>
      <c r="B2480" s="3">
        <v>639.0</v>
      </c>
      <c r="C2480" s="3">
        <v>43948.0</v>
      </c>
      <c r="D2480" s="3">
        <v>0.031</v>
      </c>
      <c r="E2480" s="3">
        <v>0.043948</v>
      </c>
    </row>
    <row r="2481" ht="12.75" customHeight="1">
      <c r="A2481" s="3">
        <v>161.0</v>
      </c>
      <c r="B2481" s="3">
        <v>639.05</v>
      </c>
      <c r="C2481" s="3">
        <v>45505.0</v>
      </c>
      <c r="D2481" s="3">
        <v>0.0312</v>
      </c>
      <c r="E2481" s="3">
        <v>0.045505</v>
      </c>
    </row>
    <row r="2482" ht="12.75" customHeight="1">
      <c r="A2482" s="3">
        <v>161.0</v>
      </c>
      <c r="B2482" s="3">
        <v>642.0</v>
      </c>
      <c r="C2482" s="3">
        <v>281506.0</v>
      </c>
      <c r="D2482" s="3">
        <v>0.0902</v>
      </c>
      <c r="E2482" s="3">
        <v>0.281506</v>
      </c>
    </row>
    <row r="2483" ht="12.75" customHeight="1">
      <c r="A2483" s="3">
        <v>161.0</v>
      </c>
      <c r="B2483" s="3">
        <v>647.0</v>
      </c>
      <c r="C2483" s="3">
        <v>2061506.0</v>
      </c>
      <c r="D2483" s="3">
        <v>0.4802</v>
      </c>
      <c r="E2483" s="3">
        <v>2.061506</v>
      </c>
    </row>
    <row r="2484" ht="12.75" customHeight="1">
      <c r="A2484" s="3">
        <v>161.0</v>
      </c>
      <c r="B2484" s="3">
        <v>650.0</v>
      </c>
      <c r="C2484" s="3">
        <v>4271506.0</v>
      </c>
      <c r="D2484" s="3">
        <v>0.8502</v>
      </c>
      <c r="E2484" s="3">
        <v>4.271506</v>
      </c>
    </row>
    <row r="2485" ht="12.75" customHeight="1">
      <c r="A2485" s="3">
        <v>161.0</v>
      </c>
      <c r="B2485" s="3">
        <v>652.0</v>
      </c>
      <c r="C2485" s="3">
        <v>6441506.0</v>
      </c>
      <c r="D2485" s="3">
        <v>1.1802</v>
      </c>
      <c r="E2485" s="3">
        <v>6.441506</v>
      </c>
    </row>
    <row r="2486" ht="12.75" customHeight="1">
      <c r="A2486" s="3">
        <v>161.0</v>
      </c>
      <c r="B2486" s="3">
        <v>655.0</v>
      </c>
      <c r="C2486" s="3">
        <v>1.17E7</v>
      </c>
      <c r="D2486" s="3">
        <v>1.7442</v>
      </c>
      <c r="E2486" s="3">
        <v>11.7</v>
      </c>
    </row>
    <row r="2487" ht="12.75" customHeight="1">
      <c r="A2487" s="3">
        <v>161.0</v>
      </c>
      <c r="B2487" s="3">
        <v>657.0</v>
      </c>
      <c r="C2487" s="3">
        <v>1.5041506E7</v>
      </c>
      <c r="D2487" s="3">
        <v>2.1202</v>
      </c>
      <c r="E2487" s="3">
        <v>15.041506</v>
      </c>
    </row>
    <row r="2488" ht="12.75" customHeight="1">
      <c r="A2488" s="3">
        <v>161.0</v>
      </c>
      <c r="B2488" s="3">
        <v>680.0</v>
      </c>
      <c r="C2488" s="3">
        <v>2.2361506E7</v>
      </c>
      <c r="D2488" s="3">
        <v>2.6202</v>
      </c>
      <c r="E2488" s="3">
        <v>22.361506</v>
      </c>
    </row>
    <row r="2489" ht="12.75" customHeight="1">
      <c r="A2489" s="3">
        <v>162.0</v>
      </c>
      <c r="B2489" s="3">
        <v>281.0</v>
      </c>
      <c r="C2489" s="3">
        <v>0.0</v>
      </c>
      <c r="D2489" s="3">
        <v>0.0</v>
      </c>
      <c r="E2489" s="3">
        <v>0.0</v>
      </c>
    </row>
    <row r="2490" ht="12.75" customHeight="1">
      <c r="A2490" s="3">
        <v>162.0</v>
      </c>
      <c r="B2490" s="3">
        <v>285.0</v>
      </c>
      <c r="C2490" s="3">
        <v>1520000.0</v>
      </c>
      <c r="D2490" s="3">
        <v>0.76</v>
      </c>
      <c r="E2490" s="3">
        <v>1.52</v>
      </c>
    </row>
    <row r="2491" ht="12.75" customHeight="1">
      <c r="A2491" s="3">
        <v>162.0</v>
      </c>
      <c r="B2491" s="3">
        <v>290.0</v>
      </c>
      <c r="C2491" s="3">
        <v>1.06E7</v>
      </c>
      <c r="D2491" s="3">
        <v>2.61</v>
      </c>
      <c r="E2491" s="3">
        <v>10.6</v>
      </c>
    </row>
    <row r="2492" ht="12.75" customHeight="1">
      <c r="A2492" s="3">
        <v>162.0</v>
      </c>
      <c r="B2492" s="3">
        <v>295.0</v>
      </c>
      <c r="C2492" s="3">
        <v>3.18E7</v>
      </c>
      <c r="D2492" s="3">
        <v>5.61</v>
      </c>
      <c r="E2492" s="3">
        <v>31.8</v>
      </c>
    </row>
    <row r="2493" ht="12.75" customHeight="1">
      <c r="A2493" s="3">
        <v>162.0</v>
      </c>
      <c r="B2493" s="3">
        <v>300.0</v>
      </c>
      <c r="C2493" s="3">
        <v>6.665E7</v>
      </c>
      <c r="D2493" s="3">
        <v>8.32</v>
      </c>
      <c r="E2493" s="3">
        <v>66.65</v>
      </c>
    </row>
    <row r="2494" ht="12.75" customHeight="1">
      <c r="A2494" s="3">
        <v>162.0</v>
      </c>
      <c r="B2494" s="3">
        <v>305.0</v>
      </c>
      <c r="C2494" s="3">
        <v>1.1979E8</v>
      </c>
      <c r="D2494" s="3">
        <v>12.93</v>
      </c>
      <c r="E2494" s="3">
        <v>119.79</v>
      </c>
    </row>
    <row r="2495" ht="12.75" customHeight="1">
      <c r="A2495" s="3">
        <v>162.0</v>
      </c>
      <c r="B2495" s="3">
        <v>319.0</v>
      </c>
      <c r="C2495" s="3">
        <v>2.0196E8</v>
      </c>
      <c r="D2495" s="3">
        <v>19.93</v>
      </c>
      <c r="E2495" s="3">
        <v>201.96</v>
      </c>
    </row>
    <row r="2496" ht="12.75" customHeight="1">
      <c r="A2496" s="3">
        <v>163.0</v>
      </c>
      <c r="B2496" s="3">
        <v>320.0</v>
      </c>
      <c r="C2496" s="3">
        <v>0.0</v>
      </c>
      <c r="D2496" s="3">
        <v>0.0</v>
      </c>
      <c r="E2496" s="3">
        <v>0.0</v>
      </c>
    </row>
    <row r="2497" ht="12.75" customHeight="1">
      <c r="A2497" s="3">
        <v>163.0</v>
      </c>
      <c r="B2497" s="3">
        <v>320.84</v>
      </c>
      <c r="C2497" s="3">
        <v>0.0</v>
      </c>
      <c r="D2497" s="3">
        <v>0.0</v>
      </c>
      <c r="E2497" s="3">
        <v>0.0</v>
      </c>
    </row>
    <row r="2498" ht="12.75" customHeight="1">
      <c r="A2498" s="3">
        <v>163.0</v>
      </c>
      <c r="B2498" s="3">
        <v>321.0</v>
      </c>
      <c r="C2498" s="3">
        <v>2.0</v>
      </c>
      <c r="D2498" s="3">
        <v>0.0</v>
      </c>
      <c r="E2498" s="3">
        <v>2.0E-6</v>
      </c>
    </row>
    <row r="2499" ht="12.75" customHeight="1">
      <c r="A2499" s="3">
        <v>163.0</v>
      </c>
      <c r="B2499" s="3">
        <v>322.0</v>
      </c>
      <c r="C2499" s="3">
        <v>12000.0</v>
      </c>
      <c r="D2499" s="3">
        <v>0.0514</v>
      </c>
      <c r="E2499" s="3">
        <v>0.012</v>
      </c>
    </row>
    <row r="2500" ht="12.75" customHeight="1">
      <c r="A2500" s="3">
        <v>163.0</v>
      </c>
      <c r="B2500" s="3">
        <v>323.0</v>
      </c>
      <c r="C2500" s="3">
        <v>257000.0</v>
      </c>
      <c r="D2500" s="3">
        <v>0.5873</v>
      </c>
      <c r="E2500" s="3">
        <v>0.257</v>
      </c>
    </row>
    <row r="2501" ht="12.75" customHeight="1">
      <c r="A2501" s="3">
        <v>163.0</v>
      </c>
      <c r="B2501" s="3">
        <v>324.0</v>
      </c>
      <c r="C2501" s="3">
        <v>1405300.0</v>
      </c>
      <c r="D2501" s="3">
        <v>0.7117</v>
      </c>
      <c r="E2501" s="3">
        <v>1.4053</v>
      </c>
    </row>
    <row r="2502" ht="12.75" customHeight="1">
      <c r="A2502" s="3">
        <v>163.0</v>
      </c>
      <c r="B2502" s="3">
        <v>325.0</v>
      </c>
      <c r="C2502" s="3">
        <v>3732000.0</v>
      </c>
      <c r="D2502" s="3">
        <v>2.723</v>
      </c>
      <c r="E2502" s="3">
        <v>3.732</v>
      </c>
    </row>
    <row r="2503" ht="12.75" customHeight="1">
      <c r="A2503" s="3">
        <v>163.0</v>
      </c>
      <c r="B2503" s="3">
        <v>325.83</v>
      </c>
      <c r="C2503" s="3">
        <v>6032000.0</v>
      </c>
      <c r="D2503" s="3">
        <v>2.815</v>
      </c>
      <c r="E2503" s="3">
        <v>6.032</v>
      </c>
    </row>
    <row r="2504" ht="12.75" customHeight="1">
      <c r="A2504" s="3">
        <v>163.0</v>
      </c>
      <c r="B2504" s="3">
        <v>326.0</v>
      </c>
      <c r="C2504" s="3">
        <v>6612000.0</v>
      </c>
      <c r="D2504" s="3">
        <v>3.68574</v>
      </c>
      <c r="E2504" s="3">
        <v>6.612</v>
      </c>
    </row>
    <row r="2505" ht="12.75" customHeight="1">
      <c r="A2505" s="3">
        <v>163.0</v>
      </c>
      <c r="B2505" s="3">
        <v>326.86</v>
      </c>
      <c r="C2505" s="3">
        <v>9794000.0</v>
      </c>
      <c r="D2505" s="3">
        <v>3.74574</v>
      </c>
      <c r="E2505" s="3">
        <v>9.794</v>
      </c>
    </row>
    <row r="2506" ht="12.75" customHeight="1">
      <c r="A2506" s="3">
        <v>163.0</v>
      </c>
      <c r="B2506" s="3">
        <v>328.0</v>
      </c>
      <c r="C2506" s="3">
        <v>2.2324E7</v>
      </c>
      <c r="D2506" s="3">
        <v>4.35574</v>
      </c>
      <c r="E2506" s="3">
        <v>22.324</v>
      </c>
    </row>
    <row r="2507" ht="12.75" customHeight="1">
      <c r="A2507" s="3">
        <v>163.0</v>
      </c>
      <c r="B2507" s="3">
        <v>329.0</v>
      </c>
      <c r="C2507" s="3">
        <v>3.2134E7</v>
      </c>
      <c r="D2507" s="3">
        <v>6.66574</v>
      </c>
      <c r="E2507" s="3">
        <v>32.134</v>
      </c>
    </row>
    <row r="2508" ht="12.75" customHeight="1">
      <c r="A2508" s="3">
        <v>163.0</v>
      </c>
      <c r="B2508" s="3">
        <v>330.0</v>
      </c>
      <c r="C2508" s="3">
        <v>4.1574E7</v>
      </c>
      <c r="D2508" s="3">
        <v>8.77574</v>
      </c>
      <c r="E2508" s="3">
        <v>41.574</v>
      </c>
    </row>
    <row r="2509" ht="12.75" customHeight="1">
      <c r="A2509" s="3">
        <v>163.0</v>
      </c>
      <c r="B2509" s="3">
        <v>331.0</v>
      </c>
      <c r="C2509" s="3">
        <v>5.6064E7</v>
      </c>
      <c r="D2509" s="3">
        <v>10.31574</v>
      </c>
      <c r="E2509" s="3">
        <v>56.064</v>
      </c>
    </row>
    <row r="2510" ht="12.75" customHeight="1">
      <c r="A2510" s="3">
        <v>163.0</v>
      </c>
      <c r="B2510" s="3">
        <v>332.0</v>
      </c>
      <c r="C2510" s="3">
        <v>6.8934E7</v>
      </c>
      <c r="D2510" s="3">
        <v>11.85574</v>
      </c>
      <c r="E2510" s="3">
        <v>68.934</v>
      </c>
    </row>
    <row r="2511" ht="12.75" customHeight="1">
      <c r="A2511" s="3">
        <v>163.0</v>
      </c>
      <c r="B2511" s="3">
        <v>333.0</v>
      </c>
      <c r="C2511" s="3">
        <v>8.6864E7</v>
      </c>
      <c r="D2511" s="3">
        <v>13.96574</v>
      </c>
      <c r="E2511" s="3">
        <v>86.864</v>
      </c>
    </row>
    <row r="2512" ht="12.75" customHeight="1">
      <c r="A2512" s="3">
        <v>163.0</v>
      </c>
      <c r="B2512" s="3">
        <v>333.6</v>
      </c>
      <c r="C2512" s="3">
        <v>9.956E7</v>
      </c>
      <c r="D2512" s="3">
        <v>15.52574</v>
      </c>
      <c r="E2512" s="3">
        <v>99.56</v>
      </c>
    </row>
    <row r="2513" ht="12.75" customHeight="1">
      <c r="A2513" s="3">
        <v>163.0</v>
      </c>
      <c r="B2513" s="3">
        <v>334.0</v>
      </c>
      <c r="C2513" s="3">
        <v>1.0573E8</v>
      </c>
      <c r="D2513" s="3">
        <v>16.46574</v>
      </c>
      <c r="E2513" s="3">
        <v>105.73</v>
      </c>
    </row>
    <row r="2514" ht="12.75" customHeight="1">
      <c r="A2514" s="3">
        <v>163.0</v>
      </c>
      <c r="B2514" s="3">
        <v>335.0</v>
      </c>
      <c r="C2514" s="3">
        <v>1.265E8</v>
      </c>
      <c r="D2514" s="3">
        <v>19.54574</v>
      </c>
      <c r="E2514" s="3">
        <v>126.5</v>
      </c>
    </row>
    <row r="2515" ht="12.75" customHeight="1">
      <c r="A2515" s="3">
        <v>164.0</v>
      </c>
      <c r="B2515" s="3">
        <v>81.0</v>
      </c>
      <c r="C2515" s="3">
        <v>0.0</v>
      </c>
      <c r="D2515" s="3">
        <v>0.0</v>
      </c>
      <c r="E2515" s="3">
        <v>0.0</v>
      </c>
    </row>
    <row r="2516" ht="12.75" customHeight="1">
      <c r="A2516" s="3">
        <v>164.0</v>
      </c>
      <c r="B2516" s="3">
        <v>82.0</v>
      </c>
      <c r="C2516" s="3">
        <v>30000.0</v>
      </c>
      <c r="D2516" s="3">
        <v>0.04</v>
      </c>
      <c r="E2516" s="3">
        <v>0.03</v>
      </c>
    </row>
    <row r="2517" ht="12.75" customHeight="1">
      <c r="A2517" s="3">
        <v>164.0</v>
      </c>
      <c r="B2517" s="3">
        <v>83.0</v>
      </c>
      <c r="C2517" s="3">
        <v>70000.0</v>
      </c>
      <c r="D2517" s="3">
        <v>0.08</v>
      </c>
      <c r="E2517" s="3">
        <v>0.07</v>
      </c>
    </row>
    <row r="2518" ht="12.75" customHeight="1">
      <c r="A2518" s="3">
        <v>164.0</v>
      </c>
      <c r="B2518" s="3">
        <v>84.0</v>
      </c>
      <c r="C2518" s="3">
        <v>140000.0</v>
      </c>
      <c r="D2518" s="3">
        <v>0.13</v>
      </c>
      <c r="E2518" s="3">
        <v>0.14</v>
      </c>
    </row>
    <row r="2519" ht="12.75" customHeight="1">
      <c r="A2519" s="3">
        <v>164.0</v>
      </c>
      <c r="B2519" s="3">
        <v>85.0</v>
      </c>
      <c r="C2519" s="3">
        <v>240000.0</v>
      </c>
      <c r="D2519" s="3">
        <v>0.19</v>
      </c>
      <c r="E2519" s="3">
        <v>0.24</v>
      </c>
    </row>
    <row r="2520" ht="12.75" customHeight="1">
      <c r="A2520" s="3">
        <v>164.0</v>
      </c>
      <c r="B2520" s="3">
        <v>86.0</v>
      </c>
      <c r="C2520" s="3">
        <v>370000.0</v>
      </c>
      <c r="D2520" s="3">
        <v>0.26</v>
      </c>
      <c r="E2520" s="3">
        <v>0.37</v>
      </c>
    </row>
    <row r="2521" ht="12.75" customHeight="1">
      <c r="A2521" s="3">
        <v>164.0</v>
      </c>
      <c r="B2521" s="3">
        <v>87.0</v>
      </c>
      <c r="C2521" s="3">
        <v>540000.0</v>
      </c>
      <c r="D2521" s="3">
        <v>0.35</v>
      </c>
      <c r="E2521" s="3">
        <v>0.54</v>
      </c>
    </row>
    <row r="2522" ht="12.75" customHeight="1">
      <c r="A2522" s="3">
        <v>164.0</v>
      </c>
      <c r="B2522" s="3">
        <v>88.0</v>
      </c>
      <c r="C2522" s="3">
        <v>780000.0</v>
      </c>
      <c r="D2522" s="3">
        <v>0.46</v>
      </c>
      <c r="E2522" s="3">
        <v>0.78</v>
      </c>
    </row>
    <row r="2523" ht="12.75" customHeight="1">
      <c r="A2523" s="3">
        <v>164.0</v>
      </c>
      <c r="B2523" s="3">
        <v>89.0</v>
      </c>
      <c r="C2523" s="3">
        <v>1070000.0</v>
      </c>
      <c r="D2523" s="3">
        <v>0.57</v>
      </c>
      <c r="E2523" s="3">
        <v>1.07</v>
      </c>
    </row>
    <row r="2524" ht="12.75" customHeight="1">
      <c r="A2524" s="3">
        <v>164.0</v>
      </c>
      <c r="B2524" s="3">
        <v>90.0</v>
      </c>
      <c r="C2524" s="3">
        <v>1400000.0</v>
      </c>
      <c r="D2524" s="3">
        <v>0.67</v>
      </c>
      <c r="E2524" s="3">
        <v>1.4</v>
      </c>
    </row>
    <row r="2525" ht="12.75" customHeight="1">
      <c r="A2525" s="3">
        <v>164.0</v>
      </c>
      <c r="B2525" s="3">
        <v>91.0</v>
      </c>
      <c r="C2525" s="3">
        <v>1790000.0</v>
      </c>
      <c r="D2525" s="3">
        <v>0.78</v>
      </c>
      <c r="E2525" s="3">
        <v>1.79</v>
      </c>
    </row>
    <row r="2526" ht="12.75" customHeight="1">
      <c r="A2526" s="3">
        <v>164.0</v>
      </c>
      <c r="B2526" s="3">
        <v>92.0</v>
      </c>
      <c r="C2526" s="3">
        <v>2260000.0</v>
      </c>
      <c r="D2526" s="3">
        <v>0.93</v>
      </c>
      <c r="E2526" s="3">
        <v>2.26</v>
      </c>
    </row>
    <row r="2527" ht="12.75" customHeight="1">
      <c r="A2527" s="3">
        <v>164.0</v>
      </c>
      <c r="B2527" s="3">
        <v>93.0</v>
      </c>
      <c r="C2527" s="3">
        <v>2810000.0</v>
      </c>
      <c r="D2527" s="3">
        <v>1.1</v>
      </c>
      <c r="E2527" s="3">
        <v>2.81</v>
      </c>
    </row>
    <row r="2528" ht="12.75" customHeight="1">
      <c r="A2528" s="3">
        <v>166.0</v>
      </c>
      <c r="B2528" s="3">
        <v>89.23</v>
      </c>
      <c r="C2528" s="3">
        <v>0.0</v>
      </c>
      <c r="D2528" s="3">
        <v>0.0</v>
      </c>
      <c r="E2528" s="3">
        <v>0.0</v>
      </c>
    </row>
    <row r="2529" ht="12.75" customHeight="1">
      <c r="A2529" s="3">
        <v>166.0</v>
      </c>
      <c r="B2529" s="3">
        <v>90.0</v>
      </c>
      <c r="C2529" s="3">
        <v>750.0</v>
      </c>
      <c r="D2529" s="3">
        <v>0.0036</v>
      </c>
      <c r="E2529" s="3">
        <v>7.5E-4</v>
      </c>
    </row>
    <row r="2530" ht="12.75" customHeight="1">
      <c r="A2530" s="3">
        <v>166.0</v>
      </c>
      <c r="B2530" s="3">
        <v>91.0</v>
      </c>
      <c r="C2530" s="3">
        <v>16577.0</v>
      </c>
      <c r="D2530" s="3">
        <v>0.035</v>
      </c>
      <c r="E2530" s="3">
        <v>0.016577</v>
      </c>
    </row>
    <row r="2531" ht="12.75" customHeight="1">
      <c r="A2531" s="3">
        <v>166.0</v>
      </c>
      <c r="B2531" s="3">
        <v>92.0</v>
      </c>
      <c r="C2531" s="3">
        <v>94577.0</v>
      </c>
      <c r="D2531" s="3">
        <v>0.1546</v>
      </c>
      <c r="E2531" s="3">
        <v>0.094577</v>
      </c>
    </row>
    <row r="2532" ht="12.75" customHeight="1">
      <c r="A2532" s="3">
        <v>166.0</v>
      </c>
      <c r="B2532" s="3">
        <v>93.0</v>
      </c>
      <c r="C2532" s="3">
        <v>394776.0</v>
      </c>
      <c r="D2532" s="3">
        <v>0.4472</v>
      </c>
      <c r="E2532" s="3">
        <v>0.394776</v>
      </c>
    </row>
    <row r="2533" ht="12.75" customHeight="1">
      <c r="A2533" s="3">
        <v>166.0</v>
      </c>
      <c r="B2533" s="3">
        <v>94.0</v>
      </c>
      <c r="C2533" s="3">
        <v>952824.0</v>
      </c>
      <c r="D2533" s="3">
        <v>0.6251</v>
      </c>
      <c r="E2533" s="3">
        <v>0.952824</v>
      </c>
    </row>
    <row r="2534" ht="12.75" customHeight="1">
      <c r="A2534" s="3">
        <v>166.0</v>
      </c>
      <c r="B2534" s="3">
        <v>94.63</v>
      </c>
      <c r="C2534" s="3">
        <v>1354461.0</v>
      </c>
      <c r="D2534" s="3">
        <v>0.6498</v>
      </c>
      <c r="E2534" s="3">
        <v>1.354461</v>
      </c>
    </row>
    <row r="2535" ht="12.75" customHeight="1">
      <c r="A2535" s="3">
        <v>166.0</v>
      </c>
      <c r="B2535" s="3">
        <v>95.0</v>
      </c>
      <c r="C2535" s="3">
        <v>1499502.0</v>
      </c>
      <c r="D2535" s="3">
        <v>0.7423</v>
      </c>
      <c r="E2535" s="3">
        <v>1.499502</v>
      </c>
    </row>
    <row r="2536" ht="12.75" customHeight="1">
      <c r="A2536" s="3">
        <v>166.0</v>
      </c>
      <c r="B2536" s="3">
        <v>96.0</v>
      </c>
      <c r="C2536" s="3">
        <v>2200502.0</v>
      </c>
      <c r="D2536" s="3">
        <v>1.1023</v>
      </c>
      <c r="E2536" s="3">
        <v>2.200502</v>
      </c>
    </row>
    <row r="2537" ht="12.75" customHeight="1">
      <c r="A2537" s="3">
        <v>166.0</v>
      </c>
      <c r="B2537" s="3">
        <v>97.0</v>
      </c>
      <c r="C2537" s="3">
        <v>3272502.0</v>
      </c>
      <c r="D2537" s="3">
        <v>1.4923</v>
      </c>
      <c r="E2537" s="3">
        <v>3.272502</v>
      </c>
    </row>
    <row r="2538" ht="12.75" customHeight="1">
      <c r="A2538" s="3">
        <v>166.0</v>
      </c>
      <c r="B2538" s="3">
        <v>98.0</v>
      </c>
      <c r="C2538" s="3">
        <v>4776702.0</v>
      </c>
      <c r="D2538" s="3">
        <v>1.9623</v>
      </c>
      <c r="E2538" s="3">
        <v>4.776702</v>
      </c>
    </row>
    <row r="2539" ht="12.75" customHeight="1">
      <c r="A2539" s="3">
        <v>166.0</v>
      </c>
      <c r="B2539" s="3">
        <v>99.0</v>
      </c>
      <c r="C2539" s="3">
        <v>6720000.0</v>
      </c>
      <c r="D2539" s="3">
        <v>2.3623</v>
      </c>
      <c r="E2539" s="3">
        <v>6.72</v>
      </c>
    </row>
    <row r="2540" ht="12.75" customHeight="1">
      <c r="A2540" s="3">
        <v>166.0</v>
      </c>
      <c r="B2540" s="3">
        <v>100.0</v>
      </c>
      <c r="C2540" s="3">
        <v>9030000.0</v>
      </c>
      <c r="D2540" s="3">
        <v>2.7123</v>
      </c>
      <c r="E2540" s="3">
        <v>9.03</v>
      </c>
    </row>
    <row r="2541" ht="12.75" customHeight="1">
      <c r="A2541" s="3">
        <v>167.0</v>
      </c>
      <c r="B2541" s="3">
        <v>234.0</v>
      </c>
      <c r="C2541" s="3">
        <v>0.0</v>
      </c>
      <c r="D2541" s="3">
        <v>0.0</v>
      </c>
      <c r="E2541" s="3">
        <v>0.0</v>
      </c>
    </row>
    <row r="2542" ht="12.75" customHeight="1">
      <c r="A2542" s="3">
        <v>167.0</v>
      </c>
      <c r="B2542" s="3">
        <v>235.0</v>
      </c>
      <c r="C2542" s="3">
        <v>260000.0</v>
      </c>
      <c r="D2542" s="3">
        <v>0.43</v>
      </c>
      <c r="E2542" s="3">
        <v>0.26</v>
      </c>
    </row>
    <row r="2543" ht="12.75" customHeight="1">
      <c r="A2543" s="3">
        <v>167.0</v>
      </c>
      <c r="B2543" s="3">
        <v>236.0</v>
      </c>
      <c r="C2543" s="3">
        <v>1020000.0</v>
      </c>
      <c r="D2543" s="3">
        <v>1.1</v>
      </c>
      <c r="E2543" s="3">
        <v>1.02</v>
      </c>
    </row>
    <row r="2544" ht="12.75" customHeight="1">
      <c r="A2544" s="3">
        <v>167.0</v>
      </c>
      <c r="B2544" s="3">
        <v>237.0</v>
      </c>
      <c r="C2544" s="3">
        <v>2470000.0</v>
      </c>
      <c r="D2544" s="3">
        <v>1.8</v>
      </c>
      <c r="E2544" s="3">
        <v>2.47</v>
      </c>
    </row>
    <row r="2545" ht="12.75" customHeight="1">
      <c r="A2545" s="3">
        <v>167.0</v>
      </c>
      <c r="B2545" s="3">
        <v>238.0</v>
      </c>
      <c r="C2545" s="3">
        <v>4820000.0</v>
      </c>
      <c r="D2545" s="3">
        <v>2.9</v>
      </c>
      <c r="E2545" s="3">
        <v>4.82</v>
      </c>
    </row>
    <row r="2546" ht="12.75" customHeight="1">
      <c r="A2546" s="3">
        <v>167.0</v>
      </c>
      <c r="B2546" s="3">
        <v>239.0</v>
      </c>
      <c r="C2546" s="3">
        <v>8260000.0</v>
      </c>
      <c r="D2546" s="3">
        <v>3.99</v>
      </c>
      <c r="E2546" s="3">
        <v>8.26</v>
      </c>
    </row>
    <row r="2547" ht="12.75" customHeight="1">
      <c r="A2547" s="3">
        <v>167.0</v>
      </c>
      <c r="B2547" s="3">
        <v>240.0</v>
      </c>
      <c r="C2547" s="3">
        <v>1.286E7</v>
      </c>
      <c r="D2547" s="3">
        <v>5.22</v>
      </c>
      <c r="E2547" s="3">
        <v>12.86</v>
      </c>
    </row>
    <row r="2548" ht="12.75" customHeight="1">
      <c r="A2548" s="3">
        <v>167.0</v>
      </c>
      <c r="B2548" s="3">
        <v>241.0</v>
      </c>
      <c r="C2548" s="3">
        <v>1.866E7</v>
      </c>
      <c r="D2548" s="3">
        <v>6.36</v>
      </c>
      <c r="E2548" s="3">
        <v>18.66</v>
      </c>
    </row>
    <row r="2549" ht="12.75" customHeight="1">
      <c r="A2549" s="3">
        <v>167.0</v>
      </c>
      <c r="B2549" s="3">
        <v>242.0</v>
      </c>
      <c r="C2549" s="3">
        <v>2.578E7</v>
      </c>
      <c r="D2549" s="3">
        <v>7.88</v>
      </c>
      <c r="E2549" s="3">
        <v>25.78</v>
      </c>
    </row>
    <row r="2550" ht="12.75" customHeight="1">
      <c r="A2550" s="3">
        <v>167.0</v>
      </c>
      <c r="B2550" s="3">
        <v>243.0</v>
      </c>
      <c r="C2550" s="3">
        <v>3.456E7</v>
      </c>
      <c r="D2550" s="3">
        <v>9.9</v>
      </c>
      <c r="E2550" s="3">
        <v>34.56</v>
      </c>
    </row>
    <row r="2551" ht="12.75" customHeight="1">
      <c r="A2551" s="3">
        <v>167.0</v>
      </c>
      <c r="B2551" s="3">
        <v>244.0</v>
      </c>
      <c r="C2551" s="3">
        <v>4.555E7</v>
      </c>
      <c r="D2551" s="3">
        <v>12.27</v>
      </c>
      <c r="E2551" s="3">
        <v>45.55</v>
      </c>
    </row>
    <row r="2552" ht="12.75" customHeight="1">
      <c r="A2552" s="3">
        <v>167.0</v>
      </c>
      <c r="B2552" s="3">
        <v>245.0</v>
      </c>
      <c r="C2552" s="3">
        <v>5.873E7</v>
      </c>
      <c r="D2552" s="3">
        <v>14.09</v>
      </c>
      <c r="E2552" s="3">
        <v>58.73</v>
      </c>
    </row>
    <row r="2553" ht="12.75" customHeight="1">
      <c r="A2553" s="3">
        <v>167.0</v>
      </c>
      <c r="B2553" s="3">
        <v>246.0</v>
      </c>
      <c r="C2553" s="3">
        <v>7.4E7</v>
      </c>
      <c r="D2553" s="3">
        <v>16.23</v>
      </c>
      <c r="E2553" s="3">
        <v>74.0</v>
      </c>
    </row>
    <row r="2554" ht="12.75" customHeight="1">
      <c r="A2554" s="3">
        <v>167.0</v>
      </c>
      <c r="B2554" s="3">
        <v>247.0</v>
      </c>
      <c r="C2554" s="3">
        <v>9.092E7</v>
      </c>
      <c r="D2554" s="3">
        <v>17.83</v>
      </c>
      <c r="E2554" s="3">
        <v>90.92</v>
      </c>
    </row>
    <row r="2555" ht="12.75" customHeight="1">
      <c r="A2555" s="3">
        <v>167.0</v>
      </c>
      <c r="B2555" s="3">
        <v>248.0</v>
      </c>
      <c r="C2555" s="3">
        <v>1.0942E8</v>
      </c>
      <c r="D2555" s="3">
        <v>19.19</v>
      </c>
      <c r="E2555" s="3">
        <v>109.42</v>
      </c>
    </row>
    <row r="2556" ht="12.75" customHeight="1">
      <c r="A2556" s="3">
        <v>167.0</v>
      </c>
      <c r="B2556" s="3">
        <v>249.0</v>
      </c>
      <c r="C2556" s="3">
        <v>1.2953E8</v>
      </c>
      <c r="D2556" s="3">
        <v>21.02</v>
      </c>
      <c r="E2556" s="3">
        <v>129.53</v>
      </c>
    </row>
    <row r="2557" ht="12.75" customHeight="1">
      <c r="A2557" s="3">
        <v>168.0</v>
      </c>
      <c r="B2557" s="3">
        <v>242.0</v>
      </c>
      <c r="C2557" s="3">
        <v>0.0</v>
      </c>
      <c r="D2557" s="3">
        <v>0.0</v>
      </c>
      <c r="E2557" s="3">
        <v>0.0</v>
      </c>
    </row>
    <row r="2558" ht="12.75" customHeight="1">
      <c r="A2558" s="3">
        <v>168.0</v>
      </c>
      <c r="B2558" s="3">
        <v>243.0</v>
      </c>
      <c r="C2558" s="3">
        <v>60.0</v>
      </c>
      <c r="D2558" s="3">
        <v>2.0E-4</v>
      </c>
      <c r="E2558" s="3">
        <v>6.0E-5</v>
      </c>
    </row>
    <row r="2559" ht="12.75" customHeight="1">
      <c r="A2559" s="3">
        <v>168.0</v>
      </c>
      <c r="B2559" s="3">
        <v>244.0</v>
      </c>
      <c r="C2559" s="3">
        <v>1900.0</v>
      </c>
      <c r="D2559" s="3">
        <v>0.004</v>
      </c>
      <c r="E2559" s="3">
        <v>0.0019</v>
      </c>
    </row>
    <row r="2560" ht="12.75" customHeight="1">
      <c r="A2560" s="3">
        <v>168.0</v>
      </c>
      <c r="B2560" s="3">
        <v>245.0</v>
      </c>
      <c r="C2560" s="3">
        <v>12000.0</v>
      </c>
      <c r="D2560" s="3">
        <v>0.02</v>
      </c>
      <c r="E2560" s="3">
        <v>0.012</v>
      </c>
    </row>
    <row r="2561" ht="12.75" customHeight="1">
      <c r="A2561" s="3">
        <v>168.0</v>
      </c>
      <c r="B2561" s="3">
        <v>246.0</v>
      </c>
      <c r="C2561" s="3">
        <v>37000.0</v>
      </c>
      <c r="D2561" s="3">
        <v>0.04</v>
      </c>
      <c r="E2561" s="3">
        <v>0.037</v>
      </c>
    </row>
    <row r="2562" ht="12.75" customHeight="1">
      <c r="A2562" s="3">
        <v>168.0</v>
      </c>
      <c r="B2562" s="3">
        <v>247.0</v>
      </c>
      <c r="C2562" s="3">
        <v>90000.0</v>
      </c>
      <c r="D2562" s="3">
        <v>0.08</v>
      </c>
      <c r="E2562" s="3">
        <v>0.09</v>
      </c>
    </row>
    <row r="2563" ht="12.75" customHeight="1">
      <c r="A2563" s="3">
        <v>168.0</v>
      </c>
      <c r="B2563" s="3">
        <v>248.0</v>
      </c>
      <c r="C2563" s="3">
        <v>208000.0</v>
      </c>
      <c r="D2563" s="3">
        <v>0.17</v>
      </c>
      <c r="E2563" s="3">
        <v>0.208</v>
      </c>
    </row>
    <row r="2564" ht="12.75" customHeight="1">
      <c r="A2564" s="3">
        <v>168.0</v>
      </c>
      <c r="B2564" s="3">
        <v>249.0</v>
      </c>
      <c r="C2564" s="3">
        <v>450000.0</v>
      </c>
      <c r="D2564" s="3">
        <v>0.33</v>
      </c>
      <c r="E2564" s="3">
        <v>0.45</v>
      </c>
    </row>
    <row r="2565" ht="12.75" customHeight="1">
      <c r="A2565" s="3">
        <v>168.0</v>
      </c>
      <c r="B2565" s="3">
        <v>250.0</v>
      </c>
      <c r="C2565" s="3">
        <v>882000.0</v>
      </c>
      <c r="D2565" s="3">
        <v>0.5</v>
      </c>
      <c r="E2565" s="3">
        <v>0.882</v>
      </c>
    </row>
    <row r="2566" ht="12.75" customHeight="1">
      <c r="A2566" s="3">
        <v>168.0</v>
      </c>
      <c r="B2566" s="3">
        <v>251.0</v>
      </c>
      <c r="C2566" s="3">
        <v>1526000.0</v>
      </c>
      <c r="D2566" s="3">
        <v>0.75</v>
      </c>
      <c r="E2566" s="3">
        <v>1.526</v>
      </c>
    </row>
    <row r="2567" ht="12.75" customHeight="1">
      <c r="A2567" s="3">
        <v>168.0</v>
      </c>
      <c r="B2567" s="3">
        <v>252.0</v>
      </c>
      <c r="C2567" s="3">
        <v>2385000.0</v>
      </c>
      <c r="D2567" s="3">
        <v>1.0</v>
      </c>
      <c r="E2567" s="3">
        <v>2.385</v>
      </c>
    </row>
    <row r="2568" ht="12.75" customHeight="1">
      <c r="A2568" s="3">
        <v>168.0</v>
      </c>
      <c r="B2568" s="3">
        <v>253.0</v>
      </c>
      <c r="C2568" s="3">
        <v>3472000.0</v>
      </c>
      <c r="D2568" s="3">
        <v>1.0</v>
      </c>
      <c r="E2568" s="3">
        <v>3.472</v>
      </c>
    </row>
    <row r="2569" ht="12.75" customHeight="1">
      <c r="A2569" s="3">
        <v>168.0</v>
      </c>
      <c r="B2569" s="3">
        <v>254.0</v>
      </c>
      <c r="C2569" s="3">
        <v>4805000.0</v>
      </c>
      <c r="D2569" s="3">
        <v>1.0</v>
      </c>
      <c r="E2569" s="3">
        <v>4.805</v>
      </c>
    </row>
    <row r="2570" ht="12.75" customHeight="1">
      <c r="A2570" s="3">
        <v>168.0</v>
      </c>
      <c r="B2570" s="3">
        <v>255.0</v>
      </c>
      <c r="C2570" s="3">
        <v>6420000.0</v>
      </c>
      <c r="D2570" s="3">
        <v>1.7</v>
      </c>
      <c r="E2570" s="3">
        <v>6.42</v>
      </c>
    </row>
    <row r="2571" ht="12.75" customHeight="1">
      <c r="A2571" s="3">
        <v>168.0</v>
      </c>
      <c r="B2571" s="3">
        <v>256.0</v>
      </c>
      <c r="C2571" s="3">
        <v>8351000.0</v>
      </c>
      <c r="D2571" s="3">
        <v>2.1</v>
      </c>
      <c r="E2571" s="3">
        <v>8.351</v>
      </c>
    </row>
    <row r="2572" ht="12.75" customHeight="1">
      <c r="A2572" s="3">
        <v>168.0</v>
      </c>
      <c r="B2572" s="3">
        <v>257.0</v>
      </c>
      <c r="C2572" s="3">
        <v>1.0613E7</v>
      </c>
      <c r="D2572" s="3">
        <v>2.4</v>
      </c>
      <c r="E2572" s="3">
        <v>10.613</v>
      </c>
    </row>
    <row r="2573" ht="12.75" customHeight="1">
      <c r="A2573" s="3">
        <v>168.0</v>
      </c>
      <c r="B2573" s="3">
        <v>258.0</v>
      </c>
      <c r="C2573" s="3">
        <v>1.32E7</v>
      </c>
      <c r="D2573" s="3">
        <v>2.7</v>
      </c>
      <c r="E2573" s="3">
        <v>13.2</v>
      </c>
    </row>
    <row r="2574" ht="12.75" customHeight="1">
      <c r="A2574" s="3">
        <v>168.0</v>
      </c>
      <c r="B2574" s="3">
        <v>259.0</v>
      </c>
      <c r="C2574" s="3">
        <v>1.6067E7</v>
      </c>
      <c r="D2574" s="3">
        <v>3.0</v>
      </c>
      <c r="E2574" s="3">
        <v>16.067</v>
      </c>
    </row>
    <row r="2575" ht="12.75" customHeight="1">
      <c r="A2575" s="3">
        <v>168.0</v>
      </c>
      <c r="B2575" s="3">
        <v>259.73</v>
      </c>
      <c r="C2575" s="3">
        <v>1.8306E7</v>
      </c>
      <c r="D2575" s="3">
        <v>3.14</v>
      </c>
      <c r="E2575" s="3">
        <v>18.306</v>
      </c>
    </row>
    <row r="2576" ht="12.75" customHeight="1">
      <c r="A2576" s="3">
        <v>168.0</v>
      </c>
      <c r="B2576" s="3">
        <v>260.0</v>
      </c>
      <c r="C2576" s="3">
        <v>1.9074E7</v>
      </c>
      <c r="D2576" s="3">
        <v>3.3</v>
      </c>
      <c r="E2576" s="3">
        <v>19.074</v>
      </c>
    </row>
    <row r="2577" ht="12.75" customHeight="1">
      <c r="A2577" s="3">
        <v>168.0</v>
      </c>
      <c r="B2577" s="3">
        <v>261.0</v>
      </c>
      <c r="C2577" s="3">
        <v>2.22E7</v>
      </c>
      <c r="D2577" s="3">
        <v>3.85</v>
      </c>
      <c r="E2577" s="3">
        <v>22.2</v>
      </c>
    </row>
    <row r="2578" ht="12.75" customHeight="1">
      <c r="A2578" s="3">
        <v>168.0</v>
      </c>
      <c r="B2578" s="3">
        <v>262.0</v>
      </c>
      <c r="C2578" s="3">
        <v>2.557E7</v>
      </c>
      <c r="D2578" s="3">
        <v>4.36</v>
      </c>
      <c r="E2578" s="3">
        <v>25.57</v>
      </c>
    </row>
    <row r="2579" ht="12.75" customHeight="1">
      <c r="A2579" s="3">
        <v>168.0</v>
      </c>
      <c r="B2579" s="3">
        <v>263.0</v>
      </c>
      <c r="C2579" s="3">
        <v>2.92E7</v>
      </c>
      <c r="D2579" s="3">
        <v>4.85</v>
      </c>
      <c r="E2579" s="3">
        <v>29.2</v>
      </c>
    </row>
    <row r="2580" ht="12.75" customHeight="1">
      <c r="A2580" s="3">
        <v>168.0</v>
      </c>
      <c r="B2580" s="3">
        <v>264.0</v>
      </c>
      <c r="C2580" s="3">
        <v>3.31E7</v>
      </c>
      <c r="D2580" s="3">
        <v>5.38</v>
      </c>
      <c r="E2580" s="3">
        <v>33.1</v>
      </c>
    </row>
    <row r="2581" ht="12.75" customHeight="1">
      <c r="A2581" s="3">
        <v>168.0</v>
      </c>
      <c r="B2581" s="3">
        <v>265.0</v>
      </c>
      <c r="C2581" s="3">
        <v>3.725E7</v>
      </c>
      <c r="D2581" s="3">
        <v>5.95</v>
      </c>
      <c r="E2581" s="3">
        <v>37.25</v>
      </c>
    </row>
    <row r="2582" ht="12.75" customHeight="1">
      <c r="A2582" s="3">
        <v>168.0</v>
      </c>
      <c r="B2582" s="3">
        <v>266.0</v>
      </c>
      <c r="C2582" s="3">
        <v>4.175E7</v>
      </c>
      <c r="D2582" s="3">
        <v>6.61</v>
      </c>
      <c r="E2582" s="3">
        <v>41.75</v>
      </c>
    </row>
    <row r="2583" ht="12.75" customHeight="1">
      <c r="A2583" s="3">
        <v>168.0</v>
      </c>
      <c r="B2583" s="3">
        <v>267.0</v>
      </c>
      <c r="C2583" s="3">
        <v>4.655E7</v>
      </c>
      <c r="D2583" s="3">
        <v>7.23</v>
      </c>
      <c r="E2583" s="3">
        <v>46.55</v>
      </c>
    </row>
    <row r="2584" ht="12.75" customHeight="1">
      <c r="A2584" s="3">
        <v>168.0</v>
      </c>
      <c r="B2584" s="3">
        <v>268.0</v>
      </c>
      <c r="C2584" s="3">
        <v>5.16E7</v>
      </c>
      <c r="D2584" s="3">
        <v>7.7</v>
      </c>
      <c r="E2584" s="3">
        <v>51.6</v>
      </c>
    </row>
    <row r="2585" ht="12.75" customHeight="1">
      <c r="A2585" s="3">
        <v>168.0</v>
      </c>
      <c r="B2585" s="3">
        <v>269.0</v>
      </c>
      <c r="C2585" s="3">
        <v>5.687E7</v>
      </c>
      <c r="D2585" s="3">
        <v>8.16</v>
      </c>
      <c r="E2585" s="3">
        <v>56.87</v>
      </c>
    </row>
    <row r="2586" ht="12.75" customHeight="1">
      <c r="A2586" s="3">
        <v>168.0</v>
      </c>
      <c r="B2586" s="3">
        <v>270.0</v>
      </c>
      <c r="C2586" s="3">
        <v>6.237E7</v>
      </c>
      <c r="D2586" s="3">
        <v>8.61</v>
      </c>
      <c r="E2586" s="3">
        <v>62.37</v>
      </c>
    </row>
    <row r="2587" ht="12.75" customHeight="1">
      <c r="A2587" s="3">
        <v>168.0</v>
      </c>
      <c r="B2587" s="3">
        <v>271.0</v>
      </c>
      <c r="C2587" s="3">
        <v>6.8228E7</v>
      </c>
      <c r="D2587" s="3">
        <v>9.33</v>
      </c>
      <c r="E2587" s="3">
        <v>68.228</v>
      </c>
    </row>
    <row r="2588" ht="12.75" customHeight="1">
      <c r="A2588" s="3">
        <v>168.0</v>
      </c>
      <c r="B2588" s="3">
        <v>272.0</v>
      </c>
      <c r="C2588" s="3">
        <v>7.46E7</v>
      </c>
      <c r="D2588" s="3">
        <v>10.36</v>
      </c>
      <c r="E2588" s="3">
        <v>74.6</v>
      </c>
    </row>
    <row r="2589" ht="12.75" customHeight="1">
      <c r="A2589" s="3">
        <v>168.0</v>
      </c>
      <c r="B2589" s="3">
        <v>273.0</v>
      </c>
      <c r="C2589" s="3">
        <v>8.1521E7</v>
      </c>
      <c r="D2589" s="3">
        <v>11.45</v>
      </c>
      <c r="E2589" s="3">
        <v>81.521</v>
      </c>
    </row>
    <row r="2590" ht="12.75" customHeight="1">
      <c r="A2590" s="3">
        <v>169.0</v>
      </c>
      <c r="B2590" s="3">
        <v>21.66</v>
      </c>
      <c r="C2590" s="3">
        <v>0.0</v>
      </c>
      <c r="D2590" s="3">
        <v>0.0</v>
      </c>
      <c r="E2590" s="3">
        <v>0.0</v>
      </c>
    </row>
    <row r="2591" ht="12.75" customHeight="1">
      <c r="A2591" s="3">
        <v>169.0</v>
      </c>
      <c r="B2591" s="3">
        <v>22.0</v>
      </c>
      <c r="C2591" s="3">
        <v>21.0</v>
      </c>
      <c r="D2591" s="3">
        <v>0.0</v>
      </c>
      <c r="E2591" s="3">
        <v>2.1E-5</v>
      </c>
    </row>
    <row r="2592" ht="12.75" customHeight="1">
      <c r="A2592" s="3">
        <v>169.0</v>
      </c>
      <c r="B2592" s="3">
        <v>23.0</v>
      </c>
      <c r="C2592" s="3">
        <v>1500.0</v>
      </c>
      <c r="D2592" s="3">
        <v>0.0</v>
      </c>
      <c r="E2592" s="3">
        <v>0.0015</v>
      </c>
    </row>
    <row r="2593" ht="12.75" customHeight="1">
      <c r="A2593" s="3">
        <v>169.0</v>
      </c>
      <c r="B2593" s="3">
        <v>24.0</v>
      </c>
      <c r="C2593" s="3">
        <v>10300.0</v>
      </c>
      <c r="D2593" s="3">
        <v>0.0</v>
      </c>
      <c r="E2593" s="3">
        <v>0.0103</v>
      </c>
    </row>
    <row r="2594" ht="12.75" customHeight="1">
      <c r="A2594" s="3">
        <v>169.0</v>
      </c>
      <c r="B2594" s="3">
        <v>25.0</v>
      </c>
      <c r="C2594" s="3">
        <v>39600.0</v>
      </c>
      <c r="D2594" s="3">
        <v>0.0</v>
      </c>
      <c r="E2594" s="3">
        <v>0.0396</v>
      </c>
    </row>
    <row r="2595" ht="12.75" customHeight="1">
      <c r="A2595" s="3">
        <v>169.0</v>
      </c>
      <c r="B2595" s="3">
        <v>26.0</v>
      </c>
      <c r="C2595" s="3">
        <v>130900.0</v>
      </c>
      <c r="D2595" s="3">
        <v>0.0</v>
      </c>
      <c r="E2595" s="3">
        <v>0.1309</v>
      </c>
    </row>
    <row r="2596" ht="12.75" customHeight="1">
      <c r="A2596" s="3">
        <v>169.0</v>
      </c>
      <c r="B2596" s="3">
        <v>27.0</v>
      </c>
      <c r="C2596" s="3">
        <v>353000.0</v>
      </c>
      <c r="D2596" s="3">
        <v>0.0</v>
      </c>
      <c r="E2596" s="3">
        <v>0.353</v>
      </c>
    </row>
    <row r="2597" ht="12.75" customHeight="1">
      <c r="A2597" s="3">
        <v>169.0</v>
      </c>
      <c r="B2597" s="3">
        <v>28.0</v>
      </c>
      <c r="C2597" s="3">
        <v>772000.0</v>
      </c>
      <c r="D2597" s="3">
        <v>1.0</v>
      </c>
      <c r="E2597" s="3">
        <v>0.772</v>
      </c>
    </row>
    <row r="2598" ht="12.75" customHeight="1">
      <c r="A2598" s="3">
        <v>169.0</v>
      </c>
      <c r="B2598" s="3">
        <v>29.0</v>
      </c>
      <c r="C2598" s="3">
        <v>1511000.0</v>
      </c>
      <c r="D2598" s="3">
        <v>1.0</v>
      </c>
      <c r="E2598" s="3">
        <v>1.511</v>
      </c>
    </row>
    <row r="2599" ht="12.75" customHeight="1">
      <c r="A2599" s="3">
        <v>169.0</v>
      </c>
      <c r="B2599" s="3">
        <v>30.0</v>
      </c>
      <c r="C2599" s="3">
        <v>2716000.0</v>
      </c>
      <c r="D2599" s="3">
        <v>2.0</v>
      </c>
      <c r="E2599" s="3">
        <v>2.716</v>
      </c>
    </row>
    <row r="2600" ht="12.75" customHeight="1">
      <c r="A2600" s="3">
        <v>169.0</v>
      </c>
      <c r="B2600" s="3">
        <v>31.0</v>
      </c>
      <c r="C2600" s="3">
        <v>4570900.0</v>
      </c>
      <c r="D2600" s="3">
        <v>2.0</v>
      </c>
      <c r="E2600" s="3">
        <v>4.5709</v>
      </c>
    </row>
    <row r="2601" ht="12.75" customHeight="1">
      <c r="A2601" s="3">
        <v>169.0</v>
      </c>
      <c r="B2601" s="3">
        <v>32.0</v>
      </c>
      <c r="C2601" s="3">
        <v>7210000.0</v>
      </c>
      <c r="D2601" s="3">
        <v>3.0</v>
      </c>
      <c r="E2601" s="3">
        <v>7.21</v>
      </c>
    </row>
    <row r="2602" ht="12.75" customHeight="1">
      <c r="A2602" s="3">
        <v>169.0</v>
      </c>
      <c r="B2602" s="3">
        <v>33.0</v>
      </c>
      <c r="C2602" s="3">
        <v>1.0512E7</v>
      </c>
      <c r="D2602" s="3">
        <v>3.0</v>
      </c>
      <c r="E2602" s="3">
        <v>10.512</v>
      </c>
    </row>
    <row r="2603" ht="12.75" customHeight="1">
      <c r="A2603" s="3">
        <v>169.0</v>
      </c>
      <c r="B2603" s="3">
        <v>33.54</v>
      </c>
      <c r="C2603" s="3">
        <v>1.236E7</v>
      </c>
      <c r="D2603" s="3">
        <v>4.0</v>
      </c>
      <c r="E2603" s="3">
        <v>12.36</v>
      </c>
    </row>
    <row r="2604" ht="12.75" customHeight="1">
      <c r="A2604" s="3">
        <v>169.0</v>
      </c>
      <c r="B2604" s="3">
        <v>34.0</v>
      </c>
      <c r="C2604" s="3">
        <v>1.52E7</v>
      </c>
      <c r="D2604" s="3">
        <v>4.0</v>
      </c>
      <c r="E2604" s="3">
        <v>15.2</v>
      </c>
    </row>
    <row r="2605" ht="12.75" customHeight="1">
      <c r="A2605" s="3">
        <v>169.0</v>
      </c>
      <c r="B2605" s="3">
        <v>35.0</v>
      </c>
      <c r="C2605" s="3">
        <v>2.27E7</v>
      </c>
      <c r="D2605" s="3">
        <v>6.0</v>
      </c>
      <c r="E2605" s="3">
        <v>22.7</v>
      </c>
    </row>
    <row r="2606" ht="12.75" customHeight="1">
      <c r="A2606" s="3">
        <v>169.0</v>
      </c>
      <c r="B2606" s="3">
        <v>36.0</v>
      </c>
      <c r="C2606" s="3">
        <v>3.17E7</v>
      </c>
      <c r="D2606" s="3">
        <v>7.0</v>
      </c>
      <c r="E2606" s="3">
        <v>31.7</v>
      </c>
    </row>
    <row r="2607" ht="12.75" customHeight="1">
      <c r="A2607" s="3">
        <v>169.0</v>
      </c>
      <c r="B2607" s="3">
        <v>37.0</v>
      </c>
      <c r="C2607" s="3">
        <v>4.22E7</v>
      </c>
      <c r="D2607" s="3">
        <v>9.0</v>
      </c>
      <c r="E2607" s="3">
        <v>42.2</v>
      </c>
    </row>
    <row r="2608" ht="12.75" customHeight="1">
      <c r="A2608" s="3">
        <v>169.0</v>
      </c>
      <c r="B2608" s="3">
        <v>38.0</v>
      </c>
      <c r="C2608" s="3">
        <v>5.44E7</v>
      </c>
      <c r="D2608" s="3">
        <v>10.0</v>
      </c>
      <c r="E2608" s="3">
        <v>54.4</v>
      </c>
    </row>
    <row r="2609" ht="12.75" customHeight="1">
      <c r="A2609" s="3">
        <v>169.0</v>
      </c>
      <c r="B2609" s="3">
        <v>39.0</v>
      </c>
      <c r="C2609" s="3">
        <v>6.83E7</v>
      </c>
      <c r="D2609" s="3">
        <v>12.0</v>
      </c>
      <c r="E2609" s="3">
        <v>68.3</v>
      </c>
    </row>
    <row r="2610" ht="12.75" customHeight="1">
      <c r="A2610" s="3">
        <v>169.0</v>
      </c>
      <c r="B2610" s="3">
        <v>40.0</v>
      </c>
      <c r="C2610" s="3">
        <v>8.41E7</v>
      </c>
      <c r="D2610" s="3">
        <v>14.0</v>
      </c>
      <c r="E2610" s="3">
        <v>84.1</v>
      </c>
    </row>
    <row r="2611" ht="12.75" customHeight="1">
      <c r="A2611" s="3">
        <v>170.0</v>
      </c>
      <c r="B2611" s="3">
        <v>284.0</v>
      </c>
      <c r="C2611" s="3">
        <v>0.0</v>
      </c>
      <c r="D2611" s="3">
        <v>0.0</v>
      </c>
      <c r="E2611" s="3">
        <v>0.0</v>
      </c>
    </row>
    <row r="2612" ht="12.75" customHeight="1">
      <c r="A2612" s="3">
        <v>170.0</v>
      </c>
      <c r="B2612" s="3">
        <v>285.0</v>
      </c>
      <c r="C2612" s="3">
        <v>0.0</v>
      </c>
      <c r="D2612" s="3">
        <v>0.01</v>
      </c>
      <c r="E2612" s="3">
        <v>0.0</v>
      </c>
    </row>
    <row r="2613" ht="12.75" customHeight="1">
      <c r="A2613" s="3">
        <v>170.0</v>
      </c>
      <c r="B2613" s="3">
        <v>286.0</v>
      </c>
      <c r="C2613" s="3">
        <v>0.0</v>
      </c>
      <c r="D2613" s="3">
        <v>0.0263</v>
      </c>
      <c r="E2613" s="3">
        <v>0.0</v>
      </c>
    </row>
    <row r="2614" ht="12.75" customHeight="1">
      <c r="A2614" s="3">
        <v>170.0</v>
      </c>
      <c r="B2614" s="3">
        <v>287.0</v>
      </c>
      <c r="C2614" s="3">
        <v>70000.0</v>
      </c>
      <c r="D2614" s="3">
        <v>0.089</v>
      </c>
      <c r="E2614" s="3">
        <v>0.07</v>
      </c>
    </row>
    <row r="2615" ht="12.75" customHeight="1">
      <c r="A2615" s="3">
        <v>170.0</v>
      </c>
      <c r="B2615" s="3">
        <v>288.0</v>
      </c>
      <c r="C2615" s="3">
        <v>180000.0</v>
      </c>
      <c r="D2615" s="3">
        <v>0.165</v>
      </c>
      <c r="E2615" s="3">
        <v>0.18</v>
      </c>
    </row>
    <row r="2616" ht="12.75" customHeight="1">
      <c r="A2616" s="3">
        <v>170.0</v>
      </c>
      <c r="B2616" s="3">
        <v>289.0</v>
      </c>
      <c r="C2616" s="3">
        <v>320000.0</v>
      </c>
      <c r="D2616" s="3">
        <v>0.1973</v>
      </c>
      <c r="E2616" s="3">
        <v>0.32</v>
      </c>
    </row>
    <row r="2617" ht="12.75" customHeight="1">
      <c r="A2617" s="3">
        <v>170.0</v>
      </c>
      <c r="B2617" s="3">
        <v>290.0</v>
      </c>
      <c r="C2617" s="3">
        <v>540000.0</v>
      </c>
      <c r="D2617" s="3">
        <v>0.3551</v>
      </c>
      <c r="E2617" s="3">
        <v>0.54</v>
      </c>
    </row>
    <row r="2618" ht="12.75" customHeight="1">
      <c r="A2618" s="3">
        <v>170.0</v>
      </c>
      <c r="B2618" s="3">
        <v>291.0</v>
      </c>
      <c r="C2618" s="3">
        <v>1080000.0</v>
      </c>
      <c r="D2618" s="3">
        <v>0.5523</v>
      </c>
      <c r="E2618" s="3">
        <v>1.08</v>
      </c>
    </row>
    <row r="2619" ht="12.75" customHeight="1">
      <c r="A2619" s="3">
        <v>170.0</v>
      </c>
      <c r="B2619" s="3">
        <v>292.0</v>
      </c>
      <c r="C2619" s="3">
        <v>1620000.0</v>
      </c>
      <c r="D2619" s="3">
        <v>0.7233</v>
      </c>
      <c r="E2619" s="3">
        <v>1.62</v>
      </c>
    </row>
    <row r="2620" ht="12.75" customHeight="1">
      <c r="A2620" s="3">
        <v>170.0</v>
      </c>
      <c r="B2620" s="3">
        <v>293.0</v>
      </c>
      <c r="C2620" s="3">
        <v>2390000.0</v>
      </c>
      <c r="D2620" s="3">
        <v>0.8811</v>
      </c>
      <c r="E2620" s="3">
        <v>2.39</v>
      </c>
    </row>
    <row r="2621" ht="12.75" customHeight="1">
      <c r="A2621" s="3">
        <v>170.0</v>
      </c>
      <c r="B2621" s="3">
        <v>294.0</v>
      </c>
      <c r="C2621" s="3">
        <v>3690000.0</v>
      </c>
      <c r="D2621" s="3">
        <v>1.1046</v>
      </c>
      <c r="E2621" s="3">
        <v>3.69</v>
      </c>
    </row>
    <row r="2622" ht="12.75" customHeight="1">
      <c r="A2622" s="3">
        <v>170.0</v>
      </c>
      <c r="B2622" s="3">
        <v>295.0</v>
      </c>
      <c r="C2622" s="3">
        <v>4770000.0</v>
      </c>
      <c r="D2622" s="3">
        <v>1.3939</v>
      </c>
      <c r="E2622" s="3">
        <v>4.77</v>
      </c>
    </row>
    <row r="2623" ht="12.75" customHeight="1">
      <c r="A2623" s="3">
        <v>170.0</v>
      </c>
      <c r="B2623" s="3">
        <v>296.0</v>
      </c>
      <c r="C2623" s="3">
        <v>6300000.0</v>
      </c>
      <c r="D2623" s="3">
        <v>1.6438</v>
      </c>
      <c r="E2623" s="3">
        <v>6.3</v>
      </c>
    </row>
    <row r="2624" ht="12.75" customHeight="1">
      <c r="A2624" s="3">
        <v>170.0</v>
      </c>
      <c r="B2624" s="3">
        <v>297.0</v>
      </c>
      <c r="C2624" s="3">
        <v>8100000.0</v>
      </c>
      <c r="D2624" s="3">
        <v>1.9199</v>
      </c>
      <c r="E2624" s="3">
        <v>8.1</v>
      </c>
    </row>
    <row r="2625" ht="12.75" customHeight="1">
      <c r="A2625" s="3">
        <v>170.0</v>
      </c>
      <c r="B2625" s="3">
        <v>298.0</v>
      </c>
      <c r="C2625" s="3">
        <v>1.027E7</v>
      </c>
      <c r="D2625" s="3">
        <v>2.2487</v>
      </c>
      <c r="E2625" s="3">
        <v>10.27</v>
      </c>
    </row>
    <row r="2626" ht="12.75" customHeight="1">
      <c r="A2626" s="3">
        <v>170.0</v>
      </c>
      <c r="B2626" s="3">
        <v>299.0</v>
      </c>
      <c r="C2626" s="3">
        <v>1.243E7</v>
      </c>
      <c r="D2626" s="3">
        <v>2.5511</v>
      </c>
      <c r="E2626" s="3">
        <v>12.43</v>
      </c>
    </row>
    <row r="2627" ht="12.75" customHeight="1">
      <c r="A2627" s="3">
        <v>170.0</v>
      </c>
      <c r="B2627" s="3">
        <v>300.0</v>
      </c>
      <c r="C2627" s="3">
        <v>1.531E7</v>
      </c>
      <c r="D2627" s="3">
        <v>2.893</v>
      </c>
      <c r="E2627" s="3">
        <v>15.31</v>
      </c>
    </row>
    <row r="2628" ht="12.75" customHeight="1">
      <c r="A2628" s="3">
        <v>170.0</v>
      </c>
      <c r="B2628" s="3">
        <v>305.0</v>
      </c>
      <c r="C2628" s="3">
        <v>3.433E7</v>
      </c>
      <c r="D2628" s="3">
        <v>4.8</v>
      </c>
      <c r="E2628" s="3">
        <v>34.33</v>
      </c>
    </row>
    <row r="2629" ht="12.75" customHeight="1">
      <c r="A2629" s="3">
        <v>170.0</v>
      </c>
      <c r="B2629" s="3">
        <v>306.0</v>
      </c>
      <c r="C2629" s="3">
        <v>4.0E7</v>
      </c>
      <c r="D2629" s="3">
        <v>6.0</v>
      </c>
      <c r="E2629" s="3">
        <v>40.0</v>
      </c>
    </row>
    <row r="2630" ht="12.75" customHeight="1">
      <c r="A2630" s="3">
        <v>170.0</v>
      </c>
      <c r="B2630" s="3">
        <v>307.0</v>
      </c>
      <c r="C2630" s="3">
        <v>4.3E7</v>
      </c>
      <c r="D2630" s="3">
        <v>9.0</v>
      </c>
      <c r="E2630" s="3">
        <v>43.0</v>
      </c>
    </row>
    <row r="2631" ht="12.75" customHeight="1">
      <c r="A2631" s="3">
        <v>171.0</v>
      </c>
      <c r="B2631" s="3">
        <v>84.0</v>
      </c>
      <c r="C2631" s="3">
        <v>0.0</v>
      </c>
      <c r="D2631" s="3">
        <v>0.0</v>
      </c>
      <c r="E2631" s="3">
        <v>0.0</v>
      </c>
    </row>
    <row r="2632" ht="12.75" customHeight="1">
      <c r="A2632" s="3">
        <v>171.0</v>
      </c>
      <c r="B2632" s="3">
        <v>85.0</v>
      </c>
      <c r="C2632" s="3">
        <v>3.0</v>
      </c>
      <c r="D2632" s="3">
        <v>0.0</v>
      </c>
      <c r="E2632" s="3">
        <v>3.0E-6</v>
      </c>
    </row>
    <row r="2633" ht="12.75" customHeight="1">
      <c r="A2633" s="3">
        <v>171.0</v>
      </c>
      <c r="B2633" s="3">
        <v>86.0</v>
      </c>
      <c r="C2633" s="3">
        <v>1223.0</v>
      </c>
      <c r="D2633" s="3">
        <v>0.0038</v>
      </c>
      <c r="E2633" s="3">
        <v>0.001223</v>
      </c>
    </row>
    <row r="2634" ht="12.75" customHeight="1">
      <c r="A2634" s="3">
        <v>171.0</v>
      </c>
      <c r="B2634" s="3">
        <v>87.0</v>
      </c>
      <c r="C2634" s="3">
        <v>15082.0</v>
      </c>
      <c r="D2634" s="3">
        <v>0.0319</v>
      </c>
      <c r="E2634" s="3">
        <v>0.015082</v>
      </c>
    </row>
    <row r="2635" ht="12.75" customHeight="1">
      <c r="A2635" s="3">
        <v>171.0</v>
      </c>
      <c r="B2635" s="3">
        <v>88.0</v>
      </c>
      <c r="C2635" s="3">
        <v>81528.0</v>
      </c>
      <c r="D2635" s="3">
        <v>0.1106</v>
      </c>
      <c r="E2635" s="3">
        <v>0.081528</v>
      </c>
    </row>
    <row r="2636" ht="12.75" customHeight="1">
      <c r="A2636" s="3">
        <v>171.0</v>
      </c>
      <c r="B2636" s="3">
        <v>89.0</v>
      </c>
      <c r="C2636" s="3">
        <v>251084.0</v>
      </c>
      <c r="D2636" s="3">
        <v>0.2264</v>
      </c>
      <c r="E2636" s="3">
        <v>0.251084</v>
      </c>
    </row>
    <row r="2637" ht="12.75" customHeight="1">
      <c r="A2637" s="3">
        <v>171.0</v>
      </c>
      <c r="B2637" s="3">
        <v>90.0</v>
      </c>
      <c r="C2637" s="3">
        <v>553973.0</v>
      </c>
      <c r="D2637" s="3">
        <v>0.3908</v>
      </c>
      <c r="E2637" s="3">
        <v>0.553973</v>
      </c>
    </row>
    <row r="2638" ht="12.75" customHeight="1">
      <c r="A2638" s="3">
        <v>171.0</v>
      </c>
      <c r="B2638" s="3">
        <v>91.0</v>
      </c>
      <c r="C2638" s="3">
        <v>1044715.0</v>
      </c>
      <c r="D2638" s="3">
        <v>0.5865</v>
      </c>
      <c r="E2638" s="3">
        <v>1.044715</v>
      </c>
    </row>
    <row r="2639" ht="12.75" customHeight="1">
      <c r="A2639" s="3">
        <v>171.0</v>
      </c>
      <c r="B2639" s="3">
        <v>92.0</v>
      </c>
      <c r="C2639" s="3">
        <v>1702926.0</v>
      </c>
      <c r="D2639" s="3">
        <v>0.7418</v>
      </c>
      <c r="E2639" s="3">
        <v>1.702926</v>
      </c>
    </row>
    <row r="2640" ht="12.75" customHeight="1">
      <c r="A2640" s="3">
        <v>171.0</v>
      </c>
      <c r="B2640" s="3">
        <v>93.0</v>
      </c>
      <c r="C2640" s="3">
        <v>2527990.0</v>
      </c>
      <c r="D2640" s="3">
        <v>0.8526</v>
      </c>
      <c r="E2640" s="3">
        <v>2.52799</v>
      </c>
    </row>
    <row r="2641" ht="12.75" customHeight="1">
      <c r="A2641" s="3">
        <v>171.0</v>
      </c>
      <c r="B2641" s="3">
        <v>93.63</v>
      </c>
      <c r="C2641" s="3">
        <v>3070358.0</v>
      </c>
      <c r="D2641" s="3">
        <v>0.9077</v>
      </c>
      <c r="E2641" s="3">
        <v>3.070358</v>
      </c>
    </row>
    <row r="2642" ht="12.75" customHeight="1">
      <c r="A2642" s="3">
        <v>171.0</v>
      </c>
      <c r="B2642" s="3">
        <v>95.0</v>
      </c>
      <c r="C2642" s="3">
        <v>4656821.0</v>
      </c>
      <c r="D2642" s="3">
        <v>1.2639</v>
      </c>
      <c r="E2642" s="3">
        <v>4.656821</v>
      </c>
    </row>
    <row r="2643" ht="12.75" customHeight="1">
      <c r="A2643" s="3">
        <v>171.0</v>
      </c>
      <c r="B2643" s="3">
        <v>98.5</v>
      </c>
      <c r="C2643" s="3">
        <v>1.4586821E7</v>
      </c>
      <c r="D2643" s="3">
        <v>1.6839</v>
      </c>
      <c r="E2643" s="3">
        <v>14.586821</v>
      </c>
    </row>
    <row r="2644" ht="12.75" customHeight="1">
      <c r="A2644" s="3">
        <v>171.0</v>
      </c>
      <c r="B2644" s="3">
        <v>100.0</v>
      </c>
      <c r="C2644" s="3">
        <v>1.8716821E7</v>
      </c>
      <c r="D2644" s="3">
        <v>3.3439</v>
      </c>
      <c r="E2644" s="3">
        <v>18.716821</v>
      </c>
    </row>
    <row r="2645" ht="12.75" customHeight="1">
      <c r="A2645" s="3">
        <v>172.0</v>
      </c>
      <c r="B2645" s="3">
        <v>333.49</v>
      </c>
      <c r="C2645" s="3">
        <v>0.0</v>
      </c>
      <c r="D2645" s="3">
        <v>0.0</v>
      </c>
      <c r="E2645" s="3">
        <v>0.0</v>
      </c>
    </row>
    <row r="2646" ht="12.75" customHeight="1">
      <c r="A2646" s="3">
        <v>172.0</v>
      </c>
      <c r="B2646" s="3">
        <v>334.0</v>
      </c>
      <c r="C2646" s="3">
        <v>117.0</v>
      </c>
      <c r="D2646" s="3">
        <v>5.0E-4</v>
      </c>
      <c r="E2646" s="3">
        <v>1.17E-4</v>
      </c>
    </row>
    <row r="2647" ht="12.75" customHeight="1">
      <c r="A2647" s="3">
        <v>172.0</v>
      </c>
      <c r="B2647" s="3">
        <v>335.0</v>
      </c>
      <c r="C2647" s="3">
        <v>1468.0</v>
      </c>
      <c r="D2647" s="3">
        <v>0.003</v>
      </c>
      <c r="E2647" s="3">
        <v>0.001468</v>
      </c>
    </row>
    <row r="2648" ht="12.75" customHeight="1">
      <c r="A2648" s="3">
        <v>172.0</v>
      </c>
      <c r="B2648" s="3">
        <v>336.0</v>
      </c>
      <c r="C2648" s="3">
        <v>9225.0</v>
      </c>
      <c r="D2648" s="3">
        <v>0.017</v>
      </c>
      <c r="E2648" s="3">
        <v>0.009225</v>
      </c>
    </row>
    <row r="2649" ht="12.75" customHeight="1">
      <c r="A2649" s="3">
        <v>172.0</v>
      </c>
      <c r="B2649" s="3">
        <v>337.0</v>
      </c>
      <c r="C2649" s="3">
        <v>56500.0</v>
      </c>
      <c r="D2649" s="3">
        <v>0.13</v>
      </c>
      <c r="E2649" s="3">
        <v>0.0565</v>
      </c>
    </row>
    <row r="2650" ht="12.75" customHeight="1">
      <c r="A2650" s="3">
        <v>172.0</v>
      </c>
      <c r="B2650" s="3">
        <v>338.0</v>
      </c>
      <c r="C2650" s="3">
        <v>495000.0</v>
      </c>
      <c r="D2650" s="3">
        <v>0.87</v>
      </c>
      <c r="E2650" s="3">
        <v>0.495</v>
      </c>
    </row>
    <row r="2651" ht="12.75" customHeight="1">
      <c r="A2651" s="3">
        <v>172.0</v>
      </c>
      <c r="B2651" s="3">
        <v>339.0</v>
      </c>
      <c r="C2651" s="3">
        <v>1762400.0</v>
      </c>
      <c r="D2651" s="3">
        <v>1.66</v>
      </c>
      <c r="E2651" s="3">
        <v>1.7624</v>
      </c>
    </row>
    <row r="2652" ht="12.75" customHeight="1">
      <c r="A2652" s="3">
        <v>172.0</v>
      </c>
      <c r="B2652" s="3">
        <v>340.0</v>
      </c>
      <c r="C2652" s="3">
        <v>3792560.0</v>
      </c>
      <c r="D2652" s="3">
        <v>2.43</v>
      </c>
      <c r="E2652" s="3">
        <v>3.79256</v>
      </c>
    </row>
    <row r="2653" ht="12.75" customHeight="1">
      <c r="A2653" s="3">
        <v>172.0</v>
      </c>
      <c r="B2653" s="3">
        <v>341.0</v>
      </c>
      <c r="C2653" s="3">
        <v>6611400.0</v>
      </c>
      <c r="D2653" s="3">
        <v>3.15</v>
      </c>
      <c r="E2653" s="3">
        <v>6.6114</v>
      </c>
    </row>
    <row r="2654" ht="12.75" customHeight="1">
      <c r="A2654" s="3">
        <v>172.0</v>
      </c>
      <c r="B2654" s="3">
        <v>342.0</v>
      </c>
      <c r="C2654" s="3">
        <v>1.010751E7</v>
      </c>
      <c r="D2654" s="3">
        <v>3.82</v>
      </c>
      <c r="E2654" s="3">
        <v>10.10751</v>
      </c>
    </row>
    <row r="2655" ht="12.75" customHeight="1">
      <c r="A2655" s="3">
        <v>172.0</v>
      </c>
      <c r="B2655" s="3">
        <v>343.0</v>
      </c>
      <c r="C2655" s="3">
        <v>1.41746E7</v>
      </c>
      <c r="D2655" s="3">
        <v>4.3</v>
      </c>
      <c r="E2655" s="3">
        <v>14.1746</v>
      </c>
    </row>
    <row r="2656" ht="12.75" customHeight="1">
      <c r="A2656" s="3">
        <v>172.0</v>
      </c>
      <c r="B2656" s="3">
        <v>343.64</v>
      </c>
      <c r="C2656" s="3">
        <v>1.703071E7</v>
      </c>
      <c r="D2656" s="3">
        <v>4.67</v>
      </c>
      <c r="E2656" s="3">
        <v>17.03071</v>
      </c>
    </row>
    <row r="2657" ht="12.75" customHeight="1">
      <c r="A2657" s="3">
        <v>172.0</v>
      </c>
      <c r="B2657" s="3">
        <v>344.0</v>
      </c>
      <c r="C2657" s="3">
        <v>1.94E7</v>
      </c>
      <c r="D2657" s="3">
        <v>5.39</v>
      </c>
      <c r="E2657" s="3">
        <v>19.4</v>
      </c>
    </row>
    <row r="2658" ht="12.75" customHeight="1">
      <c r="A2658" s="3">
        <v>172.0</v>
      </c>
      <c r="B2658" s="3">
        <v>345.0</v>
      </c>
      <c r="C2658" s="3">
        <v>2.69E7</v>
      </c>
      <c r="D2658" s="3">
        <v>6.61</v>
      </c>
      <c r="E2658" s="3">
        <v>26.9</v>
      </c>
    </row>
    <row r="2659" ht="12.75" customHeight="1">
      <c r="A2659" s="3">
        <v>172.0</v>
      </c>
      <c r="B2659" s="3">
        <v>346.0</v>
      </c>
      <c r="C2659" s="3">
        <v>3.59E7</v>
      </c>
      <c r="D2659" s="3">
        <v>8.2</v>
      </c>
      <c r="E2659" s="3">
        <v>35.9</v>
      </c>
    </row>
    <row r="2660" ht="12.75" customHeight="1">
      <c r="A2660" s="3">
        <v>172.0</v>
      </c>
      <c r="B2660" s="3">
        <v>347.0</v>
      </c>
      <c r="C2660" s="3">
        <v>4.69E7</v>
      </c>
      <c r="D2660" s="3">
        <v>9.73</v>
      </c>
      <c r="E2660" s="3">
        <v>46.9</v>
      </c>
    </row>
    <row r="2661" ht="12.75" customHeight="1">
      <c r="A2661" s="3">
        <v>172.0</v>
      </c>
      <c r="B2661" s="3">
        <v>348.0</v>
      </c>
      <c r="C2661" s="3">
        <v>5.86E7</v>
      </c>
      <c r="D2661" s="3">
        <v>11.45</v>
      </c>
      <c r="E2661" s="3">
        <v>58.6</v>
      </c>
    </row>
    <row r="2662" ht="12.75" customHeight="1">
      <c r="A2662" s="3">
        <v>172.0</v>
      </c>
      <c r="B2662" s="3">
        <v>349.0</v>
      </c>
      <c r="C2662" s="3">
        <v>7.24E7</v>
      </c>
      <c r="D2662" s="3">
        <v>13.1</v>
      </c>
      <c r="E2662" s="3">
        <v>72.4</v>
      </c>
    </row>
    <row r="2663" ht="12.75" customHeight="1">
      <c r="A2663" s="3">
        <v>172.0</v>
      </c>
      <c r="B2663" s="3">
        <v>350.0</v>
      </c>
      <c r="C2663" s="3">
        <v>8.8E7</v>
      </c>
      <c r="D2663" s="3">
        <v>14.85</v>
      </c>
      <c r="E2663" s="3">
        <v>88.0</v>
      </c>
    </row>
    <row r="2664" ht="12.75" customHeight="1">
      <c r="A2664" s="3">
        <v>172.0</v>
      </c>
      <c r="B2664" s="3">
        <v>351.0</v>
      </c>
      <c r="C2664" s="3">
        <v>1.05E8</v>
      </c>
      <c r="D2664" s="3">
        <v>16.82</v>
      </c>
      <c r="E2664" s="3">
        <v>105.0</v>
      </c>
    </row>
    <row r="2665" ht="12.75" customHeight="1">
      <c r="A2665" s="3">
        <v>172.0</v>
      </c>
      <c r="B2665" s="3">
        <v>352.0</v>
      </c>
      <c r="C2665" s="3">
        <v>1.25E8</v>
      </c>
      <c r="D2665" s="3">
        <v>18.78</v>
      </c>
      <c r="E2665" s="3">
        <v>125.0</v>
      </c>
    </row>
    <row r="2666" ht="12.75" customHeight="1">
      <c r="A2666" s="3">
        <v>172.0</v>
      </c>
      <c r="B2666" s="3">
        <v>353.0</v>
      </c>
      <c r="C2666" s="3">
        <v>1.46E8</v>
      </c>
      <c r="D2666" s="3">
        <v>20.62</v>
      </c>
      <c r="E2666" s="3">
        <v>146.0</v>
      </c>
    </row>
    <row r="2667" ht="12.75" customHeight="1">
      <c r="A2667" s="3">
        <v>172.0</v>
      </c>
      <c r="B2667" s="3">
        <v>354.0</v>
      </c>
      <c r="C2667" s="3">
        <v>1.691E8</v>
      </c>
      <c r="D2667" s="3">
        <v>22.51</v>
      </c>
      <c r="E2667" s="3">
        <v>169.1</v>
      </c>
    </row>
    <row r="2668" ht="12.75" customHeight="1">
      <c r="A2668" s="3">
        <v>172.0</v>
      </c>
      <c r="B2668" s="3">
        <v>355.0</v>
      </c>
      <c r="C2668" s="3">
        <v>1.941E8</v>
      </c>
      <c r="D2668" s="3">
        <v>24.52</v>
      </c>
      <c r="E2668" s="3">
        <v>194.1</v>
      </c>
    </row>
    <row r="2669" ht="12.75" customHeight="1">
      <c r="A2669" s="3">
        <v>173.0</v>
      </c>
      <c r="B2669" s="3">
        <v>59.74</v>
      </c>
      <c r="C2669" s="3">
        <v>0.0</v>
      </c>
      <c r="D2669" s="3">
        <v>0.0</v>
      </c>
      <c r="E2669" s="3">
        <v>0.0</v>
      </c>
    </row>
    <row r="2670" ht="12.75" customHeight="1">
      <c r="A2670" s="3">
        <v>173.0</v>
      </c>
      <c r="B2670" s="3">
        <v>60.0</v>
      </c>
      <c r="C2670" s="3">
        <v>14.0</v>
      </c>
      <c r="D2670" s="3">
        <v>2.0E-4</v>
      </c>
      <c r="E2670" s="3">
        <v>1.4E-5</v>
      </c>
    </row>
    <row r="2671" ht="12.75" customHeight="1">
      <c r="A2671" s="3">
        <v>173.0</v>
      </c>
      <c r="B2671" s="3">
        <v>61.0</v>
      </c>
      <c r="C2671" s="3">
        <v>2025.0</v>
      </c>
      <c r="D2671" s="3">
        <v>0.0051</v>
      </c>
      <c r="E2671" s="3">
        <v>0.002025</v>
      </c>
    </row>
    <row r="2672" ht="12.75" customHeight="1">
      <c r="A2672" s="3">
        <v>173.0</v>
      </c>
      <c r="B2672" s="3">
        <v>62.0</v>
      </c>
      <c r="C2672" s="3">
        <v>16786.0</v>
      </c>
      <c r="D2672" s="3">
        <v>0.0282</v>
      </c>
      <c r="E2672" s="3">
        <v>0.016786</v>
      </c>
    </row>
    <row r="2673" ht="12.75" customHeight="1">
      <c r="A2673" s="3">
        <v>173.0</v>
      </c>
      <c r="B2673" s="3">
        <v>63.0</v>
      </c>
      <c r="C2673" s="3">
        <v>72513.0</v>
      </c>
      <c r="D2673" s="3">
        <v>0.0962</v>
      </c>
      <c r="E2673" s="3">
        <v>0.072513</v>
      </c>
    </row>
    <row r="2674" ht="12.75" customHeight="1">
      <c r="A2674" s="3">
        <v>173.0</v>
      </c>
      <c r="B2674" s="3">
        <v>64.0</v>
      </c>
      <c r="C2674" s="3">
        <v>301443.0</v>
      </c>
      <c r="D2674" s="3">
        <v>0.4471</v>
      </c>
      <c r="E2674" s="3">
        <v>0.301443</v>
      </c>
    </row>
    <row r="2675" ht="12.75" customHeight="1">
      <c r="A2675" s="3">
        <v>173.0</v>
      </c>
      <c r="B2675" s="3">
        <v>65.0</v>
      </c>
      <c r="C2675" s="3">
        <v>1083073.0</v>
      </c>
      <c r="D2675" s="3">
        <v>1.1092</v>
      </c>
      <c r="E2675" s="3">
        <v>1.083073</v>
      </c>
    </row>
    <row r="2676" ht="12.75" customHeight="1">
      <c r="A2676" s="3">
        <v>173.0</v>
      </c>
      <c r="B2676" s="3">
        <v>66.0</v>
      </c>
      <c r="C2676" s="3">
        <v>2669551.0</v>
      </c>
      <c r="D2676" s="3">
        <v>2.1566</v>
      </c>
      <c r="E2676" s="3">
        <v>2.669551</v>
      </c>
    </row>
    <row r="2677" ht="12.75" customHeight="1">
      <c r="A2677" s="3">
        <v>173.0</v>
      </c>
      <c r="B2677" s="3">
        <v>67.0</v>
      </c>
      <c r="C2677" s="3">
        <v>5569780.0</v>
      </c>
      <c r="D2677" s="3">
        <v>3.6446</v>
      </c>
      <c r="E2677" s="3">
        <v>5.56978</v>
      </c>
    </row>
    <row r="2678" ht="12.75" customHeight="1">
      <c r="A2678" s="3">
        <v>173.0</v>
      </c>
      <c r="B2678" s="3">
        <v>68.0</v>
      </c>
      <c r="C2678" s="3">
        <v>9903865.0</v>
      </c>
      <c r="D2678" s="3">
        <v>4.9944</v>
      </c>
      <c r="E2678" s="3">
        <v>9.903865</v>
      </c>
    </row>
    <row r="2679" ht="12.75" customHeight="1">
      <c r="A2679" s="3">
        <v>173.0</v>
      </c>
      <c r="B2679" s="3">
        <v>69.0</v>
      </c>
      <c r="C2679" s="3">
        <v>1.5596169E7</v>
      </c>
      <c r="D2679" s="3">
        <v>6.3667</v>
      </c>
      <c r="E2679" s="3">
        <v>15.596169</v>
      </c>
    </row>
    <row r="2680" ht="12.75" customHeight="1">
      <c r="A2680" s="3">
        <v>173.0</v>
      </c>
      <c r="B2680" s="3">
        <v>70.0</v>
      </c>
      <c r="C2680" s="3">
        <v>2.253386E7</v>
      </c>
      <c r="D2680" s="3">
        <v>7.4609</v>
      </c>
      <c r="E2680" s="3">
        <v>22.53386</v>
      </c>
    </row>
    <row r="2681" ht="12.75" customHeight="1">
      <c r="A2681" s="3">
        <v>173.0</v>
      </c>
      <c r="B2681" s="3">
        <v>71.0</v>
      </c>
      <c r="C2681" s="3">
        <v>3.0205362E7</v>
      </c>
      <c r="D2681" s="3">
        <v>7.8057</v>
      </c>
      <c r="E2681" s="3">
        <v>30.205362</v>
      </c>
    </row>
    <row r="2682" ht="12.75" customHeight="1">
      <c r="A2682" s="3">
        <v>173.0</v>
      </c>
      <c r="B2682" s="3">
        <v>71.86</v>
      </c>
      <c r="C2682" s="3">
        <v>3.7E7</v>
      </c>
      <c r="D2682" s="3">
        <v>7.9724</v>
      </c>
      <c r="E2682" s="3">
        <v>37.0</v>
      </c>
    </row>
    <row r="2683" ht="12.75" customHeight="1">
      <c r="A2683" s="3">
        <v>173.0</v>
      </c>
      <c r="B2683" s="3">
        <v>71.88</v>
      </c>
      <c r="C2683" s="3">
        <v>3.7152E7</v>
      </c>
      <c r="D2683" s="3">
        <v>7.9758</v>
      </c>
      <c r="E2683" s="3">
        <v>37.152</v>
      </c>
    </row>
    <row r="2684" ht="12.75" customHeight="1">
      <c r="A2684" s="3">
        <v>173.0</v>
      </c>
      <c r="B2684" s="3">
        <v>72.0</v>
      </c>
      <c r="C2684" s="3">
        <v>3.8110548E7</v>
      </c>
      <c r="D2684" s="3">
        <v>8.0</v>
      </c>
      <c r="E2684" s="3">
        <v>38.110548</v>
      </c>
    </row>
    <row r="2685" ht="12.75" customHeight="1">
      <c r="A2685" s="3">
        <v>173.0</v>
      </c>
      <c r="B2685" s="3">
        <v>73.0</v>
      </c>
      <c r="C2685" s="3">
        <v>4.6460548E7</v>
      </c>
      <c r="D2685" s="3">
        <v>8.7</v>
      </c>
      <c r="E2685" s="3">
        <v>46.460548</v>
      </c>
    </row>
    <row r="2686" ht="12.75" customHeight="1">
      <c r="A2686" s="3">
        <v>173.0</v>
      </c>
      <c r="B2686" s="3">
        <v>74.0</v>
      </c>
      <c r="C2686" s="3">
        <v>5.6060548E7</v>
      </c>
      <c r="D2686" s="3">
        <v>10.5</v>
      </c>
      <c r="E2686" s="3">
        <v>56.060548</v>
      </c>
    </row>
    <row r="2687" ht="12.75" customHeight="1">
      <c r="A2687" s="3">
        <v>174.0</v>
      </c>
      <c r="B2687" s="3">
        <v>980.26</v>
      </c>
      <c r="C2687" s="3">
        <v>0.0</v>
      </c>
      <c r="D2687" s="3">
        <v>0.0</v>
      </c>
      <c r="E2687" s="3">
        <v>0.0</v>
      </c>
    </row>
    <row r="2688" ht="12.75" customHeight="1">
      <c r="A2688" s="3">
        <v>174.0</v>
      </c>
      <c r="B2688" s="3">
        <v>981.0</v>
      </c>
      <c r="C2688" s="3">
        <v>50.0</v>
      </c>
      <c r="D2688" s="3">
        <v>2.0E-4</v>
      </c>
      <c r="E2688" s="3">
        <v>5.0E-5</v>
      </c>
    </row>
    <row r="2689" ht="12.75" customHeight="1">
      <c r="A2689" s="3">
        <v>174.0</v>
      </c>
      <c r="B2689" s="3">
        <v>982.0</v>
      </c>
      <c r="C2689" s="3">
        <v>900.0</v>
      </c>
      <c r="D2689" s="3">
        <v>0.002</v>
      </c>
      <c r="E2689" s="3">
        <v>9.0E-4</v>
      </c>
    </row>
    <row r="2690" ht="12.75" customHeight="1">
      <c r="A2690" s="3">
        <v>174.0</v>
      </c>
      <c r="B2690" s="3">
        <v>983.0</v>
      </c>
      <c r="C2690" s="3">
        <v>7500.0</v>
      </c>
      <c r="D2690" s="3">
        <v>0.012</v>
      </c>
      <c r="E2690" s="3">
        <v>0.0075</v>
      </c>
    </row>
    <row r="2691" ht="12.75" customHeight="1">
      <c r="A2691" s="3">
        <v>174.0</v>
      </c>
      <c r="B2691" s="3">
        <v>984.0</v>
      </c>
      <c r="C2691" s="3">
        <v>32000.0</v>
      </c>
      <c r="D2691" s="3">
        <v>0.04</v>
      </c>
      <c r="E2691" s="3">
        <v>0.032</v>
      </c>
    </row>
    <row r="2692" ht="12.75" customHeight="1">
      <c r="A2692" s="3">
        <v>174.0</v>
      </c>
      <c r="B2692" s="3">
        <v>985.0</v>
      </c>
      <c r="C2692" s="3">
        <v>103000.0</v>
      </c>
      <c r="D2692" s="3">
        <v>0.11</v>
      </c>
      <c r="E2692" s="3">
        <v>0.103</v>
      </c>
    </row>
    <row r="2693" ht="12.75" customHeight="1">
      <c r="A2693" s="3">
        <v>174.0</v>
      </c>
      <c r="B2693" s="3">
        <v>986.0</v>
      </c>
      <c r="C2693" s="3">
        <v>298000.0</v>
      </c>
      <c r="D2693" s="3">
        <v>0.3</v>
      </c>
      <c r="E2693" s="3">
        <v>0.298</v>
      </c>
    </row>
    <row r="2694" ht="12.75" customHeight="1">
      <c r="A2694" s="3">
        <v>174.0</v>
      </c>
      <c r="B2694" s="3">
        <v>987.0</v>
      </c>
      <c r="C2694" s="3">
        <v>705000.0</v>
      </c>
      <c r="D2694" s="3">
        <v>0.52</v>
      </c>
      <c r="E2694" s="3">
        <v>0.705</v>
      </c>
    </row>
    <row r="2695" ht="12.75" customHeight="1">
      <c r="A2695" s="3">
        <v>174.0</v>
      </c>
      <c r="B2695" s="3">
        <v>988.0</v>
      </c>
      <c r="C2695" s="3">
        <v>1368000.0</v>
      </c>
      <c r="D2695" s="3">
        <v>0.79</v>
      </c>
      <c r="E2695" s="3">
        <v>1.368</v>
      </c>
    </row>
    <row r="2696" ht="12.75" customHeight="1">
      <c r="A2696" s="3">
        <v>174.0</v>
      </c>
      <c r="B2696" s="3">
        <v>989.0</v>
      </c>
      <c r="C2696" s="3">
        <v>2250000.0</v>
      </c>
      <c r="D2696" s="3">
        <v>0.92</v>
      </c>
      <c r="E2696" s="3">
        <v>2.25</v>
      </c>
    </row>
    <row r="2697" ht="12.75" customHeight="1">
      <c r="A2697" s="3">
        <v>174.0</v>
      </c>
      <c r="B2697" s="3">
        <v>990.0</v>
      </c>
      <c r="C2697" s="3">
        <v>3210000.0</v>
      </c>
      <c r="D2697" s="3">
        <v>0.98</v>
      </c>
      <c r="E2697" s="3">
        <v>3.21</v>
      </c>
    </row>
    <row r="2698" ht="12.75" customHeight="1">
      <c r="A2698" s="3">
        <v>174.0</v>
      </c>
      <c r="B2698" s="3">
        <v>990.18</v>
      </c>
      <c r="C2698" s="3">
        <v>3390000.0</v>
      </c>
      <c r="D2698" s="3">
        <v>0.99</v>
      </c>
      <c r="E2698" s="3">
        <v>3.39</v>
      </c>
    </row>
    <row r="2699" ht="12.75" customHeight="1">
      <c r="A2699" s="3">
        <v>174.0</v>
      </c>
      <c r="B2699" s="3">
        <v>991.0</v>
      </c>
      <c r="C2699" s="3">
        <v>4417000.0</v>
      </c>
      <c r="D2699" s="3">
        <v>1.3</v>
      </c>
      <c r="E2699" s="3">
        <v>4.417</v>
      </c>
    </row>
    <row r="2700" ht="12.75" customHeight="1">
      <c r="A2700" s="3">
        <v>174.0</v>
      </c>
      <c r="B2700" s="3">
        <v>992.0</v>
      </c>
      <c r="C2700" s="3">
        <v>6010000.0</v>
      </c>
      <c r="D2700" s="3">
        <v>1.6</v>
      </c>
      <c r="E2700" s="3">
        <v>6.01</v>
      </c>
    </row>
    <row r="2701" ht="12.75" customHeight="1">
      <c r="A2701" s="3">
        <v>174.0</v>
      </c>
      <c r="B2701" s="3">
        <v>993.0</v>
      </c>
      <c r="C2701" s="3">
        <v>8000000.0</v>
      </c>
      <c r="D2701" s="3">
        <v>1.9</v>
      </c>
      <c r="E2701" s="3">
        <v>8.0</v>
      </c>
    </row>
    <row r="2702" ht="12.75" customHeight="1">
      <c r="A2702" s="3">
        <v>174.0</v>
      </c>
      <c r="B2702" s="3">
        <v>994.0</v>
      </c>
      <c r="C2702" s="3">
        <v>1.01E7</v>
      </c>
      <c r="D2702" s="3">
        <v>2.2</v>
      </c>
      <c r="E2702" s="3">
        <v>10.1</v>
      </c>
    </row>
    <row r="2703" ht="12.75" customHeight="1">
      <c r="A2703" s="3">
        <v>174.0</v>
      </c>
      <c r="B2703" s="3">
        <v>995.0</v>
      </c>
      <c r="C2703" s="3">
        <v>1.26E7</v>
      </c>
      <c r="D2703" s="3">
        <v>2.5</v>
      </c>
      <c r="E2703" s="3">
        <v>12.6</v>
      </c>
    </row>
    <row r="2704" ht="12.75" customHeight="1">
      <c r="A2704" s="3">
        <v>174.0</v>
      </c>
      <c r="B2704" s="3">
        <v>996.0</v>
      </c>
      <c r="C2704" s="3">
        <v>1.54E7</v>
      </c>
      <c r="D2704" s="3">
        <v>2.8</v>
      </c>
      <c r="E2704" s="3">
        <v>15.4</v>
      </c>
    </row>
    <row r="2705" ht="12.75" customHeight="1">
      <c r="A2705" s="3">
        <v>174.0</v>
      </c>
      <c r="B2705" s="3">
        <v>997.0</v>
      </c>
      <c r="C2705" s="3">
        <v>1.84E7</v>
      </c>
      <c r="D2705" s="3">
        <v>3.1</v>
      </c>
      <c r="E2705" s="3">
        <v>18.4</v>
      </c>
    </row>
    <row r="2706" ht="12.75" customHeight="1">
      <c r="A2706" s="3">
        <v>174.0</v>
      </c>
      <c r="B2706" s="3">
        <v>997.5</v>
      </c>
      <c r="C2706" s="3">
        <v>2.01E7</v>
      </c>
      <c r="D2706" s="3">
        <v>3.4</v>
      </c>
      <c r="E2706" s="3">
        <v>20.1</v>
      </c>
    </row>
    <row r="2707" ht="12.75" customHeight="1">
      <c r="A2707" s="3">
        <v>174.0</v>
      </c>
      <c r="B2707" s="3">
        <v>998.5</v>
      </c>
      <c r="C2707" s="3">
        <v>2.3E7</v>
      </c>
      <c r="D2707" s="3">
        <v>3.9</v>
      </c>
      <c r="E2707" s="3">
        <v>23.0</v>
      </c>
    </row>
    <row r="2708" ht="12.75" customHeight="1">
      <c r="A2708" s="3">
        <v>176.0</v>
      </c>
      <c r="B2708" s="3">
        <v>75.0</v>
      </c>
      <c r="C2708" s="3">
        <v>0.0</v>
      </c>
      <c r="D2708" s="3">
        <v>0.02</v>
      </c>
      <c r="E2708" s="3">
        <v>0.0</v>
      </c>
    </row>
    <row r="2709" ht="12.75" customHeight="1">
      <c r="A2709" s="3">
        <v>176.0</v>
      </c>
      <c r="B2709" s="3">
        <v>76.0</v>
      </c>
      <c r="C2709" s="3">
        <v>410000.0</v>
      </c>
      <c r="D2709" s="3">
        <v>0.62</v>
      </c>
      <c r="E2709" s="3">
        <v>0.41</v>
      </c>
    </row>
    <row r="2710" ht="12.75" customHeight="1">
      <c r="A2710" s="3">
        <v>176.0</v>
      </c>
      <c r="B2710" s="3">
        <v>77.0</v>
      </c>
      <c r="C2710" s="3">
        <v>140000.0</v>
      </c>
      <c r="D2710" s="3">
        <v>0.13</v>
      </c>
      <c r="E2710" s="3">
        <v>0.14</v>
      </c>
    </row>
    <row r="2711" ht="12.75" customHeight="1">
      <c r="A2711" s="3">
        <v>176.0</v>
      </c>
      <c r="B2711" s="3">
        <v>78.0</v>
      </c>
      <c r="C2711" s="3">
        <v>320000.0</v>
      </c>
      <c r="D2711" s="3">
        <v>0.23</v>
      </c>
      <c r="E2711" s="3">
        <v>0.32</v>
      </c>
    </row>
    <row r="2712" ht="12.75" customHeight="1">
      <c r="A2712" s="3">
        <v>176.0</v>
      </c>
      <c r="B2712" s="3">
        <v>79.0</v>
      </c>
      <c r="C2712" s="3">
        <v>610000.0</v>
      </c>
      <c r="D2712" s="3">
        <v>0.34</v>
      </c>
      <c r="E2712" s="3">
        <v>0.61</v>
      </c>
    </row>
    <row r="2713" ht="12.75" customHeight="1">
      <c r="A2713" s="3">
        <v>176.0</v>
      </c>
      <c r="B2713" s="3">
        <v>80.0</v>
      </c>
      <c r="C2713" s="3">
        <v>1010000.0</v>
      </c>
      <c r="D2713" s="3">
        <v>0.45</v>
      </c>
      <c r="E2713" s="3">
        <v>1.01</v>
      </c>
    </row>
    <row r="2714" ht="12.75" customHeight="1">
      <c r="A2714" s="3">
        <v>176.0</v>
      </c>
      <c r="B2714" s="3">
        <v>81.0</v>
      </c>
      <c r="C2714" s="3">
        <v>1520000.0</v>
      </c>
      <c r="D2714" s="3">
        <v>0.56</v>
      </c>
      <c r="E2714" s="3">
        <v>1.52</v>
      </c>
    </row>
    <row r="2715" ht="12.75" customHeight="1">
      <c r="A2715" s="3">
        <v>176.0</v>
      </c>
      <c r="B2715" s="3">
        <v>82.0</v>
      </c>
      <c r="C2715" s="3">
        <v>2140000.0</v>
      </c>
      <c r="D2715" s="3">
        <v>0.68</v>
      </c>
      <c r="E2715" s="3">
        <v>2.14</v>
      </c>
    </row>
    <row r="2716" ht="12.75" customHeight="1">
      <c r="A2716" s="3">
        <v>176.0</v>
      </c>
      <c r="B2716" s="3">
        <v>83.0</v>
      </c>
      <c r="C2716" s="3">
        <v>2880000.0</v>
      </c>
      <c r="D2716" s="3">
        <v>0.8</v>
      </c>
      <c r="E2716" s="3">
        <v>2.88</v>
      </c>
    </row>
    <row r="2717" ht="12.75" customHeight="1">
      <c r="A2717" s="3">
        <v>177.0</v>
      </c>
      <c r="B2717" s="3">
        <v>428.25</v>
      </c>
      <c r="C2717" s="3">
        <v>0.0</v>
      </c>
      <c r="D2717" s="3">
        <v>0.0</v>
      </c>
      <c r="E2717" s="3">
        <v>0.0</v>
      </c>
    </row>
    <row r="2718" ht="12.75" customHeight="1">
      <c r="A2718" s="3">
        <v>177.0</v>
      </c>
      <c r="B2718" s="3">
        <v>429.0</v>
      </c>
      <c r="C2718" s="3">
        <v>255.0</v>
      </c>
      <c r="D2718" s="3">
        <v>0.00105</v>
      </c>
      <c r="E2718" s="3">
        <v>2.55E-4</v>
      </c>
    </row>
    <row r="2719" ht="12.75" customHeight="1">
      <c r="A2719" s="3">
        <v>177.0</v>
      </c>
      <c r="B2719" s="3">
        <v>430.0</v>
      </c>
      <c r="C2719" s="3">
        <v>3529.0</v>
      </c>
      <c r="D2719" s="3">
        <v>0.00679</v>
      </c>
      <c r="E2719" s="3">
        <v>0.003529</v>
      </c>
    </row>
    <row r="2720" ht="12.75" customHeight="1">
      <c r="A2720" s="3">
        <v>177.0</v>
      </c>
      <c r="B2720" s="3">
        <v>431.0</v>
      </c>
      <c r="C2720" s="3">
        <v>18802.0</v>
      </c>
      <c r="D2720" s="3">
        <v>0.02722</v>
      </c>
      <c r="E2720" s="3">
        <v>0.018802</v>
      </c>
    </row>
    <row r="2721" ht="12.75" customHeight="1">
      <c r="A2721" s="3">
        <v>177.0</v>
      </c>
      <c r="B2721" s="3">
        <v>432.0</v>
      </c>
      <c r="C2721" s="3">
        <v>61907.0</v>
      </c>
      <c r="D2721" s="3">
        <v>0.06098</v>
      </c>
      <c r="E2721" s="3">
        <v>0.061907</v>
      </c>
    </row>
    <row r="2722" ht="12.75" customHeight="1">
      <c r="A2722" s="3">
        <v>177.0</v>
      </c>
      <c r="B2722" s="3">
        <v>433.0</v>
      </c>
      <c r="C2722" s="3">
        <v>146381.0</v>
      </c>
      <c r="D2722" s="3">
        <v>0.11029</v>
      </c>
      <c r="E2722" s="3">
        <v>0.146381</v>
      </c>
    </row>
    <row r="2723" ht="12.75" customHeight="1">
      <c r="A2723" s="3">
        <v>177.0</v>
      </c>
      <c r="B2723" s="3">
        <v>434.0</v>
      </c>
      <c r="C2723" s="3">
        <v>288690.0</v>
      </c>
      <c r="D2723" s="3">
        <v>0.1785</v>
      </c>
      <c r="E2723" s="3">
        <v>0.28869</v>
      </c>
    </row>
    <row r="2724" ht="12.75" customHeight="1">
      <c r="A2724" s="3">
        <v>177.0</v>
      </c>
      <c r="B2724" s="3">
        <v>435.0</v>
      </c>
      <c r="C2724" s="3">
        <v>513242.0</v>
      </c>
      <c r="D2724" s="3">
        <v>0.27598</v>
      </c>
      <c r="E2724" s="3">
        <v>0.513242</v>
      </c>
    </row>
    <row r="2725" ht="12.75" customHeight="1">
      <c r="A2725" s="3">
        <v>177.0</v>
      </c>
      <c r="B2725" s="3">
        <v>436.0</v>
      </c>
      <c r="C2725" s="3">
        <v>855500.0</v>
      </c>
      <c r="D2725" s="3">
        <v>0.41531</v>
      </c>
      <c r="E2725" s="3">
        <v>0.8555</v>
      </c>
    </row>
    <row r="2726" ht="12.75" customHeight="1">
      <c r="A2726" s="3">
        <v>177.0</v>
      </c>
      <c r="B2726" s="3">
        <v>437.0</v>
      </c>
      <c r="C2726" s="3">
        <v>1356883.0</v>
      </c>
      <c r="D2726" s="3">
        <v>0.58569</v>
      </c>
      <c r="E2726" s="3">
        <v>1.356883</v>
      </c>
    </row>
    <row r="2727" ht="12.75" customHeight="1">
      <c r="A2727" s="3">
        <v>177.0</v>
      </c>
      <c r="B2727" s="3">
        <v>438.0</v>
      </c>
      <c r="C2727" s="3">
        <v>1987528.0</v>
      </c>
      <c r="D2727" s="3">
        <v>0.66369</v>
      </c>
      <c r="E2727" s="3">
        <v>1.987528</v>
      </c>
    </row>
    <row r="2728" ht="12.75" customHeight="1">
      <c r="A2728" s="3">
        <v>177.0</v>
      </c>
      <c r="B2728" s="3">
        <v>439.0</v>
      </c>
      <c r="C2728" s="3">
        <v>2681688.0</v>
      </c>
      <c r="D2728" s="3">
        <v>0.72445</v>
      </c>
      <c r="E2728" s="3">
        <v>2.681688</v>
      </c>
    </row>
    <row r="2729" ht="12.75" customHeight="1">
      <c r="A2729" s="3">
        <v>177.0</v>
      </c>
      <c r="B2729" s="3">
        <v>439.17</v>
      </c>
      <c r="C2729" s="3">
        <v>2805714.0</v>
      </c>
      <c r="D2729" s="3">
        <v>0.73469</v>
      </c>
      <c r="E2729" s="3">
        <v>2.805714</v>
      </c>
    </row>
    <row r="2730" ht="12.75" customHeight="1">
      <c r="A2730" s="3">
        <v>177.0</v>
      </c>
      <c r="B2730" s="3">
        <v>440.0</v>
      </c>
      <c r="C2730" s="3">
        <v>3528632.0</v>
      </c>
      <c r="D2730" s="3">
        <v>0.85919</v>
      </c>
      <c r="E2730" s="3">
        <v>3.528632</v>
      </c>
    </row>
    <row r="2731" ht="12.75" customHeight="1">
      <c r="A2731" s="3">
        <v>177.0</v>
      </c>
      <c r="B2731" s="3">
        <v>441.0</v>
      </c>
      <c r="C2731" s="3">
        <v>4563632.0</v>
      </c>
      <c r="D2731" s="3">
        <v>1.02919</v>
      </c>
      <c r="E2731" s="3">
        <v>4.563632</v>
      </c>
    </row>
    <row r="2732" ht="12.75" customHeight="1">
      <c r="A2732" s="3">
        <v>177.0</v>
      </c>
      <c r="B2732" s="3">
        <v>442.0</v>
      </c>
      <c r="C2732" s="3">
        <v>5763632.0</v>
      </c>
      <c r="D2732" s="3">
        <v>1.18919</v>
      </c>
      <c r="E2732" s="3">
        <v>5.763632</v>
      </c>
    </row>
    <row r="2733" ht="12.75" customHeight="1">
      <c r="A2733" s="3">
        <v>177.0</v>
      </c>
      <c r="B2733" s="3">
        <v>443.0</v>
      </c>
      <c r="C2733" s="3">
        <v>7115632.0</v>
      </c>
      <c r="D2733" s="3">
        <v>1.32919</v>
      </c>
      <c r="E2733" s="3">
        <v>7.115632</v>
      </c>
    </row>
    <row r="2734" ht="12.75" customHeight="1">
      <c r="A2734" s="3">
        <v>177.0</v>
      </c>
      <c r="B2734" s="3">
        <v>444.0</v>
      </c>
      <c r="C2734" s="3">
        <v>8606632.0</v>
      </c>
      <c r="D2734" s="3">
        <v>1.46919</v>
      </c>
      <c r="E2734" s="3">
        <v>8.606632</v>
      </c>
    </row>
    <row r="2735" ht="12.75" customHeight="1">
      <c r="A2735" s="3">
        <v>177.0</v>
      </c>
      <c r="B2735" s="3">
        <v>445.0</v>
      </c>
      <c r="C2735" s="3">
        <v>1.0225632E7</v>
      </c>
      <c r="D2735" s="3">
        <v>1.58919</v>
      </c>
      <c r="E2735" s="3">
        <v>10.225632</v>
      </c>
    </row>
    <row r="2736" ht="12.75" customHeight="1">
      <c r="A2736" s="3">
        <v>177.0</v>
      </c>
      <c r="B2736" s="3">
        <v>446.0</v>
      </c>
      <c r="C2736" s="3">
        <v>1.1965632E7</v>
      </c>
      <c r="D2736" s="3">
        <v>1.68919</v>
      </c>
      <c r="E2736" s="3">
        <v>11.965632</v>
      </c>
    </row>
    <row r="2737" ht="12.75" customHeight="1">
      <c r="A2737" s="3">
        <v>177.0</v>
      </c>
      <c r="B2737" s="3">
        <v>447.0</v>
      </c>
      <c r="C2737" s="3">
        <v>1.3785632E7</v>
      </c>
      <c r="D2737" s="3">
        <v>1.76919</v>
      </c>
      <c r="E2737" s="3">
        <v>13.785632</v>
      </c>
    </row>
    <row r="2738" ht="12.75" customHeight="1">
      <c r="A2738" s="3">
        <v>177.0</v>
      </c>
      <c r="B2738" s="3">
        <v>447.23</v>
      </c>
      <c r="C2738" s="3">
        <v>1.4215632E7</v>
      </c>
      <c r="D2738" s="3">
        <v>1.85919</v>
      </c>
      <c r="E2738" s="3">
        <v>14.215632</v>
      </c>
    </row>
    <row r="2739" ht="12.75" customHeight="1">
      <c r="A2739" s="3">
        <v>177.0</v>
      </c>
      <c r="B2739" s="3">
        <v>448.0</v>
      </c>
      <c r="C2739" s="3">
        <v>1.6625632E7</v>
      </c>
      <c r="D2739" s="3">
        <v>2.10919</v>
      </c>
      <c r="E2739" s="3">
        <v>16.625632</v>
      </c>
    </row>
    <row r="2740" ht="12.75" customHeight="1">
      <c r="A2740" s="3">
        <v>177.0</v>
      </c>
      <c r="B2740" s="3">
        <v>448.54</v>
      </c>
      <c r="C2740" s="3">
        <v>1.8425E7</v>
      </c>
      <c r="D2740" s="3">
        <v>2.30919</v>
      </c>
      <c r="E2740" s="3">
        <v>18.425</v>
      </c>
    </row>
    <row r="2741" ht="12.75" customHeight="1">
      <c r="A2741" s="3">
        <v>177.0</v>
      </c>
      <c r="B2741" s="3">
        <v>449.0</v>
      </c>
      <c r="C2741" s="3">
        <v>2.0125632E7</v>
      </c>
      <c r="D2741" s="3">
        <v>2.47919</v>
      </c>
      <c r="E2741" s="3">
        <v>20.125632</v>
      </c>
    </row>
    <row r="2742" ht="12.75" customHeight="1">
      <c r="A2742" s="3">
        <v>177.0</v>
      </c>
      <c r="B2742" s="3">
        <v>450.0</v>
      </c>
      <c r="C2742" s="3">
        <v>2.3925632E7</v>
      </c>
      <c r="D2742" s="3">
        <v>2.85919</v>
      </c>
      <c r="E2742" s="3">
        <v>23.925632</v>
      </c>
    </row>
    <row r="2743" ht="12.75" customHeight="1">
      <c r="A2743" s="3">
        <v>177.0</v>
      </c>
      <c r="B2743" s="3">
        <v>451.0</v>
      </c>
      <c r="C2743" s="3">
        <v>2.8125632E7</v>
      </c>
      <c r="D2743" s="3">
        <v>3.20919</v>
      </c>
      <c r="E2743" s="3">
        <v>28.125632</v>
      </c>
    </row>
    <row r="2744" ht="12.75" customHeight="1">
      <c r="A2744" s="3">
        <v>177.0</v>
      </c>
      <c r="B2744" s="3">
        <v>452.0</v>
      </c>
      <c r="C2744" s="3">
        <v>3.2725632E7</v>
      </c>
      <c r="D2744" s="3">
        <v>3.58919</v>
      </c>
      <c r="E2744" s="3">
        <v>32.725632</v>
      </c>
    </row>
    <row r="2745" ht="12.75" customHeight="1">
      <c r="A2745" s="3">
        <v>178.0</v>
      </c>
      <c r="B2745" s="3">
        <v>990.0</v>
      </c>
      <c r="C2745" s="3">
        <v>0.0</v>
      </c>
      <c r="D2745" s="3">
        <v>0.0</v>
      </c>
      <c r="E2745" s="3">
        <v>0.0</v>
      </c>
    </row>
    <row r="2746" ht="12.75" customHeight="1">
      <c r="A2746" s="3">
        <v>178.0</v>
      </c>
      <c r="B2746" s="3">
        <v>991.0</v>
      </c>
      <c r="C2746" s="3">
        <v>764.0</v>
      </c>
      <c r="D2746" s="3">
        <v>0.015</v>
      </c>
      <c r="E2746" s="3">
        <v>7.64E-4</v>
      </c>
    </row>
    <row r="2747" ht="12.75" customHeight="1">
      <c r="A2747" s="3">
        <v>178.0</v>
      </c>
      <c r="B2747" s="3">
        <v>992.0</v>
      </c>
      <c r="C2747" s="3">
        <v>2109.0</v>
      </c>
      <c r="D2747" s="3">
        <v>0.04</v>
      </c>
      <c r="E2747" s="3">
        <v>0.002109</v>
      </c>
    </row>
    <row r="2748" ht="12.75" customHeight="1">
      <c r="A2748" s="3">
        <v>178.0</v>
      </c>
      <c r="B2748" s="3">
        <v>993.0</v>
      </c>
      <c r="C2748" s="3">
        <v>112500.0</v>
      </c>
      <c r="D2748" s="3">
        <v>0.14</v>
      </c>
      <c r="E2748" s="3">
        <v>0.1125</v>
      </c>
    </row>
    <row r="2749" ht="12.75" customHeight="1">
      <c r="A2749" s="3">
        <v>178.0</v>
      </c>
      <c r="B2749" s="3">
        <v>994.0</v>
      </c>
      <c r="C2749" s="3">
        <v>308367.0</v>
      </c>
      <c r="D2749" s="3">
        <v>0.25</v>
      </c>
      <c r="E2749" s="3">
        <v>0.308367</v>
      </c>
    </row>
    <row r="2750" ht="12.75" customHeight="1">
      <c r="A2750" s="3">
        <v>178.0</v>
      </c>
      <c r="B2750" s="3">
        <v>995.0</v>
      </c>
      <c r="C2750" s="3">
        <v>665671.0</v>
      </c>
      <c r="D2750" s="3">
        <v>0.47</v>
      </c>
      <c r="E2750" s="3">
        <v>0.665671</v>
      </c>
    </row>
    <row r="2751" ht="12.75" customHeight="1">
      <c r="A2751" s="3">
        <v>178.0</v>
      </c>
      <c r="B2751" s="3">
        <v>996.0</v>
      </c>
      <c r="C2751" s="3">
        <v>1259173.0</v>
      </c>
      <c r="D2751" s="3">
        <v>0.72</v>
      </c>
      <c r="E2751" s="3">
        <v>1.259173</v>
      </c>
    </row>
    <row r="2752" ht="12.75" customHeight="1">
      <c r="A2752" s="3">
        <v>178.0</v>
      </c>
      <c r="B2752" s="3">
        <v>997.0</v>
      </c>
      <c r="C2752" s="3">
        <v>2121177.0</v>
      </c>
      <c r="D2752" s="3">
        <v>1.0</v>
      </c>
      <c r="E2752" s="3">
        <v>2.121177</v>
      </c>
    </row>
    <row r="2753" ht="12.75" customHeight="1">
      <c r="A2753" s="3">
        <v>178.0</v>
      </c>
      <c r="B2753" s="3">
        <v>998.0</v>
      </c>
      <c r="C2753" s="3">
        <v>3258179.0</v>
      </c>
      <c r="D2753" s="3">
        <v>1.27</v>
      </c>
      <c r="E2753" s="3">
        <v>3.258179</v>
      </c>
    </row>
    <row r="2754" ht="12.75" customHeight="1">
      <c r="A2754" s="3">
        <v>178.0</v>
      </c>
      <c r="B2754" s="3">
        <v>998.7</v>
      </c>
      <c r="C2754" s="3">
        <v>5010000.0</v>
      </c>
      <c r="D2754" s="3">
        <v>1.37</v>
      </c>
      <c r="E2754" s="3">
        <v>5.01</v>
      </c>
    </row>
    <row r="2755" ht="12.75" customHeight="1">
      <c r="A2755" s="3">
        <v>178.0</v>
      </c>
      <c r="B2755" s="3">
        <v>999.0</v>
      </c>
      <c r="C2755" s="3">
        <v>5448000.0</v>
      </c>
      <c r="D2755" s="3">
        <v>1.55</v>
      </c>
      <c r="E2755" s="3">
        <v>5.448</v>
      </c>
    </row>
    <row r="2756" ht="12.75" customHeight="1">
      <c r="A2756" s="3">
        <v>178.0</v>
      </c>
      <c r="B2756" s="3">
        <v>999.1</v>
      </c>
      <c r="C2756" s="3">
        <v>5600000.0</v>
      </c>
      <c r="D2756" s="3">
        <v>1.6</v>
      </c>
      <c r="E2756" s="3">
        <v>5.6</v>
      </c>
    </row>
    <row r="2757" ht="12.75" customHeight="1">
      <c r="A2757" s="3">
        <v>178.0</v>
      </c>
      <c r="B2757" s="3">
        <v>1000.0</v>
      </c>
      <c r="C2757" s="3">
        <v>7180500.0</v>
      </c>
      <c r="D2757" s="3">
        <v>1.9</v>
      </c>
      <c r="E2757" s="3">
        <v>7.1805</v>
      </c>
    </row>
    <row r="2758" ht="12.75" customHeight="1">
      <c r="A2758" s="3">
        <v>178.0</v>
      </c>
      <c r="B2758" s="3">
        <v>1001.0</v>
      </c>
      <c r="C2758" s="3">
        <v>9260500.0</v>
      </c>
      <c r="D2758" s="3">
        <v>2.26</v>
      </c>
      <c r="E2758" s="3">
        <v>9.2605</v>
      </c>
    </row>
    <row r="2759" ht="12.75" customHeight="1">
      <c r="A2759" s="3">
        <v>179.0</v>
      </c>
      <c r="B2759" s="3">
        <v>987.73</v>
      </c>
      <c r="C2759" s="3">
        <v>0.0</v>
      </c>
      <c r="D2759" s="3">
        <v>0.0</v>
      </c>
      <c r="E2759" s="3">
        <v>0.0</v>
      </c>
    </row>
    <row r="2760" ht="12.75" customHeight="1">
      <c r="A2760" s="3">
        <v>179.0</v>
      </c>
      <c r="B2760" s="3">
        <v>988.0</v>
      </c>
      <c r="C2760" s="3">
        <v>5.0</v>
      </c>
      <c r="D2760" s="3">
        <v>1.0E-4</v>
      </c>
      <c r="E2760" s="3">
        <v>5.0E-6</v>
      </c>
    </row>
    <row r="2761" ht="12.75" customHeight="1">
      <c r="A2761" s="3">
        <v>179.0</v>
      </c>
      <c r="B2761" s="3">
        <v>989.0</v>
      </c>
      <c r="C2761" s="3">
        <v>5191.0</v>
      </c>
      <c r="D2761" s="3">
        <v>0.0151</v>
      </c>
      <c r="E2761" s="3">
        <v>0.005191</v>
      </c>
    </row>
    <row r="2762" ht="12.75" customHeight="1">
      <c r="A2762" s="3">
        <v>179.0</v>
      </c>
      <c r="B2762" s="3">
        <v>990.0</v>
      </c>
      <c r="C2762" s="3">
        <v>36032.0</v>
      </c>
      <c r="D2762" s="3">
        <v>0.0497</v>
      </c>
      <c r="E2762" s="3">
        <v>0.036032</v>
      </c>
    </row>
    <row r="2763" ht="12.75" customHeight="1">
      <c r="A2763" s="3">
        <v>179.0</v>
      </c>
      <c r="B2763" s="3">
        <v>991.0</v>
      </c>
      <c r="C2763" s="3">
        <v>104908.0</v>
      </c>
      <c r="D2763" s="3">
        <v>0.0882</v>
      </c>
      <c r="E2763" s="3">
        <v>0.104908</v>
      </c>
    </row>
    <row r="2764" ht="12.75" customHeight="1">
      <c r="A2764" s="3">
        <v>179.0</v>
      </c>
      <c r="B2764" s="3">
        <v>992.0</v>
      </c>
      <c r="C2764" s="3">
        <v>208678.0</v>
      </c>
      <c r="D2764" s="3">
        <v>0.1161</v>
      </c>
      <c r="E2764" s="3">
        <v>0.208678</v>
      </c>
    </row>
    <row r="2765" ht="12.75" customHeight="1">
      <c r="A2765" s="3">
        <v>179.0</v>
      </c>
      <c r="B2765" s="3">
        <v>993.0</v>
      </c>
      <c r="C2765" s="3">
        <v>332213.0</v>
      </c>
      <c r="D2765" s="3">
        <v>0.1289</v>
      </c>
      <c r="E2765" s="3">
        <v>0.332213</v>
      </c>
    </row>
    <row r="2766" ht="12.75" customHeight="1">
      <c r="A2766" s="3">
        <v>179.0</v>
      </c>
      <c r="B2766" s="3">
        <v>993.34</v>
      </c>
      <c r="C2766" s="3">
        <v>376570.0</v>
      </c>
      <c r="D2766" s="3">
        <v>0.132</v>
      </c>
      <c r="E2766" s="3">
        <v>0.37657</v>
      </c>
    </row>
    <row r="2767" ht="12.75" customHeight="1">
      <c r="A2767" s="3">
        <v>179.0</v>
      </c>
      <c r="B2767" s="3">
        <v>994.0</v>
      </c>
      <c r="C2767" s="3">
        <v>552000.0</v>
      </c>
      <c r="D2767" s="3">
        <v>0.174</v>
      </c>
      <c r="E2767" s="3">
        <v>0.552</v>
      </c>
    </row>
    <row r="2768" ht="12.75" customHeight="1">
      <c r="A2768" s="3">
        <v>179.0</v>
      </c>
      <c r="B2768" s="3">
        <v>995.0</v>
      </c>
      <c r="C2768" s="3">
        <v>859000.0</v>
      </c>
      <c r="D2768" s="3">
        <v>0.234</v>
      </c>
      <c r="E2768" s="3">
        <v>0.859</v>
      </c>
    </row>
    <row r="2769" ht="12.75" customHeight="1">
      <c r="A2769" s="3">
        <v>179.0</v>
      </c>
      <c r="B2769" s="3">
        <v>996.0</v>
      </c>
      <c r="C2769" s="3">
        <v>1231000.0</v>
      </c>
      <c r="D2769" s="3">
        <v>0.304</v>
      </c>
      <c r="E2769" s="3">
        <v>1.231</v>
      </c>
    </row>
    <row r="2770" ht="12.75" customHeight="1">
      <c r="A2770" s="3">
        <v>179.0</v>
      </c>
      <c r="B2770" s="3">
        <v>997.0</v>
      </c>
      <c r="C2770" s="3">
        <v>1673000.0</v>
      </c>
      <c r="D2770" s="3">
        <v>0.374</v>
      </c>
      <c r="E2770" s="3">
        <v>1.673</v>
      </c>
    </row>
    <row r="2771" ht="12.75" customHeight="1">
      <c r="A2771" s="3">
        <v>179.0</v>
      </c>
      <c r="B2771" s="3">
        <v>997.6</v>
      </c>
      <c r="C2771" s="3">
        <v>2026000.0</v>
      </c>
      <c r="D2771" s="3">
        <v>0.424</v>
      </c>
      <c r="E2771" s="3">
        <v>2.026</v>
      </c>
    </row>
    <row r="2772" ht="12.75" customHeight="1">
      <c r="A2772" s="3">
        <v>179.0</v>
      </c>
      <c r="B2772" s="3">
        <v>998.0</v>
      </c>
      <c r="C2772" s="3">
        <v>2179000.0</v>
      </c>
      <c r="D2772" s="3">
        <v>0.434</v>
      </c>
      <c r="E2772" s="3">
        <v>2.179</v>
      </c>
    </row>
    <row r="2773" ht="12.75" customHeight="1">
      <c r="A2773" s="3">
        <v>179.0</v>
      </c>
      <c r="B2773" s="3">
        <v>999.0</v>
      </c>
      <c r="C2773" s="3">
        <v>2689000.0</v>
      </c>
      <c r="D2773" s="3">
        <v>0.444</v>
      </c>
      <c r="E2773" s="3">
        <v>2.689</v>
      </c>
    </row>
    <row r="2774" ht="12.75" customHeight="1">
      <c r="A2774" s="3">
        <v>180.0</v>
      </c>
      <c r="B2774" s="3">
        <v>19.22</v>
      </c>
      <c r="C2774" s="3">
        <v>0.0</v>
      </c>
      <c r="D2774" s="3">
        <v>0.0</v>
      </c>
      <c r="E2774" s="3">
        <v>0.0</v>
      </c>
    </row>
    <row r="2775" ht="12.75" customHeight="1">
      <c r="A2775" s="3">
        <v>180.0</v>
      </c>
      <c r="B2775" s="3">
        <v>20.0</v>
      </c>
      <c r="C2775" s="3">
        <v>99.0</v>
      </c>
      <c r="D2775" s="3">
        <v>4.0E-4</v>
      </c>
      <c r="E2775" s="3">
        <v>9.9E-5</v>
      </c>
    </row>
    <row r="2776" ht="12.75" customHeight="1">
      <c r="A2776" s="3">
        <v>180.0</v>
      </c>
      <c r="B2776" s="3">
        <v>21.0</v>
      </c>
      <c r="C2776" s="3">
        <v>1814.0</v>
      </c>
      <c r="D2776" s="3">
        <v>0.0043</v>
      </c>
      <c r="E2776" s="3">
        <v>0.001814</v>
      </c>
    </row>
    <row r="2777" ht="12.75" customHeight="1">
      <c r="A2777" s="3">
        <v>180.0</v>
      </c>
      <c r="B2777" s="3">
        <v>22.0</v>
      </c>
      <c r="C2777" s="3">
        <v>19630.0</v>
      </c>
      <c r="D2777" s="3">
        <v>0.044</v>
      </c>
      <c r="E2777" s="3">
        <v>0.01963</v>
      </c>
    </row>
    <row r="2778" ht="12.75" customHeight="1">
      <c r="A2778" s="3">
        <v>180.0</v>
      </c>
      <c r="B2778" s="3">
        <v>23.0</v>
      </c>
      <c r="C2778" s="3">
        <v>186818.0</v>
      </c>
      <c r="D2778" s="3">
        <v>0.361</v>
      </c>
      <c r="E2778" s="3">
        <v>0.186818</v>
      </c>
    </row>
    <row r="2779" ht="12.75" customHeight="1">
      <c r="A2779" s="3">
        <v>180.0</v>
      </c>
      <c r="B2779" s="3">
        <v>24.0</v>
      </c>
      <c r="C2779" s="3">
        <v>943384.0</v>
      </c>
      <c r="D2779" s="3">
        <v>1.185</v>
      </c>
      <c r="E2779" s="3">
        <v>0.943384</v>
      </c>
    </row>
    <row r="2780" ht="12.75" customHeight="1">
      <c r="A2780" s="3">
        <v>180.0</v>
      </c>
      <c r="B2780" s="3">
        <v>25.0</v>
      </c>
      <c r="C2780" s="3">
        <v>2656866.0</v>
      </c>
      <c r="D2780" s="3">
        <v>2.321</v>
      </c>
      <c r="E2780" s="3">
        <v>2.656866</v>
      </c>
    </row>
    <row r="2781" ht="12.75" customHeight="1">
      <c r="A2781" s="3">
        <v>180.0</v>
      </c>
      <c r="B2781" s="3">
        <v>26.0</v>
      </c>
      <c r="C2781" s="3">
        <v>5762366.0</v>
      </c>
      <c r="D2781" s="3">
        <v>3.868</v>
      </c>
      <c r="E2781" s="3">
        <v>5.762366</v>
      </c>
    </row>
    <row r="2782" ht="12.75" customHeight="1">
      <c r="A2782" s="3">
        <v>180.0</v>
      </c>
      <c r="B2782" s="3">
        <v>27.0</v>
      </c>
      <c r="C2782" s="3">
        <v>1.0446853E7</v>
      </c>
      <c r="D2782" s="3">
        <v>5.54</v>
      </c>
      <c r="E2782" s="3">
        <v>10.446853</v>
      </c>
    </row>
    <row r="2783" ht="12.75" customHeight="1">
      <c r="A2783" s="3">
        <v>180.0</v>
      </c>
      <c r="B2783" s="3">
        <v>28.0</v>
      </c>
      <c r="C2783" s="3">
        <v>1.6897851E7</v>
      </c>
      <c r="D2783" s="3">
        <v>7.45</v>
      </c>
      <c r="E2783" s="3">
        <v>16.897851</v>
      </c>
    </row>
    <row r="2784" ht="12.75" customHeight="1">
      <c r="A2784" s="3">
        <v>180.0</v>
      </c>
      <c r="B2784" s="3">
        <v>29.0</v>
      </c>
      <c r="C2784" s="3">
        <v>2.5263892E7</v>
      </c>
      <c r="D2784" s="3">
        <v>9.56</v>
      </c>
      <c r="E2784" s="3">
        <v>25.263892</v>
      </c>
    </row>
    <row r="2785" ht="12.75" customHeight="1">
      <c r="A2785" s="3">
        <v>180.0</v>
      </c>
      <c r="B2785" s="3">
        <v>30.0</v>
      </c>
      <c r="C2785" s="3">
        <v>3.553373E7</v>
      </c>
      <c r="D2785" s="3">
        <v>11.371</v>
      </c>
      <c r="E2785" s="3">
        <v>35.53373</v>
      </c>
    </row>
    <row r="2786" ht="12.75" customHeight="1">
      <c r="A2786" s="3">
        <v>180.0</v>
      </c>
      <c r="B2786" s="3">
        <v>31.0</v>
      </c>
      <c r="C2786" s="3">
        <v>4.8073415E7</v>
      </c>
      <c r="D2786" s="3">
        <v>13.82</v>
      </c>
      <c r="E2786" s="3">
        <v>48.073415</v>
      </c>
    </row>
    <row r="2787" ht="12.75" customHeight="1">
      <c r="A2787" s="3">
        <v>180.0</v>
      </c>
      <c r="B2787" s="3">
        <v>32.0</v>
      </c>
      <c r="C2787" s="3">
        <v>6.3499707E7</v>
      </c>
      <c r="D2787" s="3">
        <v>16.985</v>
      </c>
      <c r="E2787" s="3">
        <v>63.499707</v>
      </c>
    </row>
    <row r="2788" ht="12.75" customHeight="1">
      <c r="A2788" s="3">
        <v>180.0</v>
      </c>
      <c r="B2788" s="3">
        <v>32.5</v>
      </c>
      <c r="C2788" s="3">
        <v>7.2396177E7</v>
      </c>
      <c r="D2788" s="3">
        <v>18.62</v>
      </c>
      <c r="E2788" s="3">
        <v>72.396177</v>
      </c>
    </row>
    <row r="2789" ht="12.75" customHeight="1">
      <c r="A2789" s="3">
        <v>180.0</v>
      </c>
      <c r="B2789" s="3">
        <v>32.51</v>
      </c>
      <c r="C2789" s="3">
        <v>7.2582599E7</v>
      </c>
      <c r="D2789" s="3">
        <v>19.05</v>
      </c>
      <c r="E2789" s="3">
        <v>72.582599</v>
      </c>
    </row>
    <row r="2790" ht="12.75" customHeight="1">
      <c r="A2790" s="3">
        <v>180.0</v>
      </c>
      <c r="B2790" s="3">
        <v>34.4875</v>
      </c>
      <c r="C2790" s="3">
        <v>7.6857666E7</v>
      </c>
      <c r="D2790" s="3">
        <v>19.0685</v>
      </c>
      <c r="E2790" s="3">
        <v>76.857666</v>
      </c>
    </row>
    <row r="2791" ht="12.75" customHeight="1">
      <c r="A2791" s="3">
        <v>180.0</v>
      </c>
      <c r="B2791" s="3">
        <v>35.44</v>
      </c>
      <c r="C2791" s="3">
        <v>7.7118382E7</v>
      </c>
      <c r="D2791" s="3">
        <v>20.5017</v>
      </c>
      <c r="E2791" s="3">
        <v>77.118382</v>
      </c>
    </row>
    <row r="2792" ht="12.75" customHeight="1">
      <c r="A2792" s="3">
        <v>180.0</v>
      </c>
      <c r="B2792" s="3">
        <v>36.39</v>
      </c>
      <c r="C2792" s="3">
        <v>7.8379099E7</v>
      </c>
      <c r="D2792" s="3">
        <v>21.9349</v>
      </c>
      <c r="E2792" s="3">
        <v>78.379099</v>
      </c>
    </row>
    <row r="2793" ht="12.75" customHeight="1">
      <c r="A2793" s="3">
        <v>180.0</v>
      </c>
      <c r="B2793" s="3">
        <v>37.35</v>
      </c>
      <c r="C2793" s="3">
        <v>8.2639815E7</v>
      </c>
      <c r="D2793" s="3">
        <v>23.3681</v>
      </c>
      <c r="E2793" s="3">
        <v>82.639815</v>
      </c>
    </row>
    <row r="2794" ht="12.75" customHeight="1">
      <c r="A2794" s="3">
        <v>180.0</v>
      </c>
      <c r="B2794" s="3">
        <v>38.3</v>
      </c>
      <c r="C2794" s="3">
        <v>8.7900532E7</v>
      </c>
      <c r="D2794" s="3">
        <v>24.8013</v>
      </c>
      <c r="E2794" s="3">
        <v>87.900532</v>
      </c>
    </row>
    <row r="2795" ht="12.75" customHeight="1">
      <c r="A2795" s="3">
        <v>181.0</v>
      </c>
      <c r="B2795" s="3">
        <v>269.3</v>
      </c>
      <c r="C2795" s="3">
        <v>0.0</v>
      </c>
      <c r="D2795" s="3">
        <v>0.0</v>
      </c>
      <c r="E2795" s="3">
        <v>0.0</v>
      </c>
    </row>
    <row r="2796" ht="12.75" customHeight="1">
      <c r="A2796" s="3">
        <v>181.0</v>
      </c>
      <c r="B2796" s="3">
        <v>270.0</v>
      </c>
      <c r="C2796" s="3">
        <v>4000.0</v>
      </c>
      <c r="D2796" s="3">
        <v>0.011</v>
      </c>
      <c r="E2796" s="3">
        <v>0.004</v>
      </c>
    </row>
    <row r="2797" ht="12.75" customHeight="1">
      <c r="A2797" s="3">
        <v>181.0</v>
      </c>
      <c r="B2797" s="3">
        <v>271.0</v>
      </c>
      <c r="C2797" s="3">
        <v>20400.0</v>
      </c>
      <c r="D2797" s="3">
        <v>0.022</v>
      </c>
      <c r="E2797" s="3">
        <v>0.0204</v>
      </c>
    </row>
    <row r="2798" ht="12.75" customHeight="1">
      <c r="A2798" s="3">
        <v>181.0</v>
      </c>
      <c r="B2798" s="3">
        <v>272.0</v>
      </c>
      <c r="C2798" s="3">
        <v>60000.0</v>
      </c>
      <c r="D2798" s="3">
        <v>0.06</v>
      </c>
      <c r="E2798" s="3">
        <v>0.06</v>
      </c>
    </row>
    <row r="2799" ht="12.75" customHeight="1">
      <c r="A2799" s="3">
        <v>181.0</v>
      </c>
      <c r="B2799" s="3">
        <v>273.0</v>
      </c>
      <c r="C2799" s="3">
        <v>181000.0</v>
      </c>
      <c r="D2799" s="3">
        <v>0.19</v>
      </c>
      <c r="E2799" s="3">
        <v>0.181</v>
      </c>
    </row>
    <row r="2800" ht="12.75" customHeight="1">
      <c r="A2800" s="3">
        <v>181.0</v>
      </c>
      <c r="B2800" s="3">
        <v>274.0</v>
      </c>
      <c r="C2800" s="3">
        <v>485000.0</v>
      </c>
      <c r="D2800" s="3">
        <v>0.42</v>
      </c>
      <c r="E2800" s="3">
        <v>0.485</v>
      </c>
    </row>
    <row r="2801" ht="12.75" customHeight="1">
      <c r="A2801" s="3">
        <v>181.0</v>
      </c>
      <c r="B2801" s="3">
        <v>275.0</v>
      </c>
      <c r="C2801" s="3">
        <v>1050000.0</v>
      </c>
      <c r="D2801" s="3">
        <v>0.71</v>
      </c>
      <c r="E2801" s="3">
        <v>1.05</v>
      </c>
    </row>
    <row r="2802" ht="12.75" customHeight="1">
      <c r="A2802" s="3">
        <v>181.0</v>
      </c>
      <c r="B2802" s="3">
        <v>276.0</v>
      </c>
      <c r="C2802" s="3">
        <v>2000000.0</v>
      </c>
      <c r="D2802" s="3">
        <v>0.96</v>
      </c>
      <c r="E2802" s="3">
        <v>2.0</v>
      </c>
    </row>
    <row r="2803" ht="12.75" customHeight="1">
      <c r="A2803" s="3">
        <v>181.0</v>
      </c>
      <c r="B2803" s="3">
        <v>278.0</v>
      </c>
      <c r="C2803" s="3">
        <v>4500000.0</v>
      </c>
      <c r="D2803" s="3">
        <v>1.64</v>
      </c>
      <c r="E2803" s="3">
        <v>4.5</v>
      </c>
    </row>
    <row r="2804" ht="12.75" customHeight="1">
      <c r="A2804" s="3">
        <v>181.0</v>
      </c>
      <c r="B2804" s="3">
        <v>280.0</v>
      </c>
      <c r="C2804" s="3">
        <v>9200000.0</v>
      </c>
      <c r="D2804" s="3">
        <v>3.07</v>
      </c>
      <c r="E2804" s="3">
        <v>9.2</v>
      </c>
    </row>
    <row r="2805" ht="12.75" customHeight="1">
      <c r="A2805" s="3">
        <v>181.0</v>
      </c>
      <c r="B2805" s="3">
        <v>282.0</v>
      </c>
      <c r="C2805" s="3">
        <v>1.6E7</v>
      </c>
      <c r="D2805" s="3">
        <v>3.65</v>
      </c>
      <c r="E2805" s="3">
        <v>16.0</v>
      </c>
    </row>
    <row r="2806" ht="12.75" customHeight="1">
      <c r="A2806" s="3">
        <v>181.0</v>
      </c>
      <c r="B2806" s="3">
        <v>284.0</v>
      </c>
      <c r="C2806" s="3">
        <v>2.42E7</v>
      </c>
      <c r="D2806" s="3">
        <v>4.63</v>
      </c>
      <c r="E2806" s="3">
        <v>24.2</v>
      </c>
    </row>
    <row r="2807" ht="12.75" customHeight="1">
      <c r="A2807" s="3">
        <v>181.0</v>
      </c>
      <c r="B2807" s="3">
        <v>286.0</v>
      </c>
      <c r="C2807" s="3">
        <v>3.45E7</v>
      </c>
      <c r="D2807" s="3">
        <v>5.7</v>
      </c>
      <c r="E2807" s="3">
        <v>34.5</v>
      </c>
    </row>
    <row r="2808" ht="12.75" customHeight="1">
      <c r="A2808" s="3">
        <v>181.0</v>
      </c>
      <c r="B2808" s="3">
        <v>288.0</v>
      </c>
      <c r="C2808" s="3">
        <v>4.722E7</v>
      </c>
      <c r="D2808" s="3">
        <v>6.97</v>
      </c>
      <c r="E2808" s="3">
        <v>47.22</v>
      </c>
    </row>
    <row r="2809" ht="12.75" customHeight="1">
      <c r="A2809" s="3">
        <v>181.0</v>
      </c>
      <c r="B2809" s="3">
        <v>289.0</v>
      </c>
      <c r="C2809" s="3">
        <v>5.46E7</v>
      </c>
      <c r="D2809" s="3">
        <v>7.84</v>
      </c>
      <c r="E2809" s="3">
        <v>54.6</v>
      </c>
    </row>
    <row r="2810" ht="12.75" customHeight="1">
      <c r="A2810" s="3">
        <v>181.0</v>
      </c>
      <c r="B2810" s="3">
        <v>290.0</v>
      </c>
      <c r="C2810" s="3">
        <v>6.3E7</v>
      </c>
      <c r="D2810" s="3">
        <v>8.88</v>
      </c>
      <c r="E2810" s="3">
        <v>63.0</v>
      </c>
    </row>
    <row r="2811" ht="12.75" customHeight="1">
      <c r="A2811" s="3">
        <v>181.0</v>
      </c>
      <c r="B2811" s="3">
        <v>291.0</v>
      </c>
      <c r="C2811" s="3">
        <v>7.238E7</v>
      </c>
      <c r="D2811" s="3">
        <v>9.92</v>
      </c>
      <c r="E2811" s="3">
        <v>72.38</v>
      </c>
    </row>
    <row r="2812" ht="12.75" customHeight="1">
      <c r="A2812" s="3">
        <v>181.0</v>
      </c>
      <c r="B2812" s="3">
        <v>292.0</v>
      </c>
      <c r="C2812" s="3">
        <v>8.28E7</v>
      </c>
      <c r="D2812" s="3">
        <v>10.96</v>
      </c>
      <c r="E2812" s="3">
        <v>82.8</v>
      </c>
    </row>
    <row r="2813" ht="12.75" customHeight="1">
      <c r="A2813" s="3">
        <v>185.0</v>
      </c>
      <c r="B2813" s="3">
        <v>91.25</v>
      </c>
      <c r="C2813" s="3">
        <v>0.0</v>
      </c>
      <c r="D2813" s="3">
        <v>0.0</v>
      </c>
      <c r="E2813" s="3">
        <v>0.0</v>
      </c>
    </row>
    <row r="2814" ht="12.75" customHeight="1">
      <c r="A2814" s="3">
        <v>185.0</v>
      </c>
      <c r="B2814" s="3">
        <v>91.5</v>
      </c>
      <c r="C2814" s="3">
        <v>20.0</v>
      </c>
      <c r="D2814" s="3">
        <v>2.0E-4</v>
      </c>
      <c r="E2814" s="3">
        <v>2.0E-5</v>
      </c>
    </row>
    <row r="2815" ht="12.75" customHeight="1">
      <c r="A2815" s="3">
        <v>185.0</v>
      </c>
      <c r="B2815" s="3">
        <v>92.0</v>
      </c>
      <c r="C2815" s="3">
        <v>5500.0</v>
      </c>
      <c r="D2815" s="3">
        <v>0.03</v>
      </c>
      <c r="E2815" s="3">
        <v>0.0055</v>
      </c>
    </row>
    <row r="2816" ht="12.75" customHeight="1">
      <c r="A2816" s="3">
        <v>185.0</v>
      </c>
      <c r="B2816" s="3">
        <v>92.5</v>
      </c>
      <c r="C2816" s="3">
        <v>35000.0</v>
      </c>
      <c r="D2816" s="3">
        <v>0.085</v>
      </c>
      <c r="E2816" s="3">
        <v>0.035</v>
      </c>
    </row>
    <row r="2817" ht="12.75" customHeight="1">
      <c r="A2817" s="3">
        <v>185.0</v>
      </c>
      <c r="B2817" s="3">
        <v>93.0</v>
      </c>
      <c r="C2817" s="3">
        <v>99700.0</v>
      </c>
      <c r="D2817" s="3">
        <v>0.18</v>
      </c>
      <c r="E2817" s="3">
        <v>0.0997</v>
      </c>
    </row>
    <row r="2818" ht="12.75" customHeight="1">
      <c r="A2818" s="3">
        <v>185.0</v>
      </c>
      <c r="B2818" s="3">
        <v>93.5</v>
      </c>
      <c r="C2818" s="3">
        <v>215000.0</v>
      </c>
      <c r="D2818" s="3">
        <v>0.29</v>
      </c>
      <c r="E2818" s="3">
        <v>0.215</v>
      </c>
    </row>
    <row r="2819" ht="12.75" customHeight="1">
      <c r="A2819" s="3">
        <v>185.0</v>
      </c>
      <c r="B2819" s="3">
        <v>94.0</v>
      </c>
      <c r="C2819" s="3">
        <v>399000.0</v>
      </c>
      <c r="D2819" s="3">
        <v>0.44</v>
      </c>
      <c r="E2819" s="3">
        <v>0.399</v>
      </c>
    </row>
    <row r="2820" ht="12.75" customHeight="1">
      <c r="A2820" s="3">
        <v>185.0</v>
      </c>
      <c r="B2820" s="3">
        <v>94.5</v>
      </c>
      <c r="C2820" s="3">
        <v>650000.0</v>
      </c>
      <c r="D2820" s="3">
        <v>0.56</v>
      </c>
      <c r="E2820" s="3">
        <v>0.65</v>
      </c>
    </row>
    <row r="2821" ht="12.75" customHeight="1">
      <c r="A2821" s="3">
        <v>185.0</v>
      </c>
      <c r="B2821" s="3">
        <v>95.0</v>
      </c>
      <c r="C2821" s="3">
        <v>958000.0</v>
      </c>
      <c r="D2821" s="3">
        <v>0.67</v>
      </c>
      <c r="E2821" s="3">
        <v>0.958</v>
      </c>
    </row>
    <row r="2822" ht="12.75" customHeight="1">
      <c r="A2822" s="3">
        <v>185.0</v>
      </c>
      <c r="B2822" s="3">
        <v>95.5</v>
      </c>
      <c r="C2822" s="3">
        <v>1326000.0</v>
      </c>
      <c r="D2822" s="3">
        <v>0.8</v>
      </c>
      <c r="E2822" s="3">
        <v>1.326</v>
      </c>
    </row>
    <row r="2823" ht="12.75" customHeight="1">
      <c r="A2823" s="3">
        <v>185.0</v>
      </c>
      <c r="B2823" s="3">
        <v>96.0</v>
      </c>
      <c r="C2823" s="3">
        <v>1752000.0</v>
      </c>
      <c r="D2823" s="3">
        <v>0.92</v>
      </c>
      <c r="E2823" s="3">
        <v>1.752</v>
      </c>
    </row>
    <row r="2824" ht="12.75" customHeight="1">
      <c r="A2824" s="3">
        <v>185.0</v>
      </c>
      <c r="B2824" s="3">
        <v>96.5</v>
      </c>
      <c r="C2824" s="3">
        <v>2249000.0</v>
      </c>
      <c r="D2824" s="3">
        <v>1.07</v>
      </c>
      <c r="E2824" s="3">
        <v>2.249</v>
      </c>
    </row>
    <row r="2825" ht="12.75" customHeight="1">
      <c r="A2825" s="3">
        <v>185.0</v>
      </c>
      <c r="B2825" s="3">
        <v>97.0</v>
      </c>
      <c r="C2825" s="3">
        <v>2820000.0</v>
      </c>
      <c r="D2825" s="3">
        <v>1.22</v>
      </c>
      <c r="E2825" s="3">
        <v>2.82</v>
      </c>
    </row>
    <row r="2826" ht="12.75" customHeight="1">
      <c r="A2826" s="3">
        <v>185.0</v>
      </c>
      <c r="B2826" s="3">
        <v>97.5</v>
      </c>
      <c r="C2826" s="3">
        <v>3476000.0</v>
      </c>
      <c r="D2826" s="3">
        <v>1.41</v>
      </c>
      <c r="E2826" s="3">
        <v>3.476</v>
      </c>
    </row>
    <row r="2827" ht="12.75" customHeight="1">
      <c r="A2827" s="3">
        <v>185.0</v>
      </c>
      <c r="B2827" s="3">
        <v>98.0</v>
      </c>
      <c r="C2827" s="3">
        <v>4232000.0</v>
      </c>
      <c r="D2827" s="3">
        <v>1.61</v>
      </c>
      <c r="E2827" s="3">
        <v>4.232</v>
      </c>
    </row>
    <row r="2828" ht="12.75" customHeight="1">
      <c r="A2828" s="3">
        <v>185.0</v>
      </c>
      <c r="B2828" s="3">
        <v>98.5</v>
      </c>
      <c r="C2828" s="3">
        <v>5070344.0</v>
      </c>
      <c r="D2828" s="3">
        <v>1.73</v>
      </c>
      <c r="E2828" s="3">
        <v>5.070344</v>
      </c>
    </row>
    <row r="2829" ht="12.75" customHeight="1">
      <c r="A2829" s="3">
        <v>185.0</v>
      </c>
      <c r="B2829" s="3">
        <v>99.0</v>
      </c>
      <c r="C2829" s="3">
        <v>5955000.0</v>
      </c>
      <c r="D2829" s="3">
        <v>1.81</v>
      </c>
      <c r="E2829" s="3">
        <v>5.955</v>
      </c>
    </row>
    <row r="2830" ht="12.75" customHeight="1">
      <c r="A2830" s="3">
        <v>185.0</v>
      </c>
      <c r="B2830" s="3">
        <v>99.5</v>
      </c>
      <c r="C2830" s="3">
        <v>6882000.0</v>
      </c>
      <c r="D2830" s="3">
        <v>1.9</v>
      </c>
      <c r="E2830" s="3">
        <v>6.882</v>
      </c>
    </row>
    <row r="2831" ht="12.75" customHeight="1">
      <c r="A2831" s="3">
        <v>185.0</v>
      </c>
      <c r="B2831" s="3">
        <v>99.55</v>
      </c>
      <c r="C2831" s="3">
        <v>6976000.0</v>
      </c>
      <c r="D2831" s="3">
        <v>1.91</v>
      </c>
      <c r="E2831" s="3">
        <v>6.976</v>
      </c>
    </row>
    <row r="2832" ht="12.75" customHeight="1">
      <c r="A2832" s="3">
        <v>185.0</v>
      </c>
      <c r="B2832" s="3">
        <v>100.0</v>
      </c>
      <c r="C2832" s="3">
        <v>7960000.0</v>
      </c>
      <c r="D2832" s="3">
        <v>1.97</v>
      </c>
      <c r="E2832" s="3">
        <v>7.96</v>
      </c>
    </row>
    <row r="2833" ht="12.75" customHeight="1">
      <c r="A2833" s="3">
        <v>185.0</v>
      </c>
      <c r="B2833" s="3">
        <v>101.0</v>
      </c>
      <c r="C2833" s="3">
        <v>1.04E7</v>
      </c>
      <c r="D2833" s="3">
        <v>2.32</v>
      </c>
      <c r="E2833" s="3">
        <v>10.4</v>
      </c>
    </row>
    <row r="2834" ht="12.75" customHeight="1">
      <c r="A2834" s="3">
        <v>185.0</v>
      </c>
      <c r="B2834" s="3">
        <v>102.0</v>
      </c>
      <c r="C2834" s="3">
        <v>1.32E7</v>
      </c>
      <c r="D2834" s="3">
        <v>2.6</v>
      </c>
      <c r="E2834" s="3">
        <v>13.2</v>
      </c>
    </row>
    <row r="2835" ht="12.75" customHeight="1">
      <c r="A2835" s="3">
        <v>186.0</v>
      </c>
      <c r="B2835" s="3">
        <v>72.47</v>
      </c>
      <c r="C2835" s="3">
        <v>0.0</v>
      </c>
      <c r="D2835" s="3">
        <v>0.0</v>
      </c>
      <c r="E2835" s="3">
        <v>0.0</v>
      </c>
    </row>
    <row r="2836" ht="12.75" customHeight="1">
      <c r="A2836" s="3">
        <v>186.0</v>
      </c>
      <c r="B2836" s="3">
        <v>73.0</v>
      </c>
      <c r="C2836" s="3">
        <v>38.0</v>
      </c>
      <c r="D2836" s="3">
        <v>3.0E-4</v>
      </c>
      <c r="E2836" s="3">
        <v>3.8E-5</v>
      </c>
    </row>
    <row r="2837" ht="12.75" customHeight="1">
      <c r="A2837" s="3">
        <v>186.0</v>
      </c>
      <c r="B2837" s="3">
        <v>74.0</v>
      </c>
      <c r="C2837" s="3">
        <v>2308.0</v>
      </c>
      <c r="D2837" s="3">
        <v>0.0051</v>
      </c>
      <c r="E2837" s="3">
        <v>0.002308</v>
      </c>
    </row>
    <row r="2838" ht="12.75" customHeight="1">
      <c r="A2838" s="3">
        <v>186.0</v>
      </c>
      <c r="B2838" s="3">
        <v>75.0</v>
      </c>
      <c r="C2838" s="3">
        <v>18342.0</v>
      </c>
      <c r="D2838" s="3">
        <v>0.0323</v>
      </c>
      <c r="E2838" s="3">
        <v>0.018342</v>
      </c>
    </row>
    <row r="2839" ht="12.75" customHeight="1">
      <c r="A2839" s="3">
        <v>186.0</v>
      </c>
      <c r="B2839" s="3">
        <v>75.78</v>
      </c>
      <c r="C2839" s="3">
        <v>45602.0</v>
      </c>
      <c r="D2839" s="3">
        <v>0.0372</v>
      </c>
      <c r="E2839" s="3">
        <v>0.045602</v>
      </c>
    </row>
    <row r="2840" ht="12.75" customHeight="1">
      <c r="A2840" s="3">
        <v>186.0</v>
      </c>
      <c r="B2840" s="3">
        <v>76.0</v>
      </c>
      <c r="C2840" s="3">
        <v>77502.0</v>
      </c>
      <c r="D2840" s="3">
        <v>0.06318</v>
      </c>
      <c r="E2840" s="3">
        <v>0.077502</v>
      </c>
    </row>
    <row r="2841" ht="12.75" customHeight="1">
      <c r="A2841" s="3">
        <v>186.0</v>
      </c>
      <c r="B2841" s="3">
        <v>78.0</v>
      </c>
      <c r="C2841" s="3">
        <v>987502.0</v>
      </c>
      <c r="D2841" s="3">
        <v>0.44318</v>
      </c>
      <c r="E2841" s="3">
        <v>0.987502</v>
      </c>
    </row>
    <row r="2842" ht="12.75" customHeight="1">
      <c r="A2842" s="3">
        <v>186.0</v>
      </c>
      <c r="B2842" s="3">
        <v>80.0</v>
      </c>
      <c r="C2842" s="3">
        <v>2807502.0</v>
      </c>
      <c r="D2842" s="3">
        <v>0.97318</v>
      </c>
      <c r="E2842" s="3">
        <v>2.807502</v>
      </c>
    </row>
    <row r="2843" ht="12.75" customHeight="1">
      <c r="A2843" s="3">
        <v>186.0</v>
      </c>
      <c r="B2843" s="3">
        <v>82.0</v>
      </c>
      <c r="C2843" s="3">
        <v>5807502.0</v>
      </c>
      <c r="D2843" s="3">
        <v>1.62318</v>
      </c>
      <c r="E2843" s="3">
        <v>5.807502</v>
      </c>
    </row>
    <row r="2844" ht="12.75" customHeight="1">
      <c r="A2844" s="3">
        <v>186.0</v>
      </c>
      <c r="B2844" s="3">
        <v>84.0</v>
      </c>
      <c r="C2844" s="3">
        <v>1.0097502E7</v>
      </c>
      <c r="D2844" s="3">
        <v>2.27318</v>
      </c>
      <c r="E2844" s="3">
        <v>10.097502</v>
      </c>
    </row>
    <row r="2845" ht="12.75" customHeight="1">
      <c r="A2845" s="3">
        <v>186.0</v>
      </c>
      <c r="B2845" s="3">
        <v>86.0</v>
      </c>
      <c r="C2845" s="3">
        <v>1.5807502E7</v>
      </c>
      <c r="D2845" s="3">
        <v>3.03318</v>
      </c>
      <c r="E2845" s="3">
        <v>15.807502</v>
      </c>
    </row>
    <row r="2846" ht="12.75" customHeight="1">
      <c r="A2846" s="3">
        <v>186.0</v>
      </c>
      <c r="B2846" s="3">
        <v>88.0</v>
      </c>
      <c r="C2846" s="3">
        <v>2.3247502E7</v>
      </c>
      <c r="D2846" s="3">
        <v>4.00318</v>
      </c>
      <c r="E2846" s="3">
        <v>23.247502</v>
      </c>
    </row>
    <row r="2847" ht="12.75" customHeight="1">
      <c r="A2847" s="3">
        <v>186.0</v>
      </c>
      <c r="B2847" s="3">
        <v>89.0</v>
      </c>
      <c r="C2847" s="3">
        <v>2.7717502E7</v>
      </c>
      <c r="D2847" s="3">
        <v>4.53318</v>
      </c>
      <c r="E2847" s="3">
        <v>27.717502</v>
      </c>
    </row>
    <row r="2848" ht="12.75" customHeight="1">
      <c r="A2848" s="3">
        <v>186.0</v>
      </c>
      <c r="B2848" s="3">
        <v>90.0</v>
      </c>
      <c r="C2848" s="3">
        <v>3.2737502E7</v>
      </c>
      <c r="D2848" s="3">
        <v>5.09318</v>
      </c>
      <c r="E2848" s="3">
        <v>32.737502</v>
      </c>
    </row>
    <row r="2849" ht="12.75" customHeight="1">
      <c r="A2849" s="3">
        <v>186.0</v>
      </c>
      <c r="B2849" s="3">
        <v>91.0</v>
      </c>
      <c r="C2849" s="3">
        <v>3.8337502E7</v>
      </c>
      <c r="D2849" s="3">
        <v>5.70318</v>
      </c>
      <c r="E2849" s="3">
        <v>38.337502</v>
      </c>
    </row>
    <row r="2850" ht="12.75" customHeight="1">
      <c r="A2850" s="3">
        <v>186.0</v>
      </c>
      <c r="B2850" s="3">
        <v>92.0</v>
      </c>
      <c r="C2850" s="3">
        <v>4.4567502E7</v>
      </c>
      <c r="D2850" s="3">
        <v>6.35318</v>
      </c>
      <c r="E2850" s="3">
        <v>44.567502</v>
      </c>
    </row>
    <row r="2851" ht="12.75" customHeight="1">
      <c r="A2851" s="3">
        <v>186.0</v>
      </c>
      <c r="B2851" s="3">
        <v>93.0</v>
      </c>
      <c r="C2851" s="3">
        <v>5.1457502E7</v>
      </c>
      <c r="D2851" s="3">
        <v>7.04318</v>
      </c>
      <c r="E2851" s="3">
        <v>51.457502</v>
      </c>
    </row>
    <row r="2852" ht="12.75" customHeight="1">
      <c r="A2852" s="3">
        <v>186.0</v>
      </c>
      <c r="B2852" s="3">
        <v>94.0</v>
      </c>
      <c r="C2852" s="3">
        <v>5.9037502E7</v>
      </c>
      <c r="D2852" s="3">
        <v>7.71318</v>
      </c>
      <c r="E2852" s="3">
        <v>59.037502</v>
      </c>
    </row>
    <row r="2853" ht="12.75" customHeight="1">
      <c r="A2853" s="3">
        <v>186.0</v>
      </c>
      <c r="B2853" s="3">
        <v>95.0</v>
      </c>
      <c r="C2853" s="3">
        <v>6.7027502E7</v>
      </c>
      <c r="D2853" s="3">
        <v>8.38318</v>
      </c>
      <c r="E2853" s="3">
        <v>67.027502</v>
      </c>
    </row>
    <row r="2854" ht="12.75" customHeight="1">
      <c r="A2854" s="3">
        <v>189.0</v>
      </c>
      <c r="B2854" s="3">
        <v>284.33</v>
      </c>
      <c r="C2854" s="3">
        <v>0.0</v>
      </c>
      <c r="D2854" s="3">
        <v>0.0</v>
      </c>
      <c r="E2854" s="3">
        <v>0.0</v>
      </c>
    </row>
    <row r="2855" ht="12.75" customHeight="1">
      <c r="A2855" s="3">
        <v>189.0</v>
      </c>
      <c r="B2855" s="3">
        <v>284.43</v>
      </c>
      <c r="C2855" s="3">
        <v>1.0</v>
      </c>
      <c r="D2855" s="3">
        <v>3.0E-5</v>
      </c>
      <c r="E2855" s="3">
        <v>1.0E-6</v>
      </c>
    </row>
    <row r="2856" ht="12.75" customHeight="1">
      <c r="A2856" s="3">
        <v>189.0</v>
      </c>
      <c r="B2856" s="3">
        <v>284.93</v>
      </c>
      <c r="C2856" s="3">
        <v>533.0</v>
      </c>
      <c r="D2856" s="3">
        <v>0.00295</v>
      </c>
      <c r="E2856" s="3">
        <v>5.33E-4</v>
      </c>
    </row>
    <row r="2857" ht="12.75" customHeight="1">
      <c r="A2857" s="3">
        <v>189.0</v>
      </c>
      <c r="B2857" s="3">
        <v>285.43</v>
      </c>
      <c r="C2857" s="3">
        <v>4456.0</v>
      </c>
      <c r="D2857" s="3">
        <v>0.01969</v>
      </c>
      <c r="E2857" s="3">
        <v>0.004456</v>
      </c>
    </row>
    <row r="2858" ht="12.75" customHeight="1">
      <c r="A2858" s="3">
        <v>189.0</v>
      </c>
      <c r="B2858" s="3">
        <v>285.93</v>
      </c>
      <c r="C2858" s="3">
        <v>30023.0</v>
      </c>
      <c r="D2858" s="3">
        <v>0.0735</v>
      </c>
      <c r="E2858" s="3">
        <v>0.030023</v>
      </c>
    </row>
    <row r="2859" ht="12.75" customHeight="1">
      <c r="A2859" s="3">
        <v>189.0</v>
      </c>
      <c r="B2859" s="3">
        <v>286.43</v>
      </c>
      <c r="C2859" s="3">
        <v>77282.0</v>
      </c>
      <c r="D2859" s="3">
        <v>0.10924</v>
      </c>
      <c r="E2859" s="3">
        <v>0.077282</v>
      </c>
    </row>
    <row r="2860" ht="12.75" customHeight="1">
      <c r="A2860" s="3">
        <v>189.0</v>
      </c>
      <c r="B2860" s="3">
        <v>286.93</v>
      </c>
      <c r="C2860" s="3">
        <v>140071.0</v>
      </c>
      <c r="D2860" s="3">
        <v>0.13783</v>
      </c>
      <c r="E2860" s="3">
        <v>0.140071</v>
      </c>
    </row>
    <row r="2861" ht="12.75" customHeight="1">
      <c r="A2861" s="3">
        <v>189.0</v>
      </c>
      <c r="B2861" s="3">
        <v>287.43</v>
      </c>
      <c r="C2861" s="3">
        <v>214647.0</v>
      </c>
      <c r="D2861" s="3">
        <v>0.15682</v>
      </c>
      <c r="E2861" s="3">
        <v>0.214647</v>
      </c>
    </row>
    <row r="2862" ht="12.75" customHeight="1">
      <c r="A2862" s="3">
        <v>189.0</v>
      </c>
      <c r="B2862" s="3">
        <v>287.93</v>
      </c>
      <c r="C2862" s="3">
        <v>297449.0</v>
      </c>
      <c r="D2862" s="3">
        <v>0.17157</v>
      </c>
      <c r="E2862" s="3">
        <v>0.297449</v>
      </c>
    </row>
    <row r="2863" ht="12.75" customHeight="1">
      <c r="A2863" s="3">
        <v>189.0</v>
      </c>
      <c r="B2863" s="3">
        <v>288.43</v>
      </c>
      <c r="C2863" s="3">
        <v>385948.0</v>
      </c>
      <c r="D2863" s="3">
        <v>0.18426</v>
      </c>
      <c r="E2863" s="3">
        <v>0.385948</v>
      </c>
    </row>
    <row r="2864" ht="12.75" customHeight="1">
      <c r="A2864" s="3">
        <v>189.0</v>
      </c>
      <c r="B2864" s="3">
        <v>288.93</v>
      </c>
      <c r="C2864" s="3">
        <v>481826.0</v>
      </c>
      <c r="D2864" s="3">
        <v>0.19697</v>
      </c>
      <c r="E2864" s="3">
        <v>0.481826</v>
      </c>
    </row>
    <row r="2865" ht="12.75" customHeight="1">
      <c r="A2865" s="3">
        <v>189.0</v>
      </c>
      <c r="B2865" s="3">
        <v>289.43</v>
      </c>
      <c r="C2865" s="3">
        <v>583825.0</v>
      </c>
      <c r="D2865" s="3">
        <v>0.2117</v>
      </c>
      <c r="E2865" s="3">
        <v>0.583825</v>
      </c>
    </row>
    <row r="2866" ht="12.75" customHeight="1">
      <c r="A2866" s="3">
        <v>189.0</v>
      </c>
      <c r="B2866" s="3">
        <v>289.93</v>
      </c>
      <c r="C2866" s="3">
        <v>699171.0</v>
      </c>
      <c r="D2866" s="3">
        <v>0.2484</v>
      </c>
      <c r="E2866" s="3">
        <v>0.699171</v>
      </c>
    </row>
    <row r="2867" ht="12.75" customHeight="1">
      <c r="A2867" s="3">
        <v>189.0</v>
      </c>
      <c r="B2867" s="3">
        <v>290.43</v>
      </c>
      <c r="C2867" s="3">
        <v>844631.0</v>
      </c>
      <c r="D2867" s="3">
        <v>0.32626</v>
      </c>
      <c r="E2867" s="3">
        <v>0.844631</v>
      </c>
    </row>
    <row r="2868" ht="12.75" customHeight="1">
      <c r="A2868" s="3">
        <v>189.0</v>
      </c>
      <c r="B2868" s="3">
        <v>290.93</v>
      </c>
      <c r="C2868" s="3">
        <v>1035101.0</v>
      </c>
      <c r="D2868" s="3">
        <v>0.41312</v>
      </c>
      <c r="E2868" s="3">
        <v>1.035101</v>
      </c>
    </row>
    <row r="2869" ht="12.75" customHeight="1">
      <c r="A2869" s="3">
        <v>189.0</v>
      </c>
      <c r="B2869" s="3">
        <v>291.43</v>
      </c>
      <c r="C2869" s="3">
        <v>1256316.0</v>
      </c>
      <c r="D2869" s="3">
        <v>0.46506</v>
      </c>
      <c r="E2869" s="3">
        <v>1.256316</v>
      </c>
    </row>
    <row r="2870" ht="12.75" customHeight="1">
      <c r="A2870" s="3">
        <v>189.0</v>
      </c>
      <c r="B2870" s="3">
        <v>291.93</v>
      </c>
      <c r="C2870" s="3">
        <v>1502106.0</v>
      </c>
      <c r="D2870" s="3">
        <v>0.51142</v>
      </c>
      <c r="E2870" s="3">
        <v>1.502106</v>
      </c>
    </row>
    <row r="2871" ht="12.75" customHeight="1">
      <c r="A2871" s="3">
        <v>189.0</v>
      </c>
      <c r="B2871" s="3">
        <v>292.43</v>
      </c>
      <c r="C2871" s="3">
        <v>1767879.0</v>
      </c>
      <c r="D2871" s="3">
        <v>0.60898</v>
      </c>
      <c r="E2871" s="3">
        <v>1.767879</v>
      </c>
    </row>
    <row r="2872" ht="12.75" customHeight="1">
      <c r="A2872" s="3">
        <v>189.0</v>
      </c>
      <c r="B2872" s="3">
        <v>292.92</v>
      </c>
      <c r="C2872" s="3">
        <v>2030000.0</v>
      </c>
      <c r="D2872" s="3">
        <v>0.725</v>
      </c>
      <c r="E2872" s="3">
        <v>2.03</v>
      </c>
    </row>
    <row r="2873" ht="12.75" customHeight="1">
      <c r="A2873" s="3">
        <v>189.0</v>
      </c>
      <c r="B2873" s="3">
        <v>294.0</v>
      </c>
      <c r="C2873" s="3">
        <v>2993900.0</v>
      </c>
      <c r="D2873" s="3">
        <v>1.06</v>
      </c>
      <c r="E2873" s="3">
        <v>2.9939</v>
      </c>
    </row>
    <row r="2874" ht="12.75" customHeight="1">
      <c r="A2874" s="3">
        <v>190.0</v>
      </c>
      <c r="B2874" s="3">
        <v>584.76</v>
      </c>
      <c r="C2874" s="3">
        <v>0.0</v>
      </c>
      <c r="D2874" s="3">
        <v>0.0</v>
      </c>
      <c r="E2874" s="3">
        <v>0.0</v>
      </c>
    </row>
    <row r="2875" ht="12.75" customHeight="1">
      <c r="A2875" s="3">
        <v>190.0</v>
      </c>
      <c r="B2875" s="3">
        <v>585.26</v>
      </c>
      <c r="C2875" s="3">
        <v>804.0</v>
      </c>
      <c r="D2875" s="3">
        <v>8.0E-4</v>
      </c>
      <c r="E2875" s="3">
        <v>8.04E-4</v>
      </c>
    </row>
    <row r="2876" ht="12.75" customHeight="1">
      <c r="A2876" s="3">
        <v>190.0</v>
      </c>
      <c r="B2876" s="3">
        <v>585.76</v>
      </c>
      <c r="C2876" s="3">
        <v>3713.0</v>
      </c>
      <c r="D2876" s="3">
        <v>0.00371</v>
      </c>
      <c r="E2876" s="3">
        <v>0.003713</v>
      </c>
    </row>
    <row r="2877" ht="12.75" customHeight="1">
      <c r="A2877" s="3">
        <v>190.0</v>
      </c>
      <c r="B2877" s="3">
        <v>586.26</v>
      </c>
      <c r="C2877" s="3">
        <v>8997.0</v>
      </c>
      <c r="D2877" s="3">
        <v>0.009</v>
      </c>
      <c r="E2877" s="3">
        <v>0.008997</v>
      </c>
    </row>
    <row r="2878" ht="12.75" customHeight="1">
      <c r="A2878" s="3">
        <v>190.0</v>
      </c>
      <c r="B2878" s="3">
        <v>586.76</v>
      </c>
      <c r="C2878" s="3">
        <v>16903.0</v>
      </c>
      <c r="D2878" s="3">
        <v>0.0169</v>
      </c>
      <c r="E2878" s="3">
        <v>0.016903</v>
      </c>
    </row>
    <row r="2879" ht="12.75" customHeight="1">
      <c r="A2879" s="3">
        <v>190.0</v>
      </c>
      <c r="B2879" s="3">
        <v>587.26</v>
      </c>
      <c r="C2879" s="3">
        <v>26994.0</v>
      </c>
      <c r="D2879" s="3">
        <v>0.02699</v>
      </c>
      <c r="E2879" s="3">
        <v>0.026994</v>
      </c>
    </row>
    <row r="2880" ht="12.75" customHeight="1">
      <c r="A2880" s="3">
        <v>190.0</v>
      </c>
      <c r="B2880" s="3">
        <v>587.76</v>
      </c>
      <c r="C2880" s="3">
        <v>39345.0</v>
      </c>
      <c r="D2880" s="3">
        <v>0.03935</v>
      </c>
      <c r="E2880" s="3">
        <v>0.039345</v>
      </c>
    </row>
    <row r="2881" ht="12.75" customHeight="1">
      <c r="A2881" s="3">
        <v>190.0</v>
      </c>
      <c r="B2881" s="3">
        <v>588.26</v>
      </c>
      <c r="C2881" s="3">
        <v>54403.0</v>
      </c>
      <c r="D2881" s="3">
        <v>0.0544</v>
      </c>
      <c r="E2881" s="3">
        <v>0.054403</v>
      </c>
    </row>
    <row r="2882" ht="12.75" customHeight="1">
      <c r="A2882" s="3">
        <v>190.0</v>
      </c>
      <c r="B2882" s="3">
        <v>588.76</v>
      </c>
      <c r="C2882" s="3">
        <v>71741.0</v>
      </c>
      <c r="D2882" s="3">
        <v>0.07174</v>
      </c>
      <c r="E2882" s="3">
        <v>0.071741</v>
      </c>
    </row>
    <row r="2883" ht="12.75" customHeight="1">
      <c r="A2883" s="3">
        <v>190.0</v>
      </c>
      <c r="B2883" s="3">
        <v>589.26</v>
      </c>
      <c r="C2883" s="3">
        <v>92167.0</v>
      </c>
      <c r="D2883" s="3">
        <v>0.09217</v>
      </c>
      <c r="E2883" s="3">
        <v>0.092167</v>
      </c>
    </row>
    <row r="2884" ht="12.75" customHeight="1">
      <c r="A2884" s="3">
        <v>190.0</v>
      </c>
      <c r="B2884" s="3">
        <v>589.76</v>
      </c>
      <c r="C2884" s="3">
        <v>116282.0</v>
      </c>
      <c r="D2884" s="3">
        <v>0.11628</v>
      </c>
      <c r="E2884" s="3">
        <v>0.116282</v>
      </c>
    </row>
    <row r="2885" ht="12.75" customHeight="1">
      <c r="A2885" s="3">
        <v>190.0</v>
      </c>
      <c r="B2885" s="3">
        <v>590.26</v>
      </c>
      <c r="C2885" s="3">
        <v>144052.0</v>
      </c>
      <c r="D2885" s="3">
        <v>0.14405</v>
      </c>
      <c r="E2885" s="3">
        <v>0.144052</v>
      </c>
    </row>
    <row r="2886" ht="12.75" customHeight="1">
      <c r="A2886" s="3">
        <v>190.0</v>
      </c>
      <c r="B2886" s="3">
        <v>590.76</v>
      </c>
      <c r="C2886" s="3">
        <v>175600.0</v>
      </c>
      <c r="D2886" s="3">
        <v>0.1756</v>
      </c>
      <c r="E2886" s="3">
        <v>0.1756</v>
      </c>
    </row>
    <row r="2887" ht="12.75" customHeight="1">
      <c r="A2887" s="3">
        <v>190.0</v>
      </c>
      <c r="B2887" s="3">
        <v>591.26</v>
      </c>
      <c r="C2887" s="3">
        <v>211945.0</v>
      </c>
      <c r="D2887" s="3">
        <v>0.21194</v>
      </c>
      <c r="E2887" s="3">
        <v>0.211945</v>
      </c>
    </row>
    <row r="2888" ht="12.75" customHeight="1">
      <c r="A2888" s="3">
        <v>190.0</v>
      </c>
      <c r="B2888" s="3">
        <v>591.76</v>
      </c>
      <c r="C2888" s="3">
        <v>252732.0</v>
      </c>
      <c r="D2888" s="3">
        <v>0.25273</v>
      </c>
      <c r="E2888" s="3">
        <v>0.252732</v>
      </c>
    </row>
    <row r="2889" ht="12.75" customHeight="1">
      <c r="A2889" s="3">
        <v>190.0</v>
      </c>
      <c r="B2889" s="3">
        <v>592.26</v>
      </c>
      <c r="C2889" s="3">
        <v>298082.0</v>
      </c>
      <c r="D2889" s="3">
        <v>0.29808</v>
      </c>
      <c r="E2889" s="3">
        <v>0.298082</v>
      </c>
    </row>
    <row r="2890" ht="12.75" customHeight="1">
      <c r="A2890" s="3">
        <v>190.0</v>
      </c>
      <c r="B2890" s="3">
        <v>592.76</v>
      </c>
      <c r="C2890" s="3">
        <v>349404.0</v>
      </c>
      <c r="D2890" s="3">
        <v>0.3494</v>
      </c>
      <c r="E2890" s="3">
        <v>0.349404</v>
      </c>
    </row>
    <row r="2891" ht="12.75" customHeight="1">
      <c r="A2891" s="3">
        <v>190.0</v>
      </c>
      <c r="B2891" s="3">
        <v>593.26</v>
      </c>
      <c r="C2891" s="3">
        <v>404990.0</v>
      </c>
      <c r="D2891" s="3">
        <v>0.40499</v>
      </c>
      <c r="E2891" s="3">
        <v>0.40499</v>
      </c>
    </row>
    <row r="2892" ht="12.75" customHeight="1">
      <c r="A2892" s="3">
        <v>190.0</v>
      </c>
      <c r="B2892" s="3">
        <v>593.76</v>
      </c>
      <c r="C2892" s="3">
        <v>463955.0</v>
      </c>
      <c r="D2892" s="3">
        <v>0.46395</v>
      </c>
      <c r="E2892" s="3">
        <v>0.463955</v>
      </c>
    </row>
    <row r="2893" ht="12.75" customHeight="1">
      <c r="A2893" s="3">
        <v>190.0</v>
      </c>
      <c r="B2893" s="3">
        <v>594.26</v>
      </c>
      <c r="C2893" s="3">
        <v>527116.0</v>
      </c>
      <c r="D2893" s="3">
        <v>0.52712</v>
      </c>
      <c r="E2893" s="3">
        <v>0.527116</v>
      </c>
    </row>
    <row r="2894" ht="12.75" customHeight="1">
      <c r="A2894" s="3">
        <v>190.0</v>
      </c>
      <c r="B2894" s="3">
        <v>594.76</v>
      </c>
      <c r="C2894" s="3">
        <v>594918.0</v>
      </c>
      <c r="D2894" s="3">
        <v>0.59492</v>
      </c>
      <c r="E2894" s="3">
        <v>0.594918</v>
      </c>
    </row>
    <row r="2895" ht="12.75" customHeight="1">
      <c r="A2895" s="3">
        <v>190.0</v>
      </c>
      <c r="B2895" s="3">
        <v>595.26</v>
      </c>
      <c r="C2895" s="3">
        <v>665500.0</v>
      </c>
      <c r="D2895" s="3">
        <v>0.6655</v>
      </c>
      <c r="E2895" s="3">
        <v>0.6655</v>
      </c>
    </row>
    <row r="2896" ht="12.75" customHeight="1">
      <c r="A2896" s="3">
        <v>190.0</v>
      </c>
      <c r="B2896" s="3">
        <v>595.76</v>
      </c>
      <c r="C2896" s="3">
        <v>741452.0</v>
      </c>
      <c r="D2896" s="3">
        <v>0.74145</v>
      </c>
      <c r="E2896" s="3">
        <v>0.741452</v>
      </c>
    </row>
    <row r="2897" ht="12.75" customHeight="1">
      <c r="A2897" s="3">
        <v>190.0</v>
      </c>
      <c r="B2897" s="3">
        <v>596.26</v>
      </c>
      <c r="C2897" s="3">
        <v>821203.0</v>
      </c>
      <c r="D2897" s="3">
        <v>0.8212</v>
      </c>
      <c r="E2897" s="3">
        <v>0.821203</v>
      </c>
    </row>
    <row r="2898" ht="12.75" customHeight="1">
      <c r="A2898" s="3">
        <v>190.0</v>
      </c>
      <c r="B2898" s="3">
        <v>596.76</v>
      </c>
      <c r="C2898" s="3">
        <v>907928.0</v>
      </c>
      <c r="D2898" s="3">
        <v>0.90793</v>
      </c>
      <c r="E2898" s="3">
        <v>0.907928</v>
      </c>
    </row>
    <row r="2899" ht="12.75" customHeight="1">
      <c r="A2899" s="3">
        <v>190.0</v>
      </c>
      <c r="B2899" s="3">
        <v>597.26</v>
      </c>
      <c r="C2899" s="3">
        <v>1001820.0</v>
      </c>
      <c r="D2899" s="3">
        <v>1.00182</v>
      </c>
      <c r="E2899" s="3">
        <v>1.00182</v>
      </c>
    </row>
    <row r="2900" ht="12.75" customHeight="1">
      <c r="A2900" s="3">
        <v>190.0</v>
      </c>
      <c r="B2900" s="3">
        <v>597.76</v>
      </c>
      <c r="C2900" s="3">
        <v>1101224.0</v>
      </c>
      <c r="D2900" s="3">
        <v>1.10122</v>
      </c>
      <c r="E2900" s="3">
        <v>1.101224</v>
      </c>
    </row>
    <row r="2901" ht="12.75" customHeight="1">
      <c r="A2901" s="3">
        <v>190.0</v>
      </c>
      <c r="B2901" s="3">
        <v>598.26</v>
      </c>
      <c r="C2901" s="3">
        <v>1208805.0</v>
      </c>
      <c r="D2901" s="3">
        <v>1.20881</v>
      </c>
      <c r="E2901" s="3">
        <v>1.208805</v>
      </c>
    </row>
    <row r="2902" ht="12.75" customHeight="1">
      <c r="A2902" s="3">
        <v>190.0</v>
      </c>
      <c r="B2902" s="3">
        <v>598.76</v>
      </c>
      <c r="C2902" s="3">
        <v>1321451.0</v>
      </c>
      <c r="D2902" s="3">
        <v>1.32145</v>
      </c>
      <c r="E2902" s="3">
        <v>1.321451</v>
      </c>
    </row>
    <row r="2903" ht="12.75" customHeight="1">
      <c r="A2903" s="3">
        <v>190.0</v>
      </c>
      <c r="B2903" s="3">
        <v>599.26</v>
      </c>
      <c r="C2903" s="3">
        <v>1438434.0</v>
      </c>
      <c r="D2903" s="3">
        <v>1.43843</v>
      </c>
      <c r="E2903" s="3">
        <v>1.438434</v>
      </c>
    </row>
    <row r="2904" ht="12.75" customHeight="1">
      <c r="A2904" s="3">
        <v>190.0</v>
      </c>
      <c r="B2904" s="3">
        <v>599.76</v>
      </c>
      <c r="C2904" s="3">
        <v>1559778.0</v>
      </c>
      <c r="D2904" s="3">
        <v>1.55978</v>
      </c>
      <c r="E2904" s="3">
        <v>1.559778</v>
      </c>
    </row>
    <row r="2905" ht="12.75" customHeight="1">
      <c r="A2905" s="3">
        <v>190.0</v>
      </c>
      <c r="B2905" s="3">
        <v>600.26</v>
      </c>
      <c r="C2905" s="3">
        <v>1684225.0</v>
      </c>
      <c r="D2905" s="3">
        <v>1.68422</v>
      </c>
      <c r="E2905" s="3">
        <v>1.684225</v>
      </c>
    </row>
    <row r="2906" ht="12.75" customHeight="1">
      <c r="A2906" s="3">
        <v>190.0</v>
      </c>
      <c r="B2906" s="3">
        <v>600.76</v>
      </c>
      <c r="C2906" s="3">
        <v>1812037.0</v>
      </c>
      <c r="D2906" s="3">
        <v>1.81204</v>
      </c>
      <c r="E2906" s="3">
        <v>1.812037</v>
      </c>
    </row>
    <row r="2907" ht="12.75" customHeight="1">
      <c r="A2907" s="3">
        <v>190.0</v>
      </c>
      <c r="B2907" s="3">
        <v>601.06</v>
      </c>
      <c r="C2907" s="3">
        <v>1890329.0</v>
      </c>
      <c r="D2907" s="3">
        <v>1.89033</v>
      </c>
      <c r="E2907" s="3">
        <v>1.890329</v>
      </c>
    </row>
    <row r="2908" ht="12.75" customHeight="1">
      <c r="A2908" s="3">
        <v>190.0</v>
      </c>
      <c r="B2908" s="3">
        <v>601.26</v>
      </c>
      <c r="C2908" s="3">
        <v>1960000.0</v>
      </c>
      <c r="D2908" s="3">
        <v>1.96</v>
      </c>
      <c r="E2908" s="3">
        <v>1.96</v>
      </c>
    </row>
    <row r="2909" ht="12.75" customHeight="1">
      <c r="A2909" s="3">
        <v>190.0</v>
      </c>
      <c r="B2909" s="3">
        <v>601.76</v>
      </c>
      <c r="C2909" s="3">
        <v>2100000.0</v>
      </c>
      <c r="D2909" s="3">
        <v>2.1</v>
      </c>
      <c r="E2909" s="3">
        <v>2.1</v>
      </c>
    </row>
    <row r="2910" ht="12.75" customHeight="1">
      <c r="A2910" s="3">
        <v>190.0</v>
      </c>
      <c r="B2910" s="3">
        <v>602.26</v>
      </c>
      <c r="C2910" s="3">
        <v>2250000.0</v>
      </c>
      <c r="D2910" s="3">
        <v>2.25</v>
      </c>
      <c r="E2910" s="3">
        <v>2.25</v>
      </c>
    </row>
    <row r="2911" ht="12.75" customHeight="1">
      <c r="A2911" s="3">
        <v>190.0</v>
      </c>
      <c r="B2911" s="3">
        <v>603.0</v>
      </c>
      <c r="C2911" s="3">
        <v>3985300.0</v>
      </c>
      <c r="D2911" s="3">
        <v>2.44</v>
      </c>
      <c r="E2911" s="3">
        <v>3.9853</v>
      </c>
    </row>
    <row r="2912" ht="12.75" customHeight="1">
      <c r="A2912" s="3">
        <v>190.0</v>
      </c>
      <c r="B2912" s="3">
        <v>604.0</v>
      </c>
      <c r="C2912" s="3">
        <v>6578300.0</v>
      </c>
      <c r="D2912" s="3">
        <v>2.746</v>
      </c>
      <c r="E2912" s="3">
        <v>6.5783</v>
      </c>
    </row>
    <row r="2913" ht="12.75" customHeight="1">
      <c r="A2913" s="3">
        <v>191.0</v>
      </c>
      <c r="B2913" s="3">
        <v>293.87</v>
      </c>
      <c r="C2913" s="3">
        <v>0.0</v>
      </c>
      <c r="D2913" s="3">
        <v>0.0</v>
      </c>
      <c r="E2913" s="3">
        <v>0.0</v>
      </c>
    </row>
    <row r="2914" ht="12.75" customHeight="1">
      <c r="A2914" s="3">
        <v>191.0</v>
      </c>
      <c r="B2914" s="3">
        <v>294.0</v>
      </c>
      <c r="C2914" s="3">
        <v>1.0</v>
      </c>
      <c r="D2914" s="3">
        <v>0.0</v>
      </c>
      <c r="E2914" s="3">
        <v>1.0E-6</v>
      </c>
    </row>
    <row r="2915" ht="12.75" customHeight="1">
      <c r="A2915" s="3">
        <v>191.0</v>
      </c>
      <c r="B2915" s="3">
        <v>295.0</v>
      </c>
      <c r="C2915" s="3">
        <v>1291.0</v>
      </c>
      <c r="D2915" s="3">
        <v>0.0031</v>
      </c>
      <c r="E2915" s="3">
        <v>0.001291</v>
      </c>
    </row>
    <row r="2916" ht="12.75" customHeight="1">
      <c r="A2916" s="3">
        <v>191.0</v>
      </c>
      <c r="B2916" s="3">
        <v>296.0</v>
      </c>
      <c r="C2916" s="3">
        <v>6624.0</v>
      </c>
      <c r="D2916" s="3">
        <v>0.008</v>
      </c>
      <c r="E2916" s="3">
        <v>0.006624</v>
      </c>
    </row>
    <row r="2917" ht="12.75" customHeight="1">
      <c r="A2917" s="3">
        <v>191.0</v>
      </c>
      <c r="B2917" s="3">
        <v>297.0</v>
      </c>
      <c r="C2917" s="3">
        <v>20210.0</v>
      </c>
      <c r="D2917" s="3">
        <v>0.0209</v>
      </c>
      <c r="E2917" s="3">
        <v>0.02021</v>
      </c>
    </row>
    <row r="2918" ht="12.75" customHeight="1">
      <c r="A2918" s="3">
        <v>191.0</v>
      </c>
      <c r="B2918" s="3">
        <v>298.0</v>
      </c>
      <c r="C2918" s="3">
        <v>54012.0</v>
      </c>
      <c r="D2918" s="3">
        <v>0.0509</v>
      </c>
      <c r="E2918" s="3">
        <v>0.054012</v>
      </c>
    </row>
    <row r="2919" ht="12.75" customHeight="1">
      <c r="A2919" s="3">
        <v>191.0</v>
      </c>
      <c r="B2919" s="3">
        <v>299.0</v>
      </c>
      <c r="C2919" s="3">
        <v>132261.0</v>
      </c>
      <c r="D2919" s="3">
        <v>0.1091</v>
      </c>
      <c r="E2919" s="3">
        <v>0.132261</v>
      </c>
    </row>
    <row r="2920" ht="12.75" customHeight="1">
      <c r="A2920" s="3">
        <v>191.0</v>
      </c>
      <c r="B2920" s="3">
        <v>300.0</v>
      </c>
      <c r="C2920" s="3">
        <v>284963.0</v>
      </c>
      <c r="D2920" s="3">
        <v>0.2162</v>
      </c>
      <c r="E2920" s="3">
        <v>0.284963</v>
      </c>
    </row>
    <row r="2921" ht="12.75" customHeight="1">
      <c r="A2921" s="3">
        <v>191.0</v>
      </c>
      <c r="B2921" s="3">
        <v>301.0</v>
      </c>
      <c r="C2921" s="3">
        <v>680714.0</v>
      </c>
      <c r="D2921" s="3">
        <v>0.583</v>
      </c>
      <c r="E2921" s="3">
        <v>0.680714</v>
      </c>
    </row>
    <row r="2922" ht="12.75" customHeight="1">
      <c r="A2922" s="3">
        <v>191.0</v>
      </c>
      <c r="B2922" s="3">
        <v>302.0</v>
      </c>
      <c r="C2922" s="3">
        <v>1502572.0</v>
      </c>
      <c r="D2922" s="3">
        <v>1.099</v>
      </c>
      <c r="E2922" s="3">
        <v>1.502572</v>
      </c>
    </row>
    <row r="2923" ht="12.75" customHeight="1">
      <c r="A2923" s="3">
        <v>191.0</v>
      </c>
      <c r="B2923" s="3">
        <v>303.0</v>
      </c>
      <c r="C2923" s="3">
        <v>2897272.0</v>
      </c>
      <c r="D2923" s="3">
        <v>1.7116</v>
      </c>
      <c r="E2923" s="3">
        <v>2.897272</v>
      </c>
    </row>
    <row r="2924" ht="12.75" customHeight="1">
      <c r="A2924" s="3">
        <v>191.0</v>
      </c>
      <c r="B2924" s="3">
        <v>304.0</v>
      </c>
      <c r="C2924" s="3">
        <v>4930894.0</v>
      </c>
      <c r="D2924" s="3">
        <v>2.368</v>
      </c>
      <c r="E2924" s="3">
        <v>4.930894</v>
      </c>
    </row>
    <row r="2925" ht="12.75" customHeight="1">
      <c r="A2925" s="3">
        <v>191.0</v>
      </c>
      <c r="B2925" s="3">
        <v>305.0</v>
      </c>
      <c r="C2925" s="3">
        <v>7640857.0</v>
      </c>
      <c r="D2925" s="3">
        <v>2.9943</v>
      </c>
      <c r="E2925" s="3">
        <v>7.640857</v>
      </c>
    </row>
    <row r="2926" ht="12.75" customHeight="1">
      <c r="A2926" s="3">
        <v>191.0</v>
      </c>
      <c r="B2926" s="3">
        <v>306.0</v>
      </c>
      <c r="C2926" s="3">
        <v>1.0879584E7</v>
      </c>
      <c r="D2926" s="3">
        <v>3.4809</v>
      </c>
      <c r="E2926" s="3">
        <v>10.879584</v>
      </c>
    </row>
    <row r="2927" ht="12.75" customHeight="1">
      <c r="A2927" s="3">
        <v>191.0</v>
      </c>
      <c r="B2927" s="3">
        <v>307.0</v>
      </c>
      <c r="C2927" s="3">
        <v>1.4573112E7</v>
      </c>
      <c r="D2927" s="3">
        <v>3.8843</v>
      </c>
      <c r="E2927" s="3">
        <v>14.573112</v>
      </c>
    </row>
    <row r="2928" ht="12.75" customHeight="1">
      <c r="A2928" s="3">
        <v>191.0</v>
      </c>
      <c r="B2928" s="3">
        <v>308.0</v>
      </c>
      <c r="C2928" s="3">
        <v>1.8628027E7</v>
      </c>
      <c r="D2928" s="3">
        <v>4.2076</v>
      </c>
      <c r="E2928" s="3">
        <v>18.628027</v>
      </c>
    </row>
    <row r="2929" ht="12.75" customHeight="1">
      <c r="A2929" s="3">
        <v>191.0</v>
      </c>
      <c r="B2929" s="3">
        <v>308.71</v>
      </c>
      <c r="C2929" s="3">
        <v>2.1688179E7</v>
      </c>
      <c r="D2929" s="3">
        <v>4.4599</v>
      </c>
      <c r="E2929" s="3">
        <v>21.688179</v>
      </c>
    </row>
    <row r="2930" ht="12.75" customHeight="1">
      <c r="A2930" s="3">
        <v>191.0</v>
      </c>
      <c r="B2930" s="3">
        <v>309.0</v>
      </c>
      <c r="C2930" s="3">
        <v>2.3225225E7</v>
      </c>
      <c r="D2930" s="3">
        <v>4.7658</v>
      </c>
      <c r="E2930" s="3">
        <v>23.225225</v>
      </c>
    </row>
    <row r="2931" ht="12.75" customHeight="1">
      <c r="A2931" s="3">
        <v>191.0</v>
      </c>
      <c r="B2931" s="3">
        <v>310.0</v>
      </c>
      <c r="C2931" s="3">
        <v>3.0E7</v>
      </c>
      <c r="D2931" s="3">
        <v>5.6458</v>
      </c>
      <c r="E2931" s="3">
        <v>30.0</v>
      </c>
    </row>
    <row r="2932" ht="12.75" customHeight="1">
      <c r="A2932" s="3">
        <v>191.0</v>
      </c>
      <c r="B2932" s="3">
        <v>311.0</v>
      </c>
      <c r="C2932" s="3">
        <v>3.7965225E7</v>
      </c>
      <c r="D2932" s="3">
        <v>6.8058</v>
      </c>
      <c r="E2932" s="3">
        <v>37.965225</v>
      </c>
    </row>
    <row r="2933" ht="12.75" customHeight="1">
      <c r="A2933" s="3">
        <v>191.0</v>
      </c>
      <c r="B2933" s="3">
        <v>312.0</v>
      </c>
      <c r="C2933" s="3">
        <v>4.7025225E7</v>
      </c>
      <c r="D2933" s="3">
        <v>7.9458</v>
      </c>
      <c r="E2933" s="3">
        <v>47.025225</v>
      </c>
    </row>
    <row r="2934" ht="12.75" customHeight="1">
      <c r="A2934" s="3">
        <v>191.0</v>
      </c>
      <c r="B2934" s="3">
        <v>313.0</v>
      </c>
      <c r="C2934" s="3">
        <v>5.7325225E7</v>
      </c>
      <c r="D2934" s="3">
        <v>9.0958</v>
      </c>
      <c r="E2934" s="3">
        <v>57.325225</v>
      </c>
    </row>
    <row r="2935" ht="12.75" customHeight="1">
      <c r="A2935" s="3">
        <v>191.0</v>
      </c>
      <c r="B2935" s="3">
        <v>314.0</v>
      </c>
      <c r="C2935" s="3">
        <v>6.8725225E7</v>
      </c>
      <c r="D2935" s="3">
        <v>10.1358</v>
      </c>
      <c r="E2935" s="3">
        <v>68.725225</v>
      </c>
    </row>
    <row r="2936" ht="12.75" customHeight="1">
      <c r="A2936" s="3">
        <v>191.0</v>
      </c>
      <c r="B2936" s="3">
        <v>315.0</v>
      </c>
      <c r="C2936" s="3">
        <v>8.1225225E7</v>
      </c>
      <c r="D2936" s="3">
        <v>11.4458</v>
      </c>
      <c r="E2936" s="3">
        <v>81.225225</v>
      </c>
    </row>
    <row r="2937" ht="12.75" customHeight="1">
      <c r="A2937" s="3">
        <v>192.0</v>
      </c>
      <c r="B2937" s="3">
        <v>175.0</v>
      </c>
      <c r="C2937" s="3">
        <v>0.0</v>
      </c>
      <c r="D2937" s="3">
        <v>0.0</v>
      </c>
      <c r="E2937" s="3">
        <v>0.0</v>
      </c>
    </row>
    <row r="2938" ht="12.75" customHeight="1">
      <c r="A2938" s="3">
        <v>192.0</v>
      </c>
      <c r="B2938" s="3">
        <v>176.0</v>
      </c>
      <c r="C2938" s="3">
        <v>3600.0</v>
      </c>
      <c r="D2938" s="3">
        <v>0.007</v>
      </c>
      <c r="E2938" s="3">
        <v>0.0036</v>
      </c>
    </row>
    <row r="2939" ht="12.75" customHeight="1">
      <c r="A2939" s="3">
        <v>192.0</v>
      </c>
      <c r="B2939" s="3">
        <v>177.0</v>
      </c>
      <c r="C2939" s="3">
        <v>17000.0</v>
      </c>
      <c r="D2939" s="3">
        <v>0.02</v>
      </c>
      <c r="E2939" s="3">
        <v>0.017</v>
      </c>
    </row>
    <row r="2940" ht="12.75" customHeight="1">
      <c r="A2940" s="3">
        <v>192.0</v>
      </c>
      <c r="B2940" s="3">
        <v>178.0</v>
      </c>
      <c r="C2940" s="3">
        <v>40500.0</v>
      </c>
      <c r="D2940" s="3">
        <v>0.03</v>
      </c>
      <c r="E2940" s="3">
        <v>0.0405</v>
      </c>
    </row>
    <row r="2941" ht="12.75" customHeight="1">
      <c r="A2941" s="3">
        <v>192.0</v>
      </c>
      <c r="B2941" s="3">
        <v>179.0</v>
      </c>
      <c r="C2941" s="3">
        <v>74000.0</v>
      </c>
      <c r="D2941" s="3">
        <v>0.04</v>
      </c>
      <c r="E2941" s="3">
        <v>0.074</v>
      </c>
    </row>
    <row r="2942" ht="12.75" customHeight="1">
      <c r="A2942" s="3">
        <v>192.0</v>
      </c>
      <c r="B2942" s="3">
        <v>180.0</v>
      </c>
      <c r="C2942" s="3">
        <v>125000.0</v>
      </c>
      <c r="D2942" s="3">
        <v>0.06</v>
      </c>
      <c r="E2942" s="3">
        <v>0.125</v>
      </c>
    </row>
    <row r="2943" ht="12.75" customHeight="1">
      <c r="A2943" s="3">
        <v>192.0</v>
      </c>
      <c r="B2943" s="3">
        <v>181.0</v>
      </c>
      <c r="C2943" s="3">
        <v>195000.0</v>
      </c>
      <c r="D2943" s="3">
        <v>0.08</v>
      </c>
      <c r="E2943" s="3">
        <v>0.195</v>
      </c>
    </row>
    <row r="2944" ht="12.75" customHeight="1">
      <c r="A2944" s="3">
        <v>192.0</v>
      </c>
      <c r="B2944" s="3">
        <v>182.0</v>
      </c>
      <c r="C2944" s="3">
        <v>290000.0</v>
      </c>
      <c r="D2944" s="3">
        <v>0.11</v>
      </c>
      <c r="E2944" s="3">
        <v>0.29</v>
      </c>
    </row>
    <row r="2945" ht="12.75" customHeight="1">
      <c r="A2945" s="3">
        <v>192.0</v>
      </c>
      <c r="B2945" s="3">
        <v>183.0</v>
      </c>
      <c r="C2945" s="3">
        <v>413000.0</v>
      </c>
      <c r="D2945" s="3">
        <v>0.14</v>
      </c>
      <c r="E2945" s="3">
        <v>0.413</v>
      </c>
    </row>
    <row r="2946" ht="12.75" customHeight="1">
      <c r="A2946" s="3">
        <v>192.0</v>
      </c>
      <c r="B2946" s="3">
        <v>184.0</v>
      </c>
      <c r="C2946" s="3">
        <v>563000.0</v>
      </c>
      <c r="D2946" s="3">
        <v>0.16</v>
      </c>
      <c r="E2946" s="3">
        <v>0.563</v>
      </c>
    </row>
    <row r="2947" ht="12.75" customHeight="1">
      <c r="A2947" s="3">
        <v>192.0</v>
      </c>
      <c r="B2947" s="3">
        <v>185.0</v>
      </c>
      <c r="C2947" s="3">
        <v>745000.0</v>
      </c>
      <c r="D2947" s="3">
        <v>0.2</v>
      </c>
      <c r="E2947" s="3">
        <v>0.745</v>
      </c>
    </row>
    <row r="2948" ht="12.75" customHeight="1">
      <c r="A2948" s="3">
        <v>192.0</v>
      </c>
      <c r="B2948" s="3">
        <v>186.0</v>
      </c>
      <c r="C2948" s="3">
        <v>981000.0</v>
      </c>
      <c r="D2948" s="3">
        <v>0.27</v>
      </c>
      <c r="E2948" s="3">
        <v>0.981</v>
      </c>
    </row>
    <row r="2949" ht="12.75" customHeight="1">
      <c r="A2949" s="3">
        <v>192.0</v>
      </c>
      <c r="B2949" s="3">
        <v>187.0</v>
      </c>
      <c r="C2949" s="3">
        <v>1281000.0</v>
      </c>
      <c r="D2949" s="3">
        <v>0.33</v>
      </c>
      <c r="E2949" s="3">
        <v>1.281</v>
      </c>
    </row>
    <row r="2950" ht="12.75" customHeight="1">
      <c r="A2950" s="3">
        <v>192.0</v>
      </c>
      <c r="B2950" s="3">
        <v>188.0</v>
      </c>
      <c r="C2950" s="3">
        <v>1640000.0</v>
      </c>
      <c r="D2950" s="3">
        <v>0.39</v>
      </c>
      <c r="E2950" s="3">
        <v>1.64</v>
      </c>
    </row>
    <row r="2951" ht="12.75" customHeight="1">
      <c r="A2951" s="3">
        <v>192.0</v>
      </c>
      <c r="B2951" s="3">
        <v>189.0</v>
      </c>
      <c r="C2951" s="3">
        <v>2070000.0</v>
      </c>
      <c r="D2951" s="3">
        <v>0.47</v>
      </c>
      <c r="E2951" s="3">
        <v>2.07</v>
      </c>
    </row>
    <row r="2952" ht="12.75" customHeight="1">
      <c r="A2952" s="3">
        <v>192.0</v>
      </c>
      <c r="B2952" s="3">
        <v>190.0</v>
      </c>
      <c r="C2952" s="3">
        <v>2590000.0</v>
      </c>
      <c r="D2952" s="3">
        <v>0.57</v>
      </c>
      <c r="E2952" s="3">
        <v>2.59</v>
      </c>
    </row>
    <row r="2953" ht="12.75" customHeight="1">
      <c r="A2953" s="3">
        <v>192.0</v>
      </c>
      <c r="B2953" s="3">
        <v>191.0</v>
      </c>
      <c r="C2953" s="3">
        <v>3214000.0</v>
      </c>
      <c r="D2953" s="3">
        <v>0.68</v>
      </c>
      <c r="E2953" s="3">
        <v>3.214</v>
      </c>
    </row>
    <row r="2954" ht="12.75" customHeight="1">
      <c r="A2954" s="3">
        <v>192.0</v>
      </c>
      <c r="B2954" s="3">
        <v>192.0</v>
      </c>
      <c r="C2954" s="3">
        <v>3953000.0</v>
      </c>
      <c r="D2954" s="3">
        <v>0.8</v>
      </c>
      <c r="E2954" s="3">
        <v>3.953</v>
      </c>
    </row>
    <row r="2955" ht="12.75" customHeight="1">
      <c r="A2955" s="3">
        <v>192.0</v>
      </c>
      <c r="B2955" s="3">
        <v>193.0</v>
      </c>
      <c r="C2955" s="3">
        <v>4815000.0</v>
      </c>
      <c r="D2955" s="3">
        <v>0.93</v>
      </c>
      <c r="E2955" s="3">
        <v>4.815</v>
      </c>
    </row>
    <row r="2956" ht="12.75" customHeight="1">
      <c r="A2956" s="3">
        <v>192.0</v>
      </c>
      <c r="B2956" s="3">
        <v>194.0</v>
      </c>
      <c r="C2956" s="3">
        <v>5814000.0</v>
      </c>
      <c r="D2956" s="3">
        <v>1.07</v>
      </c>
      <c r="E2956" s="3">
        <v>5.814</v>
      </c>
    </row>
    <row r="2957" ht="12.75" customHeight="1">
      <c r="A2957" s="3">
        <v>192.0</v>
      </c>
      <c r="B2957" s="3">
        <v>195.0</v>
      </c>
      <c r="C2957" s="3">
        <v>6974000.0</v>
      </c>
      <c r="D2957" s="3">
        <v>1.25</v>
      </c>
      <c r="E2957" s="3">
        <v>6.974</v>
      </c>
    </row>
    <row r="2958" ht="12.75" customHeight="1">
      <c r="A2958" s="3">
        <v>192.0</v>
      </c>
      <c r="B2958" s="3">
        <v>196.0</v>
      </c>
      <c r="C2958" s="3">
        <v>8303000.0</v>
      </c>
      <c r="D2958" s="3">
        <v>1.41</v>
      </c>
      <c r="E2958" s="3">
        <v>8.303</v>
      </c>
    </row>
    <row r="2959" ht="12.75" customHeight="1">
      <c r="A2959" s="3">
        <v>192.0</v>
      </c>
      <c r="B2959" s="3">
        <v>196.5</v>
      </c>
      <c r="C2959" s="3">
        <v>9031000.0</v>
      </c>
      <c r="D2959" s="3">
        <v>1.5</v>
      </c>
      <c r="E2959" s="3">
        <v>9.031</v>
      </c>
    </row>
    <row r="2960" ht="12.75" customHeight="1">
      <c r="A2960" s="3">
        <v>192.0</v>
      </c>
      <c r="B2960" s="3">
        <v>197.0</v>
      </c>
      <c r="C2960" s="3">
        <v>9806000.0</v>
      </c>
      <c r="D2960" s="3">
        <v>1.59</v>
      </c>
      <c r="E2960" s="3">
        <v>9.806</v>
      </c>
    </row>
    <row r="2961" ht="12.75" customHeight="1">
      <c r="A2961" s="3">
        <v>192.0</v>
      </c>
      <c r="B2961" s="3">
        <v>198.0</v>
      </c>
      <c r="C2961" s="3">
        <v>1.15E7</v>
      </c>
      <c r="D2961" s="3">
        <v>1.7931</v>
      </c>
      <c r="E2961" s="3">
        <v>11.5</v>
      </c>
    </row>
    <row r="2962" ht="12.75" customHeight="1">
      <c r="A2962" s="3">
        <v>194.0</v>
      </c>
      <c r="B2962" s="3">
        <v>40.0</v>
      </c>
      <c r="C2962" s="3">
        <v>0.0</v>
      </c>
      <c r="D2962" s="3">
        <v>0.0</v>
      </c>
      <c r="E2962" s="3">
        <v>0.0</v>
      </c>
    </row>
    <row r="2963" ht="12.75" customHeight="1">
      <c r="A2963" s="3">
        <v>194.0</v>
      </c>
      <c r="B2963" s="3">
        <v>50.0</v>
      </c>
      <c r="C2963" s="3">
        <v>2.5E7</v>
      </c>
      <c r="D2963" s="3">
        <v>5.0</v>
      </c>
      <c r="E2963" s="3">
        <v>25.0</v>
      </c>
    </row>
    <row r="2964" ht="12.75" customHeight="1">
      <c r="A2964" s="3">
        <v>194.0</v>
      </c>
      <c r="B2964" s="3">
        <v>55.0</v>
      </c>
      <c r="C2964" s="3">
        <v>5.0E7</v>
      </c>
      <c r="D2964" s="3">
        <v>8.0</v>
      </c>
      <c r="E2964" s="3">
        <v>50.0</v>
      </c>
    </row>
    <row r="2965" ht="12.75" customHeight="1">
      <c r="A2965" s="3">
        <v>194.0</v>
      </c>
      <c r="B2965" s="3">
        <v>60.0</v>
      </c>
      <c r="C2965" s="3">
        <v>7.5E7</v>
      </c>
      <c r="D2965" s="3">
        <v>10.0</v>
      </c>
      <c r="E2965" s="3">
        <v>75.0</v>
      </c>
    </row>
    <row r="2966" ht="12.75" customHeight="1">
      <c r="A2966" s="3">
        <v>194.0</v>
      </c>
      <c r="B2966" s="3">
        <v>65.0</v>
      </c>
      <c r="C2966" s="3">
        <v>1.1704E8</v>
      </c>
      <c r="D2966" s="3">
        <v>20.0</v>
      </c>
      <c r="E2966" s="3">
        <v>117.04</v>
      </c>
    </row>
    <row r="2967" ht="12.75" customHeight="1">
      <c r="A2967" s="3">
        <v>194.0</v>
      </c>
      <c r="B2967" s="3">
        <v>65.5</v>
      </c>
      <c r="C2967" s="3">
        <v>1.3183E8</v>
      </c>
      <c r="D2967" s="3">
        <v>21.1</v>
      </c>
      <c r="E2967" s="3">
        <v>131.83</v>
      </c>
    </row>
    <row r="2968" ht="12.75" customHeight="1">
      <c r="A2968" s="3">
        <v>194.0</v>
      </c>
      <c r="B2968" s="3">
        <v>66.0</v>
      </c>
      <c r="C2968" s="3">
        <v>1.4662E8</v>
      </c>
      <c r="D2968" s="3">
        <v>22.2</v>
      </c>
      <c r="E2968" s="3">
        <v>146.62</v>
      </c>
    </row>
    <row r="2969" ht="12.75" customHeight="1">
      <c r="A2969" s="3">
        <v>194.0</v>
      </c>
      <c r="B2969" s="3">
        <v>66.5</v>
      </c>
      <c r="C2969" s="3">
        <v>1.6144E8</v>
      </c>
      <c r="D2969" s="3">
        <v>23.4</v>
      </c>
      <c r="E2969" s="3">
        <v>161.44</v>
      </c>
    </row>
    <row r="2970" ht="12.75" customHeight="1">
      <c r="A2970" s="3">
        <v>194.0</v>
      </c>
      <c r="B2970" s="3">
        <v>67.0</v>
      </c>
      <c r="C2970" s="3">
        <v>1.7631E8</v>
      </c>
      <c r="D2970" s="3">
        <v>24.6</v>
      </c>
      <c r="E2970" s="3">
        <v>176.31</v>
      </c>
    </row>
    <row r="2971" ht="12.75" customHeight="1">
      <c r="A2971" s="3">
        <v>194.0</v>
      </c>
      <c r="B2971" s="3">
        <v>67.5</v>
      </c>
      <c r="C2971" s="3">
        <v>1.9126E8</v>
      </c>
      <c r="D2971" s="3">
        <v>26.0</v>
      </c>
      <c r="E2971" s="3">
        <v>191.26</v>
      </c>
    </row>
    <row r="2972" ht="12.75" customHeight="1">
      <c r="A2972" s="3">
        <v>194.0</v>
      </c>
      <c r="B2972" s="3">
        <v>68.0</v>
      </c>
      <c r="C2972" s="3">
        <v>2.0632E8</v>
      </c>
      <c r="D2972" s="3">
        <v>27.1</v>
      </c>
      <c r="E2972" s="3">
        <v>206.32</v>
      </c>
    </row>
    <row r="2973" ht="12.75" customHeight="1">
      <c r="A2973" s="3">
        <v>194.0</v>
      </c>
      <c r="B2973" s="3">
        <v>68.5</v>
      </c>
      <c r="C2973" s="3">
        <v>2.2152E8</v>
      </c>
      <c r="D2973" s="3">
        <v>28.5</v>
      </c>
      <c r="E2973" s="3">
        <v>221.52</v>
      </c>
    </row>
    <row r="2974" ht="12.75" customHeight="1">
      <c r="A2974" s="3">
        <v>194.0</v>
      </c>
      <c r="B2974" s="3">
        <v>69.0</v>
      </c>
      <c r="C2974" s="3">
        <v>2.3691E8</v>
      </c>
      <c r="D2974" s="3">
        <v>30.0</v>
      </c>
      <c r="E2974" s="3">
        <v>236.91</v>
      </c>
    </row>
    <row r="2975" ht="12.75" customHeight="1">
      <c r="A2975" s="3">
        <v>194.0</v>
      </c>
      <c r="B2975" s="3">
        <v>69.5</v>
      </c>
      <c r="C2975" s="3">
        <v>2.5252E8</v>
      </c>
      <c r="D2975" s="3">
        <v>31.4</v>
      </c>
      <c r="E2975" s="3">
        <v>252.52</v>
      </c>
    </row>
    <row r="2976" ht="12.75" customHeight="1">
      <c r="A2976" s="3">
        <v>194.0</v>
      </c>
      <c r="B2976" s="3">
        <v>70.0</v>
      </c>
      <c r="C2976" s="3">
        <v>2.6841E8</v>
      </c>
      <c r="D2976" s="3">
        <v>33.0</v>
      </c>
      <c r="E2976" s="3">
        <v>268.41</v>
      </c>
    </row>
    <row r="2977" ht="12.75" customHeight="1">
      <c r="A2977" s="3">
        <v>194.0</v>
      </c>
      <c r="B2977" s="3">
        <v>70.5</v>
      </c>
      <c r="C2977" s="3">
        <v>2.8463E8</v>
      </c>
      <c r="D2977" s="3">
        <v>33.4</v>
      </c>
      <c r="E2977" s="3">
        <v>284.63</v>
      </c>
    </row>
    <row r="2978" ht="12.75" customHeight="1">
      <c r="A2978" s="3">
        <v>194.0</v>
      </c>
      <c r="B2978" s="3">
        <v>71.0</v>
      </c>
      <c r="C2978" s="3">
        <v>3.0122E8</v>
      </c>
      <c r="D2978" s="3">
        <v>34.1</v>
      </c>
      <c r="E2978" s="3">
        <v>301.22</v>
      </c>
    </row>
    <row r="2979" ht="12.75" customHeight="1">
      <c r="A2979" s="3">
        <v>194.0</v>
      </c>
      <c r="B2979" s="3">
        <v>71.5</v>
      </c>
      <c r="C2979" s="3">
        <v>3.1824E8</v>
      </c>
      <c r="D2979" s="3">
        <v>35.5</v>
      </c>
      <c r="E2979" s="3">
        <v>318.24</v>
      </c>
    </row>
    <row r="2980" ht="12.75" customHeight="1">
      <c r="A2980" s="3">
        <v>194.0</v>
      </c>
      <c r="B2980" s="3">
        <v>72.0</v>
      </c>
      <c r="C2980" s="3">
        <v>3.3576E8</v>
      </c>
      <c r="D2980" s="3">
        <v>38.0</v>
      </c>
      <c r="E2980" s="3">
        <v>335.76</v>
      </c>
    </row>
    <row r="2981" ht="12.75" customHeight="1">
      <c r="A2981" s="3">
        <v>194.0</v>
      </c>
      <c r="B2981" s="3">
        <v>72.5</v>
      </c>
      <c r="C2981" s="3">
        <v>3.5382E8</v>
      </c>
      <c r="D2981" s="3">
        <v>40.0</v>
      </c>
      <c r="E2981" s="3">
        <v>353.82</v>
      </c>
    </row>
    <row r="2982" ht="12.75" customHeight="1">
      <c r="A2982" s="3">
        <v>194.0</v>
      </c>
      <c r="B2982" s="3">
        <v>73.0</v>
      </c>
      <c r="C2982" s="3">
        <v>3.7251E8</v>
      </c>
      <c r="D2982" s="3">
        <v>43.0</v>
      </c>
      <c r="E2982" s="3">
        <v>372.51</v>
      </c>
    </row>
    <row r="2983" ht="12.75" customHeight="1">
      <c r="A2983" s="3">
        <v>194.0</v>
      </c>
      <c r="B2983" s="3">
        <v>73.5</v>
      </c>
      <c r="C2983" s="3">
        <v>3.9188E8</v>
      </c>
      <c r="D2983" s="3">
        <v>45.8</v>
      </c>
      <c r="E2983" s="3">
        <v>391.88</v>
      </c>
    </row>
    <row r="2984" ht="12.75" customHeight="1">
      <c r="A2984" s="3">
        <v>194.0</v>
      </c>
      <c r="B2984" s="3">
        <v>74.0</v>
      </c>
      <c r="C2984" s="3">
        <v>4.12E8</v>
      </c>
      <c r="D2984" s="3">
        <v>48.0</v>
      </c>
      <c r="E2984" s="3">
        <v>412.0</v>
      </c>
    </row>
    <row r="2985" ht="12.75" customHeight="1">
      <c r="A2985" s="3">
        <v>194.0</v>
      </c>
      <c r="B2985" s="3">
        <v>74.5</v>
      </c>
      <c r="C2985" s="3">
        <v>4.3294E8</v>
      </c>
      <c r="D2985" s="3">
        <v>50.7</v>
      </c>
      <c r="E2985" s="3">
        <v>432.94</v>
      </c>
    </row>
    <row r="2986" ht="12.75" customHeight="1">
      <c r="A2986" s="3">
        <v>194.0</v>
      </c>
      <c r="B2986" s="3">
        <v>75.0</v>
      </c>
      <c r="C2986" s="3">
        <v>4.5478E8</v>
      </c>
      <c r="D2986" s="3">
        <v>52.0</v>
      </c>
      <c r="E2986" s="3">
        <v>454.78</v>
      </c>
    </row>
    <row r="2987" ht="12.75" customHeight="1">
      <c r="A2987" s="3">
        <v>194.0</v>
      </c>
      <c r="B2987" s="3">
        <v>75.5</v>
      </c>
      <c r="C2987" s="3">
        <v>4.7759E8</v>
      </c>
      <c r="D2987" s="3">
        <v>55.7</v>
      </c>
      <c r="E2987" s="3">
        <v>477.59</v>
      </c>
    </row>
    <row r="2988" ht="12.75" customHeight="1">
      <c r="A2988" s="3">
        <v>194.0</v>
      </c>
      <c r="B2988" s="3">
        <v>76.0</v>
      </c>
      <c r="C2988" s="3">
        <v>5.0145E8</v>
      </c>
      <c r="D2988" s="3">
        <v>58.0</v>
      </c>
      <c r="E2988" s="3">
        <v>501.45</v>
      </c>
    </row>
    <row r="2989" ht="12.75" customHeight="1">
      <c r="A2989" s="3">
        <v>194.0</v>
      </c>
      <c r="B2989" s="3">
        <v>76.5</v>
      </c>
      <c r="C2989" s="3">
        <v>5.2644E8</v>
      </c>
      <c r="D2989" s="3">
        <v>60.6</v>
      </c>
      <c r="E2989" s="3">
        <v>526.44</v>
      </c>
    </row>
    <row r="2990" ht="12.75" customHeight="1">
      <c r="A2990" s="3">
        <v>194.0</v>
      </c>
      <c r="B2990" s="3">
        <v>77.0</v>
      </c>
      <c r="C2990" s="3">
        <v>5.5263E8</v>
      </c>
      <c r="D2990" s="3">
        <v>63.6</v>
      </c>
      <c r="E2990" s="3">
        <v>552.63</v>
      </c>
    </row>
    <row r="2991" ht="12.75" customHeight="1">
      <c r="A2991" s="3">
        <v>194.0</v>
      </c>
      <c r="B2991" s="3">
        <v>77.5</v>
      </c>
      <c r="C2991" s="3">
        <v>5.8011E8</v>
      </c>
      <c r="D2991" s="3">
        <v>66.4</v>
      </c>
      <c r="E2991" s="3">
        <v>580.11</v>
      </c>
    </row>
    <row r="2992" ht="12.75" customHeight="1">
      <c r="A2992" s="3">
        <v>194.0</v>
      </c>
      <c r="B2992" s="3">
        <v>78.0</v>
      </c>
      <c r="C2992" s="3">
        <v>6.0895E8</v>
      </c>
      <c r="D2992" s="3">
        <v>69.0</v>
      </c>
      <c r="E2992" s="3">
        <v>608.95</v>
      </c>
    </row>
    <row r="2993" ht="12.75" customHeight="1">
      <c r="A2993" s="3">
        <v>194.0</v>
      </c>
      <c r="B2993" s="3">
        <v>78.5</v>
      </c>
      <c r="C2993" s="3">
        <v>6.3925E8</v>
      </c>
      <c r="D2993" s="3">
        <v>72.0</v>
      </c>
      <c r="E2993" s="3">
        <v>639.25</v>
      </c>
    </row>
    <row r="2994" ht="12.75" customHeight="1">
      <c r="A2994" s="3">
        <v>194.0</v>
      </c>
      <c r="B2994" s="3">
        <v>79.0</v>
      </c>
      <c r="C2994" s="3">
        <v>6.7109E8</v>
      </c>
      <c r="D2994" s="3">
        <v>75.7</v>
      </c>
      <c r="E2994" s="3">
        <v>671.09</v>
      </c>
    </row>
    <row r="2995" ht="12.75" customHeight="1">
      <c r="A2995" s="3">
        <v>194.0</v>
      </c>
      <c r="B2995" s="3">
        <v>79.5</v>
      </c>
      <c r="C2995" s="3">
        <v>7.0455E8</v>
      </c>
      <c r="D2995" s="3">
        <v>79.8</v>
      </c>
      <c r="E2995" s="3">
        <v>704.55</v>
      </c>
    </row>
    <row r="2996" ht="12.75" customHeight="1">
      <c r="A2996" s="3">
        <v>194.0</v>
      </c>
      <c r="B2996" s="3">
        <v>80.0</v>
      </c>
      <c r="C2996" s="3">
        <v>7.3971E8</v>
      </c>
      <c r="D2996" s="3">
        <v>85.0</v>
      </c>
      <c r="E2996" s="3">
        <v>739.71</v>
      </c>
    </row>
    <row r="2997" ht="12.75" customHeight="1">
      <c r="A2997" s="3">
        <v>194.0</v>
      </c>
      <c r="B2997" s="3">
        <v>80.5</v>
      </c>
      <c r="C2997" s="3">
        <v>7.7667E8</v>
      </c>
      <c r="D2997" s="3">
        <v>86.4</v>
      </c>
      <c r="E2997" s="3">
        <v>776.67</v>
      </c>
    </row>
    <row r="2998" ht="12.75" customHeight="1">
      <c r="A2998" s="3">
        <v>194.0</v>
      </c>
      <c r="B2998" s="3">
        <v>81.0</v>
      </c>
      <c r="C2998" s="3">
        <v>8.155E8</v>
      </c>
      <c r="D2998" s="3">
        <v>90.3</v>
      </c>
      <c r="E2998" s="3">
        <v>815.5</v>
      </c>
    </row>
    <row r="2999" ht="12.75" customHeight="1">
      <c r="A2999" s="3">
        <v>194.0</v>
      </c>
      <c r="B2999" s="3">
        <v>81.5</v>
      </c>
      <c r="C2999" s="3">
        <v>8.563E8</v>
      </c>
      <c r="D2999" s="3">
        <v>94.0</v>
      </c>
      <c r="E2999" s="3">
        <v>856.3</v>
      </c>
    </row>
    <row r="3000" ht="12.75" customHeight="1">
      <c r="A3000" s="3">
        <v>194.0</v>
      </c>
      <c r="B3000" s="3">
        <v>82.0</v>
      </c>
      <c r="C3000" s="3">
        <v>8.9916E8</v>
      </c>
      <c r="D3000" s="3">
        <v>98.0</v>
      </c>
      <c r="E3000" s="3">
        <v>899.16</v>
      </c>
    </row>
    <row r="3001" ht="12.75" customHeight="1">
      <c r="A3001" s="3">
        <v>194.0</v>
      </c>
      <c r="B3001" s="3">
        <v>82.5</v>
      </c>
      <c r="C3001" s="3">
        <v>9.4415E8</v>
      </c>
      <c r="D3001" s="3">
        <v>102.0</v>
      </c>
      <c r="E3001" s="3">
        <v>944.15</v>
      </c>
    </row>
    <row r="3002" ht="12.75" customHeight="1">
      <c r="A3002" s="3">
        <v>194.0</v>
      </c>
      <c r="B3002" s="3">
        <v>83.0</v>
      </c>
      <c r="C3002" s="3">
        <v>9.9136E8</v>
      </c>
      <c r="D3002" s="3">
        <v>106.0</v>
      </c>
      <c r="E3002" s="3">
        <v>991.36</v>
      </c>
    </row>
    <row r="3003" ht="12.75" customHeight="1">
      <c r="A3003" s="3">
        <v>194.0</v>
      </c>
      <c r="B3003" s="3">
        <v>83.5</v>
      </c>
      <c r="C3003" s="3">
        <v>1.04088E9</v>
      </c>
      <c r="D3003" s="3">
        <v>110.0</v>
      </c>
      <c r="E3003" s="3">
        <v>1040.88</v>
      </c>
    </row>
    <row r="3004" ht="12.75" customHeight="1">
      <c r="A3004" s="3">
        <v>194.0</v>
      </c>
      <c r="B3004" s="3">
        <v>84.0</v>
      </c>
      <c r="C3004" s="3">
        <v>1.0928E9</v>
      </c>
      <c r="D3004" s="3">
        <v>114.4</v>
      </c>
      <c r="E3004" s="3">
        <v>1092.8</v>
      </c>
    </row>
    <row r="3005" ht="12.75" customHeight="1">
      <c r="A3005" s="3">
        <v>194.0</v>
      </c>
      <c r="B3005" s="3">
        <v>84.5</v>
      </c>
      <c r="C3005" s="3">
        <v>1.1472E9</v>
      </c>
      <c r="D3005" s="3">
        <v>118.3</v>
      </c>
      <c r="E3005" s="3">
        <v>1147.2</v>
      </c>
    </row>
    <row r="3006" ht="12.75" customHeight="1">
      <c r="A3006" s="3">
        <v>194.0</v>
      </c>
      <c r="B3006" s="3">
        <v>85.0</v>
      </c>
      <c r="C3006" s="3">
        <v>1.20417E9</v>
      </c>
      <c r="D3006" s="3">
        <v>120.0</v>
      </c>
      <c r="E3006" s="3">
        <v>1204.17</v>
      </c>
    </row>
    <row r="3007" ht="12.75" customHeight="1">
      <c r="A3007" s="3">
        <v>194.0</v>
      </c>
      <c r="B3007" s="3">
        <v>85.5</v>
      </c>
      <c r="C3007" s="3">
        <v>1.26378E9</v>
      </c>
      <c r="D3007" s="3">
        <v>124.2</v>
      </c>
      <c r="E3007" s="3">
        <v>1263.78</v>
      </c>
    </row>
    <row r="3008" ht="12.75" customHeight="1">
      <c r="A3008" s="3">
        <v>194.0</v>
      </c>
      <c r="B3008" s="3">
        <v>86.0</v>
      </c>
      <c r="C3008" s="3">
        <v>1.32611E9</v>
      </c>
      <c r="D3008" s="3">
        <v>128.7</v>
      </c>
      <c r="E3008" s="3">
        <v>1326.11</v>
      </c>
    </row>
    <row r="3009" ht="12.75" customHeight="1">
      <c r="A3009" s="3">
        <v>194.0</v>
      </c>
      <c r="B3009" s="3">
        <v>86.5</v>
      </c>
      <c r="C3009" s="3">
        <v>1.39126E9</v>
      </c>
      <c r="D3009" s="3">
        <v>133.9</v>
      </c>
      <c r="E3009" s="3">
        <v>1391.26</v>
      </c>
    </row>
    <row r="3010" ht="12.75" customHeight="1">
      <c r="A3010" s="3">
        <v>194.0</v>
      </c>
      <c r="B3010" s="3">
        <v>87.0</v>
      </c>
      <c r="C3010" s="3">
        <v>1.45929E9</v>
      </c>
      <c r="D3010" s="3">
        <v>139.0</v>
      </c>
      <c r="E3010" s="3">
        <v>1459.29</v>
      </c>
    </row>
    <row r="3011" ht="12.75" customHeight="1">
      <c r="A3011" s="3">
        <v>194.0</v>
      </c>
      <c r="B3011" s="3">
        <v>87.5</v>
      </c>
      <c r="C3011" s="3">
        <v>1.53029E9</v>
      </c>
      <c r="D3011" s="3">
        <v>144.3</v>
      </c>
      <c r="E3011" s="3">
        <v>1530.29</v>
      </c>
    </row>
    <row r="3012" ht="12.75" customHeight="1">
      <c r="A3012" s="3">
        <v>194.0</v>
      </c>
      <c r="B3012" s="3">
        <v>88.0</v>
      </c>
      <c r="C3012" s="3">
        <v>1.60433E9</v>
      </c>
      <c r="D3012" s="3">
        <v>150.2</v>
      </c>
      <c r="E3012" s="3">
        <v>1604.33</v>
      </c>
    </row>
    <row r="3013" ht="12.75" customHeight="1">
      <c r="A3013" s="3">
        <v>194.0</v>
      </c>
      <c r="B3013" s="3">
        <v>88.5</v>
      </c>
      <c r="C3013" s="3">
        <v>1.68149E9</v>
      </c>
      <c r="D3013" s="3">
        <v>156.3</v>
      </c>
      <c r="E3013" s="3">
        <v>1681.49</v>
      </c>
    </row>
    <row r="3014" ht="12.75" customHeight="1">
      <c r="A3014" s="3">
        <v>194.0</v>
      </c>
      <c r="B3014" s="3">
        <v>89.0</v>
      </c>
      <c r="C3014" s="3">
        <v>1.76183E9</v>
      </c>
      <c r="D3014" s="3">
        <v>162.2</v>
      </c>
      <c r="E3014" s="3">
        <v>1761.83</v>
      </c>
    </row>
    <row r="3015" ht="12.75" customHeight="1">
      <c r="A3015" s="3">
        <v>194.0</v>
      </c>
      <c r="B3015" s="3">
        <v>89.5</v>
      </c>
      <c r="C3015" s="3">
        <v>1.84543E9</v>
      </c>
      <c r="D3015" s="3">
        <v>169.0</v>
      </c>
      <c r="E3015" s="3">
        <v>1845.43</v>
      </c>
    </row>
    <row r="3016" ht="12.75" customHeight="1">
      <c r="A3016" s="3">
        <v>194.0</v>
      </c>
      <c r="B3016" s="3">
        <v>90.0</v>
      </c>
      <c r="C3016" s="3">
        <v>1.93235E9</v>
      </c>
      <c r="D3016" s="3">
        <v>175.0</v>
      </c>
      <c r="E3016" s="3">
        <v>1932.35</v>
      </c>
    </row>
    <row r="3017" ht="12.75" customHeight="1">
      <c r="A3017" s="3">
        <v>194.0</v>
      </c>
      <c r="B3017" s="3">
        <v>90.5</v>
      </c>
      <c r="C3017" s="3">
        <v>2.02267E9</v>
      </c>
      <c r="D3017" s="3">
        <v>182.7</v>
      </c>
      <c r="E3017" s="3">
        <v>2022.67</v>
      </c>
    </row>
    <row r="3018" ht="12.75" customHeight="1">
      <c r="A3018" s="3">
        <v>194.0</v>
      </c>
      <c r="B3018" s="3">
        <v>91.0</v>
      </c>
      <c r="C3018" s="3">
        <v>2.11644E9</v>
      </c>
      <c r="D3018" s="3">
        <v>190.0</v>
      </c>
      <c r="E3018" s="3">
        <v>2116.44</v>
      </c>
    </row>
    <row r="3019" ht="12.75" customHeight="1">
      <c r="A3019" s="3">
        <v>194.0</v>
      </c>
      <c r="B3019" s="3">
        <v>91.5</v>
      </c>
      <c r="C3019" s="3">
        <v>2.21372E9</v>
      </c>
      <c r="D3019" s="3">
        <v>196.4</v>
      </c>
      <c r="E3019" s="3">
        <v>2213.72</v>
      </c>
    </row>
    <row r="3020" ht="12.75" customHeight="1">
      <c r="A3020" s="3">
        <v>194.0</v>
      </c>
      <c r="B3020" s="3">
        <v>92.0</v>
      </c>
      <c r="C3020" s="3">
        <v>2.31458E9</v>
      </c>
      <c r="D3020" s="3">
        <v>203.8</v>
      </c>
      <c r="E3020" s="3">
        <v>2314.58</v>
      </c>
    </row>
    <row r="3021" ht="12.75" customHeight="1">
      <c r="A3021" s="3">
        <v>194.0</v>
      </c>
      <c r="B3021" s="3">
        <v>92.5</v>
      </c>
      <c r="C3021" s="3">
        <v>2.41906E9</v>
      </c>
      <c r="D3021" s="3">
        <v>211.0</v>
      </c>
      <c r="E3021" s="3">
        <v>2419.06</v>
      </c>
    </row>
    <row r="3022" ht="12.75" customHeight="1">
      <c r="A3022" s="3">
        <v>194.0</v>
      </c>
      <c r="B3022" s="3">
        <v>93.0</v>
      </c>
      <c r="C3022" s="3">
        <v>2.52722E9</v>
      </c>
      <c r="D3022" s="3">
        <v>218.0</v>
      </c>
      <c r="E3022" s="3">
        <v>2527.22</v>
      </c>
    </row>
    <row r="3023" ht="12.75" customHeight="1">
      <c r="A3023" s="3">
        <v>194.0</v>
      </c>
      <c r="B3023" s="3">
        <v>93.5</v>
      </c>
      <c r="C3023" s="3">
        <v>2.63911E9</v>
      </c>
      <c r="D3023" s="3">
        <v>224.2</v>
      </c>
      <c r="E3023" s="3">
        <v>2639.11</v>
      </c>
    </row>
    <row r="3024" ht="12.75" customHeight="1">
      <c r="A3024" s="3">
        <v>194.0</v>
      </c>
      <c r="B3024" s="3">
        <v>94.0</v>
      </c>
      <c r="C3024" s="3">
        <v>2.75476E9</v>
      </c>
      <c r="D3024" s="3">
        <v>232.0</v>
      </c>
      <c r="E3024" s="3">
        <v>2754.76</v>
      </c>
    </row>
    <row r="3025" ht="12.75" customHeight="1">
      <c r="A3025" s="3">
        <v>194.0</v>
      </c>
      <c r="B3025" s="3">
        <v>94.5</v>
      </c>
      <c r="C3025" s="3">
        <v>2.87423E9</v>
      </c>
      <c r="D3025" s="3">
        <v>238.7</v>
      </c>
      <c r="E3025" s="3">
        <v>2874.23</v>
      </c>
    </row>
    <row r="3026" ht="12.75" customHeight="1">
      <c r="A3026" s="3">
        <v>194.0</v>
      </c>
      <c r="B3026" s="3">
        <v>95.0</v>
      </c>
      <c r="C3026" s="3">
        <v>2.99755E9</v>
      </c>
      <c r="D3026" s="3">
        <v>245.0</v>
      </c>
      <c r="E3026" s="3">
        <v>2997.55</v>
      </c>
    </row>
    <row r="3027" ht="12.75" customHeight="1">
      <c r="A3027" s="3">
        <v>194.0</v>
      </c>
      <c r="B3027" s="3">
        <v>95.5</v>
      </c>
      <c r="C3027" s="3">
        <v>3.12476E9</v>
      </c>
      <c r="D3027" s="3">
        <v>252.0</v>
      </c>
      <c r="E3027" s="3">
        <v>3124.76</v>
      </c>
    </row>
    <row r="3028" ht="12.75" customHeight="1">
      <c r="A3028" s="3">
        <v>194.0</v>
      </c>
      <c r="B3028" s="3">
        <v>96.0</v>
      </c>
      <c r="C3028" s="3">
        <v>3.25588E9</v>
      </c>
      <c r="D3028" s="3">
        <v>259.2</v>
      </c>
      <c r="E3028" s="3">
        <v>3255.88</v>
      </c>
    </row>
    <row r="3029" ht="12.75" customHeight="1">
      <c r="A3029" s="3">
        <v>194.0</v>
      </c>
      <c r="B3029" s="3">
        <v>96.5</v>
      </c>
      <c r="C3029" s="3">
        <v>3.39094E9</v>
      </c>
      <c r="D3029" s="3">
        <v>266.3</v>
      </c>
      <c r="E3029" s="3">
        <v>3390.94</v>
      </c>
    </row>
    <row r="3030" ht="12.75" customHeight="1">
      <c r="A3030" s="3">
        <v>194.0</v>
      </c>
      <c r="B3030" s="3">
        <v>97.0</v>
      </c>
      <c r="C3030" s="3">
        <v>3.52996E9</v>
      </c>
      <c r="D3030" s="3">
        <v>274.0</v>
      </c>
      <c r="E3030" s="3">
        <v>3529.96</v>
      </c>
    </row>
    <row r="3031" ht="12.75" customHeight="1">
      <c r="A3031" s="3">
        <v>194.0</v>
      </c>
      <c r="B3031" s="3">
        <v>97.5</v>
      </c>
      <c r="C3031" s="3">
        <v>3.67296E9</v>
      </c>
      <c r="D3031" s="3">
        <v>281.5</v>
      </c>
      <c r="E3031" s="3">
        <v>3672.96</v>
      </c>
    </row>
    <row r="3032" ht="12.75" customHeight="1">
      <c r="A3032" s="3">
        <v>194.0</v>
      </c>
      <c r="B3032" s="3">
        <v>98.0</v>
      </c>
      <c r="C3032" s="3">
        <v>3.81996E9</v>
      </c>
      <c r="D3032" s="3">
        <v>288.4</v>
      </c>
      <c r="E3032" s="3">
        <v>3819.96</v>
      </c>
    </row>
    <row r="3033" ht="12.75" customHeight="1">
      <c r="A3033" s="3">
        <v>194.0</v>
      </c>
      <c r="B3033" s="3">
        <v>98.5</v>
      </c>
      <c r="C3033" s="3">
        <v>3.97096E9</v>
      </c>
      <c r="D3033" s="3">
        <v>296.0</v>
      </c>
      <c r="E3033" s="3">
        <v>3970.96</v>
      </c>
    </row>
    <row r="3034" ht="12.75" customHeight="1">
      <c r="A3034" s="3">
        <v>194.0</v>
      </c>
      <c r="B3034" s="3">
        <v>99.0</v>
      </c>
      <c r="C3034" s="3">
        <v>4.12596E9</v>
      </c>
      <c r="D3034" s="3">
        <v>304.3</v>
      </c>
      <c r="E3034" s="3">
        <v>4125.96</v>
      </c>
    </row>
    <row r="3035" ht="12.75" customHeight="1">
      <c r="A3035" s="3">
        <v>194.0</v>
      </c>
      <c r="B3035" s="3">
        <v>99.5</v>
      </c>
      <c r="C3035" s="3">
        <v>4.28497E9</v>
      </c>
      <c r="D3035" s="3">
        <v>312.3</v>
      </c>
      <c r="E3035" s="3">
        <v>4284.97</v>
      </c>
    </row>
    <row r="3036" ht="12.75" customHeight="1">
      <c r="A3036" s="3">
        <v>194.0</v>
      </c>
      <c r="B3036" s="3">
        <v>100.0</v>
      </c>
      <c r="C3036" s="3">
        <v>4.44797E9</v>
      </c>
      <c r="D3036" s="3">
        <v>320.0</v>
      </c>
      <c r="E3036" s="3">
        <v>4447.97</v>
      </c>
    </row>
    <row r="3037" ht="12.75" customHeight="1">
      <c r="A3037" s="3">
        <v>194.0</v>
      </c>
      <c r="B3037" s="3">
        <v>100.5</v>
      </c>
      <c r="C3037" s="3">
        <v>4.61496E9</v>
      </c>
      <c r="D3037" s="3">
        <v>328.5</v>
      </c>
      <c r="E3037" s="3">
        <v>4614.96</v>
      </c>
    </row>
    <row r="3038" ht="12.75" customHeight="1">
      <c r="A3038" s="3">
        <v>194.0</v>
      </c>
      <c r="B3038" s="3">
        <v>101.0</v>
      </c>
      <c r="C3038" s="3">
        <v>4.78592E9</v>
      </c>
      <c r="D3038" s="3">
        <v>337.8</v>
      </c>
      <c r="E3038" s="3">
        <v>4785.92</v>
      </c>
    </row>
    <row r="3039" ht="12.75" customHeight="1">
      <c r="A3039" s="3">
        <v>194.0</v>
      </c>
      <c r="B3039" s="3">
        <v>101.5</v>
      </c>
      <c r="C3039" s="3">
        <v>4.96083E9</v>
      </c>
      <c r="D3039" s="3">
        <v>346.9</v>
      </c>
      <c r="E3039" s="3">
        <v>4960.83</v>
      </c>
    </row>
    <row r="3040" ht="12.75" customHeight="1">
      <c r="A3040" s="3">
        <v>194.0</v>
      </c>
      <c r="B3040" s="3">
        <v>102.0</v>
      </c>
      <c r="C3040" s="3">
        <v>5.13965E9</v>
      </c>
      <c r="D3040" s="3">
        <v>356.2</v>
      </c>
      <c r="E3040" s="3">
        <v>5139.65</v>
      </c>
    </row>
    <row r="3041" ht="12.75" customHeight="1">
      <c r="A3041" s="3">
        <v>194.0</v>
      </c>
      <c r="B3041" s="3">
        <v>102.5</v>
      </c>
      <c r="C3041" s="3">
        <v>5.32236E9</v>
      </c>
      <c r="D3041" s="3">
        <v>366.4</v>
      </c>
      <c r="E3041" s="3">
        <v>5322.36</v>
      </c>
    </row>
    <row r="3042" ht="12.75" customHeight="1">
      <c r="A3042" s="3">
        <v>194.0</v>
      </c>
      <c r="B3042" s="3">
        <v>103.0</v>
      </c>
      <c r="C3042" s="3">
        <v>5.50891E9</v>
      </c>
      <c r="D3042" s="3">
        <v>376.7</v>
      </c>
      <c r="E3042" s="3">
        <v>5508.91</v>
      </c>
    </row>
    <row r="3043" ht="12.75" customHeight="1">
      <c r="A3043" s="3">
        <v>194.0</v>
      </c>
      <c r="B3043" s="3">
        <v>103.5</v>
      </c>
      <c r="C3043" s="3">
        <v>5.69927E9</v>
      </c>
      <c r="D3043" s="3">
        <v>387.4</v>
      </c>
      <c r="E3043" s="3">
        <v>5699.27</v>
      </c>
    </row>
    <row r="3044" ht="12.75" customHeight="1">
      <c r="A3044" s="3">
        <v>194.0</v>
      </c>
      <c r="B3044" s="3">
        <v>104.0</v>
      </c>
      <c r="C3044" s="3">
        <v>5.89337E9</v>
      </c>
      <c r="D3044" s="3">
        <v>398.0</v>
      </c>
      <c r="E3044" s="3">
        <v>5893.37</v>
      </c>
    </row>
    <row r="3045" ht="12.75" customHeight="1">
      <c r="A3045" s="3">
        <v>194.0</v>
      </c>
      <c r="B3045" s="3">
        <v>104.5</v>
      </c>
      <c r="C3045" s="3">
        <v>6.09116E9</v>
      </c>
      <c r="D3045" s="3">
        <v>408.8</v>
      </c>
      <c r="E3045" s="3">
        <v>6091.16</v>
      </c>
    </row>
    <row r="3046" ht="12.75" customHeight="1">
      <c r="A3046" s="3">
        <v>194.0</v>
      </c>
      <c r="B3046" s="3">
        <v>105.0</v>
      </c>
      <c r="C3046" s="3">
        <v>6.29257E9</v>
      </c>
      <c r="D3046" s="3">
        <v>420.0</v>
      </c>
      <c r="E3046" s="3">
        <v>6292.57</v>
      </c>
    </row>
    <row r="3047" ht="12.75" customHeight="1">
      <c r="A3047" s="3">
        <v>194.0</v>
      </c>
      <c r="B3047" s="3">
        <v>105.5</v>
      </c>
      <c r="C3047" s="3">
        <v>6.49754E9</v>
      </c>
      <c r="D3047" s="3">
        <v>430.7</v>
      </c>
      <c r="E3047" s="3">
        <v>6497.54</v>
      </c>
    </row>
    <row r="3048" ht="12.75" customHeight="1">
      <c r="A3048" s="3">
        <v>194.0</v>
      </c>
      <c r="B3048" s="3">
        <v>106.0</v>
      </c>
      <c r="C3048" s="3">
        <v>6.7E9</v>
      </c>
      <c r="D3048" s="3">
        <v>441.0</v>
      </c>
      <c r="E3048" s="3">
        <v>6700.0</v>
      </c>
    </row>
    <row r="3049" ht="12.75" customHeight="1">
      <c r="A3049" s="3">
        <v>194.0</v>
      </c>
      <c r="B3049" s="3">
        <v>106.5</v>
      </c>
      <c r="C3049" s="3">
        <v>6.91781E9</v>
      </c>
      <c r="D3049" s="3">
        <v>452.0</v>
      </c>
      <c r="E3049" s="3">
        <v>6917.81</v>
      </c>
    </row>
    <row r="3050" ht="12.75" customHeight="1">
      <c r="A3050" s="3">
        <v>194.0</v>
      </c>
      <c r="B3050" s="3">
        <v>107.0</v>
      </c>
      <c r="C3050" s="3">
        <v>7.13295E9</v>
      </c>
      <c r="D3050" s="3">
        <v>463.8</v>
      </c>
      <c r="E3050" s="3">
        <v>7132.95</v>
      </c>
    </row>
    <row r="3051" ht="12.75" customHeight="1">
      <c r="A3051" s="3">
        <v>194.0</v>
      </c>
      <c r="B3051" s="3">
        <v>107.5</v>
      </c>
      <c r="C3051" s="3">
        <v>7.35128E9</v>
      </c>
      <c r="D3051" s="3">
        <v>475.7</v>
      </c>
      <c r="E3051" s="3">
        <v>7351.28</v>
      </c>
    </row>
    <row r="3052" ht="12.75" customHeight="1">
      <c r="A3052" s="3">
        <v>194.0</v>
      </c>
      <c r="B3052" s="3">
        <v>108.0</v>
      </c>
      <c r="C3052" s="3">
        <v>7.5727E9</v>
      </c>
      <c r="D3052" s="3">
        <v>488.0</v>
      </c>
      <c r="E3052" s="3">
        <v>7572.7</v>
      </c>
    </row>
    <row r="3053" ht="12.75" customHeight="1">
      <c r="A3053" s="3">
        <v>194.0</v>
      </c>
      <c r="B3053" s="3">
        <v>108.5</v>
      </c>
      <c r="C3053" s="3">
        <v>7.7971E9</v>
      </c>
      <c r="D3053" s="3">
        <v>500.7</v>
      </c>
      <c r="E3053" s="3">
        <v>7797.1</v>
      </c>
    </row>
    <row r="3054" ht="12.75" customHeight="1">
      <c r="A3054" s="3">
        <v>194.0</v>
      </c>
      <c r="B3054" s="3">
        <v>109.0</v>
      </c>
      <c r="C3054" s="3">
        <v>8.02436E9</v>
      </c>
      <c r="D3054" s="3">
        <v>513.0</v>
      </c>
      <c r="E3054" s="3">
        <v>8024.36</v>
      </c>
    </row>
    <row r="3055" ht="12.75" customHeight="1">
      <c r="A3055" s="3">
        <v>194.0</v>
      </c>
      <c r="B3055" s="3">
        <v>109.5</v>
      </c>
      <c r="C3055" s="3">
        <v>8.25434E9</v>
      </c>
      <c r="D3055" s="3">
        <v>526.2</v>
      </c>
      <c r="E3055" s="3">
        <v>8254.34</v>
      </c>
    </row>
    <row r="3056" ht="12.75" customHeight="1">
      <c r="A3056" s="3">
        <v>194.0</v>
      </c>
      <c r="B3056" s="3">
        <v>110.0</v>
      </c>
      <c r="C3056" s="3">
        <v>8.48692E9</v>
      </c>
      <c r="D3056" s="3">
        <v>540.0</v>
      </c>
      <c r="E3056" s="3">
        <v>8486.92</v>
      </c>
    </row>
    <row r="3057" ht="12.75" customHeight="1">
      <c r="A3057" s="3">
        <v>194.0</v>
      </c>
      <c r="B3057" s="3">
        <v>110.5</v>
      </c>
      <c r="C3057" s="3">
        <v>8.72194E9</v>
      </c>
      <c r="D3057" s="3">
        <v>546.7</v>
      </c>
      <c r="E3057" s="3">
        <v>8721.94</v>
      </c>
    </row>
    <row r="3058" ht="12.75" customHeight="1">
      <c r="A3058" s="3">
        <v>194.0</v>
      </c>
      <c r="B3058" s="3">
        <v>111.0</v>
      </c>
      <c r="C3058" s="3">
        <v>8.95925E9</v>
      </c>
      <c r="D3058" s="3">
        <v>558.4</v>
      </c>
      <c r="E3058" s="3">
        <v>8959.25</v>
      </c>
    </row>
    <row r="3059" ht="12.75" customHeight="1">
      <c r="A3059" s="3">
        <v>194.0</v>
      </c>
      <c r="B3059" s="3">
        <v>111.5</v>
      </c>
      <c r="C3059" s="3">
        <v>9.19869E9</v>
      </c>
      <c r="D3059" s="3">
        <v>571.7</v>
      </c>
      <c r="E3059" s="3">
        <v>9198.69</v>
      </c>
    </row>
    <row r="3060" ht="12.75" customHeight="1">
      <c r="A3060" s="3">
        <v>194.0</v>
      </c>
      <c r="B3060" s="3">
        <v>112.0</v>
      </c>
      <c r="C3060" s="3">
        <v>9.44009E9</v>
      </c>
      <c r="D3060" s="3">
        <v>585.0</v>
      </c>
      <c r="E3060" s="3">
        <v>9440.09</v>
      </c>
    </row>
    <row r="3061" ht="12.75" customHeight="1">
      <c r="A3061" s="3">
        <v>194.0</v>
      </c>
      <c r="B3061" s="3">
        <v>112.5</v>
      </c>
      <c r="C3061" s="3">
        <v>9.68327E9</v>
      </c>
      <c r="D3061" s="3">
        <v>598.6</v>
      </c>
      <c r="E3061" s="3">
        <v>9683.27</v>
      </c>
    </row>
    <row r="3062" ht="12.75" customHeight="1">
      <c r="A3062" s="3">
        <v>194.0</v>
      </c>
      <c r="B3062" s="3">
        <v>113.0</v>
      </c>
      <c r="C3062" s="3">
        <v>9.92805E9</v>
      </c>
      <c r="D3062" s="3">
        <v>613.0</v>
      </c>
      <c r="E3062" s="3">
        <v>9928.05</v>
      </c>
    </row>
    <row r="3063" ht="12.75" customHeight="1">
      <c r="A3063" s="3">
        <v>194.0</v>
      </c>
      <c r="B3063" s="3">
        <v>113.5</v>
      </c>
      <c r="C3063" s="3">
        <v>1.017422E10</v>
      </c>
      <c r="D3063" s="3">
        <v>627.8</v>
      </c>
      <c r="E3063" s="3">
        <v>10174.22</v>
      </c>
    </row>
    <row r="3064" ht="12.75" customHeight="1">
      <c r="A3064" s="3">
        <v>194.0</v>
      </c>
      <c r="B3064" s="3">
        <v>114.0</v>
      </c>
      <c r="C3064" s="3">
        <v>1.042158E10</v>
      </c>
      <c r="D3064" s="3">
        <v>642.4</v>
      </c>
      <c r="E3064" s="3">
        <v>10421.58</v>
      </c>
    </row>
    <row r="3065" ht="12.75" customHeight="1">
      <c r="A3065" s="3">
        <v>197.0</v>
      </c>
      <c r="B3065" s="3">
        <v>74.96</v>
      </c>
      <c r="C3065" s="3">
        <v>0.0</v>
      </c>
      <c r="D3065" s="3">
        <v>0.0</v>
      </c>
      <c r="E3065" s="3">
        <v>0.0</v>
      </c>
    </row>
    <row r="3066" ht="12.75" customHeight="1">
      <c r="A3066" s="3">
        <v>197.0</v>
      </c>
      <c r="B3066" s="3">
        <v>75.0</v>
      </c>
      <c r="C3066" s="3">
        <v>0.0</v>
      </c>
      <c r="D3066" s="3">
        <v>0.0</v>
      </c>
      <c r="E3066" s="3">
        <v>0.0</v>
      </c>
    </row>
    <row r="3067" ht="12.75" customHeight="1">
      <c r="A3067" s="3">
        <v>197.0</v>
      </c>
      <c r="B3067" s="3">
        <v>76.0</v>
      </c>
      <c r="C3067" s="3">
        <v>10300.0</v>
      </c>
      <c r="D3067" s="3">
        <v>0.03</v>
      </c>
      <c r="E3067" s="3">
        <v>0.0103</v>
      </c>
    </row>
    <row r="3068" ht="12.75" customHeight="1">
      <c r="A3068" s="3">
        <v>197.0</v>
      </c>
      <c r="B3068" s="3">
        <v>77.0</v>
      </c>
      <c r="C3068" s="3">
        <v>79300.0</v>
      </c>
      <c r="D3068" s="3">
        <v>0.11</v>
      </c>
      <c r="E3068" s="3">
        <v>0.0793</v>
      </c>
    </row>
    <row r="3069" ht="12.75" customHeight="1">
      <c r="A3069" s="3">
        <v>197.0</v>
      </c>
      <c r="B3069" s="3">
        <v>78.0</v>
      </c>
      <c r="C3069" s="3">
        <v>252000.0</v>
      </c>
      <c r="D3069" s="3">
        <v>0.24</v>
      </c>
      <c r="E3069" s="3">
        <v>0.252</v>
      </c>
    </row>
    <row r="3070" ht="12.75" customHeight="1">
      <c r="A3070" s="3">
        <v>197.0</v>
      </c>
      <c r="B3070" s="3">
        <v>79.0</v>
      </c>
      <c r="C3070" s="3">
        <v>604000.0</v>
      </c>
      <c r="D3070" s="3">
        <v>0.49</v>
      </c>
      <c r="E3070" s="3">
        <v>0.604</v>
      </c>
    </row>
    <row r="3071" ht="12.75" customHeight="1">
      <c r="A3071" s="3">
        <v>197.0</v>
      </c>
      <c r="B3071" s="3">
        <v>80.0</v>
      </c>
      <c r="C3071" s="3">
        <v>1268000.0</v>
      </c>
      <c r="D3071" s="3">
        <v>0.84</v>
      </c>
      <c r="E3071" s="3">
        <v>1.268</v>
      </c>
    </row>
    <row r="3072" ht="12.75" customHeight="1">
      <c r="A3072" s="3">
        <v>197.0</v>
      </c>
      <c r="B3072" s="3">
        <v>81.0</v>
      </c>
      <c r="C3072" s="3">
        <v>2324000.0</v>
      </c>
      <c r="D3072" s="3">
        <v>1.28</v>
      </c>
      <c r="E3072" s="3">
        <v>2.324</v>
      </c>
    </row>
    <row r="3073" ht="12.75" customHeight="1">
      <c r="A3073" s="3">
        <v>197.0</v>
      </c>
      <c r="B3073" s="3">
        <v>82.0</v>
      </c>
      <c r="C3073" s="3">
        <v>3870100.0</v>
      </c>
      <c r="D3073" s="3">
        <v>1.82</v>
      </c>
      <c r="E3073" s="3">
        <v>3.8701</v>
      </c>
    </row>
    <row r="3074" ht="12.75" customHeight="1">
      <c r="A3074" s="3">
        <v>197.0</v>
      </c>
      <c r="B3074" s="3">
        <v>83.0</v>
      </c>
      <c r="C3074" s="3">
        <v>6023700.0</v>
      </c>
      <c r="D3074" s="3">
        <v>2.4</v>
      </c>
      <c r="E3074" s="3">
        <v>6.0237</v>
      </c>
    </row>
    <row r="3075" ht="12.75" customHeight="1">
      <c r="A3075" s="3">
        <v>197.0</v>
      </c>
      <c r="B3075" s="3">
        <v>83.73</v>
      </c>
      <c r="C3075" s="3">
        <v>7806500.0</v>
      </c>
      <c r="D3075" s="3">
        <v>2.48</v>
      </c>
      <c r="E3075" s="3">
        <v>7.8065</v>
      </c>
    </row>
    <row r="3076" ht="12.75" customHeight="1">
      <c r="A3076" s="3">
        <v>197.0</v>
      </c>
      <c r="B3076" s="3">
        <v>84.0</v>
      </c>
      <c r="C3076" s="3">
        <v>8522000.0</v>
      </c>
      <c r="D3076" s="3">
        <v>2.69</v>
      </c>
      <c r="E3076" s="3">
        <v>8.522</v>
      </c>
    </row>
    <row r="3077" ht="12.75" customHeight="1">
      <c r="A3077" s="3">
        <v>197.0</v>
      </c>
      <c r="B3077" s="3">
        <v>84.6</v>
      </c>
      <c r="C3077" s="3">
        <v>1.217E7</v>
      </c>
      <c r="D3077" s="3">
        <v>3.0</v>
      </c>
      <c r="E3077" s="3">
        <v>12.17</v>
      </c>
    </row>
    <row r="3078" ht="12.75" customHeight="1">
      <c r="A3078" s="3">
        <v>197.0</v>
      </c>
      <c r="B3078" s="3">
        <v>86.0</v>
      </c>
      <c r="C3078" s="3">
        <v>1.7759E7</v>
      </c>
      <c r="D3078" s="3">
        <v>5.12</v>
      </c>
      <c r="E3078" s="3">
        <v>17.759</v>
      </c>
    </row>
    <row r="3079" ht="12.75" customHeight="1">
      <c r="A3079" s="3">
        <v>197.0</v>
      </c>
      <c r="B3079" s="3">
        <v>88.0</v>
      </c>
      <c r="C3079" s="3">
        <v>3.2056E7</v>
      </c>
      <c r="D3079" s="3">
        <v>7.75</v>
      </c>
      <c r="E3079" s="3">
        <v>32.056</v>
      </c>
    </row>
    <row r="3080" ht="12.75" customHeight="1">
      <c r="A3080" s="3">
        <v>199.0</v>
      </c>
      <c r="B3080" s="3">
        <v>105.0</v>
      </c>
      <c r="C3080" s="3">
        <v>0.0</v>
      </c>
      <c r="D3080" s="3">
        <v>0.0</v>
      </c>
      <c r="E3080" s="3">
        <v>0.0</v>
      </c>
    </row>
    <row r="3081" ht="12.75" customHeight="1">
      <c r="A3081" s="3">
        <v>199.0</v>
      </c>
      <c r="B3081" s="3">
        <v>106.0</v>
      </c>
      <c r="C3081" s="3">
        <v>1500.0</v>
      </c>
      <c r="D3081" s="3">
        <v>0.0044</v>
      </c>
      <c r="E3081" s="3">
        <v>0.0015</v>
      </c>
    </row>
    <row r="3082" ht="12.75" customHeight="1">
      <c r="A3082" s="3">
        <v>199.0</v>
      </c>
      <c r="B3082" s="3">
        <v>107.0</v>
      </c>
      <c r="C3082" s="3">
        <v>24500.0</v>
      </c>
      <c r="D3082" s="3">
        <v>0.042</v>
      </c>
      <c r="E3082" s="3">
        <v>0.0245</v>
      </c>
    </row>
    <row r="3083" ht="12.75" customHeight="1">
      <c r="A3083" s="3">
        <v>199.0</v>
      </c>
      <c r="B3083" s="3">
        <v>108.0</v>
      </c>
      <c r="C3083" s="3">
        <v>94000.0</v>
      </c>
      <c r="D3083" s="3">
        <v>0.097</v>
      </c>
      <c r="E3083" s="3">
        <v>0.094</v>
      </c>
    </row>
    <row r="3084" ht="12.75" customHeight="1">
      <c r="A3084" s="3">
        <v>199.0</v>
      </c>
      <c r="B3084" s="3">
        <v>109.0</v>
      </c>
      <c r="C3084" s="3">
        <v>246000.0</v>
      </c>
      <c r="D3084" s="3">
        <v>0.206</v>
      </c>
      <c r="E3084" s="3">
        <v>0.246</v>
      </c>
    </row>
    <row r="3085" ht="12.75" customHeight="1">
      <c r="A3085" s="3">
        <v>199.0</v>
      </c>
      <c r="B3085" s="3">
        <v>110.0</v>
      </c>
      <c r="C3085" s="3">
        <v>518000.0</v>
      </c>
      <c r="D3085" s="3">
        <v>0.338</v>
      </c>
      <c r="E3085" s="3">
        <v>0.518</v>
      </c>
    </row>
    <row r="3086" ht="12.75" customHeight="1">
      <c r="A3086" s="3">
        <v>199.0</v>
      </c>
      <c r="B3086" s="3">
        <v>111.0</v>
      </c>
      <c r="C3086" s="3">
        <v>916000.0</v>
      </c>
      <c r="D3086" s="3">
        <v>0.458</v>
      </c>
      <c r="E3086" s="3">
        <v>0.916</v>
      </c>
    </row>
    <row r="3087" ht="12.75" customHeight="1">
      <c r="A3087" s="3">
        <v>199.0</v>
      </c>
      <c r="B3087" s="3">
        <v>112.0</v>
      </c>
      <c r="C3087" s="3">
        <v>1440000.0</v>
      </c>
      <c r="D3087" s="3">
        <v>0.596</v>
      </c>
      <c r="E3087" s="3">
        <v>1.44</v>
      </c>
    </row>
    <row r="3088" ht="12.75" customHeight="1">
      <c r="A3088" s="3">
        <v>199.0</v>
      </c>
      <c r="B3088" s="3">
        <v>113.0</v>
      </c>
      <c r="C3088" s="3">
        <v>2100000.0</v>
      </c>
      <c r="D3088" s="3">
        <v>0.722</v>
      </c>
      <c r="E3088" s="3">
        <v>2.1</v>
      </c>
    </row>
    <row r="3089" ht="12.75" customHeight="1">
      <c r="A3089" s="3">
        <v>199.0</v>
      </c>
      <c r="B3089" s="3">
        <v>114.0</v>
      </c>
      <c r="C3089" s="3">
        <v>2888000.0</v>
      </c>
      <c r="D3089" s="3">
        <v>0.847</v>
      </c>
      <c r="E3089" s="3">
        <v>2.888</v>
      </c>
    </row>
    <row r="3090" ht="12.75" customHeight="1">
      <c r="A3090" s="3">
        <v>199.0</v>
      </c>
      <c r="B3090" s="3">
        <v>115.0</v>
      </c>
      <c r="C3090" s="3">
        <v>3800000.0</v>
      </c>
      <c r="D3090" s="3">
        <v>0.967</v>
      </c>
      <c r="E3090" s="3">
        <v>3.8</v>
      </c>
    </row>
    <row r="3091" ht="12.75" customHeight="1">
      <c r="A3091" s="3">
        <v>199.0</v>
      </c>
      <c r="B3091" s="3">
        <v>116.0</v>
      </c>
      <c r="C3091" s="3">
        <v>4800000.0</v>
      </c>
      <c r="D3091" s="3">
        <v>1.094</v>
      </c>
      <c r="E3091" s="3">
        <v>4.8</v>
      </c>
    </row>
    <row r="3092" ht="12.75" customHeight="1">
      <c r="A3092" s="3">
        <v>199.0</v>
      </c>
      <c r="B3092" s="3">
        <v>117.0</v>
      </c>
      <c r="C3092" s="3">
        <v>5990000.0</v>
      </c>
      <c r="D3092" s="3">
        <v>1.223</v>
      </c>
      <c r="E3092" s="3">
        <v>5.99</v>
      </c>
    </row>
    <row r="3093" ht="12.75" customHeight="1">
      <c r="A3093" s="3">
        <v>199.0</v>
      </c>
      <c r="B3093" s="3">
        <v>118.0</v>
      </c>
      <c r="C3093" s="3">
        <v>7270000.0</v>
      </c>
      <c r="D3093" s="3">
        <v>1.362</v>
      </c>
      <c r="E3093" s="3">
        <v>7.27</v>
      </c>
    </row>
    <row r="3094" ht="12.75" customHeight="1">
      <c r="A3094" s="3">
        <v>199.0</v>
      </c>
      <c r="B3094" s="3">
        <v>119.0</v>
      </c>
      <c r="C3094" s="3">
        <v>8700000.0</v>
      </c>
      <c r="D3094" s="3">
        <v>1.52</v>
      </c>
      <c r="E3094" s="3">
        <v>8.7</v>
      </c>
    </row>
    <row r="3095" ht="12.75" customHeight="1">
      <c r="A3095" s="3">
        <v>199.0</v>
      </c>
      <c r="B3095" s="3">
        <v>120.0</v>
      </c>
      <c r="C3095" s="3">
        <v>1.032E7</v>
      </c>
      <c r="D3095" s="3">
        <v>1.691</v>
      </c>
      <c r="E3095" s="3">
        <v>10.32</v>
      </c>
    </row>
    <row r="3096" ht="12.75" customHeight="1">
      <c r="A3096" s="3">
        <v>199.0</v>
      </c>
      <c r="B3096" s="3">
        <v>121.0</v>
      </c>
      <c r="C3096" s="3">
        <v>1.214E7</v>
      </c>
      <c r="D3096" s="3">
        <v>1.949</v>
      </c>
      <c r="E3096" s="3">
        <v>12.14</v>
      </c>
    </row>
    <row r="3097" ht="12.75" customHeight="1">
      <c r="A3097" s="3">
        <v>199.0</v>
      </c>
      <c r="B3097" s="3">
        <v>122.0</v>
      </c>
      <c r="C3097" s="3">
        <v>1.49E7</v>
      </c>
      <c r="D3097" s="3">
        <v>2.337</v>
      </c>
      <c r="E3097" s="3">
        <v>14.9</v>
      </c>
    </row>
    <row r="3098" ht="12.75" customHeight="1">
      <c r="A3098" s="3">
        <v>201.0</v>
      </c>
      <c r="B3098" s="3">
        <v>336.3</v>
      </c>
      <c r="C3098" s="3">
        <v>0.0</v>
      </c>
      <c r="D3098" s="3">
        <v>0.0</v>
      </c>
      <c r="E3098" s="3">
        <v>0.0</v>
      </c>
    </row>
    <row r="3099" ht="12.75" customHeight="1">
      <c r="A3099" s="3">
        <v>201.0</v>
      </c>
      <c r="B3099" s="3">
        <v>337.0</v>
      </c>
      <c r="C3099" s="3">
        <v>80.0</v>
      </c>
      <c r="D3099" s="3">
        <v>4.0E-4</v>
      </c>
      <c r="E3099" s="3">
        <v>8.0E-5</v>
      </c>
    </row>
    <row r="3100" ht="12.75" customHeight="1">
      <c r="A3100" s="3">
        <v>201.0</v>
      </c>
      <c r="B3100" s="3">
        <v>338.0</v>
      </c>
      <c r="C3100" s="3">
        <v>2700.0</v>
      </c>
      <c r="D3100" s="3">
        <v>0.0056</v>
      </c>
      <c r="E3100" s="3">
        <v>0.0027</v>
      </c>
    </row>
    <row r="3101" ht="12.75" customHeight="1">
      <c r="A3101" s="3">
        <v>201.0</v>
      </c>
      <c r="B3101" s="3">
        <v>339.0</v>
      </c>
      <c r="C3101" s="3">
        <v>13000.0</v>
      </c>
      <c r="D3101" s="3">
        <v>0.016</v>
      </c>
      <c r="E3101" s="3">
        <v>0.013</v>
      </c>
    </row>
    <row r="3102" ht="12.75" customHeight="1">
      <c r="A3102" s="3">
        <v>201.0</v>
      </c>
      <c r="B3102" s="3">
        <v>340.0</v>
      </c>
      <c r="C3102" s="3">
        <v>40800.0</v>
      </c>
      <c r="D3102" s="3">
        <v>0.04</v>
      </c>
      <c r="E3102" s="3">
        <v>0.0408</v>
      </c>
    </row>
    <row r="3103" ht="12.75" customHeight="1">
      <c r="A3103" s="3">
        <v>201.0</v>
      </c>
      <c r="B3103" s="3">
        <v>341.0</v>
      </c>
      <c r="C3103" s="3">
        <v>103000.0</v>
      </c>
      <c r="D3103" s="3">
        <v>0.08</v>
      </c>
      <c r="E3103" s="3">
        <v>0.103</v>
      </c>
    </row>
    <row r="3104" ht="12.75" customHeight="1">
      <c r="A3104" s="3">
        <v>201.0</v>
      </c>
      <c r="B3104" s="3">
        <v>342.0</v>
      </c>
      <c r="C3104" s="3">
        <v>190000.0</v>
      </c>
      <c r="D3104" s="3">
        <v>0.09</v>
      </c>
      <c r="E3104" s="3">
        <v>0.19</v>
      </c>
    </row>
    <row r="3105" ht="12.75" customHeight="1">
      <c r="A3105" s="3">
        <v>201.0</v>
      </c>
      <c r="B3105" s="3">
        <v>342.26</v>
      </c>
      <c r="C3105" s="3">
        <v>215000.0</v>
      </c>
      <c r="D3105" s="3">
        <v>0.1</v>
      </c>
      <c r="E3105" s="3">
        <v>0.215</v>
      </c>
    </row>
    <row r="3106" ht="12.75" customHeight="1">
      <c r="A3106" s="3">
        <v>201.0</v>
      </c>
      <c r="B3106" s="3">
        <v>343.0</v>
      </c>
      <c r="C3106" s="3">
        <v>427000.0</v>
      </c>
      <c r="D3106" s="3">
        <v>0.22</v>
      </c>
      <c r="E3106" s="3">
        <v>0.427</v>
      </c>
    </row>
    <row r="3107" ht="12.75" customHeight="1">
      <c r="A3107" s="3">
        <v>201.0</v>
      </c>
      <c r="B3107" s="3">
        <v>344.0</v>
      </c>
      <c r="C3107" s="3">
        <v>851000.0</v>
      </c>
      <c r="D3107" s="3">
        <v>0.33</v>
      </c>
      <c r="E3107" s="3">
        <v>0.851</v>
      </c>
    </row>
    <row r="3108" ht="12.75" customHeight="1">
      <c r="A3108" s="3">
        <v>201.0</v>
      </c>
      <c r="B3108" s="3">
        <v>345.0</v>
      </c>
      <c r="C3108" s="3">
        <v>1390000.0</v>
      </c>
      <c r="D3108" s="3">
        <v>0.46</v>
      </c>
      <c r="E3108" s="3">
        <v>1.39</v>
      </c>
    </row>
    <row r="3109" ht="12.75" customHeight="1">
      <c r="A3109" s="3">
        <v>201.0</v>
      </c>
      <c r="B3109" s="3">
        <v>346.0</v>
      </c>
      <c r="C3109" s="3">
        <v>2087000.0</v>
      </c>
      <c r="D3109" s="3">
        <v>0.64</v>
      </c>
      <c r="E3109" s="3">
        <v>2.087</v>
      </c>
    </row>
    <row r="3110" ht="12.75" customHeight="1">
      <c r="A3110" s="3">
        <v>201.0</v>
      </c>
      <c r="B3110" s="3">
        <v>347.0</v>
      </c>
      <c r="C3110" s="3">
        <v>3000000.0</v>
      </c>
      <c r="D3110" s="3">
        <v>0.89</v>
      </c>
      <c r="E3110" s="3">
        <v>3.0</v>
      </c>
    </row>
    <row r="3111" ht="12.75" customHeight="1">
      <c r="A3111" s="3">
        <v>201.0</v>
      </c>
      <c r="B3111" s="3">
        <v>348.0</v>
      </c>
      <c r="C3111" s="3">
        <v>4162000.0</v>
      </c>
      <c r="D3111" s="3">
        <v>1.13</v>
      </c>
      <c r="E3111" s="3">
        <v>4.162</v>
      </c>
    </row>
    <row r="3112" ht="12.75" customHeight="1">
      <c r="A3112" s="3">
        <v>201.0</v>
      </c>
      <c r="B3112" s="3">
        <v>349.0</v>
      </c>
      <c r="C3112" s="3">
        <v>5567000.0</v>
      </c>
      <c r="D3112" s="3">
        <v>1.38</v>
      </c>
      <c r="E3112" s="3">
        <v>5.567</v>
      </c>
    </row>
    <row r="3113" ht="12.75" customHeight="1">
      <c r="A3113" s="3">
        <v>201.0</v>
      </c>
      <c r="B3113" s="3">
        <v>350.0</v>
      </c>
      <c r="C3113" s="3">
        <v>7226000.0</v>
      </c>
      <c r="D3113" s="3">
        <v>1.64</v>
      </c>
      <c r="E3113" s="3">
        <v>7.226</v>
      </c>
    </row>
    <row r="3114" ht="12.75" customHeight="1">
      <c r="A3114" s="3">
        <v>201.0</v>
      </c>
      <c r="B3114" s="3">
        <v>351.0</v>
      </c>
      <c r="C3114" s="3">
        <v>9175000.0</v>
      </c>
      <c r="D3114" s="3">
        <v>1.96</v>
      </c>
      <c r="E3114" s="3">
        <v>9.175</v>
      </c>
    </row>
    <row r="3115" ht="12.75" customHeight="1">
      <c r="A3115" s="3">
        <v>201.0</v>
      </c>
      <c r="B3115" s="3">
        <v>352.0</v>
      </c>
      <c r="C3115" s="3">
        <v>1.1423E7</v>
      </c>
      <c r="D3115" s="3">
        <v>2.24</v>
      </c>
      <c r="E3115" s="3">
        <v>11.423</v>
      </c>
    </row>
    <row r="3116" ht="12.75" customHeight="1">
      <c r="A3116" s="3">
        <v>201.0</v>
      </c>
      <c r="B3116" s="3">
        <v>353.0</v>
      </c>
      <c r="C3116" s="3">
        <v>1.3955E7</v>
      </c>
      <c r="D3116" s="3">
        <v>2.53</v>
      </c>
      <c r="E3116" s="3">
        <v>13.955</v>
      </c>
    </row>
    <row r="3117" ht="12.75" customHeight="1">
      <c r="A3117" s="3">
        <v>201.0</v>
      </c>
      <c r="B3117" s="3">
        <v>354.0</v>
      </c>
      <c r="C3117" s="3">
        <v>1.697E7</v>
      </c>
      <c r="D3117" s="3">
        <v>3.2</v>
      </c>
      <c r="E3117" s="3">
        <v>16.97</v>
      </c>
    </row>
    <row r="3118" ht="12.75" customHeight="1">
      <c r="A3118" s="3">
        <v>201.0</v>
      </c>
      <c r="B3118" s="3">
        <v>355.0</v>
      </c>
      <c r="C3118" s="3">
        <v>2.049E7</v>
      </c>
      <c r="D3118" s="3">
        <v>3.54</v>
      </c>
      <c r="E3118" s="3">
        <v>20.49</v>
      </c>
    </row>
    <row r="3119" ht="12.75" customHeight="1">
      <c r="A3119" s="3">
        <v>201.0</v>
      </c>
      <c r="B3119" s="3">
        <v>356.0</v>
      </c>
      <c r="C3119" s="3">
        <v>2.4377E7</v>
      </c>
      <c r="D3119" s="3">
        <v>3.93</v>
      </c>
      <c r="E3119" s="3">
        <v>24.377</v>
      </c>
    </row>
    <row r="3120" ht="12.75" customHeight="1">
      <c r="A3120" s="3">
        <v>201.0</v>
      </c>
      <c r="B3120" s="3">
        <v>357.0</v>
      </c>
      <c r="C3120" s="3">
        <v>2.8687E7</v>
      </c>
      <c r="D3120" s="3">
        <v>4.39</v>
      </c>
      <c r="E3120" s="3">
        <v>28.687</v>
      </c>
    </row>
    <row r="3121" ht="12.75" customHeight="1">
      <c r="A3121" s="3">
        <v>202.0</v>
      </c>
      <c r="B3121" s="3">
        <v>89.85</v>
      </c>
      <c r="C3121" s="3">
        <v>0.0</v>
      </c>
      <c r="D3121" s="3">
        <v>0.0</v>
      </c>
      <c r="E3121" s="3">
        <v>0.0</v>
      </c>
    </row>
    <row r="3122" ht="12.75" customHeight="1">
      <c r="A3122" s="3">
        <v>202.0</v>
      </c>
      <c r="B3122" s="3">
        <v>90.0</v>
      </c>
      <c r="C3122" s="3">
        <v>0.0</v>
      </c>
      <c r="D3122" s="3">
        <v>0.0</v>
      </c>
      <c r="E3122" s="3">
        <v>0.0</v>
      </c>
    </row>
    <row r="3123" ht="12.75" customHeight="1">
      <c r="A3123" s="3">
        <v>202.0</v>
      </c>
      <c r="B3123" s="3">
        <v>91.0</v>
      </c>
      <c r="C3123" s="3">
        <v>1.0</v>
      </c>
      <c r="D3123" s="3">
        <v>0.0</v>
      </c>
      <c r="E3123" s="3">
        <v>1.0E-6</v>
      </c>
    </row>
    <row r="3124" ht="12.75" customHeight="1">
      <c r="A3124" s="3">
        <v>202.0</v>
      </c>
      <c r="B3124" s="3">
        <v>92.0</v>
      </c>
      <c r="C3124" s="3">
        <v>6.0</v>
      </c>
      <c r="D3124" s="3">
        <v>0.0</v>
      </c>
      <c r="E3124" s="3">
        <v>6.0E-6</v>
      </c>
    </row>
    <row r="3125" ht="12.75" customHeight="1">
      <c r="A3125" s="3">
        <v>202.0</v>
      </c>
      <c r="B3125" s="3">
        <v>93.0</v>
      </c>
      <c r="C3125" s="3">
        <v>20.0</v>
      </c>
      <c r="D3125" s="3">
        <v>0.0</v>
      </c>
      <c r="E3125" s="3">
        <v>2.0E-5</v>
      </c>
    </row>
    <row r="3126" ht="12.75" customHeight="1">
      <c r="A3126" s="3">
        <v>202.0</v>
      </c>
      <c r="B3126" s="3">
        <v>94.0</v>
      </c>
      <c r="C3126" s="3">
        <v>73.0</v>
      </c>
      <c r="D3126" s="3">
        <v>5.0E-4</v>
      </c>
      <c r="E3126" s="3">
        <v>7.3E-5</v>
      </c>
    </row>
    <row r="3127" ht="12.75" customHeight="1">
      <c r="A3127" s="3">
        <v>202.0</v>
      </c>
      <c r="B3127" s="3">
        <v>95.0</v>
      </c>
      <c r="C3127" s="3">
        <v>11352.0</v>
      </c>
      <c r="D3127" s="3">
        <v>0.0339</v>
      </c>
      <c r="E3127" s="3">
        <v>0.011352</v>
      </c>
    </row>
    <row r="3128" ht="12.75" customHeight="1">
      <c r="A3128" s="3">
        <v>202.0</v>
      </c>
      <c r="B3128" s="3">
        <v>96.0</v>
      </c>
      <c r="C3128" s="3">
        <v>104648.0</v>
      </c>
      <c r="D3128" s="3">
        <v>0.1707</v>
      </c>
      <c r="E3128" s="3">
        <v>0.104648</v>
      </c>
    </row>
    <row r="3129" ht="12.75" customHeight="1">
      <c r="A3129" s="3">
        <v>202.0</v>
      </c>
      <c r="B3129" s="3">
        <v>97.0</v>
      </c>
      <c r="C3129" s="3">
        <v>344477.0</v>
      </c>
      <c r="D3129" s="3">
        <v>0.3033</v>
      </c>
      <c r="E3129" s="3">
        <v>0.344477</v>
      </c>
    </row>
    <row r="3130" ht="12.75" customHeight="1">
      <c r="A3130" s="3">
        <v>202.0</v>
      </c>
      <c r="B3130" s="3">
        <v>98.0</v>
      </c>
      <c r="C3130" s="3">
        <v>710703.0</v>
      </c>
      <c r="D3130" s="3">
        <v>0.429</v>
      </c>
      <c r="E3130" s="3">
        <v>0.710703</v>
      </c>
    </row>
    <row r="3131" ht="12.75" customHeight="1">
      <c r="A3131" s="3">
        <v>202.0</v>
      </c>
      <c r="B3131" s="3">
        <v>99.0</v>
      </c>
      <c r="C3131" s="3">
        <v>1183028.0</v>
      </c>
      <c r="D3131" s="3">
        <v>0.5069</v>
      </c>
      <c r="E3131" s="3">
        <v>1.183028</v>
      </c>
    </row>
    <row r="3132" ht="12.75" customHeight="1">
      <c r="A3132" s="3">
        <v>202.0</v>
      </c>
      <c r="B3132" s="3">
        <v>99.67</v>
      </c>
      <c r="C3132" s="3">
        <v>1535065.0</v>
      </c>
      <c r="D3132" s="3">
        <v>0.5427</v>
      </c>
      <c r="E3132" s="3">
        <v>1.535065</v>
      </c>
    </row>
    <row r="3133" ht="12.75" customHeight="1">
      <c r="A3133" s="3">
        <v>202.0</v>
      </c>
      <c r="B3133" s="3">
        <v>99.85</v>
      </c>
      <c r="C3133" s="3">
        <v>1638800.0</v>
      </c>
      <c r="D3133" s="3">
        <v>0.5681</v>
      </c>
      <c r="E3133" s="3">
        <v>1.6388</v>
      </c>
    </row>
    <row r="3134" ht="12.75" customHeight="1">
      <c r="A3134" s="3">
        <v>202.0</v>
      </c>
      <c r="B3134" s="3">
        <v>100.0</v>
      </c>
      <c r="C3134" s="3">
        <v>1714800.0</v>
      </c>
      <c r="D3134" s="3">
        <v>0.5881</v>
      </c>
      <c r="E3134" s="3">
        <v>1.7148</v>
      </c>
    </row>
    <row r="3135" ht="12.75" customHeight="1">
      <c r="A3135" s="3">
        <v>202.0</v>
      </c>
      <c r="B3135" s="3">
        <v>101.0</v>
      </c>
      <c r="C3135" s="3">
        <v>2368800.0</v>
      </c>
      <c r="D3135" s="3">
        <v>0.7281</v>
      </c>
      <c r="E3135" s="3">
        <v>2.3688</v>
      </c>
    </row>
    <row r="3136" ht="12.75" customHeight="1">
      <c r="A3136" s="3">
        <v>203.0</v>
      </c>
      <c r="B3136" s="3">
        <v>73.97</v>
      </c>
      <c r="C3136" s="3">
        <v>0.0</v>
      </c>
      <c r="D3136" s="3">
        <v>0.0</v>
      </c>
      <c r="E3136" s="3">
        <v>0.0</v>
      </c>
    </row>
    <row r="3137" ht="12.75" customHeight="1">
      <c r="A3137" s="3">
        <v>203.0</v>
      </c>
      <c r="B3137" s="3">
        <v>74.0</v>
      </c>
      <c r="C3137" s="3">
        <v>0.0</v>
      </c>
      <c r="D3137" s="3">
        <v>0.053</v>
      </c>
      <c r="E3137" s="3">
        <v>0.0</v>
      </c>
    </row>
    <row r="3138" ht="12.75" customHeight="1">
      <c r="A3138" s="3">
        <v>203.0</v>
      </c>
      <c r="B3138" s="3">
        <v>75.0</v>
      </c>
      <c r="C3138" s="3">
        <v>1000.0</v>
      </c>
      <c r="D3138" s="3">
        <v>0.005</v>
      </c>
      <c r="E3138" s="3">
        <v>0.001</v>
      </c>
    </row>
    <row r="3139" ht="12.75" customHeight="1">
      <c r="A3139" s="3">
        <v>203.0</v>
      </c>
      <c r="B3139" s="3">
        <v>76.0</v>
      </c>
      <c r="C3139" s="3">
        <v>20000.0</v>
      </c>
      <c r="D3139" s="3">
        <v>0.04</v>
      </c>
      <c r="E3139" s="3">
        <v>0.02</v>
      </c>
    </row>
    <row r="3140" ht="12.75" customHeight="1">
      <c r="A3140" s="3">
        <v>203.0</v>
      </c>
      <c r="B3140" s="3">
        <v>77.0</v>
      </c>
      <c r="C3140" s="3">
        <v>81000.0</v>
      </c>
      <c r="D3140" s="3">
        <v>0.08</v>
      </c>
      <c r="E3140" s="3">
        <v>0.081</v>
      </c>
    </row>
    <row r="3141" ht="12.75" customHeight="1">
      <c r="A3141" s="3">
        <v>203.0</v>
      </c>
      <c r="B3141" s="3">
        <v>78.0</v>
      </c>
      <c r="C3141" s="3">
        <v>183000.0</v>
      </c>
      <c r="D3141" s="3">
        <v>0.12</v>
      </c>
      <c r="E3141" s="3">
        <v>0.183</v>
      </c>
    </row>
    <row r="3142" ht="12.75" customHeight="1">
      <c r="A3142" s="3">
        <v>203.0</v>
      </c>
      <c r="B3142" s="3">
        <v>78.67</v>
      </c>
      <c r="C3142" s="3">
        <v>271000.0</v>
      </c>
      <c r="D3142" s="3">
        <v>0.14</v>
      </c>
      <c r="E3142" s="3">
        <v>0.271</v>
      </c>
    </row>
    <row r="3143" ht="12.75" customHeight="1">
      <c r="A3143" s="3">
        <v>203.0</v>
      </c>
      <c r="B3143" s="3">
        <v>78.97</v>
      </c>
      <c r="C3143" s="3">
        <v>320000.0</v>
      </c>
      <c r="D3143" s="3">
        <v>0.2</v>
      </c>
      <c r="E3143" s="3">
        <v>0.32</v>
      </c>
    </row>
    <row r="3144" ht="12.75" customHeight="1">
      <c r="A3144" s="3">
        <v>203.0</v>
      </c>
      <c r="B3144" s="3">
        <v>79.97</v>
      </c>
      <c r="C3144" s="3">
        <v>540000.0</v>
      </c>
      <c r="D3144" s="3">
        <v>0.36</v>
      </c>
      <c r="E3144" s="3">
        <v>0.54</v>
      </c>
    </row>
    <row r="3145" ht="12.75" customHeight="1">
      <c r="A3145" s="3">
        <v>203.0</v>
      </c>
      <c r="B3145" s="3">
        <v>80.97</v>
      </c>
      <c r="C3145" s="3">
        <v>1080000.0</v>
      </c>
      <c r="D3145" s="3">
        <v>0.55</v>
      </c>
      <c r="E3145" s="3">
        <v>1.08</v>
      </c>
    </row>
    <row r="3146" ht="12.75" customHeight="1">
      <c r="A3146" s="3">
        <v>203.0</v>
      </c>
      <c r="B3146" s="3">
        <v>81.0</v>
      </c>
      <c r="C3146" s="3">
        <v>1100000.0</v>
      </c>
      <c r="D3146" s="3">
        <v>0.56</v>
      </c>
      <c r="E3146" s="3">
        <v>1.1</v>
      </c>
    </row>
    <row r="3147" ht="12.75" customHeight="1">
      <c r="A3147" s="3">
        <v>203.0</v>
      </c>
      <c r="B3147" s="3">
        <v>81.97</v>
      </c>
      <c r="C3147" s="3">
        <v>1620000.0</v>
      </c>
      <c r="D3147" s="3">
        <v>0.72</v>
      </c>
      <c r="E3147" s="3">
        <v>1.62</v>
      </c>
    </row>
    <row r="3148" ht="12.75" customHeight="1">
      <c r="A3148" s="3">
        <v>203.0</v>
      </c>
      <c r="B3148" s="3">
        <v>82.97</v>
      </c>
      <c r="C3148" s="3">
        <v>2390000.0</v>
      </c>
      <c r="D3148" s="3">
        <v>0.88</v>
      </c>
      <c r="E3148" s="3">
        <v>2.39</v>
      </c>
    </row>
    <row r="3149" ht="12.75" customHeight="1">
      <c r="A3149" s="3">
        <v>205.0</v>
      </c>
      <c r="B3149" s="3">
        <v>331.94</v>
      </c>
      <c r="C3149" s="3">
        <v>0.0</v>
      </c>
      <c r="D3149" s="3">
        <v>0.0</v>
      </c>
      <c r="E3149" s="3">
        <v>0.0</v>
      </c>
    </row>
    <row r="3150" ht="12.75" customHeight="1">
      <c r="A3150" s="3">
        <v>205.0</v>
      </c>
      <c r="B3150" s="3">
        <v>332.0</v>
      </c>
      <c r="C3150" s="3">
        <v>0.0</v>
      </c>
      <c r="D3150" s="3">
        <v>0.0</v>
      </c>
      <c r="E3150" s="3">
        <v>0.0</v>
      </c>
    </row>
    <row r="3151" ht="12.75" customHeight="1">
      <c r="A3151" s="3">
        <v>205.0</v>
      </c>
      <c r="B3151" s="3">
        <v>333.0</v>
      </c>
      <c r="C3151" s="3">
        <v>243.0</v>
      </c>
      <c r="D3151" s="3">
        <v>6.5E-4</v>
      </c>
      <c r="E3151" s="3">
        <v>2.43E-4</v>
      </c>
    </row>
    <row r="3152" ht="12.75" customHeight="1">
      <c r="A3152" s="3">
        <v>205.0</v>
      </c>
      <c r="B3152" s="3">
        <v>334.0</v>
      </c>
      <c r="C3152" s="3">
        <v>1671.0</v>
      </c>
      <c r="D3152" s="3">
        <v>0.0026</v>
      </c>
      <c r="E3152" s="3">
        <v>0.001671</v>
      </c>
    </row>
    <row r="3153" ht="12.75" customHeight="1">
      <c r="A3153" s="3">
        <v>205.0</v>
      </c>
      <c r="B3153" s="3">
        <v>335.0</v>
      </c>
      <c r="C3153" s="3">
        <v>6128.0</v>
      </c>
      <c r="D3153" s="3">
        <v>0.00653</v>
      </c>
      <c r="E3153" s="3">
        <v>0.006128</v>
      </c>
    </row>
    <row r="3154" ht="12.75" customHeight="1">
      <c r="A3154" s="3">
        <v>205.0</v>
      </c>
      <c r="B3154" s="3">
        <v>336.0</v>
      </c>
      <c r="C3154" s="3">
        <v>15171.0</v>
      </c>
      <c r="D3154" s="3">
        <v>0.01168</v>
      </c>
      <c r="E3154" s="3">
        <v>0.015171</v>
      </c>
    </row>
    <row r="3155" ht="12.75" customHeight="1">
      <c r="A3155" s="3">
        <v>205.0</v>
      </c>
      <c r="B3155" s="3">
        <v>337.0</v>
      </c>
      <c r="C3155" s="3">
        <v>30512.0</v>
      </c>
      <c r="D3155" s="3">
        <v>0.01968</v>
      </c>
      <c r="E3155" s="3">
        <v>0.030512</v>
      </c>
    </row>
    <row r="3156" ht="12.75" customHeight="1">
      <c r="A3156" s="3">
        <v>205.0</v>
      </c>
      <c r="B3156" s="3">
        <v>338.0</v>
      </c>
      <c r="C3156" s="3">
        <v>55479.0</v>
      </c>
      <c r="D3156" s="3">
        <v>0.03004</v>
      </c>
      <c r="E3156" s="3">
        <v>0.055479</v>
      </c>
    </row>
    <row r="3157" ht="12.75" customHeight="1">
      <c r="A3157" s="3">
        <v>205.0</v>
      </c>
      <c r="B3157" s="3">
        <v>339.0</v>
      </c>
      <c r="C3157" s="3">
        <v>90556.0</v>
      </c>
      <c r="D3157" s="3">
        <v>0.04075</v>
      </c>
      <c r="E3157" s="3">
        <v>0.090556</v>
      </c>
    </row>
    <row r="3158" ht="12.75" customHeight="1">
      <c r="A3158" s="3">
        <v>205.0</v>
      </c>
      <c r="B3158" s="3">
        <v>340.0</v>
      </c>
      <c r="C3158" s="3">
        <v>137591.0</v>
      </c>
      <c r="D3158" s="3">
        <v>0.05277</v>
      </c>
      <c r="E3158" s="3">
        <v>0.137591</v>
      </c>
    </row>
    <row r="3159" ht="12.75" customHeight="1">
      <c r="A3159" s="3">
        <v>205.0</v>
      </c>
      <c r="B3159" s="3">
        <v>341.0</v>
      </c>
      <c r="C3159" s="3">
        <v>195487.0</v>
      </c>
      <c r="D3159" s="3">
        <v>0.06274</v>
      </c>
      <c r="E3159" s="3">
        <v>0.195487</v>
      </c>
    </row>
    <row r="3160" ht="12.75" customHeight="1">
      <c r="A3160" s="3">
        <v>205.0</v>
      </c>
      <c r="B3160" s="3">
        <v>342.0</v>
      </c>
      <c r="C3160" s="3">
        <v>262746.0</v>
      </c>
      <c r="D3160" s="3">
        <v>0.07161</v>
      </c>
      <c r="E3160" s="3">
        <v>0.262746</v>
      </c>
    </row>
    <row r="3161" ht="12.75" customHeight="1">
      <c r="A3161" s="3">
        <v>205.0</v>
      </c>
      <c r="B3161" s="3">
        <v>343.0</v>
      </c>
      <c r="C3161" s="3">
        <v>338589.0</v>
      </c>
      <c r="D3161" s="3">
        <v>0.08047</v>
      </c>
      <c r="E3161" s="3">
        <v>0.338589</v>
      </c>
    </row>
    <row r="3162" ht="12.75" customHeight="1">
      <c r="A3162" s="3">
        <v>205.0</v>
      </c>
      <c r="B3162" s="3">
        <v>344.0</v>
      </c>
      <c r="C3162" s="3">
        <v>424512.0</v>
      </c>
      <c r="D3162" s="3">
        <v>0.09132</v>
      </c>
      <c r="E3162" s="3">
        <v>0.424512</v>
      </c>
    </row>
    <row r="3163" ht="12.75" customHeight="1">
      <c r="A3163" s="3">
        <v>205.0</v>
      </c>
      <c r="B3163" s="3">
        <v>345.0</v>
      </c>
      <c r="C3163" s="3">
        <v>522398.0</v>
      </c>
      <c r="D3163" s="3">
        <v>0.10463</v>
      </c>
      <c r="E3163" s="3">
        <v>0.522398</v>
      </c>
    </row>
    <row r="3164" ht="12.75" customHeight="1">
      <c r="A3164" s="3">
        <v>205.0</v>
      </c>
      <c r="B3164" s="3">
        <v>346.0</v>
      </c>
      <c r="C3164" s="3">
        <v>633761.0</v>
      </c>
      <c r="D3164" s="3">
        <v>0.11825</v>
      </c>
      <c r="E3164" s="3">
        <v>0.633761</v>
      </c>
    </row>
    <row r="3165" ht="12.75" customHeight="1">
      <c r="A3165" s="3">
        <v>205.0</v>
      </c>
      <c r="B3165" s="3">
        <v>347.0</v>
      </c>
      <c r="C3165" s="3">
        <v>758979.0</v>
      </c>
      <c r="D3165" s="3">
        <v>0.13239</v>
      </c>
      <c r="E3165" s="3">
        <v>0.758979</v>
      </c>
    </row>
    <row r="3166" ht="12.75" customHeight="1">
      <c r="A3166" s="3">
        <v>205.0</v>
      </c>
      <c r="B3166" s="3">
        <v>348.0</v>
      </c>
      <c r="C3166" s="3">
        <v>898797.0</v>
      </c>
      <c r="D3166" s="3">
        <v>0.14752</v>
      </c>
      <c r="E3166" s="3">
        <v>0.898797</v>
      </c>
    </row>
    <row r="3167" ht="12.75" customHeight="1">
      <c r="A3167" s="3">
        <v>205.0</v>
      </c>
      <c r="B3167" s="3">
        <v>349.0</v>
      </c>
      <c r="C3167" s="3">
        <v>1055206.0</v>
      </c>
      <c r="D3167" s="3">
        <v>0.16549</v>
      </c>
      <c r="E3167" s="3">
        <v>1.055206</v>
      </c>
    </row>
    <row r="3168" ht="12.75" customHeight="1">
      <c r="A3168" s="3">
        <v>205.0</v>
      </c>
      <c r="B3168" s="3">
        <v>350.0</v>
      </c>
      <c r="C3168" s="3">
        <v>1229655.0</v>
      </c>
      <c r="D3168" s="3">
        <v>0.18438</v>
      </c>
      <c r="E3168" s="3">
        <v>1.229655</v>
      </c>
    </row>
    <row r="3169" ht="12.75" customHeight="1">
      <c r="A3169" s="3">
        <v>205.0</v>
      </c>
      <c r="B3169" s="3">
        <v>351.0</v>
      </c>
      <c r="C3169" s="3">
        <v>1424035.0</v>
      </c>
      <c r="D3169" s="3">
        <v>0.20364</v>
      </c>
      <c r="E3169" s="3">
        <v>1.424035</v>
      </c>
    </row>
    <row r="3170" ht="12.75" customHeight="1">
      <c r="A3170" s="3">
        <v>205.0</v>
      </c>
      <c r="B3170" s="3">
        <v>352.0</v>
      </c>
      <c r="C3170" s="3">
        <v>1637364.0</v>
      </c>
      <c r="D3170" s="3">
        <v>0.22125</v>
      </c>
      <c r="E3170" s="3">
        <v>1.637364</v>
      </c>
    </row>
    <row r="3171" ht="12.75" customHeight="1">
      <c r="A3171" s="3">
        <v>205.0</v>
      </c>
      <c r="B3171" s="3">
        <v>353.0</v>
      </c>
      <c r="C3171" s="3">
        <v>1865606.0</v>
      </c>
      <c r="D3171" s="3">
        <v>0.23497</v>
      </c>
      <c r="E3171" s="3">
        <v>1.865606</v>
      </c>
    </row>
    <row r="3172" ht="12.75" customHeight="1">
      <c r="A3172" s="3">
        <v>205.0</v>
      </c>
      <c r="B3172" s="3">
        <v>354.0</v>
      </c>
      <c r="C3172" s="3">
        <v>2107201.0</v>
      </c>
      <c r="D3172" s="3">
        <v>0.24816</v>
      </c>
      <c r="E3172" s="3">
        <v>2.107201</v>
      </c>
    </row>
    <row r="3173" ht="12.75" customHeight="1">
      <c r="A3173" s="3">
        <v>205.0</v>
      </c>
      <c r="B3173" s="3">
        <v>355.0</v>
      </c>
      <c r="C3173" s="3">
        <v>2271256.0</v>
      </c>
      <c r="D3173" s="3">
        <v>0.27296</v>
      </c>
      <c r="E3173" s="3">
        <v>2.271256</v>
      </c>
    </row>
    <row r="3174" ht="12.75" customHeight="1">
      <c r="A3174" s="3">
        <v>205.0</v>
      </c>
      <c r="B3174" s="3">
        <v>356.0</v>
      </c>
      <c r="C3174" s="3">
        <v>2554532.0</v>
      </c>
      <c r="D3174" s="3">
        <v>0.30106</v>
      </c>
      <c r="E3174" s="3">
        <v>2.554532</v>
      </c>
    </row>
    <row r="3175" ht="12.75" customHeight="1">
      <c r="A3175" s="3">
        <v>205.0</v>
      </c>
      <c r="B3175" s="3">
        <v>357.0</v>
      </c>
      <c r="C3175" s="3">
        <v>2869274.0</v>
      </c>
      <c r="D3175" s="3">
        <v>0.33586</v>
      </c>
      <c r="E3175" s="3">
        <v>2.869274</v>
      </c>
    </row>
    <row r="3176" ht="12.75" customHeight="1">
      <c r="A3176" s="3">
        <v>206.0</v>
      </c>
      <c r="B3176" s="3">
        <v>89.0</v>
      </c>
      <c r="C3176" s="3">
        <v>0.0</v>
      </c>
      <c r="D3176" s="3">
        <v>0.0</v>
      </c>
      <c r="E3176" s="3">
        <v>0.0</v>
      </c>
    </row>
    <row r="3177" ht="12.75" customHeight="1">
      <c r="A3177" s="3">
        <v>206.0</v>
      </c>
      <c r="B3177" s="3">
        <v>89.9</v>
      </c>
      <c r="C3177" s="3">
        <v>600.0</v>
      </c>
      <c r="D3177" s="3">
        <v>6.0E-4</v>
      </c>
      <c r="E3177" s="3">
        <v>6.0E-4</v>
      </c>
    </row>
    <row r="3178" ht="12.75" customHeight="1">
      <c r="A3178" s="3">
        <v>206.0</v>
      </c>
      <c r="B3178" s="3">
        <v>90.0</v>
      </c>
      <c r="C3178" s="3">
        <v>6000.0</v>
      </c>
      <c r="D3178" s="3">
        <v>0.006</v>
      </c>
      <c r="E3178" s="3">
        <v>0.006</v>
      </c>
    </row>
    <row r="3179" ht="12.75" customHeight="1">
      <c r="A3179" s="3">
        <v>206.0</v>
      </c>
      <c r="B3179" s="3">
        <v>91.0</v>
      </c>
      <c r="C3179" s="3">
        <v>25000.0</v>
      </c>
      <c r="D3179" s="3">
        <v>0.06</v>
      </c>
      <c r="E3179" s="3">
        <v>0.025</v>
      </c>
    </row>
    <row r="3180" ht="12.75" customHeight="1">
      <c r="A3180" s="3">
        <v>206.0</v>
      </c>
      <c r="B3180" s="3">
        <v>92.0</v>
      </c>
      <c r="C3180" s="3">
        <v>134000.0</v>
      </c>
      <c r="D3180" s="3">
        <v>0.16</v>
      </c>
      <c r="E3180" s="3">
        <v>0.134</v>
      </c>
    </row>
    <row r="3181" ht="12.75" customHeight="1">
      <c r="A3181" s="3">
        <v>206.0</v>
      </c>
      <c r="B3181" s="3">
        <v>93.0</v>
      </c>
      <c r="C3181" s="3">
        <v>362000.0</v>
      </c>
      <c r="D3181" s="3">
        <v>0.3</v>
      </c>
      <c r="E3181" s="3">
        <v>0.362</v>
      </c>
    </row>
    <row r="3182" ht="12.75" customHeight="1">
      <c r="A3182" s="3">
        <v>206.0</v>
      </c>
      <c r="B3182" s="3">
        <v>94.0</v>
      </c>
      <c r="C3182" s="3">
        <v>744000.0</v>
      </c>
      <c r="D3182" s="3">
        <v>0.45</v>
      </c>
      <c r="E3182" s="3">
        <v>0.744</v>
      </c>
    </row>
    <row r="3183" ht="12.75" customHeight="1">
      <c r="A3183" s="3">
        <v>206.0</v>
      </c>
      <c r="B3183" s="3">
        <v>95.0</v>
      </c>
      <c r="C3183" s="3">
        <v>1237000.0</v>
      </c>
      <c r="D3183" s="3">
        <v>0.53</v>
      </c>
      <c r="E3183" s="3">
        <v>1.237</v>
      </c>
    </row>
    <row r="3184" ht="12.75" customHeight="1">
      <c r="A3184" s="3">
        <v>206.0</v>
      </c>
      <c r="B3184" s="3">
        <v>95.99</v>
      </c>
      <c r="C3184" s="3">
        <v>1767000.0</v>
      </c>
      <c r="D3184" s="3">
        <v>0.55</v>
      </c>
      <c r="E3184" s="3">
        <v>1.767</v>
      </c>
    </row>
    <row r="3185" ht="12.75" customHeight="1">
      <c r="A3185" s="3">
        <v>206.0</v>
      </c>
      <c r="B3185" s="3">
        <v>96.0</v>
      </c>
      <c r="C3185" s="3">
        <v>1767000.0</v>
      </c>
      <c r="D3185" s="3">
        <v>0.55</v>
      </c>
      <c r="E3185" s="3">
        <v>1.767</v>
      </c>
    </row>
    <row r="3186" ht="12.75" customHeight="1">
      <c r="A3186" s="3">
        <v>206.0</v>
      </c>
      <c r="B3186" s="3">
        <v>97.0</v>
      </c>
      <c r="C3186" s="3">
        <v>2315000.0</v>
      </c>
      <c r="D3186" s="3">
        <v>0.55</v>
      </c>
      <c r="E3186" s="3">
        <v>2.315</v>
      </c>
    </row>
    <row r="3187" ht="12.75" customHeight="1">
      <c r="A3187" s="3">
        <v>206.0</v>
      </c>
      <c r="B3187" s="3">
        <v>98.0</v>
      </c>
      <c r="C3187" s="3">
        <v>2865000.0</v>
      </c>
      <c r="D3187" s="3">
        <v>0.55</v>
      </c>
      <c r="E3187" s="3">
        <v>2.865</v>
      </c>
    </row>
    <row r="3188" ht="12.75" customHeight="1">
      <c r="A3188" s="3">
        <v>206.0</v>
      </c>
      <c r="B3188" s="3">
        <v>99.0</v>
      </c>
      <c r="C3188" s="3">
        <v>3414000.0</v>
      </c>
      <c r="D3188" s="3">
        <v>0.55</v>
      </c>
      <c r="E3188" s="3">
        <v>3.414</v>
      </c>
    </row>
    <row r="3189" ht="12.75" customHeight="1">
      <c r="A3189" s="3">
        <v>206.0</v>
      </c>
      <c r="B3189" s="3">
        <v>100.0</v>
      </c>
      <c r="C3189" s="3">
        <v>3964000.0</v>
      </c>
      <c r="D3189" s="3">
        <v>0.55</v>
      </c>
      <c r="E3189" s="3">
        <v>3.964</v>
      </c>
    </row>
    <row r="3190" ht="12.75" customHeight="1">
      <c r="A3190" s="3">
        <v>208.0</v>
      </c>
      <c r="B3190" s="3">
        <v>87.76</v>
      </c>
      <c r="C3190" s="3">
        <v>0.0</v>
      </c>
      <c r="D3190" s="3">
        <v>0.0</v>
      </c>
      <c r="E3190" s="3">
        <v>0.0</v>
      </c>
    </row>
    <row r="3191" ht="12.75" customHeight="1">
      <c r="A3191" s="3">
        <v>208.0</v>
      </c>
      <c r="B3191" s="3">
        <v>88.0</v>
      </c>
      <c r="C3191" s="3">
        <v>19.0</v>
      </c>
      <c r="D3191" s="3">
        <v>0.002</v>
      </c>
      <c r="E3191" s="3">
        <v>1.9E-5</v>
      </c>
    </row>
    <row r="3192" ht="12.75" customHeight="1">
      <c r="A3192" s="3">
        <v>208.0</v>
      </c>
      <c r="B3192" s="3">
        <v>89.0</v>
      </c>
      <c r="C3192" s="3">
        <v>3500.0</v>
      </c>
      <c r="D3192" s="3">
        <v>0.01</v>
      </c>
      <c r="E3192" s="3">
        <v>0.0035</v>
      </c>
    </row>
    <row r="3193" ht="12.75" customHeight="1">
      <c r="A3193" s="3">
        <v>208.0</v>
      </c>
      <c r="B3193" s="3">
        <v>90.0</v>
      </c>
      <c r="C3193" s="3">
        <v>21000.0</v>
      </c>
      <c r="D3193" s="3">
        <v>0.026</v>
      </c>
      <c r="E3193" s="3">
        <v>0.021</v>
      </c>
    </row>
    <row r="3194" ht="12.75" customHeight="1">
      <c r="A3194" s="3">
        <v>208.0</v>
      </c>
      <c r="B3194" s="3">
        <v>91.0</v>
      </c>
      <c r="C3194" s="3">
        <v>56300.0</v>
      </c>
      <c r="D3194" s="3">
        <v>0.047</v>
      </c>
      <c r="E3194" s="3">
        <v>0.0563</v>
      </c>
    </row>
    <row r="3195" ht="12.75" customHeight="1">
      <c r="A3195" s="3">
        <v>208.0</v>
      </c>
      <c r="B3195" s="3">
        <v>92.0</v>
      </c>
      <c r="C3195" s="3">
        <v>118300.0</v>
      </c>
      <c r="D3195" s="3">
        <v>0.077</v>
      </c>
      <c r="E3195" s="3">
        <v>0.1183</v>
      </c>
    </row>
    <row r="3196" ht="12.75" customHeight="1">
      <c r="A3196" s="3">
        <v>208.0</v>
      </c>
      <c r="B3196" s="3">
        <v>93.0</v>
      </c>
      <c r="C3196" s="3">
        <v>215000.0</v>
      </c>
      <c r="D3196" s="3">
        <v>0.117</v>
      </c>
      <c r="E3196" s="3">
        <v>0.215</v>
      </c>
    </row>
    <row r="3197" ht="12.75" customHeight="1">
      <c r="A3197" s="3">
        <v>208.0</v>
      </c>
      <c r="B3197" s="3">
        <v>94.0</v>
      </c>
      <c r="C3197" s="3">
        <v>353000.0</v>
      </c>
      <c r="D3197" s="3">
        <v>0.158</v>
      </c>
      <c r="E3197" s="3">
        <v>0.353</v>
      </c>
    </row>
    <row r="3198" ht="12.75" customHeight="1">
      <c r="A3198" s="3">
        <v>208.0</v>
      </c>
      <c r="B3198" s="3">
        <v>95.0</v>
      </c>
      <c r="C3198" s="3">
        <v>531200.0</v>
      </c>
      <c r="D3198" s="3">
        <v>0.198</v>
      </c>
      <c r="E3198" s="3">
        <v>0.5312</v>
      </c>
    </row>
    <row r="3199" ht="12.75" customHeight="1">
      <c r="A3199" s="3">
        <v>208.0</v>
      </c>
      <c r="B3199" s="3">
        <v>96.0</v>
      </c>
      <c r="C3199" s="3">
        <v>744000.0</v>
      </c>
      <c r="D3199" s="3">
        <v>0.225</v>
      </c>
      <c r="E3199" s="3">
        <v>0.744</v>
      </c>
    </row>
    <row r="3200" ht="12.75" customHeight="1">
      <c r="A3200" s="3">
        <v>208.0</v>
      </c>
      <c r="B3200" s="3">
        <v>97.0</v>
      </c>
      <c r="C3200" s="3">
        <v>979000.0</v>
      </c>
      <c r="D3200" s="3">
        <v>0.243</v>
      </c>
      <c r="E3200" s="3">
        <v>0.979</v>
      </c>
    </row>
    <row r="3201" ht="12.75" customHeight="1">
      <c r="A3201" s="3">
        <v>208.0</v>
      </c>
      <c r="B3201" s="3">
        <v>97.34</v>
      </c>
      <c r="C3201" s="3">
        <v>1062000.0</v>
      </c>
      <c r="D3201" s="3">
        <v>0.248</v>
      </c>
      <c r="E3201" s="3">
        <v>1.062</v>
      </c>
    </row>
    <row r="3202" ht="12.75" customHeight="1">
      <c r="A3202" s="3">
        <v>208.0</v>
      </c>
      <c r="B3202" s="3">
        <v>98.0</v>
      </c>
      <c r="C3202" s="3">
        <v>1227000.0</v>
      </c>
      <c r="D3202" s="3">
        <v>0.254</v>
      </c>
      <c r="E3202" s="3">
        <v>1.227</v>
      </c>
    </row>
    <row r="3203" ht="12.75" customHeight="1">
      <c r="A3203" s="3">
        <v>208.0</v>
      </c>
      <c r="B3203" s="3">
        <v>99.0</v>
      </c>
      <c r="C3203" s="3">
        <v>1486000.0</v>
      </c>
      <c r="D3203" s="3">
        <v>0.262</v>
      </c>
      <c r="E3203" s="3">
        <v>1.486</v>
      </c>
    </row>
    <row r="3204" ht="12.75" customHeight="1">
      <c r="A3204" s="3">
        <v>208.0</v>
      </c>
      <c r="B3204" s="3">
        <v>100.0</v>
      </c>
      <c r="C3204" s="3">
        <v>1750000.0</v>
      </c>
      <c r="D3204" s="3">
        <v>0.266</v>
      </c>
      <c r="E3204" s="3">
        <v>1.75</v>
      </c>
    </row>
    <row r="3205" ht="12.75" customHeight="1">
      <c r="A3205" s="3">
        <v>210.0</v>
      </c>
      <c r="B3205" s="3">
        <v>21.0</v>
      </c>
      <c r="C3205" s="3">
        <v>0.0</v>
      </c>
      <c r="D3205" s="3">
        <v>0.0</v>
      </c>
      <c r="E3205" s="3">
        <v>0.0</v>
      </c>
    </row>
    <row r="3206" ht="12.75" customHeight="1">
      <c r="A3206" s="3">
        <v>210.0</v>
      </c>
      <c r="B3206" s="3">
        <v>22.0</v>
      </c>
      <c r="C3206" s="3">
        <v>1737.0</v>
      </c>
      <c r="D3206" s="3">
        <v>0.0035</v>
      </c>
      <c r="E3206" s="3">
        <v>0.001737</v>
      </c>
    </row>
    <row r="3207" ht="12.75" customHeight="1">
      <c r="A3207" s="3">
        <v>210.0</v>
      </c>
      <c r="B3207" s="3">
        <v>23.0</v>
      </c>
      <c r="C3207" s="3">
        <v>23581.0</v>
      </c>
      <c r="D3207" s="3">
        <v>0.0402</v>
      </c>
      <c r="E3207" s="3">
        <v>0.023581</v>
      </c>
    </row>
    <row r="3208" ht="12.75" customHeight="1">
      <c r="A3208" s="3">
        <v>210.0</v>
      </c>
      <c r="B3208" s="3">
        <v>24.0</v>
      </c>
      <c r="C3208" s="3">
        <v>109102.0</v>
      </c>
      <c r="D3208" s="3">
        <v>0.1308</v>
      </c>
      <c r="E3208" s="3">
        <v>0.109102</v>
      </c>
    </row>
    <row r="3209" ht="12.75" customHeight="1">
      <c r="A3209" s="3">
        <v>210.0</v>
      </c>
      <c r="B3209" s="3">
        <v>25.0</v>
      </c>
      <c r="C3209" s="3">
        <v>302350.0</v>
      </c>
      <c r="D3209" s="3">
        <v>0.2557</v>
      </c>
      <c r="E3209" s="3">
        <v>0.30235</v>
      </c>
    </row>
    <row r="3210" ht="12.75" customHeight="1">
      <c r="A3210" s="3">
        <v>210.0</v>
      </c>
      <c r="B3210" s="3">
        <v>26.0</v>
      </c>
      <c r="C3210" s="3">
        <v>683993.0</v>
      </c>
      <c r="D3210" s="3">
        <v>0.5076</v>
      </c>
      <c r="E3210" s="3">
        <v>0.683993</v>
      </c>
    </row>
    <row r="3211" ht="12.75" customHeight="1">
      <c r="A3211" s="3">
        <v>210.0</v>
      </c>
      <c r="B3211" s="3">
        <v>27.0</v>
      </c>
      <c r="C3211" s="3">
        <v>1408404.0</v>
      </c>
      <c r="D3211" s="3">
        <v>0.9412</v>
      </c>
      <c r="E3211" s="3">
        <v>1.408404</v>
      </c>
    </row>
    <row r="3212" ht="12.75" customHeight="1">
      <c r="A3212" s="3">
        <v>210.0</v>
      </c>
      <c r="B3212" s="3">
        <v>28.0</v>
      </c>
      <c r="C3212" s="3">
        <v>2611989.0</v>
      </c>
      <c r="D3212" s="3">
        <v>1.466</v>
      </c>
      <c r="E3212" s="3">
        <v>2.611989</v>
      </c>
    </row>
    <row r="3213" ht="12.75" customHeight="1">
      <c r="A3213" s="3">
        <v>210.0</v>
      </c>
      <c r="B3213" s="3">
        <v>29.0</v>
      </c>
      <c r="C3213" s="3">
        <v>4320071.0</v>
      </c>
      <c r="D3213" s="3">
        <v>1.9502</v>
      </c>
      <c r="E3213" s="3">
        <v>4.320071</v>
      </c>
    </row>
    <row r="3214" ht="12.75" customHeight="1">
      <c r="A3214" s="3">
        <v>210.0</v>
      </c>
      <c r="B3214" s="3">
        <v>30.0</v>
      </c>
      <c r="C3214" s="3">
        <v>6555963.0</v>
      </c>
      <c r="D3214" s="3">
        <v>2.5216</v>
      </c>
      <c r="E3214" s="3">
        <v>6.555963</v>
      </c>
    </row>
    <row r="3215" ht="12.75" customHeight="1">
      <c r="A3215" s="3">
        <v>210.0</v>
      </c>
      <c r="B3215" s="3">
        <v>31.0</v>
      </c>
      <c r="C3215" s="3">
        <v>9546841.0</v>
      </c>
      <c r="D3215" s="3">
        <v>3.4602</v>
      </c>
      <c r="E3215" s="3">
        <v>9.546841</v>
      </c>
    </row>
    <row r="3216" ht="12.75" customHeight="1">
      <c r="A3216" s="3">
        <v>210.0</v>
      </c>
      <c r="B3216" s="3">
        <v>32.0</v>
      </c>
      <c r="C3216" s="3">
        <v>1.3547378E7</v>
      </c>
      <c r="D3216" s="3">
        <v>4.5409</v>
      </c>
      <c r="E3216" s="3">
        <v>13.547378</v>
      </c>
    </row>
    <row r="3217" ht="12.75" customHeight="1">
      <c r="A3217" s="3">
        <v>210.0</v>
      </c>
      <c r="B3217" s="3">
        <v>33.0</v>
      </c>
      <c r="C3217" s="3">
        <v>1.8700249E7</v>
      </c>
      <c r="D3217" s="3">
        <v>5.7648</v>
      </c>
      <c r="E3217" s="3">
        <v>18.700249</v>
      </c>
    </row>
    <row r="3218" ht="12.75" customHeight="1">
      <c r="A3218" s="3">
        <v>210.0</v>
      </c>
      <c r="B3218" s="3">
        <v>34.0</v>
      </c>
      <c r="C3218" s="3">
        <v>2.5113017E7</v>
      </c>
      <c r="D3218" s="3">
        <v>7.0607</v>
      </c>
      <c r="E3218" s="3">
        <v>25.113017</v>
      </c>
    </row>
    <row r="3219" ht="12.75" customHeight="1">
      <c r="A3219" s="3">
        <v>210.0</v>
      </c>
      <c r="B3219" s="3">
        <v>35.0</v>
      </c>
      <c r="C3219" s="3">
        <v>3.2837966E7</v>
      </c>
      <c r="D3219" s="3">
        <v>8.3892</v>
      </c>
      <c r="E3219" s="3">
        <v>32.837966</v>
      </c>
    </row>
    <row r="3220" ht="12.75" customHeight="1">
      <c r="A3220" s="3">
        <v>210.0</v>
      </c>
      <c r="B3220" s="3">
        <v>36.0</v>
      </c>
      <c r="C3220" s="3">
        <v>4.1967794E7</v>
      </c>
      <c r="D3220" s="3">
        <v>9.8705</v>
      </c>
      <c r="E3220" s="3">
        <v>41.967794</v>
      </c>
    </row>
    <row r="3221" ht="12.75" customHeight="1">
      <c r="A3221" s="3">
        <v>210.0</v>
      </c>
      <c r="B3221" s="3">
        <v>37.0</v>
      </c>
      <c r="C3221" s="3">
        <v>5.2642392E7</v>
      </c>
      <c r="D3221" s="3">
        <v>11.4788</v>
      </c>
      <c r="E3221" s="3">
        <v>52.642392</v>
      </c>
    </row>
    <row r="3222" ht="12.75" customHeight="1">
      <c r="A3222" s="3">
        <v>210.0</v>
      </c>
      <c r="B3222" s="3">
        <v>38.0</v>
      </c>
      <c r="C3222" s="3">
        <v>6.4909383E7</v>
      </c>
      <c r="D3222" s="3">
        <v>13.0552</v>
      </c>
      <c r="E3222" s="3">
        <v>64.909383</v>
      </c>
    </row>
    <row r="3223" ht="12.75" customHeight="1">
      <c r="A3223" s="3">
        <v>210.0</v>
      </c>
      <c r="B3223" s="3">
        <v>39.0</v>
      </c>
      <c r="C3223" s="3">
        <v>7.8841446E7</v>
      </c>
      <c r="D3223" s="3">
        <v>14.8089</v>
      </c>
      <c r="E3223" s="3">
        <v>78.841446</v>
      </c>
    </row>
    <row r="3224" ht="12.75" customHeight="1">
      <c r="A3224" s="3">
        <v>211.0</v>
      </c>
      <c r="B3224" s="3">
        <v>261.32</v>
      </c>
      <c r="C3224" s="3">
        <v>0.0</v>
      </c>
      <c r="D3224" s="3">
        <v>0.0</v>
      </c>
      <c r="E3224" s="3">
        <v>0.0</v>
      </c>
    </row>
    <row r="3225" ht="12.75" customHeight="1">
      <c r="A3225" s="3">
        <v>211.0</v>
      </c>
      <c r="B3225" s="3">
        <v>262.0</v>
      </c>
      <c r="C3225" s="3">
        <v>9.0</v>
      </c>
      <c r="D3225" s="3">
        <v>0.0</v>
      </c>
      <c r="E3225" s="3">
        <v>9.0E-6</v>
      </c>
    </row>
    <row r="3226" ht="12.75" customHeight="1">
      <c r="A3226" s="3">
        <v>211.0</v>
      </c>
      <c r="B3226" s="3">
        <v>263.0</v>
      </c>
      <c r="C3226" s="3">
        <v>190.0</v>
      </c>
      <c r="D3226" s="3">
        <v>0.001</v>
      </c>
      <c r="E3226" s="3">
        <v>1.9E-4</v>
      </c>
    </row>
    <row r="3227" ht="12.75" customHeight="1">
      <c r="A3227" s="3">
        <v>211.0</v>
      </c>
      <c r="B3227" s="3">
        <v>264.0</v>
      </c>
      <c r="C3227" s="3">
        <v>2100.0</v>
      </c>
      <c r="D3227" s="3">
        <v>0.005</v>
      </c>
      <c r="E3227" s="3">
        <v>0.0021</v>
      </c>
    </row>
    <row r="3228" ht="12.75" customHeight="1">
      <c r="A3228" s="3">
        <v>211.0</v>
      </c>
      <c r="B3228" s="3">
        <v>265.0</v>
      </c>
      <c r="C3228" s="3">
        <v>16900.0</v>
      </c>
      <c r="D3228" s="3">
        <v>0.03</v>
      </c>
      <c r="E3228" s="3">
        <v>0.0169</v>
      </c>
    </row>
    <row r="3229" ht="12.75" customHeight="1">
      <c r="A3229" s="3">
        <v>211.0</v>
      </c>
      <c r="B3229" s="3">
        <v>266.0</v>
      </c>
      <c r="C3229" s="3">
        <v>65900.0</v>
      </c>
      <c r="D3229" s="3">
        <v>0.07</v>
      </c>
      <c r="E3229" s="3">
        <v>0.0659</v>
      </c>
    </row>
    <row r="3230" ht="12.75" customHeight="1">
      <c r="A3230" s="3">
        <v>211.0</v>
      </c>
      <c r="B3230" s="3">
        <v>267.0</v>
      </c>
      <c r="C3230" s="3">
        <v>160000.0</v>
      </c>
      <c r="D3230" s="3">
        <v>0.11</v>
      </c>
      <c r="E3230" s="3">
        <v>0.16</v>
      </c>
    </row>
    <row r="3231" ht="12.75" customHeight="1">
      <c r="A3231" s="3">
        <v>211.0</v>
      </c>
      <c r="B3231" s="3">
        <v>268.0</v>
      </c>
      <c r="C3231" s="3">
        <v>291000.0</v>
      </c>
      <c r="D3231" s="3">
        <v>0.16</v>
      </c>
      <c r="E3231" s="3">
        <v>0.291</v>
      </c>
    </row>
    <row r="3232" ht="12.75" customHeight="1">
      <c r="A3232" s="3">
        <v>211.0</v>
      </c>
      <c r="B3232" s="3">
        <v>269.0</v>
      </c>
      <c r="C3232" s="3">
        <v>466000.0</v>
      </c>
      <c r="D3232" s="3">
        <v>0.19</v>
      </c>
      <c r="E3232" s="3">
        <v>0.466</v>
      </c>
    </row>
    <row r="3233" ht="12.75" customHeight="1">
      <c r="A3233" s="3">
        <v>211.0</v>
      </c>
      <c r="B3233" s="3">
        <v>270.0</v>
      </c>
      <c r="C3233" s="3">
        <v>670000.0</v>
      </c>
      <c r="D3233" s="3">
        <v>0.21</v>
      </c>
      <c r="E3233" s="3">
        <v>0.67</v>
      </c>
    </row>
    <row r="3234" ht="12.75" customHeight="1">
      <c r="A3234" s="3">
        <v>211.0</v>
      </c>
      <c r="B3234" s="3">
        <v>271.0</v>
      </c>
      <c r="C3234" s="3">
        <v>887000.0</v>
      </c>
      <c r="D3234" s="3">
        <v>0.22</v>
      </c>
      <c r="E3234" s="3">
        <v>0.887</v>
      </c>
    </row>
    <row r="3235" ht="12.75" customHeight="1">
      <c r="A3235" s="3">
        <v>211.0</v>
      </c>
      <c r="B3235" s="3">
        <v>271.48</v>
      </c>
      <c r="C3235" s="3">
        <v>994000.0</v>
      </c>
      <c r="D3235" s="3">
        <v>0.23</v>
      </c>
      <c r="E3235" s="3">
        <v>0.994</v>
      </c>
    </row>
    <row r="3236" ht="12.75" customHeight="1">
      <c r="A3236" s="3">
        <v>211.0</v>
      </c>
      <c r="B3236" s="3">
        <v>272.0</v>
      </c>
      <c r="C3236" s="3">
        <v>1440000.0</v>
      </c>
      <c r="D3236" s="3">
        <v>1.1</v>
      </c>
      <c r="E3236" s="3">
        <v>1.44</v>
      </c>
    </row>
    <row r="3237" ht="12.75" customHeight="1">
      <c r="A3237" s="3">
        <v>211.0</v>
      </c>
      <c r="B3237" s="3">
        <v>273.0</v>
      </c>
      <c r="C3237" s="3">
        <v>1800000.0</v>
      </c>
      <c r="D3237" s="3">
        <v>1.15</v>
      </c>
      <c r="E3237" s="3">
        <v>1.8</v>
      </c>
    </row>
    <row r="3238" ht="12.75" customHeight="1">
      <c r="A3238" s="3">
        <v>211.0</v>
      </c>
      <c r="B3238" s="3">
        <v>274.0</v>
      </c>
      <c r="C3238" s="3">
        <v>2197000.0</v>
      </c>
      <c r="D3238" s="3">
        <v>1.19</v>
      </c>
      <c r="E3238" s="3">
        <v>2.197</v>
      </c>
    </row>
    <row r="3239" ht="12.75" customHeight="1">
      <c r="A3239" s="3">
        <v>211.0</v>
      </c>
      <c r="B3239" s="3">
        <v>275.0</v>
      </c>
      <c r="C3239" s="3">
        <v>2644000.0</v>
      </c>
      <c r="D3239" s="3">
        <v>1.24</v>
      </c>
      <c r="E3239" s="3">
        <v>2.644</v>
      </c>
    </row>
    <row r="3240" ht="12.75" customHeight="1">
      <c r="A3240" s="3">
        <v>211.0</v>
      </c>
      <c r="B3240" s="3">
        <v>276.0</v>
      </c>
      <c r="C3240" s="3">
        <v>3136000.0</v>
      </c>
      <c r="D3240" s="3">
        <v>1.28</v>
      </c>
      <c r="E3240" s="3">
        <v>3.136</v>
      </c>
    </row>
    <row r="3241" ht="12.75" customHeight="1">
      <c r="A3241" s="3">
        <v>211.0</v>
      </c>
      <c r="B3241" s="3">
        <v>277.0</v>
      </c>
      <c r="C3241" s="3">
        <v>3670000.0</v>
      </c>
      <c r="D3241" s="3">
        <v>1.32</v>
      </c>
      <c r="E3241" s="3">
        <v>3.67</v>
      </c>
    </row>
    <row r="3242" ht="12.75" customHeight="1">
      <c r="A3242" s="3">
        <v>211.0</v>
      </c>
      <c r="B3242" s="3">
        <v>278.0</v>
      </c>
      <c r="C3242" s="3">
        <v>4240000.0</v>
      </c>
      <c r="D3242" s="3">
        <v>1.36</v>
      </c>
      <c r="E3242" s="3">
        <v>4.24</v>
      </c>
    </row>
    <row r="3243" ht="12.75" customHeight="1">
      <c r="A3243" s="3">
        <v>211.0</v>
      </c>
      <c r="B3243" s="3">
        <v>279.0</v>
      </c>
      <c r="C3243" s="3">
        <v>4850000.0</v>
      </c>
      <c r="D3243" s="3">
        <v>1.4</v>
      </c>
      <c r="E3243" s="3">
        <v>4.85</v>
      </c>
    </row>
    <row r="3244" ht="12.75" customHeight="1">
      <c r="A3244" s="3">
        <v>211.0</v>
      </c>
      <c r="B3244" s="3">
        <v>280.0</v>
      </c>
      <c r="C3244" s="3">
        <v>5520000.0</v>
      </c>
      <c r="D3244" s="3">
        <v>1.48</v>
      </c>
      <c r="E3244" s="3">
        <v>5.52</v>
      </c>
    </row>
    <row r="3245" ht="12.75" customHeight="1">
      <c r="A3245" s="3">
        <v>211.0</v>
      </c>
      <c r="B3245" s="3">
        <v>281.0</v>
      </c>
      <c r="C3245" s="3">
        <v>6250000.0</v>
      </c>
      <c r="D3245" s="3">
        <v>1.52</v>
      </c>
      <c r="E3245" s="3">
        <v>6.25</v>
      </c>
    </row>
    <row r="3246" ht="12.75" customHeight="1">
      <c r="A3246" s="3">
        <v>211.0</v>
      </c>
      <c r="B3246" s="3">
        <v>282.0</v>
      </c>
      <c r="C3246" s="3">
        <v>7020000.0</v>
      </c>
      <c r="D3246" s="3">
        <v>1.56</v>
      </c>
      <c r="E3246" s="3">
        <v>7.02</v>
      </c>
    </row>
    <row r="3247" ht="12.75" customHeight="1">
      <c r="A3247" s="3">
        <v>212.0</v>
      </c>
      <c r="B3247" s="3">
        <v>68.89</v>
      </c>
      <c r="C3247" s="3">
        <v>0.0</v>
      </c>
      <c r="D3247" s="3">
        <v>0.0</v>
      </c>
      <c r="E3247" s="3">
        <v>0.0</v>
      </c>
    </row>
    <row r="3248" ht="12.75" customHeight="1">
      <c r="A3248" s="3">
        <v>212.0</v>
      </c>
      <c r="B3248" s="3">
        <v>69.0</v>
      </c>
      <c r="C3248" s="3">
        <v>0.0</v>
      </c>
      <c r="D3248" s="3">
        <v>0.0</v>
      </c>
      <c r="E3248" s="3">
        <v>0.0</v>
      </c>
    </row>
    <row r="3249" ht="12.75" customHeight="1">
      <c r="A3249" s="3">
        <v>212.0</v>
      </c>
      <c r="B3249" s="3">
        <v>70.0</v>
      </c>
      <c r="C3249" s="3">
        <v>1.0</v>
      </c>
      <c r="D3249" s="3">
        <v>0.0</v>
      </c>
      <c r="E3249" s="3">
        <v>1.0E-6</v>
      </c>
    </row>
    <row r="3250" ht="12.75" customHeight="1">
      <c r="A3250" s="3">
        <v>212.0</v>
      </c>
      <c r="B3250" s="3">
        <v>71.0</v>
      </c>
      <c r="C3250" s="3">
        <v>10.0</v>
      </c>
      <c r="D3250" s="3">
        <v>0.0</v>
      </c>
      <c r="E3250" s="3">
        <v>1.0E-5</v>
      </c>
    </row>
    <row r="3251" ht="12.75" customHeight="1">
      <c r="A3251" s="3">
        <v>212.0</v>
      </c>
      <c r="B3251" s="3">
        <v>72.0</v>
      </c>
      <c r="C3251" s="3">
        <v>338.0</v>
      </c>
      <c r="D3251" s="3">
        <v>0.001</v>
      </c>
      <c r="E3251" s="3">
        <v>3.38E-4</v>
      </c>
    </row>
    <row r="3252" ht="12.75" customHeight="1">
      <c r="A3252" s="3">
        <v>212.0</v>
      </c>
      <c r="B3252" s="3">
        <v>73.0</v>
      </c>
      <c r="C3252" s="3">
        <v>5278.0</v>
      </c>
      <c r="D3252" s="3">
        <v>0.0132</v>
      </c>
      <c r="E3252" s="3">
        <v>0.005278</v>
      </c>
    </row>
    <row r="3253" ht="12.75" customHeight="1">
      <c r="A3253" s="3">
        <v>212.0</v>
      </c>
      <c r="B3253" s="3">
        <v>74.0</v>
      </c>
      <c r="C3253" s="3">
        <v>44831.0</v>
      </c>
      <c r="D3253" s="3">
        <v>0.0813</v>
      </c>
      <c r="E3253" s="3">
        <v>0.044831</v>
      </c>
    </row>
    <row r="3254" ht="12.75" customHeight="1">
      <c r="A3254" s="3">
        <v>212.0</v>
      </c>
      <c r="B3254" s="3">
        <v>75.0</v>
      </c>
      <c r="C3254" s="3">
        <v>243014.0</v>
      </c>
      <c r="D3254" s="3">
        <v>0.3436</v>
      </c>
      <c r="E3254" s="3">
        <v>0.243014</v>
      </c>
    </row>
    <row r="3255" ht="12.75" customHeight="1">
      <c r="A3255" s="3">
        <v>212.0</v>
      </c>
      <c r="B3255" s="3">
        <v>76.0</v>
      </c>
      <c r="C3255" s="3">
        <v>821703.0</v>
      </c>
      <c r="D3255" s="3">
        <v>0.8482</v>
      </c>
      <c r="E3255" s="3">
        <v>0.821703</v>
      </c>
    </row>
    <row r="3256" ht="12.75" customHeight="1">
      <c r="A3256" s="3">
        <v>212.0</v>
      </c>
      <c r="B3256" s="3">
        <v>77.0</v>
      </c>
      <c r="C3256" s="3">
        <v>2043180.0</v>
      </c>
      <c r="D3256" s="3">
        <v>1.6346</v>
      </c>
      <c r="E3256" s="3">
        <v>2.04318</v>
      </c>
    </row>
    <row r="3257" ht="12.75" customHeight="1">
      <c r="A3257" s="3">
        <v>212.0</v>
      </c>
      <c r="B3257" s="3">
        <v>78.0</v>
      </c>
      <c r="C3257" s="3">
        <v>4070668.0</v>
      </c>
      <c r="D3257" s="3">
        <v>2.2384</v>
      </c>
      <c r="E3257" s="3">
        <v>4.070668</v>
      </c>
    </row>
    <row r="3258" ht="12.75" customHeight="1">
      <c r="A3258" s="3">
        <v>212.0</v>
      </c>
      <c r="B3258" s="3">
        <v>78.61</v>
      </c>
      <c r="C3258" s="3">
        <v>5450238.0</v>
      </c>
      <c r="D3258" s="3">
        <v>2.2844</v>
      </c>
      <c r="E3258" s="3">
        <v>5.450238</v>
      </c>
    </row>
    <row r="3259" ht="12.75" customHeight="1">
      <c r="A3259" s="3">
        <v>212.0</v>
      </c>
      <c r="B3259" s="3">
        <v>79.0</v>
      </c>
      <c r="C3259" s="3">
        <v>6893000.0</v>
      </c>
      <c r="D3259" s="3">
        <v>2.3278</v>
      </c>
      <c r="E3259" s="3">
        <v>6.893</v>
      </c>
    </row>
    <row r="3260" ht="12.75" customHeight="1">
      <c r="A3260" s="3">
        <v>212.0</v>
      </c>
      <c r="B3260" s="3">
        <v>80.0</v>
      </c>
      <c r="C3260" s="3">
        <v>1.0493E7</v>
      </c>
      <c r="D3260" s="3">
        <v>2.439</v>
      </c>
      <c r="E3260" s="3">
        <v>10.493</v>
      </c>
    </row>
    <row r="3261" ht="12.75" customHeight="1">
      <c r="A3261" s="3">
        <v>212.0</v>
      </c>
      <c r="B3261" s="3">
        <v>81.0</v>
      </c>
      <c r="C3261" s="3">
        <v>2.1193236E7</v>
      </c>
      <c r="D3261" s="3">
        <v>2.6115</v>
      </c>
      <c r="E3261" s="3">
        <v>21.193236</v>
      </c>
    </row>
    <row r="3262" ht="12.75" customHeight="1">
      <c r="A3262" s="3">
        <v>212.0</v>
      </c>
      <c r="B3262" s="3">
        <v>82.0</v>
      </c>
      <c r="C3262" s="3">
        <v>3.1993E7</v>
      </c>
      <c r="D3262" s="3">
        <v>2.7841</v>
      </c>
      <c r="E3262" s="3">
        <v>31.993</v>
      </c>
    </row>
    <row r="3263" ht="12.75" customHeight="1">
      <c r="A3263" s="3">
        <v>212.0</v>
      </c>
      <c r="B3263" s="3">
        <v>83.0</v>
      </c>
      <c r="C3263" s="3">
        <v>4.2693E7</v>
      </c>
      <c r="D3263" s="3">
        <v>2.9566</v>
      </c>
      <c r="E3263" s="3">
        <v>42.693</v>
      </c>
    </row>
    <row r="3264" ht="12.75" customHeight="1">
      <c r="A3264" s="3">
        <v>212.0</v>
      </c>
      <c r="B3264" s="3">
        <v>84.0</v>
      </c>
      <c r="C3264" s="3">
        <v>5.3493E7</v>
      </c>
      <c r="D3264" s="3">
        <v>3.1292</v>
      </c>
      <c r="E3264" s="3">
        <v>53.493</v>
      </c>
    </row>
    <row r="3265" ht="12.75" customHeight="1">
      <c r="A3265" s="3">
        <v>212.0</v>
      </c>
      <c r="B3265" s="3">
        <v>85.0</v>
      </c>
      <c r="C3265" s="3">
        <v>6.4193E7</v>
      </c>
      <c r="D3265" s="3">
        <v>3.3017</v>
      </c>
      <c r="E3265" s="3">
        <v>64.193</v>
      </c>
    </row>
    <row r="3266" ht="12.75" customHeight="1">
      <c r="A3266" s="3">
        <v>212.0</v>
      </c>
      <c r="B3266" s="3">
        <v>86.0</v>
      </c>
      <c r="C3266" s="3">
        <v>8.4593E7</v>
      </c>
      <c r="D3266" s="3">
        <v>3.5157</v>
      </c>
      <c r="E3266" s="3">
        <v>84.593</v>
      </c>
    </row>
    <row r="3267" ht="12.75" customHeight="1">
      <c r="A3267" s="3">
        <v>212.0</v>
      </c>
      <c r="B3267" s="3">
        <v>86.21</v>
      </c>
      <c r="C3267" s="3">
        <v>8.8793E7</v>
      </c>
      <c r="D3267" s="3">
        <v>3.5594</v>
      </c>
      <c r="E3267" s="3">
        <v>88.793</v>
      </c>
    </row>
    <row r="3268" ht="12.75" customHeight="1">
      <c r="A3268" s="3">
        <v>212.0</v>
      </c>
      <c r="B3268" s="3">
        <v>87.0</v>
      </c>
      <c r="C3268" s="3">
        <v>1.04993E8</v>
      </c>
      <c r="D3268" s="3">
        <v>3.7277</v>
      </c>
      <c r="E3268" s="3">
        <v>104.993</v>
      </c>
    </row>
    <row r="3269" ht="12.75" customHeight="1">
      <c r="A3269" s="3">
        <v>212.0</v>
      </c>
      <c r="B3269" s="3">
        <v>88.0</v>
      </c>
      <c r="C3269" s="3">
        <v>1.25393E8</v>
      </c>
      <c r="D3269" s="3">
        <v>3.9407</v>
      </c>
      <c r="E3269" s="3">
        <v>125.393</v>
      </c>
    </row>
    <row r="3270" ht="12.75" customHeight="1">
      <c r="A3270" s="3">
        <v>212.0</v>
      </c>
      <c r="B3270" s="3">
        <v>89.0</v>
      </c>
      <c r="C3270" s="3">
        <v>1.45693E8</v>
      </c>
      <c r="D3270" s="3">
        <v>4.1535</v>
      </c>
      <c r="E3270" s="3">
        <v>145.693</v>
      </c>
    </row>
    <row r="3271" ht="12.75" customHeight="1">
      <c r="A3271" s="3">
        <v>212.0</v>
      </c>
      <c r="B3271" s="3">
        <v>90.0</v>
      </c>
      <c r="C3271" s="3">
        <v>1.66093E8</v>
      </c>
      <c r="D3271" s="3">
        <v>4.3667</v>
      </c>
      <c r="E3271" s="3">
        <v>166.093</v>
      </c>
    </row>
    <row r="3272" ht="12.75" customHeight="1">
      <c r="A3272" s="3">
        <v>212.0</v>
      </c>
      <c r="B3272" s="3">
        <v>91.0</v>
      </c>
      <c r="C3272" s="3">
        <v>1.98293E8</v>
      </c>
      <c r="D3272" s="3">
        <v>4.6229</v>
      </c>
      <c r="E3272" s="3">
        <v>198.293</v>
      </c>
    </row>
    <row r="3273" ht="12.75" customHeight="1">
      <c r="A3273" s="3">
        <v>212.0</v>
      </c>
      <c r="B3273" s="3">
        <v>92.0</v>
      </c>
      <c r="C3273" s="3">
        <v>2.30493E8</v>
      </c>
      <c r="D3273" s="3">
        <v>4.8851</v>
      </c>
      <c r="E3273" s="3">
        <v>230.493</v>
      </c>
    </row>
    <row r="3274" ht="12.75" customHeight="1">
      <c r="A3274" s="3">
        <v>212.0</v>
      </c>
      <c r="B3274" s="3">
        <v>93.0</v>
      </c>
      <c r="C3274" s="3">
        <v>2.62693E8</v>
      </c>
      <c r="D3274" s="3">
        <v>5.1443</v>
      </c>
      <c r="E3274" s="3">
        <v>262.693</v>
      </c>
    </row>
    <row r="3275" ht="12.75" customHeight="1">
      <c r="A3275" s="3">
        <v>212.0</v>
      </c>
      <c r="B3275" s="3">
        <v>94.0</v>
      </c>
      <c r="C3275" s="3">
        <v>2.94893E8</v>
      </c>
      <c r="D3275" s="3">
        <v>5.4035</v>
      </c>
      <c r="E3275" s="3">
        <v>294.893</v>
      </c>
    </row>
    <row r="3276" ht="12.75" customHeight="1">
      <c r="A3276" s="3">
        <v>212.0</v>
      </c>
      <c r="B3276" s="3">
        <v>95.0</v>
      </c>
      <c r="C3276" s="3">
        <v>3.26993E8</v>
      </c>
      <c r="D3276" s="3">
        <v>5.6625</v>
      </c>
      <c r="E3276" s="3">
        <v>326.993</v>
      </c>
    </row>
    <row r="3277" ht="12.75" customHeight="1">
      <c r="A3277" s="3">
        <v>212.0</v>
      </c>
      <c r="B3277" s="3">
        <v>96.0</v>
      </c>
      <c r="C3277" s="3">
        <v>3.72693E8</v>
      </c>
      <c r="D3277" s="3">
        <v>5.9425</v>
      </c>
      <c r="E3277" s="3">
        <v>372.693</v>
      </c>
    </row>
    <row r="3278" ht="12.75" customHeight="1">
      <c r="A3278" s="3">
        <v>212.0</v>
      </c>
      <c r="B3278" s="3">
        <v>97.0</v>
      </c>
      <c r="C3278" s="3">
        <v>4.18393E8</v>
      </c>
      <c r="D3278" s="3">
        <v>6.2223</v>
      </c>
      <c r="E3278" s="3">
        <v>418.393</v>
      </c>
    </row>
    <row r="3279" ht="12.75" customHeight="1">
      <c r="A3279" s="3">
        <v>212.0</v>
      </c>
      <c r="B3279" s="3">
        <v>98.0</v>
      </c>
      <c r="C3279" s="3">
        <v>4.63993E8</v>
      </c>
      <c r="D3279" s="3">
        <v>6.5021</v>
      </c>
      <c r="E3279" s="3">
        <v>463.993</v>
      </c>
    </row>
    <row r="3280" ht="12.75" customHeight="1">
      <c r="A3280" s="3">
        <v>212.0</v>
      </c>
      <c r="B3280" s="3">
        <v>99.0</v>
      </c>
      <c r="C3280" s="3">
        <v>5.09693E8</v>
      </c>
      <c r="D3280" s="3">
        <v>6.7819</v>
      </c>
      <c r="E3280" s="3">
        <v>509.693</v>
      </c>
    </row>
    <row r="3281" ht="12.75" customHeight="1">
      <c r="A3281" s="3">
        <v>212.0</v>
      </c>
      <c r="B3281" s="3">
        <v>100.0</v>
      </c>
      <c r="C3281" s="3">
        <v>5.55293E8</v>
      </c>
      <c r="D3281" s="3">
        <v>7.0617</v>
      </c>
      <c r="E3281" s="3">
        <v>555.293</v>
      </c>
    </row>
    <row r="3282" ht="12.75" customHeight="1">
      <c r="A3282" s="3">
        <v>212.0</v>
      </c>
      <c r="B3282" s="3">
        <v>101.0</v>
      </c>
      <c r="C3282" s="3">
        <v>6.16393E8</v>
      </c>
      <c r="D3282" s="3">
        <v>7.3965</v>
      </c>
      <c r="E3282" s="3">
        <v>616.393</v>
      </c>
    </row>
    <row r="3283" ht="12.75" customHeight="1">
      <c r="A3283" s="3">
        <v>212.0</v>
      </c>
      <c r="B3283" s="3">
        <v>102.0</v>
      </c>
      <c r="C3283" s="3">
        <v>6.77393E8</v>
      </c>
      <c r="D3283" s="3">
        <v>7.7313</v>
      </c>
      <c r="E3283" s="3">
        <v>677.393</v>
      </c>
    </row>
    <row r="3284" ht="12.75" customHeight="1">
      <c r="A3284" s="3">
        <v>212.0</v>
      </c>
      <c r="B3284" s="3">
        <v>103.0</v>
      </c>
      <c r="C3284" s="3">
        <v>7.38393E8</v>
      </c>
      <c r="D3284" s="3">
        <v>8.0662</v>
      </c>
      <c r="E3284" s="3">
        <v>738.393</v>
      </c>
    </row>
    <row r="3285" ht="12.75" customHeight="1">
      <c r="A3285" s="3">
        <v>212.0</v>
      </c>
      <c r="B3285" s="3">
        <v>104.0</v>
      </c>
      <c r="C3285" s="3">
        <v>7.99393E8</v>
      </c>
      <c r="D3285" s="3">
        <v>8.401</v>
      </c>
      <c r="E3285" s="3">
        <v>799.393</v>
      </c>
    </row>
    <row r="3286" ht="12.75" customHeight="1">
      <c r="A3286" s="3">
        <v>212.0</v>
      </c>
      <c r="B3286" s="3">
        <v>105.0</v>
      </c>
      <c r="C3286" s="3">
        <v>8.60493E8</v>
      </c>
      <c r="D3286" s="3">
        <v>8.7358</v>
      </c>
      <c r="E3286" s="3">
        <v>860.493</v>
      </c>
    </row>
    <row r="3287" ht="12.75" customHeight="1">
      <c r="A3287" s="3">
        <v>212.0</v>
      </c>
      <c r="B3287" s="3">
        <v>106.0</v>
      </c>
      <c r="C3287" s="3">
        <v>9.41193E8</v>
      </c>
      <c r="D3287" s="3">
        <v>9.1892</v>
      </c>
      <c r="E3287" s="3">
        <v>941.193</v>
      </c>
    </row>
    <row r="3288" ht="12.75" customHeight="1">
      <c r="A3288" s="3">
        <v>212.0</v>
      </c>
      <c r="B3288" s="3">
        <v>107.0</v>
      </c>
      <c r="C3288" s="3">
        <v>1.021893E9</v>
      </c>
      <c r="D3288" s="3">
        <v>9.6425</v>
      </c>
      <c r="E3288" s="3">
        <v>1021.893</v>
      </c>
    </row>
    <row r="3289" ht="12.75" customHeight="1">
      <c r="A3289" s="3">
        <v>212.0</v>
      </c>
      <c r="B3289" s="3">
        <v>108.0</v>
      </c>
      <c r="C3289" s="3">
        <v>1.102693E9</v>
      </c>
      <c r="D3289" s="3">
        <v>10.0959</v>
      </c>
      <c r="E3289" s="3">
        <v>1102.693</v>
      </c>
    </row>
    <row r="3290" ht="12.75" customHeight="1">
      <c r="A3290" s="3">
        <v>212.0</v>
      </c>
      <c r="B3290" s="3">
        <v>109.0</v>
      </c>
      <c r="C3290" s="3">
        <v>1.183393E9</v>
      </c>
      <c r="D3290" s="3">
        <v>10.5493</v>
      </c>
      <c r="E3290" s="3">
        <v>1183.393</v>
      </c>
    </row>
    <row r="3291" ht="12.75" customHeight="1">
      <c r="A3291" s="3">
        <v>212.0</v>
      </c>
      <c r="B3291" s="3">
        <v>110.0</v>
      </c>
      <c r="C3291" s="3">
        <v>1.264093E9</v>
      </c>
      <c r="D3291" s="3">
        <v>11.0027</v>
      </c>
      <c r="E3291" s="3">
        <v>1264.093</v>
      </c>
    </row>
    <row r="3292" ht="12.75" customHeight="1">
      <c r="A3292" s="3">
        <v>213.0</v>
      </c>
      <c r="B3292" s="3">
        <v>75.95</v>
      </c>
      <c r="C3292" s="3">
        <v>0.0</v>
      </c>
      <c r="D3292" s="3">
        <v>0.0</v>
      </c>
      <c r="E3292" s="3">
        <v>0.0</v>
      </c>
    </row>
    <row r="3293" ht="12.75" customHeight="1">
      <c r="A3293" s="3">
        <v>213.0</v>
      </c>
      <c r="B3293" s="3">
        <v>76.0</v>
      </c>
      <c r="C3293" s="3">
        <v>0.0</v>
      </c>
      <c r="D3293" s="3">
        <v>0.0</v>
      </c>
      <c r="E3293" s="3">
        <v>0.0</v>
      </c>
    </row>
    <row r="3294" ht="12.75" customHeight="1">
      <c r="A3294" s="3">
        <v>213.0</v>
      </c>
      <c r="B3294" s="3">
        <v>77.0</v>
      </c>
      <c r="C3294" s="3">
        <v>52.0</v>
      </c>
      <c r="D3294" s="3">
        <v>2.0E-4</v>
      </c>
      <c r="E3294" s="3">
        <v>5.2E-5</v>
      </c>
    </row>
    <row r="3295" ht="12.75" customHeight="1">
      <c r="A3295" s="3">
        <v>213.0</v>
      </c>
      <c r="B3295" s="3">
        <v>78.0</v>
      </c>
      <c r="C3295" s="3">
        <v>679.695</v>
      </c>
      <c r="D3295" s="3">
        <v>0.0013</v>
      </c>
      <c r="E3295" s="3">
        <v>6.79695E-4</v>
      </c>
    </row>
    <row r="3296" ht="12.75" customHeight="1">
      <c r="A3296" s="3">
        <v>213.0</v>
      </c>
      <c r="B3296" s="3">
        <v>79.0</v>
      </c>
      <c r="C3296" s="3">
        <v>3628.0</v>
      </c>
      <c r="D3296" s="3">
        <v>0.0054</v>
      </c>
      <c r="E3296" s="3">
        <v>0.003628</v>
      </c>
    </row>
    <row r="3297" ht="12.75" customHeight="1">
      <c r="A3297" s="3">
        <v>213.0</v>
      </c>
      <c r="B3297" s="3">
        <v>80.0</v>
      </c>
      <c r="C3297" s="3">
        <v>13937.0</v>
      </c>
      <c r="D3297" s="3">
        <v>0.0164</v>
      </c>
      <c r="E3297" s="3">
        <v>0.013937</v>
      </c>
    </row>
    <row r="3298" ht="12.75" customHeight="1">
      <c r="A3298" s="3">
        <v>213.0</v>
      </c>
      <c r="B3298" s="3">
        <v>81.0</v>
      </c>
      <c r="C3298" s="3">
        <v>38725.0</v>
      </c>
      <c r="D3298" s="3">
        <v>0.036</v>
      </c>
      <c r="E3298" s="3">
        <v>0.038725</v>
      </c>
    </row>
    <row r="3299" ht="12.75" customHeight="1">
      <c r="A3299" s="3">
        <v>213.0</v>
      </c>
      <c r="B3299" s="3">
        <v>82.0</v>
      </c>
      <c r="C3299" s="3">
        <v>88163.0</v>
      </c>
      <c r="D3299" s="3">
        <v>0.0635</v>
      </c>
      <c r="E3299" s="3">
        <v>0.088163</v>
      </c>
    </row>
    <row r="3300" ht="12.75" customHeight="1">
      <c r="A3300" s="3">
        <v>213.0</v>
      </c>
      <c r="B3300" s="3">
        <v>83.0</v>
      </c>
      <c r="C3300" s="3">
        <v>166984.25</v>
      </c>
      <c r="D3300" s="3">
        <v>0.0943</v>
      </c>
      <c r="E3300" s="3">
        <v>0.16698425</v>
      </c>
    </row>
    <row r="3301" ht="12.75" customHeight="1">
      <c r="A3301" s="3">
        <v>213.0</v>
      </c>
      <c r="B3301" s="3">
        <v>84.0</v>
      </c>
      <c r="C3301" s="3">
        <v>280551.0</v>
      </c>
      <c r="D3301" s="3">
        <v>0.1326</v>
      </c>
      <c r="E3301" s="3">
        <v>0.280551</v>
      </c>
    </row>
    <row r="3302" ht="12.75" customHeight="1">
      <c r="A3302" s="3">
        <v>213.0</v>
      </c>
      <c r="B3302" s="3">
        <v>85.0</v>
      </c>
      <c r="C3302" s="3">
        <v>429786.0</v>
      </c>
      <c r="D3302" s="3">
        <v>0.164</v>
      </c>
      <c r="E3302" s="3">
        <v>0.429786</v>
      </c>
    </row>
    <row r="3303" ht="12.75" customHeight="1">
      <c r="A3303" s="3">
        <v>213.0</v>
      </c>
      <c r="B3303" s="3">
        <v>86.0</v>
      </c>
      <c r="C3303" s="3">
        <v>606578.0</v>
      </c>
      <c r="D3303" s="3">
        <v>0.1877</v>
      </c>
      <c r="E3303" s="3">
        <v>0.606578</v>
      </c>
    </row>
    <row r="3304" ht="12.75" customHeight="1">
      <c r="A3304" s="3">
        <v>213.0</v>
      </c>
      <c r="B3304" s="3">
        <v>87.0</v>
      </c>
      <c r="C3304" s="3">
        <v>805385.0</v>
      </c>
      <c r="D3304" s="3">
        <v>0.2091</v>
      </c>
      <c r="E3304" s="3">
        <v>0.805385</v>
      </c>
    </row>
    <row r="3305" ht="12.75" customHeight="1">
      <c r="A3305" s="3">
        <v>213.0</v>
      </c>
      <c r="B3305" s="3">
        <v>88.0</v>
      </c>
      <c r="C3305" s="3">
        <v>1024589.0</v>
      </c>
      <c r="D3305" s="3">
        <v>0.2291</v>
      </c>
      <c r="E3305" s="3">
        <v>1.024589</v>
      </c>
    </row>
    <row r="3306" ht="12.75" customHeight="1">
      <c r="A3306" s="3">
        <v>213.0</v>
      </c>
      <c r="B3306" s="3">
        <v>89.0</v>
      </c>
      <c r="C3306" s="3">
        <v>1263733.0</v>
      </c>
      <c r="D3306" s="3">
        <v>0.2489</v>
      </c>
      <c r="E3306" s="3">
        <v>1.263733</v>
      </c>
    </row>
    <row r="3307" ht="12.75" customHeight="1">
      <c r="A3307" s="3">
        <v>213.0</v>
      </c>
      <c r="B3307" s="3">
        <v>90.0</v>
      </c>
      <c r="C3307" s="3">
        <v>1521937.0</v>
      </c>
      <c r="D3307" s="3">
        <v>0.2676</v>
      </c>
      <c r="E3307" s="3">
        <v>1.521937</v>
      </c>
    </row>
    <row r="3308" ht="12.75" customHeight="1">
      <c r="A3308" s="3">
        <v>213.0</v>
      </c>
      <c r="B3308" s="3">
        <v>91.0</v>
      </c>
      <c r="C3308" s="3">
        <v>1798931.0</v>
      </c>
      <c r="D3308" s="3">
        <v>0.2866</v>
      </c>
      <c r="E3308" s="3">
        <v>1.798931</v>
      </c>
    </row>
    <row r="3309" ht="12.75" customHeight="1">
      <c r="A3309" s="3">
        <v>213.0</v>
      </c>
      <c r="B3309" s="3">
        <v>92.0</v>
      </c>
      <c r="C3309" s="3">
        <v>2094941.0</v>
      </c>
      <c r="D3309" s="3">
        <v>0.3054</v>
      </c>
      <c r="E3309" s="3">
        <v>2.094941</v>
      </c>
    </row>
    <row r="3310" ht="12.75" customHeight="1">
      <c r="A3310" s="3">
        <v>213.0</v>
      </c>
      <c r="B3310" s="3">
        <v>93.0</v>
      </c>
      <c r="C3310" s="3">
        <v>2409913.0</v>
      </c>
      <c r="D3310" s="3">
        <v>0.3249</v>
      </c>
      <c r="E3310" s="3">
        <v>2.409913</v>
      </c>
    </row>
    <row r="3311" ht="12.75" customHeight="1">
      <c r="A3311" s="3">
        <v>213.0</v>
      </c>
      <c r="B3311" s="3">
        <v>94.0</v>
      </c>
      <c r="C3311" s="3">
        <v>2743824.0</v>
      </c>
      <c r="D3311" s="3">
        <v>0.3418</v>
      </c>
      <c r="E3311" s="3">
        <v>2.743824</v>
      </c>
    </row>
    <row r="3312" ht="12.75" customHeight="1">
      <c r="A3312" s="3">
        <v>213.0</v>
      </c>
      <c r="B3312" s="3">
        <v>95.0</v>
      </c>
      <c r="C3312" s="3">
        <v>3092434.0</v>
      </c>
      <c r="D3312" s="3">
        <v>0.3543</v>
      </c>
      <c r="E3312" s="3">
        <v>3.092434</v>
      </c>
    </row>
    <row r="3313" ht="12.75" customHeight="1">
      <c r="A3313" s="3">
        <v>213.0</v>
      </c>
      <c r="B3313" s="3">
        <v>96.0</v>
      </c>
      <c r="C3313" s="3">
        <v>3450884.0</v>
      </c>
      <c r="D3313" s="3">
        <v>0.3619</v>
      </c>
      <c r="E3313" s="3">
        <v>3.450884</v>
      </c>
    </row>
    <row r="3314" ht="12.75" customHeight="1">
      <c r="A3314" s="3">
        <v>213.0</v>
      </c>
      <c r="B3314" s="3">
        <v>97.0</v>
      </c>
      <c r="C3314" s="3">
        <v>3816065.0</v>
      </c>
      <c r="D3314" s="3">
        <v>0.3685</v>
      </c>
      <c r="E3314" s="3">
        <v>3.816065</v>
      </c>
    </row>
    <row r="3315" ht="12.75" customHeight="1">
      <c r="A3315" s="3">
        <v>213.0</v>
      </c>
      <c r="B3315" s="3">
        <v>98.0</v>
      </c>
      <c r="C3315" s="3">
        <v>4186684.0</v>
      </c>
      <c r="D3315" s="3">
        <v>0.3726</v>
      </c>
      <c r="E3315" s="3">
        <v>4.186684</v>
      </c>
    </row>
    <row r="3316" ht="12.75" customHeight="1">
      <c r="A3316" s="3">
        <v>213.0</v>
      </c>
      <c r="B3316" s="3">
        <v>99.0</v>
      </c>
      <c r="C3316" s="3">
        <v>4561088.0</v>
      </c>
      <c r="D3316" s="3">
        <v>0.3762</v>
      </c>
      <c r="E3316" s="3">
        <v>4.561088</v>
      </c>
    </row>
    <row r="3317" ht="12.75" customHeight="1">
      <c r="A3317" s="3">
        <v>213.0</v>
      </c>
      <c r="B3317" s="3">
        <v>100.0</v>
      </c>
      <c r="C3317" s="3">
        <v>4939000.0</v>
      </c>
      <c r="D3317" s="3">
        <v>0.3796</v>
      </c>
      <c r="E3317" s="3">
        <v>4.939</v>
      </c>
    </row>
    <row r="3318" ht="12.75" customHeight="1">
      <c r="A3318" s="3">
        <v>213.0</v>
      </c>
      <c r="B3318" s="3">
        <v>100.21</v>
      </c>
      <c r="C3318" s="3">
        <v>5018810.0</v>
      </c>
      <c r="D3318" s="3">
        <v>0.3804</v>
      </c>
      <c r="E3318" s="3">
        <v>5.01881</v>
      </c>
    </row>
    <row r="3319" ht="12.75" customHeight="1">
      <c r="A3319" s="3">
        <v>213.0</v>
      </c>
      <c r="B3319" s="3">
        <v>101.0</v>
      </c>
      <c r="C3319" s="3">
        <v>5323118.0</v>
      </c>
      <c r="D3319" s="3">
        <v>0.39</v>
      </c>
      <c r="E3319" s="3">
        <v>5.323118</v>
      </c>
    </row>
    <row r="3320" ht="12.75" customHeight="1">
      <c r="A3320" s="3">
        <v>213.0</v>
      </c>
      <c r="B3320" s="3">
        <v>102.0</v>
      </c>
      <c r="C3320" s="3">
        <v>5717118.0</v>
      </c>
      <c r="D3320" s="3">
        <v>0.398</v>
      </c>
      <c r="E3320" s="3">
        <v>5.717118</v>
      </c>
    </row>
    <row r="3321" ht="12.75" customHeight="1">
      <c r="A3321" s="3">
        <v>213.0</v>
      </c>
      <c r="B3321" s="3">
        <v>103.0</v>
      </c>
      <c r="C3321" s="3">
        <v>6121118.0</v>
      </c>
      <c r="D3321" s="3">
        <v>0.41</v>
      </c>
      <c r="E3321" s="3">
        <v>6.121118</v>
      </c>
    </row>
    <row r="3322" ht="12.75" customHeight="1">
      <c r="A3322" s="3">
        <v>213.0</v>
      </c>
      <c r="B3322" s="3">
        <v>104.0</v>
      </c>
      <c r="C3322" s="3">
        <v>6539118.0</v>
      </c>
      <c r="D3322" s="3">
        <v>0.426</v>
      </c>
      <c r="E3322" s="3">
        <v>6.539118</v>
      </c>
    </row>
    <row r="3323" ht="12.75" customHeight="1">
      <c r="A3323" s="3">
        <v>215.0</v>
      </c>
      <c r="B3323" s="3">
        <v>49.0</v>
      </c>
      <c r="C3323" s="3">
        <v>0.0</v>
      </c>
      <c r="D3323" s="3">
        <v>0.0</v>
      </c>
      <c r="E3323" s="3">
        <v>0.0</v>
      </c>
    </row>
    <row r="3324" ht="12.75" customHeight="1">
      <c r="A3324" s="3">
        <v>215.0</v>
      </c>
      <c r="B3324" s="3">
        <v>50.0</v>
      </c>
      <c r="C3324" s="3">
        <v>214000.0</v>
      </c>
      <c r="D3324" s="3">
        <v>0.43</v>
      </c>
      <c r="E3324" s="3">
        <v>0.214</v>
      </c>
    </row>
    <row r="3325" ht="12.75" customHeight="1">
      <c r="A3325" s="3">
        <v>215.0</v>
      </c>
      <c r="B3325" s="3">
        <v>51.0</v>
      </c>
      <c r="C3325" s="3">
        <v>901000.0</v>
      </c>
      <c r="D3325" s="3">
        <v>0.95</v>
      </c>
      <c r="E3325" s="3">
        <v>0.901</v>
      </c>
    </row>
    <row r="3326" ht="12.75" customHeight="1">
      <c r="A3326" s="3">
        <v>215.0</v>
      </c>
      <c r="B3326" s="3">
        <v>52.0</v>
      </c>
      <c r="C3326" s="3">
        <v>2115000.0</v>
      </c>
      <c r="D3326" s="3">
        <v>1.48</v>
      </c>
      <c r="E3326" s="3">
        <v>2.115</v>
      </c>
    </row>
    <row r="3327" ht="12.75" customHeight="1">
      <c r="A3327" s="3">
        <v>215.0</v>
      </c>
      <c r="B3327" s="3">
        <v>53.0</v>
      </c>
      <c r="C3327" s="3">
        <v>3600000.0</v>
      </c>
      <c r="D3327" s="3">
        <v>2.08</v>
      </c>
      <c r="E3327" s="3">
        <v>3.6</v>
      </c>
    </row>
    <row r="3328" ht="12.75" customHeight="1">
      <c r="A3328" s="3">
        <v>215.0</v>
      </c>
      <c r="B3328" s="3">
        <v>54.0</v>
      </c>
      <c r="C3328" s="3">
        <v>6304000.0</v>
      </c>
      <c r="D3328" s="3">
        <v>2.73</v>
      </c>
      <c r="E3328" s="3">
        <v>6.304</v>
      </c>
    </row>
    <row r="3329" ht="12.75" customHeight="1">
      <c r="A3329" s="3">
        <v>215.0</v>
      </c>
      <c r="B3329" s="3">
        <v>55.0</v>
      </c>
      <c r="C3329" s="3">
        <v>9393000.0</v>
      </c>
      <c r="D3329" s="3">
        <v>3.45</v>
      </c>
      <c r="E3329" s="3">
        <v>9.393</v>
      </c>
    </row>
    <row r="3330" ht="12.75" customHeight="1">
      <c r="A3330" s="3">
        <v>215.0</v>
      </c>
      <c r="B3330" s="3">
        <v>56.0</v>
      </c>
      <c r="C3330" s="3">
        <v>1.3262E7</v>
      </c>
      <c r="D3330" s="3">
        <v>4.29</v>
      </c>
      <c r="E3330" s="3">
        <v>13.262</v>
      </c>
    </row>
    <row r="3331" ht="12.75" customHeight="1">
      <c r="A3331" s="3">
        <v>215.0</v>
      </c>
      <c r="B3331" s="3">
        <v>57.0</v>
      </c>
      <c r="C3331" s="3">
        <v>1.804E7</v>
      </c>
      <c r="D3331" s="3">
        <v>5.27</v>
      </c>
      <c r="E3331" s="3">
        <v>18.04</v>
      </c>
    </row>
    <row r="3332" ht="12.75" customHeight="1">
      <c r="A3332" s="3">
        <v>215.0</v>
      </c>
      <c r="B3332" s="3">
        <v>58.0</v>
      </c>
      <c r="C3332" s="3">
        <v>2.407E7</v>
      </c>
      <c r="D3332" s="3">
        <v>6.79</v>
      </c>
      <c r="E3332" s="3">
        <v>24.07</v>
      </c>
    </row>
    <row r="3333" ht="12.75" customHeight="1">
      <c r="A3333" s="3">
        <v>215.0</v>
      </c>
      <c r="B3333" s="3">
        <v>59.0</v>
      </c>
      <c r="C3333" s="3">
        <v>3.134E7</v>
      </c>
      <c r="D3333" s="3">
        <v>7.75</v>
      </c>
      <c r="E3333" s="3">
        <v>31.34</v>
      </c>
    </row>
    <row r="3334" ht="12.75" customHeight="1">
      <c r="A3334" s="3">
        <v>216.0</v>
      </c>
      <c r="B3334" s="3">
        <v>251.0</v>
      </c>
      <c r="C3334" s="3">
        <v>0.0</v>
      </c>
      <c r="D3334" s="3">
        <v>0.0</v>
      </c>
      <c r="E3334" s="3">
        <v>0.0</v>
      </c>
    </row>
    <row r="3335" ht="12.75" customHeight="1">
      <c r="A3335" s="3">
        <v>216.0</v>
      </c>
      <c r="B3335" s="3">
        <v>252.0</v>
      </c>
      <c r="C3335" s="3">
        <v>620.0</v>
      </c>
      <c r="D3335" s="3">
        <v>0.0012</v>
      </c>
      <c r="E3335" s="3">
        <v>6.2E-4</v>
      </c>
    </row>
    <row r="3336" ht="12.75" customHeight="1">
      <c r="A3336" s="3">
        <v>216.0</v>
      </c>
      <c r="B3336" s="3">
        <v>253.0</v>
      </c>
      <c r="C3336" s="3">
        <v>3900.0</v>
      </c>
      <c r="D3336" s="3">
        <v>0.005</v>
      </c>
      <c r="E3336" s="3">
        <v>0.0039</v>
      </c>
    </row>
    <row r="3337" ht="12.75" customHeight="1">
      <c r="A3337" s="3">
        <v>216.0</v>
      </c>
      <c r="B3337" s="3">
        <v>254.0</v>
      </c>
      <c r="C3337" s="3">
        <v>12000.0</v>
      </c>
      <c r="D3337" s="3">
        <v>0.01</v>
      </c>
      <c r="E3337" s="3">
        <v>0.012</v>
      </c>
    </row>
    <row r="3338" ht="12.75" customHeight="1">
      <c r="A3338" s="3">
        <v>216.0</v>
      </c>
      <c r="B3338" s="3">
        <v>255.0</v>
      </c>
      <c r="C3338" s="3">
        <v>32000.0</v>
      </c>
      <c r="D3338" s="3">
        <v>0.03</v>
      </c>
      <c r="E3338" s="3">
        <v>0.032</v>
      </c>
    </row>
    <row r="3339" ht="12.75" customHeight="1">
      <c r="A3339" s="3">
        <v>216.0</v>
      </c>
      <c r="B3339" s="3">
        <v>256.0</v>
      </c>
      <c r="C3339" s="3">
        <v>94000.0</v>
      </c>
      <c r="D3339" s="3">
        <v>0.1</v>
      </c>
      <c r="E3339" s="3">
        <v>0.094</v>
      </c>
    </row>
    <row r="3340" ht="12.75" customHeight="1">
      <c r="A3340" s="3">
        <v>216.0</v>
      </c>
      <c r="B3340" s="3">
        <v>257.0</v>
      </c>
      <c r="C3340" s="3">
        <v>232000.0</v>
      </c>
      <c r="D3340" s="3">
        <v>0.18</v>
      </c>
      <c r="E3340" s="3">
        <v>0.232</v>
      </c>
    </row>
    <row r="3341" ht="12.75" customHeight="1">
      <c r="A3341" s="3">
        <v>216.0</v>
      </c>
      <c r="B3341" s="3">
        <v>258.0</v>
      </c>
      <c r="C3341" s="3">
        <v>448000.0</v>
      </c>
      <c r="D3341" s="3">
        <v>0.25</v>
      </c>
      <c r="E3341" s="3">
        <v>0.448</v>
      </c>
    </row>
    <row r="3342" ht="12.75" customHeight="1">
      <c r="A3342" s="3">
        <v>216.0</v>
      </c>
      <c r="B3342" s="3">
        <v>259.0</v>
      </c>
      <c r="C3342" s="3">
        <v>744000.0</v>
      </c>
      <c r="D3342" s="3">
        <v>0.34</v>
      </c>
      <c r="E3342" s="3">
        <v>0.744</v>
      </c>
    </row>
    <row r="3343" ht="12.75" customHeight="1">
      <c r="A3343" s="3">
        <v>216.0</v>
      </c>
      <c r="B3343" s="3">
        <v>260.0</v>
      </c>
      <c r="C3343" s="3">
        <v>1126000.0</v>
      </c>
      <c r="D3343" s="3">
        <v>0.43</v>
      </c>
      <c r="E3343" s="3">
        <v>1.126</v>
      </c>
    </row>
    <row r="3344" ht="12.75" customHeight="1">
      <c r="A3344" s="3">
        <v>216.0</v>
      </c>
      <c r="B3344" s="3">
        <v>261.0</v>
      </c>
      <c r="C3344" s="3">
        <v>1624000.0</v>
      </c>
      <c r="D3344" s="3">
        <v>0.57</v>
      </c>
      <c r="E3344" s="3">
        <v>1.624</v>
      </c>
    </row>
    <row r="3345" ht="12.75" customHeight="1">
      <c r="A3345" s="3">
        <v>216.0</v>
      </c>
      <c r="B3345" s="3">
        <v>262.0</v>
      </c>
      <c r="C3345" s="3">
        <v>2245000.0</v>
      </c>
      <c r="D3345" s="3">
        <v>0.67</v>
      </c>
      <c r="E3345" s="3">
        <v>2.245</v>
      </c>
    </row>
    <row r="3346" ht="12.75" customHeight="1">
      <c r="A3346" s="3">
        <v>216.0</v>
      </c>
      <c r="B3346" s="3">
        <v>263.0</v>
      </c>
      <c r="C3346" s="3">
        <v>2994000.0</v>
      </c>
      <c r="D3346" s="3">
        <v>0.83</v>
      </c>
      <c r="E3346" s="3">
        <v>2.994</v>
      </c>
    </row>
    <row r="3347" ht="12.75" customHeight="1">
      <c r="A3347" s="3">
        <v>216.0</v>
      </c>
      <c r="B3347" s="3">
        <v>264.0</v>
      </c>
      <c r="C3347" s="3">
        <v>3899000.0</v>
      </c>
      <c r="D3347" s="3">
        <v>0.98</v>
      </c>
      <c r="E3347" s="3">
        <v>3.899</v>
      </c>
    </row>
    <row r="3348" ht="12.75" customHeight="1">
      <c r="A3348" s="3">
        <v>216.0</v>
      </c>
      <c r="B3348" s="3">
        <v>265.0</v>
      </c>
      <c r="C3348" s="3">
        <v>4970000.0</v>
      </c>
      <c r="D3348" s="3">
        <v>1.17</v>
      </c>
      <c r="E3348" s="3">
        <v>4.97</v>
      </c>
    </row>
    <row r="3349" ht="12.75" customHeight="1">
      <c r="A3349" s="3">
        <v>216.0</v>
      </c>
      <c r="B3349" s="3">
        <v>266.0</v>
      </c>
      <c r="C3349" s="3">
        <v>6240000.0</v>
      </c>
      <c r="D3349" s="3">
        <v>1.37</v>
      </c>
      <c r="E3349" s="3">
        <v>6.24</v>
      </c>
    </row>
    <row r="3350" ht="12.75" customHeight="1">
      <c r="A3350" s="3">
        <v>216.0</v>
      </c>
      <c r="B3350" s="3">
        <v>267.0</v>
      </c>
      <c r="C3350" s="3">
        <v>7704000.0</v>
      </c>
      <c r="D3350" s="3">
        <v>1.55</v>
      </c>
      <c r="E3350" s="3">
        <v>7.704</v>
      </c>
    </row>
    <row r="3351" ht="12.75" customHeight="1">
      <c r="A3351" s="3">
        <v>216.0</v>
      </c>
      <c r="B3351" s="3">
        <v>268.0</v>
      </c>
      <c r="C3351" s="3">
        <v>9378000.0</v>
      </c>
      <c r="D3351" s="3">
        <v>1.8</v>
      </c>
      <c r="E3351" s="3">
        <v>9.378</v>
      </c>
    </row>
    <row r="3352" ht="12.75" customHeight="1">
      <c r="A3352" s="3">
        <v>216.0</v>
      </c>
      <c r="B3352" s="3">
        <v>269.0</v>
      </c>
      <c r="C3352" s="3">
        <v>1.127E7</v>
      </c>
      <c r="D3352" s="3">
        <v>1.99</v>
      </c>
      <c r="E3352" s="3">
        <v>11.27</v>
      </c>
    </row>
    <row r="3353" ht="12.75" customHeight="1">
      <c r="A3353" s="3">
        <v>216.0</v>
      </c>
      <c r="B3353" s="3">
        <v>270.0</v>
      </c>
      <c r="C3353" s="3">
        <v>1.351E7</v>
      </c>
      <c r="D3353" s="3">
        <v>2.17</v>
      </c>
      <c r="E3353" s="3">
        <v>13.51</v>
      </c>
    </row>
    <row r="3354" ht="12.75" customHeight="1">
      <c r="A3354" s="3">
        <v>216.0</v>
      </c>
      <c r="B3354" s="3">
        <v>271.0</v>
      </c>
      <c r="C3354" s="3">
        <v>1.5605E7</v>
      </c>
      <c r="D3354" s="3">
        <v>2.34</v>
      </c>
      <c r="E3354" s="3">
        <v>15.605</v>
      </c>
    </row>
    <row r="3355" ht="12.75" customHeight="1">
      <c r="A3355" s="3">
        <v>216.0</v>
      </c>
      <c r="B3355" s="3">
        <v>272.0</v>
      </c>
      <c r="C3355" s="3">
        <v>1.8015E7</v>
      </c>
      <c r="D3355" s="3">
        <v>2.48</v>
      </c>
      <c r="E3355" s="3">
        <v>18.015</v>
      </c>
    </row>
    <row r="3356" ht="12.75" customHeight="1">
      <c r="A3356" s="3">
        <v>216.0</v>
      </c>
      <c r="B3356" s="3">
        <v>273.0</v>
      </c>
      <c r="C3356" s="3">
        <v>2.058E7</v>
      </c>
      <c r="D3356" s="3">
        <v>2.65</v>
      </c>
      <c r="E3356" s="3">
        <v>20.58</v>
      </c>
    </row>
    <row r="3357" ht="12.75" customHeight="1">
      <c r="A3357" s="3">
        <v>216.0</v>
      </c>
      <c r="B3357" s="3">
        <v>274.0</v>
      </c>
      <c r="C3357" s="3">
        <v>2.33E7</v>
      </c>
      <c r="D3357" s="3">
        <v>2.82</v>
      </c>
      <c r="E3357" s="3">
        <v>23.3</v>
      </c>
    </row>
    <row r="3358" ht="12.75" customHeight="1">
      <c r="A3358" s="3">
        <v>216.0</v>
      </c>
      <c r="B3358" s="3">
        <v>275.0</v>
      </c>
      <c r="C3358" s="3">
        <v>2.62E7</v>
      </c>
      <c r="D3358" s="3">
        <v>2.98</v>
      </c>
      <c r="E3358" s="3">
        <v>26.2</v>
      </c>
    </row>
    <row r="3359" ht="12.75" customHeight="1">
      <c r="A3359" s="3">
        <v>216.0</v>
      </c>
      <c r="B3359" s="3">
        <v>276.0</v>
      </c>
      <c r="C3359" s="3">
        <v>2.94E7</v>
      </c>
      <c r="D3359" s="3">
        <v>3.4</v>
      </c>
      <c r="E3359" s="3">
        <v>29.4</v>
      </c>
    </row>
    <row r="3360" ht="12.75" customHeight="1">
      <c r="A3360" s="3">
        <v>217.0</v>
      </c>
      <c r="B3360" s="3">
        <v>90.86</v>
      </c>
      <c r="C3360" s="3">
        <v>0.0</v>
      </c>
      <c r="D3360" s="3">
        <v>0.0</v>
      </c>
      <c r="E3360" s="3">
        <v>0.0</v>
      </c>
    </row>
    <row r="3361" ht="12.75" customHeight="1">
      <c r="A3361" s="3">
        <v>217.0</v>
      </c>
      <c r="B3361" s="3">
        <v>91.0</v>
      </c>
      <c r="C3361" s="3">
        <v>0.0</v>
      </c>
      <c r="D3361" s="3">
        <v>3.0E-4</v>
      </c>
      <c r="E3361" s="3">
        <v>0.0</v>
      </c>
    </row>
    <row r="3362" ht="12.75" customHeight="1">
      <c r="A3362" s="3">
        <v>217.0</v>
      </c>
      <c r="B3362" s="3">
        <v>92.0</v>
      </c>
      <c r="C3362" s="3">
        <v>70.0</v>
      </c>
      <c r="D3362" s="3">
        <v>1.0E-4</v>
      </c>
      <c r="E3362" s="3">
        <v>7.0E-5</v>
      </c>
    </row>
    <row r="3363" ht="12.75" customHeight="1">
      <c r="A3363" s="3">
        <v>217.0</v>
      </c>
      <c r="B3363" s="3">
        <v>93.0</v>
      </c>
      <c r="C3363" s="3">
        <v>500.0</v>
      </c>
      <c r="D3363" s="3">
        <v>0.001</v>
      </c>
      <c r="E3363" s="3">
        <v>5.0E-4</v>
      </c>
    </row>
    <row r="3364" ht="12.75" customHeight="1">
      <c r="A3364" s="3">
        <v>217.0</v>
      </c>
      <c r="B3364" s="3">
        <v>94.0</v>
      </c>
      <c r="C3364" s="3">
        <v>3200.0</v>
      </c>
      <c r="D3364" s="3">
        <v>0.005</v>
      </c>
      <c r="E3364" s="3">
        <v>0.0032</v>
      </c>
    </row>
    <row r="3365" ht="12.75" customHeight="1">
      <c r="A3365" s="3">
        <v>217.0</v>
      </c>
      <c r="B3365" s="3">
        <v>95.0</v>
      </c>
      <c r="C3365" s="3">
        <v>18000.0</v>
      </c>
      <c r="D3365" s="3">
        <v>0.027</v>
      </c>
      <c r="E3365" s="3">
        <v>0.018</v>
      </c>
    </row>
    <row r="3366" ht="12.75" customHeight="1">
      <c r="A3366" s="3">
        <v>217.0</v>
      </c>
      <c r="B3366" s="3">
        <v>96.0</v>
      </c>
      <c r="C3366" s="3">
        <v>68000.0</v>
      </c>
      <c r="D3366" s="3">
        <v>0.078</v>
      </c>
      <c r="E3366" s="3">
        <v>0.068</v>
      </c>
    </row>
    <row r="3367" ht="12.75" customHeight="1">
      <c r="A3367" s="3">
        <v>217.0</v>
      </c>
      <c r="B3367" s="3">
        <v>97.0</v>
      </c>
      <c r="C3367" s="3">
        <v>198000.0</v>
      </c>
      <c r="D3367" s="3">
        <v>0.192</v>
      </c>
      <c r="E3367" s="3">
        <v>0.198</v>
      </c>
    </row>
    <row r="3368" ht="12.75" customHeight="1">
      <c r="A3368" s="3">
        <v>217.0</v>
      </c>
      <c r="B3368" s="3">
        <v>98.0</v>
      </c>
      <c r="C3368" s="3">
        <v>453000.0</v>
      </c>
      <c r="D3368" s="3">
        <v>0.298</v>
      </c>
      <c r="E3368" s="3">
        <v>0.453</v>
      </c>
    </row>
    <row r="3369" ht="12.75" customHeight="1">
      <c r="A3369" s="3">
        <v>217.0</v>
      </c>
      <c r="B3369" s="3">
        <v>99.0</v>
      </c>
      <c r="C3369" s="3">
        <v>774000.0</v>
      </c>
      <c r="D3369" s="3">
        <v>0.339</v>
      </c>
      <c r="E3369" s="3">
        <v>0.774</v>
      </c>
    </row>
    <row r="3370" ht="12.75" customHeight="1">
      <c r="A3370" s="3">
        <v>217.0</v>
      </c>
      <c r="B3370" s="3">
        <v>100.0</v>
      </c>
      <c r="C3370" s="3">
        <v>1130000.0</v>
      </c>
      <c r="D3370" s="3">
        <v>0.423</v>
      </c>
      <c r="E3370" s="3">
        <v>1.13</v>
      </c>
    </row>
    <row r="3371" ht="12.75" customHeight="1">
      <c r="A3371" s="3">
        <v>217.0</v>
      </c>
      <c r="B3371" s="3">
        <v>101.0</v>
      </c>
      <c r="C3371" s="3">
        <v>1620000.0</v>
      </c>
      <c r="D3371" s="3">
        <v>0.563</v>
      </c>
      <c r="E3371" s="3">
        <v>1.62</v>
      </c>
    </row>
    <row r="3372" ht="12.75" customHeight="1">
      <c r="A3372" s="3">
        <v>217.0</v>
      </c>
      <c r="B3372" s="3">
        <v>102.0</v>
      </c>
      <c r="C3372" s="3">
        <v>2281500.0</v>
      </c>
      <c r="D3372" s="3">
        <v>0.76</v>
      </c>
      <c r="E3372" s="3">
        <v>2.2815</v>
      </c>
    </row>
    <row r="3373" ht="12.75" customHeight="1">
      <c r="A3373" s="3">
        <v>219.0</v>
      </c>
      <c r="B3373" s="3">
        <v>0.23</v>
      </c>
      <c r="C3373" s="3">
        <v>0.0</v>
      </c>
      <c r="D3373" s="3">
        <v>0.0</v>
      </c>
      <c r="E3373" s="3">
        <v>0.0</v>
      </c>
    </row>
    <row r="3374" ht="12.75" customHeight="1">
      <c r="A3374" s="3">
        <v>219.0</v>
      </c>
      <c r="B3374" s="3">
        <v>1.0</v>
      </c>
      <c r="C3374" s="3">
        <v>2282.0</v>
      </c>
      <c r="D3374" s="3">
        <v>0.0113</v>
      </c>
      <c r="E3374" s="3">
        <v>0.002282</v>
      </c>
    </row>
    <row r="3375" ht="12.75" customHeight="1">
      <c r="A3375" s="3">
        <v>219.0</v>
      </c>
      <c r="B3375" s="3">
        <v>2.0</v>
      </c>
      <c r="C3375" s="3">
        <v>271646.0</v>
      </c>
      <c r="D3375" s="3">
        <v>1.2224</v>
      </c>
      <c r="E3375" s="3">
        <v>0.271646</v>
      </c>
    </row>
    <row r="3376" ht="12.75" customHeight="1">
      <c r="A3376" s="3">
        <v>219.0</v>
      </c>
      <c r="B3376" s="3">
        <v>3.0</v>
      </c>
      <c r="C3376" s="3">
        <v>2771521.98</v>
      </c>
      <c r="D3376" s="3">
        <v>3.5947</v>
      </c>
      <c r="E3376" s="3">
        <v>2.77152198</v>
      </c>
    </row>
    <row r="3377" ht="12.75" customHeight="1">
      <c r="A3377" s="3">
        <v>219.0</v>
      </c>
      <c r="B3377" s="3">
        <v>4.0</v>
      </c>
      <c r="C3377" s="3">
        <v>7007479.0</v>
      </c>
      <c r="D3377" s="3">
        <v>4.7808</v>
      </c>
      <c r="E3377" s="3">
        <v>7.007479</v>
      </c>
    </row>
    <row r="3378" ht="12.75" customHeight="1">
      <c r="A3378" s="3">
        <v>219.0</v>
      </c>
      <c r="B3378" s="3">
        <v>5.0</v>
      </c>
      <c r="C3378" s="3">
        <v>1.2035337E7</v>
      </c>
      <c r="D3378" s="3">
        <v>5.1383</v>
      </c>
      <c r="E3378" s="3">
        <v>12.035337</v>
      </c>
    </row>
    <row r="3379" ht="12.75" customHeight="1">
      <c r="A3379" s="3">
        <v>219.0</v>
      </c>
      <c r="B3379" s="3">
        <v>6.0</v>
      </c>
      <c r="C3379" s="3">
        <v>1.7239775E7</v>
      </c>
      <c r="D3379" s="3">
        <v>5.2664</v>
      </c>
      <c r="E3379" s="3">
        <v>17.239775</v>
      </c>
    </row>
    <row r="3380" ht="12.75" customHeight="1">
      <c r="A3380" s="3">
        <v>219.0</v>
      </c>
      <c r="B3380" s="3">
        <v>6.26</v>
      </c>
      <c r="C3380" s="3">
        <v>1.861291E7</v>
      </c>
      <c r="D3380" s="3">
        <v>5.2959</v>
      </c>
      <c r="E3380" s="3">
        <v>18.61291</v>
      </c>
    </row>
    <row r="3381" ht="12.75" customHeight="1">
      <c r="A3381" s="3">
        <v>219.0</v>
      </c>
      <c r="B3381" s="3">
        <v>6.4</v>
      </c>
      <c r="C3381" s="3">
        <v>1.9674256E7</v>
      </c>
      <c r="D3381" s="3">
        <v>5.3174</v>
      </c>
      <c r="E3381" s="3">
        <v>19.674256</v>
      </c>
    </row>
    <row r="3382" ht="12.75" customHeight="1">
      <c r="A3382" s="3">
        <v>219.0</v>
      </c>
      <c r="B3382" s="3">
        <v>6.71</v>
      </c>
      <c r="C3382" s="3">
        <v>2.1006848E7</v>
      </c>
      <c r="D3382" s="3">
        <v>5.3355</v>
      </c>
      <c r="E3382" s="3">
        <v>21.006848</v>
      </c>
    </row>
    <row r="3383" ht="12.75" customHeight="1">
      <c r="A3383" s="3">
        <v>219.0</v>
      </c>
      <c r="B3383" s="3">
        <v>7.0</v>
      </c>
      <c r="C3383" s="3">
        <v>2.2556594E7</v>
      </c>
      <c r="D3383" s="3">
        <v>5.3524</v>
      </c>
      <c r="E3383" s="3">
        <v>22.556594</v>
      </c>
    </row>
    <row r="3384" ht="12.75" customHeight="1">
      <c r="A3384" s="3">
        <v>219.0</v>
      </c>
      <c r="B3384" s="3">
        <v>7.5</v>
      </c>
      <c r="C3384" s="3">
        <v>2.5240082E7</v>
      </c>
      <c r="D3384" s="3">
        <v>5.3816</v>
      </c>
      <c r="E3384" s="3">
        <v>25.240082</v>
      </c>
    </row>
    <row r="3385" ht="12.75" customHeight="1">
      <c r="A3385" s="3">
        <v>219.0</v>
      </c>
      <c r="B3385" s="3">
        <v>8.0</v>
      </c>
      <c r="C3385" s="3">
        <v>2.7938144E7</v>
      </c>
      <c r="D3385" s="3">
        <v>5.4107</v>
      </c>
      <c r="E3385" s="3">
        <v>27.938144</v>
      </c>
    </row>
    <row r="3386" ht="12.75" customHeight="1">
      <c r="A3386" s="3">
        <v>220.0</v>
      </c>
      <c r="B3386" s="3">
        <v>7.94</v>
      </c>
      <c r="C3386" s="3">
        <v>0.0</v>
      </c>
      <c r="D3386" s="3">
        <v>0.0</v>
      </c>
      <c r="E3386" s="3">
        <v>0.0</v>
      </c>
    </row>
    <row r="3387" ht="12.75" customHeight="1">
      <c r="A3387" s="3">
        <v>220.0</v>
      </c>
      <c r="B3387" s="3">
        <v>8.0</v>
      </c>
      <c r="C3387" s="3">
        <v>0.07</v>
      </c>
      <c r="D3387" s="3">
        <v>0.0</v>
      </c>
      <c r="E3387" s="3">
        <v>7.0E-8</v>
      </c>
    </row>
    <row r="3388" ht="12.75" customHeight="1">
      <c r="A3388" s="3">
        <v>220.0</v>
      </c>
      <c r="B3388" s="3">
        <v>9.0</v>
      </c>
      <c r="C3388" s="3">
        <v>1352.0</v>
      </c>
      <c r="D3388" s="3">
        <v>0.00858</v>
      </c>
      <c r="E3388" s="3">
        <v>0.001352</v>
      </c>
    </row>
    <row r="3389" ht="12.75" customHeight="1">
      <c r="A3389" s="3">
        <v>220.0</v>
      </c>
      <c r="B3389" s="3">
        <v>10.0</v>
      </c>
      <c r="C3389" s="3">
        <v>41697.0</v>
      </c>
      <c r="D3389" s="3">
        <v>0.08498</v>
      </c>
      <c r="E3389" s="3">
        <v>0.041697</v>
      </c>
    </row>
    <row r="3390" ht="12.75" customHeight="1">
      <c r="A3390" s="3">
        <v>220.0</v>
      </c>
      <c r="B3390" s="3">
        <v>11.0</v>
      </c>
      <c r="C3390" s="3">
        <v>231351.0</v>
      </c>
      <c r="D3390" s="3">
        <v>0.34763</v>
      </c>
      <c r="E3390" s="3">
        <v>0.231351</v>
      </c>
    </row>
    <row r="3391" ht="12.75" customHeight="1">
      <c r="A3391" s="3">
        <v>220.0</v>
      </c>
      <c r="B3391" s="3">
        <v>12.0</v>
      </c>
      <c r="C3391" s="3">
        <v>820488.0</v>
      </c>
      <c r="D3391" s="3">
        <v>0.86574</v>
      </c>
      <c r="E3391" s="3">
        <v>0.820488</v>
      </c>
    </row>
    <row r="3392" ht="12.75" customHeight="1">
      <c r="A3392" s="3">
        <v>220.0</v>
      </c>
      <c r="B3392" s="3">
        <v>13.0</v>
      </c>
      <c r="C3392" s="3">
        <v>1954161.0</v>
      </c>
      <c r="D3392" s="3">
        <v>1.42637</v>
      </c>
      <c r="E3392" s="3">
        <v>1.954161</v>
      </c>
    </row>
    <row r="3393" ht="12.75" customHeight="1">
      <c r="A3393" s="3">
        <v>220.0</v>
      </c>
      <c r="B3393" s="3">
        <v>14.0</v>
      </c>
      <c r="C3393" s="3">
        <v>3536419.0</v>
      </c>
      <c r="D3393" s="3">
        <v>1.67086</v>
      </c>
      <c r="E3393" s="3">
        <v>3.536419</v>
      </c>
    </row>
    <row r="3394" ht="12.75" customHeight="1">
      <c r="A3394" s="3">
        <v>220.0</v>
      </c>
      <c r="B3394" s="3">
        <v>14.9</v>
      </c>
      <c r="C3394" s="3">
        <v>5095672.0</v>
      </c>
      <c r="D3394" s="3">
        <v>1.79517</v>
      </c>
      <c r="E3394" s="3">
        <v>5.095672</v>
      </c>
    </row>
    <row r="3395" ht="12.75" customHeight="1">
      <c r="A3395" s="3">
        <v>220.0</v>
      </c>
      <c r="B3395" s="3">
        <v>15.0</v>
      </c>
      <c r="C3395" s="3">
        <v>5125590.0</v>
      </c>
      <c r="D3395" s="3">
        <v>1.86187</v>
      </c>
      <c r="E3395" s="3">
        <v>5.12559</v>
      </c>
    </row>
    <row r="3396" ht="12.75" customHeight="1">
      <c r="A3396" s="3">
        <v>220.0</v>
      </c>
      <c r="B3396" s="3">
        <v>16.0</v>
      </c>
      <c r="C3396" s="3">
        <v>5671391.0</v>
      </c>
      <c r="D3396" s="3">
        <v>2.17004</v>
      </c>
      <c r="E3396" s="3">
        <v>5.671391</v>
      </c>
    </row>
    <row r="3397" ht="12.75" customHeight="1">
      <c r="A3397" s="3">
        <v>220.0</v>
      </c>
      <c r="B3397" s="3">
        <v>17.0</v>
      </c>
      <c r="C3397" s="3">
        <v>6217995.0</v>
      </c>
      <c r="D3397" s="3">
        <v>2.47822</v>
      </c>
      <c r="E3397" s="3">
        <v>6.217995</v>
      </c>
    </row>
    <row r="3398" ht="12.75" customHeight="1">
      <c r="A3398" s="3">
        <v>220.0</v>
      </c>
      <c r="B3398" s="3">
        <v>18.0</v>
      </c>
      <c r="C3398" s="3">
        <v>6764194.0</v>
      </c>
      <c r="D3398" s="3">
        <v>2.78639</v>
      </c>
      <c r="E3398" s="3">
        <v>6.764194</v>
      </c>
    </row>
    <row r="3399" ht="12.75" customHeight="1">
      <c r="A3399" s="3">
        <v>223.0</v>
      </c>
      <c r="B3399" s="3">
        <v>32.83</v>
      </c>
      <c r="C3399" s="3">
        <v>0.0</v>
      </c>
      <c r="D3399" s="3">
        <v>0.0</v>
      </c>
      <c r="E3399" s="3">
        <v>0.0</v>
      </c>
    </row>
    <row r="3400" ht="12.75" customHeight="1">
      <c r="A3400" s="3">
        <v>223.0</v>
      </c>
      <c r="B3400" s="3">
        <v>33.0</v>
      </c>
      <c r="C3400" s="3">
        <v>6.0</v>
      </c>
      <c r="D3400" s="3">
        <v>1.0E-4</v>
      </c>
      <c r="E3400" s="3">
        <v>6.0E-6</v>
      </c>
    </row>
    <row r="3401" ht="12.75" customHeight="1">
      <c r="A3401" s="3">
        <v>223.0</v>
      </c>
      <c r="B3401" s="3">
        <v>34.0</v>
      </c>
      <c r="C3401" s="3">
        <v>13000.0</v>
      </c>
      <c r="D3401" s="3">
        <v>0.054</v>
      </c>
      <c r="E3401" s="3">
        <v>0.013</v>
      </c>
    </row>
    <row r="3402" ht="12.75" customHeight="1">
      <c r="A3402" s="3">
        <v>223.0</v>
      </c>
      <c r="B3402" s="3">
        <v>35.0</v>
      </c>
      <c r="C3402" s="3">
        <v>153000.0</v>
      </c>
      <c r="D3402" s="3">
        <v>0.246</v>
      </c>
      <c r="E3402" s="3">
        <v>0.153</v>
      </c>
    </row>
    <row r="3403" ht="12.75" customHeight="1">
      <c r="A3403" s="3">
        <v>223.0</v>
      </c>
      <c r="B3403" s="3">
        <v>36.0</v>
      </c>
      <c r="C3403" s="3">
        <v>520000.0</v>
      </c>
      <c r="D3403" s="3">
        <v>0.503</v>
      </c>
      <c r="E3403" s="3">
        <v>0.52</v>
      </c>
    </row>
    <row r="3404" ht="12.75" customHeight="1">
      <c r="A3404" s="3">
        <v>223.0</v>
      </c>
      <c r="B3404" s="3">
        <v>37.0</v>
      </c>
      <c r="C3404" s="3">
        <v>1162000.0</v>
      </c>
      <c r="D3404" s="3">
        <v>0.795</v>
      </c>
      <c r="E3404" s="3">
        <v>1.162</v>
      </c>
    </row>
    <row r="3405" ht="12.75" customHeight="1">
      <c r="A3405" s="3">
        <v>223.0</v>
      </c>
      <c r="B3405" s="3">
        <v>38.0</v>
      </c>
      <c r="C3405" s="3">
        <v>2066000.0</v>
      </c>
      <c r="D3405" s="3">
        <v>0.976</v>
      </c>
      <c r="E3405" s="3">
        <v>2.066</v>
      </c>
    </row>
    <row r="3406" ht="12.75" customHeight="1">
      <c r="A3406" s="3">
        <v>223.0</v>
      </c>
      <c r="B3406" s="3">
        <v>39.0</v>
      </c>
      <c r="C3406" s="3">
        <v>3064000.0</v>
      </c>
      <c r="D3406" s="3">
        <v>1.021</v>
      </c>
      <c r="E3406" s="3">
        <v>3.064</v>
      </c>
    </row>
    <row r="3407" ht="12.75" customHeight="1">
      <c r="A3407" s="3">
        <v>223.0</v>
      </c>
      <c r="B3407" s="3">
        <v>39.13</v>
      </c>
      <c r="C3407" s="3">
        <v>3198000.0</v>
      </c>
      <c r="D3407" s="3">
        <v>1.027</v>
      </c>
      <c r="E3407" s="3">
        <v>3.198</v>
      </c>
    </row>
    <row r="3408" ht="12.75" customHeight="1">
      <c r="A3408" s="3">
        <v>223.0</v>
      </c>
      <c r="B3408" s="3">
        <v>40.0</v>
      </c>
      <c r="C3408" s="3">
        <v>5051000.0</v>
      </c>
      <c r="D3408" s="3">
        <v>1.462</v>
      </c>
      <c r="E3408" s="3">
        <v>5.051</v>
      </c>
    </row>
    <row r="3409" ht="12.75" customHeight="1">
      <c r="A3409" s="3">
        <v>223.0</v>
      </c>
      <c r="B3409" s="3">
        <v>41.0</v>
      </c>
      <c r="C3409" s="3">
        <v>7691000.0</v>
      </c>
      <c r="D3409" s="3">
        <v>1.982</v>
      </c>
      <c r="E3409" s="3">
        <v>7.691</v>
      </c>
    </row>
    <row r="3410" ht="12.75" customHeight="1">
      <c r="A3410" s="3">
        <v>223.0</v>
      </c>
      <c r="B3410" s="3">
        <v>42.0</v>
      </c>
      <c r="C3410" s="3">
        <v>1.0961E7</v>
      </c>
      <c r="D3410" s="3">
        <v>2.732</v>
      </c>
      <c r="E3410" s="3">
        <v>10.961</v>
      </c>
    </row>
    <row r="3411" ht="12.75" customHeight="1">
      <c r="A3411" s="3">
        <v>223.0</v>
      </c>
      <c r="B3411" s="3">
        <v>43.0</v>
      </c>
      <c r="C3411" s="3">
        <v>1.4921E7</v>
      </c>
      <c r="D3411" s="3">
        <v>3.352</v>
      </c>
      <c r="E3411" s="3">
        <v>14.921</v>
      </c>
    </row>
    <row r="3412" ht="12.75" customHeight="1">
      <c r="A3412" s="3">
        <v>223.0</v>
      </c>
      <c r="B3412" s="3">
        <v>44.0</v>
      </c>
      <c r="C3412" s="3">
        <v>1.95701E7</v>
      </c>
      <c r="D3412" s="3">
        <v>4.102</v>
      </c>
      <c r="E3412" s="3">
        <v>19.5701</v>
      </c>
    </row>
    <row r="3413" ht="12.75" customHeight="1">
      <c r="A3413" s="3">
        <v>223.0</v>
      </c>
      <c r="B3413" s="3">
        <v>45.0</v>
      </c>
      <c r="C3413" s="3">
        <v>2.49E7</v>
      </c>
      <c r="D3413" s="3">
        <v>4.702</v>
      </c>
      <c r="E3413" s="3">
        <v>24.9</v>
      </c>
    </row>
    <row r="3414" ht="12.75" customHeight="1">
      <c r="A3414" s="3">
        <v>223.0</v>
      </c>
      <c r="B3414" s="3">
        <v>46.0</v>
      </c>
      <c r="C3414" s="3">
        <v>3.1E7</v>
      </c>
      <c r="D3414" s="3">
        <v>5.532</v>
      </c>
      <c r="E3414" s="3">
        <v>31.0</v>
      </c>
    </row>
    <row r="3415" ht="12.75" customHeight="1">
      <c r="A3415" s="3">
        <v>223.0</v>
      </c>
      <c r="B3415" s="3">
        <v>47.0</v>
      </c>
      <c r="C3415" s="3">
        <v>3.786E7</v>
      </c>
      <c r="D3415" s="3">
        <v>6.512</v>
      </c>
      <c r="E3415" s="3">
        <v>37.86</v>
      </c>
    </row>
    <row r="3416" ht="12.75" customHeight="1">
      <c r="A3416" s="3">
        <v>223.0</v>
      </c>
      <c r="B3416" s="3">
        <v>48.0</v>
      </c>
      <c r="C3416" s="3">
        <v>4.55E7</v>
      </c>
      <c r="D3416" s="3">
        <v>6.952</v>
      </c>
      <c r="E3416" s="3">
        <v>45.5</v>
      </c>
    </row>
    <row r="3417" ht="12.75" customHeight="1">
      <c r="A3417" s="3">
        <v>233.0</v>
      </c>
      <c r="B3417" s="3">
        <v>45.0</v>
      </c>
      <c r="C3417" s="3">
        <v>0.0</v>
      </c>
      <c r="D3417" s="3">
        <v>0.0</v>
      </c>
      <c r="E3417" s="3">
        <v>0.0</v>
      </c>
    </row>
    <row r="3418" ht="12.75" customHeight="1">
      <c r="A3418" s="3">
        <v>233.0</v>
      </c>
      <c r="B3418" s="3">
        <v>46.0</v>
      </c>
      <c r="C3418" s="3">
        <v>2000.0</v>
      </c>
      <c r="D3418" s="3">
        <v>0.004</v>
      </c>
      <c r="E3418" s="3">
        <v>0.002</v>
      </c>
    </row>
    <row r="3419" ht="12.75" customHeight="1">
      <c r="A3419" s="3">
        <v>233.0</v>
      </c>
      <c r="B3419" s="3">
        <v>47.0</v>
      </c>
      <c r="C3419" s="3">
        <v>8600.0</v>
      </c>
      <c r="D3419" s="3">
        <v>0.01</v>
      </c>
      <c r="E3419" s="3">
        <v>0.0086</v>
      </c>
    </row>
    <row r="3420" ht="12.75" customHeight="1">
      <c r="A3420" s="3">
        <v>233.0</v>
      </c>
      <c r="B3420" s="3">
        <v>48.0</v>
      </c>
      <c r="C3420" s="3">
        <v>31000.0</v>
      </c>
      <c r="D3420" s="3">
        <v>0.05</v>
      </c>
      <c r="E3420" s="3">
        <v>0.031</v>
      </c>
    </row>
    <row r="3421" ht="12.75" customHeight="1">
      <c r="A3421" s="3">
        <v>233.0</v>
      </c>
      <c r="B3421" s="3">
        <v>49.0</v>
      </c>
      <c r="C3421" s="3">
        <v>79000.0</v>
      </c>
      <c r="D3421" s="3">
        <v>0.1</v>
      </c>
      <c r="E3421" s="3">
        <v>0.079</v>
      </c>
    </row>
    <row r="3422" ht="12.75" customHeight="1">
      <c r="A3422" s="3">
        <v>233.0</v>
      </c>
      <c r="B3422" s="3">
        <v>50.0</v>
      </c>
      <c r="C3422" s="3">
        <v>153000.0</v>
      </c>
      <c r="D3422" s="3">
        <v>0.15</v>
      </c>
      <c r="E3422" s="3">
        <v>0.153</v>
      </c>
    </row>
    <row r="3423" ht="12.75" customHeight="1">
      <c r="A3423" s="3">
        <v>233.0</v>
      </c>
      <c r="B3423" s="3">
        <v>51.0</v>
      </c>
      <c r="C3423" s="3">
        <v>249000.0</v>
      </c>
      <c r="D3423" s="3">
        <v>0.19</v>
      </c>
      <c r="E3423" s="3">
        <v>0.249</v>
      </c>
    </row>
    <row r="3424" ht="12.75" customHeight="1">
      <c r="A3424" s="3">
        <v>233.0</v>
      </c>
      <c r="B3424" s="3">
        <v>52.0</v>
      </c>
      <c r="C3424" s="3">
        <v>377000.0</v>
      </c>
      <c r="D3424" s="3">
        <v>0.26</v>
      </c>
      <c r="E3424" s="3">
        <v>0.377</v>
      </c>
    </row>
    <row r="3425" ht="12.75" customHeight="1">
      <c r="A3425" s="3">
        <v>233.0</v>
      </c>
      <c r="B3425" s="3">
        <v>53.0</v>
      </c>
      <c r="C3425" s="3">
        <v>542000.0</v>
      </c>
      <c r="D3425" s="3">
        <v>0.33</v>
      </c>
      <c r="E3425" s="3">
        <v>0.542</v>
      </c>
    </row>
    <row r="3426" ht="12.75" customHeight="1">
      <c r="A3426" s="3">
        <v>233.0</v>
      </c>
      <c r="B3426" s="3">
        <v>54.0</v>
      </c>
      <c r="C3426" s="3">
        <v>729000.0</v>
      </c>
      <c r="D3426" s="3">
        <v>0.37</v>
      </c>
      <c r="E3426" s="3">
        <v>0.729</v>
      </c>
    </row>
    <row r="3427" ht="12.75" customHeight="1">
      <c r="A3427" s="3">
        <v>233.0</v>
      </c>
      <c r="B3427" s="3">
        <v>54.5</v>
      </c>
      <c r="C3427" s="3">
        <v>833000.0</v>
      </c>
      <c r="D3427" s="3">
        <v>0.41</v>
      </c>
      <c r="E3427" s="3">
        <v>0.833</v>
      </c>
    </row>
    <row r="3428" ht="12.75" customHeight="1">
      <c r="A3428" s="3">
        <v>233.0</v>
      </c>
      <c r="B3428" s="3">
        <v>55.0</v>
      </c>
      <c r="C3428" s="3">
        <v>900000.0</v>
      </c>
      <c r="D3428" s="3">
        <v>0.5</v>
      </c>
      <c r="E3428" s="3">
        <v>0.9</v>
      </c>
    </row>
    <row r="3429" ht="12.75" customHeight="1">
      <c r="A3429" s="3">
        <v>233.0</v>
      </c>
      <c r="B3429" s="3">
        <v>56.0</v>
      </c>
      <c r="C3429" s="3">
        <v>1200000.0</v>
      </c>
      <c r="D3429" s="3">
        <v>0.8</v>
      </c>
      <c r="E3429" s="3">
        <v>1.2</v>
      </c>
    </row>
    <row r="3430" ht="12.75" customHeight="1">
      <c r="A3430" s="3">
        <v>234.0</v>
      </c>
      <c r="B3430" s="3">
        <v>66.65</v>
      </c>
      <c r="C3430" s="3">
        <v>0.0</v>
      </c>
      <c r="D3430" s="3">
        <v>0.0</v>
      </c>
      <c r="E3430" s="3">
        <v>0.0</v>
      </c>
    </row>
    <row r="3431" ht="12.75" customHeight="1">
      <c r="A3431" s="3">
        <v>234.0</v>
      </c>
      <c r="B3431" s="3">
        <v>67.0</v>
      </c>
      <c r="C3431" s="3">
        <v>40.0</v>
      </c>
      <c r="D3431" s="3">
        <v>4.0E-4</v>
      </c>
      <c r="E3431" s="3">
        <v>4.0E-5</v>
      </c>
    </row>
    <row r="3432" ht="12.75" customHeight="1">
      <c r="A3432" s="3">
        <v>234.0</v>
      </c>
      <c r="B3432" s="3">
        <v>68.0</v>
      </c>
      <c r="C3432" s="3">
        <v>2559.0</v>
      </c>
      <c r="D3432" s="3">
        <v>0.0064</v>
      </c>
      <c r="E3432" s="3">
        <v>0.002559</v>
      </c>
    </row>
    <row r="3433" ht="12.75" customHeight="1">
      <c r="A3433" s="3">
        <v>234.0</v>
      </c>
      <c r="B3433" s="3">
        <v>69.0</v>
      </c>
      <c r="C3433" s="3">
        <v>16337.0</v>
      </c>
      <c r="D3433" s="3">
        <v>0.0233</v>
      </c>
      <c r="E3433" s="3">
        <v>0.016337</v>
      </c>
    </row>
    <row r="3434" ht="12.75" customHeight="1">
      <c r="A3434" s="3">
        <v>234.0</v>
      </c>
      <c r="B3434" s="3">
        <v>70.0</v>
      </c>
      <c r="C3434" s="3">
        <v>55963.0</v>
      </c>
      <c r="D3434" s="3">
        <v>0.0609</v>
      </c>
      <c r="E3434" s="3">
        <v>0.055963</v>
      </c>
    </row>
    <row r="3435" ht="12.75" customHeight="1">
      <c r="A3435" s="3">
        <v>234.0</v>
      </c>
      <c r="B3435" s="3">
        <v>71.0</v>
      </c>
      <c r="C3435" s="3">
        <v>169220.0</v>
      </c>
      <c r="D3435" s="3">
        <v>0.187</v>
      </c>
      <c r="E3435" s="3">
        <v>0.16922</v>
      </c>
    </row>
    <row r="3436" ht="12.75" customHeight="1">
      <c r="A3436" s="3">
        <v>234.0</v>
      </c>
      <c r="B3436" s="3">
        <v>72.0</v>
      </c>
      <c r="C3436" s="3">
        <v>456343.0</v>
      </c>
      <c r="D3436" s="3">
        <v>0.396</v>
      </c>
      <c r="E3436" s="3">
        <v>0.456343</v>
      </c>
    </row>
    <row r="3437" ht="12.75" customHeight="1">
      <c r="A3437" s="3">
        <v>234.0</v>
      </c>
      <c r="B3437" s="3">
        <v>73.0</v>
      </c>
      <c r="C3437" s="3">
        <v>987081.0</v>
      </c>
      <c r="D3437" s="3">
        <v>0.664</v>
      </c>
      <c r="E3437" s="3">
        <v>0.987081</v>
      </c>
    </row>
    <row r="3438" ht="12.75" customHeight="1">
      <c r="A3438" s="3">
        <v>234.0</v>
      </c>
      <c r="B3438" s="3">
        <v>74.0</v>
      </c>
      <c r="C3438" s="3">
        <v>1785365.0</v>
      </c>
      <c r="D3438" s="3">
        <v>0.938</v>
      </c>
      <c r="E3438" s="3">
        <v>1.785365</v>
      </c>
    </row>
    <row r="3439" ht="12.75" customHeight="1">
      <c r="A3439" s="3">
        <v>234.0</v>
      </c>
      <c r="B3439" s="3">
        <v>75.0</v>
      </c>
      <c r="C3439" s="3">
        <v>2872167.0</v>
      </c>
      <c r="D3439" s="3">
        <v>1.233</v>
      </c>
      <c r="E3439" s="3">
        <v>2.872167</v>
      </c>
    </row>
    <row r="3440" ht="12.75" customHeight="1">
      <c r="A3440" s="3">
        <v>234.0</v>
      </c>
      <c r="B3440" s="3">
        <v>76.0</v>
      </c>
      <c r="C3440" s="3">
        <v>4308167.0</v>
      </c>
      <c r="D3440" s="3">
        <v>1.642</v>
      </c>
      <c r="E3440" s="3">
        <v>4.308167</v>
      </c>
    </row>
    <row r="3441" ht="12.75" customHeight="1">
      <c r="A3441" s="3">
        <v>234.0</v>
      </c>
      <c r="B3441" s="3">
        <v>77.0</v>
      </c>
      <c r="C3441" s="3">
        <v>6149981.0</v>
      </c>
      <c r="D3441" s="3">
        <v>2.056</v>
      </c>
      <c r="E3441" s="3">
        <v>6.149981</v>
      </c>
    </row>
    <row r="3442" ht="12.75" customHeight="1">
      <c r="A3442" s="3">
        <v>234.0</v>
      </c>
      <c r="B3442" s="3">
        <v>78.0</v>
      </c>
      <c r="C3442" s="3">
        <v>8421251.0</v>
      </c>
      <c r="D3442" s="3">
        <v>2.493</v>
      </c>
      <c r="E3442" s="3">
        <v>8.421251</v>
      </c>
    </row>
    <row r="3443" ht="12.75" customHeight="1">
      <c r="A3443" s="3">
        <v>234.0</v>
      </c>
      <c r="B3443" s="3">
        <v>79.0</v>
      </c>
      <c r="C3443" s="3">
        <v>1.1159982E7</v>
      </c>
      <c r="D3443" s="3">
        <v>2.996</v>
      </c>
      <c r="E3443" s="3">
        <v>11.159982</v>
      </c>
    </row>
    <row r="3444" ht="12.75" customHeight="1">
      <c r="A3444" s="3">
        <v>234.0</v>
      </c>
      <c r="B3444" s="3">
        <v>80.0</v>
      </c>
      <c r="C3444" s="3">
        <v>1.4419695E7</v>
      </c>
      <c r="D3444" s="3">
        <v>3.532</v>
      </c>
      <c r="E3444" s="3">
        <v>14.419695</v>
      </c>
    </row>
    <row r="3445" ht="12.75" customHeight="1">
      <c r="A3445" s="3">
        <v>234.0</v>
      </c>
      <c r="B3445" s="3">
        <v>81.0</v>
      </c>
      <c r="C3445" s="3">
        <v>1.82647E7</v>
      </c>
      <c r="D3445" s="3">
        <v>4.17</v>
      </c>
      <c r="E3445" s="3">
        <v>18.2647</v>
      </c>
    </row>
    <row r="3446" ht="12.75" customHeight="1">
      <c r="A3446" s="3">
        <v>234.0</v>
      </c>
      <c r="B3446" s="3">
        <v>82.0</v>
      </c>
      <c r="C3446" s="3">
        <v>2.2771172E7</v>
      </c>
      <c r="D3446" s="3">
        <v>4.834</v>
      </c>
      <c r="E3446" s="3">
        <v>22.771172</v>
      </c>
    </row>
    <row r="3447" ht="12.75" customHeight="1">
      <c r="A3447" s="3">
        <v>234.0</v>
      </c>
      <c r="B3447" s="3">
        <v>83.0</v>
      </c>
      <c r="C3447" s="3">
        <v>2.7939336E7</v>
      </c>
      <c r="D3447" s="3">
        <v>5.449</v>
      </c>
      <c r="E3447" s="3">
        <v>27.939336</v>
      </c>
    </row>
    <row r="3448" ht="12.75" customHeight="1">
      <c r="A3448" s="3">
        <v>234.0</v>
      </c>
      <c r="B3448" s="3">
        <v>84.0</v>
      </c>
      <c r="C3448" s="3">
        <v>3.3564958E7</v>
      </c>
      <c r="D3448" s="3">
        <v>5.775</v>
      </c>
      <c r="E3448" s="3">
        <v>33.564958</v>
      </c>
    </row>
    <row r="3449" ht="12.75" customHeight="1">
      <c r="A3449" s="3">
        <v>234.0</v>
      </c>
      <c r="B3449" s="3">
        <v>84.19</v>
      </c>
      <c r="C3449" s="3">
        <v>3.4667669E7</v>
      </c>
      <c r="D3449" s="3">
        <v>5.815</v>
      </c>
      <c r="E3449" s="3">
        <v>34.667669</v>
      </c>
    </row>
    <row r="3450" ht="12.75" customHeight="1">
      <c r="A3450" s="3">
        <v>234.0</v>
      </c>
      <c r="B3450" s="3">
        <v>85.0</v>
      </c>
      <c r="C3450" s="3">
        <v>3.9151669E7</v>
      </c>
      <c r="D3450" s="3">
        <v>6.263</v>
      </c>
      <c r="E3450" s="3">
        <v>39.151669</v>
      </c>
    </row>
    <row r="3451" ht="12.75" customHeight="1">
      <c r="A3451" s="3">
        <v>234.0</v>
      </c>
      <c r="B3451" s="3">
        <v>90.0</v>
      </c>
      <c r="C3451" s="3">
        <v>8.7281669E7</v>
      </c>
      <c r="D3451" s="3">
        <v>10.343</v>
      </c>
      <c r="E3451" s="3">
        <v>87.281669</v>
      </c>
    </row>
    <row r="3452" ht="12.75" customHeight="1">
      <c r="A3452" s="3">
        <v>234.0</v>
      </c>
      <c r="B3452" s="3">
        <v>95.0</v>
      </c>
      <c r="C3452" s="3">
        <v>1.62E8</v>
      </c>
      <c r="D3452" s="3">
        <v>15.783</v>
      </c>
      <c r="E3452" s="3">
        <v>162.0</v>
      </c>
    </row>
    <row r="3453" ht="12.75" customHeight="1">
      <c r="A3453" s="3">
        <v>234.0</v>
      </c>
      <c r="B3453" s="3">
        <v>100.0</v>
      </c>
      <c r="C3453" s="3">
        <v>2.67E8</v>
      </c>
      <c r="D3453" s="3">
        <v>22.063</v>
      </c>
      <c r="E3453" s="3">
        <v>267.0</v>
      </c>
    </row>
    <row r="3454" ht="12.75" customHeight="1">
      <c r="A3454" s="3">
        <v>235.0</v>
      </c>
      <c r="B3454" s="3">
        <v>10.22</v>
      </c>
      <c r="C3454" s="3">
        <v>0.0</v>
      </c>
      <c r="D3454" s="3">
        <v>0.0</v>
      </c>
      <c r="E3454" s="3">
        <v>0.0</v>
      </c>
    </row>
    <row r="3455" ht="12.75" customHeight="1">
      <c r="A3455" s="3">
        <v>235.0</v>
      </c>
      <c r="B3455" s="3">
        <v>11.0</v>
      </c>
      <c r="C3455" s="3">
        <v>555.0</v>
      </c>
      <c r="D3455" s="3">
        <v>0.002</v>
      </c>
      <c r="E3455" s="3">
        <v>5.55E-4</v>
      </c>
    </row>
    <row r="3456" ht="12.75" customHeight="1">
      <c r="A3456" s="3">
        <v>235.0</v>
      </c>
      <c r="B3456" s="3">
        <v>12.0</v>
      </c>
      <c r="C3456" s="3">
        <v>29101.0</v>
      </c>
      <c r="D3456" s="3">
        <v>0.07</v>
      </c>
      <c r="E3456" s="3">
        <v>0.029101</v>
      </c>
    </row>
    <row r="3457" ht="12.75" customHeight="1">
      <c r="A3457" s="3">
        <v>235.0</v>
      </c>
      <c r="B3457" s="3">
        <v>13.0</v>
      </c>
      <c r="C3457" s="3">
        <v>216398.0</v>
      </c>
      <c r="D3457" s="3">
        <v>0.31</v>
      </c>
      <c r="E3457" s="3">
        <v>0.216398</v>
      </c>
    </row>
    <row r="3458" ht="12.75" customHeight="1">
      <c r="A3458" s="3">
        <v>235.0</v>
      </c>
      <c r="B3458" s="3">
        <v>14.0</v>
      </c>
      <c r="C3458" s="3">
        <v>666372.0</v>
      </c>
      <c r="D3458" s="3">
        <v>0.61</v>
      </c>
      <c r="E3458" s="3">
        <v>0.666372</v>
      </c>
    </row>
    <row r="3459" ht="12.75" customHeight="1">
      <c r="A3459" s="3">
        <v>235.0</v>
      </c>
      <c r="B3459" s="3">
        <v>15.0</v>
      </c>
      <c r="C3459" s="3">
        <v>1466292.0</v>
      </c>
      <c r="D3459" s="3">
        <v>1.02</v>
      </c>
      <c r="E3459" s="3">
        <v>1.466292</v>
      </c>
    </row>
    <row r="3460" ht="12.75" customHeight="1">
      <c r="A3460" s="3">
        <v>235.0</v>
      </c>
      <c r="B3460" s="3">
        <v>16.0</v>
      </c>
      <c r="C3460" s="3">
        <v>2741486.0</v>
      </c>
      <c r="D3460" s="3">
        <v>1.52</v>
      </c>
      <c r="E3460" s="3">
        <v>2.741486</v>
      </c>
    </row>
    <row r="3461" ht="12.75" customHeight="1">
      <c r="A3461" s="3">
        <v>235.0</v>
      </c>
      <c r="B3461" s="3">
        <v>17.0</v>
      </c>
      <c r="C3461" s="3">
        <v>4540664.0</v>
      </c>
      <c r="D3461" s="3">
        <v>2.11</v>
      </c>
      <c r="E3461" s="3">
        <v>4.540664</v>
      </c>
    </row>
    <row r="3462" ht="12.75" customHeight="1">
      <c r="A3462" s="3">
        <v>235.0</v>
      </c>
      <c r="B3462" s="3">
        <v>18.0</v>
      </c>
      <c r="C3462" s="3">
        <v>7067041.0</v>
      </c>
      <c r="D3462" s="3">
        <v>2.96</v>
      </c>
      <c r="E3462" s="3">
        <v>7.067041</v>
      </c>
    </row>
    <row r="3463" ht="12.75" customHeight="1">
      <c r="A3463" s="3">
        <v>235.0</v>
      </c>
      <c r="B3463" s="3">
        <v>19.0</v>
      </c>
      <c r="C3463" s="3">
        <v>1.0241919E7</v>
      </c>
      <c r="D3463" s="3">
        <v>3.3</v>
      </c>
      <c r="E3463" s="3">
        <v>10.241919</v>
      </c>
    </row>
    <row r="3464" ht="12.75" customHeight="1">
      <c r="A3464" s="3">
        <v>235.0</v>
      </c>
      <c r="B3464" s="3">
        <v>19.35</v>
      </c>
      <c r="C3464" s="3">
        <v>1.1413265E7</v>
      </c>
      <c r="D3464" s="3">
        <v>3.39</v>
      </c>
      <c r="E3464" s="3">
        <v>11.413265</v>
      </c>
    </row>
    <row r="3465" ht="12.75" customHeight="1">
      <c r="A3465" s="3">
        <v>235.0</v>
      </c>
      <c r="B3465" s="3">
        <v>20.0</v>
      </c>
      <c r="C3465" s="3">
        <v>1.4E7</v>
      </c>
      <c r="D3465" s="3">
        <v>3.91</v>
      </c>
      <c r="E3465" s="3">
        <v>14.0</v>
      </c>
    </row>
    <row r="3466" ht="12.75" customHeight="1">
      <c r="A3466" s="3">
        <v>235.0</v>
      </c>
      <c r="B3466" s="3">
        <v>21.0</v>
      </c>
      <c r="C3466" s="3">
        <v>1.87E7</v>
      </c>
      <c r="D3466" s="3">
        <v>4.53</v>
      </c>
      <c r="E3466" s="3">
        <v>18.7</v>
      </c>
    </row>
    <row r="3467" ht="12.75" customHeight="1">
      <c r="A3467" s="3">
        <v>235.0</v>
      </c>
      <c r="B3467" s="3">
        <v>22.0</v>
      </c>
      <c r="C3467" s="3">
        <v>2.4E7</v>
      </c>
      <c r="D3467" s="3">
        <v>5.23</v>
      </c>
      <c r="E3467" s="3">
        <v>24.0</v>
      </c>
    </row>
    <row r="3468" ht="12.75" customHeight="1">
      <c r="A3468" s="3">
        <v>235.0</v>
      </c>
      <c r="B3468" s="3">
        <v>23.0</v>
      </c>
      <c r="C3468" s="3">
        <v>2.996E7</v>
      </c>
      <c r="D3468" s="3">
        <v>5.85</v>
      </c>
      <c r="E3468" s="3">
        <v>29.96</v>
      </c>
    </row>
    <row r="3469" ht="12.75" customHeight="1">
      <c r="A3469" s="3">
        <v>235.0</v>
      </c>
      <c r="B3469" s="3">
        <v>24.0</v>
      </c>
      <c r="C3469" s="3">
        <v>3.65E7</v>
      </c>
      <c r="D3469" s="3">
        <v>6.44</v>
      </c>
      <c r="E3469" s="3">
        <v>36.5</v>
      </c>
    </row>
    <row r="3470" ht="12.75" customHeight="1">
      <c r="A3470" s="3">
        <v>235.0</v>
      </c>
      <c r="B3470" s="3">
        <v>25.0</v>
      </c>
      <c r="C3470" s="3">
        <v>4.371E7</v>
      </c>
      <c r="D3470" s="3">
        <v>6.7</v>
      </c>
      <c r="E3470" s="3">
        <v>43.71</v>
      </c>
    </row>
    <row r="3471" ht="12.75" customHeight="1">
      <c r="A3471" s="3">
        <v>235.0</v>
      </c>
      <c r="B3471" s="3">
        <v>26.0</v>
      </c>
      <c r="C3471" s="3">
        <v>5.15E7</v>
      </c>
      <c r="D3471" s="3">
        <v>7.69</v>
      </c>
      <c r="E3471" s="3">
        <v>51.5</v>
      </c>
    </row>
    <row r="3472" ht="12.75" customHeight="1">
      <c r="A3472" s="3">
        <v>235.0</v>
      </c>
      <c r="B3472" s="3">
        <v>27.0</v>
      </c>
      <c r="C3472" s="3">
        <v>6.0115E7</v>
      </c>
      <c r="D3472" s="3">
        <v>8.65</v>
      </c>
      <c r="E3472" s="3">
        <v>60.115</v>
      </c>
    </row>
    <row r="3473" ht="12.75" customHeight="1">
      <c r="A3473" s="3">
        <v>236.0</v>
      </c>
      <c r="B3473" s="3">
        <v>264.54</v>
      </c>
      <c r="C3473" s="3">
        <v>0.0</v>
      </c>
      <c r="D3473" s="3">
        <v>0.0</v>
      </c>
      <c r="E3473" s="3">
        <v>0.0</v>
      </c>
    </row>
    <row r="3474" ht="12.75" customHeight="1">
      <c r="A3474" s="3">
        <v>236.0</v>
      </c>
      <c r="B3474" s="3">
        <v>265.0</v>
      </c>
      <c r="C3474" s="3">
        <v>10.0</v>
      </c>
      <c r="D3474" s="3">
        <v>1.0E-4</v>
      </c>
      <c r="E3474" s="3">
        <v>1.0E-5</v>
      </c>
    </row>
    <row r="3475" ht="12.75" customHeight="1">
      <c r="A3475" s="3">
        <v>236.0</v>
      </c>
      <c r="B3475" s="3">
        <v>266.0</v>
      </c>
      <c r="C3475" s="3">
        <v>3000.0</v>
      </c>
      <c r="D3475" s="3">
        <v>0.009</v>
      </c>
      <c r="E3475" s="3">
        <v>0.003</v>
      </c>
    </row>
    <row r="3476" ht="12.75" customHeight="1">
      <c r="A3476" s="3">
        <v>236.0</v>
      </c>
      <c r="B3476" s="3">
        <v>267.0</v>
      </c>
      <c r="C3476" s="3">
        <v>36000.0</v>
      </c>
      <c r="D3476" s="3">
        <v>0.0061</v>
      </c>
      <c r="E3476" s="3">
        <v>0.036</v>
      </c>
    </row>
    <row r="3477" ht="12.75" customHeight="1">
      <c r="A3477" s="3">
        <v>236.0</v>
      </c>
      <c r="B3477" s="3">
        <v>268.0</v>
      </c>
      <c r="C3477" s="3">
        <v>122000.0</v>
      </c>
      <c r="D3477" s="3">
        <v>0.111</v>
      </c>
      <c r="E3477" s="3">
        <v>0.122</v>
      </c>
    </row>
    <row r="3478" ht="12.75" customHeight="1">
      <c r="A3478" s="3">
        <v>236.0</v>
      </c>
      <c r="B3478" s="3">
        <v>269.0</v>
      </c>
      <c r="C3478" s="3">
        <v>256000.0</v>
      </c>
      <c r="D3478" s="3">
        <v>0.164</v>
      </c>
      <c r="E3478" s="3">
        <v>0.256</v>
      </c>
    </row>
    <row r="3479" ht="12.75" customHeight="1">
      <c r="A3479" s="3">
        <v>236.0</v>
      </c>
      <c r="B3479" s="3">
        <v>270.0</v>
      </c>
      <c r="C3479" s="3">
        <v>460000.0</v>
      </c>
      <c r="D3479" s="3">
        <v>0.232</v>
      </c>
      <c r="E3479" s="3">
        <v>0.46</v>
      </c>
    </row>
    <row r="3480" ht="12.75" customHeight="1">
      <c r="A3480" s="3">
        <v>236.0</v>
      </c>
      <c r="B3480" s="3">
        <v>270.98</v>
      </c>
      <c r="C3480" s="3">
        <v>700000.0</v>
      </c>
      <c r="D3480" s="3">
        <v>0.251</v>
      </c>
      <c r="E3480" s="3">
        <v>0.7</v>
      </c>
    </row>
    <row r="3481" ht="12.75" customHeight="1">
      <c r="A3481" s="3">
        <v>236.0</v>
      </c>
      <c r="B3481" s="3">
        <v>271.0</v>
      </c>
      <c r="C3481" s="3">
        <v>703000.0</v>
      </c>
      <c r="D3481" s="3">
        <v>0.25</v>
      </c>
      <c r="E3481" s="3">
        <v>0.703</v>
      </c>
    </row>
    <row r="3482" ht="12.75" customHeight="1">
      <c r="A3482" s="3">
        <v>236.0</v>
      </c>
      <c r="B3482" s="3">
        <v>272.0</v>
      </c>
      <c r="C3482" s="3">
        <v>1130000.0</v>
      </c>
      <c r="D3482" s="3">
        <v>0.37</v>
      </c>
      <c r="E3482" s="3">
        <v>1.13</v>
      </c>
    </row>
    <row r="3483" ht="12.75" customHeight="1">
      <c r="A3483" s="3">
        <v>236.0</v>
      </c>
      <c r="B3483" s="3">
        <v>273.0</v>
      </c>
      <c r="C3483" s="3">
        <v>1700000.0</v>
      </c>
      <c r="D3483" s="3">
        <v>0.53</v>
      </c>
      <c r="E3483" s="3">
        <v>1.7</v>
      </c>
    </row>
    <row r="3484" ht="12.75" customHeight="1">
      <c r="A3484" s="3">
        <v>236.0</v>
      </c>
      <c r="B3484" s="3">
        <v>274.0</v>
      </c>
      <c r="C3484" s="3">
        <v>2440000.0</v>
      </c>
      <c r="D3484" s="3">
        <v>0.72</v>
      </c>
      <c r="E3484" s="3">
        <v>2.44</v>
      </c>
    </row>
    <row r="3485" ht="12.75" customHeight="1">
      <c r="A3485" s="3">
        <v>236.0</v>
      </c>
      <c r="B3485" s="3">
        <v>275.0</v>
      </c>
      <c r="C3485" s="3">
        <v>3405000.0</v>
      </c>
      <c r="D3485" s="3">
        <v>0.96</v>
      </c>
      <c r="E3485" s="3">
        <v>3.405</v>
      </c>
    </row>
    <row r="3486" ht="12.75" customHeight="1">
      <c r="A3486" s="3">
        <v>236.0</v>
      </c>
      <c r="B3486" s="3">
        <v>276.0</v>
      </c>
      <c r="C3486" s="3">
        <v>4710000.0</v>
      </c>
      <c r="D3486" s="3">
        <v>1.44</v>
      </c>
      <c r="E3486" s="3">
        <v>4.71</v>
      </c>
    </row>
    <row r="3487" ht="12.75" customHeight="1">
      <c r="A3487" s="3">
        <v>236.0</v>
      </c>
      <c r="B3487" s="3">
        <v>277.0</v>
      </c>
      <c r="C3487" s="3">
        <v>6410000.0</v>
      </c>
      <c r="D3487" s="3">
        <v>1.72</v>
      </c>
      <c r="E3487" s="3">
        <v>6.41</v>
      </c>
    </row>
    <row r="3488" ht="12.75" customHeight="1">
      <c r="A3488" s="3">
        <v>236.0</v>
      </c>
      <c r="B3488" s="3">
        <v>278.0</v>
      </c>
      <c r="C3488" s="3">
        <v>8401000.0</v>
      </c>
      <c r="D3488" s="3">
        <v>2.04</v>
      </c>
      <c r="E3488" s="3">
        <v>8.401</v>
      </c>
    </row>
    <row r="3489" ht="12.75" customHeight="1">
      <c r="A3489" s="3">
        <v>236.0</v>
      </c>
      <c r="B3489" s="3">
        <v>279.0</v>
      </c>
      <c r="C3489" s="3">
        <v>1.078E7</v>
      </c>
      <c r="D3489" s="3">
        <v>2.48</v>
      </c>
      <c r="E3489" s="3">
        <v>10.78</v>
      </c>
    </row>
    <row r="3490" ht="12.75" customHeight="1">
      <c r="A3490" s="3">
        <v>236.0</v>
      </c>
      <c r="B3490" s="3">
        <v>280.0</v>
      </c>
      <c r="C3490" s="3">
        <v>1.348E7</v>
      </c>
      <c r="D3490" s="3">
        <v>2.69</v>
      </c>
      <c r="E3490" s="3">
        <v>13.48</v>
      </c>
    </row>
    <row r="3491" ht="12.75" customHeight="1">
      <c r="A3491" s="3">
        <v>236.0</v>
      </c>
      <c r="B3491" s="3">
        <v>281.0</v>
      </c>
      <c r="C3491" s="3">
        <v>1.645E7</v>
      </c>
      <c r="D3491" s="3">
        <v>3.01</v>
      </c>
      <c r="E3491" s="3">
        <v>16.45</v>
      </c>
    </row>
    <row r="3492" ht="12.75" customHeight="1">
      <c r="A3492" s="3">
        <v>236.0</v>
      </c>
      <c r="B3492" s="3">
        <v>282.0</v>
      </c>
      <c r="C3492" s="3">
        <v>1.975E7</v>
      </c>
      <c r="D3492" s="3">
        <v>3.37</v>
      </c>
      <c r="E3492" s="3">
        <v>19.75</v>
      </c>
    </row>
    <row r="3493" ht="12.75" customHeight="1">
      <c r="A3493" s="3">
        <v>236.0</v>
      </c>
      <c r="B3493" s="3">
        <v>283.0</v>
      </c>
      <c r="C3493" s="3">
        <v>2.3425E7</v>
      </c>
      <c r="D3493" s="3">
        <v>3.75</v>
      </c>
      <c r="E3493" s="3">
        <v>23.425</v>
      </c>
    </row>
    <row r="3494" ht="12.75" customHeight="1">
      <c r="A3494" s="3">
        <v>238.0</v>
      </c>
      <c r="B3494" s="3">
        <v>76.0</v>
      </c>
      <c r="C3494" s="3">
        <v>0.0</v>
      </c>
      <c r="D3494" s="3">
        <v>0.0</v>
      </c>
      <c r="E3494" s="3">
        <v>0.0</v>
      </c>
    </row>
    <row r="3495" ht="12.75" customHeight="1">
      <c r="A3495" s="3">
        <v>238.0</v>
      </c>
      <c r="B3495" s="3">
        <v>78.0</v>
      </c>
      <c r="C3495" s="3">
        <v>299700.0</v>
      </c>
      <c r="D3495" s="3">
        <v>0.2997</v>
      </c>
      <c r="E3495" s="3">
        <v>0.2997</v>
      </c>
    </row>
    <row r="3496" ht="12.75" customHeight="1">
      <c r="A3496" s="3">
        <v>238.0</v>
      </c>
      <c r="B3496" s="3">
        <v>80.0</v>
      </c>
      <c r="C3496" s="3">
        <v>1399450.0</v>
      </c>
      <c r="D3496" s="3">
        <v>0.8001</v>
      </c>
      <c r="E3496" s="3">
        <v>1.39945</v>
      </c>
    </row>
    <row r="3497" ht="12.75" customHeight="1">
      <c r="A3497" s="3">
        <v>238.0</v>
      </c>
      <c r="B3497" s="3">
        <v>82.0</v>
      </c>
      <c r="C3497" s="3">
        <v>4095952.0</v>
      </c>
      <c r="D3497" s="3">
        <v>1.8965</v>
      </c>
      <c r="E3497" s="3">
        <v>4.095952</v>
      </c>
    </row>
    <row r="3498" ht="12.75" customHeight="1">
      <c r="A3498" s="3">
        <v>238.0</v>
      </c>
      <c r="B3498" s="3">
        <v>84.0</v>
      </c>
      <c r="C3498" s="3">
        <v>9394703.0</v>
      </c>
      <c r="D3498" s="3">
        <v>3.4023</v>
      </c>
      <c r="E3498" s="3">
        <v>9.394703</v>
      </c>
    </row>
    <row r="3499" ht="12.75" customHeight="1">
      <c r="A3499" s="3">
        <v>238.0</v>
      </c>
      <c r="B3499" s="3">
        <v>86.0</v>
      </c>
      <c r="C3499" s="3">
        <v>1.863151E7</v>
      </c>
      <c r="D3499" s="3">
        <v>5.8345</v>
      </c>
      <c r="E3499" s="3">
        <v>18.63151</v>
      </c>
    </row>
    <row r="3500" ht="12.75" customHeight="1">
      <c r="A3500" s="3">
        <v>238.0</v>
      </c>
      <c r="B3500" s="3">
        <v>88.0</v>
      </c>
      <c r="C3500" s="3">
        <v>3.2928562E7</v>
      </c>
      <c r="D3500" s="3">
        <v>8.4625</v>
      </c>
      <c r="E3500" s="3">
        <v>32.928562</v>
      </c>
    </row>
    <row r="3501" ht="12.75" customHeight="1">
      <c r="A3501" s="3">
        <v>239.0</v>
      </c>
      <c r="B3501" s="3">
        <v>227.01</v>
      </c>
      <c r="C3501" s="3">
        <v>0.0</v>
      </c>
      <c r="D3501" s="3">
        <v>0.0</v>
      </c>
      <c r="E3501" s="3">
        <v>0.0</v>
      </c>
    </row>
    <row r="3502" ht="12.75" customHeight="1">
      <c r="A3502" s="3">
        <v>239.0</v>
      </c>
      <c r="B3502" s="3">
        <v>228.0</v>
      </c>
      <c r="C3502" s="3">
        <v>31000.0</v>
      </c>
      <c r="D3502" s="3">
        <v>0.04</v>
      </c>
      <c r="E3502" s="3">
        <v>0.031</v>
      </c>
    </row>
    <row r="3503" ht="12.75" customHeight="1">
      <c r="A3503" s="3">
        <v>239.0</v>
      </c>
      <c r="B3503" s="3">
        <v>229.0</v>
      </c>
      <c r="C3503" s="3">
        <v>92000.0</v>
      </c>
      <c r="D3503" s="3">
        <v>0.09</v>
      </c>
      <c r="E3503" s="3">
        <v>0.092</v>
      </c>
    </row>
    <row r="3504" ht="12.75" customHeight="1">
      <c r="A3504" s="3">
        <v>239.0</v>
      </c>
      <c r="B3504" s="3">
        <v>229.86</v>
      </c>
      <c r="C3504" s="3">
        <v>186000.0</v>
      </c>
      <c r="D3504" s="3">
        <v>0.12</v>
      </c>
      <c r="E3504" s="3">
        <v>0.186</v>
      </c>
    </row>
    <row r="3505" ht="12.75" customHeight="1">
      <c r="A3505" s="3">
        <v>239.0</v>
      </c>
      <c r="B3505" s="3">
        <v>230.0</v>
      </c>
      <c r="C3505" s="3">
        <v>203000.0</v>
      </c>
      <c r="D3505" s="3">
        <v>0.12</v>
      </c>
      <c r="E3505" s="3">
        <v>0.203</v>
      </c>
    </row>
    <row r="3506" ht="12.75" customHeight="1">
      <c r="A3506" s="3">
        <v>239.0</v>
      </c>
      <c r="B3506" s="3">
        <v>231.0</v>
      </c>
      <c r="C3506" s="3">
        <v>833000.0</v>
      </c>
      <c r="D3506" s="3">
        <v>0.4</v>
      </c>
      <c r="E3506" s="3">
        <v>0.833</v>
      </c>
    </row>
    <row r="3507" ht="12.75" customHeight="1">
      <c r="A3507" s="3">
        <v>239.0</v>
      </c>
      <c r="B3507" s="3">
        <v>232.0</v>
      </c>
      <c r="C3507" s="3">
        <v>1463000.0</v>
      </c>
      <c r="D3507" s="3">
        <v>0.55</v>
      </c>
      <c r="E3507" s="3">
        <v>1.463</v>
      </c>
    </row>
    <row r="3508" ht="12.75" customHeight="1">
      <c r="A3508" s="3">
        <v>239.0</v>
      </c>
      <c r="B3508" s="3">
        <v>233.0</v>
      </c>
      <c r="C3508" s="3">
        <v>2093000.0</v>
      </c>
      <c r="D3508" s="3">
        <v>0.73</v>
      </c>
      <c r="E3508" s="3">
        <v>2.093</v>
      </c>
    </row>
    <row r="3509" ht="12.75" customHeight="1">
      <c r="A3509" s="3">
        <v>239.0</v>
      </c>
      <c r="B3509" s="3">
        <v>234.0</v>
      </c>
      <c r="C3509" s="3">
        <v>2723000.0</v>
      </c>
      <c r="D3509" s="3">
        <v>0.94</v>
      </c>
      <c r="E3509" s="3">
        <v>2.723</v>
      </c>
    </row>
    <row r="3510" ht="12.75" customHeight="1">
      <c r="A3510" s="3">
        <v>239.0</v>
      </c>
      <c r="B3510" s="3">
        <v>235.0</v>
      </c>
      <c r="C3510" s="3">
        <v>3353000.0</v>
      </c>
      <c r="D3510" s="3">
        <v>1.16</v>
      </c>
      <c r="E3510" s="3">
        <v>3.353</v>
      </c>
    </row>
    <row r="3511" ht="12.75" customHeight="1">
      <c r="A3511" s="3">
        <v>239.0</v>
      </c>
      <c r="B3511" s="3">
        <v>236.0</v>
      </c>
      <c r="C3511" s="3">
        <v>4803000.0</v>
      </c>
      <c r="D3511" s="3">
        <v>1.94</v>
      </c>
      <c r="E3511" s="3">
        <v>4.803</v>
      </c>
    </row>
    <row r="3512" ht="12.75" customHeight="1">
      <c r="A3512" s="3">
        <v>239.0</v>
      </c>
      <c r="B3512" s="3">
        <v>237.0</v>
      </c>
      <c r="C3512" s="3">
        <v>6983000.0</v>
      </c>
      <c r="D3512" s="3">
        <v>2.72</v>
      </c>
      <c r="E3512" s="3">
        <v>6.983</v>
      </c>
    </row>
    <row r="3513" ht="12.75" customHeight="1">
      <c r="A3513" s="3">
        <v>239.0</v>
      </c>
      <c r="B3513" s="3">
        <v>238.0</v>
      </c>
      <c r="C3513" s="3">
        <v>9953000.0</v>
      </c>
      <c r="D3513" s="3">
        <v>3.5</v>
      </c>
      <c r="E3513" s="3">
        <v>9.953</v>
      </c>
    </row>
    <row r="3514" ht="12.75" customHeight="1">
      <c r="A3514" s="3">
        <v>239.0</v>
      </c>
      <c r="B3514" s="3">
        <v>239.0</v>
      </c>
      <c r="C3514" s="3">
        <v>1.1823E7</v>
      </c>
      <c r="D3514" s="3">
        <v>4.28</v>
      </c>
      <c r="E3514" s="3">
        <v>11.823</v>
      </c>
    </row>
    <row r="3515" ht="12.75" customHeight="1">
      <c r="A3515" s="3">
        <v>239.0</v>
      </c>
      <c r="B3515" s="3">
        <v>240.0</v>
      </c>
      <c r="C3515" s="3">
        <v>1.3703E7</v>
      </c>
      <c r="D3515" s="3">
        <v>5.06</v>
      </c>
      <c r="E3515" s="3">
        <v>13.703</v>
      </c>
    </row>
    <row r="3516" ht="12.75" customHeight="1">
      <c r="A3516" s="3">
        <v>239.0</v>
      </c>
      <c r="B3516" s="3">
        <v>241.0</v>
      </c>
      <c r="C3516" s="3">
        <v>1.8243E7</v>
      </c>
      <c r="D3516" s="3">
        <v>5.85</v>
      </c>
      <c r="E3516" s="3">
        <v>18.243</v>
      </c>
    </row>
    <row r="3517" ht="12.75" customHeight="1">
      <c r="A3517" s="3">
        <v>239.0</v>
      </c>
      <c r="B3517" s="3">
        <v>241.17</v>
      </c>
      <c r="C3517" s="3">
        <v>1.92E7</v>
      </c>
      <c r="D3517" s="3">
        <v>5.87</v>
      </c>
      <c r="E3517" s="3">
        <v>19.2</v>
      </c>
    </row>
    <row r="3518" ht="12.75" customHeight="1">
      <c r="A3518" s="3">
        <v>239.0</v>
      </c>
      <c r="B3518" s="3">
        <v>242.0</v>
      </c>
      <c r="C3518" s="3">
        <v>2.4353E7</v>
      </c>
      <c r="D3518" s="3">
        <v>5.99</v>
      </c>
      <c r="E3518" s="3">
        <v>24.353</v>
      </c>
    </row>
    <row r="3519" ht="12.75" customHeight="1">
      <c r="A3519" s="3">
        <v>239.0</v>
      </c>
      <c r="B3519" s="3">
        <v>242.5</v>
      </c>
      <c r="C3519" s="3">
        <v>2.7803E7</v>
      </c>
      <c r="D3519" s="3">
        <v>6.63</v>
      </c>
      <c r="E3519" s="3">
        <v>27.803</v>
      </c>
    </row>
    <row r="3520" ht="12.75" customHeight="1">
      <c r="A3520" s="3">
        <v>239.0</v>
      </c>
      <c r="B3520" s="3">
        <v>243.0</v>
      </c>
      <c r="C3520" s="3">
        <v>3.6593E7</v>
      </c>
      <c r="D3520" s="3">
        <v>7.42</v>
      </c>
      <c r="E3520" s="3">
        <v>36.593</v>
      </c>
    </row>
    <row r="3521" ht="12.75" customHeight="1">
      <c r="A3521" s="3">
        <v>239.0</v>
      </c>
      <c r="B3521" s="3">
        <v>244.0</v>
      </c>
      <c r="C3521" s="3">
        <v>4.4293E7</v>
      </c>
      <c r="D3521" s="3">
        <v>8.21</v>
      </c>
      <c r="E3521" s="3">
        <v>44.293</v>
      </c>
    </row>
    <row r="3522" ht="12.75" customHeight="1">
      <c r="A3522" s="3">
        <v>239.0</v>
      </c>
      <c r="B3522" s="3">
        <v>245.0</v>
      </c>
      <c r="C3522" s="3">
        <v>5.2793E7</v>
      </c>
      <c r="D3522" s="3">
        <v>9.0</v>
      </c>
      <c r="E3522" s="3">
        <v>52.793</v>
      </c>
    </row>
    <row r="3523" ht="12.75" customHeight="1">
      <c r="A3523" s="3">
        <v>239.0</v>
      </c>
      <c r="B3523" s="3">
        <v>246.0</v>
      </c>
      <c r="C3523" s="3">
        <v>6.2083E7</v>
      </c>
      <c r="D3523" s="3">
        <v>9.79</v>
      </c>
      <c r="E3523" s="3">
        <v>62.083</v>
      </c>
    </row>
    <row r="3524" ht="12.75" customHeight="1">
      <c r="A3524" s="3">
        <v>239.0</v>
      </c>
      <c r="B3524" s="3">
        <v>247.0</v>
      </c>
      <c r="C3524" s="3">
        <v>7.2173E7</v>
      </c>
      <c r="D3524" s="3">
        <v>10.59</v>
      </c>
      <c r="E3524" s="3">
        <v>72.173</v>
      </c>
    </row>
    <row r="3525" ht="12.75" customHeight="1">
      <c r="A3525" s="3">
        <v>239.0</v>
      </c>
      <c r="B3525" s="3">
        <v>248.0</v>
      </c>
      <c r="C3525" s="3">
        <v>8.3063E7</v>
      </c>
      <c r="D3525" s="3">
        <v>11.38</v>
      </c>
      <c r="E3525" s="3">
        <v>83.063</v>
      </c>
    </row>
    <row r="3526" ht="12.75" customHeight="1">
      <c r="A3526" s="3">
        <v>239.0</v>
      </c>
      <c r="B3526" s="3">
        <v>249.0</v>
      </c>
      <c r="C3526" s="3">
        <v>9.4753E7</v>
      </c>
      <c r="D3526" s="3">
        <v>12.18</v>
      </c>
      <c r="E3526" s="3">
        <v>94.753</v>
      </c>
    </row>
    <row r="3527" ht="12.75" customHeight="1">
      <c r="A3527" s="3">
        <v>239.0</v>
      </c>
      <c r="B3527" s="3">
        <v>250.0</v>
      </c>
      <c r="C3527" s="3">
        <v>1.07243E8</v>
      </c>
      <c r="D3527" s="3">
        <v>12.98</v>
      </c>
      <c r="E3527" s="3">
        <v>107.243</v>
      </c>
    </row>
    <row r="3528" ht="12.75" customHeight="1">
      <c r="A3528" s="3">
        <v>240.0</v>
      </c>
      <c r="B3528" s="3">
        <v>342.49</v>
      </c>
      <c r="C3528" s="3">
        <v>0.0</v>
      </c>
      <c r="D3528" s="3">
        <v>0.0</v>
      </c>
      <c r="E3528" s="3">
        <v>0.0</v>
      </c>
    </row>
    <row r="3529" ht="12.75" customHeight="1">
      <c r="A3529" s="3">
        <v>240.0</v>
      </c>
      <c r="B3529" s="3">
        <v>343.0</v>
      </c>
      <c r="C3529" s="3">
        <v>300.0</v>
      </c>
      <c r="D3529" s="3">
        <v>0.0015</v>
      </c>
      <c r="E3529" s="3">
        <v>3.0E-4</v>
      </c>
    </row>
    <row r="3530" ht="12.75" customHeight="1">
      <c r="A3530" s="3">
        <v>240.0</v>
      </c>
      <c r="B3530" s="3">
        <v>344.0</v>
      </c>
      <c r="C3530" s="3">
        <v>8700.0</v>
      </c>
      <c r="D3530" s="3">
        <v>0.0204</v>
      </c>
      <c r="E3530" s="3">
        <v>0.0087</v>
      </c>
    </row>
    <row r="3531" ht="12.75" customHeight="1">
      <c r="A3531" s="3">
        <v>240.0</v>
      </c>
      <c r="B3531" s="3">
        <v>345.0</v>
      </c>
      <c r="C3531" s="3">
        <v>60000.0</v>
      </c>
      <c r="D3531" s="3">
        <v>0.0909</v>
      </c>
      <c r="E3531" s="3">
        <v>0.06</v>
      </c>
    </row>
    <row r="3532" ht="12.75" customHeight="1">
      <c r="A3532" s="3">
        <v>240.0</v>
      </c>
      <c r="B3532" s="3">
        <v>346.0</v>
      </c>
      <c r="C3532" s="3">
        <v>200000.0</v>
      </c>
      <c r="D3532" s="3">
        <v>0.197</v>
      </c>
      <c r="E3532" s="3">
        <v>0.2</v>
      </c>
    </row>
    <row r="3533" ht="12.75" customHeight="1">
      <c r="A3533" s="3">
        <v>240.0</v>
      </c>
      <c r="B3533" s="3">
        <v>347.0</v>
      </c>
      <c r="C3533" s="3">
        <v>477000.0</v>
      </c>
      <c r="D3533" s="3">
        <v>0.3771</v>
      </c>
      <c r="E3533" s="3">
        <v>0.477</v>
      </c>
    </row>
    <row r="3534" ht="12.75" customHeight="1">
      <c r="A3534" s="3">
        <v>240.0</v>
      </c>
      <c r="B3534" s="3">
        <v>348.0</v>
      </c>
      <c r="C3534" s="3">
        <v>996000.0</v>
      </c>
      <c r="D3534" s="3">
        <v>0.6755</v>
      </c>
      <c r="E3534" s="3">
        <v>0.996</v>
      </c>
    </row>
    <row r="3535" ht="12.75" customHeight="1">
      <c r="A3535" s="3">
        <v>240.0</v>
      </c>
      <c r="B3535" s="3">
        <v>349.0</v>
      </c>
      <c r="C3535" s="3">
        <v>1867000.0</v>
      </c>
      <c r="D3535" s="3">
        <v>1.091</v>
      </c>
      <c r="E3535" s="3">
        <v>1.867</v>
      </c>
    </row>
    <row r="3536" ht="12.75" customHeight="1">
      <c r="A3536" s="3">
        <v>240.0</v>
      </c>
      <c r="B3536" s="3">
        <v>350.0</v>
      </c>
      <c r="C3536" s="3">
        <v>3217000.0</v>
      </c>
      <c r="D3536" s="3">
        <v>1.654</v>
      </c>
      <c r="E3536" s="3">
        <v>3.217</v>
      </c>
    </row>
    <row r="3537" ht="12.75" customHeight="1">
      <c r="A3537" s="3">
        <v>240.0</v>
      </c>
      <c r="B3537" s="3">
        <v>351.0</v>
      </c>
      <c r="C3537" s="3">
        <v>5224000.0</v>
      </c>
      <c r="D3537" s="3">
        <v>2.36</v>
      </c>
      <c r="E3537" s="3">
        <v>5.224</v>
      </c>
    </row>
    <row r="3538" ht="12.75" customHeight="1">
      <c r="A3538" s="3">
        <v>240.0</v>
      </c>
      <c r="B3538" s="3">
        <v>352.0</v>
      </c>
      <c r="C3538" s="3">
        <v>7977000.0</v>
      </c>
      <c r="D3538" s="3">
        <v>3.137</v>
      </c>
      <c r="E3538" s="3">
        <v>7.977</v>
      </c>
    </row>
    <row r="3539" ht="12.75" customHeight="1">
      <c r="A3539" s="3">
        <v>240.0</v>
      </c>
      <c r="B3539" s="3">
        <v>353.0</v>
      </c>
      <c r="C3539" s="3">
        <v>1.149E7</v>
      </c>
      <c r="D3539" s="3">
        <v>3.843</v>
      </c>
      <c r="E3539" s="3">
        <v>11.49</v>
      </c>
    </row>
    <row r="3540" ht="12.75" customHeight="1">
      <c r="A3540" s="3">
        <v>240.0</v>
      </c>
      <c r="B3540" s="3">
        <v>354.0</v>
      </c>
      <c r="C3540" s="3">
        <v>1.553E7</v>
      </c>
      <c r="D3540" s="3">
        <v>4.179</v>
      </c>
      <c r="E3540" s="3">
        <v>15.53</v>
      </c>
    </row>
    <row r="3541" ht="12.75" customHeight="1">
      <c r="A3541" s="3">
        <v>240.0</v>
      </c>
      <c r="B3541" s="3">
        <v>354.67</v>
      </c>
      <c r="C3541" s="3">
        <v>1.838E7</v>
      </c>
      <c r="D3541" s="3">
        <v>4.312</v>
      </c>
      <c r="E3541" s="3">
        <v>18.38</v>
      </c>
    </row>
    <row r="3542" ht="12.75" customHeight="1">
      <c r="A3542" s="3">
        <v>240.0</v>
      </c>
      <c r="B3542" s="3">
        <v>355.0</v>
      </c>
      <c r="C3542" s="3">
        <v>2.013E7</v>
      </c>
      <c r="D3542" s="3">
        <v>4.563</v>
      </c>
      <c r="E3542" s="3">
        <v>20.13</v>
      </c>
    </row>
    <row r="3543" ht="12.75" customHeight="1">
      <c r="A3543" s="3">
        <v>240.0</v>
      </c>
      <c r="B3543" s="3">
        <v>357.5</v>
      </c>
      <c r="C3543" s="3">
        <v>3.86E7</v>
      </c>
      <c r="D3543" s="3">
        <v>6.812</v>
      </c>
      <c r="E3543" s="3">
        <v>38.6</v>
      </c>
    </row>
    <row r="3544" ht="12.75" customHeight="1">
      <c r="A3544" s="3">
        <v>240.0</v>
      </c>
      <c r="B3544" s="3">
        <v>360.0</v>
      </c>
      <c r="C3544" s="3">
        <v>6.3E7</v>
      </c>
      <c r="D3544" s="3">
        <v>9.285</v>
      </c>
      <c r="E3544" s="3">
        <v>63.0</v>
      </c>
    </row>
    <row r="3545" ht="12.75" customHeight="1">
      <c r="A3545" s="3">
        <v>240.0</v>
      </c>
      <c r="B3545" s="3">
        <v>362.5</v>
      </c>
      <c r="C3545" s="3">
        <v>9.38E7</v>
      </c>
      <c r="D3545" s="3">
        <v>11.937</v>
      </c>
      <c r="E3545" s="3">
        <v>93.8</v>
      </c>
    </row>
    <row r="3546" ht="12.75" customHeight="1">
      <c r="A3546" s="3">
        <v>240.0</v>
      </c>
      <c r="B3546" s="3">
        <v>365.0</v>
      </c>
      <c r="C3546" s="3">
        <v>1.3157E8</v>
      </c>
      <c r="D3546" s="3">
        <v>14.855</v>
      </c>
      <c r="E3546" s="3">
        <v>131.57</v>
      </c>
    </row>
    <row r="3547" ht="12.75" customHeight="1">
      <c r="A3547" s="3">
        <v>240.0</v>
      </c>
      <c r="B3547" s="3">
        <v>367.5</v>
      </c>
      <c r="C3547" s="3">
        <v>1.768E8</v>
      </c>
      <c r="D3547" s="3">
        <v>17.882</v>
      </c>
      <c r="E3547" s="3">
        <v>176.8</v>
      </c>
    </row>
    <row r="3548" ht="12.75" customHeight="1">
      <c r="A3548" s="3">
        <v>240.0</v>
      </c>
      <c r="B3548" s="3">
        <v>368.0</v>
      </c>
      <c r="C3548" s="3">
        <v>1.877E8</v>
      </c>
      <c r="D3548" s="3">
        <v>18.605</v>
      </c>
      <c r="E3548" s="3">
        <v>187.7</v>
      </c>
    </row>
    <row r="3549" ht="12.75" customHeight="1">
      <c r="A3549" s="3">
        <v>240.0</v>
      </c>
      <c r="B3549" s="3">
        <v>370.0</v>
      </c>
      <c r="C3549" s="3">
        <v>2.3026E8</v>
      </c>
      <c r="D3549" s="3">
        <v>21.496</v>
      </c>
      <c r="E3549" s="3">
        <v>230.26</v>
      </c>
    </row>
    <row r="3550" ht="12.75" customHeight="1">
      <c r="A3550" s="3">
        <v>244.0</v>
      </c>
      <c r="B3550" s="3">
        <v>105.5</v>
      </c>
      <c r="C3550" s="3">
        <v>0.0</v>
      </c>
      <c r="D3550" s="3">
        <v>0.0</v>
      </c>
      <c r="E3550" s="3">
        <v>0.0</v>
      </c>
    </row>
    <row r="3551" ht="12.75" customHeight="1">
      <c r="A3551" s="3">
        <v>244.0</v>
      </c>
      <c r="B3551" s="3">
        <v>106.0</v>
      </c>
      <c r="C3551" s="3">
        <v>25.0</v>
      </c>
      <c r="D3551" s="3">
        <v>2.0E-4</v>
      </c>
      <c r="E3551" s="3">
        <v>2.5E-5</v>
      </c>
    </row>
    <row r="3552" ht="12.75" customHeight="1">
      <c r="A3552" s="3">
        <v>244.0</v>
      </c>
      <c r="B3552" s="3">
        <v>107.0</v>
      </c>
      <c r="C3552" s="3">
        <v>1474.0</v>
      </c>
      <c r="D3552" s="3">
        <v>0.0046</v>
      </c>
      <c r="E3552" s="3">
        <v>0.001474</v>
      </c>
    </row>
    <row r="3553" ht="12.75" customHeight="1">
      <c r="A3553" s="3">
        <v>244.0</v>
      </c>
      <c r="B3553" s="3">
        <v>108.0</v>
      </c>
      <c r="C3553" s="3">
        <v>22769.0</v>
      </c>
      <c r="D3553" s="3">
        <v>0.0494</v>
      </c>
      <c r="E3553" s="3">
        <v>0.022769</v>
      </c>
    </row>
    <row r="3554" ht="12.75" customHeight="1">
      <c r="A3554" s="3">
        <v>244.0</v>
      </c>
      <c r="B3554" s="3">
        <v>109.0</v>
      </c>
      <c r="C3554" s="3">
        <v>143642.0</v>
      </c>
      <c r="D3554" s="3">
        <v>0.1946</v>
      </c>
      <c r="E3554" s="3">
        <v>0.143642</v>
      </c>
    </row>
    <row r="3555" ht="12.75" customHeight="1">
      <c r="A3555" s="3">
        <v>244.0</v>
      </c>
      <c r="B3555" s="3">
        <v>110.0</v>
      </c>
      <c r="C3555" s="3">
        <v>418103.0</v>
      </c>
      <c r="D3555" s="3">
        <v>0.3605</v>
      </c>
      <c r="E3555" s="3">
        <v>0.418103</v>
      </c>
    </row>
    <row r="3556" ht="12.75" customHeight="1">
      <c r="A3556" s="3">
        <v>244.0</v>
      </c>
      <c r="B3556" s="3">
        <v>111.0</v>
      </c>
      <c r="C3556" s="3">
        <v>865150.0</v>
      </c>
      <c r="D3556" s="3">
        <v>0.535</v>
      </c>
      <c r="E3556" s="3">
        <v>0.86515</v>
      </c>
    </row>
    <row r="3557" ht="12.75" customHeight="1">
      <c r="A3557" s="3">
        <v>244.0</v>
      </c>
      <c r="B3557" s="3">
        <v>112.0</v>
      </c>
      <c r="C3557" s="3">
        <v>1506052.0</v>
      </c>
      <c r="D3557" s="3">
        <v>0.7489</v>
      </c>
      <c r="E3557" s="3">
        <v>1.506052</v>
      </c>
    </row>
    <row r="3558" ht="12.75" customHeight="1">
      <c r="A3558" s="3">
        <v>244.0</v>
      </c>
      <c r="B3558" s="3">
        <v>113.0</v>
      </c>
      <c r="C3558" s="3">
        <v>2371173.0</v>
      </c>
      <c r="D3558" s="3">
        <v>0.9788</v>
      </c>
      <c r="E3558" s="3">
        <v>2.371173</v>
      </c>
    </row>
    <row r="3559" ht="12.75" customHeight="1">
      <c r="A3559" s="3">
        <v>244.0</v>
      </c>
      <c r="B3559" s="3">
        <v>114.0</v>
      </c>
      <c r="C3559" s="3">
        <v>3471130.0</v>
      </c>
      <c r="D3559" s="3">
        <v>1.211</v>
      </c>
      <c r="E3559" s="3">
        <v>3.47113</v>
      </c>
    </row>
    <row r="3560" ht="12.75" customHeight="1">
      <c r="A3560" s="3">
        <v>244.0</v>
      </c>
      <c r="B3560" s="3">
        <v>115.0</v>
      </c>
      <c r="C3560" s="3">
        <v>4723343.0</v>
      </c>
      <c r="D3560" s="3">
        <v>1.2707</v>
      </c>
      <c r="E3560" s="3">
        <v>4.723343</v>
      </c>
    </row>
    <row r="3561" ht="12.75" customHeight="1">
      <c r="A3561" s="3">
        <v>244.0</v>
      </c>
      <c r="B3561" s="3">
        <v>115.5</v>
      </c>
      <c r="C3561" s="3">
        <v>5361614.0</v>
      </c>
      <c r="D3561" s="3">
        <v>1.2824</v>
      </c>
      <c r="E3561" s="3">
        <v>5.361614</v>
      </c>
    </row>
    <row r="3562" ht="12.75" customHeight="1">
      <c r="A3562" s="3">
        <v>244.0</v>
      </c>
      <c r="B3562" s="3">
        <v>116.0</v>
      </c>
      <c r="C3562" s="3">
        <v>6000000.0</v>
      </c>
      <c r="D3562" s="3">
        <v>1.3373</v>
      </c>
      <c r="E3562" s="3">
        <v>6.0</v>
      </c>
    </row>
    <row r="3563" ht="12.75" customHeight="1">
      <c r="A3563" s="3">
        <v>244.0</v>
      </c>
      <c r="B3563" s="3">
        <v>116.5</v>
      </c>
      <c r="C3563" s="3">
        <v>7437752.0</v>
      </c>
      <c r="D3563" s="3">
        <v>1.4173</v>
      </c>
      <c r="E3563" s="3">
        <v>7.437752</v>
      </c>
    </row>
    <row r="3564" ht="12.75" customHeight="1">
      <c r="A3564" s="3">
        <v>244.0</v>
      </c>
      <c r="B3564" s="3">
        <v>117.0</v>
      </c>
      <c r="C3564" s="3">
        <v>8215152.0</v>
      </c>
      <c r="D3564" s="3">
        <v>1.5073</v>
      </c>
      <c r="E3564" s="3">
        <v>8.215152</v>
      </c>
    </row>
    <row r="3565" ht="12.75" customHeight="1">
      <c r="A3565" s="3">
        <v>254.0</v>
      </c>
      <c r="B3565" s="3">
        <v>102.5</v>
      </c>
      <c r="C3565" s="3">
        <v>0.0</v>
      </c>
      <c r="D3565" s="3">
        <v>0.0</v>
      </c>
      <c r="E3565" s="3">
        <v>0.0</v>
      </c>
    </row>
    <row r="3566" ht="12.75" customHeight="1">
      <c r="A3566" s="3">
        <v>254.0</v>
      </c>
      <c r="B3566" s="3">
        <v>105.0</v>
      </c>
      <c r="C3566" s="3">
        <v>10915.0</v>
      </c>
      <c r="D3566" s="3">
        <v>0.013</v>
      </c>
      <c r="E3566" s="3">
        <v>0.010915</v>
      </c>
    </row>
    <row r="3567" ht="12.75" customHeight="1">
      <c r="A3567" s="3">
        <v>254.0</v>
      </c>
      <c r="B3567" s="3">
        <v>106.0</v>
      </c>
      <c r="C3567" s="3">
        <v>31306.0</v>
      </c>
      <c r="D3567" s="3">
        <v>0.029</v>
      </c>
      <c r="E3567" s="3">
        <v>0.031306</v>
      </c>
    </row>
    <row r="3568" ht="12.75" customHeight="1">
      <c r="A3568" s="3">
        <v>254.0</v>
      </c>
      <c r="B3568" s="3">
        <v>108.0</v>
      </c>
      <c r="C3568" s="3">
        <v>179003.0</v>
      </c>
      <c r="D3568" s="3">
        <v>0.131</v>
      </c>
      <c r="E3568" s="3">
        <v>0.179003</v>
      </c>
    </row>
    <row r="3569" ht="12.75" customHeight="1">
      <c r="A3569" s="3">
        <v>254.0</v>
      </c>
      <c r="B3569" s="3">
        <v>110.0</v>
      </c>
      <c r="C3569" s="3">
        <v>807652.0</v>
      </c>
      <c r="D3569" s="3">
        <v>0.544</v>
      </c>
      <c r="E3569" s="3">
        <v>0.807652</v>
      </c>
    </row>
    <row r="3570" ht="12.75" customHeight="1">
      <c r="A3570" s="3">
        <v>254.0</v>
      </c>
      <c r="B3570" s="3">
        <v>112.0</v>
      </c>
      <c r="C3570" s="3">
        <v>2651442.0</v>
      </c>
      <c r="D3570" s="3">
        <v>1.361</v>
      </c>
      <c r="E3570" s="3">
        <v>2.651442</v>
      </c>
    </row>
    <row r="3571" ht="12.75" customHeight="1">
      <c r="A3571" s="3">
        <v>254.0</v>
      </c>
      <c r="B3571" s="3">
        <v>114.0</v>
      </c>
      <c r="C3571" s="3">
        <v>6455866.0</v>
      </c>
      <c r="D3571" s="3">
        <v>2.501</v>
      </c>
      <c r="E3571" s="3">
        <v>6.455866</v>
      </c>
    </row>
    <row r="3572" ht="12.75" customHeight="1">
      <c r="A3572" s="3">
        <v>254.0</v>
      </c>
      <c r="B3572" s="3">
        <v>116.0</v>
      </c>
      <c r="C3572" s="3">
        <v>1.2697548E7</v>
      </c>
      <c r="D3572" s="3">
        <v>3.785</v>
      </c>
      <c r="E3572" s="3">
        <v>12.697548</v>
      </c>
    </row>
    <row r="3573" ht="12.75" customHeight="1">
      <c r="A3573" s="3">
        <v>254.0</v>
      </c>
      <c r="B3573" s="3">
        <v>118.0</v>
      </c>
      <c r="C3573" s="3">
        <v>2.2351981E7</v>
      </c>
      <c r="D3573" s="3">
        <v>5.951</v>
      </c>
      <c r="E3573" s="3">
        <v>22.351981</v>
      </c>
    </row>
    <row r="3574" ht="12.75" customHeight="1">
      <c r="A3574" s="3">
        <v>254.0</v>
      </c>
      <c r="B3574" s="3">
        <v>120.0</v>
      </c>
      <c r="C3574" s="3">
        <v>3.6297723E7</v>
      </c>
      <c r="D3574" s="3">
        <v>8.148</v>
      </c>
      <c r="E3574" s="3">
        <v>36.297723</v>
      </c>
    </row>
    <row r="3575" ht="12.75" customHeight="1">
      <c r="A3575" s="3">
        <v>254.0</v>
      </c>
      <c r="B3575" s="3">
        <v>122.0</v>
      </c>
      <c r="C3575" s="3">
        <v>5.4831132E7</v>
      </c>
      <c r="D3575" s="3">
        <v>10.542</v>
      </c>
      <c r="E3575" s="3">
        <v>54.831132</v>
      </c>
    </row>
    <row r="3576" ht="12.75" customHeight="1">
      <c r="A3576" s="3">
        <v>254.0</v>
      </c>
      <c r="B3576" s="3">
        <v>124.0</v>
      </c>
      <c r="C3576" s="3">
        <v>7.8583423E7</v>
      </c>
      <c r="D3576" s="3">
        <v>12.263</v>
      </c>
      <c r="E3576" s="3">
        <v>78.583423</v>
      </c>
    </row>
    <row r="3577" ht="12.75" customHeight="1">
      <c r="A3577" s="3">
        <v>254.0</v>
      </c>
      <c r="B3577" s="3">
        <v>126.0</v>
      </c>
      <c r="C3577" s="3">
        <v>1.098177E8</v>
      </c>
      <c r="D3577" s="3">
        <v>18.096</v>
      </c>
      <c r="E3577" s="3">
        <v>109.8177</v>
      </c>
    </row>
    <row r="3578" ht="12.75" customHeight="1">
      <c r="A3578" s="3">
        <v>254.0</v>
      </c>
      <c r="B3578" s="3">
        <v>128.0</v>
      </c>
      <c r="C3578" s="3">
        <v>1.51481374E8</v>
      </c>
      <c r="D3578" s="3">
        <v>23.693</v>
      </c>
      <c r="E3578" s="3">
        <v>151.481374</v>
      </c>
    </row>
    <row r="3579" ht="12.75" customHeight="1">
      <c r="A3579" s="3">
        <v>254.0</v>
      </c>
      <c r="B3579" s="3">
        <v>130.0</v>
      </c>
      <c r="C3579" s="3">
        <v>2.04394868E8</v>
      </c>
      <c r="D3579" s="3">
        <v>29.321</v>
      </c>
      <c r="E3579" s="3">
        <v>204.394868</v>
      </c>
    </row>
    <row r="3580" ht="12.75" customHeight="1">
      <c r="A3580" s="3">
        <v>254.0</v>
      </c>
      <c r="B3580" s="3">
        <v>132.0</v>
      </c>
      <c r="C3580" s="3">
        <v>2.74457228E8</v>
      </c>
      <c r="D3580" s="3">
        <v>41.071</v>
      </c>
      <c r="E3580" s="3">
        <v>274.457228</v>
      </c>
    </row>
    <row r="3581" ht="12.75" customHeight="1">
      <c r="A3581" s="3">
        <v>254.0</v>
      </c>
      <c r="B3581" s="3">
        <v>133.0</v>
      </c>
      <c r="C3581" s="3">
        <v>3.2E8</v>
      </c>
      <c r="D3581" s="3">
        <v>46.431</v>
      </c>
      <c r="E3581" s="3">
        <v>320.0</v>
      </c>
    </row>
    <row r="3582" ht="12.75" customHeight="1">
      <c r="A3582" s="3">
        <v>254.0</v>
      </c>
      <c r="B3582" s="3">
        <v>134.0</v>
      </c>
      <c r="C3582" s="3">
        <v>3.67111803E8</v>
      </c>
      <c r="D3582" s="3">
        <v>51.791</v>
      </c>
      <c r="E3582" s="3">
        <v>367.111803</v>
      </c>
    </row>
    <row r="3583" ht="12.75" customHeight="1">
      <c r="A3583" s="3">
        <v>254.0</v>
      </c>
      <c r="B3583" s="3">
        <v>135.0</v>
      </c>
      <c r="C3583" s="3">
        <v>4.20983138E8</v>
      </c>
      <c r="D3583" s="3">
        <v>55.979</v>
      </c>
      <c r="E3583" s="3">
        <v>420.983138</v>
      </c>
    </row>
    <row r="3584" ht="12.75" customHeight="1">
      <c r="A3584" s="3">
        <v>1119.0</v>
      </c>
      <c r="B3584" s="3">
        <v>39.15</v>
      </c>
      <c r="C3584" s="3">
        <v>0.0</v>
      </c>
      <c r="D3584" s="3">
        <v>0.0</v>
      </c>
      <c r="E3584" s="3">
        <v>0.0</v>
      </c>
    </row>
    <row r="3585" ht="12.75" customHeight="1">
      <c r="A3585" s="3">
        <v>1119.0</v>
      </c>
      <c r="B3585" s="3">
        <v>40.0</v>
      </c>
      <c r="C3585" s="3">
        <v>81.0</v>
      </c>
      <c r="D3585" s="3">
        <v>0.0</v>
      </c>
      <c r="E3585" s="3">
        <v>8.1E-5</v>
      </c>
    </row>
    <row r="3586" ht="12.75" customHeight="1">
      <c r="A3586" s="3">
        <v>1119.0</v>
      </c>
      <c r="B3586" s="3">
        <v>41.0</v>
      </c>
      <c r="C3586" s="3">
        <v>1535.0</v>
      </c>
      <c r="D3586" s="3">
        <v>0.013</v>
      </c>
      <c r="E3586" s="3">
        <v>0.001535</v>
      </c>
    </row>
    <row r="3587" ht="12.75" customHeight="1">
      <c r="A3587" s="3">
        <v>1119.0</v>
      </c>
      <c r="B3587" s="3">
        <v>42.0</v>
      </c>
      <c r="C3587" s="3">
        <v>20513.0</v>
      </c>
      <c r="D3587" s="3">
        <v>0.041</v>
      </c>
      <c r="E3587" s="3">
        <v>0.020513</v>
      </c>
    </row>
    <row r="3588" ht="12.75" customHeight="1">
      <c r="A3588" s="3">
        <v>1119.0</v>
      </c>
      <c r="B3588" s="3">
        <v>43.0</v>
      </c>
      <c r="C3588" s="3">
        <v>91757.0</v>
      </c>
      <c r="D3588" s="3">
        <v>0.148</v>
      </c>
      <c r="E3588" s="3">
        <v>0.091757</v>
      </c>
    </row>
    <row r="3589" ht="12.75" customHeight="1">
      <c r="A3589" s="3">
        <v>1119.0</v>
      </c>
      <c r="B3589" s="3">
        <v>44.0</v>
      </c>
      <c r="C3589" s="3">
        <v>350581.0</v>
      </c>
      <c r="D3589" s="3">
        <v>0.431</v>
      </c>
      <c r="E3589" s="3">
        <v>0.350581</v>
      </c>
    </row>
    <row r="3590" ht="12.75" customHeight="1">
      <c r="A3590" s="3">
        <v>1119.0</v>
      </c>
      <c r="B3590" s="3">
        <v>45.0</v>
      </c>
      <c r="C3590" s="3">
        <v>1012839.0</v>
      </c>
      <c r="D3590" s="3">
        <v>0.914</v>
      </c>
      <c r="E3590" s="3">
        <v>1.012839</v>
      </c>
    </row>
    <row r="3591" ht="12.75" customHeight="1">
      <c r="A3591" s="3">
        <v>1119.0</v>
      </c>
      <c r="B3591" s="3">
        <v>46.0</v>
      </c>
      <c r="C3591" s="3">
        <v>2212104.0</v>
      </c>
      <c r="D3591" s="3">
        <v>1.55</v>
      </c>
      <c r="E3591" s="3">
        <v>2.212104</v>
      </c>
    </row>
    <row r="3592" ht="12.75" customHeight="1">
      <c r="A3592" s="3">
        <v>1119.0</v>
      </c>
      <c r="B3592" s="3">
        <v>47.0</v>
      </c>
      <c r="C3592" s="3">
        <v>4096588.0</v>
      </c>
      <c r="D3592" s="3">
        <v>2.32</v>
      </c>
      <c r="E3592" s="3">
        <v>4.096588</v>
      </c>
    </row>
    <row r="3593" ht="12.75" customHeight="1">
      <c r="A3593" s="3">
        <v>1119.0</v>
      </c>
      <c r="B3593" s="3">
        <v>48.0</v>
      </c>
      <c r="C3593" s="3">
        <v>6853797.0</v>
      </c>
      <c r="D3593" s="3">
        <v>3.218</v>
      </c>
      <c r="E3593" s="3">
        <v>6.853797</v>
      </c>
    </row>
    <row r="3594" ht="12.75" customHeight="1">
      <c r="A3594" s="3">
        <v>1119.0</v>
      </c>
      <c r="B3594" s="3">
        <v>49.0</v>
      </c>
      <c r="C3594" s="3">
        <v>1.052841E7</v>
      </c>
      <c r="D3594" s="3">
        <v>4.176</v>
      </c>
      <c r="E3594" s="3">
        <v>10.52841</v>
      </c>
    </row>
    <row r="3595" ht="12.75" customHeight="1">
      <c r="A3595" s="3">
        <v>1119.0</v>
      </c>
      <c r="B3595" s="3">
        <v>50.0</v>
      </c>
      <c r="C3595" s="3">
        <v>1.5236407E7</v>
      </c>
      <c r="D3595" s="3">
        <v>5.283</v>
      </c>
      <c r="E3595" s="3">
        <v>15.236407</v>
      </c>
    </row>
    <row r="3596" ht="12.75" customHeight="1">
      <c r="A3596" s="3">
        <v>1119.0</v>
      </c>
      <c r="B3596" s="3">
        <v>51.0</v>
      </c>
      <c r="C3596" s="3">
        <v>2.1083083E7</v>
      </c>
      <c r="D3596" s="3">
        <v>6.505</v>
      </c>
      <c r="E3596" s="3">
        <v>21.083083</v>
      </c>
    </row>
    <row r="3597" ht="12.75" customHeight="1">
      <c r="A3597" s="3">
        <v>1119.0</v>
      </c>
      <c r="B3597" s="3">
        <v>52.0</v>
      </c>
      <c r="C3597" s="3">
        <v>2.8129792E7</v>
      </c>
      <c r="D3597" s="3">
        <v>7.567</v>
      </c>
      <c r="E3597" s="3">
        <v>28.129792</v>
      </c>
    </row>
    <row r="3598" ht="12.75" customHeight="1">
      <c r="A3598" s="3">
        <v>1119.0</v>
      </c>
      <c r="B3598" s="3">
        <v>53.0</v>
      </c>
      <c r="C3598" s="3">
        <v>3.6194594E7</v>
      </c>
      <c r="D3598" s="3">
        <v>8.792</v>
      </c>
      <c r="E3598" s="3">
        <v>36.194594</v>
      </c>
    </row>
    <row r="3599" ht="12.75" customHeight="1">
      <c r="A3599" s="3">
        <v>1119.0</v>
      </c>
      <c r="B3599" s="3">
        <v>53.1</v>
      </c>
      <c r="C3599" s="3">
        <v>3.7042495E7</v>
      </c>
      <c r="D3599" s="3">
        <v>9.132</v>
      </c>
      <c r="E3599" s="3">
        <v>37.042495</v>
      </c>
    </row>
    <row r="3600" ht="12.75" customHeight="1">
      <c r="A3600" s="3">
        <v>1119.0</v>
      </c>
      <c r="B3600" s="3">
        <v>54.0</v>
      </c>
      <c r="C3600" s="3">
        <v>4.6061528E7</v>
      </c>
      <c r="D3600" s="3">
        <v>10.911</v>
      </c>
      <c r="E3600" s="3">
        <v>46.061528</v>
      </c>
    </row>
    <row r="3601" ht="12.75" customHeight="1">
      <c r="A3601" s="3">
        <v>1119.0</v>
      </c>
      <c r="B3601" s="3">
        <v>54.7</v>
      </c>
      <c r="C3601" s="3">
        <v>5.4369088E7</v>
      </c>
      <c r="D3601" s="3">
        <v>12.825</v>
      </c>
      <c r="E3601" s="3">
        <v>54.369088</v>
      </c>
    </row>
    <row r="3602" ht="12.75" customHeight="1">
      <c r="A3602" s="3">
        <v>1119.0</v>
      </c>
      <c r="B3602" s="3">
        <v>55.0</v>
      </c>
      <c r="C3602" s="3">
        <v>5.8348683E7</v>
      </c>
      <c r="D3602" s="3">
        <v>13.705</v>
      </c>
      <c r="E3602" s="3">
        <v>58.348683</v>
      </c>
    </row>
    <row r="3603" ht="12.75" customHeight="1">
      <c r="A3603" s="3">
        <v>1119.0</v>
      </c>
      <c r="B3603" s="3">
        <v>56.0</v>
      </c>
      <c r="C3603" s="3">
        <v>7.3789231E7</v>
      </c>
      <c r="D3603" s="3">
        <v>17.176</v>
      </c>
      <c r="E3603" s="3">
        <v>73.789231</v>
      </c>
    </row>
    <row r="3604" ht="12.75" customHeight="1">
      <c r="A3604" s="3">
        <v>1120.0</v>
      </c>
      <c r="B3604" s="3">
        <v>246.76</v>
      </c>
      <c r="C3604" s="3">
        <v>0.0</v>
      </c>
      <c r="D3604" s="3">
        <v>0.0</v>
      </c>
      <c r="E3604" s="3">
        <v>0.0</v>
      </c>
    </row>
    <row r="3605" ht="12.75" customHeight="1">
      <c r="A3605" s="3">
        <v>1120.0</v>
      </c>
      <c r="B3605" s="3">
        <v>247.0</v>
      </c>
      <c r="C3605" s="3">
        <v>4.0</v>
      </c>
      <c r="D3605" s="3">
        <v>0.0</v>
      </c>
      <c r="E3605" s="3">
        <v>4.0E-6</v>
      </c>
    </row>
    <row r="3606" ht="12.75" customHeight="1">
      <c r="A3606" s="3">
        <v>1120.0</v>
      </c>
      <c r="B3606" s="3">
        <v>248.0</v>
      </c>
      <c r="C3606" s="3">
        <v>600.0</v>
      </c>
      <c r="D3606" s="3">
        <v>0.002</v>
      </c>
      <c r="E3606" s="3">
        <v>6.0E-4</v>
      </c>
    </row>
    <row r="3607" ht="12.75" customHeight="1">
      <c r="A3607" s="3">
        <v>1120.0</v>
      </c>
      <c r="B3607" s="3">
        <v>249.0</v>
      </c>
      <c r="C3607" s="3">
        <v>14000.0</v>
      </c>
      <c r="D3607" s="3">
        <v>0.037</v>
      </c>
      <c r="E3607" s="3">
        <v>0.014</v>
      </c>
    </row>
    <row r="3608" ht="12.75" customHeight="1">
      <c r="A3608" s="3">
        <v>1120.0</v>
      </c>
      <c r="B3608" s="3">
        <v>250.0</v>
      </c>
      <c r="C3608" s="3">
        <v>67000.0</v>
      </c>
      <c r="D3608" s="3">
        <v>0.06</v>
      </c>
      <c r="E3608" s="3">
        <v>0.067</v>
      </c>
    </row>
    <row r="3609" ht="12.75" customHeight="1">
      <c r="A3609" s="3">
        <v>1120.0</v>
      </c>
      <c r="B3609" s="3">
        <v>250.23</v>
      </c>
      <c r="C3609" s="3">
        <v>81000.0</v>
      </c>
      <c r="D3609" s="3">
        <v>0.06</v>
      </c>
      <c r="E3609" s="3">
        <v>0.081</v>
      </c>
    </row>
    <row r="3610" ht="12.75" customHeight="1">
      <c r="A3610" s="3">
        <v>1120.0</v>
      </c>
      <c r="B3610" s="3">
        <v>251.0</v>
      </c>
      <c r="C3610" s="3">
        <v>1070000.0</v>
      </c>
      <c r="D3610" s="3">
        <v>0.45</v>
      </c>
      <c r="E3610" s="3">
        <v>1.07</v>
      </c>
    </row>
    <row r="3611" ht="12.75" customHeight="1">
      <c r="A3611" s="3">
        <v>1120.0</v>
      </c>
      <c r="B3611" s="3">
        <v>252.0</v>
      </c>
      <c r="C3611" s="3">
        <v>3027000.0</v>
      </c>
      <c r="D3611" s="3">
        <v>1.29</v>
      </c>
      <c r="E3611" s="3">
        <v>3.027</v>
      </c>
    </row>
    <row r="3612" ht="12.75" customHeight="1">
      <c r="A3612" s="3">
        <v>1120.0</v>
      </c>
      <c r="B3612" s="3">
        <v>253.0</v>
      </c>
      <c r="C3612" s="3">
        <v>5630000.0</v>
      </c>
      <c r="D3612" s="3">
        <v>1.74</v>
      </c>
      <c r="E3612" s="3">
        <v>5.63</v>
      </c>
    </row>
    <row r="3613" ht="12.75" customHeight="1">
      <c r="A3613" s="3">
        <v>1120.0</v>
      </c>
      <c r="B3613" s="3">
        <v>254.0</v>
      </c>
      <c r="C3613" s="3">
        <v>8718000.0</v>
      </c>
      <c r="D3613" s="3">
        <v>2.26</v>
      </c>
      <c r="E3613" s="3">
        <v>8.718</v>
      </c>
    </row>
    <row r="3614" ht="12.75" customHeight="1">
      <c r="A3614" s="3">
        <v>1120.0</v>
      </c>
      <c r="B3614" s="3">
        <v>255.0</v>
      </c>
      <c r="C3614" s="3">
        <v>1.235E7</v>
      </c>
      <c r="D3614" s="3">
        <v>2.83</v>
      </c>
      <c r="E3614" s="3">
        <v>12.35</v>
      </c>
    </row>
    <row r="3615" ht="12.75" customHeight="1">
      <c r="A3615" s="3">
        <v>1120.0</v>
      </c>
      <c r="B3615" s="3">
        <v>256.0</v>
      </c>
      <c r="C3615" s="3">
        <v>1.66E7</v>
      </c>
      <c r="D3615" s="3">
        <v>3.55</v>
      </c>
      <c r="E3615" s="3">
        <v>16.6</v>
      </c>
    </row>
    <row r="3616" ht="12.75" customHeight="1">
      <c r="A3616" s="3">
        <v>1120.0</v>
      </c>
      <c r="B3616" s="3">
        <v>257.0</v>
      </c>
      <c r="C3616" s="3">
        <v>2.16E7</v>
      </c>
      <c r="D3616" s="3">
        <v>4.2</v>
      </c>
      <c r="E3616" s="3">
        <v>21.6</v>
      </c>
    </row>
    <row r="3617" ht="12.75" customHeight="1">
      <c r="A3617" s="3">
        <v>1120.0</v>
      </c>
      <c r="B3617" s="3">
        <v>258.0</v>
      </c>
      <c r="C3617" s="3">
        <v>2.728E7</v>
      </c>
      <c r="D3617" s="3">
        <v>4.97</v>
      </c>
      <c r="E3617" s="3">
        <v>27.28</v>
      </c>
    </row>
    <row r="3618" ht="12.75" customHeight="1">
      <c r="A3618" s="3">
        <v>1120.0</v>
      </c>
      <c r="B3618" s="3">
        <v>259.0</v>
      </c>
      <c r="C3618" s="3">
        <v>3.38E7</v>
      </c>
      <c r="D3618" s="3">
        <v>5.83</v>
      </c>
      <c r="E3618" s="3">
        <v>33.8</v>
      </c>
    </row>
    <row r="3619" ht="12.75" customHeight="1">
      <c r="A3619" s="3">
        <v>1120.0</v>
      </c>
      <c r="B3619" s="3">
        <v>260.0</v>
      </c>
      <c r="C3619" s="3">
        <v>4.14E7</v>
      </c>
      <c r="D3619" s="3">
        <v>7.27</v>
      </c>
      <c r="E3619" s="3">
        <v>41.4</v>
      </c>
    </row>
    <row r="3620" ht="12.75" customHeight="1">
      <c r="A3620" s="3">
        <v>1120.0</v>
      </c>
      <c r="B3620" s="3">
        <v>261.0</v>
      </c>
      <c r="C3620" s="3">
        <v>5.0207E7</v>
      </c>
      <c r="D3620" s="3">
        <v>8.15</v>
      </c>
      <c r="E3620" s="3">
        <v>50.207</v>
      </c>
    </row>
    <row r="3621" ht="12.75" customHeight="1">
      <c r="A3621" s="3">
        <v>1120.0</v>
      </c>
      <c r="B3621" s="3">
        <v>262.0</v>
      </c>
      <c r="C3621" s="3">
        <v>5.998E7</v>
      </c>
      <c r="D3621" s="3">
        <v>9.22</v>
      </c>
      <c r="E3621" s="3">
        <v>59.98</v>
      </c>
    </row>
    <row r="3622" ht="12.75" customHeight="1">
      <c r="A3622" s="3">
        <v>1120.0</v>
      </c>
      <c r="B3622" s="3">
        <v>263.0</v>
      </c>
      <c r="C3622" s="3">
        <v>7.1055E7</v>
      </c>
      <c r="D3622" s="3">
        <v>10.75</v>
      </c>
      <c r="E3622" s="3">
        <v>71.055</v>
      </c>
    </row>
    <row r="3623" ht="12.75" customHeight="1">
      <c r="A3623" s="3">
        <v>1120.0</v>
      </c>
      <c r="B3623" s="3">
        <v>264.0</v>
      </c>
      <c r="C3623" s="3">
        <v>8.347E7</v>
      </c>
      <c r="D3623" s="3">
        <v>11.9</v>
      </c>
      <c r="E3623" s="3">
        <v>83.47</v>
      </c>
    </row>
    <row r="3624" ht="12.75" customHeight="1">
      <c r="A3624" s="3">
        <v>1123.0</v>
      </c>
      <c r="B3624" s="3">
        <v>88.62</v>
      </c>
      <c r="C3624" s="3">
        <v>0.0</v>
      </c>
      <c r="D3624" s="3">
        <v>0.0</v>
      </c>
      <c r="E3624" s="3">
        <v>0.0</v>
      </c>
    </row>
    <row r="3625" ht="12.75" customHeight="1">
      <c r="A3625" s="3">
        <v>1123.0</v>
      </c>
      <c r="B3625" s="3">
        <v>89.0</v>
      </c>
      <c r="C3625" s="3">
        <v>2.0</v>
      </c>
      <c r="D3625" s="3">
        <v>0.0</v>
      </c>
      <c r="E3625" s="3">
        <v>2.0E-6</v>
      </c>
    </row>
    <row r="3626" ht="12.75" customHeight="1">
      <c r="A3626" s="3">
        <v>1123.0</v>
      </c>
      <c r="B3626" s="3">
        <v>90.0</v>
      </c>
      <c r="C3626" s="3">
        <v>200.0</v>
      </c>
      <c r="D3626" s="3">
        <v>6.0E-4</v>
      </c>
      <c r="E3626" s="3">
        <v>2.0E-4</v>
      </c>
    </row>
    <row r="3627" ht="12.75" customHeight="1">
      <c r="A3627" s="3">
        <v>1123.0</v>
      </c>
      <c r="B3627" s="3">
        <v>91.0</v>
      </c>
      <c r="C3627" s="3">
        <v>2500.0</v>
      </c>
      <c r="D3627" s="3">
        <v>0.005</v>
      </c>
      <c r="E3627" s="3">
        <v>0.0025</v>
      </c>
    </row>
    <row r="3628" ht="12.75" customHeight="1">
      <c r="A3628" s="3">
        <v>1123.0</v>
      </c>
      <c r="B3628" s="3">
        <v>92.0</v>
      </c>
      <c r="C3628" s="3">
        <v>19000.0</v>
      </c>
      <c r="D3628" s="3">
        <v>0.03</v>
      </c>
      <c r="E3628" s="3">
        <v>0.019</v>
      </c>
    </row>
    <row r="3629" ht="12.75" customHeight="1">
      <c r="A3629" s="3">
        <v>1123.0</v>
      </c>
      <c r="B3629" s="3">
        <v>93.0</v>
      </c>
      <c r="C3629" s="3">
        <v>79000.0</v>
      </c>
      <c r="D3629" s="3">
        <v>0.09</v>
      </c>
      <c r="E3629" s="3">
        <v>0.079</v>
      </c>
    </row>
    <row r="3630" ht="12.75" customHeight="1">
      <c r="A3630" s="3">
        <v>1123.0</v>
      </c>
      <c r="B3630" s="3">
        <v>94.0</v>
      </c>
      <c r="C3630" s="3">
        <v>220000.0</v>
      </c>
      <c r="D3630" s="3">
        <v>0.2</v>
      </c>
      <c r="E3630" s="3">
        <v>0.22</v>
      </c>
    </row>
    <row r="3631" ht="12.75" customHeight="1">
      <c r="A3631" s="3">
        <v>1123.0</v>
      </c>
      <c r="B3631" s="3">
        <v>95.0</v>
      </c>
      <c r="C3631" s="3">
        <v>485000.0</v>
      </c>
      <c r="D3631" s="3">
        <v>0.34</v>
      </c>
      <c r="E3631" s="3">
        <v>0.485</v>
      </c>
    </row>
    <row r="3632" ht="12.75" customHeight="1">
      <c r="A3632" s="3">
        <v>1123.0</v>
      </c>
      <c r="B3632" s="3">
        <v>96.0</v>
      </c>
      <c r="C3632" s="3">
        <v>900000.0</v>
      </c>
      <c r="D3632" s="3">
        <v>0.5</v>
      </c>
      <c r="E3632" s="3">
        <v>0.9</v>
      </c>
    </row>
    <row r="3633" ht="12.75" customHeight="1">
      <c r="A3633" s="3">
        <v>1123.0</v>
      </c>
      <c r="B3633" s="3">
        <v>97.0</v>
      </c>
      <c r="C3633" s="3">
        <v>1500000.0</v>
      </c>
      <c r="D3633" s="3">
        <v>0.66</v>
      </c>
      <c r="E3633" s="3">
        <v>1.5</v>
      </c>
    </row>
    <row r="3634" ht="12.75" customHeight="1">
      <c r="A3634" s="3">
        <v>1123.0</v>
      </c>
      <c r="B3634" s="3">
        <v>98.0</v>
      </c>
      <c r="C3634" s="3">
        <v>2210000.0</v>
      </c>
      <c r="D3634" s="3">
        <v>0.78</v>
      </c>
      <c r="E3634" s="3">
        <v>2.21</v>
      </c>
    </row>
    <row r="3635" ht="12.75" customHeight="1">
      <c r="A3635" s="3">
        <v>1123.0</v>
      </c>
      <c r="B3635" s="3">
        <v>99.0</v>
      </c>
      <c r="C3635" s="3">
        <v>3050000.0</v>
      </c>
      <c r="D3635" s="3">
        <v>0.89</v>
      </c>
      <c r="E3635" s="3">
        <v>3.05</v>
      </c>
    </row>
    <row r="3636" ht="12.75" customHeight="1">
      <c r="A3636" s="3">
        <v>1123.0</v>
      </c>
      <c r="B3636" s="3">
        <v>99.8</v>
      </c>
      <c r="C3636" s="3">
        <v>3790000.0</v>
      </c>
      <c r="D3636" s="3">
        <v>0.98</v>
      </c>
      <c r="E3636" s="3">
        <v>3.79</v>
      </c>
    </row>
    <row r="3637" ht="12.75" customHeight="1">
      <c r="A3637" s="3">
        <v>1123.0</v>
      </c>
      <c r="B3637" s="3">
        <v>100.0</v>
      </c>
      <c r="C3637" s="3">
        <v>4000000.0</v>
      </c>
      <c r="D3637" s="3">
        <v>0.99</v>
      </c>
      <c r="E3637" s="3">
        <v>4.0</v>
      </c>
    </row>
    <row r="3638" ht="12.75" customHeight="1">
      <c r="A3638" s="3">
        <v>1124.0</v>
      </c>
      <c r="B3638" s="3">
        <v>42.0</v>
      </c>
      <c r="C3638" s="3">
        <v>0.0</v>
      </c>
      <c r="D3638" s="3">
        <v>0.0</v>
      </c>
      <c r="E3638" s="3">
        <v>0.0</v>
      </c>
    </row>
    <row r="3639" ht="12.75" customHeight="1">
      <c r="A3639" s="3">
        <v>1124.0</v>
      </c>
      <c r="B3639" s="3">
        <v>43.0</v>
      </c>
      <c r="C3639" s="3">
        <v>800.0</v>
      </c>
      <c r="D3639" s="3">
        <v>0.0016</v>
      </c>
      <c r="E3639" s="3">
        <v>8.0E-4</v>
      </c>
    </row>
    <row r="3640" ht="12.75" customHeight="1">
      <c r="A3640" s="3">
        <v>1124.0</v>
      </c>
      <c r="B3640" s="3">
        <v>44.0</v>
      </c>
      <c r="C3640" s="3">
        <v>10000.0</v>
      </c>
      <c r="D3640" s="3">
        <v>0.018</v>
      </c>
      <c r="E3640" s="3">
        <v>0.01</v>
      </c>
    </row>
    <row r="3641" ht="12.75" customHeight="1">
      <c r="A3641" s="3">
        <v>1124.0</v>
      </c>
      <c r="B3641" s="3">
        <v>45.0</v>
      </c>
      <c r="C3641" s="3">
        <v>75000.0</v>
      </c>
      <c r="D3641" s="3">
        <v>0.11</v>
      </c>
      <c r="E3641" s="3">
        <v>0.075</v>
      </c>
    </row>
    <row r="3642" ht="12.75" customHeight="1">
      <c r="A3642" s="3">
        <v>1124.0</v>
      </c>
      <c r="B3642" s="3">
        <v>46.0</v>
      </c>
      <c r="C3642" s="3">
        <v>332000.0</v>
      </c>
      <c r="D3642" s="3">
        <v>0.4</v>
      </c>
      <c r="E3642" s="3">
        <v>0.332</v>
      </c>
    </row>
    <row r="3643" ht="12.75" customHeight="1">
      <c r="A3643" s="3">
        <v>1124.0</v>
      </c>
      <c r="B3643" s="3">
        <v>47.0</v>
      </c>
      <c r="C3643" s="3">
        <v>935000.0</v>
      </c>
      <c r="D3643" s="3">
        <v>0.8</v>
      </c>
      <c r="E3643" s="3">
        <v>0.935</v>
      </c>
    </row>
    <row r="3644" ht="12.75" customHeight="1">
      <c r="A3644" s="3">
        <v>1124.0</v>
      </c>
      <c r="B3644" s="3">
        <v>48.0</v>
      </c>
      <c r="C3644" s="3">
        <v>1971000.0</v>
      </c>
      <c r="D3644" s="3">
        <v>1.27</v>
      </c>
      <c r="E3644" s="3">
        <v>1.971</v>
      </c>
    </row>
    <row r="3645" ht="12.75" customHeight="1">
      <c r="A3645" s="3">
        <v>1124.0</v>
      </c>
      <c r="B3645" s="3">
        <v>49.0</v>
      </c>
      <c r="C3645" s="3">
        <v>3457000.0</v>
      </c>
      <c r="D3645" s="3">
        <v>1.7</v>
      </c>
      <c r="E3645" s="3">
        <v>3.457</v>
      </c>
    </row>
    <row r="3646" ht="12.75" customHeight="1">
      <c r="A3646" s="3">
        <v>1124.0</v>
      </c>
      <c r="B3646" s="3">
        <v>50.0</v>
      </c>
      <c r="C3646" s="3">
        <v>5415000.0</v>
      </c>
      <c r="D3646" s="3">
        <v>2.22</v>
      </c>
      <c r="E3646" s="3">
        <v>5.415</v>
      </c>
    </row>
    <row r="3647" ht="12.75" customHeight="1">
      <c r="A3647" s="3">
        <v>1124.0</v>
      </c>
      <c r="B3647" s="3">
        <v>51.0</v>
      </c>
      <c r="C3647" s="3">
        <v>7895000.0</v>
      </c>
      <c r="D3647" s="3">
        <v>2.74</v>
      </c>
      <c r="E3647" s="3">
        <v>7.895</v>
      </c>
    </row>
    <row r="3648" ht="12.75" customHeight="1">
      <c r="A3648" s="3">
        <v>1124.0</v>
      </c>
      <c r="B3648" s="3">
        <v>51.5</v>
      </c>
      <c r="C3648" s="3">
        <v>9350000.0</v>
      </c>
      <c r="D3648" s="3">
        <v>3.068</v>
      </c>
      <c r="E3648" s="3">
        <v>9.35</v>
      </c>
    </row>
    <row r="3649" ht="12.75" customHeight="1">
      <c r="A3649" s="3">
        <v>1124.0</v>
      </c>
      <c r="B3649" s="3">
        <v>52.0</v>
      </c>
      <c r="C3649" s="3">
        <v>1.097E7</v>
      </c>
      <c r="D3649" s="3">
        <v>3.43</v>
      </c>
      <c r="E3649" s="3">
        <v>10.97</v>
      </c>
    </row>
    <row r="3650" ht="12.75" customHeight="1">
      <c r="A3650" s="3">
        <v>1124.0</v>
      </c>
      <c r="B3650" s="3">
        <v>53.0</v>
      </c>
      <c r="C3650" s="3">
        <v>1.472E7</v>
      </c>
      <c r="D3650" s="3">
        <v>4.07</v>
      </c>
      <c r="E3650" s="3">
        <v>14.72</v>
      </c>
    </row>
    <row r="3651" ht="12.75" customHeight="1">
      <c r="A3651" s="3">
        <v>1124.0</v>
      </c>
      <c r="B3651" s="3">
        <v>54.0</v>
      </c>
      <c r="C3651" s="3">
        <v>1.9114E7</v>
      </c>
      <c r="D3651" s="3">
        <v>4.719</v>
      </c>
      <c r="E3651" s="3">
        <v>19.114</v>
      </c>
    </row>
    <row r="3652" ht="12.75" customHeight="1">
      <c r="A3652" s="3">
        <v>1124.0</v>
      </c>
      <c r="B3652" s="3">
        <v>55.0</v>
      </c>
      <c r="C3652" s="3">
        <v>2.4244E7</v>
      </c>
      <c r="D3652" s="3">
        <v>5.65</v>
      </c>
      <c r="E3652" s="3">
        <v>24.244</v>
      </c>
    </row>
    <row r="3653" ht="12.75" customHeight="1">
      <c r="A3653" s="3">
        <v>1137.0</v>
      </c>
      <c r="B3653" s="3">
        <v>70.0</v>
      </c>
      <c r="C3653" s="3">
        <v>0.0</v>
      </c>
      <c r="D3653" s="3">
        <v>0.0</v>
      </c>
      <c r="E3653" s="3">
        <v>0.0</v>
      </c>
    </row>
    <row r="3654" ht="12.75" customHeight="1">
      <c r="A3654" s="3">
        <v>1138.0</v>
      </c>
      <c r="B3654" s="3">
        <v>343.1</v>
      </c>
      <c r="C3654" s="3">
        <v>0.0</v>
      </c>
      <c r="D3654" s="3">
        <v>0.0</v>
      </c>
      <c r="E3654" s="3">
        <v>0.0</v>
      </c>
    </row>
    <row r="3655" ht="12.75" customHeight="1">
      <c r="A3655" s="3">
        <v>1138.0</v>
      </c>
      <c r="B3655" s="3">
        <v>344.0</v>
      </c>
      <c r="C3655" s="3">
        <v>400.0</v>
      </c>
      <c r="D3655" s="3">
        <v>0.002</v>
      </c>
      <c r="E3655" s="3">
        <v>4.0E-4</v>
      </c>
    </row>
    <row r="3656" ht="12.75" customHeight="1">
      <c r="A3656" s="3">
        <v>1138.0</v>
      </c>
      <c r="B3656" s="3">
        <v>345.0</v>
      </c>
      <c r="C3656" s="3">
        <v>7800.0</v>
      </c>
      <c r="D3656" s="3">
        <v>0.02</v>
      </c>
      <c r="E3656" s="3">
        <v>0.0078</v>
      </c>
    </row>
    <row r="3657" ht="12.75" customHeight="1">
      <c r="A3657" s="3">
        <v>1138.0</v>
      </c>
      <c r="B3657" s="3">
        <v>346.0</v>
      </c>
      <c r="C3657" s="3">
        <v>37500.0</v>
      </c>
      <c r="D3657" s="3">
        <v>0.04</v>
      </c>
      <c r="E3657" s="3">
        <v>0.0375</v>
      </c>
    </row>
    <row r="3658" ht="12.75" customHeight="1">
      <c r="A3658" s="3">
        <v>1138.0</v>
      </c>
      <c r="B3658" s="3">
        <v>347.0</v>
      </c>
      <c r="C3658" s="3">
        <v>100000.0</v>
      </c>
      <c r="D3658" s="3">
        <v>0.08</v>
      </c>
      <c r="E3658" s="3">
        <v>0.1</v>
      </c>
    </row>
    <row r="3659" ht="12.75" customHeight="1">
      <c r="A3659" s="3">
        <v>1138.0</v>
      </c>
      <c r="B3659" s="3">
        <v>348.0</v>
      </c>
      <c r="C3659" s="3">
        <v>200000.0</v>
      </c>
      <c r="D3659" s="3">
        <v>0.11</v>
      </c>
      <c r="E3659" s="3">
        <v>0.2</v>
      </c>
    </row>
    <row r="3660" ht="12.75" customHeight="1">
      <c r="A3660" s="3">
        <v>1138.0</v>
      </c>
      <c r="B3660" s="3">
        <v>348.6</v>
      </c>
      <c r="C3660" s="3">
        <v>270000.0</v>
      </c>
      <c r="D3660" s="3">
        <v>0.13</v>
      </c>
      <c r="E3660" s="3">
        <v>0.27</v>
      </c>
    </row>
    <row r="3661" ht="12.75" customHeight="1">
      <c r="A3661" s="3">
        <v>1138.0</v>
      </c>
      <c r="B3661" s="3">
        <v>349.0</v>
      </c>
      <c r="C3661" s="3">
        <v>306000.0</v>
      </c>
      <c r="D3661" s="3">
        <v>0.15</v>
      </c>
      <c r="E3661" s="3">
        <v>0.306</v>
      </c>
    </row>
    <row r="3662" ht="12.75" customHeight="1">
      <c r="A3662" s="3">
        <v>1138.0</v>
      </c>
      <c r="B3662" s="3">
        <v>350.0</v>
      </c>
      <c r="C3662" s="3">
        <v>493000.0</v>
      </c>
      <c r="D3662" s="3">
        <v>0.2</v>
      </c>
      <c r="E3662" s="3">
        <v>0.493</v>
      </c>
    </row>
    <row r="3663" ht="12.75" customHeight="1">
      <c r="A3663" s="3">
        <v>1138.0</v>
      </c>
      <c r="B3663" s="3">
        <v>351.0</v>
      </c>
      <c r="C3663" s="3">
        <v>736000.0</v>
      </c>
      <c r="D3663" s="3">
        <v>0.25</v>
      </c>
      <c r="E3663" s="3">
        <v>0.736</v>
      </c>
    </row>
    <row r="3664" ht="12.75" customHeight="1">
      <c r="A3664" s="3">
        <v>2012.0</v>
      </c>
      <c r="B3664" s="3">
        <v>70.0</v>
      </c>
      <c r="C3664" s="3">
        <v>0.0</v>
      </c>
      <c r="D3664" s="3">
        <v>0.0</v>
      </c>
      <c r="E3664" s="3">
        <v>0.0</v>
      </c>
    </row>
    <row r="3665" ht="12.75" customHeight="1">
      <c r="A3665" s="3">
        <v>5000.0</v>
      </c>
      <c r="B3665" s="3">
        <v>92.73</v>
      </c>
      <c r="C3665" s="3">
        <v>0.0</v>
      </c>
      <c r="D3665" s="3">
        <v>0.0</v>
      </c>
      <c r="E3665" s="3">
        <v>0.0</v>
      </c>
    </row>
    <row r="3666" ht="12.75" customHeight="1">
      <c r="A3666" s="3">
        <v>5000.0</v>
      </c>
      <c r="B3666" s="3">
        <v>93.0</v>
      </c>
      <c r="C3666" s="3">
        <v>10.0</v>
      </c>
      <c r="D3666" s="3">
        <v>0.0</v>
      </c>
      <c r="E3666" s="3">
        <v>1.0E-5</v>
      </c>
    </row>
    <row r="3667" ht="12.75" customHeight="1">
      <c r="A3667" s="3">
        <v>5000.0</v>
      </c>
      <c r="B3667" s="3">
        <v>94.0</v>
      </c>
      <c r="C3667" s="3">
        <v>1200.0</v>
      </c>
      <c r="D3667" s="3">
        <v>0.0</v>
      </c>
      <c r="E3667" s="3">
        <v>0.0012</v>
      </c>
    </row>
    <row r="3668" ht="12.75" customHeight="1">
      <c r="A3668" s="3">
        <v>5000.0</v>
      </c>
      <c r="B3668" s="3">
        <v>95.0</v>
      </c>
      <c r="C3668" s="3">
        <v>6000.0</v>
      </c>
      <c r="D3668" s="3">
        <v>0.0</v>
      </c>
      <c r="E3668" s="3">
        <v>0.006</v>
      </c>
    </row>
    <row r="3669" ht="12.75" customHeight="1">
      <c r="A3669" s="3">
        <v>5000.0</v>
      </c>
      <c r="B3669" s="3">
        <v>96.0</v>
      </c>
      <c r="C3669" s="3">
        <v>16000.0</v>
      </c>
      <c r="D3669" s="3">
        <v>0.0</v>
      </c>
      <c r="E3669" s="3">
        <v>0.016</v>
      </c>
    </row>
    <row r="3670" ht="12.75" customHeight="1">
      <c r="A3670" s="3">
        <v>5000.0</v>
      </c>
      <c r="B3670" s="3">
        <v>97.0</v>
      </c>
      <c r="C3670" s="3">
        <v>31000.0</v>
      </c>
      <c r="D3670" s="3">
        <v>0.0</v>
      </c>
      <c r="E3670" s="3">
        <v>0.031</v>
      </c>
    </row>
    <row r="3671" ht="12.75" customHeight="1">
      <c r="A3671" s="3">
        <v>5000.0</v>
      </c>
      <c r="B3671" s="3">
        <v>98.0</v>
      </c>
      <c r="C3671" s="3">
        <v>51300.0</v>
      </c>
      <c r="D3671" s="3">
        <v>0.0</v>
      </c>
      <c r="E3671" s="3">
        <v>0.0513</v>
      </c>
    </row>
    <row r="3672" ht="12.75" customHeight="1">
      <c r="A3672" s="3">
        <v>5000.0</v>
      </c>
      <c r="B3672" s="3">
        <v>99.0</v>
      </c>
      <c r="C3672" s="3">
        <v>76000.0</v>
      </c>
      <c r="D3672" s="3">
        <v>0.0</v>
      </c>
      <c r="E3672" s="3">
        <v>0.076</v>
      </c>
    </row>
    <row r="3673" ht="12.75" customHeight="1">
      <c r="A3673" s="3">
        <v>5000.0</v>
      </c>
      <c r="B3673" s="3">
        <v>99.5</v>
      </c>
      <c r="C3673" s="3">
        <v>90000.0</v>
      </c>
      <c r="D3673" s="3">
        <v>0.0</v>
      </c>
      <c r="E3673" s="3">
        <v>0.09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0"/>
    <col customWidth="1" min="3" max="3" width="52.0"/>
    <col customWidth="1" min="4" max="26" width="8.63"/>
  </cols>
  <sheetData>
    <row r="1" ht="12.75" customHeight="1">
      <c r="A1" s="30" t="s">
        <v>364</v>
      </c>
      <c r="B1" s="30" t="s">
        <v>365</v>
      </c>
      <c r="C1" s="30" t="s">
        <v>366</v>
      </c>
    </row>
    <row r="2" ht="12.75" customHeight="1">
      <c r="A2" s="26">
        <f t="array" ref="A2">IF(ROW()-1&lt;=Verificacao!$B$21,INDEX(Dados_CAV!$E:$E,Verificacao!$B$20+ROW()-2),1E+99)</f>
        <v>0</v>
      </c>
      <c r="B2" s="26">
        <f t="array" ref="B2">IF(ROW()-1&lt;=Verificacao!$B$21,INDEX(Dados_CAV!$D:$D,Verificacao!$B$20+ROW()-2),IF(Verificacao!$B$21&gt;0,INDEX(Dados_CAV!$D:$D,Verificacao!$B$20+Verificacao!$B$21-1),""))</f>
        <v>0</v>
      </c>
      <c r="C2" s="3" t="s">
        <v>367</v>
      </c>
    </row>
    <row r="3" ht="12.75" customHeight="1">
      <c r="A3" s="26">
        <f t="array" ref="A3">IF(ROW()-1&lt;=Verificacao!$B$21,INDEX(Dados_CAV!$E:$E,Verificacao!$B$20+ROW()-2),1E+99)</f>
        <v>0.05</v>
      </c>
      <c r="B3" s="26">
        <f t="array" ref="B3">IF(ROW()-1&lt;=Verificacao!$B$21,INDEX(Dados_CAV!$D:$D,Verificacao!$B$20+ROW()-2),IF(Verificacao!$B$21&gt;0,INDEX(Dados_CAV!$D:$D,Verificacao!$B$20+Verificacao!$B$21-1),""))</f>
        <v>0.02</v>
      </c>
    </row>
    <row r="4" ht="12.75" customHeight="1">
      <c r="A4" s="26">
        <f t="array" ref="A4">IF(ROW()-1&lt;=Verificacao!$B$21,INDEX(Dados_CAV!$E:$E,Verificacao!$B$20+ROW()-2),1E+99)</f>
        <v>0.84</v>
      </c>
      <c r="B4" s="26">
        <f t="array" ref="B4">IF(ROW()-1&lt;=Verificacao!$B$21,INDEX(Dados_CAV!$D:$D,Verificacao!$B$20+ROW()-2),IF(Verificacao!$B$21&gt;0,INDEX(Dados_CAV!$D:$D,Verificacao!$B$20+Verificacao!$B$21-1),""))</f>
        <v>0.29</v>
      </c>
    </row>
    <row r="5" ht="12.75" customHeight="1">
      <c r="A5" s="26">
        <f t="array" ref="A5">IF(ROW()-1&lt;=Verificacao!$B$21,INDEX(Dados_CAV!$E:$E,Verificacao!$B$20+ROW()-2),1E+99)</f>
        <v>3.1</v>
      </c>
      <c r="B5" s="26">
        <f t="array" ref="B5">IF(ROW()-1&lt;=Verificacao!$B$21,INDEX(Dados_CAV!$D:$D,Verificacao!$B$20+ROW()-2),IF(Verificacao!$B$21&gt;0,INDEX(Dados_CAV!$D:$D,Verificacao!$B$20+Verificacao!$B$21-1),""))</f>
        <v>0.61</v>
      </c>
    </row>
    <row r="6" ht="12.75" customHeight="1">
      <c r="A6" s="26">
        <f t="array" ref="A6">IF(ROW()-1&lt;=Verificacao!$B$21,INDEX(Dados_CAV!$E:$E,Verificacao!$B$20+ROW()-2),1E+99)</f>
        <v>6.7</v>
      </c>
      <c r="B6" s="26">
        <f t="array" ref="B6">IF(ROW()-1&lt;=Verificacao!$B$21,INDEX(Dados_CAV!$D:$D,Verificacao!$B$20+ROW()-2),IF(Verificacao!$B$21&gt;0,INDEX(Dados_CAV!$D:$D,Verificacao!$B$20+Verificacao!$B$21-1),""))</f>
        <v>0.82</v>
      </c>
    </row>
    <row r="7" ht="12.75" customHeight="1">
      <c r="A7" s="26">
        <f t="array" ref="A7">IF(ROW()-1&lt;=Verificacao!$B$21,INDEX(Dados_CAV!$E:$E,Verificacao!$B$20+ROW()-2),1E+99)</f>
        <v>11.22</v>
      </c>
      <c r="B7" s="26">
        <f t="array" ref="B7">IF(ROW()-1&lt;=Verificacao!$B$21,INDEX(Dados_CAV!$D:$D,Verificacao!$B$20+ROW()-2),IF(Verificacao!$B$21&gt;0,INDEX(Dados_CAV!$D:$D,Verificacao!$B$20+Verificacao!$B$21-1),""))</f>
        <v>0.97</v>
      </c>
    </row>
    <row r="8" ht="12.75" customHeight="1">
      <c r="A8" s="26">
        <f t="array" ref="A8">IF(ROW()-1&lt;=Verificacao!$B$21,INDEX(Dados_CAV!$E:$E,Verificacao!$B$20+ROW()-2),1E+99)</f>
        <v>16.51</v>
      </c>
      <c r="B8" s="26">
        <f t="array" ref="B8">IF(ROW()-1&lt;=Verificacao!$B$21,INDEX(Dados_CAV!$D:$D,Verificacao!$B$20+ROW()-2),IF(Verificacao!$B$21&gt;0,INDEX(Dados_CAV!$D:$D,Verificacao!$B$20+Verificacao!$B$21-1),""))</f>
        <v>1.14</v>
      </c>
    </row>
    <row r="9" ht="12.75" customHeight="1">
      <c r="A9" s="26">
        <f t="array" ref="A9">IF(ROW()-1&lt;=Verificacao!$B$21,INDEX(Dados_CAV!$E:$E,Verificacao!$B$20+ROW()-2),1E+99)</f>
        <v>21.3</v>
      </c>
      <c r="B9" s="26">
        <f t="array" ref="B9">IF(ROW()-1&lt;=Verificacao!$B$21,INDEX(Dados_CAV!$D:$D,Verificacao!$B$20+ROW()-2),IF(Verificacao!$B$21&gt;0,INDEX(Dados_CAV!$D:$D,Verificacao!$B$20+Verificacao!$B$21-1),""))</f>
        <v>1.23</v>
      </c>
    </row>
    <row r="10" ht="12.75" customHeight="1">
      <c r="A10" s="26">
        <f t="array" ref="A10">IF(ROW()-1&lt;=Verificacao!$B$21,INDEX(Dados_CAV!$E:$E,Verificacao!$B$20+ROW()-2),1E+99)</f>
        <v>22.5</v>
      </c>
      <c r="B10" s="26">
        <f t="array" ref="B10">IF(ROW()-1&lt;=Verificacao!$B$21,INDEX(Dados_CAV!$D:$D,Verificacao!$B$20+ROW()-2),IF(Verificacao!$B$21&gt;0,INDEX(Dados_CAV!$D:$D,Verificacao!$B$20+Verificacao!$B$21-1),""))</f>
        <v>1.25</v>
      </c>
    </row>
    <row r="11" ht="12.75" customHeight="1">
      <c r="A11" s="26">
        <f t="array" ref="A11">IF(ROW()-1&lt;=Verificacao!$B$21,INDEX(Dados_CAV!$E:$E,Verificacao!$B$20+ROW()-2),1E+99)</f>
        <v>29.17</v>
      </c>
      <c r="B11" s="26">
        <f t="array" ref="B11">IF(ROW()-1&lt;=Verificacao!$B$21,INDEX(Dados_CAV!$D:$D,Verificacao!$B$20+ROW()-2),IF(Verificacao!$B$21&gt;0,INDEX(Dados_CAV!$D:$D,Verificacao!$B$20+Verificacao!$B$21-1),""))</f>
        <v>1.41</v>
      </c>
    </row>
    <row r="12" ht="12.75" customHeight="1">
      <c r="A12" s="26">
        <f t="array" ref="A12">IF(ROW()-1&lt;=Verificacao!$B$21,INDEX(Dados_CAV!$E:$E,Verificacao!$B$20+ROW()-2),1E+99)</f>
        <v>36.49</v>
      </c>
      <c r="B12" s="26">
        <f t="array" ref="B12">IF(ROW()-1&lt;=Verificacao!$B$21,INDEX(Dados_CAV!$D:$D,Verificacao!$B$20+ROW()-2),IF(Verificacao!$B$21&gt;0,INDEX(Dados_CAV!$D:$D,Verificacao!$B$20+Verificacao!$B$21-1),""))</f>
        <v>1.51</v>
      </c>
    </row>
    <row r="13" ht="12.75" customHeight="1">
      <c r="A13" s="26">
        <f t="array" ref="A13">IF(ROW()-1&lt;=Verificacao!$B$21,INDEX(Dados_CAV!$E:$E,Verificacao!$B$20+ROW()-2),1E+99)</f>
        <v>44.45</v>
      </c>
      <c r="B13" s="26">
        <f t="array" ref="B13">IF(ROW()-1&lt;=Verificacao!$B$21,INDEX(Dados_CAV!$D:$D,Verificacao!$B$20+ROW()-2),IF(Verificacao!$B$21&gt;0,INDEX(Dados_CAV!$D:$D,Verificacao!$B$20+Verificacao!$B$21-1),""))</f>
        <v>1.66</v>
      </c>
    </row>
    <row r="14" ht="12.75" customHeight="1">
      <c r="A14" s="26">
        <f t="array" ref="A14">IF(ROW()-1&lt;=Verificacao!$B$21,INDEX(Dados_CAV!$E:$E,Verificacao!$B$20+ROW()-2),1E+99)</f>
        <v>1E+99</v>
      </c>
      <c r="B14" s="26">
        <f t="array" ref="B14">IF(ROW()-1&lt;=Verificacao!$B$21,INDEX(Dados_CAV!$D:$D,Verificacao!$B$20+ROW()-2),IF(Verificacao!$B$21&gt;0,INDEX(Dados_CAV!$D:$D,Verificacao!$B$20+Verificacao!$B$21-1),""))</f>
        <v>1.66</v>
      </c>
    </row>
    <row r="15" ht="12.75" customHeight="1">
      <c r="A15" s="26">
        <f t="array" ref="A15">IF(ROW()-1&lt;=Verificacao!$B$21,INDEX(Dados_CAV!$E:$E,Verificacao!$B$20+ROW()-2),1E+99)</f>
        <v>1E+99</v>
      </c>
      <c r="B15" s="26">
        <f t="array" ref="B15">IF(ROW()-1&lt;=Verificacao!$B$21,INDEX(Dados_CAV!$D:$D,Verificacao!$B$20+ROW()-2),IF(Verificacao!$B$21&gt;0,INDEX(Dados_CAV!$D:$D,Verificacao!$B$20+Verificacao!$B$21-1),""))</f>
        <v>1.66</v>
      </c>
    </row>
    <row r="16" ht="12.75" customHeight="1">
      <c r="A16" s="26">
        <f t="array" ref="A16">IF(ROW()-1&lt;=Verificacao!$B$21,INDEX(Dados_CAV!$E:$E,Verificacao!$B$20+ROW()-2),1E+99)</f>
        <v>1E+99</v>
      </c>
      <c r="B16" s="26">
        <f t="array" ref="B16">IF(ROW()-1&lt;=Verificacao!$B$21,INDEX(Dados_CAV!$D:$D,Verificacao!$B$20+ROW()-2),IF(Verificacao!$B$21&gt;0,INDEX(Dados_CAV!$D:$D,Verificacao!$B$20+Verificacao!$B$21-1),""))</f>
        <v>1.66</v>
      </c>
    </row>
    <row r="17" ht="12.75" customHeight="1">
      <c r="A17" s="26">
        <f t="array" ref="A17">IF(ROW()-1&lt;=Verificacao!$B$21,INDEX(Dados_CAV!$E:$E,Verificacao!$B$20+ROW()-2),1E+99)</f>
        <v>1E+99</v>
      </c>
      <c r="B17" s="26">
        <f t="array" ref="B17">IF(ROW()-1&lt;=Verificacao!$B$21,INDEX(Dados_CAV!$D:$D,Verificacao!$B$20+ROW()-2),IF(Verificacao!$B$21&gt;0,INDEX(Dados_CAV!$D:$D,Verificacao!$B$20+Verificacao!$B$21-1),""))</f>
        <v>1.66</v>
      </c>
    </row>
    <row r="18" ht="12.75" customHeight="1">
      <c r="A18" s="26">
        <f t="array" ref="A18">IF(ROW()-1&lt;=Verificacao!$B$21,INDEX(Dados_CAV!$E:$E,Verificacao!$B$20+ROW()-2),1E+99)</f>
        <v>1E+99</v>
      </c>
      <c r="B18" s="26">
        <f t="array" ref="B18">IF(ROW()-1&lt;=Verificacao!$B$21,INDEX(Dados_CAV!$D:$D,Verificacao!$B$20+ROW()-2),IF(Verificacao!$B$21&gt;0,INDEX(Dados_CAV!$D:$D,Verificacao!$B$20+Verificacao!$B$21-1),""))</f>
        <v>1.66</v>
      </c>
    </row>
    <row r="19" ht="12.75" customHeight="1">
      <c r="A19" s="26">
        <f t="array" ref="A19">IF(ROW()-1&lt;=Verificacao!$B$21,INDEX(Dados_CAV!$E:$E,Verificacao!$B$20+ROW()-2),1E+99)</f>
        <v>1E+99</v>
      </c>
      <c r="B19" s="26">
        <f t="array" ref="B19">IF(ROW()-1&lt;=Verificacao!$B$21,INDEX(Dados_CAV!$D:$D,Verificacao!$B$20+ROW()-2),IF(Verificacao!$B$21&gt;0,INDEX(Dados_CAV!$D:$D,Verificacao!$B$20+Verificacao!$B$21-1),""))</f>
        <v>1.66</v>
      </c>
    </row>
    <row r="20" ht="12.75" customHeight="1">
      <c r="A20" s="26">
        <f t="array" ref="A20">IF(ROW()-1&lt;=Verificacao!$B$21,INDEX(Dados_CAV!$E:$E,Verificacao!$B$20+ROW()-2),1E+99)</f>
        <v>1E+99</v>
      </c>
      <c r="B20" s="26">
        <f t="array" ref="B20">IF(ROW()-1&lt;=Verificacao!$B$21,INDEX(Dados_CAV!$D:$D,Verificacao!$B$20+ROW()-2),IF(Verificacao!$B$21&gt;0,INDEX(Dados_CAV!$D:$D,Verificacao!$B$20+Verificacao!$B$21-1),""))</f>
        <v>1.66</v>
      </c>
    </row>
    <row r="21" ht="12.75" customHeight="1">
      <c r="A21" s="26">
        <f t="array" ref="A21">IF(ROW()-1&lt;=Verificacao!$B$21,INDEX(Dados_CAV!$E:$E,Verificacao!$B$20+ROW()-2),1E+99)</f>
        <v>1E+99</v>
      </c>
      <c r="B21" s="26">
        <f t="array" ref="B21">IF(ROW()-1&lt;=Verificacao!$B$21,INDEX(Dados_CAV!$D:$D,Verificacao!$B$20+ROW()-2),IF(Verificacao!$B$21&gt;0,INDEX(Dados_CAV!$D:$D,Verificacao!$B$20+Verificacao!$B$21-1),""))</f>
        <v>1.66</v>
      </c>
    </row>
    <row r="22" ht="12.75" customHeight="1">
      <c r="A22" s="26">
        <f t="array" ref="A22">IF(ROW()-1&lt;=Verificacao!$B$21,INDEX(Dados_CAV!$E:$E,Verificacao!$B$20+ROW()-2),1E+99)</f>
        <v>1E+99</v>
      </c>
      <c r="B22" s="26">
        <f t="array" ref="B22">IF(ROW()-1&lt;=Verificacao!$B$21,INDEX(Dados_CAV!$D:$D,Verificacao!$B$20+ROW()-2),IF(Verificacao!$B$21&gt;0,INDEX(Dados_CAV!$D:$D,Verificacao!$B$20+Verificacao!$B$21-1),""))</f>
        <v>1.66</v>
      </c>
    </row>
    <row r="23" ht="12.75" customHeight="1">
      <c r="A23" s="26">
        <f t="array" ref="A23">IF(ROW()-1&lt;=Verificacao!$B$21,INDEX(Dados_CAV!$E:$E,Verificacao!$B$20+ROW()-2),1E+99)</f>
        <v>1E+99</v>
      </c>
      <c r="B23" s="26">
        <f t="array" ref="B23">IF(ROW()-1&lt;=Verificacao!$B$21,INDEX(Dados_CAV!$D:$D,Verificacao!$B$20+ROW()-2),IF(Verificacao!$B$21&gt;0,INDEX(Dados_CAV!$D:$D,Verificacao!$B$20+Verificacao!$B$21-1),""))</f>
        <v>1.66</v>
      </c>
    </row>
    <row r="24" ht="12.75" customHeight="1">
      <c r="A24" s="26">
        <f t="array" ref="A24">IF(ROW()-1&lt;=Verificacao!$B$21,INDEX(Dados_CAV!$E:$E,Verificacao!$B$20+ROW()-2),1E+99)</f>
        <v>1E+99</v>
      </c>
      <c r="B24" s="26">
        <f t="array" ref="B24">IF(ROW()-1&lt;=Verificacao!$B$21,INDEX(Dados_CAV!$D:$D,Verificacao!$B$20+ROW()-2),IF(Verificacao!$B$21&gt;0,INDEX(Dados_CAV!$D:$D,Verificacao!$B$20+Verificacao!$B$21-1),""))</f>
        <v>1.66</v>
      </c>
    </row>
    <row r="25" ht="12.75" customHeight="1">
      <c r="A25" s="26">
        <f t="array" ref="A25">IF(ROW()-1&lt;=Verificacao!$B$21,INDEX(Dados_CAV!$E:$E,Verificacao!$B$20+ROW()-2),1E+99)</f>
        <v>1E+99</v>
      </c>
      <c r="B25" s="26">
        <f t="array" ref="B25">IF(ROW()-1&lt;=Verificacao!$B$21,INDEX(Dados_CAV!$D:$D,Verificacao!$B$20+ROW()-2),IF(Verificacao!$B$21&gt;0,INDEX(Dados_CAV!$D:$D,Verificacao!$B$20+Verificacao!$B$21-1),""))</f>
        <v>1.66</v>
      </c>
    </row>
    <row r="26" ht="12.75" customHeight="1">
      <c r="A26" s="26">
        <f t="array" ref="A26">IF(ROW()-1&lt;=Verificacao!$B$21,INDEX(Dados_CAV!$E:$E,Verificacao!$B$20+ROW()-2),1E+99)</f>
        <v>1E+99</v>
      </c>
      <c r="B26" s="26">
        <f t="array" ref="B26">IF(ROW()-1&lt;=Verificacao!$B$21,INDEX(Dados_CAV!$D:$D,Verificacao!$B$20+ROW()-2),IF(Verificacao!$B$21&gt;0,INDEX(Dados_CAV!$D:$D,Verificacao!$B$20+Verificacao!$B$21-1),""))</f>
        <v>1.66</v>
      </c>
    </row>
    <row r="27" ht="12.75" customHeight="1">
      <c r="A27" s="26">
        <f t="array" ref="A27">IF(ROW()-1&lt;=Verificacao!$B$21,INDEX(Dados_CAV!$E:$E,Verificacao!$B$20+ROW()-2),1E+99)</f>
        <v>1E+99</v>
      </c>
      <c r="B27" s="26">
        <f t="array" ref="B27">IF(ROW()-1&lt;=Verificacao!$B$21,INDEX(Dados_CAV!$D:$D,Verificacao!$B$20+ROW()-2),IF(Verificacao!$B$21&gt;0,INDEX(Dados_CAV!$D:$D,Verificacao!$B$20+Verificacao!$B$21-1),""))</f>
        <v>1.66</v>
      </c>
    </row>
    <row r="28" ht="12.75" customHeight="1">
      <c r="A28" s="26">
        <f t="array" ref="A28">IF(ROW()-1&lt;=Verificacao!$B$21,INDEX(Dados_CAV!$E:$E,Verificacao!$B$20+ROW()-2),1E+99)</f>
        <v>1E+99</v>
      </c>
      <c r="B28" s="26">
        <f t="array" ref="B28">IF(ROW()-1&lt;=Verificacao!$B$21,INDEX(Dados_CAV!$D:$D,Verificacao!$B$20+ROW()-2),IF(Verificacao!$B$21&gt;0,INDEX(Dados_CAV!$D:$D,Verificacao!$B$20+Verificacao!$B$21-1),""))</f>
        <v>1.66</v>
      </c>
    </row>
    <row r="29" ht="12.75" customHeight="1">
      <c r="A29" s="26">
        <f t="array" ref="A29">IF(ROW()-1&lt;=Verificacao!$B$21,INDEX(Dados_CAV!$E:$E,Verificacao!$B$20+ROW()-2),1E+99)</f>
        <v>1E+99</v>
      </c>
      <c r="B29" s="26">
        <f t="array" ref="B29">IF(ROW()-1&lt;=Verificacao!$B$21,INDEX(Dados_CAV!$D:$D,Verificacao!$B$20+ROW()-2),IF(Verificacao!$B$21&gt;0,INDEX(Dados_CAV!$D:$D,Verificacao!$B$20+Verificacao!$B$21-1),""))</f>
        <v>1.66</v>
      </c>
    </row>
    <row r="30" ht="12.75" customHeight="1">
      <c r="A30" s="26">
        <f t="array" ref="A30">IF(ROW()-1&lt;=Verificacao!$B$21,INDEX(Dados_CAV!$E:$E,Verificacao!$B$20+ROW()-2),1E+99)</f>
        <v>1E+99</v>
      </c>
      <c r="B30" s="26">
        <f t="array" ref="B30">IF(ROW()-1&lt;=Verificacao!$B$21,INDEX(Dados_CAV!$D:$D,Verificacao!$B$20+ROW()-2),IF(Verificacao!$B$21&gt;0,INDEX(Dados_CAV!$D:$D,Verificacao!$B$20+Verificacao!$B$21-1),""))</f>
        <v>1.66</v>
      </c>
    </row>
    <row r="31" ht="12.75" customHeight="1">
      <c r="A31" s="26">
        <f t="array" ref="A31">IF(ROW()-1&lt;=Verificacao!$B$21,INDEX(Dados_CAV!$E:$E,Verificacao!$B$20+ROW()-2),1E+99)</f>
        <v>1E+99</v>
      </c>
      <c r="B31" s="26">
        <f t="array" ref="B31">IF(ROW()-1&lt;=Verificacao!$B$21,INDEX(Dados_CAV!$D:$D,Verificacao!$B$20+ROW()-2),IF(Verificacao!$B$21&gt;0,INDEX(Dados_CAV!$D:$D,Verificacao!$B$20+Verificacao!$B$21-1),""))</f>
        <v>1.66</v>
      </c>
    </row>
    <row r="32" ht="12.75" customHeight="1">
      <c r="A32" s="26">
        <f t="array" ref="A32">IF(ROW()-1&lt;=Verificacao!$B$21,INDEX(Dados_CAV!$E:$E,Verificacao!$B$20+ROW()-2),1E+99)</f>
        <v>1E+99</v>
      </c>
      <c r="B32" s="26">
        <f t="array" ref="B32">IF(ROW()-1&lt;=Verificacao!$B$21,INDEX(Dados_CAV!$D:$D,Verificacao!$B$20+ROW()-2),IF(Verificacao!$B$21&gt;0,INDEX(Dados_CAV!$D:$D,Verificacao!$B$20+Verificacao!$B$21-1),""))</f>
        <v>1.66</v>
      </c>
    </row>
    <row r="33" ht="12.75" customHeight="1">
      <c r="A33" s="26">
        <f t="array" ref="A33">IF(ROW()-1&lt;=Verificacao!$B$21,INDEX(Dados_CAV!$E:$E,Verificacao!$B$20+ROW()-2),1E+99)</f>
        <v>1E+99</v>
      </c>
      <c r="B33" s="26">
        <f t="array" ref="B33">IF(ROW()-1&lt;=Verificacao!$B$21,INDEX(Dados_CAV!$D:$D,Verificacao!$B$20+ROW()-2),IF(Verificacao!$B$21&gt;0,INDEX(Dados_CAV!$D:$D,Verificacao!$B$20+Verificacao!$B$21-1),""))</f>
        <v>1.66</v>
      </c>
    </row>
    <row r="34" ht="12.75" customHeight="1">
      <c r="A34" s="26">
        <f t="array" ref="A34">IF(ROW()-1&lt;=Verificacao!$B$21,INDEX(Dados_CAV!$E:$E,Verificacao!$B$20+ROW()-2),1E+99)</f>
        <v>1E+99</v>
      </c>
      <c r="B34" s="26">
        <f t="array" ref="B34">IF(ROW()-1&lt;=Verificacao!$B$21,INDEX(Dados_CAV!$D:$D,Verificacao!$B$20+ROW()-2),IF(Verificacao!$B$21&gt;0,INDEX(Dados_CAV!$D:$D,Verificacao!$B$20+Verificacao!$B$21-1),""))</f>
        <v>1.66</v>
      </c>
    </row>
    <row r="35" ht="12.75" customHeight="1">
      <c r="A35" s="26">
        <f t="array" ref="A35">IF(ROW()-1&lt;=Verificacao!$B$21,INDEX(Dados_CAV!$E:$E,Verificacao!$B$20+ROW()-2),1E+99)</f>
        <v>1E+99</v>
      </c>
      <c r="B35" s="26">
        <f t="array" ref="B35">IF(ROW()-1&lt;=Verificacao!$B$21,INDEX(Dados_CAV!$D:$D,Verificacao!$B$20+ROW()-2),IF(Verificacao!$B$21&gt;0,INDEX(Dados_CAV!$D:$D,Verificacao!$B$20+Verificacao!$B$21-1),""))</f>
        <v>1.66</v>
      </c>
    </row>
    <row r="36" ht="12.75" customHeight="1">
      <c r="A36" s="26">
        <f t="array" ref="A36">IF(ROW()-1&lt;=Verificacao!$B$21,INDEX(Dados_CAV!$E:$E,Verificacao!$B$20+ROW()-2),1E+99)</f>
        <v>1E+99</v>
      </c>
      <c r="B36" s="26">
        <f t="array" ref="B36">IF(ROW()-1&lt;=Verificacao!$B$21,INDEX(Dados_CAV!$D:$D,Verificacao!$B$20+ROW()-2),IF(Verificacao!$B$21&gt;0,INDEX(Dados_CAV!$D:$D,Verificacao!$B$20+Verificacao!$B$21-1),""))</f>
        <v>1.66</v>
      </c>
    </row>
    <row r="37" ht="12.75" customHeight="1">
      <c r="A37" s="26">
        <f t="array" ref="A37">IF(ROW()-1&lt;=Verificacao!$B$21,INDEX(Dados_CAV!$E:$E,Verificacao!$B$20+ROW()-2),1E+99)</f>
        <v>1E+99</v>
      </c>
      <c r="B37" s="26">
        <f t="array" ref="B37">IF(ROW()-1&lt;=Verificacao!$B$21,INDEX(Dados_CAV!$D:$D,Verificacao!$B$20+ROW()-2),IF(Verificacao!$B$21&gt;0,INDEX(Dados_CAV!$D:$D,Verificacao!$B$20+Verificacao!$B$21-1),""))</f>
        <v>1.66</v>
      </c>
    </row>
    <row r="38" ht="12.75" customHeight="1">
      <c r="A38" s="26">
        <f t="array" ref="A38">IF(ROW()-1&lt;=Verificacao!$B$21,INDEX(Dados_CAV!$E:$E,Verificacao!$B$20+ROW()-2),1E+99)</f>
        <v>1E+99</v>
      </c>
      <c r="B38" s="26">
        <f t="array" ref="B38">IF(ROW()-1&lt;=Verificacao!$B$21,INDEX(Dados_CAV!$D:$D,Verificacao!$B$20+ROW()-2),IF(Verificacao!$B$21&gt;0,INDEX(Dados_CAV!$D:$D,Verificacao!$B$20+Verificacao!$B$21-1),""))</f>
        <v>1.66</v>
      </c>
    </row>
    <row r="39" ht="12.75" customHeight="1">
      <c r="A39" s="26">
        <f t="array" ref="A39">IF(ROW()-1&lt;=Verificacao!$B$21,INDEX(Dados_CAV!$E:$E,Verificacao!$B$20+ROW()-2),1E+99)</f>
        <v>1E+99</v>
      </c>
      <c r="B39" s="26">
        <f t="array" ref="B39">IF(ROW()-1&lt;=Verificacao!$B$21,INDEX(Dados_CAV!$D:$D,Verificacao!$B$20+ROW()-2),IF(Verificacao!$B$21&gt;0,INDEX(Dados_CAV!$D:$D,Verificacao!$B$20+Verificacao!$B$21-1),""))</f>
        <v>1.66</v>
      </c>
    </row>
    <row r="40" ht="12.75" customHeight="1">
      <c r="A40" s="26">
        <f t="array" ref="A40">IF(ROW()-1&lt;=Verificacao!$B$21,INDEX(Dados_CAV!$E:$E,Verificacao!$B$20+ROW()-2),1E+99)</f>
        <v>1E+99</v>
      </c>
      <c r="B40" s="26">
        <f t="array" ref="B40">IF(ROW()-1&lt;=Verificacao!$B$21,INDEX(Dados_CAV!$D:$D,Verificacao!$B$20+ROW()-2),IF(Verificacao!$B$21&gt;0,INDEX(Dados_CAV!$D:$D,Verificacao!$B$20+Verificacao!$B$21-1),""))</f>
        <v>1.66</v>
      </c>
    </row>
    <row r="41" ht="12.75" customHeight="1">
      <c r="A41" s="26">
        <f t="array" ref="A41">IF(ROW()-1&lt;=Verificacao!$B$21,INDEX(Dados_CAV!$E:$E,Verificacao!$B$20+ROW()-2),1E+99)</f>
        <v>1E+99</v>
      </c>
      <c r="B41" s="26">
        <f t="array" ref="B41">IF(ROW()-1&lt;=Verificacao!$B$21,INDEX(Dados_CAV!$D:$D,Verificacao!$B$20+ROW()-2),IF(Verificacao!$B$21&gt;0,INDEX(Dados_CAV!$D:$D,Verificacao!$B$20+Verificacao!$B$21-1),""))</f>
        <v>1.66</v>
      </c>
    </row>
    <row r="42" ht="12.75" customHeight="1">
      <c r="A42" s="26">
        <f t="array" ref="A42">IF(ROW()-1&lt;=Verificacao!$B$21,INDEX(Dados_CAV!$E:$E,Verificacao!$B$20+ROW()-2),1E+99)</f>
        <v>1E+99</v>
      </c>
      <c r="B42" s="26">
        <f t="array" ref="B42">IF(ROW()-1&lt;=Verificacao!$B$21,INDEX(Dados_CAV!$D:$D,Verificacao!$B$20+ROW()-2),IF(Verificacao!$B$21&gt;0,INDEX(Dados_CAV!$D:$D,Verificacao!$B$20+Verificacao!$B$21-1),""))</f>
        <v>1.66</v>
      </c>
    </row>
    <row r="43" ht="12.75" customHeight="1">
      <c r="A43" s="26">
        <f t="array" ref="A43">IF(ROW()-1&lt;=Verificacao!$B$21,INDEX(Dados_CAV!$E:$E,Verificacao!$B$20+ROW()-2),1E+99)</f>
        <v>1E+99</v>
      </c>
      <c r="B43" s="26">
        <f t="array" ref="B43">IF(ROW()-1&lt;=Verificacao!$B$21,INDEX(Dados_CAV!$D:$D,Verificacao!$B$20+ROW()-2),IF(Verificacao!$B$21&gt;0,INDEX(Dados_CAV!$D:$D,Verificacao!$B$20+Verificacao!$B$21-1),""))</f>
        <v>1.66</v>
      </c>
    </row>
    <row r="44" ht="12.75" customHeight="1">
      <c r="A44" s="26">
        <f t="array" ref="A44">IF(ROW()-1&lt;=Verificacao!$B$21,INDEX(Dados_CAV!$E:$E,Verificacao!$B$20+ROW()-2),1E+99)</f>
        <v>1E+99</v>
      </c>
      <c r="B44" s="26">
        <f t="array" ref="B44">IF(ROW()-1&lt;=Verificacao!$B$21,INDEX(Dados_CAV!$D:$D,Verificacao!$B$20+ROW()-2),IF(Verificacao!$B$21&gt;0,INDEX(Dados_CAV!$D:$D,Verificacao!$B$20+Verificacao!$B$21-1),""))</f>
        <v>1.66</v>
      </c>
    </row>
    <row r="45" ht="12.75" customHeight="1">
      <c r="A45" s="26">
        <f t="array" ref="A45">IF(ROW()-1&lt;=Verificacao!$B$21,INDEX(Dados_CAV!$E:$E,Verificacao!$B$20+ROW()-2),1E+99)</f>
        <v>1E+99</v>
      </c>
      <c r="B45" s="26">
        <f t="array" ref="B45">IF(ROW()-1&lt;=Verificacao!$B$21,INDEX(Dados_CAV!$D:$D,Verificacao!$B$20+ROW()-2),IF(Verificacao!$B$21&gt;0,INDEX(Dados_CAV!$D:$D,Verificacao!$B$20+Verificacao!$B$21-1),""))</f>
        <v>1.66</v>
      </c>
    </row>
    <row r="46" ht="12.75" customHeight="1">
      <c r="A46" s="26">
        <f t="array" ref="A46">IF(ROW()-1&lt;=Verificacao!$B$21,INDEX(Dados_CAV!$E:$E,Verificacao!$B$20+ROW()-2),1E+99)</f>
        <v>1E+99</v>
      </c>
      <c r="B46" s="26">
        <f t="array" ref="B46">IF(ROW()-1&lt;=Verificacao!$B$21,INDEX(Dados_CAV!$D:$D,Verificacao!$B$20+ROW()-2),IF(Verificacao!$B$21&gt;0,INDEX(Dados_CAV!$D:$D,Verificacao!$B$20+Verificacao!$B$21-1),""))</f>
        <v>1.66</v>
      </c>
    </row>
    <row r="47" ht="12.75" customHeight="1">
      <c r="A47" s="26">
        <f t="array" ref="A47">IF(ROW()-1&lt;=Verificacao!$B$21,INDEX(Dados_CAV!$E:$E,Verificacao!$B$20+ROW()-2),1E+99)</f>
        <v>1E+99</v>
      </c>
      <c r="B47" s="26">
        <f t="array" ref="B47">IF(ROW()-1&lt;=Verificacao!$B$21,INDEX(Dados_CAV!$D:$D,Verificacao!$B$20+ROW()-2),IF(Verificacao!$B$21&gt;0,INDEX(Dados_CAV!$D:$D,Verificacao!$B$20+Verificacao!$B$21-1),""))</f>
        <v>1.66</v>
      </c>
    </row>
    <row r="48" ht="12.75" customHeight="1">
      <c r="A48" s="26">
        <f t="array" ref="A48">IF(ROW()-1&lt;=Verificacao!$B$21,INDEX(Dados_CAV!$E:$E,Verificacao!$B$20+ROW()-2),1E+99)</f>
        <v>1E+99</v>
      </c>
      <c r="B48" s="26">
        <f t="array" ref="B48">IF(ROW()-1&lt;=Verificacao!$B$21,INDEX(Dados_CAV!$D:$D,Verificacao!$B$20+ROW()-2),IF(Verificacao!$B$21&gt;0,INDEX(Dados_CAV!$D:$D,Verificacao!$B$20+Verificacao!$B$21-1),""))</f>
        <v>1.66</v>
      </c>
    </row>
    <row r="49" ht="12.75" customHeight="1">
      <c r="A49" s="26">
        <f t="array" ref="A49">IF(ROW()-1&lt;=Verificacao!$B$21,INDEX(Dados_CAV!$E:$E,Verificacao!$B$20+ROW()-2),1E+99)</f>
        <v>1E+99</v>
      </c>
      <c r="B49" s="26">
        <f t="array" ref="B49">IF(ROW()-1&lt;=Verificacao!$B$21,INDEX(Dados_CAV!$D:$D,Verificacao!$B$20+ROW()-2),IF(Verificacao!$B$21&gt;0,INDEX(Dados_CAV!$D:$D,Verificacao!$B$20+Verificacao!$B$21-1),""))</f>
        <v>1.66</v>
      </c>
    </row>
    <row r="50" ht="12.75" customHeight="1">
      <c r="A50" s="26">
        <f t="array" ref="A50">IF(ROW()-1&lt;=Verificacao!$B$21,INDEX(Dados_CAV!$E:$E,Verificacao!$B$20+ROW()-2),1E+99)</f>
        <v>1E+99</v>
      </c>
      <c r="B50" s="26">
        <f t="array" ref="B50">IF(ROW()-1&lt;=Verificacao!$B$21,INDEX(Dados_CAV!$D:$D,Verificacao!$B$20+ROW()-2),IF(Verificacao!$B$21&gt;0,INDEX(Dados_CAV!$D:$D,Verificacao!$B$20+Verificacao!$B$21-1),""))</f>
        <v>1.66</v>
      </c>
    </row>
    <row r="51" ht="12.75" customHeight="1">
      <c r="A51" s="26">
        <f t="array" ref="A51">IF(ROW()-1&lt;=Verificacao!$B$21,INDEX(Dados_CAV!$E:$E,Verificacao!$B$20+ROW()-2),1E+99)</f>
        <v>1E+99</v>
      </c>
      <c r="B51" s="26">
        <f t="array" ref="B51">IF(ROW()-1&lt;=Verificacao!$B$21,INDEX(Dados_CAV!$D:$D,Verificacao!$B$20+ROW()-2),IF(Verificacao!$B$21&gt;0,INDEX(Dados_CAV!$D:$D,Verificacao!$B$20+Verificacao!$B$21-1),""))</f>
        <v>1.66</v>
      </c>
    </row>
    <row r="52" ht="12.75" customHeight="1">
      <c r="A52" s="26">
        <f t="array" ref="A52">IF(ROW()-1&lt;=Verificacao!$B$21,INDEX(Dados_CAV!$E:$E,Verificacao!$B$20+ROW()-2),1E+99)</f>
        <v>1E+99</v>
      </c>
      <c r="B52" s="26">
        <f t="array" ref="B52">IF(ROW()-1&lt;=Verificacao!$B$21,INDEX(Dados_CAV!$D:$D,Verificacao!$B$20+ROW()-2),IF(Verificacao!$B$21&gt;0,INDEX(Dados_CAV!$D:$D,Verificacao!$B$20+Verificacao!$B$21-1),""))</f>
        <v>1.66</v>
      </c>
    </row>
    <row r="53" ht="12.75" customHeight="1">
      <c r="A53" s="26">
        <f t="array" ref="A53">IF(ROW()-1&lt;=Verificacao!$B$21,INDEX(Dados_CAV!$E:$E,Verificacao!$B$20+ROW()-2),1E+99)</f>
        <v>1E+99</v>
      </c>
      <c r="B53" s="26">
        <f t="array" ref="B53">IF(ROW()-1&lt;=Verificacao!$B$21,INDEX(Dados_CAV!$D:$D,Verificacao!$B$20+ROW()-2),IF(Verificacao!$B$21&gt;0,INDEX(Dados_CAV!$D:$D,Verificacao!$B$20+Verificacao!$B$21-1),""))</f>
        <v>1.66</v>
      </c>
    </row>
    <row r="54" ht="12.75" customHeight="1">
      <c r="A54" s="26">
        <f t="array" ref="A54">IF(ROW()-1&lt;=Verificacao!$B$21,INDEX(Dados_CAV!$E:$E,Verificacao!$B$20+ROW()-2),1E+99)</f>
        <v>1E+99</v>
      </c>
      <c r="B54" s="26">
        <f t="array" ref="B54">IF(ROW()-1&lt;=Verificacao!$B$21,INDEX(Dados_CAV!$D:$D,Verificacao!$B$20+ROW()-2),IF(Verificacao!$B$21&gt;0,INDEX(Dados_CAV!$D:$D,Verificacao!$B$20+Verificacao!$B$21-1),""))</f>
        <v>1.66</v>
      </c>
    </row>
    <row r="55" ht="12.75" customHeight="1">
      <c r="A55" s="26">
        <f t="array" ref="A55">IF(ROW()-1&lt;=Verificacao!$B$21,INDEX(Dados_CAV!$E:$E,Verificacao!$B$20+ROW()-2),1E+99)</f>
        <v>1E+99</v>
      </c>
      <c r="B55" s="26">
        <f t="array" ref="B55">IF(ROW()-1&lt;=Verificacao!$B$21,INDEX(Dados_CAV!$D:$D,Verificacao!$B$20+ROW()-2),IF(Verificacao!$B$21&gt;0,INDEX(Dados_CAV!$D:$D,Verificacao!$B$20+Verificacao!$B$21-1),""))</f>
        <v>1.66</v>
      </c>
    </row>
    <row r="56" ht="12.75" customHeight="1">
      <c r="A56" s="26">
        <f t="array" ref="A56">IF(ROW()-1&lt;=Verificacao!$B$21,INDEX(Dados_CAV!$E:$E,Verificacao!$B$20+ROW()-2),1E+99)</f>
        <v>1E+99</v>
      </c>
      <c r="B56" s="26">
        <f t="array" ref="B56">IF(ROW()-1&lt;=Verificacao!$B$21,INDEX(Dados_CAV!$D:$D,Verificacao!$B$20+ROW()-2),IF(Verificacao!$B$21&gt;0,INDEX(Dados_CAV!$D:$D,Verificacao!$B$20+Verificacao!$B$21-1),""))</f>
        <v>1.66</v>
      </c>
    </row>
    <row r="57" ht="12.75" customHeight="1">
      <c r="A57" s="26">
        <f t="array" ref="A57">IF(ROW()-1&lt;=Verificacao!$B$21,INDEX(Dados_CAV!$E:$E,Verificacao!$B$20+ROW()-2),1E+99)</f>
        <v>1E+99</v>
      </c>
      <c r="B57" s="26">
        <f t="array" ref="B57">IF(ROW()-1&lt;=Verificacao!$B$21,INDEX(Dados_CAV!$D:$D,Verificacao!$B$20+ROW()-2),IF(Verificacao!$B$21&gt;0,INDEX(Dados_CAV!$D:$D,Verificacao!$B$20+Verificacao!$B$21-1),""))</f>
        <v>1.66</v>
      </c>
    </row>
    <row r="58" ht="12.75" customHeight="1">
      <c r="A58" s="26">
        <f t="array" ref="A58">IF(ROW()-1&lt;=Verificacao!$B$21,INDEX(Dados_CAV!$E:$E,Verificacao!$B$20+ROW()-2),1E+99)</f>
        <v>1E+99</v>
      </c>
      <c r="B58" s="26">
        <f t="array" ref="B58">IF(ROW()-1&lt;=Verificacao!$B$21,INDEX(Dados_CAV!$D:$D,Verificacao!$B$20+ROW()-2),IF(Verificacao!$B$21&gt;0,INDEX(Dados_CAV!$D:$D,Verificacao!$B$20+Verificacao!$B$21-1),""))</f>
        <v>1.66</v>
      </c>
    </row>
    <row r="59" ht="12.75" customHeight="1">
      <c r="A59" s="26">
        <f t="array" ref="A59">IF(ROW()-1&lt;=Verificacao!$B$21,INDEX(Dados_CAV!$E:$E,Verificacao!$B$20+ROW()-2),1E+99)</f>
        <v>1E+99</v>
      </c>
      <c r="B59" s="26">
        <f t="array" ref="B59">IF(ROW()-1&lt;=Verificacao!$B$21,INDEX(Dados_CAV!$D:$D,Verificacao!$B$20+ROW()-2),IF(Verificacao!$B$21&gt;0,INDEX(Dados_CAV!$D:$D,Verificacao!$B$20+Verificacao!$B$21-1),""))</f>
        <v>1.66</v>
      </c>
    </row>
    <row r="60" ht="12.75" customHeight="1">
      <c r="A60" s="26">
        <f t="array" ref="A60">IF(ROW()-1&lt;=Verificacao!$B$21,INDEX(Dados_CAV!$E:$E,Verificacao!$B$20+ROW()-2),1E+99)</f>
        <v>1E+99</v>
      </c>
      <c r="B60" s="26">
        <f t="array" ref="B60">IF(ROW()-1&lt;=Verificacao!$B$21,INDEX(Dados_CAV!$D:$D,Verificacao!$B$20+ROW()-2),IF(Verificacao!$B$21&gt;0,INDEX(Dados_CAV!$D:$D,Verificacao!$B$20+Verificacao!$B$21-1),""))</f>
        <v>1.66</v>
      </c>
    </row>
    <row r="61" ht="12.75" customHeight="1">
      <c r="A61" s="26">
        <f t="array" ref="A61">IF(ROW()-1&lt;=Verificacao!$B$21,INDEX(Dados_CAV!$E:$E,Verificacao!$B$20+ROW()-2),1E+99)</f>
        <v>1E+99</v>
      </c>
      <c r="B61" s="26">
        <f t="array" ref="B61">IF(ROW()-1&lt;=Verificacao!$B$21,INDEX(Dados_CAV!$D:$D,Verificacao!$B$20+ROW()-2),IF(Verificacao!$B$21&gt;0,INDEX(Dados_CAV!$D:$D,Verificacao!$B$20+Verificacao!$B$21-1),""))</f>
        <v>1.66</v>
      </c>
    </row>
    <row r="62" ht="12.75" customHeight="1">
      <c r="A62" s="26">
        <f t="array" ref="A62">IF(ROW()-1&lt;=Verificacao!$B$21,INDEX(Dados_CAV!$E:$E,Verificacao!$B$20+ROW()-2),1E+99)</f>
        <v>1E+99</v>
      </c>
      <c r="B62" s="26">
        <f t="array" ref="B62">IF(ROW()-1&lt;=Verificacao!$B$21,INDEX(Dados_CAV!$D:$D,Verificacao!$B$20+ROW()-2),IF(Verificacao!$B$21&gt;0,INDEX(Dados_CAV!$D:$D,Verificacao!$B$20+Verificacao!$B$21-1),""))</f>
        <v>1.66</v>
      </c>
    </row>
    <row r="63" ht="12.75" customHeight="1">
      <c r="A63" s="26">
        <f t="array" ref="A63">IF(ROW()-1&lt;=Verificacao!$B$21,INDEX(Dados_CAV!$E:$E,Verificacao!$B$20+ROW()-2),1E+99)</f>
        <v>1E+99</v>
      </c>
      <c r="B63" s="26">
        <f t="array" ref="B63">IF(ROW()-1&lt;=Verificacao!$B$21,INDEX(Dados_CAV!$D:$D,Verificacao!$B$20+ROW()-2),IF(Verificacao!$B$21&gt;0,INDEX(Dados_CAV!$D:$D,Verificacao!$B$20+Verificacao!$B$21-1),""))</f>
        <v>1.66</v>
      </c>
    </row>
    <row r="64" ht="12.75" customHeight="1">
      <c r="A64" s="26">
        <f t="array" ref="A64">IF(ROW()-1&lt;=Verificacao!$B$21,INDEX(Dados_CAV!$E:$E,Verificacao!$B$20+ROW()-2),1E+99)</f>
        <v>1E+99</v>
      </c>
      <c r="B64" s="26">
        <f t="array" ref="B64">IF(ROW()-1&lt;=Verificacao!$B$21,INDEX(Dados_CAV!$D:$D,Verificacao!$B$20+ROW()-2),IF(Verificacao!$B$21&gt;0,INDEX(Dados_CAV!$D:$D,Verificacao!$B$20+Verificacao!$B$21-1),""))</f>
        <v>1.66</v>
      </c>
    </row>
    <row r="65" ht="12.75" customHeight="1">
      <c r="A65" s="26">
        <f t="array" ref="A65">IF(ROW()-1&lt;=Verificacao!$B$21,INDEX(Dados_CAV!$E:$E,Verificacao!$B$20+ROW()-2),1E+99)</f>
        <v>1E+99</v>
      </c>
      <c r="B65" s="26">
        <f t="array" ref="B65">IF(ROW()-1&lt;=Verificacao!$B$21,INDEX(Dados_CAV!$D:$D,Verificacao!$B$20+ROW()-2),IF(Verificacao!$B$21&gt;0,INDEX(Dados_CAV!$D:$D,Verificacao!$B$20+Verificacao!$B$21-1),""))</f>
        <v>1.66</v>
      </c>
    </row>
    <row r="66" ht="12.75" customHeight="1">
      <c r="A66" s="26">
        <f t="array" ref="A66">IF(ROW()-1&lt;=Verificacao!$B$21,INDEX(Dados_CAV!$E:$E,Verificacao!$B$20+ROW()-2),1E+99)</f>
        <v>1E+99</v>
      </c>
      <c r="B66" s="26">
        <f t="array" ref="B66">IF(ROW()-1&lt;=Verificacao!$B$21,INDEX(Dados_CAV!$D:$D,Verificacao!$B$20+ROW()-2),IF(Verificacao!$B$21&gt;0,INDEX(Dados_CAV!$D:$D,Verificacao!$B$20+Verificacao!$B$21-1),""))</f>
        <v>1.66</v>
      </c>
    </row>
    <row r="67" ht="12.75" customHeight="1">
      <c r="A67" s="26">
        <f t="array" ref="A67">IF(ROW()-1&lt;=Verificacao!$B$21,INDEX(Dados_CAV!$E:$E,Verificacao!$B$20+ROW()-2),1E+99)</f>
        <v>1E+99</v>
      </c>
      <c r="B67" s="26">
        <f t="array" ref="B67">IF(ROW()-1&lt;=Verificacao!$B$21,INDEX(Dados_CAV!$D:$D,Verificacao!$B$20+ROW()-2),IF(Verificacao!$B$21&gt;0,INDEX(Dados_CAV!$D:$D,Verificacao!$B$20+Verificacao!$B$21-1),""))</f>
        <v>1.66</v>
      </c>
    </row>
    <row r="68" ht="12.75" customHeight="1">
      <c r="A68" s="26">
        <f t="array" ref="A68">IF(ROW()-1&lt;=Verificacao!$B$21,INDEX(Dados_CAV!$E:$E,Verificacao!$B$20+ROW()-2),1E+99)</f>
        <v>1E+99</v>
      </c>
      <c r="B68" s="26">
        <f t="array" ref="B68">IF(ROW()-1&lt;=Verificacao!$B$21,INDEX(Dados_CAV!$D:$D,Verificacao!$B$20+ROW()-2),IF(Verificacao!$B$21&gt;0,INDEX(Dados_CAV!$D:$D,Verificacao!$B$20+Verificacao!$B$21-1),""))</f>
        <v>1.66</v>
      </c>
    </row>
    <row r="69" ht="12.75" customHeight="1">
      <c r="A69" s="26">
        <f t="array" ref="A69">IF(ROW()-1&lt;=Verificacao!$B$21,INDEX(Dados_CAV!$E:$E,Verificacao!$B$20+ROW()-2),1E+99)</f>
        <v>1E+99</v>
      </c>
      <c r="B69" s="26">
        <f t="array" ref="B69">IF(ROW()-1&lt;=Verificacao!$B$21,INDEX(Dados_CAV!$D:$D,Verificacao!$B$20+ROW()-2),IF(Verificacao!$B$21&gt;0,INDEX(Dados_CAV!$D:$D,Verificacao!$B$20+Verificacao!$B$21-1),""))</f>
        <v>1.66</v>
      </c>
    </row>
    <row r="70" ht="12.75" customHeight="1">
      <c r="A70" s="26">
        <f t="array" ref="A70">IF(ROW()-1&lt;=Verificacao!$B$21,INDEX(Dados_CAV!$E:$E,Verificacao!$B$20+ROW()-2),1E+99)</f>
        <v>1E+99</v>
      </c>
      <c r="B70" s="26">
        <f t="array" ref="B70">IF(ROW()-1&lt;=Verificacao!$B$21,INDEX(Dados_CAV!$D:$D,Verificacao!$B$20+ROW()-2),IF(Verificacao!$B$21&gt;0,INDEX(Dados_CAV!$D:$D,Verificacao!$B$20+Verificacao!$B$21-1),""))</f>
        <v>1.66</v>
      </c>
    </row>
    <row r="71" ht="12.75" customHeight="1">
      <c r="A71" s="26">
        <f t="array" ref="A71">IF(ROW()-1&lt;=Verificacao!$B$21,INDEX(Dados_CAV!$E:$E,Verificacao!$B$20+ROW()-2),1E+99)</f>
        <v>1E+99</v>
      </c>
      <c r="B71" s="26">
        <f t="array" ref="B71">IF(ROW()-1&lt;=Verificacao!$B$21,INDEX(Dados_CAV!$D:$D,Verificacao!$B$20+ROW()-2),IF(Verificacao!$B$21&gt;0,INDEX(Dados_CAV!$D:$D,Verificacao!$B$20+Verificacao!$B$21-1),""))</f>
        <v>1.66</v>
      </c>
    </row>
    <row r="72" ht="12.75" customHeight="1">
      <c r="A72" s="26">
        <f t="array" ref="A72">IF(ROW()-1&lt;=Verificacao!$B$21,INDEX(Dados_CAV!$E:$E,Verificacao!$B$20+ROW()-2),1E+99)</f>
        <v>1E+99</v>
      </c>
      <c r="B72" s="26">
        <f t="array" ref="B72">IF(ROW()-1&lt;=Verificacao!$B$21,INDEX(Dados_CAV!$D:$D,Verificacao!$B$20+ROW()-2),IF(Verificacao!$B$21&gt;0,INDEX(Dados_CAV!$D:$D,Verificacao!$B$20+Verificacao!$B$21-1),""))</f>
        <v>1.66</v>
      </c>
    </row>
    <row r="73" ht="12.75" customHeight="1">
      <c r="A73" s="26">
        <f t="array" ref="A73">IF(ROW()-1&lt;=Verificacao!$B$21,INDEX(Dados_CAV!$E:$E,Verificacao!$B$20+ROW()-2),1E+99)</f>
        <v>1E+99</v>
      </c>
      <c r="B73" s="26">
        <f t="array" ref="B73">IF(ROW()-1&lt;=Verificacao!$B$21,INDEX(Dados_CAV!$D:$D,Verificacao!$B$20+ROW()-2),IF(Verificacao!$B$21&gt;0,INDEX(Dados_CAV!$D:$D,Verificacao!$B$20+Verificacao!$B$21-1),""))</f>
        <v>1.66</v>
      </c>
    </row>
    <row r="74" ht="12.75" customHeight="1">
      <c r="A74" s="26">
        <f t="array" ref="A74">IF(ROW()-1&lt;=Verificacao!$B$21,INDEX(Dados_CAV!$E:$E,Verificacao!$B$20+ROW()-2),1E+99)</f>
        <v>1E+99</v>
      </c>
      <c r="B74" s="26">
        <f t="array" ref="B74">IF(ROW()-1&lt;=Verificacao!$B$21,INDEX(Dados_CAV!$D:$D,Verificacao!$B$20+ROW()-2),IF(Verificacao!$B$21&gt;0,INDEX(Dados_CAV!$D:$D,Verificacao!$B$20+Verificacao!$B$21-1),""))</f>
        <v>1.66</v>
      </c>
    </row>
    <row r="75" ht="12.75" customHeight="1">
      <c r="A75" s="26">
        <f t="array" ref="A75">IF(ROW()-1&lt;=Verificacao!$B$21,INDEX(Dados_CAV!$E:$E,Verificacao!$B$20+ROW()-2),1E+99)</f>
        <v>1E+99</v>
      </c>
      <c r="B75" s="26">
        <f t="array" ref="B75">IF(ROW()-1&lt;=Verificacao!$B$21,INDEX(Dados_CAV!$D:$D,Verificacao!$B$20+ROW()-2),IF(Verificacao!$B$21&gt;0,INDEX(Dados_CAV!$D:$D,Verificacao!$B$20+Verificacao!$B$21-1),""))</f>
        <v>1.66</v>
      </c>
    </row>
    <row r="76" ht="12.75" customHeight="1">
      <c r="A76" s="26">
        <f t="array" ref="A76">IF(ROW()-1&lt;=Verificacao!$B$21,INDEX(Dados_CAV!$E:$E,Verificacao!$B$20+ROW()-2),1E+99)</f>
        <v>1E+99</v>
      </c>
      <c r="B76" s="26">
        <f t="array" ref="B76">IF(ROW()-1&lt;=Verificacao!$B$21,INDEX(Dados_CAV!$D:$D,Verificacao!$B$20+ROW()-2),IF(Verificacao!$B$21&gt;0,INDEX(Dados_CAV!$D:$D,Verificacao!$B$20+Verificacao!$B$21-1),""))</f>
        <v>1.66</v>
      </c>
    </row>
    <row r="77" ht="12.75" customHeight="1">
      <c r="A77" s="26">
        <f t="array" ref="A77">IF(ROW()-1&lt;=Verificacao!$B$21,INDEX(Dados_CAV!$E:$E,Verificacao!$B$20+ROW()-2),1E+99)</f>
        <v>1E+99</v>
      </c>
      <c r="B77" s="26">
        <f t="array" ref="B77">IF(ROW()-1&lt;=Verificacao!$B$21,INDEX(Dados_CAV!$D:$D,Verificacao!$B$20+ROW()-2),IF(Verificacao!$B$21&gt;0,INDEX(Dados_CAV!$D:$D,Verificacao!$B$20+Verificacao!$B$21-1),""))</f>
        <v>1.66</v>
      </c>
    </row>
    <row r="78" ht="12.75" customHeight="1">
      <c r="A78" s="26">
        <f t="array" ref="A78">IF(ROW()-1&lt;=Verificacao!$B$21,INDEX(Dados_CAV!$E:$E,Verificacao!$B$20+ROW()-2),1E+99)</f>
        <v>1E+99</v>
      </c>
      <c r="B78" s="26">
        <f t="array" ref="B78">IF(ROW()-1&lt;=Verificacao!$B$21,INDEX(Dados_CAV!$D:$D,Verificacao!$B$20+ROW()-2),IF(Verificacao!$B$21&gt;0,INDEX(Dados_CAV!$D:$D,Verificacao!$B$20+Verificacao!$B$21-1),""))</f>
        <v>1.66</v>
      </c>
    </row>
    <row r="79" ht="12.75" customHeight="1">
      <c r="A79" s="26">
        <f t="array" ref="A79">IF(ROW()-1&lt;=Verificacao!$B$21,INDEX(Dados_CAV!$E:$E,Verificacao!$B$20+ROW()-2),1E+99)</f>
        <v>1E+99</v>
      </c>
      <c r="B79" s="26">
        <f t="array" ref="B79">IF(ROW()-1&lt;=Verificacao!$B$21,INDEX(Dados_CAV!$D:$D,Verificacao!$B$20+ROW()-2),IF(Verificacao!$B$21&gt;0,INDEX(Dados_CAV!$D:$D,Verificacao!$B$20+Verificacao!$B$21-1),""))</f>
        <v>1.66</v>
      </c>
    </row>
    <row r="80" ht="12.75" customHeight="1">
      <c r="A80" s="26">
        <f t="array" ref="A80">IF(ROW()-1&lt;=Verificacao!$B$21,INDEX(Dados_CAV!$E:$E,Verificacao!$B$20+ROW()-2),1E+99)</f>
        <v>1E+99</v>
      </c>
      <c r="B80" s="26">
        <f t="array" ref="B80">IF(ROW()-1&lt;=Verificacao!$B$21,INDEX(Dados_CAV!$D:$D,Verificacao!$B$20+ROW()-2),IF(Verificacao!$B$21&gt;0,INDEX(Dados_CAV!$D:$D,Verificacao!$B$20+Verificacao!$B$21-1),""))</f>
        <v>1.66</v>
      </c>
    </row>
    <row r="81" ht="12.75" customHeight="1">
      <c r="A81" s="26">
        <f t="array" ref="A81">IF(ROW()-1&lt;=Verificacao!$B$21,INDEX(Dados_CAV!$E:$E,Verificacao!$B$20+ROW()-2),1E+99)</f>
        <v>1E+99</v>
      </c>
      <c r="B81" s="26">
        <f t="array" ref="B81">IF(ROW()-1&lt;=Verificacao!$B$21,INDEX(Dados_CAV!$D:$D,Verificacao!$B$20+ROW()-2),IF(Verificacao!$B$21&gt;0,INDEX(Dados_CAV!$D:$D,Verificacao!$B$20+Verificacao!$B$21-1),""))</f>
        <v>1.66</v>
      </c>
    </row>
    <row r="82" ht="12.75" customHeight="1">
      <c r="A82" s="26">
        <f t="array" ref="A82">IF(ROW()-1&lt;=Verificacao!$B$21,INDEX(Dados_CAV!$E:$E,Verificacao!$B$20+ROW()-2),1E+99)</f>
        <v>1E+99</v>
      </c>
      <c r="B82" s="26">
        <f t="array" ref="B82">IF(ROW()-1&lt;=Verificacao!$B$21,INDEX(Dados_CAV!$D:$D,Verificacao!$B$20+ROW()-2),IF(Verificacao!$B$21&gt;0,INDEX(Dados_CAV!$D:$D,Verificacao!$B$20+Verificacao!$B$21-1),""))</f>
        <v>1.66</v>
      </c>
    </row>
    <row r="83" ht="12.75" customHeight="1">
      <c r="A83" s="26">
        <f t="array" ref="A83">IF(ROW()-1&lt;=Verificacao!$B$21,INDEX(Dados_CAV!$E:$E,Verificacao!$B$20+ROW()-2),1E+99)</f>
        <v>1E+99</v>
      </c>
      <c r="B83" s="26">
        <f t="array" ref="B83">IF(ROW()-1&lt;=Verificacao!$B$21,INDEX(Dados_CAV!$D:$D,Verificacao!$B$20+ROW()-2),IF(Verificacao!$B$21&gt;0,INDEX(Dados_CAV!$D:$D,Verificacao!$B$20+Verificacao!$B$21-1),""))</f>
        <v>1.66</v>
      </c>
    </row>
    <row r="84" ht="12.75" customHeight="1">
      <c r="A84" s="26">
        <f t="array" ref="A84">IF(ROW()-1&lt;=Verificacao!$B$21,INDEX(Dados_CAV!$E:$E,Verificacao!$B$20+ROW()-2),1E+99)</f>
        <v>1E+99</v>
      </c>
      <c r="B84" s="26">
        <f t="array" ref="B84">IF(ROW()-1&lt;=Verificacao!$B$21,INDEX(Dados_CAV!$D:$D,Verificacao!$B$20+ROW()-2),IF(Verificacao!$B$21&gt;0,INDEX(Dados_CAV!$D:$D,Verificacao!$B$20+Verificacao!$B$21-1),""))</f>
        <v>1.66</v>
      </c>
    </row>
    <row r="85" ht="12.75" customHeight="1">
      <c r="A85" s="26">
        <f t="array" ref="A85">IF(ROW()-1&lt;=Verificacao!$B$21,INDEX(Dados_CAV!$E:$E,Verificacao!$B$20+ROW()-2),1E+99)</f>
        <v>1E+99</v>
      </c>
      <c r="B85" s="26">
        <f t="array" ref="B85">IF(ROW()-1&lt;=Verificacao!$B$21,INDEX(Dados_CAV!$D:$D,Verificacao!$B$20+ROW()-2),IF(Verificacao!$B$21&gt;0,INDEX(Dados_CAV!$D:$D,Verificacao!$B$20+Verificacao!$B$21-1),""))</f>
        <v>1.66</v>
      </c>
    </row>
    <row r="86" ht="12.75" customHeight="1">
      <c r="A86" s="26">
        <f t="array" ref="A86">IF(ROW()-1&lt;=Verificacao!$B$21,INDEX(Dados_CAV!$E:$E,Verificacao!$B$20+ROW()-2),1E+99)</f>
        <v>1E+99</v>
      </c>
      <c r="B86" s="26">
        <f t="array" ref="B86">IF(ROW()-1&lt;=Verificacao!$B$21,INDEX(Dados_CAV!$D:$D,Verificacao!$B$20+ROW()-2),IF(Verificacao!$B$21&gt;0,INDEX(Dados_CAV!$D:$D,Verificacao!$B$20+Verificacao!$B$21-1),""))</f>
        <v>1.66</v>
      </c>
    </row>
    <row r="87" ht="12.75" customHeight="1">
      <c r="A87" s="26">
        <f t="array" ref="A87">IF(ROW()-1&lt;=Verificacao!$B$21,INDEX(Dados_CAV!$E:$E,Verificacao!$B$20+ROW()-2),1E+99)</f>
        <v>1E+99</v>
      </c>
      <c r="B87" s="26">
        <f t="array" ref="B87">IF(ROW()-1&lt;=Verificacao!$B$21,INDEX(Dados_CAV!$D:$D,Verificacao!$B$20+ROW()-2),IF(Verificacao!$B$21&gt;0,INDEX(Dados_CAV!$D:$D,Verificacao!$B$20+Verificacao!$B$21-1),""))</f>
        <v>1.66</v>
      </c>
    </row>
    <row r="88" ht="12.75" customHeight="1">
      <c r="A88" s="26">
        <f t="array" ref="A88">IF(ROW()-1&lt;=Verificacao!$B$21,INDEX(Dados_CAV!$E:$E,Verificacao!$B$20+ROW()-2),1E+99)</f>
        <v>1E+99</v>
      </c>
      <c r="B88" s="26">
        <f t="array" ref="B88">IF(ROW()-1&lt;=Verificacao!$B$21,INDEX(Dados_CAV!$D:$D,Verificacao!$B$20+ROW()-2),IF(Verificacao!$B$21&gt;0,INDEX(Dados_CAV!$D:$D,Verificacao!$B$20+Verificacao!$B$21-1),""))</f>
        <v>1.66</v>
      </c>
    </row>
    <row r="89" ht="12.75" customHeight="1">
      <c r="A89" s="26">
        <f t="array" ref="A89">IF(ROW()-1&lt;=Verificacao!$B$21,INDEX(Dados_CAV!$E:$E,Verificacao!$B$20+ROW()-2),1E+99)</f>
        <v>1E+99</v>
      </c>
      <c r="B89" s="26">
        <f t="array" ref="B89">IF(ROW()-1&lt;=Verificacao!$B$21,INDEX(Dados_CAV!$D:$D,Verificacao!$B$20+ROW()-2),IF(Verificacao!$B$21&gt;0,INDEX(Dados_CAV!$D:$D,Verificacao!$B$20+Verificacao!$B$21-1),""))</f>
        <v>1.66</v>
      </c>
    </row>
    <row r="90" ht="12.75" customHeight="1">
      <c r="A90" s="26">
        <f t="array" ref="A90">IF(ROW()-1&lt;=Verificacao!$B$21,INDEX(Dados_CAV!$E:$E,Verificacao!$B$20+ROW()-2),1E+99)</f>
        <v>1E+99</v>
      </c>
      <c r="B90" s="26">
        <f t="array" ref="B90">IF(ROW()-1&lt;=Verificacao!$B$21,INDEX(Dados_CAV!$D:$D,Verificacao!$B$20+ROW()-2),IF(Verificacao!$B$21&gt;0,INDEX(Dados_CAV!$D:$D,Verificacao!$B$20+Verificacao!$B$21-1),""))</f>
        <v>1.66</v>
      </c>
    </row>
    <row r="91" ht="12.75" customHeight="1">
      <c r="A91" s="26">
        <f t="array" ref="A91">IF(ROW()-1&lt;=Verificacao!$B$21,INDEX(Dados_CAV!$E:$E,Verificacao!$B$20+ROW()-2),1E+99)</f>
        <v>1E+99</v>
      </c>
      <c r="B91" s="26">
        <f t="array" ref="B91">IF(ROW()-1&lt;=Verificacao!$B$21,INDEX(Dados_CAV!$D:$D,Verificacao!$B$20+ROW()-2),IF(Verificacao!$B$21&gt;0,INDEX(Dados_CAV!$D:$D,Verificacao!$B$20+Verificacao!$B$21-1),""))</f>
        <v>1.66</v>
      </c>
    </row>
    <row r="92" ht="12.75" customHeight="1">
      <c r="A92" s="26">
        <f t="array" ref="A92">IF(ROW()-1&lt;=Verificacao!$B$21,INDEX(Dados_CAV!$E:$E,Verificacao!$B$20+ROW()-2),1E+99)</f>
        <v>1E+99</v>
      </c>
      <c r="B92" s="26">
        <f t="array" ref="B92">IF(ROW()-1&lt;=Verificacao!$B$21,INDEX(Dados_CAV!$D:$D,Verificacao!$B$20+ROW()-2),IF(Verificacao!$B$21&gt;0,INDEX(Dados_CAV!$D:$D,Verificacao!$B$20+Verificacao!$B$21-1),""))</f>
        <v>1.66</v>
      </c>
    </row>
    <row r="93" ht="12.75" customHeight="1">
      <c r="A93" s="26">
        <f t="array" ref="A93">IF(ROW()-1&lt;=Verificacao!$B$21,INDEX(Dados_CAV!$E:$E,Verificacao!$B$20+ROW()-2),1E+99)</f>
        <v>1E+99</v>
      </c>
      <c r="B93" s="26">
        <f t="array" ref="B93">IF(ROW()-1&lt;=Verificacao!$B$21,INDEX(Dados_CAV!$D:$D,Verificacao!$B$20+ROW()-2),IF(Verificacao!$B$21&gt;0,INDEX(Dados_CAV!$D:$D,Verificacao!$B$20+Verificacao!$B$21-1),""))</f>
        <v>1.66</v>
      </c>
    </row>
    <row r="94" ht="12.75" customHeight="1">
      <c r="A94" s="26">
        <f t="array" ref="A94">IF(ROW()-1&lt;=Verificacao!$B$21,INDEX(Dados_CAV!$E:$E,Verificacao!$B$20+ROW()-2),1E+99)</f>
        <v>1E+99</v>
      </c>
      <c r="B94" s="26">
        <f t="array" ref="B94">IF(ROW()-1&lt;=Verificacao!$B$21,INDEX(Dados_CAV!$D:$D,Verificacao!$B$20+ROW()-2),IF(Verificacao!$B$21&gt;0,INDEX(Dados_CAV!$D:$D,Verificacao!$B$20+Verificacao!$B$21-1),""))</f>
        <v>1.66</v>
      </c>
    </row>
    <row r="95" ht="12.75" customHeight="1">
      <c r="A95" s="26">
        <f t="array" ref="A95">IF(ROW()-1&lt;=Verificacao!$B$21,INDEX(Dados_CAV!$E:$E,Verificacao!$B$20+ROW()-2),1E+99)</f>
        <v>1E+99</v>
      </c>
      <c r="B95" s="26">
        <f t="array" ref="B95">IF(ROW()-1&lt;=Verificacao!$B$21,INDEX(Dados_CAV!$D:$D,Verificacao!$B$20+ROW()-2),IF(Verificacao!$B$21&gt;0,INDEX(Dados_CAV!$D:$D,Verificacao!$B$20+Verificacao!$B$21-1),""))</f>
        <v>1.66</v>
      </c>
    </row>
    <row r="96" ht="12.75" customHeight="1">
      <c r="A96" s="26">
        <f t="array" ref="A96">IF(ROW()-1&lt;=Verificacao!$B$21,INDEX(Dados_CAV!$E:$E,Verificacao!$B$20+ROW()-2),1E+99)</f>
        <v>1E+99</v>
      </c>
      <c r="B96" s="26">
        <f t="array" ref="B96">IF(ROW()-1&lt;=Verificacao!$B$21,INDEX(Dados_CAV!$D:$D,Verificacao!$B$20+ROW()-2),IF(Verificacao!$B$21&gt;0,INDEX(Dados_CAV!$D:$D,Verificacao!$B$20+Verificacao!$B$21-1),""))</f>
        <v>1.66</v>
      </c>
    </row>
    <row r="97" ht="12.75" customHeight="1">
      <c r="A97" s="26">
        <f t="array" ref="A97">IF(ROW()-1&lt;=Verificacao!$B$21,INDEX(Dados_CAV!$E:$E,Verificacao!$B$20+ROW()-2),1E+99)</f>
        <v>1E+99</v>
      </c>
      <c r="B97" s="26">
        <f t="array" ref="B97">IF(ROW()-1&lt;=Verificacao!$B$21,INDEX(Dados_CAV!$D:$D,Verificacao!$B$20+ROW()-2),IF(Verificacao!$B$21&gt;0,INDEX(Dados_CAV!$D:$D,Verificacao!$B$20+Verificacao!$B$21-1),""))</f>
        <v>1.66</v>
      </c>
    </row>
    <row r="98" ht="12.75" customHeight="1">
      <c r="A98" s="26">
        <f t="array" ref="A98">IF(ROW()-1&lt;=Verificacao!$B$21,INDEX(Dados_CAV!$E:$E,Verificacao!$B$20+ROW()-2),1E+99)</f>
        <v>1E+99</v>
      </c>
      <c r="B98" s="26">
        <f t="array" ref="B98">IF(ROW()-1&lt;=Verificacao!$B$21,INDEX(Dados_CAV!$D:$D,Verificacao!$B$20+ROW()-2),IF(Verificacao!$B$21&gt;0,INDEX(Dados_CAV!$D:$D,Verificacao!$B$20+Verificacao!$B$21-1),""))</f>
        <v>1.66</v>
      </c>
    </row>
    <row r="99" ht="12.75" customHeight="1">
      <c r="A99" s="26">
        <f t="array" ref="A99">IF(ROW()-1&lt;=Verificacao!$B$21,INDEX(Dados_CAV!$E:$E,Verificacao!$B$20+ROW()-2),1E+99)</f>
        <v>1E+99</v>
      </c>
      <c r="B99" s="26">
        <f t="array" ref="B99">IF(ROW()-1&lt;=Verificacao!$B$21,INDEX(Dados_CAV!$D:$D,Verificacao!$B$20+ROW()-2),IF(Verificacao!$B$21&gt;0,INDEX(Dados_CAV!$D:$D,Verificacao!$B$20+Verificacao!$B$21-1),""))</f>
        <v>1.66</v>
      </c>
    </row>
    <row r="100" ht="12.75" customHeight="1">
      <c r="A100" s="26">
        <f t="array" ref="A100">IF(ROW()-1&lt;=Verificacao!$B$21,INDEX(Dados_CAV!$E:$E,Verificacao!$B$20+ROW()-2),1E+99)</f>
        <v>1E+99</v>
      </c>
      <c r="B100" s="26">
        <f t="array" ref="B100">IF(ROW()-1&lt;=Verificacao!$B$21,INDEX(Dados_CAV!$D:$D,Verificacao!$B$20+ROW()-2),IF(Verificacao!$B$21&gt;0,INDEX(Dados_CAV!$D:$D,Verificacao!$B$20+Verificacao!$B$21-1),""))</f>
        <v>1.66</v>
      </c>
    </row>
    <row r="101" ht="12.75" customHeight="1">
      <c r="A101" s="26">
        <f t="array" ref="A101">IF(ROW()-1&lt;=Verificacao!$B$21,INDEX(Dados_CAV!$E:$E,Verificacao!$B$20+ROW()-2),1E+99)</f>
        <v>1E+99</v>
      </c>
      <c r="B101" s="26">
        <f t="array" ref="B101">IF(ROW()-1&lt;=Verificacao!$B$21,INDEX(Dados_CAV!$D:$D,Verificacao!$B$20+ROW()-2),IF(Verificacao!$B$21&gt;0,INDEX(Dados_CAV!$D:$D,Verificacao!$B$20+Verificacao!$B$21-1),""))</f>
        <v>1.66</v>
      </c>
    </row>
    <row r="102" ht="12.75" customHeight="1">
      <c r="A102" s="26">
        <f t="array" ref="A102">IF(ROW()-1&lt;=Verificacao!$B$21,INDEX(Dados_CAV!$E:$E,Verificacao!$B$20+ROW()-2),1E+99)</f>
        <v>1E+99</v>
      </c>
      <c r="B102" s="26">
        <f t="array" ref="B102">IF(ROW()-1&lt;=Verificacao!$B$21,INDEX(Dados_CAV!$D:$D,Verificacao!$B$20+ROW()-2),IF(Verificacao!$B$21&gt;0,INDEX(Dados_CAV!$D:$D,Verificacao!$B$20+Verificacao!$B$21-1),""))</f>
        <v>1.66</v>
      </c>
    </row>
    <row r="103" ht="12.75" customHeight="1">
      <c r="A103" s="26">
        <f t="array" ref="A103">IF(ROW()-1&lt;=Verificacao!$B$21,INDEX(Dados_CAV!$E:$E,Verificacao!$B$20+ROW()-2),1E+99)</f>
        <v>1E+99</v>
      </c>
      <c r="B103" s="26">
        <f t="array" ref="B103">IF(ROW()-1&lt;=Verificacao!$B$21,INDEX(Dados_CAV!$D:$D,Verificacao!$B$20+ROW()-2),IF(Verificacao!$B$21&gt;0,INDEX(Dados_CAV!$D:$D,Verificacao!$B$20+Verificacao!$B$21-1),""))</f>
        <v>1.66</v>
      </c>
    </row>
    <row r="104" ht="12.75" customHeight="1">
      <c r="A104" s="26">
        <f t="array" ref="A104">IF(ROW()-1&lt;=Verificacao!$B$21,INDEX(Dados_CAV!$E:$E,Verificacao!$B$20+ROW()-2),1E+99)</f>
        <v>1E+99</v>
      </c>
      <c r="B104" s="26">
        <f t="array" ref="B104">IF(ROW()-1&lt;=Verificacao!$B$21,INDEX(Dados_CAV!$D:$D,Verificacao!$B$20+ROW()-2),IF(Verificacao!$B$21&gt;0,INDEX(Dados_CAV!$D:$D,Verificacao!$B$20+Verificacao!$B$21-1),""))</f>
        <v>1.66</v>
      </c>
    </row>
    <row r="105" ht="12.75" customHeight="1">
      <c r="A105" s="26">
        <f t="array" ref="A105">IF(ROW()-1&lt;=Verificacao!$B$21,INDEX(Dados_CAV!$E:$E,Verificacao!$B$20+ROW()-2),1E+99)</f>
        <v>1E+99</v>
      </c>
      <c r="B105" s="26">
        <f t="array" ref="B105">IF(ROW()-1&lt;=Verificacao!$B$21,INDEX(Dados_CAV!$D:$D,Verificacao!$B$20+ROW()-2),IF(Verificacao!$B$21&gt;0,INDEX(Dados_CAV!$D:$D,Verificacao!$B$20+Verificacao!$B$21-1),""))</f>
        <v>1.66</v>
      </c>
    </row>
    <row r="106" ht="12.75" customHeight="1">
      <c r="A106" s="26">
        <f t="array" ref="A106">IF(ROW()-1&lt;=Verificacao!$B$21,INDEX(Dados_CAV!$E:$E,Verificacao!$B$20+ROW()-2),1E+99)</f>
        <v>1E+99</v>
      </c>
      <c r="B106" s="26">
        <f t="array" ref="B106">IF(ROW()-1&lt;=Verificacao!$B$21,INDEX(Dados_CAV!$D:$D,Verificacao!$B$20+ROW()-2),IF(Verificacao!$B$21&gt;0,INDEX(Dados_CAV!$D:$D,Verificacao!$B$20+Verificacao!$B$21-1),""))</f>
        <v>1.66</v>
      </c>
    </row>
    <row r="107" ht="12.75" customHeight="1">
      <c r="A107" s="26">
        <f t="array" ref="A107">IF(ROW()-1&lt;=Verificacao!$B$21,INDEX(Dados_CAV!$E:$E,Verificacao!$B$20+ROW()-2),1E+99)</f>
        <v>1E+99</v>
      </c>
      <c r="B107" s="26">
        <f t="array" ref="B107">IF(ROW()-1&lt;=Verificacao!$B$21,INDEX(Dados_CAV!$D:$D,Verificacao!$B$20+ROW()-2),IF(Verificacao!$B$21&gt;0,INDEX(Dados_CAV!$D:$D,Verificacao!$B$20+Verificacao!$B$21-1),""))</f>
        <v>1.66</v>
      </c>
    </row>
    <row r="108" ht="12.75" customHeight="1">
      <c r="A108" s="26">
        <f t="array" ref="A108">IF(ROW()-1&lt;=Verificacao!$B$21,INDEX(Dados_CAV!$E:$E,Verificacao!$B$20+ROW()-2),1E+99)</f>
        <v>1E+99</v>
      </c>
      <c r="B108" s="26">
        <f t="array" ref="B108">IF(ROW()-1&lt;=Verificacao!$B$21,INDEX(Dados_CAV!$D:$D,Verificacao!$B$20+ROW()-2),IF(Verificacao!$B$21&gt;0,INDEX(Dados_CAV!$D:$D,Verificacao!$B$20+Verificacao!$B$21-1),""))</f>
        <v>1.66</v>
      </c>
    </row>
    <row r="109" ht="12.75" customHeight="1">
      <c r="A109" s="26">
        <f t="array" ref="A109">IF(ROW()-1&lt;=Verificacao!$B$21,INDEX(Dados_CAV!$E:$E,Verificacao!$B$20+ROW()-2),1E+99)</f>
        <v>1E+99</v>
      </c>
      <c r="B109" s="26">
        <f t="array" ref="B109">IF(ROW()-1&lt;=Verificacao!$B$21,INDEX(Dados_CAV!$D:$D,Verificacao!$B$20+ROW()-2),IF(Verificacao!$B$21&gt;0,INDEX(Dados_CAV!$D:$D,Verificacao!$B$20+Verificacao!$B$21-1),""))</f>
        <v>1.66</v>
      </c>
    </row>
    <row r="110" ht="12.75" customHeight="1">
      <c r="A110" s="26">
        <f t="array" ref="A110">IF(ROW()-1&lt;=Verificacao!$B$21,INDEX(Dados_CAV!$E:$E,Verificacao!$B$20+ROW()-2),1E+99)</f>
        <v>1E+99</v>
      </c>
      <c r="B110" s="26">
        <f t="array" ref="B110">IF(ROW()-1&lt;=Verificacao!$B$21,INDEX(Dados_CAV!$D:$D,Verificacao!$B$20+ROW()-2),IF(Verificacao!$B$21&gt;0,INDEX(Dados_CAV!$D:$D,Verificacao!$B$20+Verificacao!$B$21-1),""))</f>
        <v>1.66</v>
      </c>
    </row>
    <row r="111" ht="12.75" customHeight="1">
      <c r="A111" s="26">
        <f t="array" ref="A111">IF(ROW()-1&lt;=Verificacao!$B$21,INDEX(Dados_CAV!$E:$E,Verificacao!$B$20+ROW()-2),1E+99)</f>
        <v>1E+99</v>
      </c>
      <c r="B111" s="26">
        <f t="array" ref="B111">IF(ROW()-1&lt;=Verificacao!$B$21,INDEX(Dados_CAV!$D:$D,Verificacao!$B$20+ROW()-2),IF(Verificacao!$B$21&gt;0,INDEX(Dados_CAV!$D:$D,Verificacao!$B$20+Verificacao!$B$21-1),""))</f>
        <v>1.66</v>
      </c>
    </row>
    <row r="112" ht="12.75" customHeight="1">
      <c r="A112" s="26">
        <f t="array" ref="A112">IF(ROW()-1&lt;=Verificacao!$B$21,INDEX(Dados_CAV!$E:$E,Verificacao!$B$20+ROW()-2),1E+99)</f>
        <v>1E+99</v>
      </c>
      <c r="B112" s="26">
        <f t="array" ref="B112">IF(ROW()-1&lt;=Verificacao!$B$21,INDEX(Dados_CAV!$D:$D,Verificacao!$B$20+ROW()-2),IF(Verificacao!$B$21&gt;0,INDEX(Dados_CAV!$D:$D,Verificacao!$B$20+Verificacao!$B$21-1),""))</f>
        <v>1.66</v>
      </c>
    </row>
    <row r="113" ht="12.75" customHeight="1">
      <c r="A113" s="26">
        <f t="array" ref="A113">IF(ROW()-1&lt;=Verificacao!$B$21,INDEX(Dados_CAV!$E:$E,Verificacao!$B$20+ROW()-2),1E+99)</f>
        <v>1E+99</v>
      </c>
      <c r="B113" s="26">
        <f t="array" ref="B113">IF(ROW()-1&lt;=Verificacao!$B$21,INDEX(Dados_CAV!$D:$D,Verificacao!$B$20+ROW()-2),IF(Verificacao!$B$21&gt;0,INDEX(Dados_CAV!$D:$D,Verificacao!$B$20+Verificacao!$B$21-1),""))</f>
        <v>1.66</v>
      </c>
    </row>
    <row r="114" ht="12.75" customHeight="1">
      <c r="A114" s="26">
        <f t="array" ref="A114">IF(ROW()-1&lt;=Verificacao!$B$21,INDEX(Dados_CAV!$E:$E,Verificacao!$B$20+ROW()-2),1E+99)</f>
        <v>1E+99</v>
      </c>
      <c r="B114" s="26">
        <f t="array" ref="B114">IF(ROW()-1&lt;=Verificacao!$B$21,INDEX(Dados_CAV!$D:$D,Verificacao!$B$20+ROW()-2),IF(Verificacao!$B$21&gt;0,INDEX(Dados_CAV!$D:$D,Verificacao!$B$20+Verificacao!$B$21-1),""))</f>
        <v>1.66</v>
      </c>
    </row>
    <row r="115" ht="12.75" customHeight="1">
      <c r="A115" s="26">
        <f t="array" ref="A115">IF(ROW()-1&lt;=Verificacao!$B$21,INDEX(Dados_CAV!$E:$E,Verificacao!$B$20+ROW()-2),1E+99)</f>
        <v>1E+99</v>
      </c>
      <c r="B115" s="26">
        <f t="array" ref="B115">IF(ROW()-1&lt;=Verificacao!$B$21,INDEX(Dados_CAV!$D:$D,Verificacao!$B$20+ROW()-2),IF(Verificacao!$B$21&gt;0,INDEX(Dados_CAV!$D:$D,Verificacao!$B$20+Verificacao!$B$21-1),""))</f>
        <v>1.66</v>
      </c>
    </row>
    <row r="116" ht="12.75" customHeight="1">
      <c r="A116" s="26">
        <f t="array" ref="A116">IF(ROW()-1&lt;=Verificacao!$B$21,INDEX(Dados_CAV!$E:$E,Verificacao!$B$20+ROW()-2),1E+99)</f>
        <v>1E+99</v>
      </c>
      <c r="B116" s="26">
        <f t="array" ref="B116">IF(ROW()-1&lt;=Verificacao!$B$21,INDEX(Dados_CAV!$D:$D,Verificacao!$B$20+ROW()-2),IF(Verificacao!$B$21&gt;0,INDEX(Dados_CAV!$D:$D,Verificacao!$B$20+Verificacao!$B$21-1),""))</f>
        <v>1.66</v>
      </c>
    </row>
    <row r="117" ht="12.75" customHeight="1">
      <c r="A117" s="26">
        <f t="array" ref="A117">IF(ROW()-1&lt;=Verificacao!$B$21,INDEX(Dados_CAV!$E:$E,Verificacao!$B$20+ROW()-2),1E+99)</f>
        <v>1E+99</v>
      </c>
      <c r="B117" s="26">
        <f t="array" ref="B117">IF(ROW()-1&lt;=Verificacao!$B$21,INDEX(Dados_CAV!$D:$D,Verificacao!$B$20+ROW()-2),IF(Verificacao!$B$21&gt;0,INDEX(Dados_CAV!$D:$D,Verificacao!$B$20+Verificacao!$B$21-1),""))</f>
        <v>1.66</v>
      </c>
    </row>
    <row r="118" ht="12.75" customHeight="1">
      <c r="A118" s="26">
        <f t="array" ref="A118">IF(ROW()-1&lt;=Verificacao!$B$21,INDEX(Dados_CAV!$E:$E,Verificacao!$B$20+ROW()-2),1E+99)</f>
        <v>1E+99</v>
      </c>
      <c r="B118" s="26">
        <f t="array" ref="B118">IF(ROW()-1&lt;=Verificacao!$B$21,INDEX(Dados_CAV!$D:$D,Verificacao!$B$20+ROW()-2),IF(Verificacao!$B$21&gt;0,INDEX(Dados_CAV!$D:$D,Verificacao!$B$20+Verificacao!$B$21-1),""))</f>
        <v>1.66</v>
      </c>
    </row>
    <row r="119" ht="12.75" customHeight="1">
      <c r="A119" s="26">
        <f t="array" ref="A119">IF(ROW()-1&lt;=Verificacao!$B$21,INDEX(Dados_CAV!$E:$E,Verificacao!$B$20+ROW()-2),1E+99)</f>
        <v>1E+99</v>
      </c>
      <c r="B119" s="26">
        <f t="array" ref="B119">IF(ROW()-1&lt;=Verificacao!$B$21,INDEX(Dados_CAV!$D:$D,Verificacao!$B$20+ROW()-2),IF(Verificacao!$B$21&gt;0,INDEX(Dados_CAV!$D:$D,Verificacao!$B$20+Verificacao!$B$21-1),""))</f>
        <v>1.66</v>
      </c>
    </row>
    <row r="120" ht="12.75" customHeight="1">
      <c r="A120" s="26">
        <f t="array" ref="A120">IF(ROW()-1&lt;=Verificacao!$B$21,INDEX(Dados_CAV!$E:$E,Verificacao!$B$20+ROW()-2),1E+99)</f>
        <v>1E+99</v>
      </c>
      <c r="B120" s="26">
        <f t="array" ref="B120">IF(ROW()-1&lt;=Verificacao!$B$21,INDEX(Dados_CAV!$D:$D,Verificacao!$B$20+ROW()-2),IF(Verificacao!$B$21&gt;0,INDEX(Dados_CAV!$D:$D,Verificacao!$B$20+Verificacao!$B$21-1),""))</f>
        <v>1.66</v>
      </c>
    </row>
    <row r="121" ht="12.75" customHeight="1">
      <c r="A121" s="26">
        <f t="array" ref="A121">IF(ROW()-1&lt;=Verificacao!$B$21,INDEX(Dados_CAV!$E:$E,Verificacao!$B$20+ROW()-2),1E+99)</f>
        <v>1E+99</v>
      </c>
      <c r="B121" s="26">
        <f t="array" ref="B121">IF(ROW()-1&lt;=Verificacao!$B$21,INDEX(Dados_CAV!$D:$D,Verificacao!$B$20+ROW()-2),IF(Verificacao!$B$21&gt;0,INDEX(Dados_CAV!$D:$D,Verificacao!$B$20+Verificacao!$B$21-1),""))</f>
        <v>1.66</v>
      </c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