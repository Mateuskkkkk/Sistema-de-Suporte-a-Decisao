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<sst xmlns="http://schemas.openxmlformats.org/spreadsheetml/2006/main" count="478" uniqueCount="368">
  <si>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</si>
  <si>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</si>
  <si>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</si>
  <si>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</si>
  <si>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</si>
  <si>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</si>
  <si>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</si>
  <si>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</si>
  <si>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Mundaú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</si>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</sst>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949085"/>
        <c:axId val="56583647"/>
      </c:lineChart>
      <c:catAx>
        <c:axId val="24949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6583647"/>
        <c:crosses val="autoZero"/>
        <c:auto val="1"/>
        <c:lblAlgn val="ctr"/>
        <c:lblOffset val="100"/>
        <c:noMultiLvlLbl val="0"/>
      </c:catAx>
      <c:valAx>
        <c:axId val="5658364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49490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61</v>
      </c>
      <c r="D7" s="5" t="s">
        <v>13</v>
      </c>
      <c r="E7" s="7" t="n">
        <f aca="false">COUNTIF($V$24:$V$1367,"Sim")</f>
        <v>142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21.3</v>
      </c>
      <c r="D8" s="5" t="s">
        <v>16</v>
      </c>
      <c r="E8" s="9" t="n">
        <f aca="false">IFERROR(SUM($Q$24:$Q$1367)/SUM($K$24:$K$1367)*100,0)</f>
        <v>91.7723091257312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13</v>
      </c>
      <c r="D9" s="5" t="s">
        <v>18</v>
      </c>
      <c r="E9" s="9" t="n">
        <f aca="false">SUM($T$24:$T$1367)</f>
        <v>240.336849053418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175.859238620087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10.65</v>
      </c>
      <c r="D11" s="5" t="s">
        <v>22</v>
      </c>
      <c r="E11" s="9" t="n">
        <f aca="false">IF(E6=0,0,MAX($X$24:$X$1367))</f>
        <v>5.44269490587723E-017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0.25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250</v>
      </c>
      <c r="D13" s="5" t="s">
        <v>26</v>
      </c>
      <c r="E13" s="9" t="n">
        <f aca="false">IF(E6=0,0,MAX($U$24:$U$1367))</f>
        <v>21.3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44.45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1177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0.127124667921813</v>
      </c>
      <c r="E36" s="16" t="n">
        <f aca="false">IF(D36="","",D36*$B$15)</f>
        <v>0.329507139253339</v>
      </c>
      <c r="F36" s="16" t="n">
        <f aca="false" t="array" ref="F36:F36">IF(D36="","",IFERROR(INDEX(Dados_Evap!$C$2:$N$15,MATCH($B$9,Dados_Evap!$A$2:$A$15,0),C36),0))</f>
        <v>165.6</v>
      </c>
      <c r="G36" s="16" t="n">
        <f aca="false">IF(F36="","",F36/1000)</f>
        <v>0.1656</v>
      </c>
      <c r="H36" s="16" t="n">
        <f aca="false">IF(D36="","",MAX(0,MIN($B$8,IFERROR(LOOKUP(2,1/($U$24:U35&lt;&gt;""),$U$24:U35),$B$11))))</f>
        <v>10.65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0.95108407079646</v>
      </c>
      <c r="J36" s="16" t="n">
        <f aca="false">IF(D36="","",$B$12)</f>
        <v>0.25</v>
      </c>
      <c r="K36" s="16" t="n">
        <f aca="false">IF(J36="","",J36*$B$15)</f>
        <v>0.648</v>
      </c>
      <c r="L36" s="16" t="n">
        <f aca="false">IF(D36="","",H36+E36-K36-G36*I36)</f>
        <v>10.1740076171294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0.935287863400313</v>
      </c>
      <c r="N36" s="16" t="n">
        <f aca="false">IF(D36="","",(I36+M36)/2)</f>
        <v>0.943185967098387</v>
      </c>
      <c r="O36" s="16" t="n">
        <f aca="false">IF(D36="","",G36*N36)</f>
        <v>0.156191596151493</v>
      </c>
      <c r="P36" s="16" t="n">
        <f aca="false">IF(D36="","",H36+E36-K36-O36)</f>
        <v>10.1753155431018</v>
      </c>
      <c r="Q36" s="16" t="n">
        <f aca="false">IF(D36="","",IF(P36&gt;=0,K36,MAX(0,K36+P36)))</f>
        <v>0.648</v>
      </c>
      <c r="R36" s="16" t="n">
        <f aca="false">IF(D36="","",Q36/$B$15)</f>
        <v>0.25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10.1753155431018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47.7714344746566</v>
      </c>
      <c r="Z36" s="18" t="n">
        <f aca="false">IF(D36="","",MAX(0,IF(P36&gt;=0,P36,IF(K36+P36&gt;=0,0,P36+K36))))</f>
        <v>10.1753155431018</v>
      </c>
      <c r="AA36" s="18" t="n">
        <f aca="false">IF(D36="","",IF(H36&lt;=$B$16,1,IF(H36&gt;=$B$17,$B$21,MATCH(H36,Aux_CAV!$A$2:$A$121,1))))</f>
        <v>5</v>
      </c>
      <c r="AB36" s="18" t="n">
        <f aca="false">IF(D36="","",IF(L36&lt;=$B$16,1,IF(L36&gt;=$B$17,$B$21,MATCH(L36,Aux_CAV!$A$2:$A$121,1))))</f>
        <v>5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0.105714656136512</v>
      </c>
      <c r="E37" s="16" t="n">
        <f aca="false">IF(D37="","",D37*$B$15)</f>
        <v>0.274012388705839</v>
      </c>
      <c r="F37" s="16" t="n">
        <f aca="false" t="array" ref="F37:F37">IF(D37="","",IFERROR(INDEX(Dados_Evap!$C$2:$N$15,MATCH($B$9,Dados_Evap!$A$2:$A$15,0),C37),0))</f>
        <v>124.9</v>
      </c>
      <c r="G37" s="16" t="n">
        <f aca="false">IF(F37="","",F37/1000)</f>
        <v>0.1249</v>
      </c>
      <c r="H37" s="16" t="n">
        <f aca="false">IF(D37="","",MAX(0,MIN($B$8,IFERROR(LOOKUP(2,1/($U$24:U36&lt;&gt;""),$U$24:U36),$B$11))))</f>
        <v>10.1753155431018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0.935331268023291</v>
      </c>
      <c r="J37" s="16" t="n">
        <f aca="false">IF(D37="","",$B$12)</f>
        <v>0.25</v>
      </c>
      <c r="K37" s="16" t="n">
        <f aca="false">IF(J37="","",J37*$B$15)</f>
        <v>0.648</v>
      </c>
      <c r="L37" s="16" t="n">
        <f aca="false">IF(D37="","",H37+E37-K37-G37*I37)</f>
        <v>9.68450505643158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0.919043309394853</v>
      </c>
      <c r="N37" s="16" t="n">
        <f aca="false">IF(D37="","",(I37+M37)/2)</f>
        <v>0.927187288709072</v>
      </c>
      <c r="O37" s="16" t="n">
        <f aca="false">IF(D37="","",G37*N37)</f>
        <v>0.115805692359763</v>
      </c>
      <c r="P37" s="16" t="n">
        <f aca="false">IF(D37="","",H37+E37-K37-O37)</f>
        <v>9.68552223944793</v>
      </c>
      <c r="Q37" s="16" t="n">
        <f aca="false">IF(D37="","",IF(P37&gt;=0,K37,MAX(0,K37+P37)))</f>
        <v>0.648</v>
      </c>
      <c r="R37" s="16" t="n">
        <f aca="false">IF(D37="","",Q37/$B$15)</f>
        <v>0.25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9.68552223944793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45.4719353964691</v>
      </c>
      <c r="Z37" s="18" t="n">
        <f aca="false">IF(D37="","",MAX(0,IF(P37&gt;=0,P37,IF(K37+P37&gt;=0,0,P37+K37))))</f>
        <v>9.68552223944793</v>
      </c>
      <c r="AA37" s="18" t="n">
        <f aca="false">IF(D37="","",IF(H37&lt;=$B$16,1,IF(H37&gt;=$B$17,$B$21,MATCH(H37,Aux_CAV!$A$2:$A$121,1))))</f>
        <v>5</v>
      </c>
      <c r="AB37" s="18" t="n">
        <f aca="false">IF(D37="","",IF(L37&lt;=$B$16,1,IF(L37&gt;=$B$17,$B$21,MATCH(L37,Aux_CAV!$A$2:$A$121,1))))</f>
        <v>5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1.69507035031166</v>
      </c>
      <c r="E38" s="16" t="n">
        <f aca="false">IF(D38="","",D38*$B$15)</f>
        <v>4.39362234800782</v>
      </c>
      <c r="F38" s="16" t="n">
        <f aca="false" t="array" ref="F38:F38">IF(D38="","",IFERROR(INDEX(Dados_Evap!$C$2:$N$15,MATCH($B$9,Dados_Evap!$A$2:$A$15,0),C38),0))</f>
        <v>88.2</v>
      </c>
      <c r="G38" s="16" t="n">
        <f aca="false">IF(F38="","",F38/1000)</f>
        <v>0.0882</v>
      </c>
      <c r="H38" s="16" t="n">
        <f aca="false">IF(D38="","",MAX(0,MIN($B$8,IFERROR(LOOKUP(2,1/($U$24:U37&lt;&gt;""),$U$24:U37),$B$11))))</f>
        <v>9.68552223944793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0.919077065468405</v>
      </c>
      <c r="J38" s="16" t="n">
        <f aca="false">IF(D38="","",$B$12)</f>
        <v>0.25</v>
      </c>
      <c r="K38" s="16" t="n">
        <f aca="false">IF(J38="","",J38*$B$15)</f>
        <v>0.648</v>
      </c>
      <c r="L38" s="16" t="n">
        <f aca="false">IF(D38="","",H38+E38-K38-G38*I38)</f>
        <v>13.3500819902814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1.03845254033041</v>
      </c>
      <c r="N38" s="16" t="n">
        <f aca="false">IF(D38="","",(I38+M38)/2)</f>
        <v>0.978764802899405</v>
      </c>
      <c r="O38" s="16" t="n">
        <f aca="false">IF(D38="","",G38*N38)</f>
        <v>0.0863270556157275</v>
      </c>
      <c r="P38" s="16" t="n">
        <f aca="false">IF(D38="","",H38+E38-K38-O38)</f>
        <v>13.34481753184</v>
      </c>
      <c r="Q38" s="16" t="n">
        <f aca="false">IF(D38="","",IF(P38&gt;=0,K38,MAX(0,K38+P38)))</f>
        <v>0.648</v>
      </c>
      <c r="R38" s="16" t="n">
        <f aca="false">IF(D38="","",Q38/$B$15)</f>
        <v>0.25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13.34481753184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62.6517255015963</v>
      </c>
      <c r="Z38" s="18" t="n">
        <f aca="false">IF(D38="","",MAX(0,IF(P38&gt;=0,P38,IF(K38+P38&gt;=0,0,P38+K38))))</f>
        <v>13.34481753184</v>
      </c>
      <c r="AA38" s="18" t="n">
        <f aca="false">IF(D38="","",IF(H38&lt;=$B$16,1,IF(H38&gt;=$B$17,$B$21,MATCH(H38,Aux_CAV!$A$2:$A$121,1))))</f>
        <v>5</v>
      </c>
      <c r="AB38" s="18" t="n">
        <f aca="false">IF(D38="","",IF(L38&lt;=$B$16,1,IF(L38&gt;=$B$17,$B$21,MATCH(L38,Aux_CAV!$A$2:$A$121,1))))</f>
        <v>6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0.549976583822513</v>
      </c>
      <c r="E39" s="16" t="n">
        <f aca="false">IF(D39="","",D39*$B$15)</f>
        <v>1.42553930526795</v>
      </c>
      <c r="F39" s="16" t="n">
        <f aca="false" t="array" ref="F39:F39">IF(D39="","",IFERROR(INDEX(Dados_Evap!$C$2:$N$15,MATCH($B$9,Dados_Evap!$A$2:$A$15,0),C39),0))</f>
        <v>88.2</v>
      </c>
      <c r="G39" s="16" t="n">
        <f aca="false">IF(F39="","",F39/1000)</f>
        <v>0.0882</v>
      </c>
      <c r="H39" s="16" t="n">
        <f aca="false">IF(D39="","",MAX(0,MIN($B$8,IFERROR(LOOKUP(2,1/($U$24:U38&lt;&gt;""),$U$24:U38),$B$11))))</f>
        <v>13.34481753184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1.03828336113664</v>
      </c>
      <c r="J39" s="16" t="n">
        <f aca="false">IF(D39="","",$B$12)</f>
        <v>0.25</v>
      </c>
      <c r="K39" s="16" t="n">
        <f aca="false">IF(J39="","",J39*$B$15)</f>
        <v>0.648</v>
      </c>
      <c r="L39" s="16" t="n">
        <f aca="false">IF(D39="","",H39+E39-K39-G39*I39)</f>
        <v>14.0307802446557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1.06032753149177</v>
      </c>
      <c r="N39" s="16" t="n">
        <f aca="false">IF(D39="","",(I39+M39)/2)</f>
        <v>1.0493054463142</v>
      </c>
      <c r="O39" s="16" t="n">
        <f aca="false">IF(D39="","",G39*N39)</f>
        <v>0.0925487403649128</v>
      </c>
      <c r="P39" s="16" t="n">
        <f aca="false">IF(D39="","",H39+E39-K39-O39)</f>
        <v>14.0298080967431</v>
      </c>
      <c r="Q39" s="16" t="n">
        <f aca="false">IF(D39="","",IF(P39&gt;=0,K39,MAX(0,K39+P39)))</f>
        <v>0.648</v>
      </c>
      <c r="R39" s="16" t="n">
        <f aca="false">IF(D39="","",Q39/$B$15)</f>
        <v>0.25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14.0298080967431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65.867643646681</v>
      </c>
      <c r="Z39" s="18" t="n">
        <f aca="false">IF(D39="","",MAX(0,IF(P39&gt;=0,P39,IF(K39+P39&gt;=0,0,P39+K39))))</f>
        <v>14.0298080967431</v>
      </c>
      <c r="AA39" s="18" t="n">
        <f aca="false">IF(D39="","",IF(H39&lt;=$B$16,1,IF(H39&gt;=$B$17,$B$21,MATCH(H39,Aux_CAV!$A$2:$A$121,1))))</f>
        <v>6</v>
      </c>
      <c r="AB39" s="18" t="n">
        <f aca="false">IF(D39="","",IF(L39&lt;=$B$16,1,IF(L39&gt;=$B$17,$B$21,MATCH(L39,Aux_CAV!$A$2:$A$121,1))))</f>
        <v>6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0.128243952179625</v>
      </c>
      <c r="E40" s="16" t="n">
        <f aca="false">IF(D40="","",D40*$B$15)</f>
        <v>0.332408324049588</v>
      </c>
      <c r="F40" s="16" t="n">
        <f aca="false" t="array" ref="F40:F40">IF(D40="","",IFERROR(INDEX(Dados_Evap!$C$2:$N$15,MATCH($B$9,Dados_Evap!$A$2:$A$15,0),C40),0))</f>
        <v>83.9</v>
      </c>
      <c r="G40" s="16" t="n">
        <f aca="false">IF(F40="","",F40/1000)</f>
        <v>0.0839</v>
      </c>
      <c r="H40" s="16" t="n">
        <f aca="false">IF(D40="","",MAX(0,MIN($B$8,IFERROR(LOOKUP(2,1/($U$24:U39&lt;&gt;""),$U$24:U39),$B$11))))</f>
        <v>14.0298080967431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1.06029629044354</v>
      </c>
      <c r="J40" s="16" t="n">
        <f aca="false">IF(D40="","",$B$12)</f>
        <v>0.25</v>
      </c>
      <c r="K40" s="16" t="n">
        <f aca="false">IF(J40="","",J40*$B$15)</f>
        <v>0.648</v>
      </c>
      <c r="L40" s="16" t="n">
        <f aca="false">IF(D40="","",H40+E40-K40-G40*I40)</f>
        <v>13.6252575620244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1.04729561163406</v>
      </c>
      <c r="N40" s="16" t="n">
        <f aca="false">IF(D40="","",(I40+M40)/2)</f>
        <v>1.0537959510388</v>
      </c>
      <c r="O40" s="16" t="n">
        <f aca="false">IF(D40="","",G40*N40)</f>
        <v>0.0884134802921551</v>
      </c>
      <c r="P40" s="16" t="n">
        <f aca="false">IF(D40="","",H40+E40-K40-O40)</f>
        <v>13.6258029405005</v>
      </c>
      <c r="Q40" s="16" t="n">
        <f aca="false">IF(D40="","",IF(P40&gt;=0,K40,MAX(0,K40+P40)))</f>
        <v>0.648</v>
      </c>
      <c r="R40" s="16" t="n">
        <f aca="false">IF(D40="","",Q40/$B$15)</f>
        <v>0.25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13.6258029405005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63.970905823946</v>
      </c>
      <c r="Z40" s="18" t="n">
        <f aca="false">IF(D40="","",MAX(0,IF(P40&gt;=0,P40,IF(K40+P40&gt;=0,0,P40+K40))))</f>
        <v>13.6258029405005</v>
      </c>
      <c r="AA40" s="18" t="n">
        <f aca="false">IF(D40="","",IF(H40&lt;=$B$16,1,IF(H40&gt;=$B$17,$B$21,MATCH(H40,Aux_CAV!$A$2:$A$121,1))))</f>
        <v>6</v>
      </c>
      <c r="AB40" s="18" t="n">
        <f aca="false">IF(D40="","",IF(L40&lt;=$B$16,1,IF(L40&gt;=$B$17,$B$21,MATCH(L40,Aux_CAV!$A$2:$A$121,1))))</f>
        <v>6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0.314497044879526</v>
      </c>
      <c r="E41" s="16" t="n">
        <f aca="false">IF(D41="","",D41*$B$15)</f>
        <v>0.815176340327732</v>
      </c>
      <c r="F41" s="16" t="n">
        <f aca="false" t="array" ref="F41:F41">IF(D41="","",IFERROR(INDEX(Dados_Evap!$C$2:$N$15,MATCH($B$9,Dados_Evap!$A$2:$A$15,0),C41),0))</f>
        <v>104.7</v>
      </c>
      <c r="G41" s="16" t="n">
        <f aca="false">IF(F41="","",F41/1000)</f>
        <v>0.1047</v>
      </c>
      <c r="H41" s="16" t="n">
        <f aca="false">IF(D41="","",MAX(0,MIN($B$8,IFERROR(LOOKUP(2,1/($U$24:U40&lt;&gt;""),$U$24:U40),$B$11))))</f>
        <v>13.6258029405005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1.0473131379745</v>
      </c>
      <c r="J41" s="16" t="n">
        <f aca="false">IF(D41="","",$B$12)</f>
        <v>0.25</v>
      </c>
      <c r="K41" s="16" t="n">
        <f aca="false">IF(J41="","",J41*$B$15)</f>
        <v>0.648</v>
      </c>
      <c r="L41" s="16" t="n">
        <f aca="false">IF(D41="","",H41+E41-K41-G41*I41)</f>
        <v>13.6833255952823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1.04916169209792</v>
      </c>
      <c r="N41" s="16" t="n">
        <f aca="false">IF(D41="","",(I41+M41)/2)</f>
        <v>1.04823741503621</v>
      </c>
      <c r="O41" s="16" t="n">
        <f aca="false">IF(D41="","",G41*N41)</f>
        <v>0.109750457354291</v>
      </c>
      <c r="P41" s="16" t="n">
        <f aca="false">IF(D41="","",H41+E41-K41-O41)</f>
        <v>13.6832288234739</v>
      </c>
      <c r="Q41" s="16" t="n">
        <f aca="false">IF(D41="","",IF(P41&gt;=0,K41,MAX(0,K41+P41)))</f>
        <v>0.648</v>
      </c>
      <c r="R41" s="16" t="n">
        <f aca="false">IF(D41="","",Q41/$B$15)</f>
        <v>0.25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13.6832288234739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64.2405109083283</v>
      </c>
      <c r="Z41" s="18" t="n">
        <f aca="false">IF(D41="","",MAX(0,IF(P41&gt;=0,P41,IF(K41+P41&gt;=0,0,P41+K41))))</f>
        <v>13.6832288234739</v>
      </c>
      <c r="AA41" s="18" t="n">
        <f aca="false">IF(D41="","",IF(H41&lt;=$B$16,1,IF(H41&gt;=$B$17,$B$21,MATCH(H41,Aux_CAV!$A$2:$A$121,1))))</f>
        <v>6</v>
      </c>
      <c r="AB41" s="18" t="n">
        <f aca="false">IF(D41="","",IF(L41&lt;=$B$16,1,IF(L41&gt;=$B$17,$B$21,MATCH(L41,Aux_CAV!$A$2:$A$121,1))))</f>
        <v>6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0.119419585973474</v>
      </c>
      <c r="E42" s="16" t="n">
        <f aca="false">IF(D42="","",D42*$B$15)</f>
        <v>0.309535566843245</v>
      </c>
      <c r="F42" s="16" t="n">
        <f aca="false" t="array" ref="F42:F42">IF(D42="","",IFERROR(INDEX(Dados_Evap!$C$2:$N$15,MATCH($B$9,Dados_Evap!$A$2:$A$15,0),C42),0))</f>
        <v>145.2</v>
      </c>
      <c r="G42" s="16" t="n">
        <f aca="false">IF(F42="","",F42/1000)</f>
        <v>0.1452</v>
      </c>
      <c r="H42" s="16" t="n">
        <f aca="false">IF(D42="","",MAX(0,MIN($B$8,IFERROR(LOOKUP(2,1/($U$24:U41&lt;&gt;""),$U$24:U41),$B$11))))</f>
        <v>13.6832288234739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1.04915858222884</v>
      </c>
      <c r="J42" s="16" t="n">
        <f aca="false">IF(D42="","",$B$12)</f>
        <v>0.25</v>
      </c>
      <c r="K42" s="16" t="n">
        <f aca="false">IF(J42="","",J42*$B$15)</f>
        <v>0.648</v>
      </c>
      <c r="L42" s="16" t="n">
        <f aca="false">IF(D42="","",H42+E42-K42-G42*I42)</f>
        <v>13.1924265641776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1.03338610886771</v>
      </c>
      <c r="N42" s="16" t="n">
        <f aca="false">IF(D42="","",(I42+M42)/2)</f>
        <v>1.04127234554828</v>
      </c>
      <c r="O42" s="16" t="n">
        <f aca="false">IF(D42="","",G42*N42)</f>
        <v>0.15119274457361</v>
      </c>
      <c r="P42" s="16" t="n">
        <f aca="false">IF(D42="","",H42+E42-K42-O42)</f>
        <v>13.1935716457436</v>
      </c>
      <c r="Q42" s="16" t="n">
        <f aca="false">IF(D42="","",IF(P42&gt;=0,K42,MAX(0,K42+P42)))</f>
        <v>0.648</v>
      </c>
      <c r="R42" s="16" t="n">
        <f aca="false">IF(D42="","",Q42/$B$15)</f>
        <v>0.25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13.1935716457436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61.9416509189839</v>
      </c>
      <c r="Z42" s="18" t="n">
        <f aca="false">IF(D42="","",MAX(0,IF(P42&gt;=0,P42,IF(K42+P42&gt;=0,0,P42+K42))))</f>
        <v>13.1935716457436</v>
      </c>
      <c r="AA42" s="18" t="n">
        <f aca="false">IF(D42="","",IF(H42&lt;=$B$16,1,IF(H42&gt;=$B$17,$B$21,MATCH(H42,Aux_CAV!$A$2:$A$121,1))))</f>
        <v>6</v>
      </c>
      <c r="AB42" s="18" t="n">
        <f aca="false">IF(D42="","",IF(L42&lt;=$B$16,1,IF(L42&gt;=$B$17,$B$21,MATCH(L42,Aux_CAV!$A$2:$A$121,1))))</f>
        <v>6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0.125436320632784</v>
      </c>
      <c r="E43" s="16" t="n">
        <f aca="false">IF(D43="","",D43*$B$15)</f>
        <v>0.325130943080176</v>
      </c>
      <c r="F43" s="16" t="n">
        <f aca="false" t="array" ref="F43:F43">IF(D43="","",IFERROR(INDEX(Dados_Evap!$C$2:$N$15,MATCH($B$9,Dados_Evap!$A$2:$A$15,0),C43),0))</f>
        <v>180.9</v>
      </c>
      <c r="G43" s="16" t="n">
        <f aca="false">IF(F43="","",F43/1000)</f>
        <v>0.1809</v>
      </c>
      <c r="H43" s="16" t="n">
        <f aca="false">IF(D43="","",MAX(0,MIN($B$8,IFERROR(LOOKUP(2,1/($U$24:U42&lt;&gt;""),$U$24:U42),$B$11))))</f>
        <v>13.1935716457436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1.03342290733013</v>
      </c>
      <c r="J43" s="16" t="n">
        <f aca="false">IF(D43="","",$B$12)</f>
        <v>0.25</v>
      </c>
      <c r="K43" s="16" t="n">
        <f aca="false">IF(J43="","",J43*$B$15)</f>
        <v>0.648</v>
      </c>
      <c r="L43" s="16" t="n">
        <f aca="false">IF(D43="","",H43+E43-K43-G43*I43)</f>
        <v>12.6837563848877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1.01703943013817</v>
      </c>
      <c r="N43" s="16" t="n">
        <f aca="false">IF(D43="","",(I43+M43)/2)</f>
        <v>1.02523116873415</v>
      </c>
      <c r="O43" s="16" t="n">
        <f aca="false">IF(D43="","",G43*N43)</f>
        <v>0.185464318424008</v>
      </c>
      <c r="P43" s="16" t="n">
        <f aca="false">IF(D43="","",H43+E43-K43-O43)</f>
        <v>12.6852382703997</v>
      </c>
      <c r="Q43" s="16" t="n">
        <f aca="false">IF(D43="","",IF(P43&gt;=0,K43,MAX(0,K43+P43)))</f>
        <v>0.648</v>
      </c>
      <c r="R43" s="16" t="n">
        <f aca="false">IF(D43="","",Q43/$B$15)</f>
        <v>0.25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12.6852382703997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59.555109250703</v>
      </c>
      <c r="Z43" s="18" t="n">
        <f aca="false">IF(D43="","",MAX(0,IF(P43&gt;=0,P43,IF(K43+P43&gt;=0,0,P43+K43))))</f>
        <v>12.6852382703997</v>
      </c>
      <c r="AA43" s="18" t="n">
        <f aca="false">IF(D43="","",IF(H43&lt;=$B$16,1,IF(H43&gt;=$B$17,$B$21,MATCH(H43,Aux_CAV!$A$2:$A$121,1))))</f>
        <v>6</v>
      </c>
      <c r="AB43" s="18" t="n">
        <f aca="false">IF(D43="","",IF(L43&lt;=$B$16,1,IF(L43&gt;=$B$17,$B$21,MATCH(L43,Aux_CAV!$A$2:$A$121,1))))</f>
        <v>6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0.0514667838287715</v>
      </c>
      <c r="E44" s="16" t="n">
        <f aca="false">IF(D44="","",D44*$B$15)</f>
        <v>0.133401903684176</v>
      </c>
      <c r="F44" s="16" t="n">
        <f aca="false" t="array" ref="F44:F44">IF(D44="","",IFERROR(INDEX(Dados_Evap!$C$2:$N$15,MATCH($B$9,Dados_Evap!$A$2:$A$15,0),C44),0))</f>
        <v>208.9</v>
      </c>
      <c r="G44" s="16" t="n">
        <f aca="false">IF(F44="","",F44/1000)</f>
        <v>0.2089</v>
      </c>
      <c r="H44" s="16" t="n">
        <f aca="false">IF(D44="","",MAX(0,MIN($B$8,IFERROR(LOOKUP(2,1/($U$24:U43&lt;&gt;""),$U$24:U43),$B$11))))</f>
        <v>12.6852382703997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1.01708705216786</v>
      </c>
      <c r="J44" s="16" t="n">
        <f aca="false">IF(D44="","",$B$12)</f>
        <v>0.25</v>
      </c>
      <c r="K44" s="16" t="n">
        <f aca="false">IF(J44="","",J44*$B$15)</f>
        <v>0.648</v>
      </c>
      <c r="L44" s="16" t="n">
        <f aca="false">IF(D44="","",H44+E44-K44-G44*I44)</f>
        <v>11.958170688886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0.993721931400875</v>
      </c>
      <c r="N44" s="16" t="n">
        <f aca="false">IF(D44="","",(I44+M44)/2)</f>
        <v>1.00540449178437</v>
      </c>
      <c r="O44" s="16" t="n">
        <f aca="false">IF(D44="","",G44*N44)</f>
        <v>0.210028998333754</v>
      </c>
      <c r="P44" s="16" t="n">
        <f aca="false">IF(D44="","",H44+E44-K44-O44)</f>
        <v>11.9606111757502</v>
      </c>
      <c r="Q44" s="16" t="n">
        <f aca="false">IF(D44="","",IF(P44&gt;=0,K44,MAX(0,K44+P44)))</f>
        <v>0.648</v>
      </c>
      <c r="R44" s="16" t="n">
        <f aca="false">IF(D44="","",Q44/$B$15)</f>
        <v>0.25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11.9606111757502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56.1531041115031</v>
      </c>
      <c r="Z44" s="18" t="n">
        <f aca="false">IF(D44="","",MAX(0,IF(P44&gt;=0,P44,IF(K44+P44&gt;=0,0,P44+K44))))</f>
        <v>11.9606111757502</v>
      </c>
      <c r="AA44" s="18" t="n">
        <f aca="false">IF(D44="","",IF(H44&lt;=$B$16,1,IF(H44&gt;=$B$17,$B$21,MATCH(H44,Aux_CAV!$A$2:$A$121,1))))</f>
        <v>6</v>
      </c>
      <c r="AB44" s="18" t="n">
        <f aca="false">IF(D44="","",IF(L44&lt;=$B$16,1,IF(L44&gt;=$B$17,$B$21,MATCH(L44,Aux_CAV!$A$2:$A$121,1))))</f>
        <v>6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0.0243769749595234</v>
      </c>
      <c r="E45" s="16" t="n">
        <f aca="false">IF(D45="","",D45*$B$15)</f>
        <v>0.0631851190950847</v>
      </c>
      <c r="F45" s="16" t="n">
        <f aca="false" t="array" ref="F45:F45">IF(D45="","",IFERROR(INDEX(Dados_Evap!$C$2:$N$15,MATCH($B$9,Dados_Evap!$A$2:$A$15,0),C45),0))</f>
        <v>235.9</v>
      </c>
      <c r="G45" s="16" t="n">
        <f aca="false">IF(F45="","",F45/1000)</f>
        <v>0.2359</v>
      </c>
      <c r="H45" s="16" t="n">
        <f aca="false">IF(D45="","",MAX(0,MIN($B$8,IFERROR(LOOKUP(2,1/($U$24:U44&lt;&gt;""),$U$24:U44),$B$11))))</f>
        <v>11.9606111757502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0.99380035914509</v>
      </c>
      <c r="J45" s="16" t="n">
        <f aca="false">IF(D45="","",$B$12)</f>
        <v>0.25</v>
      </c>
      <c r="K45" s="16" t="n">
        <f aca="false">IF(J45="","",J45*$B$15)</f>
        <v>0.648</v>
      </c>
      <c r="L45" s="16" t="n">
        <f aca="false">IF(D45="","",H45+E45-K45-G45*I45)</f>
        <v>11.1413587901229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0.967390225335937</v>
      </c>
      <c r="N45" s="16" t="n">
        <f aca="false">IF(D45="","",(I45+M45)/2)</f>
        <v>0.980595292240514</v>
      </c>
      <c r="O45" s="16" t="n">
        <f aca="false">IF(D45="","",G45*N45)</f>
        <v>0.231322429439537</v>
      </c>
      <c r="P45" s="16" t="n">
        <f aca="false">IF(D45="","",H45+E45-K45-O45)</f>
        <v>11.1444738654057</v>
      </c>
      <c r="Q45" s="16" t="n">
        <f aca="false">IF(D45="","",IF(P45&gt;=0,K45,MAX(0,K45+P45)))</f>
        <v>0.648</v>
      </c>
      <c r="R45" s="16" t="n">
        <f aca="false">IF(D45="","",Q45/$B$15)</f>
        <v>0.25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11.1444738654057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52.3214735465057</v>
      </c>
      <c r="Z45" s="18" t="n">
        <f aca="false">IF(D45="","",MAX(0,IF(P45&gt;=0,P45,IF(K45+P45&gt;=0,0,P45+K45))))</f>
        <v>11.1444738654057</v>
      </c>
      <c r="AA45" s="18" t="n">
        <f aca="false">IF(D45="","",IF(H45&lt;=$B$16,1,IF(H45&gt;=$B$17,$B$21,MATCH(H45,Aux_CAV!$A$2:$A$121,1))))</f>
        <v>6</v>
      </c>
      <c r="AB45" s="18" t="n">
        <f aca="false">IF(D45="","",IF(L45&lt;=$B$16,1,IF(L45&gt;=$B$17,$B$21,MATCH(L45,Aux_CAV!$A$2:$A$121,1))))</f>
        <v>5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0.0175190079786238</v>
      </c>
      <c r="E46" s="16" t="n">
        <f aca="false">IF(D46="","",D46*$B$15)</f>
        <v>0.0454092686805929</v>
      </c>
      <c r="F46" s="16" t="n">
        <f aca="false" t="array" ref="F46:F46">IF(D46="","",IFERROR(INDEX(Dados_Evap!$C$2:$N$15,MATCH($B$9,Dados_Evap!$A$2:$A$15,0),C46),0))</f>
        <v>225.9</v>
      </c>
      <c r="G46" s="16" t="n">
        <f aca="false">IF(F46="","",F46/1000)</f>
        <v>0.2259</v>
      </c>
      <c r="H46" s="16" t="n">
        <f aca="false">IF(D46="","",MAX(0,MIN($B$8,IFERROR(LOOKUP(2,1/($U$24:U45&lt;&gt;""),$U$24:U45),$B$11))))</f>
        <v>11.1444738654057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0.967493601728065</v>
      </c>
      <c r="J46" s="16" t="n">
        <f aca="false">IF(D46="","",$B$12)</f>
        <v>0.25</v>
      </c>
      <c r="K46" s="16" t="n">
        <f aca="false">IF(J46="","",J46*$B$15)</f>
        <v>0.648</v>
      </c>
      <c r="L46" s="16" t="n">
        <f aca="false">IF(D46="","",H46+E46-K46-G46*I46)</f>
        <v>10.3233263294559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0.940243130402299</v>
      </c>
      <c r="N46" s="16" t="n">
        <f aca="false">IF(D46="","",(I46+M46)/2)</f>
        <v>0.953868366065182</v>
      </c>
      <c r="O46" s="16" t="n">
        <f aca="false">IF(D46="","",G46*N46)</f>
        <v>0.215478863894125</v>
      </c>
      <c r="P46" s="16" t="n">
        <f aca="false">IF(D46="","",H46+E46-K46-O46)</f>
        <v>10.3264042701922</v>
      </c>
      <c r="Q46" s="16" t="n">
        <f aca="false">IF(D46="","",IF(P46&gt;=0,K46,MAX(0,K46+P46)))</f>
        <v>0.648</v>
      </c>
      <c r="R46" s="16" t="n">
        <f aca="false">IF(D46="","",Q46/$B$15)</f>
        <v>0.25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10.3264042701922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48.4807712215595</v>
      </c>
      <c r="Z46" s="18" t="n">
        <f aca="false">IF(D46="","",MAX(0,IF(P46&gt;=0,P46,IF(K46+P46&gt;=0,0,P46+K46))))</f>
        <v>10.3264042701922</v>
      </c>
      <c r="AA46" s="18" t="n">
        <f aca="false">IF(D46="","",IF(H46&lt;=$B$16,1,IF(H46&gt;=$B$17,$B$21,MATCH(H46,Aux_CAV!$A$2:$A$121,1))))</f>
        <v>5</v>
      </c>
      <c r="AB46" s="18" t="n">
        <f aca="false">IF(D46="","",IF(L46&lt;=$B$16,1,IF(L46&gt;=$B$17,$B$21,MATCH(L46,Aux_CAV!$A$2:$A$121,1))))</f>
        <v>5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0.19143110547953</v>
      </c>
      <c r="E47" s="16" t="n">
        <f aca="false">IF(D47="","",D47*$B$15)</f>
        <v>0.496189425402942</v>
      </c>
      <c r="F47" s="16" t="n">
        <f aca="false" t="array" ref="F47:F47">IF(D47="","",IFERROR(INDEX(Dados_Evap!$C$2:$N$15,MATCH($B$9,Dados_Evap!$A$2:$A$15,0),C47),0))</f>
        <v>206</v>
      </c>
      <c r="G47" s="16" t="n">
        <f aca="false">IF(F47="","",F47/1000)</f>
        <v>0.206</v>
      </c>
      <c r="H47" s="16" t="n">
        <f aca="false">IF(D47="","",MAX(0,MIN($B$8,IFERROR(LOOKUP(2,1/($U$24:U46&lt;&gt;""),$U$24:U46),$B$11))))</f>
        <v>10.3264042701922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0.94034527445328</v>
      </c>
      <c r="J47" s="16" t="n">
        <f aca="false">IF(D47="","",$B$12)</f>
        <v>0.25</v>
      </c>
      <c r="K47" s="16" t="n">
        <f aca="false">IF(J47="","",J47*$B$15)</f>
        <v>0.648</v>
      </c>
      <c r="L47" s="16" t="n">
        <f aca="false">IF(D47="","",H47+E47-K47-G47*I47)</f>
        <v>9.98088256905774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0.928878846318288</v>
      </c>
      <c r="N47" s="16" t="n">
        <f aca="false">IF(D47="","",(I47+M47)/2)</f>
        <v>0.934612060385784</v>
      </c>
      <c r="O47" s="16" t="n">
        <f aca="false">IF(D47="","",G47*N47)</f>
        <v>0.192530084439471</v>
      </c>
      <c r="P47" s="16" t="n">
        <f aca="false">IF(D47="","",H47+E47-K47-O47)</f>
        <v>9.98206361115565</v>
      </c>
      <c r="Q47" s="16" t="n">
        <f aca="false">IF(D47="","",IF(P47&gt;=0,K47,MAX(0,K47+P47)))</f>
        <v>0.648</v>
      </c>
      <c r="R47" s="16" t="n">
        <f aca="false">IF(D47="","",Q47/$B$15)</f>
        <v>0.25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9.98206361115565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46.8641484091814</v>
      </c>
      <c r="Z47" s="18" t="n">
        <f aca="false">IF(D47="","",MAX(0,IF(P47&gt;=0,P47,IF(K47+P47&gt;=0,0,P47+K47))))</f>
        <v>9.98206361115565</v>
      </c>
      <c r="AA47" s="18" t="n">
        <f aca="false">IF(D47="","",IF(H47&lt;=$B$16,1,IF(H47&gt;=$B$17,$B$21,MATCH(H47,Aux_CAV!$A$2:$A$121,1))))</f>
        <v>5</v>
      </c>
      <c r="AB47" s="18" t="n">
        <f aca="false">IF(D47="","",IF(L47&lt;=$B$16,1,IF(L47&gt;=$B$17,$B$21,MATCH(L47,Aux_CAV!$A$2:$A$121,1))))</f>
        <v>5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0.906729016256099</v>
      </c>
      <c r="E48" s="16" t="n">
        <f aca="false">IF(D48="","",D48*$B$15)</f>
        <v>2.35024161013581</v>
      </c>
      <c r="F48" s="16" t="n">
        <f aca="false" t="array" ref="F48:F48">IF(D48="","",IFERROR(INDEX(Dados_Evap!$C$2:$N$15,MATCH($B$9,Dados_Evap!$A$2:$A$15,0),C48),0))</f>
        <v>165.6</v>
      </c>
      <c r="G48" s="16" t="n">
        <f aca="false">IF(F48="","",F48/1000)</f>
        <v>0.1656</v>
      </c>
      <c r="H48" s="16" t="n">
        <f aca="false">IF(D48="","",MAX(0,MIN($B$8,IFERROR(LOOKUP(2,1/($U$24:U47&lt;&gt;""),$U$24:U47),$B$11))))</f>
        <v>9.98206361115565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0.928918040193218</v>
      </c>
      <c r="J48" s="16" t="n">
        <f aca="false">IF(D48="","",$B$12)</f>
        <v>0.25</v>
      </c>
      <c r="K48" s="16" t="n">
        <f aca="false">IF(J48="","",J48*$B$15)</f>
        <v>0.648</v>
      </c>
      <c r="L48" s="16" t="n">
        <f aca="false">IF(D48="","",H48+E48-K48-G48*I48)</f>
        <v>11.5304763938355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0.979977502259362</v>
      </c>
      <c r="N48" s="16" t="n">
        <f aca="false">IF(D48="","",(I48+M48)/2)</f>
        <v>0.95444777122629</v>
      </c>
      <c r="O48" s="16" t="n">
        <f aca="false">IF(D48="","",G48*N48)</f>
        <v>0.158056550915074</v>
      </c>
      <c r="P48" s="16" t="n">
        <f aca="false">IF(D48="","",H48+E48-K48-O48)</f>
        <v>11.5262486703764</v>
      </c>
      <c r="Q48" s="16" t="n">
        <f aca="false">IF(D48="","",IF(P48&gt;=0,K48,MAX(0,K48+P48)))</f>
        <v>0.648</v>
      </c>
      <c r="R48" s="16" t="n">
        <f aca="false">IF(D48="","",Q48/$B$15)</f>
        <v>0.25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11.5262486703764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54.1138435228938</v>
      </c>
      <c r="Z48" s="18" t="n">
        <f aca="false">IF(D48="","",MAX(0,IF(P48&gt;=0,P48,IF(K48+P48&gt;=0,0,P48+K48))))</f>
        <v>11.5262486703764</v>
      </c>
      <c r="AA48" s="18" t="n">
        <f aca="false">IF(D48="","",IF(H48&lt;=$B$16,1,IF(H48&gt;=$B$17,$B$21,MATCH(H48,Aux_CAV!$A$2:$A$121,1))))</f>
        <v>5</v>
      </c>
      <c r="AB48" s="18" t="n">
        <f aca="false">IF(D48="","",IF(L48&lt;=$B$16,1,IF(L48&gt;=$B$17,$B$21,MATCH(L48,Aux_CAV!$A$2:$A$121,1))))</f>
        <v>6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1.89753872988222</v>
      </c>
      <c r="E49" s="16" t="n">
        <f aca="false">IF(D49="","",D49*$B$15)</f>
        <v>4.91842038785471</v>
      </c>
      <c r="F49" s="16" t="n">
        <f aca="false" t="array" ref="F49:F49">IF(D49="","",IFERROR(INDEX(Dados_Evap!$C$2:$N$15,MATCH($B$9,Dados_Evap!$A$2:$A$15,0),C49),0))</f>
        <v>124.9</v>
      </c>
      <c r="G49" s="16" t="n">
        <f aca="false">IF(F49="","",F49/1000)</f>
        <v>0.1249</v>
      </c>
      <c r="H49" s="16" t="n">
        <f aca="false">IF(D49="","",MAX(0,MIN($B$8,IFERROR(LOOKUP(2,1/($U$24:U48&lt;&gt;""),$U$24:U48),$B$11))))</f>
        <v>11.5262486703764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0.979841639690734</v>
      </c>
      <c r="J49" s="16" t="n">
        <f aca="false">IF(D49="","",$B$12)</f>
        <v>0.25</v>
      </c>
      <c r="K49" s="16" t="n">
        <f aca="false">IF(J49="","",J49*$B$15)</f>
        <v>0.648</v>
      </c>
      <c r="L49" s="16" t="n">
        <f aca="false">IF(D49="","",H49+E49-K49-G49*I49)</f>
        <v>15.6742868374337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1.11314343333908</v>
      </c>
      <c r="N49" s="16" t="n">
        <f aca="false">IF(D49="","",(I49+M49)/2)</f>
        <v>1.04649253651491</v>
      </c>
      <c r="O49" s="16" t="n">
        <f aca="false">IF(D49="","",G49*N49)</f>
        <v>0.130706917810712</v>
      </c>
      <c r="P49" s="16" t="n">
        <f aca="false">IF(D49="","",H49+E49-K49-O49)</f>
        <v>15.6659621404204</v>
      </c>
      <c r="Q49" s="16" t="n">
        <f aca="false">IF(D49="","",IF(P49&gt;=0,K49,MAX(0,K49+P49)))</f>
        <v>0.648</v>
      </c>
      <c r="R49" s="16" t="n">
        <f aca="false">IF(D49="","",Q49/$B$15)</f>
        <v>0.25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15.6659621404204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73.5491180301427</v>
      </c>
      <c r="Z49" s="18" t="n">
        <f aca="false">IF(D49="","",MAX(0,IF(P49&gt;=0,P49,IF(K49+P49&gt;=0,0,P49+K49))))</f>
        <v>15.6659621404204</v>
      </c>
      <c r="AA49" s="18" t="n">
        <f aca="false">IF(D49="","",IF(H49&lt;=$B$16,1,IF(H49&gt;=$B$17,$B$21,MATCH(H49,Aux_CAV!$A$2:$A$121,1))))</f>
        <v>6</v>
      </c>
      <c r="AB49" s="18" t="n">
        <f aca="false">IF(D49="","",IF(L49&lt;=$B$16,1,IF(L49&gt;=$B$17,$B$21,MATCH(L49,Aux_CAV!$A$2:$A$121,1))))</f>
        <v>6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3.15036004590248</v>
      </c>
      <c r="E50" s="16" t="n">
        <f aca="false">IF(D50="","",D50*$B$15)</f>
        <v>8.16573323897923</v>
      </c>
      <c r="F50" s="16" t="n">
        <f aca="false" t="array" ref="F50:F50">IF(D50="","",IFERROR(INDEX(Dados_Evap!$C$2:$N$15,MATCH($B$9,Dados_Evap!$A$2:$A$15,0),C50),0))</f>
        <v>88.2</v>
      </c>
      <c r="G50" s="16" t="n">
        <f aca="false">IF(F50="","",F50/1000)</f>
        <v>0.0882</v>
      </c>
      <c r="H50" s="16" t="n">
        <f aca="false">IF(D50="","",MAX(0,MIN($B$8,IFERROR(LOOKUP(2,1/($U$24:U49&lt;&gt;""),$U$24:U49),$B$11))))</f>
        <v>15.6659621404204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1.11287590999461</v>
      </c>
      <c r="J50" s="16" t="n">
        <f aca="false">IF(D50="","",$B$12)</f>
        <v>0.25</v>
      </c>
      <c r="K50" s="16" t="n">
        <f aca="false">IF(J50="","",J50*$B$15)</f>
        <v>0.648</v>
      </c>
      <c r="L50" s="16" t="n">
        <f aca="false">IF(D50="","",H50+E50-K50-G50*I50)</f>
        <v>23.0855397241381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1.26404593041411</v>
      </c>
      <c r="N50" s="16" t="n">
        <f aca="false">IF(D50="","",(I50+M50)/2)</f>
        <v>1.18846092020436</v>
      </c>
      <c r="O50" s="16" t="n">
        <f aca="false">IF(D50="","",G50*N50)</f>
        <v>0.104822253162024</v>
      </c>
      <c r="P50" s="16" t="n">
        <f aca="false">IF(D50="","",H50+E50-K50-O50)</f>
        <v>23.0788731262376</v>
      </c>
      <c r="Q50" s="16" t="n">
        <f aca="false">IF(D50="","",IF(P50&gt;=0,K50,MAX(0,K50+P50)))</f>
        <v>0.648</v>
      </c>
      <c r="R50" s="16" t="n">
        <f aca="false">IF(D50="","",Q50/$B$15)</f>
        <v>0.25</v>
      </c>
      <c r="S50" s="16" t="n">
        <f aca="false">IF(D50="","",MAX(0,J50-R50))</f>
        <v>0</v>
      </c>
      <c r="T50" s="16" t="n">
        <f aca="false">IF(D50="","",MAX(0,Z50-$B$8))</f>
        <v>1.77887312623759</v>
      </c>
      <c r="U50" s="16" t="n">
        <f aca="false">IF(D50="","",MAX(0,MIN($B$8,Z50)))</f>
        <v>21.3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100</v>
      </c>
      <c r="Z50" s="18" t="n">
        <f aca="false">IF(D50="","",MAX(0,IF(P50&gt;=0,P50,IF(K50+P50&gt;=0,0,P50+K50))))</f>
        <v>23.0788731262376</v>
      </c>
      <c r="AA50" s="18" t="n">
        <f aca="false">IF(D50="","",IF(H50&lt;=$B$16,1,IF(H50&gt;=$B$17,$B$21,MATCH(H50,Aux_CAV!$A$2:$A$121,1))))</f>
        <v>6</v>
      </c>
      <c r="AB50" s="18" t="n">
        <f aca="false">IF(D50="","",IF(L50&lt;=$B$16,1,IF(L50&gt;=$B$17,$B$21,MATCH(L50,Aux_CAV!$A$2:$A$121,1))))</f>
        <v>9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2.18497716764083</v>
      </c>
      <c r="E51" s="16" t="n">
        <f aca="false">IF(D51="","",D51*$B$15)</f>
        <v>5.66346081852503</v>
      </c>
      <c r="F51" s="16" t="n">
        <f aca="false" t="array" ref="F51:F51">IF(D51="","",IFERROR(INDEX(Dados_Evap!$C$2:$N$15,MATCH($B$9,Dados_Evap!$A$2:$A$15,0),C51),0))</f>
        <v>88.2</v>
      </c>
      <c r="G51" s="16" t="n">
        <f aca="false">IF(F51="","",F51/1000)</f>
        <v>0.0882</v>
      </c>
      <c r="H51" s="16" t="n">
        <f aca="false">IF(D51="","",MAX(0,MIN($B$8,IFERROR(LOOKUP(2,1/($U$24:U50&lt;&gt;""),$U$24:U50),$B$11))))</f>
        <v>21.3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1.23</v>
      </c>
      <c r="J51" s="16" t="n">
        <f aca="false">IF(D51="","",$B$12)</f>
        <v>0.25</v>
      </c>
      <c r="K51" s="16" t="n">
        <f aca="false">IF(J51="","",J51*$B$15)</f>
        <v>0.648</v>
      </c>
      <c r="L51" s="16" t="n">
        <f aca="false">IF(D51="","",H51+E51-K51-G51*I51)</f>
        <v>26.206974818525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1.33892293417751</v>
      </c>
      <c r="N51" s="16" t="n">
        <f aca="false">IF(D51="","",(I51+M51)/2)</f>
        <v>1.28446146708876</v>
      </c>
      <c r="O51" s="16" t="n">
        <f aca="false">IF(D51="","",G51*N51)</f>
        <v>0.113289501397228</v>
      </c>
      <c r="P51" s="16" t="n">
        <f aca="false">IF(D51="","",H51+E51-K51-O51)</f>
        <v>26.2021713171278</v>
      </c>
      <c r="Q51" s="16" t="n">
        <f aca="false">IF(D51="","",IF(P51&gt;=0,K51,MAX(0,K51+P51)))</f>
        <v>0.648</v>
      </c>
      <c r="R51" s="16" t="n">
        <f aca="false">IF(D51="","",Q51/$B$15)</f>
        <v>0.25</v>
      </c>
      <c r="S51" s="16" t="n">
        <f aca="false">IF(D51="","",MAX(0,J51-R51))</f>
        <v>0</v>
      </c>
      <c r="T51" s="16" t="n">
        <f aca="false">IF(D51="","",MAX(0,Z51-$B$8))</f>
        <v>4.9021713171278</v>
      </c>
      <c r="U51" s="16" t="n">
        <f aca="false">IF(D51="","",MAX(0,MIN($B$8,Z51)))</f>
        <v>21.3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26.2021713171278</v>
      </c>
      <c r="AA51" s="18" t="n">
        <f aca="false">IF(D51="","",IF(H51&lt;=$B$16,1,IF(H51&gt;=$B$17,$B$21,MATCH(H51,Aux_CAV!$A$2:$A$121,1))))</f>
        <v>8</v>
      </c>
      <c r="AB51" s="18" t="n">
        <f aca="false">IF(D51="","",IF(L51&lt;=$B$16,1,IF(L51&gt;=$B$17,$B$21,MATCH(L51,Aux_CAV!$A$2:$A$121,1))))</f>
        <v>9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1.70931459697445</v>
      </c>
      <c r="E52" s="16" t="n">
        <f aca="false">IF(D52="","",D52*$B$15)</f>
        <v>4.43054343535778</v>
      </c>
      <c r="F52" s="16" t="n">
        <f aca="false" t="array" ref="F52:F52">IF(D52="","",IFERROR(INDEX(Dados_Evap!$C$2:$N$15,MATCH($B$9,Dados_Evap!$A$2:$A$15,0),C52),0))</f>
        <v>83.9</v>
      </c>
      <c r="G52" s="16" t="n">
        <f aca="false">IF(F52="","",F52/1000)</f>
        <v>0.0839</v>
      </c>
      <c r="H52" s="16" t="n">
        <f aca="false">IF(D52="","",MAX(0,MIN($B$8,IFERROR(LOOKUP(2,1/($U$24:U51&lt;&gt;""),$U$24:U51),$B$11))))</f>
        <v>21.3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1.23</v>
      </c>
      <c r="J52" s="16" t="n">
        <f aca="false">IF(D52="","",$B$12)</f>
        <v>0.25</v>
      </c>
      <c r="K52" s="16" t="n">
        <f aca="false">IF(J52="","",J52*$B$15)</f>
        <v>0.648</v>
      </c>
      <c r="L52" s="16" t="n">
        <f aca="false">IF(D52="","",H52+E52-K52-G52*I52)</f>
        <v>24.9793464353578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1.30947457716001</v>
      </c>
      <c r="N52" s="16" t="n">
        <f aca="false">IF(D52="","",(I52+M52)/2)</f>
        <v>1.26973728858</v>
      </c>
      <c r="O52" s="16" t="n">
        <f aca="false">IF(D52="","",G52*N52)</f>
        <v>0.106530958511862</v>
      </c>
      <c r="P52" s="16" t="n">
        <f aca="false">IF(D52="","",H52+E52-K52-O52)</f>
        <v>24.9760124768459</v>
      </c>
      <c r="Q52" s="16" t="n">
        <f aca="false">IF(D52="","",IF(P52&gt;=0,K52,MAX(0,K52+P52)))</f>
        <v>0.648</v>
      </c>
      <c r="R52" s="16" t="n">
        <f aca="false">IF(D52="","",Q52/$B$15)</f>
        <v>0.25</v>
      </c>
      <c r="S52" s="16" t="n">
        <f aca="false">IF(D52="","",MAX(0,J52-R52))</f>
        <v>0</v>
      </c>
      <c r="T52" s="16" t="n">
        <f aca="false">IF(D52="","",MAX(0,Z52-$B$8))</f>
        <v>3.67601247684591</v>
      </c>
      <c r="U52" s="16" t="n">
        <f aca="false">IF(D52="","",MAX(0,MIN($B$8,Z52)))</f>
        <v>21.3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24.9760124768459</v>
      </c>
      <c r="AA52" s="18" t="n">
        <f aca="false">IF(D52="","",IF(H52&lt;=$B$16,1,IF(H52&gt;=$B$17,$B$21,MATCH(H52,Aux_CAV!$A$2:$A$121,1))))</f>
        <v>8</v>
      </c>
      <c r="AB52" s="18" t="n">
        <f aca="false">IF(D52="","",IF(L52&lt;=$B$16,1,IF(L52&gt;=$B$17,$B$21,MATCH(L52,Aux_CAV!$A$2:$A$121,1))))</f>
        <v>9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0.962028585237968</v>
      </c>
      <c r="E53" s="16" t="n">
        <f aca="false">IF(D53="","",D53*$B$15)</f>
        <v>2.49357809293681</v>
      </c>
      <c r="F53" s="16" t="n">
        <f aca="false" t="array" ref="F53:F53">IF(D53="","",IFERROR(INDEX(Dados_Evap!$C$2:$N$15,MATCH($B$9,Dados_Evap!$A$2:$A$15,0),C53),0))</f>
        <v>104.7</v>
      </c>
      <c r="G53" s="16" t="n">
        <f aca="false">IF(F53="","",F53/1000)</f>
        <v>0.1047</v>
      </c>
      <c r="H53" s="16" t="n">
        <f aca="false">IF(D53="","",MAX(0,MIN($B$8,IFERROR(LOOKUP(2,1/($U$24:U52&lt;&gt;""),$U$24:U52),$B$11))))</f>
        <v>21.3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1.23</v>
      </c>
      <c r="J53" s="16" t="n">
        <f aca="false">IF(D53="","",$B$12)</f>
        <v>0.25</v>
      </c>
      <c r="K53" s="16" t="n">
        <f aca="false">IF(J53="","",J53*$B$15)</f>
        <v>0.648</v>
      </c>
      <c r="L53" s="16" t="n">
        <f aca="false">IF(D53="","",H53+E53-K53-G53*I53)</f>
        <v>23.0167970929368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1.2623969317646</v>
      </c>
      <c r="N53" s="16" t="n">
        <f aca="false">IF(D53="","",(I53+M53)/2)</f>
        <v>1.2461984658823</v>
      </c>
      <c r="O53" s="16" t="n">
        <f aca="false">IF(D53="","",G53*N53)</f>
        <v>0.130476979377877</v>
      </c>
      <c r="P53" s="16" t="n">
        <f aca="false">IF(D53="","",H53+E53-K53-O53)</f>
        <v>23.0151011135589</v>
      </c>
      <c r="Q53" s="16" t="n">
        <f aca="false">IF(D53="","",IF(P53&gt;=0,K53,MAX(0,K53+P53)))</f>
        <v>0.648</v>
      </c>
      <c r="R53" s="16" t="n">
        <f aca="false">IF(D53="","",Q53/$B$15)</f>
        <v>0.25</v>
      </c>
      <c r="S53" s="16" t="n">
        <f aca="false">IF(D53="","",MAX(0,J53-R53))</f>
        <v>0</v>
      </c>
      <c r="T53" s="16" t="n">
        <f aca="false">IF(D53="","",MAX(0,Z53-$B$8))</f>
        <v>1.71510111355893</v>
      </c>
      <c r="U53" s="16" t="n">
        <f aca="false">IF(D53="","",MAX(0,MIN($B$8,Z53)))</f>
        <v>21.3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23.0151011135589</v>
      </c>
      <c r="AA53" s="18" t="n">
        <f aca="false">IF(D53="","",IF(H53&lt;=$B$16,1,IF(H53&gt;=$B$17,$B$21,MATCH(H53,Aux_CAV!$A$2:$A$121,1))))</f>
        <v>8</v>
      </c>
      <c r="AB53" s="18" t="n">
        <f aca="false">IF(D53="","",IF(L53&lt;=$B$16,1,IF(L53&gt;=$B$17,$B$21,MATCH(L53,Aux_CAV!$A$2:$A$121,1))))</f>
        <v>9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0.489024556293252</v>
      </c>
      <c r="E54" s="16" t="n">
        <f aca="false">IF(D54="","",D54*$B$15)</f>
        <v>1.26755164991211</v>
      </c>
      <c r="F54" s="16" t="n">
        <f aca="false" t="array" ref="F54:F54">IF(D54="","",IFERROR(INDEX(Dados_Evap!$C$2:$N$15,MATCH($B$9,Dados_Evap!$A$2:$A$15,0),C54),0))</f>
        <v>145.2</v>
      </c>
      <c r="G54" s="16" t="n">
        <f aca="false">IF(F54="","",F54/1000)</f>
        <v>0.1452</v>
      </c>
      <c r="H54" s="16" t="n">
        <f aca="false">IF(D54="","",MAX(0,MIN($B$8,IFERROR(LOOKUP(2,1/($U$24:U53&lt;&gt;""),$U$24:U53),$B$11))))</f>
        <v>21.3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1.23</v>
      </c>
      <c r="J54" s="16" t="n">
        <f aca="false">IF(D54="","",$B$12)</f>
        <v>0.25</v>
      </c>
      <c r="K54" s="16" t="n">
        <f aca="false">IF(J54="","",J54*$B$15)</f>
        <v>0.648</v>
      </c>
      <c r="L54" s="16" t="n">
        <f aca="false">IF(D54="","",H54+E54-K54-G54*I54)</f>
        <v>21.7409556499121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1.23734926083187</v>
      </c>
      <c r="N54" s="16" t="n">
        <f aca="false">IF(D54="","",(I54+M54)/2)</f>
        <v>1.23367463041593</v>
      </c>
      <c r="O54" s="16" t="n">
        <f aca="false">IF(D54="","",G54*N54)</f>
        <v>0.179129556336394</v>
      </c>
      <c r="P54" s="16" t="n">
        <f aca="false">IF(D54="","",H54+E54-K54-O54)</f>
        <v>21.7404220935757</v>
      </c>
      <c r="Q54" s="16" t="n">
        <f aca="false">IF(D54="","",IF(P54&gt;=0,K54,MAX(0,K54+P54)))</f>
        <v>0.648</v>
      </c>
      <c r="R54" s="16" t="n">
        <f aca="false">IF(D54="","",Q54/$B$15)</f>
        <v>0.25</v>
      </c>
      <c r="S54" s="16" t="n">
        <f aca="false">IF(D54="","",MAX(0,J54-R54))</f>
        <v>0</v>
      </c>
      <c r="T54" s="16" t="n">
        <f aca="false">IF(D54="","",MAX(0,Z54-$B$8))</f>
        <v>0.440422093575716</v>
      </c>
      <c r="U54" s="16" t="n">
        <f aca="false">IF(D54="","",MAX(0,MIN($B$8,Z54)))</f>
        <v>21.3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100</v>
      </c>
      <c r="Z54" s="18" t="n">
        <f aca="false">IF(D54="","",MAX(0,IF(P54&gt;=0,P54,IF(K54+P54&gt;=0,0,P54+K54))))</f>
        <v>21.7404220935757</v>
      </c>
      <c r="AA54" s="18" t="n">
        <f aca="false">IF(D54="","",IF(H54&lt;=$B$16,1,IF(H54&gt;=$B$17,$B$21,MATCH(H54,Aux_CAV!$A$2:$A$121,1))))</f>
        <v>8</v>
      </c>
      <c r="AB54" s="18" t="n">
        <f aca="false">IF(D54="","",IF(L54&lt;=$B$16,1,IF(L54&gt;=$B$17,$B$21,MATCH(L54,Aux_CAV!$A$2:$A$121,1))))</f>
        <v>8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0.464693795972349</v>
      </c>
      <c r="E55" s="16" t="n">
        <f aca="false">IF(D55="","",D55*$B$15)</f>
        <v>1.20448631916033</v>
      </c>
      <c r="F55" s="16" t="n">
        <f aca="false" t="array" ref="F55:F55">IF(D55="","",IFERROR(INDEX(Dados_Evap!$C$2:$N$15,MATCH($B$9,Dados_Evap!$A$2:$A$15,0),C55),0))</f>
        <v>180.9</v>
      </c>
      <c r="G55" s="16" t="n">
        <f aca="false">IF(F55="","",F55/1000)</f>
        <v>0.1809</v>
      </c>
      <c r="H55" s="16" t="n">
        <f aca="false">IF(D55="","",MAX(0,MIN($B$8,IFERROR(LOOKUP(2,1/($U$24:U54&lt;&gt;""),$U$24:U54),$B$11))))</f>
        <v>21.3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1.23</v>
      </c>
      <c r="J55" s="16" t="n">
        <f aca="false">IF(D55="","",$B$12)</f>
        <v>0.25</v>
      </c>
      <c r="K55" s="16" t="n">
        <f aca="false">IF(J55="","",J55*$B$15)</f>
        <v>0.648</v>
      </c>
      <c r="L55" s="16" t="n">
        <f aca="false">IF(D55="","",H55+E55-K55-G55*I55)</f>
        <v>21.6339793191603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1.23556632198601</v>
      </c>
      <c r="N55" s="16" t="n">
        <f aca="false">IF(D55="","",(I55+M55)/2)</f>
        <v>1.232783160993</v>
      </c>
      <c r="O55" s="16" t="n">
        <f aca="false">IF(D55="","",G55*N55)</f>
        <v>0.223010473823634</v>
      </c>
      <c r="P55" s="16" t="n">
        <f aca="false">IF(D55="","",H55+E55-K55-O55)</f>
        <v>21.6334758453367</v>
      </c>
      <c r="Q55" s="16" t="n">
        <f aca="false">IF(D55="","",IF(P55&gt;=0,K55,MAX(0,K55+P55)))</f>
        <v>0.648</v>
      </c>
      <c r="R55" s="16" t="n">
        <f aca="false">IF(D55="","",Q55/$B$15)</f>
        <v>0.25</v>
      </c>
      <c r="S55" s="16" t="n">
        <f aca="false">IF(D55="","",MAX(0,J55-R55))</f>
        <v>0</v>
      </c>
      <c r="T55" s="16" t="n">
        <f aca="false">IF(D55="","",MAX(0,Z55-$B$8))</f>
        <v>0.333475845336693</v>
      </c>
      <c r="U55" s="16" t="n">
        <f aca="false">IF(D55="","",MAX(0,MIN($B$8,Z55)))</f>
        <v>21.3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100</v>
      </c>
      <c r="Z55" s="18" t="n">
        <f aca="false">IF(D55="","",MAX(0,IF(P55&gt;=0,P55,IF(K55+P55&gt;=0,0,P55+K55))))</f>
        <v>21.6334758453367</v>
      </c>
      <c r="AA55" s="18" t="n">
        <f aca="false">IF(D55="","",IF(H55&lt;=$B$16,1,IF(H55&gt;=$B$17,$B$21,MATCH(H55,Aux_CAV!$A$2:$A$121,1))))</f>
        <v>8</v>
      </c>
      <c r="AB55" s="18" t="n">
        <f aca="false">IF(D55="","",IF(L55&lt;=$B$16,1,IF(L55&gt;=$B$17,$B$21,MATCH(L55,Aux_CAV!$A$2:$A$121,1))))</f>
        <v>8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0.209421667452311</v>
      </c>
      <c r="E56" s="16" t="n">
        <f aca="false">IF(D56="","",D56*$B$15)</f>
        <v>0.54282096203639</v>
      </c>
      <c r="F56" s="16" t="n">
        <f aca="false" t="array" ref="F56:F56">IF(D56="","",IFERROR(INDEX(Dados_Evap!$C$2:$N$15,MATCH($B$9,Dados_Evap!$A$2:$A$15,0),C56),0))</f>
        <v>208.9</v>
      </c>
      <c r="G56" s="16" t="n">
        <f aca="false">IF(F56="","",F56/1000)</f>
        <v>0.2089</v>
      </c>
      <c r="H56" s="16" t="n">
        <f aca="false">IF(D56="","",MAX(0,MIN($B$8,IFERROR(LOOKUP(2,1/($U$24:U55&lt;&gt;""),$U$24:U55),$B$11))))</f>
        <v>21.3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1.23</v>
      </c>
      <c r="J56" s="16" t="n">
        <f aca="false">IF(D56="","",$B$12)</f>
        <v>0.25</v>
      </c>
      <c r="K56" s="16" t="n">
        <f aca="false">IF(J56="","",J56*$B$15)</f>
        <v>0.648</v>
      </c>
      <c r="L56" s="16" t="n">
        <f aca="false">IF(D56="","",H56+E56-K56-G56*I56)</f>
        <v>20.9378739620364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1.22319596170841</v>
      </c>
      <c r="N56" s="16" t="n">
        <f aca="false">IF(D56="","",(I56+M56)/2)</f>
        <v>1.2265979808542</v>
      </c>
      <c r="O56" s="16" t="n">
        <f aca="false">IF(D56="","",G56*N56)</f>
        <v>0.256236318200443</v>
      </c>
      <c r="P56" s="16" t="n">
        <f aca="false">IF(D56="","",H56+E56-K56-O56)</f>
        <v>20.938584643836</v>
      </c>
      <c r="Q56" s="16" t="n">
        <f aca="false">IF(D56="","",IF(P56&gt;=0,K56,MAX(0,K56+P56)))</f>
        <v>0.648</v>
      </c>
      <c r="R56" s="16" t="n">
        <f aca="false">IF(D56="","",Q56/$B$15)</f>
        <v>0.25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20.938584643836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98.3032142903096</v>
      </c>
      <c r="Z56" s="18" t="n">
        <f aca="false">IF(D56="","",MAX(0,IF(P56&gt;=0,P56,IF(K56+P56&gt;=0,0,P56+K56))))</f>
        <v>20.938584643836</v>
      </c>
      <c r="AA56" s="18" t="n">
        <f aca="false">IF(D56="","",IF(H56&lt;=$B$16,1,IF(H56&gt;=$B$17,$B$21,MATCH(H56,Aux_CAV!$A$2:$A$121,1))))</f>
        <v>8</v>
      </c>
      <c r="AB56" s="18" t="n">
        <f aca="false">IF(D56="","",IF(L56&lt;=$B$16,1,IF(L56&gt;=$B$17,$B$21,MATCH(L56,Aux_CAV!$A$2:$A$121,1))))</f>
        <v>7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0.103301013013321</v>
      </c>
      <c r="E57" s="16" t="n">
        <f aca="false">IF(D57="","",D57*$B$15)</f>
        <v>0.267756225730528</v>
      </c>
      <c r="F57" s="16" t="n">
        <f aca="false" t="array" ref="F57:F57">IF(D57="","",IFERROR(INDEX(Dados_Evap!$C$2:$N$15,MATCH($B$9,Dados_Evap!$A$2:$A$15,0),C57),0))</f>
        <v>235.9</v>
      </c>
      <c r="G57" s="16" t="n">
        <f aca="false">IF(F57="","",F57/1000)</f>
        <v>0.2359</v>
      </c>
      <c r="H57" s="16" t="n">
        <f aca="false">IF(D57="","",MAX(0,MIN($B$8,IFERROR(LOOKUP(2,1/($U$24:U56&lt;&gt;""),$U$24:U56),$B$11))))</f>
        <v>20.938584643836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1.22320931481111</v>
      </c>
      <c r="J57" s="16" t="n">
        <f aca="false">IF(D57="","",$B$12)</f>
        <v>0.25</v>
      </c>
      <c r="K57" s="16" t="n">
        <f aca="false">IF(J57="","",J57*$B$15)</f>
        <v>0.648</v>
      </c>
      <c r="L57" s="16" t="n">
        <f aca="false">IF(D57="","",H57+E57-K57-G57*I57)</f>
        <v>20.2697857922025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1.21064315684723</v>
      </c>
      <c r="N57" s="16" t="n">
        <f aca="false">IF(D57="","",(I57+M57)/2)</f>
        <v>1.21692623582917</v>
      </c>
      <c r="O57" s="16" t="n">
        <f aca="false">IF(D57="","",G57*N57)</f>
        <v>0.287072899032102</v>
      </c>
      <c r="P57" s="16" t="n">
        <f aca="false">IF(D57="","",H57+E57-K57-O57)</f>
        <v>20.2712679705344</v>
      </c>
      <c r="Q57" s="16" t="n">
        <f aca="false">IF(D57="","",IF(P57&gt;=0,K57,MAX(0,K57+P57)))</f>
        <v>0.648</v>
      </c>
      <c r="R57" s="16" t="n">
        <f aca="false">IF(D57="","",Q57/$B$15)</f>
        <v>0.25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20.2712679705344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95.1702721621332</v>
      </c>
      <c r="Z57" s="18" t="n">
        <f aca="false">IF(D57="","",MAX(0,IF(P57&gt;=0,P57,IF(K57+P57&gt;=0,0,P57+K57))))</f>
        <v>20.2712679705344</v>
      </c>
      <c r="AA57" s="18" t="n">
        <f aca="false">IF(D57="","",IF(H57&lt;=$B$16,1,IF(H57&gt;=$B$17,$B$21,MATCH(H57,Aux_CAV!$A$2:$A$121,1))))</f>
        <v>7</v>
      </c>
      <c r="AB57" s="18" t="n">
        <f aca="false">IF(D57="","",IF(L57&lt;=$B$16,1,IF(L57&gt;=$B$17,$B$21,MATCH(L57,Aux_CAV!$A$2:$A$121,1))))</f>
        <v>7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0.0613816784449775</v>
      </c>
      <c r="E58" s="16" t="n">
        <f aca="false">IF(D58="","",D58*$B$15)</f>
        <v>0.159101310529382</v>
      </c>
      <c r="F58" s="16" t="n">
        <f aca="false" t="array" ref="F58:F58">IF(D58="","",IFERROR(INDEX(Dados_Evap!$C$2:$N$15,MATCH($B$9,Dados_Evap!$A$2:$A$15,0),C58),0))</f>
        <v>225.9</v>
      </c>
      <c r="G58" s="16" t="n">
        <f aca="false">IF(F58="","",F58/1000)</f>
        <v>0.2259</v>
      </c>
      <c r="H58" s="16" t="n">
        <f aca="false">IF(D58="","",MAX(0,MIN($B$8,IFERROR(LOOKUP(2,1/($U$24:U57&lt;&gt;""),$U$24:U57),$B$11))))</f>
        <v>20.2712679705344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1.21067100570941</v>
      </c>
      <c r="J58" s="16" t="n">
        <f aca="false">IF(D58="","",$B$12)</f>
        <v>0.25</v>
      </c>
      <c r="K58" s="16" t="n">
        <f aca="false">IF(J58="","",J58*$B$15)</f>
        <v>0.648</v>
      </c>
      <c r="L58" s="16" t="n">
        <f aca="false">IF(D58="","",H58+E58-K58-G58*I58)</f>
        <v>19.508878700874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1.19634636389951</v>
      </c>
      <c r="N58" s="16" t="n">
        <f aca="false">IF(D58="","",(I58+M58)/2)</f>
        <v>1.20350868480446</v>
      </c>
      <c r="O58" s="16" t="n">
        <f aca="false">IF(D58="","",G58*N58)</f>
        <v>0.271872611897328</v>
      </c>
      <c r="P58" s="16" t="n">
        <f aca="false">IF(D58="","",H58+E58-K58-O58)</f>
        <v>19.5104966691664</v>
      </c>
      <c r="Q58" s="16" t="n">
        <f aca="false">IF(D58="","",IF(P58&gt;=0,K58,MAX(0,K58+P58)))</f>
        <v>0.648</v>
      </c>
      <c r="R58" s="16" t="n">
        <f aca="false">IF(D58="","",Q58/$B$15)</f>
        <v>0.25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19.5104966691664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91.5985759115795</v>
      </c>
      <c r="Z58" s="18" t="n">
        <f aca="false">IF(D58="","",MAX(0,IF(P58&gt;=0,P58,IF(K58+P58&gt;=0,0,P58+K58))))</f>
        <v>19.5104966691664</v>
      </c>
      <c r="AA58" s="18" t="n">
        <f aca="false">IF(D58="","",IF(H58&lt;=$B$16,1,IF(H58&gt;=$B$17,$B$21,MATCH(H58,Aux_CAV!$A$2:$A$121,1))))</f>
        <v>7</v>
      </c>
      <c r="AB58" s="18" t="n">
        <f aca="false">IF(D58="","",IF(L58&lt;=$B$16,1,IF(L58&gt;=$B$17,$B$21,MATCH(L58,Aux_CAV!$A$2:$A$121,1))))</f>
        <v>7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0.0414885865456616</v>
      </c>
      <c r="E59" s="16" t="n">
        <f aca="false">IF(D59="","",D59*$B$15)</f>
        <v>0.107538416326355</v>
      </c>
      <c r="F59" s="16" t="n">
        <f aca="false" t="array" ref="F59:F59">IF(D59="","",IFERROR(INDEX(Dados_Evap!$C$2:$N$15,MATCH($B$9,Dados_Evap!$A$2:$A$15,0),C59),0))</f>
        <v>206</v>
      </c>
      <c r="G59" s="16" t="n">
        <f aca="false">IF(F59="","",F59/1000)</f>
        <v>0.206</v>
      </c>
      <c r="H59" s="16" t="n">
        <f aca="false">IF(D59="","",MAX(0,MIN($B$8,IFERROR(LOOKUP(2,1/($U$24:U58&lt;&gt;""),$U$24:U58),$B$11))))</f>
        <v>19.5104966691664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1.19637676413883</v>
      </c>
      <c r="J59" s="16" t="n">
        <f aca="false">IF(D59="","",$B$12)</f>
        <v>0.25</v>
      </c>
      <c r="K59" s="16" t="n">
        <f aca="false">IF(J59="","",J59*$B$15)</f>
        <v>0.648</v>
      </c>
      <c r="L59" s="16" t="n">
        <f aca="false">IF(D59="","",H59+E59-K59-G59*I59)</f>
        <v>18.7235814720802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1.18159130114556</v>
      </c>
      <c r="N59" s="16" t="n">
        <f aca="false">IF(D59="","",(I59+M59)/2)</f>
        <v>1.18898403264219</v>
      </c>
      <c r="O59" s="16" t="n">
        <f aca="false">IF(D59="","",G59*N59)</f>
        <v>0.244930710724291</v>
      </c>
      <c r="P59" s="16" t="n">
        <f aca="false">IF(D59="","",H59+E59-K59-O59)</f>
        <v>18.7251043747685</v>
      </c>
      <c r="Q59" s="16" t="n">
        <f aca="false">IF(D59="","",IF(P59&gt;=0,K59,MAX(0,K59+P59)))</f>
        <v>0.648</v>
      </c>
      <c r="R59" s="16" t="n">
        <f aca="false">IF(D59="","",Q59/$B$15)</f>
        <v>0.25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18.7251043747685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87.9112881444531</v>
      </c>
      <c r="Z59" s="18" t="n">
        <f aca="false">IF(D59="","",MAX(0,IF(P59&gt;=0,P59,IF(K59+P59&gt;=0,0,P59+K59))))</f>
        <v>18.7251043747685</v>
      </c>
      <c r="AA59" s="18" t="n">
        <f aca="false">IF(D59="","",IF(H59&lt;=$B$16,1,IF(H59&gt;=$B$17,$B$21,MATCH(H59,Aux_CAV!$A$2:$A$121,1))))</f>
        <v>7</v>
      </c>
      <c r="AB59" s="18" t="n">
        <f aca="false">IF(D59="","",IF(L59&lt;=$B$16,1,IF(L59&gt;=$B$17,$B$21,MATCH(L59,Aux_CAV!$A$2:$A$121,1))))</f>
        <v>7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0.0754554130039595</v>
      </c>
      <c r="E60" s="16" t="n">
        <f aca="false">IF(D60="","",D60*$B$15)</f>
        <v>0.195580430506263</v>
      </c>
      <c r="F60" s="16" t="n">
        <f aca="false" t="array" ref="F60:F60">IF(D60="","",IFERROR(INDEX(Dados_Evap!$C$2:$N$15,MATCH($B$9,Dados_Evap!$A$2:$A$15,0),C60),0))</f>
        <v>165.6</v>
      </c>
      <c r="G60" s="16" t="n">
        <f aca="false">IF(F60="","",F60/1000)</f>
        <v>0.1656</v>
      </c>
      <c r="H60" s="16" t="n">
        <f aca="false">IF(D60="","",MAX(0,MIN($B$8,IFERROR(LOOKUP(2,1/($U$24:U59&lt;&gt;""),$U$24:U59),$B$11))))</f>
        <v>18.7251043747685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1.18161991518354</v>
      </c>
      <c r="J60" s="16" t="n">
        <f aca="false">IF(D60="","",$B$12)</f>
        <v>0.25</v>
      </c>
      <c r="K60" s="16" t="n">
        <f aca="false">IF(J60="","",J60*$B$15)</f>
        <v>0.648</v>
      </c>
      <c r="L60" s="16" t="n">
        <f aca="false">IF(D60="","",H60+E60-K60-G60*I60)</f>
        <v>18.0770085473204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1.16944274932335</v>
      </c>
      <c r="N60" s="16" t="n">
        <f aca="false">IF(D60="","",(I60+M60)/2)</f>
        <v>1.17553133225344</v>
      </c>
      <c r="O60" s="16" t="n">
        <f aca="false">IF(D60="","",G60*N60)</f>
        <v>0.19466798862117</v>
      </c>
      <c r="P60" s="16" t="n">
        <f aca="false">IF(D60="","",H60+E60-K60-O60)</f>
        <v>18.0780168166536</v>
      </c>
      <c r="Q60" s="16" t="n">
        <f aca="false">IF(D60="","",IF(P60&gt;=0,K60,MAX(0,K60+P60)))</f>
        <v>0.648</v>
      </c>
      <c r="R60" s="16" t="n">
        <f aca="false">IF(D60="","",Q60/$B$15)</f>
        <v>0.25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18.0780168166536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84.873318388045</v>
      </c>
      <c r="Z60" s="18" t="n">
        <f aca="false">IF(D60="","",MAX(0,IF(P60&gt;=0,P60,IF(K60+P60&gt;=0,0,P60+K60))))</f>
        <v>18.0780168166536</v>
      </c>
      <c r="AA60" s="18" t="n">
        <f aca="false">IF(D60="","",IF(H60&lt;=$B$16,1,IF(H60&gt;=$B$17,$B$21,MATCH(H60,Aux_CAV!$A$2:$A$121,1))))</f>
        <v>7</v>
      </c>
      <c r="AB60" s="18" t="n">
        <f aca="false">IF(D60="","",IF(L60&lt;=$B$16,1,IF(L60&gt;=$B$17,$B$21,MATCH(L60,Aux_CAV!$A$2:$A$121,1))))</f>
        <v>7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1.20035737121271</v>
      </c>
      <c r="E61" s="16" t="n">
        <f aca="false">IF(D61="","",D61*$B$15)</f>
        <v>3.11132630618334</v>
      </c>
      <c r="F61" s="16" t="n">
        <f aca="false" t="array" ref="F61:F61">IF(D61="","",IFERROR(INDEX(Dados_Evap!$C$2:$N$15,MATCH($B$9,Dados_Evap!$A$2:$A$15,0),C61),0))</f>
        <v>124.9</v>
      </c>
      <c r="G61" s="16" t="n">
        <f aca="false">IF(F61="","",F61/1000)</f>
        <v>0.1249</v>
      </c>
      <c r="H61" s="16" t="n">
        <f aca="false">IF(D61="","",MAX(0,MIN($B$8,IFERROR(LOOKUP(2,1/($U$24:U60&lt;&gt;""),$U$24:U60),$B$11))))</f>
        <v>18.0780168166536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1.16946169384109</v>
      </c>
      <c r="J61" s="16" t="n">
        <f aca="false">IF(D61="","",$B$12)</f>
        <v>0.25</v>
      </c>
      <c r="K61" s="16" t="n">
        <f aca="false">IF(J61="","",J61*$B$15)</f>
        <v>0.648</v>
      </c>
      <c r="L61" s="16" t="n">
        <f aca="false">IF(D61="","",H61+E61-K61-G61*I61)</f>
        <v>20.3952773572762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1.21300103594047</v>
      </c>
      <c r="N61" s="16" t="n">
        <f aca="false">IF(D61="","",(I61+M61)/2)</f>
        <v>1.19123136489078</v>
      </c>
      <c r="O61" s="16" t="n">
        <f aca="false">IF(D61="","",G61*N61)</f>
        <v>0.148784797474859</v>
      </c>
      <c r="P61" s="16" t="n">
        <f aca="false">IF(D61="","",H61+E61-K61-O61)</f>
        <v>20.3925583253621</v>
      </c>
      <c r="Q61" s="16" t="n">
        <f aca="false">IF(D61="","",IF(P61&gt;=0,K61,MAX(0,K61+P61)))</f>
        <v>0.648</v>
      </c>
      <c r="R61" s="16" t="n">
        <f aca="false">IF(D61="","",Q61/$B$15)</f>
        <v>0.25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20.3925583253621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95.7397104477093</v>
      </c>
      <c r="Z61" s="18" t="n">
        <f aca="false">IF(D61="","",MAX(0,IF(P61&gt;=0,P61,IF(K61+P61&gt;=0,0,P61+K61))))</f>
        <v>20.3925583253621</v>
      </c>
      <c r="AA61" s="18" t="n">
        <f aca="false">IF(D61="","",IF(H61&lt;=$B$16,1,IF(H61&gt;=$B$17,$B$21,MATCH(H61,Aux_CAV!$A$2:$A$121,1))))</f>
        <v>7</v>
      </c>
      <c r="AB61" s="18" t="n">
        <f aca="false">IF(D61="","",IF(L61&lt;=$B$16,1,IF(L61&gt;=$B$17,$B$21,MATCH(L61,Aux_CAV!$A$2:$A$121,1))))</f>
        <v>7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1.65947800399465</v>
      </c>
      <c r="E62" s="16" t="n">
        <f aca="false">IF(D62="","",D62*$B$15)</f>
        <v>4.30136698635413</v>
      </c>
      <c r="F62" s="16" t="n">
        <f aca="false" t="array" ref="F62:F62">IF(D62="","",IFERROR(INDEX(Dados_Evap!$C$2:$N$15,MATCH($B$9,Dados_Evap!$A$2:$A$15,0),C62),0))</f>
        <v>88.2</v>
      </c>
      <c r="G62" s="16" t="n">
        <f aca="false">IF(F62="","",F62/1000)</f>
        <v>0.0882</v>
      </c>
      <c r="H62" s="16" t="n">
        <f aca="false">IF(D62="","",MAX(0,MIN($B$8,IFERROR(LOOKUP(2,1/($U$24:U61&lt;&gt;""),$U$24:U61),$B$11))))</f>
        <v>20.3925583253621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1.21294994765816</v>
      </c>
      <c r="J62" s="16" t="n">
        <f aca="false">IF(D62="","",$B$12)</f>
        <v>0.25</v>
      </c>
      <c r="K62" s="16" t="n">
        <f aca="false">IF(J62="","",J62*$B$15)</f>
        <v>0.648</v>
      </c>
      <c r="L62" s="16" t="n">
        <f aca="false">IF(D62="","",H62+E62-K62-G62*I62)</f>
        <v>23.9389431263328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1.28451737634381</v>
      </c>
      <c r="N62" s="16" t="n">
        <f aca="false">IF(D62="","",(I62+M62)/2)</f>
        <v>1.24873366200099</v>
      </c>
      <c r="O62" s="16" t="n">
        <f aca="false">IF(D62="","",G62*N62)</f>
        <v>0.110138308988487</v>
      </c>
      <c r="P62" s="16" t="n">
        <f aca="false">IF(D62="","",H62+E62-K62-O62)</f>
        <v>23.9357870027277</v>
      </c>
      <c r="Q62" s="16" t="n">
        <f aca="false">IF(D62="","",IF(P62&gt;=0,K62,MAX(0,K62+P62)))</f>
        <v>0.648</v>
      </c>
      <c r="R62" s="16" t="n">
        <f aca="false">IF(D62="","",Q62/$B$15)</f>
        <v>0.25</v>
      </c>
      <c r="S62" s="16" t="n">
        <f aca="false">IF(D62="","",MAX(0,J62-R62))</f>
        <v>0</v>
      </c>
      <c r="T62" s="16" t="n">
        <f aca="false">IF(D62="","",MAX(0,Z62-$B$8))</f>
        <v>2.63578700272772</v>
      </c>
      <c r="U62" s="16" t="n">
        <f aca="false">IF(D62="","",MAX(0,MIN($B$8,Z62)))</f>
        <v>21.3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23.9357870027277</v>
      </c>
      <c r="AA62" s="18" t="n">
        <f aca="false">IF(D62="","",IF(H62&lt;=$B$16,1,IF(H62&gt;=$B$17,$B$21,MATCH(H62,Aux_CAV!$A$2:$A$121,1))))</f>
        <v>7</v>
      </c>
      <c r="AB62" s="18" t="n">
        <f aca="false">IF(D62="","",IF(L62&lt;=$B$16,1,IF(L62&gt;=$B$17,$B$21,MATCH(L62,Aux_CAV!$A$2:$A$121,1))))</f>
        <v>9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1.94860658057498</v>
      </c>
      <c r="E63" s="16" t="n">
        <f aca="false">IF(D63="","",D63*$B$15)</f>
        <v>5.05078825685035</v>
      </c>
      <c r="F63" s="16" t="n">
        <f aca="false" t="array" ref="F63:F63">IF(D63="","",IFERROR(INDEX(Dados_Evap!$C$2:$N$15,MATCH($B$9,Dados_Evap!$A$2:$A$15,0),C63),0))</f>
        <v>88.2</v>
      </c>
      <c r="G63" s="16" t="n">
        <f aca="false">IF(F63="","",F63/1000)</f>
        <v>0.0882</v>
      </c>
      <c r="H63" s="16" t="n">
        <f aca="false">IF(D63="","",MAX(0,MIN($B$8,IFERROR(LOOKUP(2,1/($U$24:U62&lt;&gt;""),$U$24:U62),$B$11))))</f>
        <v>21.3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1.23</v>
      </c>
      <c r="J63" s="16" t="n">
        <f aca="false">IF(D63="","",$B$12)</f>
        <v>0.25</v>
      </c>
      <c r="K63" s="16" t="n">
        <f aca="false">IF(J63="","",J63*$B$15)</f>
        <v>0.648</v>
      </c>
      <c r="L63" s="16" t="n">
        <f aca="false">IF(D63="","",H63+E63-K63-G63*I63)</f>
        <v>25.5943022568504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1.32422614109386</v>
      </c>
      <c r="N63" s="16" t="n">
        <f aca="false">IF(D63="","",(I63+M63)/2)</f>
        <v>1.27711307054693</v>
      </c>
      <c r="O63" s="16" t="n">
        <f aca="false">IF(D63="","",G63*N63)</f>
        <v>0.112641372822239</v>
      </c>
      <c r="P63" s="16" t="n">
        <f aca="false">IF(D63="","",H63+E63-K63-O63)</f>
        <v>25.5901468840281</v>
      </c>
      <c r="Q63" s="16" t="n">
        <f aca="false">IF(D63="","",IF(P63&gt;=0,K63,MAX(0,K63+P63)))</f>
        <v>0.648</v>
      </c>
      <c r="R63" s="16" t="n">
        <f aca="false">IF(D63="","",Q63/$B$15)</f>
        <v>0.25</v>
      </c>
      <c r="S63" s="16" t="n">
        <f aca="false">IF(D63="","",MAX(0,J63-R63))</f>
        <v>0</v>
      </c>
      <c r="T63" s="16" t="n">
        <f aca="false">IF(D63="","",MAX(0,Z63-$B$8))</f>
        <v>4.29014688402811</v>
      </c>
      <c r="U63" s="16" t="n">
        <f aca="false">IF(D63="","",MAX(0,MIN($B$8,Z63)))</f>
        <v>21.3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25.5901468840281</v>
      </c>
      <c r="AA63" s="18" t="n">
        <f aca="false">IF(D63="","",IF(H63&lt;=$B$16,1,IF(H63&gt;=$B$17,$B$21,MATCH(H63,Aux_CAV!$A$2:$A$121,1))))</f>
        <v>8</v>
      </c>
      <c r="AB63" s="18" t="n">
        <f aca="false">IF(D63="","",IF(L63&lt;=$B$16,1,IF(L63&gt;=$B$17,$B$21,MATCH(L63,Aux_CAV!$A$2:$A$121,1))))</f>
        <v>9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1.09856549659358</v>
      </c>
      <c r="E64" s="16" t="n">
        <f aca="false">IF(D64="","",D64*$B$15)</f>
        <v>2.84748176717056</v>
      </c>
      <c r="F64" s="16" t="n">
        <f aca="false" t="array" ref="F64:F64">IF(D64="","",IFERROR(INDEX(Dados_Evap!$C$2:$N$15,MATCH($B$9,Dados_Evap!$A$2:$A$15,0),C64),0))</f>
        <v>83.9</v>
      </c>
      <c r="G64" s="16" t="n">
        <f aca="false">IF(F64="","",F64/1000)</f>
        <v>0.0839</v>
      </c>
      <c r="H64" s="16" t="n">
        <f aca="false">IF(D64="","",MAX(0,MIN($B$8,IFERROR(LOOKUP(2,1/($U$24:U63&lt;&gt;""),$U$24:U63),$B$11))))</f>
        <v>21.3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1.23</v>
      </c>
      <c r="J64" s="16" t="n">
        <f aca="false">IF(D64="","",$B$12)</f>
        <v>0.25</v>
      </c>
      <c r="K64" s="16" t="n">
        <f aca="false">IF(J64="","",J64*$B$15)</f>
        <v>0.648</v>
      </c>
      <c r="L64" s="16" t="n">
        <f aca="false">IF(D64="","",H64+E64-K64-G64*I64)</f>
        <v>23.3962847671706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1.27150008436991</v>
      </c>
      <c r="N64" s="16" t="n">
        <f aca="false">IF(D64="","",(I64+M64)/2)</f>
        <v>1.25075004218495</v>
      </c>
      <c r="O64" s="16" t="n">
        <f aca="false">IF(D64="","",G64*N64)</f>
        <v>0.104937928539318</v>
      </c>
      <c r="P64" s="16" t="n">
        <f aca="false">IF(D64="","",H64+E64-K64-O64)</f>
        <v>23.3945438386312</v>
      </c>
      <c r="Q64" s="16" t="n">
        <f aca="false">IF(D64="","",IF(P64&gt;=0,K64,MAX(0,K64+P64)))</f>
        <v>0.648</v>
      </c>
      <c r="R64" s="16" t="n">
        <f aca="false">IF(D64="","",Q64/$B$15)</f>
        <v>0.25</v>
      </c>
      <c r="S64" s="16" t="n">
        <f aca="false">IF(D64="","",MAX(0,J64-R64))</f>
        <v>0</v>
      </c>
      <c r="T64" s="16" t="n">
        <f aca="false">IF(D64="","",MAX(0,Z64-$B$8))</f>
        <v>2.09454383863124</v>
      </c>
      <c r="U64" s="16" t="n">
        <f aca="false">IF(D64="","",MAX(0,MIN($B$8,Z64)))</f>
        <v>21.3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23.3945438386312</v>
      </c>
      <c r="AA64" s="18" t="n">
        <f aca="false">IF(D64="","",IF(H64&lt;=$B$16,1,IF(H64&gt;=$B$17,$B$21,MATCH(H64,Aux_CAV!$A$2:$A$121,1))))</f>
        <v>8</v>
      </c>
      <c r="AB64" s="18" t="n">
        <f aca="false">IF(D64="","",IF(L64&lt;=$B$16,1,IF(L64&gt;=$B$17,$B$21,MATCH(L64,Aux_CAV!$A$2:$A$121,1))))</f>
        <v>9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0.676548849394527</v>
      </c>
      <c r="E65" s="16" t="n">
        <f aca="false">IF(D65="","",D65*$B$15)</f>
        <v>1.75361461763061</v>
      </c>
      <c r="F65" s="16" t="n">
        <f aca="false" t="array" ref="F65:F65">IF(D65="","",IFERROR(INDEX(Dados_Evap!$C$2:$N$15,MATCH($B$9,Dados_Evap!$A$2:$A$15,0),C65),0))</f>
        <v>104.7</v>
      </c>
      <c r="G65" s="16" t="n">
        <f aca="false">IF(F65="","",F65/1000)</f>
        <v>0.1047</v>
      </c>
      <c r="H65" s="16" t="n">
        <f aca="false">IF(D65="","",MAX(0,MIN($B$8,IFERROR(LOOKUP(2,1/($U$24:U64&lt;&gt;""),$U$24:U64),$B$11))))</f>
        <v>21.3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1.23</v>
      </c>
      <c r="J65" s="16" t="n">
        <f aca="false">IF(D65="","",$B$12)</f>
        <v>0.25</v>
      </c>
      <c r="K65" s="16" t="n">
        <f aca="false">IF(J65="","",J65*$B$15)</f>
        <v>0.648</v>
      </c>
      <c r="L65" s="16" t="n">
        <f aca="false">IF(D65="","",H65+E65-K65-G65*I65)</f>
        <v>22.2768336176306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1.24628056029384</v>
      </c>
      <c r="N65" s="16" t="n">
        <f aca="false">IF(D65="","",(I65+M65)/2)</f>
        <v>1.23814028014692</v>
      </c>
      <c r="O65" s="16" t="n">
        <f aca="false">IF(D65="","",G65*N65)</f>
        <v>0.129633287331383</v>
      </c>
      <c r="P65" s="16" t="n">
        <f aca="false">IF(D65="","",H65+E65-K65-O65)</f>
        <v>22.2759813302992</v>
      </c>
      <c r="Q65" s="16" t="n">
        <f aca="false">IF(D65="","",IF(P65&gt;=0,K65,MAX(0,K65+P65)))</f>
        <v>0.648</v>
      </c>
      <c r="R65" s="16" t="n">
        <f aca="false">IF(D65="","",Q65/$B$15)</f>
        <v>0.25</v>
      </c>
      <c r="S65" s="16" t="n">
        <f aca="false">IF(D65="","",MAX(0,J65-R65))</f>
        <v>0</v>
      </c>
      <c r="T65" s="16" t="n">
        <f aca="false">IF(D65="","",MAX(0,Z65-$B$8))</f>
        <v>0.975981330299231</v>
      </c>
      <c r="U65" s="16" t="n">
        <f aca="false">IF(D65="","",MAX(0,MIN($B$8,Z65)))</f>
        <v>21.3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22.2759813302992</v>
      </c>
      <c r="AA65" s="18" t="n">
        <f aca="false">IF(D65="","",IF(H65&lt;=$B$16,1,IF(H65&gt;=$B$17,$B$21,MATCH(H65,Aux_CAV!$A$2:$A$121,1))))</f>
        <v>8</v>
      </c>
      <c r="AB65" s="18" t="n">
        <f aca="false">IF(D65="","",IF(L65&lt;=$B$16,1,IF(L65&gt;=$B$17,$B$21,MATCH(L65,Aux_CAV!$A$2:$A$121,1))))</f>
        <v>8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0.345605666721508</v>
      </c>
      <c r="E66" s="16" t="n">
        <f aca="false">IF(D66="","",D66*$B$15)</f>
        <v>0.895809888142149</v>
      </c>
      <c r="F66" s="16" t="n">
        <f aca="false" t="array" ref="F66:F66">IF(D66="","",IFERROR(INDEX(Dados_Evap!$C$2:$N$15,MATCH($B$9,Dados_Evap!$A$2:$A$15,0),C66),0))</f>
        <v>145.2</v>
      </c>
      <c r="G66" s="16" t="n">
        <f aca="false">IF(F66="","",F66/1000)</f>
        <v>0.1452</v>
      </c>
      <c r="H66" s="16" t="n">
        <f aca="false">IF(D66="","",MAX(0,MIN($B$8,IFERROR(LOOKUP(2,1/($U$24:U65&lt;&gt;""),$U$24:U65),$B$11))))</f>
        <v>21.3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1.23</v>
      </c>
      <c r="J66" s="16" t="n">
        <f aca="false">IF(D66="","",$B$12)</f>
        <v>0.25</v>
      </c>
      <c r="K66" s="16" t="n">
        <f aca="false">IF(J66="","",J66*$B$15)</f>
        <v>0.648</v>
      </c>
      <c r="L66" s="16" t="n">
        <f aca="false">IF(D66="","",H66+E66-K66-G66*I66)</f>
        <v>21.3692138881422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1.23115356480237</v>
      </c>
      <c r="N66" s="16" t="n">
        <f aca="false">IF(D66="","",(I66+M66)/2)</f>
        <v>1.23057678240118</v>
      </c>
      <c r="O66" s="16" t="n">
        <f aca="false">IF(D66="","",G66*N66)</f>
        <v>0.178679748804652</v>
      </c>
      <c r="P66" s="16" t="n">
        <f aca="false">IF(D66="","",H66+E66-K66-O66)</f>
        <v>21.3691301393375</v>
      </c>
      <c r="Q66" s="16" t="n">
        <f aca="false">IF(D66="","",IF(P66&gt;=0,K66,MAX(0,K66+P66)))</f>
        <v>0.648</v>
      </c>
      <c r="R66" s="16" t="n">
        <f aca="false">IF(D66="","",Q66/$B$15)</f>
        <v>0.25</v>
      </c>
      <c r="S66" s="16" t="n">
        <f aca="false">IF(D66="","",MAX(0,J66-R66))</f>
        <v>0</v>
      </c>
      <c r="T66" s="16" t="n">
        <f aca="false">IF(D66="","",MAX(0,Z66-$B$8))</f>
        <v>0.0691301393374992</v>
      </c>
      <c r="U66" s="16" t="n">
        <f aca="false">IF(D66="","",MAX(0,MIN($B$8,Z66)))</f>
        <v>21.3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21.3691301393375</v>
      </c>
      <c r="AA66" s="18" t="n">
        <f aca="false">IF(D66="","",IF(H66&lt;=$B$16,1,IF(H66&gt;=$B$17,$B$21,MATCH(H66,Aux_CAV!$A$2:$A$121,1))))</f>
        <v>8</v>
      </c>
      <c r="AB66" s="18" t="n">
        <f aca="false">IF(D66="","",IF(L66&lt;=$B$16,1,IF(L66&gt;=$B$17,$B$21,MATCH(L66,Aux_CAV!$A$2:$A$121,1))))</f>
        <v>8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0.241309984442011</v>
      </c>
      <c r="E67" s="16" t="n">
        <f aca="false">IF(D67="","",D67*$B$15)</f>
        <v>0.625475479673693</v>
      </c>
      <c r="F67" s="16" t="n">
        <f aca="false" t="array" ref="F67:F67">IF(D67="","",IFERROR(INDEX(Dados_Evap!$C$2:$N$15,MATCH($B$9,Dados_Evap!$A$2:$A$15,0),C67),0))</f>
        <v>180.9</v>
      </c>
      <c r="G67" s="16" t="n">
        <f aca="false">IF(F67="","",F67/1000)</f>
        <v>0.1809</v>
      </c>
      <c r="H67" s="16" t="n">
        <f aca="false">IF(D67="","",MAX(0,MIN($B$8,IFERROR(LOOKUP(2,1/($U$24:U66&lt;&gt;""),$U$24:U66),$B$11))))</f>
        <v>21.3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1.23</v>
      </c>
      <c r="J67" s="16" t="n">
        <f aca="false">IF(D67="","",$B$12)</f>
        <v>0.25</v>
      </c>
      <c r="K67" s="16" t="n">
        <f aca="false">IF(J67="","",J67*$B$15)</f>
        <v>0.648</v>
      </c>
      <c r="L67" s="16" t="n">
        <f aca="false">IF(D67="","",H67+E67-K67-G67*I67)</f>
        <v>21.0549684796737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1.22539606746777</v>
      </c>
      <c r="N67" s="16" t="n">
        <f aca="false">IF(D67="","",(I67+M67)/2)</f>
        <v>1.22769803373389</v>
      </c>
      <c r="O67" s="16" t="n">
        <f aca="false">IF(D67="","",G67*N67)</f>
        <v>0.22209057430246</v>
      </c>
      <c r="P67" s="16" t="n">
        <f aca="false">IF(D67="","",H67+E67-K67-O67)</f>
        <v>21.0553849053712</v>
      </c>
      <c r="Q67" s="16" t="n">
        <f aca="false">IF(D67="","",IF(P67&gt;=0,K67,MAX(0,K67+P67)))</f>
        <v>0.648</v>
      </c>
      <c r="R67" s="16" t="n">
        <f aca="false">IF(D67="","",Q67/$B$15)</f>
        <v>0.25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21.0553849053712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98.8515723256866</v>
      </c>
      <c r="Z67" s="18" t="n">
        <f aca="false">IF(D67="","",MAX(0,IF(P67&gt;=0,P67,IF(K67+P67&gt;=0,0,P67+K67))))</f>
        <v>21.0553849053712</v>
      </c>
      <c r="AA67" s="18" t="n">
        <f aca="false">IF(D67="","",IF(H67&lt;=$B$16,1,IF(H67&gt;=$B$17,$B$21,MATCH(H67,Aux_CAV!$A$2:$A$121,1))))</f>
        <v>8</v>
      </c>
      <c r="AB67" s="18" t="n">
        <f aca="false">IF(D67="","",IF(L67&lt;=$B$16,1,IF(L67&gt;=$B$17,$B$21,MATCH(L67,Aux_CAV!$A$2:$A$121,1))))</f>
        <v>7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0.144236923750668</v>
      </c>
      <c r="E68" s="16" t="n">
        <f aca="false">IF(D68="","",D68*$B$15)</f>
        <v>0.373862106361731</v>
      </c>
      <c r="F68" s="16" t="n">
        <f aca="false" t="array" ref="F68:F68">IF(D68="","",IFERROR(INDEX(Dados_Evap!$C$2:$N$15,MATCH($B$9,Dados_Evap!$A$2:$A$15,0),C68),0))</f>
        <v>208.9</v>
      </c>
      <c r="G68" s="16" t="n">
        <f aca="false">IF(F68="","",F68/1000)</f>
        <v>0.2089</v>
      </c>
      <c r="H68" s="16" t="n">
        <f aca="false">IF(D68="","",MAX(0,MIN($B$8,IFERROR(LOOKUP(2,1/($U$24:U67&lt;&gt;""),$U$24:U67),$B$11))))</f>
        <v>21.0553849053712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1.22540389175019</v>
      </c>
      <c r="J68" s="16" t="n">
        <f aca="false">IF(D68="","",$B$12)</f>
        <v>0.25</v>
      </c>
      <c r="K68" s="16" t="n">
        <f aca="false">IF(J68="","",J68*$B$15)</f>
        <v>0.648</v>
      </c>
      <c r="L68" s="16" t="n">
        <f aca="false">IF(D68="","",H68+E68-K68-G68*I68)</f>
        <v>20.5252601387464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1.21544330114555</v>
      </c>
      <c r="N68" s="16" t="n">
        <f aca="false">IF(D68="","",(I68+M68)/2)</f>
        <v>1.22042359644787</v>
      </c>
      <c r="O68" s="16" t="n">
        <f aca="false">IF(D68="","",G68*N68)</f>
        <v>0.25494648929796</v>
      </c>
      <c r="P68" s="16" t="n">
        <f aca="false">IF(D68="","",H68+E68-K68-O68)</f>
        <v>20.526300522435</v>
      </c>
      <c r="Q68" s="16" t="n">
        <f aca="false">IF(D68="","",IF(P68&gt;=0,K68,MAX(0,K68+P68)))</f>
        <v>0.648</v>
      </c>
      <c r="R68" s="16" t="n">
        <f aca="false">IF(D68="","",Q68/$B$15)</f>
        <v>0.25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20.526300522435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96.3676080865493</v>
      </c>
      <c r="Z68" s="18" t="n">
        <f aca="false">IF(D68="","",MAX(0,IF(P68&gt;=0,P68,IF(K68+P68&gt;=0,0,P68+K68))))</f>
        <v>20.526300522435</v>
      </c>
      <c r="AA68" s="18" t="n">
        <f aca="false">IF(D68="","",IF(H68&lt;=$B$16,1,IF(H68&gt;=$B$17,$B$21,MATCH(H68,Aux_CAV!$A$2:$A$121,1))))</f>
        <v>7</v>
      </c>
      <c r="AB68" s="18" t="n">
        <f aca="false">IF(D68="","",IF(L68&lt;=$B$16,1,IF(L68&gt;=$B$17,$B$21,MATCH(L68,Aux_CAV!$A$2:$A$121,1))))</f>
        <v>7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0.0966749696943315</v>
      </c>
      <c r="E69" s="16" t="n">
        <f aca="false">IF(D69="","",D69*$B$15)</f>
        <v>0.250581521447707</v>
      </c>
      <c r="F69" s="16" t="n">
        <f aca="false" t="array" ref="F69:F69">IF(D69="","",IFERROR(INDEX(Dados_Evap!$C$2:$N$15,MATCH($B$9,Dados_Evap!$A$2:$A$15,0),C69),0))</f>
        <v>235.9</v>
      </c>
      <c r="G69" s="16" t="n">
        <f aca="false">IF(F69="","",F69/1000)</f>
        <v>0.2359</v>
      </c>
      <c r="H69" s="16" t="n">
        <f aca="false">IF(D69="","",MAX(0,MIN($B$8,IFERROR(LOOKUP(2,1/($U$24:U68&lt;&gt;""),$U$24:U68),$B$11))))</f>
        <v>20.526300522435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1.21546284906454</v>
      </c>
      <c r="J69" s="16" t="n">
        <f aca="false">IF(D69="","",$B$12)</f>
        <v>0.25</v>
      </c>
      <c r="K69" s="16" t="n">
        <f aca="false">IF(J69="","",J69*$B$15)</f>
        <v>0.648</v>
      </c>
      <c r="L69" s="16" t="n">
        <f aca="false">IF(D69="","",H69+E69-K69-G69*I69)</f>
        <v>19.8421543577884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1.20260832822567</v>
      </c>
      <c r="N69" s="16" t="n">
        <f aca="false">IF(D69="","",(I69+M69)/2)</f>
        <v>1.2090355886451</v>
      </c>
      <c r="O69" s="16" t="n">
        <f aca="false">IF(D69="","",G69*N69)</f>
        <v>0.28521149536138</v>
      </c>
      <c r="P69" s="16" t="n">
        <f aca="false">IF(D69="","",H69+E69-K69-O69)</f>
        <v>19.8436705485213</v>
      </c>
      <c r="Q69" s="16" t="n">
        <f aca="false">IF(D69="","",IF(P69&gt;=0,K69,MAX(0,K69+P69)))</f>
        <v>0.648</v>
      </c>
      <c r="R69" s="16" t="n">
        <f aca="false">IF(D69="","",Q69/$B$15)</f>
        <v>0.25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19.8436705485213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93.1627725282692</v>
      </c>
      <c r="Z69" s="18" t="n">
        <f aca="false">IF(D69="","",MAX(0,IF(P69&gt;=0,P69,IF(K69+P69&gt;=0,0,P69+K69))))</f>
        <v>19.8436705485213</v>
      </c>
      <c r="AA69" s="18" t="n">
        <f aca="false">IF(D69="","",IF(H69&lt;=$B$16,1,IF(H69&gt;=$B$17,$B$21,MATCH(H69,Aux_CAV!$A$2:$A$121,1))))</f>
        <v>7</v>
      </c>
      <c r="AB69" s="18" t="n">
        <f aca="false">IF(D69="","",IF(L69&lt;=$B$16,1,IF(L69&gt;=$B$17,$B$21,MATCH(L69,Aux_CAV!$A$2:$A$121,1))))</f>
        <v>7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0.0468604073404405</v>
      </c>
      <c r="E70" s="16" t="n">
        <f aca="false">IF(D70="","",D70*$B$15)</f>
        <v>0.121462175826422</v>
      </c>
      <c r="F70" s="16" t="n">
        <f aca="false" t="array" ref="F70:F70">IF(D70="","",IFERROR(INDEX(Dados_Evap!$C$2:$N$15,MATCH($B$9,Dados_Evap!$A$2:$A$15,0),C70),0))</f>
        <v>225.9</v>
      </c>
      <c r="G70" s="16" t="n">
        <f aca="false">IF(F70="","",F70/1000)</f>
        <v>0.2259</v>
      </c>
      <c r="H70" s="16" t="n">
        <f aca="false">IF(D70="","",MAX(0,MIN($B$8,IFERROR(LOOKUP(2,1/($U$24:U69&lt;&gt;""),$U$24:U69),$B$11))))</f>
        <v>19.8436705485213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1.20263681615176</v>
      </c>
      <c r="J70" s="16" t="n">
        <f aca="false">IF(D70="","",$B$12)</f>
        <v>0.25</v>
      </c>
      <c r="K70" s="16" t="n">
        <f aca="false">IF(J70="","",J70*$B$15)</f>
        <v>0.648</v>
      </c>
      <c r="L70" s="16" t="n">
        <f aca="false">IF(D70="","",H70+E70-K70-G70*I70)</f>
        <v>19.0454570675791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1.1876390680756</v>
      </c>
      <c r="N70" s="16" t="n">
        <f aca="false">IF(D70="","",(I70+M70)/2)</f>
        <v>1.19513794211368</v>
      </c>
      <c r="O70" s="16" t="n">
        <f aca="false">IF(D70="","",G70*N70)</f>
        <v>0.26998166112348</v>
      </c>
      <c r="P70" s="16" t="n">
        <f aca="false">IF(D70="","",H70+E70-K70-O70)</f>
        <v>19.0471510632243</v>
      </c>
      <c r="Q70" s="16" t="n">
        <f aca="false">IF(D70="","",IF(P70&gt;=0,K70,MAX(0,K70+P70)))</f>
        <v>0.648</v>
      </c>
      <c r="R70" s="16" t="n">
        <f aca="false">IF(D70="","",Q70/$B$15)</f>
        <v>0.25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19.0471510632243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89.423244428283</v>
      </c>
      <c r="Z70" s="18" t="n">
        <f aca="false">IF(D70="","",MAX(0,IF(P70&gt;=0,P70,IF(K70+P70&gt;=0,0,P70+K70))))</f>
        <v>19.0471510632243</v>
      </c>
      <c r="AA70" s="18" t="n">
        <f aca="false">IF(D70="","",IF(H70&lt;=$B$16,1,IF(H70&gt;=$B$17,$B$21,MATCH(H70,Aux_CAV!$A$2:$A$121,1))))</f>
        <v>7</v>
      </c>
      <c r="AB70" s="18" t="n">
        <f aca="false">IF(D70="","",IF(L70&lt;=$B$16,1,IF(L70&gt;=$B$17,$B$21,MATCH(L70,Aux_CAV!$A$2:$A$121,1))))</f>
        <v>7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0.136358415518377</v>
      </c>
      <c r="E71" s="16" t="n">
        <f aca="false">IF(D71="","",D71*$B$15)</f>
        <v>0.353441013023633</v>
      </c>
      <c r="F71" s="16" t="n">
        <f aca="false" t="array" ref="F71:F71">IF(D71="","",IFERROR(INDEX(Dados_Evap!$C$2:$N$15,MATCH($B$9,Dados_Evap!$A$2:$A$15,0),C71),0))</f>
        <v>206</v>
      </c>
      <c r="G71" s="16" t="n">
        <f aca="false">IF(F71="","",F71/1000)</f>
        <v>0.206</v>
      </c>
      <c r="H71" s="16" t="n">
        <f aca="false">IF(D71="","",MAX(0,MIN($B$8,IFERROR(LOOKUP(2,1/($U$24:U70&lt;&gt;""),$U$24:U70),$B$11))))</f>
        <v>19.0471510632243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1.1876708968038</v>
      </c>
      <c r="J71" s="16" t="n">
        <f aca="false">IF(D71="","",$B$12)</f>
        <v>0.25</v>
      </c>
      <c r="K71" s="16" t="n">
        <f aca="false">IF(J71="","",J71*$B$15)</f>
        <v>0.648</v>
      </c>
      <c r="L71" s="16" t="n">
        <f aca="false">IF(D71="","",H71+E71-K71-G71*I71)</f>
        <v>18.5079318715063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1.17753942973603</v>
      </c>
      <c r="N71" s="16" t="n">
        <f aca="false">IF(D71="","",(I71+M71)/2)</f>
        <v>1.18260516326991</v>
      </c>
      <c r="O71" s="16" t="n">
        <f aca="false">IF(D71="","",G71*N71)</f>
        <v>0.243616663633602</v>
      </c>
      <c r="P71" s="16" t="n">
        <f aca="false">IF(D71="","",H71+E71-K71-O71)</f>
        <v>18.5089754126143</v>
      </c>
      <c r="Q71" s="16" t="n">
        <f aca="false">IF(D71="","",IF(P71&gt;=0,K71,MAX(0,K71+P71)))</f>
        <v>0.648</v>
      </c>
      <c r="R71" s="16" t="n">
        <f aca="false">IF(D71="","",Q71/$B$15)</f>
        <v>0.25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18.5089754126143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86.8965981812878</v>
      </c>
      <c r="Z71" s="18" t="n">
        <f aca="false">IF(D71="","",MAX(0,IF(P71&gt;=0,P71,IF(K71+P71&gt;=0,0,P71+K71))))</f>
        <v>18.5089754126143</v>
      </c>
      <c r="AA71" s="18" t="n">
        <f aca="false">IF(D71="","",IF(H71&lt;=$B$16,1,IF(H71&gt;=$B$17,$B$21,MATCH(H71,Aux_CAV!$A$2:$A$121,1))))</f>
        <v>7</v>
      </c>
      <c r="AB71" s="18" t="n">
        <f aca="false">IF(D71="","",IF(L71&lt;=$B$16,1,IF(L71&gt;=$B$17,$B$21,MATCH(L71,Aux_CAV!$A$2:$A$121,1))))</f>
        <v>7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0.330542849735282</v>
      </c>
      <c r="E72" s="16" t="n">
        <f aca="false">IF(D72="","",D72*$B$15)</f>
        <v>0.856767066513851</v>
      </c>
      <c r="F72" s="16" t="n">
        <f aca="false" t="array" ref="F72:F72">IF(D72="","",IFERROR(INDEX(Dados_Evap!$C$2:$N$15,MATCH($B$9,Dados_Evap!$A$2:$A$15,0),C72),0))</f>
        <v>165.6</v>
      </c>
      <c r="G72" s="16" t="n">
        <f aca="false">IF(F72="","",F72/1000)</f>
        <v>0.1656</v>
      </c>
      <c r="H72" s="16" t="n">
        <f aca="false">IF(D72="","",MAX(0,MIN($B$8,IFERROR(LOOKUP(2,1/($U$24:U71&lt;&gt;""),$U$24:U71),$B$11))))</f>
        <v>18.5089754126143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1.17755903698023</v>
      </c>
      <c r="J72" s="16" t="n">
        <f aca="false">IF(D72="","",$B$12)</f>
        <v>0.25</v>
      </c>
      <c r="K72" s="16" t="n">
        <f aca="false">IF(J72="","",J72*$B$15)</f>
        <v>0.648</v>
      </c>
      <c r="L72" s="16" t="n">
        <f aca="false">IF(D72="","",H72+E72-K72-G72*I72)</f>
        <v>18.5227387026042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1.17781763741845</v>
      </c>
      <c r="N72" s="16" t="n">
        <f aca="false">IF(D72="","",(I72+M72)/2)</f>
        <v>1.17768833719934</v>
      </c>
      <c r="O72" s="16" t="n">
        <f aca="false">IF(D72="","",G72*N72)</f>
        <v>0.195025188640211</v>
      </c>
      <c r="P72" s="16" t="n">
        <f aca="false">IF(D72="","",H72+E72-K72-O72)</f>
        <v>18.5227172904879</v>
      </c>
      <c r="Q72" s="16" t="n">
        <f aca="false">IF(D72="","",IF(P72&gt;=0,K72,MAX(0,K72+P72)))</f>
        <v>0.648</v>
      </c>
      <c r="R72" s="16" t="n">
        <f aca="false">IF(D72="","",Q72/$B$15)</f>
        <v>0.25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18.5227172904879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86.9611140398495</v>
      </c>
      <c r="Z72" s="18" t="n">
        <f aca="false">IF(D72="","",MAX(0,IF(P72&gt;=0,P72,IF(K72+P72&gt;=0,0,P72+K72))))</f>
        <v>18.5227172904879</v>
      </c>
      <c r="AA72" s="18" t="n">
        <f aca="false">IF(D72="","",IF(H72&lt;=$B$16,1,IF(H72&gt;=$B$17,$B$21,MATCH(H72,Aux_CAV!$A$2:$A$121,1))))</f>
        <v>7</v>
      </c>
      <c r="AB72" s="18" t="n">
        <f aca="false">IF(D72="","",IF(L72&lt;=$B$16,1,IF(L72&gt;=$B$17,$B$21,MATCH(L72,Aux_CAV!$A$2:$A$121,1))))</f>
        <v>7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0.636394650589956</v>
      </c>
      <c r="E73" s="16" t="n">
        <f aca="false">IF(D73="","",D73*$B$15)</f>
        <v>1.64953493432917</v>
      </c>
      <c r="F73" s="16" t="n">
        <f aca="false" t="array" ref="F73:F73">IF(D73="","",IFERROR(INDEX(Dados_Evap!$C$2:$N$15,MATCH($B$9,Dados_Evap!$A$2:$A$15,0),C73),0))</f>
        <v>124.9</v>
      </c>
      <c r="G73" s="16" t="n">
        <f aca="false">IF(F73="","",F73/1000)</f>
        <v>0.1249</v>
      </c>
      <c r="H73" s="16" t="n">
        <f aca="false">IF(D73="","",MAX(0,MIN($B$8,IFERROR(LOOKUP(2,1/($U$24:U72&lt;&gt;""),$U$24:U72),$B$11))))</f>
        <v>18.5227172904879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1.17781723510311</v>
      </c>
      <c r="J73" s="16" t="n">
        <f aca="false">IF(D73="","",$B$12)</f>
        <v>0.25</v>
      </c>
      <c r="K73" s="16" t="n">
        <f aca="false">IF(J73="","",J73*$B$15)</f>
        <v>0.648</v>
      </c>
      <c r="L73" s="16" t="n">
        <f aca="false">IF(D73="","",H73+E73-K73-G73*I73)</f>
        <v>19.3771428521527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1.19387116006132</v>
      </c>
      <c r="N73" s="16" t="n">
        <f aca="false">IF(D73="","",(I73+M73)/2)</f>
        <v>1.18584419758222</v>
      </c>
      <c r="O73" s="16" t="n">
        <f aca="false">IF(D73="","",G73*N73)</f>
        <v>0.148111940278019</v>
      </c>
      <c r="P73" s="16" t="n">
        <f aca="false">IF(D73="","",H73+E73-K73-O73)</f>
        <v>19.3761402845391</v>
      </c>
      <c r="Q73" s="16" t="n">
        <f aca="false">IF(D73="","",IF(P73&gt;=0,K73,MAX(0,K73+P73)))</f>
        <v>0.648</v>
      </c>
      <c r="R73" s="16" t="n">
        <f aca="false">IF(D73="","",Q73/$B$15)</f>
        <v>0.25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19.3761402845391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90.9677947630943</v>
      </c>
      <c r="Z73" s="18" t="n">
        <f aca="false">IF(D73="","",MAX(0,IF(P73&gt;=0,P73,IF(K73+P73&gt;=0,0,P73+K73))))</f>
        <v>19.3761402845391</v>
      </c>
      <c r="AA73" s="18" t="n">
        <f aca="false">IF(D73="","",IF(H73&lt;=$B$16,1,IF(H73&gt;=$B$17,$B$21,MATCH(H73,Aux_CAV!$A$2:$A$121,1))))</f>
        <v>7</v>
      </c>
      <c r="AB73" s="18" t="n">
        <f aca="false">IF(D73="","",IF(L73&lt;=$B$16,1,IF(L73&gt;=$B$17,$B$21,MATCH(L73,Aux_CAV!$A$2:$A$121,1))))</f>
        <v>7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0.485536543665294</v>
      </c>
      <c r="E74" s="16" t="n">
        <f aca="false">IF(D74="","",D74*$B$15)</f>
        <v>1.25851072118044</v>
      </c>
      <c r="F74" s="16" t="n">
        <f aca="false" t="array" ref="F74:F74">IF(D74="","",IFERROR(INDEX(Dados_Evap!$C$2:$N$15,MATCH($B$9,Dados_Evap!$A$2:$A$15,0),C74),0))</f>
        <v>88.2</v>
      </c>
      <c r="G74" s="16" t="n">
        <f aca="false">IF(F74="","",F74/1000)</f>
        <v>0.0882</v>
      </c>
      <c r="H74" s="16" t="n">
        <f aca="false">IF(D74="","",MAX(0,MIN($B$8,IFERROR(LOOKUP(2,1/($U$24:U73&lt;&gt;""),$U$24:U73),$B$11))))</f>
        <v>19.3761402845391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1.19385232267401</v>
      </c>
      <c r="J74" s="16" t="n">
        <f aca="false">IF(D74="","",$B$12)</f>
        <v>0.25</v>
      </c>
      <c r="K74" s="16" t="n">
        <f aca="false">IF(J74="","",J74*$B$15)</f>
        <v>0.648</v>
      </c>
      <c r="L74" s="16" t="n">
        <f aca="false">IF(D74="","",H74+E74-K74-G74*I74)</f>
        <v>19.8813532308597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1.20334484149841</v>
      </c>
      <c r="N74" s="16" t="n">
        <f aca="false">IF(D74="","",(I74+M74)/2)</f>
        <v>1.19859858208621</v>
      </c>
      <c r="O74" s="16" t="n">
        <f aca="false">IF(D74="","",G74*N74)</f>
        <v>0.105716394940004</v>
      </c>
      <c r="P74" s="16" t="n">
        <f aca="false">IF(D74="","",H74+E74-K74-O74)</f>
        <v>19.8809346107795</v>
      </c>
      <c r="Q74" s="16" t="n">
        <f aca="false">IF(D74="","",IF(P74&gt;=0,K74,MAX(0,K74+P74)))</f>
        <v>0.648</v>
      </c>
      <c r="R74" s="16" t="n">
        <f aca="false">IF(D74="","",Q74/$B$15)</f>
        <v>0.25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19.8809346107795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93.3377211773687</v>
      </c>
      <c r="Z74" s="18" t="n">
        <f aca="false">IF(D74="","",MAX(0,IF(P74&gt;=0,P74,IF(K74+P74&gt;=0,0,P74+K74))))</f>
        <v>19.8809346107795</v>
      </c>
      <c r="AA74" s="18" t="n">
        <f aca="false">IF(D74="","",IF(H74&lt;=$B$16,1,IF(H74&gt;=$B$17,$B$21,MATCH(H74,Aux_CAV!$A$2:$A$121,1))))</f>
        <v>7</v>
      </c>
      <c r="AB74" s="18" t="n">
        <f aca="false">IF(D74="","",IF(L74&lt;=$B$16,1,IF(L74&gt;=$B$17,$B$21,MATCH(L74,Aux_CAV!$A$2:$A$121,1))))</f>
        <v>7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0.988098613837733</v>
      </c>
      <c r="E75" s="16" t="n">
        <f aca="false">IF(D75="","",D75*$B$15)</f>
        <v>2.5611516070674</v>
      </c>
      <c r="F75" s="16" t="n">
        <f aca="false" t="array" ref="F75:F75">IF(D75="","",IFERROR(INDEX(Dados_Evap!$C$2:$N$15,MATCH($B$9,Dados_Evap!$A$2:$A$15,0),C75),0))</f>
        <v>88.2</v>
      </c>
      <c r="G75" s="16" t="n">
        <f aca="false">IF(F75="","",F75/1000)</f>
        <v>0.0882</v>
      </c>
      <c r="H75" s="16" t="n">
        <f aca="false">IF(D75="","",MAX(0,MIN($B$8,IFERROR(LOOKUP(2,1/($U$24:U74&lt;&gt;""),$U$24:U74),$B$11))))</f>
        <v>19.8809346107795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1.20333697598542</v>
      </c>
      <c r="J75" s="16" t="n">
        <f aca="false">IF(D75="","",$B$12)</f>
        <v>0.25</v>
      </c>
      <c r="K75" s="16" t="n">
        <f aca="false">IF(J75="","",J75*$B$15)</f>
        <v>0.648</v>
      </c>
      <c r="L75" s="16" t="n">
        <f aca="false">IF(D75="","",H75+E75-K75-G75*I75)</f>
        <v>21.687951896565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1.23646586494275</v>
      </c>
      <c r="N75" s="16" t="n">
        <f aca="false">IF(D75="","",(I75+M75)/2)</f>
        <v>1.21990142046408</v>
      </c>
      <c r="O75" s="16" t="n">
        <f aca="false">IF(D75="","",G75*N75)</f>
        <v>0.107595305284932</v>
      </c>
      <c r="P75" s="16" t="n">
        <f aca="false">IF(D75="","",H75+E75-K75-O75)</f>
        <v>21.686490912562</v>
      </c>
      <c r="Q75" s="16" t="n">
        <f aca="false">IF(D75="","",IF(P75&gt;=0,K75,MAX(0,K75+P75)))</f>
        <v>0.648</v>
      </c>
      <c r="R75" s="16" t="n">
        <f aca="false">IF(D75="","",Q75/$B$15)</f>
        <v>0.25</v>
      </c>
      <c r="S75" s="16" t="n">
        <f aca="false">IF(D75="","",MAX(0,J75-R75))</f>
        <v>0</v>
      </c>
      <c r="T75" s="16" t="n">
        <f aca="false">IF(D75="","",MAX(0,Z75-$B$8))</f>
        <v>0.386490912562</v>
      </c>
      <c r="U75" s="16" t="n">
        <f aca="false">IF(D75="","",MAX(0,MIN($B$8,Z75)))</f>
        <v>21.3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21.686490912562</v>
      </c>
      <c r="AA75" s="18" t="n">
        <f aca="false">IF(D75="","",IF(H75&lt;=$B$16,1,IF(H75&gt;=$B$17,$B$21,MATCH(H75,Aux_CAV!$A$2:$A$121,1))))</f>
        <v>7</v>
      </c>
      <c r="AB75" s="18" t="n">
        <f aca="false">IF(D75="","",IF(L75&lt;=$B$16,1,IF(L75&gt;=$B$17,$B$21,MATCH(L75,Aux_CAV!$A$2:$A$121,1))))</f>
        <v>8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0.431299773476272</v>
      </c>
      <c r="E76" s="16" t="n">
        <f aca="false">IF(D76="","",D76*$B$15)</f>
        <v>1.1179290128505</v>
      </c>
      <c r="F76" s="16" t="n">
        <f aca="false" t="array" ref="F76:F76">IF(D76="","",IFERROR(INDEX(Dados_Evap!$C$2:$N$15,MATCH($B$9,Dados_Evap!$A$2:$A$15,0),C76),0))</f>
        <v>83.9</v>
      </c>
      <c r="G76" s="16" t="n">
        <f aca="false">IF(F76="","",F76/1000)</f>
        <v>0.0839</v>
      </c>
      <c r="H76" s="16" t="n">
        <f aca="false">IF(D76="","",MAX(0,MIN($B$8,IFERROR(LOOKUP(2,1/($U$24:U75&lt;&gt;""),$U$24:U75),$B$11))))</f>
        <v>21.3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1.23</v>
      </c>
      <c r="J76" s="16" t="n">
        <f aca="false">IF(D76="","",$B$12)</f>
        <v>0.25</v>
      </c>
      <c r="K76" s="16" t="n">
        <f aca="false">IF(J76="","",J76*$B$15)</f>
        <v>0.648</v>
      </c>
      <c r="L76" s="16" t="n">
        <f aca="false">IF(D76="","",H76+E76-K76-G76*I76)</f>
        <v>21.6667320128505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1.23611220021418</v>
      </c>
      <c r="N76" s="16" t="n">
        <f aca="false">IF(D76="","",(I76+M76)/2)</f>
        <v>1.23305610010709</v>
      </c>
      <c r="O76" s="16" t="n">
        <f aca="false">IF(D76="","",G76*N76)</f>
        <v>0.103453406798985</v>
      </c>
      <c r="P76" s="16" t="n">
        <f aca="false">IF(D76="","",H76+E76-K76-O76)</f>
        <v>21.6664756060515</v>
      </c>
      <c r="Q76" s="16" t="n">
        <f aca="false">IF(D76="","",IF(P76&gt;=0,K76,MAX(0,K76+P76)))</f>
        <v>0.648</v>
      </c>
      <c r="R76" s="16" t="n">
        <f aca="false">IF(D76="","",Q76/$B$15)</f>
        <v>0.25</v>
      </c>
      <c r="S76" s="16" t="n">
        <f aca="false">IF(D76="","",MAX(0,J76-R76))</f>
        <v>0</v>
      </c>
      <c r="T76" s="16" t="n">
        <f aca="false">IF(D76="","",MAX(0,Z76-$B$8))</f>
        <v>0.366475606051512</v>
      </c>
      <c r="U76" s="16" t="n">
        <f aca="false">IF(D76="","",MAX(0,MIN($B$8,Z76)))</f>
        <v>21.3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21.6664756060515</v>
      </c>
      <c r="AA76" s="18" t="n">
        <f aca="false">IF(D76="","",IF(H76&lt;=$B$16,1,IF(H76&gt;=$B$17,$B$21,MATCH(H76,Aux_CAV!$A$2:$A$121,1))))</f>
        <v>8</v>
      </c>
      <c r="AB76" s="18" t="n">
        <f aca="false">IF(D76="","",IF(L76&lt;=$B$16,1,IF(L76&gt;=$B$17,$B$21,MATCH(L76,Aux_CAV!$A$2:$A$121,1))))</f>
        <v>8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0.562504592799689</v>
      </c>
      <c r="E77" s="16" t="n">
        <f aca="false">IF(D77="","",D77*$B$15)</f>
        <v>1.45801190453679</v>
      </c>
      <c r="F77" s="16" t="n">
        <f aca="false" t="array" ref="F77:F77">IF(D77="","",IFERROR(INDEX(Dados_Evap!$C$2:$N$15,MATCH($B$9,Dados_Evap!$A$2:$A$15,0),C77),0))</f>
        <v>104.7</v>
      </c>
      <c r="G77" s="16" t="n">
        <f aca="false">IF(F77="","",F77/1000)</f>
        <v>0.1047</v>
      </c>
      <c r="H77" s="16" t="n">
        <f aca="false">IF(D77="","",MAX(0,MIN($B$8,IFERROR(LOOKUP(2,1/($U$24:U76&lt;&gt;""),$U$24:U76),$B$11))))</f>
        <v>21.3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1.23</v>
      </c>
      <c r="J77" s="16" t="n">
        <f aca="false">IF(D77="","",$B$12)</f>
        <v>0.25</v>
      </c>
      <c r="K77" s="16" t="n">
        <f aca="false">IF(J77="","",J77*$B$15)</f>
        <v>0.648</v>
      </c>
      <c r="L77" s="16" t="n">
        <f aca="false">IF(D77="","",H77+E77-K77-G77*I77)</f>
        <v>21.9812309045368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1.24135384840895</v>
      </c>
      <c r="N77" s="16" t="n">
        <f aca="false">IF(D77="","",(I77+M77)/2)</f>
        <v>1.23567692420447</v>
      </c>
      <c r="O77" s="16" t="n">
        <f aca="false">IF(D77="","",G77*N77)</f>
        <v>0.129375373964208</v>
      </c>
      <c r="P77" s="16" t="n">
        <f aca="false">IF(D77="","",H77+E77-K77-O77)</f>
        <v>21.9806365305726</v>
      </c>
      <c r="Q77" s="16" t="n">
        <f aca="false">IF(D77="","",IF(P77&gt;=0,K77,MAX(0,K77+P77)))</f>
        <v>0.648</v>
      </c>
      <c r="R77" s="16" t="n">
        <f aca="false">IF(D77="","",Q77/$B$15)</f>
        <v>0.25</v>
      </c>
      <c r="S77" s="16" t="n">
        <f aca="false">IF(D77="","",MAX(0,J77-R77))</f>
        <v>0</v>
      </c>
      <c r="T77" s="16" t="n">
        <f aca="false">IF(D77="","",MAX(0,Z77-$B$8))</f>
        <v>0.680636530572585</v>
      </c>
      <c r="U77" s="16" t="n">
        <f aca="false">IF(D77="","",MAX(0,MIN($B$8,Z77)))</f>
        <v>21.3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21.9806365305726</v>
      </c>
      <c r="AA77" s="18" t="n">
        <f aca="false">IF(D77="","",IF(H77&lt;=$B$16,1,IF(H77&gt;=$B$17,$B$21,MATCH(H77,Aux_CAV!$A$2:$A$121,1))))</f>
        <v>8</v>
      </c>
      <c r="AB77" s="18" t="n">
        <f aca="false">IF(D77="","",IF(L77&lt;=$B$16,1,IF(L77&gt;=$B$17,$B$21,MATCH(L77,Aux_CAV!$A$2:$A$121,1))))</f>
        <v>8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0.188005186820214</v>
      </c>
      <c r="E78" s="16" t="n">
        <f aca="false">IF(D78="","",D78*$B$15)</f>
        <v>0.487309444237995</v>
      </c>
      <c r="F78" s="16" t="n">
        <f aca="false" t="array" ref="F78:F78">IF(D78="","",IFERROR(INDEX(Dados_Evap!$C$2:$N$15,MATCH($B$9,Dados_Evap!$A$2:$A$15,0),C78),0))</f>
        <v>145.2</v>
      </c>
      <c r="G78" s="16" t="n">
        <f aca="false">IF(F78="","",F78/1000)</f>
        <v>0.1452</v>
      </c>
      <c r="H78" s="16" t="n">
        <f aca="false">IF(D78="","",MAX(0,MIN($B$8,IFERROR(LOOKUP(2,1/($U$24:U77&lt;&gt;""),$U$24:U77),$B$11))))</f>
        <v>21.3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1.23</v>
      </c>
      <c r="J78" s="16" t="n">
        <f aca="false">IF(D78="","",$B$12)</f>
        <v>0.25</v>
      </c>
      <c r="K78" s="16" t="n">
        <f aca="false">IF(J78="","",J78*$B$15)</f>
        <v>0.648</v>
      </c>
      <c r="L78" s="16" t="n">
        <f aca="false">IF(D78="","",H78+E78-K78-G78*I78)</f>
        <v>20.960713444238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1.22362509602952</v>
      </c>
      <c r="N78" s="16" t="n">
        <f aca="false">IF(D78="","",(I78+M78)/2)</f>
        <v>1.22681254801476</v>
      </c>
      <c r="O78" s="16" t="n">
        <f aca="false">IF(D78="","",G78*N78)</f>
        <v>0.178133181971743</v>
      </c>
      <c r="P78" s="16" t="n">
        <f aca="false">IF(D78="","",H78+E78-K78-O78)</f>
        <v>20.9611762622663</v>
      </c>
      <c r="Q78" s="16" t="n">
        <f aca="false">IF(D78="","",IF(P78&gt;=0,K78,MAX(0,K78+P78)))</f>
        <v>0.648</v>
      </c>
      <c r="R78" s="16" t="n">
        <f aca="false">IF(D78="","",Q78/$B$15)</f>
        <v>0.25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20.9611762622663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98.4092782266021</v>
      </c>
      <c r="Z78" s="18" t="n">
        <f aca="false">IF(D78="","",MAX(0,IF(P78&gt;=0,P78,IF(K78+P78&gt;=0,0,P78+K78))))</f>
        <v>20.9611762622663</v>
      </c>
      <c r="AA78" s="18" t="n">
        <f aca="false">IF(D78="","",IF(H78&lt;=$B$16,1,IF(H78&gt;=$B$17,$B$21,MATCH(H78,Aux_CAV!$A$2:$A$121,1))))</f>
        <v>8</v>
      </c>
      <c r="AB78" s="18" t="n">
        <f aca="false">IF(D78="","",IF(L78&lt;=$B$16,1,IF(L78&gt;=$B$17,$B$21,MATCH(L78,Aux_CAV!$A$2:$A$121,1))))</f>
        <v>7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0.146529468194935</v>
      </c>
      <c r="E79" s="16" t="n">
        <f aca="false">IF(D79="","",D79*$B$15)</f>
        <v>0.379804381561272</v>
      </c>
      <c r="F79" s="16" t="n">
        <f aca="false" t="array" ref="F79:F79">IF(D79="","",IFERROR(INDEX(Dados_Evap!$C$2:$N$15,MATCH($B$9,Dados_Evap!$A$2:$A$15,0),C79),0))</f>
        <v>180.9</v>
      </c>
      <c r="G79" s="16" t="n">
        <f aca="false">IF(F79="","",F79/1000)</f>
        <v>0.1809</v>
      </c>
      <c r="H79" s="16" t="n">
        <f aca="false">IF(D79="","",MAX(0,MIN($B$8,IFERROR(LOOKUP(2,1/($U$24:U78&lt;&gt;""),$U$24:U78),$B$11))))</f>
        <v>20.9611762622663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1.22363379198413</v>
      </c>
      <c r="J79" s="16" t="n">
        <f aca="false">IF(D79="","",$B$12)</f>
        <v>0.25</v>
      </c>
      <c r="K79" s="16" t="n">
        <f aca="false">IF(J79="","",J79*$B$15)</f>
        <v>0.648</v>
      </c>
      <c r="L79" s="16" t="n">
        <f aca="false">IF(D79="","",H79+E79-K79-G79*I79)</f>
        <v>20.4716252908576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1.21443554826246</v>
      </c>
      <c r="N79" s="16" t="n">
        <f aca="false">IF(D79="","",(I79+M79)/2)</f>
        <v>1.21903467012329</v>
      </c>
      <c r="O79" s="16" t="n">
        <f aca="false">IF(D79="","",G79*N79)</f>
        <v>0.220523371825304</v>
      </c>
      <c r="P79" s="16" t="n">
        <f aca="false">IF(D79="","",H79+E79-K79-O79)</f>
        <v>20.4724572720022</v>
      </c>
      <c r="Q79" s="16" t="n">
        <f aca="false">IF(D79="","",IF(P79&gt;=0,K79,MAX(0,K79+P79)))</f>
        <v>0.648</v>
      </c>
      <c r="R79" s="16" t="n">
        <f aca="false">IF(D79="","",Q79/$B$15)</f>
        <v>0.25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20.4724572720022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96.1148228732498</v>
      </c>
      <c r="Z79" s="18" t="n">
        <f aca="false">IF(D79="","",MAX(0,IF(P79&gt;=0,P79,IF(K79+P79&gt;=0,0,P79+K79))))</f>
        <v>20.4724572720022</v>
      </c>
      <c r="AA79" s="18" t="n">
        <f aca="false">IF(D79="","",IF(H79&lt;=$B$16,1,IF(H79&gt;=$B$17,$B$21,MATCH(H79,Aux_CAV!$A$2:$A$121,1))))</f>
        <v>7</v>
      </c>
      <c r="AB79" s="18" t="n">
        <f aca="false">IF(D79="","",IF(L79&lt;=$B$16,1,IF(L79&gt;=$B$17,$B$21,MATCH(L79,Aux_CAV!$A$2:$A$121,1))))</f>
        <v>7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0.0750600558138903</v>
      </c>
      <c r="E80" s="16" t="n">
        <f aca="false">IF(D80="","",D80*$B$15)</f>
        <v>0.194555664669604</v>
      </c>
      <c r="F80" s="16" t="n">
        <f aca="false" t="array" ref="F80:F80">IF(D80="","",IFERROR(INDEX(Dados_Evap!$C$2:$N$15,MATCH($B$9,Dados_Evap!$A$2:$A$15,0),C80),0))</f>
        <v>208.9</v>
      </c>
      <c r="G80" s="16" t="n">
        <f aca="false">IF(F80="","",F80/1000)</f>
        <v>0.2089</v>
      </c>
      <c r="H80" s="16" t="n">
        <f aca="false">IF(D80="","",MAX(0,MIN($B$8,IFERROR(LOOKUP(2,1/($U$24:U79&lt;&gt;""),$U$24:U79),$B$11))))</f>
        <v>20.4724572720022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1.21445118047603</v>
      </c>
      <c r="J80" s="16" t="n">
        <f aca="false">IF(D80="","",$B$12)</f>
        <v>0.25</v>
      </c>
      <c r="K80" s="16" t="n">
        <f aca="false">IF(J80="","",J80*$B$15)</f>
        <v>0.648</v>
      </c>
      <c r="L80" s="16" t="n">
        <f aca="false">IF(D80="","",H80+E80-K80-G80*I80)</f>
        <v>19.7653140850704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1.20116456527272</v>
      </c>
      <c r="N80" s="16" t="n">
        <f aca="false">IF(D80="","",(I80+M80)/2)</f>
        <v>1.20780787287438</v>
      </c>
      <c r="O80" s="16" t="n">
        <f aca="false">IF(D80="","",G80*N80)</f>
        <v>0.252311064643457</v>
      </c>
      <c r="P80" s="16" t="n">
        <f aca="false">IF(D80="","",H80+E80-K80-O80)</f>
        <v>19.7667018720284</v>
      </c>
      <c r="Q80" s="16" t="n">
        <f aca="false">IF(D80="","",IF(P80&gt;=0,K80,MAX(0,K80+P80)))</f>
        <v>0.648</v>
      </c>
      <c r="R80" s="16" t="n">
        <f aca="false">IF(D80="","",Q80/$B$15)</f>
        <v>0.25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19.7667018720284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92.8014172395698</v>
      </c>
      <c r="Z80" s="18" t="n">
        <f aca="false">IF(D80="","",MAX(0,IF(P80&gt;=0,P80,IF(K80+P80&gt;=0,0,P80+K80))))</f>
        <v>19.7667018720284</v>
      </c>
      <c r="AA80" s="18" t="n">
        <f aca="false">IF(D80="","",IF(H80&lt;=$B$16,1,IF(H80&gt;=$B$17,$B$21,MATCH(H80,Aux_CAV!$A$2:$A$121,1))))</f>
        <v>7</v>
      </c>
      <c r="AB80" s="18" t="n">
        <f aca="false">IF(D80="","",IF(L80&lt;=$B$16,1,IF(L80&gt;=$B$17,$B$21,MATCH(L80,Aux_CAV!$A$2:$A$121,1))))</f>
        <v>7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0.0472410885909697</v>
      </c>
      <c r="E81" s="16" t="n">
        <f aca="false">IF(D81="","",D81*$B$15)</f>
        <v>0.122448901627793</v>
      </c>
      <c r="F81" s="16" t="n">
        <f aca="false" t="array" ref="F81:F81">IF(D81="","",IFERROR(INDEX(Dados_Evap!$C$2:$N$15,MATCH($B$9,Dados_Evap!$A$2:$A$15,0),C81),0))</f>
        <v>235.9</v>
      </c>
      <c r="G81" s="16" t="n">
        <f aca="false">IF(F81="","",F81/1000)</f>
        <v>0.2359</v>
      </c>
      <c r="H81" s="16" t="n">
        <f aca="false">IF(D81="","",MAX(0,MIN($B$8,IFERROR(LOOKUP(2,1/($U$24:U80&lt;&gt;""),$U$24:U80),$B$11))))</f>
        <v>19.7667018720284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1.20119064060179</v>
      </c>
      <c r="J81" s="16" t="n">
        <f aca="false">IF(D81="","",$B$12)</f>
        <v>0.25</v>
      </c>
      <c r="K81" s="16" t="n">
        <f aca="false">IF(J81="","",J81*$B$15)</f>
        <v>0.648</v>
      </c>
      <c r="L81" s="16" t="n">
        <f aca="false">IF(D81="","",H81+E81-K81-G81*I81)</f>
        <v>18.9577899015382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1.18599187706439</v>
      </c>
      <c r="N81" s="16" t="n">
        <f aca="false">IF(D81="","",(I81+M81)/2)</f>
        <v>1.19359125883309</v>
      </c>
      <c r="O81" s="16" t="n">
        <f aca="false">IF(D81="","",G81*N81)</f>
        <v>0.281568177958726</v>
      </c>
      <c r="P81" s="16" t="n">
        <f aca="false">IF(D81="","",H81+E81-K81-O81)</f>
        <v>18.9595825956974</v>
      </c>
      <c r="Q81" s="16" t="n">
        <f aca="false">IF(D81="","",IF(P81&gt;=0,K81,MAX(0,K81+P81)))</f>
        <v>0.648</v>
      </c>
      <c r="R81" s="16" t="n">
        <f aca="false">IF(D81="","",Q81/$B$15)</f>
        <v>0.25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18.9595825956974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89.0121248624293</v>
      </c>
      <c r="Z81" s="18" t="n">
        <f aca="false">IF(D81="","",MAX(0,IF(P81&gt;=0,P81,IF(K81+P81&gt;=0,0,P81+K81))))</f>
        <v>18.9595825956974</v>
      </c>
      <c r="AA81" s="18" t="n">
        <f aca="false">IF(D81="","",IF(H81&lt;=$B$16,1,IF(H81&gt;=$B$17,$B$21,MATCH(H81,Aux_CAV!$A$2:$A$121,1))))</f>
        <v>7</v>
      </c>
      <c r="AB81" s="18" t="n">
        <f aca="false">IF(D81="","",IF(L81&lt;=$B$16,1,IF(L81&gt;=$B$17,$B$21,MATCH(L81,Aux_CAV!$A$2:$A$121,1))))</f>
        <v>7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0.022023064183709</v>
      </c>
      <c r="E82" s="16" t="n">
        <f aca="false">IF(D82="","",D82*$B$15)</f>
        <v>0.0570837823641737</v>
      </c>
      <c r="F82" s="16" t="n">
        <f aca="false" t="array" ref="F82:F82">IF(D82="","",IFERROR(INDEX(Dados_Evap!$C$2:$N$15,MATCH($B$9,Dados_Evap!$A$2:$A$15,0),C82),0))</f>
        <v>225.9</v>
      </c>
      <c r="G82" s="16" t="n">
        <f aca="false">IF(F82="","",F82/1000)</f>
        <v>0.2259</v>
      </c>
      <c r="H82" s="16" t="n">
        <f aca="false">IF(D82="","",MAX(0,MIN($B$8,IFERROR(LOOKUP(2,1/($U$24:U81&lt;&gt;""),$U$24:U81),$B$11))))</f>
        <v>18.9595825956974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1.18602556025319</v>
      </c>
      <c r="J82" s="16" t="n">
        <f aca="false">IF(D82="","",$B$12)</f>
        <v>0.25</v>
      </c>
      <c r="K82" s="16" t="n">
        <f aca="false">IF(J82="","",J82*$B$15)</f>
        <v>0.648</v>
      </c>
      <c r="L82" s="16" t="n">
        <f aca="false">IF(D82="","",H82+E82-K82-G82*I82)</f>
        <v>18.1007432040004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1.16988870320669</v>
      </c>
      <c r="N82" s="16" t="n">
        <f aca="false">IF(D82="","",(I82+M82)/2)</f>
        <v>1.17795713172994</v>
      </c>
      <c r="O82" s="16" t="n">
        <f aca="false">IF(D82="","",G82*N82)</f>
        <v>0.266100516057793</v>
      </c>
      <c r="P82" s="16" t="n">
        <f aca="false">IF(D82="","",H82+E82-K82-O82)</f>
        <v>18.1025658620038</v>
      </c>
      <c r="Q82" s="16" t="n">
        <f aca="false">IF(D82="","",IF(P82&gt;=0,K82,MAX(0,K82+P82)))</f>
        <v>0.648</v>
      </c>
      <c r="R82" s="16" t="n">
        <f aca="false">IF(D82="","",Q82/$B$15)</f>
        <v>0.25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18.1025658620038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84.9885721220836</v>
      </c>
      <c r="Z82" s="18" t="n">
        <f aca="false">IF(D82="","",MAX(0,IF(P82&gt;=0,P82,IF(K82+P82&gt;=0,0,P82+K82))))</f>
        <v>18.1025658620038</v>
      </c>
      <c r="AA82" s="18" t="n">
        <f aca="false">IF(D82="","",IF(H82&lt;=$B$16,1,IF(H82&gt;=$B$17,$B$21,MATCH(H82,Aux_CAV!$A$2:$A$121,1))))</f>
        <v>7</v>
      </c>
      <c r="AB82" s="18" t="n">
        <f aca="false">IF(D82="","",IF(L82&lt;=$B$16,1,IF(L82&gt;=$B$17,$B$21,MATCH(L82,Aux_CAV!$A$2:$A$121,1))))</f>
        <v>7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0.0129549397415359</v>
      </c>
      <c r="E83" s="16" t="n">
        <f aca="false">IF(D83="","",D83*$B$15)</f>
        <v>0.0335792038100611</v>
      </c>
      <c r="F83" s="16" t="n">
        <f aca="false" t="array" ref="F83:F83">IF(D83="","",IFERROR(INDEX(Dados_Evap!$C$2:$N$15,MATCH($B$9,Dados_Evap!$A$2:$A$15,0),C83),0))</f>
        <v>206</v>
      </c>
      <c r="G83" s="16" t="n">
        <f aca="false">IF(F83="","",F83/1000)</f>
        <v>0.206</v>
      </c>
      <c r="H83" s="16" t="n">
        <f aca="false">IF(D83="","",MAX(0,MIN($B$8,IFERROR(LOOKUP(2,1/($U$24:U82&lt;&gt;""),$U$24:U82),$B$11))))</f>
        <v>18.1025658620038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1.16992294939047</v>
      </c>
      <c r="J83" s="16" t="n">
        <f aca="false">IF(D83="","",$B$12)</f>
        <v>0.25</v>
      </c>
      <c r="K83" s="16" t="n">
        <f aca="false">IF(J83="","",J83*$B$15)</f>
        <v>0.648</v>
      </c>
      <c r="L83" s="16" t="n">
        <f aca="false">IF(D83="","",H83+E83-K83-G83*I83)</f>
        <v>17.2471409382394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1.15385024727381</v>
      </c>
      <c r="N83" s="16" t="n">
        <f aca="false">IF(D83="","",(I83+M83)/2)</f>
        <v>1.16188659833214</v>
      </c>
      <c r="O83" s="16" t="n">
        <f aca="false">IF(D83="","",G83*N83)</f>
        <v>0.239348639256421</v>
      </c>
      <c r="P83" s="16" t="n">
        <f aca="false">IF(D83="","",H83+E83-K83-O83)</f>
        <v>17.2487964265575</v>
      </c>
      <c r="Q83" s="16" t="n">
        <f aca="false">IF(D83="","",IF(P83&gt;=0,K83,MAX(0,K83+P83)))</f>
        <v>0.648</v>
      </c>
      <c r="R83" s="16" t="n">
        <f aca="false">IF(D83="","",Q83/$B$15)</f>
        <v>0.25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17.2487964265575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80.9802649134153</v>
      </c>
      <c r="Z83" s="18" t="n">
        <f aca="false">IF(D83="","",MAX(0,IF(P83&gt;=0,P83,IF(K83+P83&gt;=0,0,P83+K83))))</f>
        <v>17.2487964265575</v>
      </c>
      <c r="AA83" s="18" t="n">
        <f aca="false">IF(D83="","",IF(H83&lt;=$B$16,1,IF(H83&gt;=$B$17,$B$21,MATCH(H83,Aux_CAV!$A$2:$A$121,1))))</f>
        <v>7</v>
      </c>
      <c r="AB83" s="18" t="n">
        <f aca="false">IF(D83="","",IF(L83&lt;=$B$16,1,IF(L83&gt;=$B$17,$B$21,MATCH(L83,Aux_CAV!$A$2:$A$121,1))))</f>
        <v>7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0.0290406184357215</v>
      </c>
      <c r="E84" s="16" t="n">
        <f aca="false">IF(D84="","",D84*$B$15)</f>
        <v>0.0752732829853901</v>
      </c>
      <c r="F84" s="16" t="n">
        <f aca="false" t="array" ref="F84:F84">IF(D84="","",IFERROR(INDEX(Dados_Evap!$C$2:$N$15,MATCH($B$9,Dados_Evap!$A$2:$A$15,0),C84),0))</f>
        <v>165.6</v>
      </c>
      <c r="G84" s="16" t="n">
        <f aca="false">IF(F84="","",F84/1000)</f>
        <v>0.1656</v>
      </c>
      <c r="H84" s="16" t="n">
        <f aca="false">IF(D84="","",MAX(0,MIN($B$8,IFERROR(LOOKUP(2,1/($U$24:U83&lt;&gt;""),$U$24:U83),$B$11))))</f>
        <v>17.2487964265575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1.15388135248229</v>
      </c>
      <c r="J84" s="16" t="n">
        <f aca="false">IF(D84="","",$B$12)</f>
        <v>0.25</v>
      </c>
      <c r="K84" s="16" t="n">
        <f aca="false">IF(J84="","",J84*$B$15)</f>
        <v>0.648</v>
      </c>
      <c r="L84" s="16" t="n">
        <f aca="false">IF(D84="","",H84+E84-K84-G84*I84)</f>
        <v>16.4849869575718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1.13919617822064</v>
      </c>
      <c r="N84" s="16" t="n">
        <f aca="false">IF(D84="","",(I84+M84)/2)</f>
        <v>1.14653876535147</v>
      </c>
      <c r="O84" s="16" t="n">
        <f aca="false">IF(D84="","",G84*N84)</f>
        <v>0.189866819542203</v>
      </c>
      <c r="P84" s="16" t="n">
        <f aca="false">IF(D84="","",H84+E84-K84-O84)</f>
        <v>16.4862028900006</v>
      </c>
      <c r="Q84" s="16" t="n">
        <f aca="false">IF(D84="","",IF(P84&gt;=0,K84,MAX(0,K84+P84)))</f>
        <v>0.648</v>
      </c>
      <c r="R84" s="16" t="n">
        <f aca="false">IF(D84="","",Q84/$B$15)</f>
        <v>0.25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16.4862028900006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77.4000135680781</v>
      </c>
      <c r="Z84" s="18" t="n">
        <f aca="false">IF(D84="","",MAX(0,IF(P84&gt;=0,P84,IF(K84+P84&gt;=0,0,P84+K84))))</f>
        <v>16.4862028900006</v>
      </c>
      <c r="AA84" s="18" t="n">
        <f aca="false">IF(D84="","",IF(H84&lt;=$B$16,1,IF(H84&gt;=$B$17,$B$21,MATCH(H84,Aux_CAV!$A$2:$A$121,1))))</f>
        <v>7</v>
      </c>
      <c r="AB84" s="18" t="n">
        <f aca="false">IF(D84="","",IF(L84&lt;=$B$16,1,IF(L84&gt;=$B$17,$B$21,MATCH(L84,Aux_CAV!$A$2:$A$121,1))))</f>
        <v>6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0.0380532291385637</v>
      </c>
      <c r="E85" s="16" t="n">
        <f aca="false">IF(D85="","",D85*$B$15)</f>
        <v>0.0986339699271571</v>
      </c>
      <c r="F85" s="16" t="n">
        <f aca="false" t="array" ref="F85:F85">IF(D85="","",IFERROR(INDEX(Dados_Evap!$C$2:$N$15,MATCH($B$9,Dados_Evap!$A$2:$A$15,0),C85),0))</f>
        <v>124.9</v>
      </c>
      <c r="G85" s="16" t="n">
        <f aca="false">IF(F85="","",F85/1000)</f>
        <v>0.1249</v>
      </c>
      <c r="H85" s="16" t="n">
        <f aca="false">IF(D85="","",MAX(0,MIN($B$8,IFERROR(LOOKUP(2,1/($U$24:U84&lt;&gt;""),$U$24:U84),$B$11))))</f>
        <v>16.4862028900006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1.1392352535539</v>
      </c>
      <c r="J85" s="16" t="n">
        <f aca="false">IF(D85="","",$B$12)</f>
        <v>0.25</v>
      </c>
      <c r="K85" s="16" t="n">
        <f aca="false">IF(J85="","",J85*$B$15)</f>
        <v>0.648</v>
      </c>
      <c r="L85" s="16" t="n">
        <f aca="false">IF(D85="","",H85+E85-K85-G85*I85)</f>
        <v>15.7945463767589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1.11700810662552</v>
      </c>
      <c r="N85" s="16" t="n">
        <f aca="false">IF(D85="","",(I85+M85)/2)</f>
        <v>1.12812168008971</v>
      </c>
      <c r="O85" s="16" t="n">
        <f aca="false">IF(D85="","",G85*N85)</f>
        <v>0.140902397843205</v>
      </c>
      <c r="P85" s="16" t="n">
        <f aca="false">IF(D85="","",H85+E85-K85-O85)</f>
        <v>15.7959344620846</v>
      </c>
      <c r="Q85" s="16" t="n">
        <f aca="false">IF(D85="","",IF(P85&gt;=0,K85,MAX(0,K85+P85)))</f>
        <v>0.648</v>
      </c>
      <c r="R85" s="16" t="n">
        <f aca="false">IF(D85="","",Q85/$B$15)</f>
        <v>0.25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15.7959344620846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74.1593167234018</v>
      </c>
      <c r="Z85" s="18" t="n">
        <f aca="false">IF(D85="","",MAX(0,IF(P85&gt;=0,P85,IF(K85+P85&gt;=0,0,P85+K85))))</f>
        <v>15.7959344620846</v>
      </c>
      <c r="AA85" s="18" t="n">
        <f aca="false">IF(D85="","",IF(H85&lt;=$B$16,1,IF(H85&gt;=$B$17,$B$21,MATCH(H85,Aux_CAV!$A$2:$A$121,1))))</f>
        <v>6</v>
      </c>
      <c r="AB85" s="18" t="n">
        <f aca="false">IF(D85="","",IF(L85&lt;=$B$16,1,IF(L85&gt;=$B$17,$B$21,MATCH(L85,Aux_CAV!$A$2:$A$121,1))))</f>
        <v>6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0.0577449733392862</v>
      </c>
      <c r="E86" s="16" t="n">
        <f aca="false">IF(D86="","",D86*$B$15)</f>
        <v>0.14967497089543</v>
      </c>
      <c r="F86" s="16" t="n">
        <f aca="false" t="array" ref="F86:F86">IF(D86="","",IFERROR(INDEX(Dados_Evap!$C$2:$N$15,MATCH($B$9,Dados_Evap!$A$2:$A$15,0),C86),0))</f>
        <v>88.2</v>
      </c>
      <c r="G86" s="16" t="n">
        <f aca="false">IF(F86="","",F86/1000)</f>
        <v>0.0882</v>
      </c>
      <c r="H86" s="16" t="n">
        <f aca="false">IF(D86="","",MAX(0,MIN($B$8,IFERROR(LOOKUP(2,1/($U$24:U85&lt;&gt;""),$U$24:U85),$B$11))))</f>
        <v>15.7959344620846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1.11705271428249</v>
      </c>
      <c r="J86" s="16" t="n">
        <f aca="false">IF(D86="","",$B$12)</f>
        <v>0.25</v>
      </c>
      <c r="K86" s="16" t="n">
        <f aca="false">IF(J86="","",J86*$B$15)</f>
        <v>0.648</v>
      </c>
      <c r="L86" s="16" t="n">
        <f aca="false">IF(D86="","",H86+E86-K86-G86*I86)</f>
        <v>15.1990853835803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1.09787230911317</v>
      </c>
      <c r="N86" s="16" t="n">
        <f aca="false">IF(D86="","",(I86+M86)/2)</f>
        <v>1.10746251169783</v>
      </c>
      <c r="O86" s="16" t="n">
        <f aca="false">IF(D86="","",G86*N86)</f>
        <v>0.0976781935317485</v>
      </c>
      <c r="P86" s="16" t="n">
        <f aca="false">IF(D86="","",H86+E86-K86-O86)</f>
        <v>15.1999312394483</v>
      </c>
      <c r="Q86" s="16" t="n">
        <f aca="false">IF(D86="","",IF(P86&gt;=0,K86,MAX(0,K86+P86)))</f>
        <v>0.648</v>
      </c>
      <c r="R86" s="16" t="n">
        <f aca="false">IF(D86="","",Q86/$B$15)</f>
        <v>0.25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15.1999312394483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71.3611795279262</v>
      </c>
      <c r="Z86" s="18" t="n">
        <f aca="false">IF(D86="","",MAX(0,IF(P86&gt;=0,P86,IF(K86+P86&gt;=0,0,P86+K86))))</f>
        <v>15.1999312394483</v>
      </c>
      <c r="AA86" s="18" t="n">
        <f aca="false">IF(D86="","",IF(H86&lt;=$B$16,1,IF(H86&gt;=$B$17,$B$21,MATCH(H86,Aux_CAV!$A$2:$A$121,1))))</f>
        <v>6</v>
      </c>
      <c r="AB86" s="18" t="n">
        <f aca="false">IF(D86="","",IF(L86&lt;=$B$16,1,IF(L86&gt;=$B$17,$B$21,MATCH(L86,Aux_CAV!$A$2:$A$121,1))))</f>
        <v>6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0.242725500550708</v>
      </c>
      <c r="E87" s="16" t="n">
        <f aca="false">IF(D87="","",D87*$B$15)</f>
        <v>0.629144497427435</v>
      </c>
      <c r="F87" s="16" t="n">
        <f aca="false" t="array" ref="F87:F87">IF(D87="","",IFERROR(INDEX(Dados_Evap!$C$2:$N$15,MATCH($B$9,Dados_Evap!$A$2:$A$15,0),C87),0))</f>
        <v>88.2</v>
      </c>
      <c r="G87" s="16" t="n">
        <f aca="false">IF(F87="","",F87/1000)</f>
        <v>0.0882</v>
      </c>
      <c r="H87" s="16" t="n">
        <f aca="false">IF(D87="","",MAX(0,MIN($B$8,IFERROR(LOOKUP(2,1/($U$24:U86&lt;&gt;""),$U$24:U86),$B$11))))</f>
        <v>15.1999312394483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1.09789949162688</v>
      </c>
      <c r="J87" s="16" t="n">
        <f aca="false">IF(D87="","",$B$12)</f>
        <v>0.25</v>
      </c>
      <c r="K87" s="16" t="n">
        <f aca="false">IF(J87="","",J87*$B$15)</f>
        <v>0.648</v>
      </c>
      <c r="L87" s="16" t="n">
        <f aca="false">IF(D87="","",H87+E87-K87-G87*I87)</f>
        <v>15.0842410017142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1.09418165790008</v>
      </c>
      <c r="N87" s="16" t="n">
        <f aca="false">IF(D87="","",(I87+M87)/2)</f>
        <v>1.09604057476348</v>
      </c>
      <c r="O87" s="16" t="n">
        <f aca="false">IF(D87="","",G87*N87)</f>
        <v>0.096670778694139</v>
      </c>
      <c r="P87" s="16" t="n">
        <f aca="false">IF(D87="","",H87+E87-K87-O87)</f>
        <v>15.0844049581816</v>
      </c>
      <c r="Q87" s="16" t="n">
        <f aca="false">IF(D87="","",IF(P87&gt;=0,K87,MAX(0,K87+P87)))</f>
        <v>0.648</v>
      </c>
      <c r="R87" s="16" t="n">
        <f aca="false">IF(D87="","",Q87/$B$15)</f>
        <v>0.25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15.0844049581816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70.8188026205708</v>
      </c>
      <c r="Z87" s="18" t="n">
        <f aca="false">IF(D87="","",MAX(0,IF(P87&gt;=0,P87,IF(K87+P87&gt;=0,0,P87+K87))))</f>
        <v>15.0844049581816</v>
      </c>
      <c r="AA87" s="18" t="n">
        <f aca="false">IF(D87="","",IF(H87&lt;=$B$16,1,IF(H87&gt;=$B$17,$B$21,MATCH(H87,Aux_CAV!$A$2:$A$121,1))))</f>
        <v>6</v>
      </c>
      <c r="AB87" s="18" t="n">
        <f aca="false">IF(D87="","",IF(L87&lt;=$B$16,1,IF(L87&gt;=$B$17,$B$21,MATCH(L87,Aux_CAV!$A$2:$A$121,1))))</f>
        <v>6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0.19001188098938</v>
      </c>
      <c r="E88" s="16" t="n">
        <f aca="false">IF(D88="","",D88*$B$15)</f>
        <v>0.492510795524473</v>
      </c>
      <c r="F88" s="16" t="n">
        <f aca="false" t="array" ref="F88:F88">IF(D88="","",IFERROR(INDEX(Dados_Evap!$C$2:$N$15,MATCH($B$9,Dados_Evap!$A$2:$A$15,0),C88),0))</f>
        <v>83.9</v>
      </c>
      <c r="G88" s="16" t="n">
        <f aca="false">IF(F88="","",F88/1000)</f>
        <v>0.0839</v>
      </c>
      <c r="H88" s="16" t="n">
        <f aca="false">IF(D88="","",MAX(0,MIN($B$8,IFERROR(LOOKUP(2,1/($U$24:U87&lt;&gt;""),$U$24:U87),$B$11))))</f>
        <v>15.0844049581816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1.09418692682247</v>
      </c>
      <c r="J88" s="16" t="n">
        <f aca="false">IF(D88="","",$B$12)</f>
        <v>0.25</v>
      </c>
      <c r="K88" s="16" t="n">
        <f aca="false">IF(J88="","",J88*$B$15)</f>
        <v>0.648</v>
      </c>
      <c r="L88" s="16" t="n">
        <f aca="false">IF(D88="","",H88+E88-K88-G88*I88)</f>
        <v>14.8371134705456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1.0862399413975</v>
      </c>
      <c r="N88" s="16" t="n">
        <f aca="false">IF(D88="","",(I88+M88)/2)</f>
        <v>1.09021343410998</v>
      </c>
      <c r="O88" s="16" t="n">
        <f aca="false">IF(D88="","",G88*N88)</f>
        <v>0.0914689071218276</v>
      </c>
      <c r="P88" s="16" t="n">
        <f aca="false">IF(D88="","",H88+E88-K88-O88)</f>
        <v>14.8374468465842</v>
      </c>
      <c r="Q88" s="16" t="n">
        <f aca="false">IF(D88="","",IF(P88&gt;=0,K88,MAX(0,K88+P88)))</f>
        <v>0.648</v>
      </c>
      <c r="R88" s="16" t="n">
        <f aca="false">IF(D88="","",Q88/$B$15)</f>
        <v>0.25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14.8374468465842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69.6593748665926</v>
      </c>
      <c r="Z88" s="18" t="n">
        <f aca="false">IF(D88="","",MAX(0,IF(P88&gt;=0,P88,IF(K88+P88&gt;=0,0,P88+K88))))</f>
        <v>14.8374468465842</v>
      </c>
      <c r="AA88" s="18" t="n">
        <f aca="false">IF(D88="","",IF(H88&lt;=$B$16,1,IF(H88&gt;=$B$17,$B$21,MATCH(H88,Aux_CAV!$A$2:$A$121,1))))</f>
        <v>6</v>
      </c>
      <c r="AB88" s="18" t="n">
        <f aca="false">IF(D88="","",IF(L88&lt;=$B$16,1,IF(L88&gt;=$B$17,$B$21,MATCH(L88,Aux_CAV!$A$2:$A$121,1))))</f>
        <v>6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0.0458968340770878</v>
      </c>
      <c r="E89" s="16" t="n">
        <f aca="false">IF(D89="","",D89*$B$15)</f>
        <v>0.118964593927812</v>
      </c>
      <c r="F89" s="16" t="n">
        <f aca="false" t="array" ref="F89:F89">IF(D89="","",IFERROR(INDEX(Dados_Evap!$C$2:$N$15,MATCH($B$9,Dados_Evap!$A$2:$A$15,0),C89),0))</f>
        <v>104.7</v>
      </c>
      <c r="G89" s="16" t="n">
        <f aca="false">IF(F89="","",F89/1000)</f>
        <v>0.1047</v>
      </c>
      <c r="H89" s="16" t="n">
        <f aca="false">IF(D89="","",MAX(0,MIN($B$8,IFERROR(LOOKUP(2,1/($U$24:U88&lt;&gt;""),$U$24:U88),$B$11))))</f>
        <v>14.8374468465842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1.08625065480516</v>
      </c>
      <c r="J89" s="16" t="n">
        <f aca="false">IF(D89="","",$B$12)</f>
        <v>0.25</v>
      </c>
      <c r="K89" s="16" t="n">
        <f aca="false">IF(J89="","",J89*$B$15)</f>
        <v>0.648</v>
      </c>
      <c r="L89" s="16" t="n">
        <f aca="false">IF(D89="","",H89+E89-K89-G89*I89)</f>
        <v>14.1946809969539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1.06559466341818</v>
      </c>
      <c r="N89" s="16" t="n">
        <f aca="false">IF(D89="","",(I89+M89)/2)</f>
        <v>1.07592265911167</v>
      </c>
      <c r="O89" s="16" t="n">
        <f aca="false">IF(D89="","",G89*N89)</f>
        <v>0.112649102408992</v>
      </c>
      <c r="P89" s="16" t="n">
        <f aca="false">IF(D89="","",H89+E89-K89-O89)</f>
        <v>14.195762338103</v>
      </c>
      <c r="Q89" s="16" t="n">
        <f aca="false">IF(D89="","",IF(P89&gt;=0,K89,MAX(0,K89+P89)))</f>
        <v>0.648</v>
      </c>
      <c r="R89" s="16" t="n">
        <f aca="false">IF(D89="","",Q89/$B$15)</f>
        <v>0.25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14.195762338103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66.6467715403898</v>
      </c>
      <c r="Z89" s="18" t="n">
        <f aca="false">IF(D89="","",MAX(0,IF(P89&gt;=0,P89,IF(K89+P89&gt;=0,0,P89+K89))))</f>
        <v>14.195762338103</v>
      </c>
      <c r="AA89" s="18" t="n">
        <f aca="false">IF(D89="","",IF(H89&lt;=$B$16,1,IF(H89&gt;=$B$17,$B$21,MATCH(H89,Aux_CAV!$A$2:$A$121,1))))</f>
        <v>6</v>
      </c>
      <c r="AB89" s="18" t="n">
        <f aca="false">IF(D89="","",IF(L89&lt;=$B$16,1,IF(L89&gt;=$B$17,$B$21,MATCH(L89,Aux_CAV!$A$2:$A$121,1))))</f>
        <v>6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0.00954541336314602</v>
      </c>
      <c r="E90" s="16" t="n">
        <f aca="false">IF(D90="","",D90*$B$15)</f>
        <v>0.0247417114372745</v>
      </c>
      <c r="F90" s="16" t="n">
        <f aca="false" t="array" ref="F90:F90">IF(D90="","",IFERROR(INDEX(Dados_Evap!$C$2:$N$15,MATCH($B$9,Dados_Evap!$A$2:$A$15,0),C90),0))</f>
        <v>145.2</v>
      </c>
      <c r="G90" s="16" t="n">
        <f aca="false">IF(F90="","",F90/1000)</f>
        <v>0.1452</v>
      </c>
      <c r="H90" s="16" t="n">
        <f aca="false">IF(D90="","",MAX(0,MIN($B$8,IFERROR(LOOKUP(2,1/($U$24:U89&lt;&gt;""),$U$24:U89),$B$11))))</f>
        <v>14.195762338103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1.06562941351182</v>
      </c>
      <c r="J90" s="16" t="n">
        <f aca="false">IF(D90="","",$B$12)</f>
        <v>0.25</v>
      </c>
      <c r="K90" s="16" t="n">
        <f aca="false">IF(J90="","",J90*$B$15)</f>
        <v>0.648</v>
      </c>
      <c r="L90" s="16" t="n">
        <f aca="false">IF(D90="","",H90+E90-K90-G90*I90)</f>
        <v>13.4177746586984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1.04062791908861</v>
      </c>
      <c r="N90" s="16" t="n">
        <f aca="false">IF(D90="","",(I90+M90)/2)</f>
        <v>1.05312866630021</v>
      </c>
      <c r="O90" s="16" t="n">
        <f aca="false">IF(D90="","",G90*N90)</f>
        <v>0.152914282346791</v>
      </c>
      <c r="P90" s="16" t="n">
        <f aca="false">IF(D90="","",H90+E90-K90-O90)</f>
        <v>13.4195897671935</v>
      </c>
      <c r="Q90" s="16" t="n">
        <f aca="false">IF(D90="","",IF(P90&gt;=0,K90,MAX(0,K90+P90)))</f>
        <v>0.648</v>
      </c>
      <c r="R90" s="16" t="n">
        <f aca="false">IF(D90="","",Q90/$B$15)</f>
        <v>0.25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13.4195897671935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63.0027688600635</v>
      </c>
      <c r="Z90" s="18" t="n">
        <f aca="false">IF(D90="","",MAX(0,IF(P90&gt;=0,P90,IF(K90+P90&gt;=0,0,P90+K90))))</f>
        <v>13.4195897671935</v>
      </c>
      <c r="AA90" s="18" t="n">
        <f aca="false">IF(D90="","",IF(H90&lt;=$B$16,1,IF(H90&gt;=$B$17,$B$21,MATCH(H90,Aux_CAV!$A$2:$A$121,1))))</f>
        <v>6</v>
      </c>
      <c r="AB90" s="18" t="n">
        <f aca="false">IF(D90="","",IF(L90&lt;=$B$16,1,IF(L90&gt;=$B$17,$B$21,MATCH(L90,Aux_CAV!$A$2:$A$121,1))))</f>
        <v>6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0.015161143796198</v>
      </c>
      <c r="E91" s="16" t="n">
        <f aca="false">IF(D91="","",D91*$B$15)</f>
        <v>0.0392976847197452</v>
      </c>
      <c r="F91" s="16" t="n">
        <f aca="false" t="array" ref="F91:F91">IF(D91="","",IFERROR(INDEX(Dados_Evap!$C$2:$N$15,MATCH($B$9,Dados_Evap!$A$2:$A$15,0),C91),0))</f>
        <v>180.9</v>
      </c>
      <c r="G91" s="16" t="n">
        <f aca="false">IF(F91="","",F91/1000)</f>
        <v>0.1809</v>
      </c>
      <c r="H91" s="16" t="n">
        <f aca="false">IF(D91="","",MAX(0,MIN($B$8,IFERROR(LOOKUP(2,1/($U$24:U90&lt;&gt;""),$U$24:U90),$B$11))))</f>
        <v>13.4195897671935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1.04068624960735</v>
      </c>
      <c r="J91" s="16" t="n">
        <f aca="false">IF(D91="","",$B$12)</f>
        <v>0.25</v>
      </c>
      <c r="K91" s="16" t="n">
        <f aca="false">IF(J91="","",J91*$B$15)</f>
        <v>0.648</v>
      </c>
      <c r="L91" s="16" t="n">
        <f aca="false">IF(D91="","",H91+E91-K91-G91*I91)</f>
        <v>12.6226273093593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1.01507497969586</v>
      </c>
      <c r="N91" s="16" t="n">
        <f aca="false">IF(D91="","",(I91+M91)/2)</f>
        <v>1.0278806146516</v>
      </c>
      <c r="O91" s="16" t="n">
        <f aca="false">IF(D91="","",G91*N91)</f>
        <v>0.185943603190475</v>
      </c>
      <c r="P91" s="16" t="n">
        <f aca="false">IF(D91="","",H91+E91-K91-O91)</f>
        <v>12.6249438487228</v>
      </c>
      <c r="Q91" s="16" t="n">
        <f aca="false">IF(D91="","",IF(P91&gt;=0,K91,MAX(0,K91+P91)))</f>
        <v>0.648</v>
      </c>
      <c r="R91" s="16" t="n">
        <f aca="false">IF(D91="","",Q91/$B$15)</f>
        <v>0.25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12.6249438487228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59.2720368484638</v>
      </c>
      <c r="Z91" s="18" t="n">
        <f aca="false">IF(D91="","",MAX(0,IF(P91&gt;=0,P91,IF(K91+P91&gt;=0,0,P91+K91))))</f>
        <v>12.6249438487228</v>
      </c>
      <c r="AA91" s="18" t="n">
        <f aca="false">IF(D91="","",IF(H91&lt;=$B$16,1,IF(H91&gt;=$B$17,$B$21,MATCH(H91,Aux_CAV!$A$2:$A$121,1))))</f>
        <v>6</v>
      </c>
      <c r="AB91" s="18" t="n">
        <f aca="false">IF(D91="","",IF(L91&lt;=$B$16,1,IF(L91&gt;=$B$17,$B$21,MATCH(L91,Aux_CAV!$A$2:$A$121,1))))</f>
        <v>6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0.00666326191976514</v>
      </c>
      <c r="E92" s="16" t="n">
        <f aca="false">IF(D92="","",D92*$B$15)</f>
        <v>0.0172711748960312</v>
      </c>
      <c r="F92" s="16" t="n">
        <f aca="false" t="array" ref="F92:F92">IF(D92="","",IFERROR(INDEX(Dados_Evap!$C$2:$N$15,MATCH($B$9,Dados_Evap!$A$2:$A$15,0),C92),0))</f>
        <v>208.9</v>
      </c>
      <c r="G92" s="16" t="n">
        <f aca="false">IF(F92="","",F92/1000)</f>
        <v>0.2089</v>
      </c>
      <c r="H92" s="16" t="n">
        <f aca="false">IF(D92="","",MAX(0,MIN($B$8,IFERROR(LOOKUP(2,1/($U$24:U91&lt;&gt;""),$U$24:U91),$B$11))))</f>
        <v>12.6249438487228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1.01514942425007</v>
      </c>
      <c r="J92" s="16" t="n">
        <f aca="false">IF(D92="","",$B$12)</f>
        <v>0.25</v>
      </c>
      <c r="K92" s="16" t="n">
        <f aca="false">IF(J92="","",J92*$B$15)</f>
        <v>0.648</v>
      </c>
      <c r="L92" s="16" t="n">
        <f aca="false">IF(D92="","",H92+E92-K92-G92*I92)</f>
        <v>11.782150308893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0.98806532183588</v>
      </c>
      <c r="N92" s="16" t="n">
        <f aca="false">IF(D92="","",(I92+M92)/2)</f>
        <v>1.00160737304298</v>
      </c>
      <c r="O92" s="16" t="n">
        <f aca="false">IF(D92="","",G92*N92)</f>
        <v>0.209235780228678</v>
      </c>
      <c r="P92" s="16" t="n">
        <f aca="false">IF(D92="","",H92+E92-K92-O92)</f>
        <v>11.7849792433901</v>
      </c>
      <c r="Q92" s="16" t="n">
        <f aca="false">IF(D92="","",IF(P92&gt;=0,K92,MAX(0,K92+P92)))</f>
        <v>0.648</v>
      </c>
      <c r="R92" s="16" t="n">
        <f aca="false">IF(D92="","",Q92/$B$15)</f>
        <v>0.25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11.7849792433901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55.32854104878</v>
      </c>
      <c r="Z92" s="18" t="n">
        <f aca="false">IF(D92="","",MAX(0,IF(P92&gt;=0,P92,IF(K92+P92&gt;=0,0,P92+K92))))</f>
        <v>11.7849792433901</v>
      </c>
      <c r="AA92" s="18" t="n">
        <f aca="false">IF(D92="","",IF(H92&lt;=$B$16,1,IF(H92&gt;=$B$17,$B$21,MATCH(H92,Aux_CAV!$A$2:$A$121,1))))</f>
        <v>6</v>
      </c>
      <c r="AB92" s="18" t="n">
        <f aca="false">IF(D92="","",IF(L92&lt;=$B$16,1,IF(L92&gt;=$B$17,$B$21,MATCH(L92,Aux_CAV!$A$2:$A$121,1))))</f>
        <v>6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0.00337893985100086</v>
      </c>
      <c r="E93" s="16" t="n">
        <f aca="false">IF(D93="","",D93*$B$15)</f>
        <v>0.00875821209379423</v>
      </c>
      <c r="F93" s="16" t="n">
        <f aca="false" t="array" ref="F93:F93">IF(D93="","",IFERROR(INDEX(Dados_Evap!$C$2:$N$15,MATCH($B$9,Dados_Evap!$A$2:$A$15,0),C93),0))</f>
        <v>235.9</v>
      </c>
      <c r="G93" s="16" t="n">
        <f aca="false">IF(F93="","",F93/1000)</f>
        <v>0.2359</v>
      </c>
      <c r="H93" s="16" t="n">
        <f aca="false">IF(D93="","",MAX(0,MIN($B$8,IFERROR(LOOKUP(2,1/($U$24:U92&lt;&gt;""),$U$24:U92),$B$11))))</f>
        <v>11.7849792433901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0.988156232774352</v>
      </c>
      <c r="J93" s="16" t="n">
        <f aca="false">IF(D93="","",$B$12)</f>
        <v>0.25</v>
      </c>
      <c r="K93" s="16" t="n">
        <f aca="false">IF(J93="","",J93*$B$15)</f>
        <v>0.648</v>
      </c>
      <c r="L93" s="16" t="n">
        <f aca="false">IF(D93="","",H93+E93-K93-G93*I93)</f>
        <v>10.9126314001725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0.959799714607493</v>
      </c>
      <c r="N93" s="16" t="n">
        <f aca="false">IF(D93="","",(I93+M93)/2)</f>
        <v>0.973977973690923</v>
      </c>
      <c r="O93" s="16" t="n">
        <f aca="false">IF(D93="","",G93*N93)</f>
        <v>0.229761403993689</v>
      </c>
      <c r="P93" s="16" t="n">
        <f aca="false">IF(D93="","",H93+E93-K93-O93)</f>
        <v>10.9159760514902</v>
      </c>
      <c r="Q93" s="16" t="n">
        <f aca="false">IF(D93="","",IF(P93&gt;=0,K93,MAX(0,K93+P93)))</f>
        <v>0.648</v>
      </c>
      <c r="R93" s="16" t="n">
        <f aca="false">IF(D93="","",Q93/$B$15)</f>
        <v>0.25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10.9159760514902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51.2487138567617</v>
      </c>
      <c r="Z93" s="18" t="n">
        <f aca="false">IF(D93="","",MAX(0,IF(P93&gt;=0,P93,IF(K93+P93&gt;=0,0,P93+K93))))</f>
        <v>10.9159760514902</v>
      </c>
      <c r="AA93" s="18" t="n">
        <f aca="false">IF(D93="","",IF(H93&lt;=$B$16,1,IF(H93&gt;=$B$17,$B$21,MATCH(H93,Aux_CAV!$A$2:$A$121,1))))</f>
        <v>6</v>
      </c>
      <c r="AB93" s="18" t="n">
        <f aca="false">IF(D93="","",IF(L93&lt;=$B$16,1,IF(L93&gt;=$B$17,$B$21,MATCH(L93,Aux_CAV!$A$2:$A$121,1))))</f>
        <v>5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0.00174595817277719</v>
      </c>
      <c r="E94" s="16" t="n">
        <f aca="false">IF(D94="","",D94*$B$15)</f>
        <v>0.00452552358383848</v>
      </c>
      <c r="F94" s="16" t="n">
        <f aca="false" t="array" ref="F94:F94">IF(D94="","",IFERROR(INDEX(Dados_Evap!$C$2:$N$15,MATCH($B$9,Dados_Evap!$A$2:$A$15,0),C94),0))</f>
        <v>225.9</v>
      </c>
      <c r="G94" s="16" t="n">
        <f aca="false">IF(F94="","",F94/1000)</f>
        <v>0.2259</v>
      </c>
      <c r="H94" s="16" t="n">
        <f aca="false">IF(D94="","",MAX(0,MIN($B$8,IFERROR(LOOKUP(2,1/($U$24:U93&lt;&gt;""),$U$24:U93),$B$11))))</f>
        <v>10.9159760514902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0.959910709673349</v>
      </c>
      <c r="J94" s="16" t="n">
        <f aca="false">IF(D94="","",$B$12)</f>
        <v>0.25</v>
      </c>
      <c r="K94" s="16" t="n">
        <f aca="false">IF(J94="","",J94*$B$15)</f>
        <v>0.648</v>
      </c>
      <c r="L94" s="16" t="n">
        <f aca="false">IF(D94="","",H94+E94-K94-G94*I94)</f>
        <v>10.0556577457589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0.931360323421202</v>
      </c>
      <c r="N94" s="16" t="n">
        <f aca="false">IF(D94="","",(I94+M94)/2)</f>
        <v>0.945635516547275</v>
      </c>
      <c r="O94" s="16" t="n">
        <f aca="false">IF(D94="","",G94*N94)</f>
        <v>0.21361906318803</v>
      </c>
      <c r="P94" s="16" t="n">
        <f aca="false">IF(D94="","",H94+E94-K94-O94)</f>
        <v>10.0588825118861</v>
      </c>
      <c r="Q94" s="16" t="n">
        <f aca="false">IF(D94="","",IF(P94&gt;=0,K94,MAX(0,K94+P94)))</f>
        <v>0.648</v>
      </c>
      <c r="R94" s="16" t="n">
        <f aca="false">IF(D94="","",Q94/$B$15)</f>
        <v>0.25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10.0588825118861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47.2248005252867</v>
      </c>
      <c r="Z94" s="18" t="n">
        <f aca="false">IF(D94="","",MAX(0,IF(P94&gt;=0,P94,IF(K94+P94&gt;=0,0,P94+K94))))</f>
        <v>10.0588825118861</v>
      </c>
      <c r="AA94" s="18" t="n">
        <f aca="false">IF(D94="","",IF(H94&lt;=$B$16,1,IF(H94&gt;=$B$17,$B$21,MATCH(H94,Aux_CAV!$A$2:$A$121,1))))</f>
        <v>5</v>
      </c>
      <c r="AB94" s="18" t="n">
        <f aca="false">IF(D94="","",IF(L94&lt;=$B$16,1,IF(L94&gt;=$B$17,$B$21,MATCH(L94,Aux_CAV!$A$2:$A$121,1))))</f>
        <v>5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0.0125979034056731</v>
      </c>
      <c r="E95" s="16" t="n">
        <f aca="false">IF(D95="","",D95*$B$15)</f>
        <v>0.0326537656275047</v>
      </c>
      <c r="F95" s="16" t="n">
        <f aca="false" t="array" ref="F95:F95">IF(D95="","",IFERROR(INDEX(Dados_Evap!$C$2:$N$15,MATCH($B$9,Dados_Evap!$A$2:$A$15,0),C95),0))</f>
        <v>206</v>
      </c>
      <c r="G95" s="16" t="n">
        <f aca="false">IF(F95="","",F95/1000)</f>
        <v>0.206</v>
      </c>
      <c r="H95" s="16" t="n">
        <f aca="false">IF(D95="","",MAX(0,MIN($B$8,IFERROR(LOOKUP(2,1/($U$24:U94&lt;&gt;""),$U$24:U94),$B$11))))</f>
        <v>10.0588825118861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0.931467339996219</v>
      </c>
      <c r="J95" s="16" t="n">
        <f aca="false">IF(D95="","",$B$12)</f>
        <v>0.25</v>
      </c>
      <c r="K95" s="16" t="n">
        <f aca="false">IF(J95="","",J95*$B$15)</f>
        <v>0.648</v>
      </c>
      <c r="L95" s="16" t="n">
        <f aca="false">IF(D95="","",H95+E95-K95-G95*I95)</f>
        <v>9.25165400547434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0.904678783367511</v>
      </c>
      <c r="N95" s="16" t="n">
        <f aca="false">IF(D95="","",(I95+M95)/2)</f>
        <v>0.918073061681865</v>
      </c>
      <c r="O95" s="16" t="n">
        <f aca="false">IF(D95="","",G95*N95)</f>
        <v>0.189123050706464</v>
      </c>
      <c r="P95" s="16" t="n">
        <f aca="false">IF(D95="","",H95+E95-K95-O95)</f>
        <v>9.2544132268071</v>
      </c>
      <c r="Q95" s="16" t="n">
        <f aca="false">IF(D95="","",IF(P95&gt;=0,K95,MAX(0,K95+P95)))</f>
        <v>0.648</v>
      </c>
      <c r="R95" s="16" t="n">
        <f aca="false">IF(D95="","",Q95/$B$15)</f>
        <v>0.25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9.2544132268071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43.4479494216296</v>
      </c>
      <c r="Z95" s="18" t="n">
        <f aca="false">IF(D95="","",MAX(0,IF(P95&gt;=0,P95,IF(K95+P95&gt;=0,0,P95+K95))))</f>
        <v>9.2544132268071</v>
      </c>
      <c r="AA95" s="18" t="n">
        <f aca="false">IF(D95="","",IF(H95&lt;=$B$16,1,IF(H95&gt;=$B$17,$B$21,MATCH(H95,Aux_CAV!$A$2:$A$121,1))))</f>
        <v>5</v>
      </c>
      <c r="AB95" s="18" t="n">
        <f aca="false">IF(D95="","",IF(L95&lt;=$B$16,1,IF(L95&gt;=$B$17,$B$21,MATCH(L95,Aux_CAV!$A$2:$A$121,1))))</f>
        <v>5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0.118161697156209</v>
      </c>
      <c r="E96" s="16" t="n">
        <f aca="false">IF(D96="","",D96*$B$15)</f>
        <v>0.306275119028894</v>
      </c>
      <c r="F96" s="16" t="n">
        <f aca="false" t="array" ref="F96:F96">IF(D96="","",IFERROR(INDEX(Dados_Evap!$C$2:$N$15,MATCH($B$9,Dados_Evap!$A$2:$A$15,0),C96),0))</f>
        <v>165.6</v>
      </c>
      <c r="G96" s="16" t="n">
        <f aca="false">IF(F96="","",F96/1000)</f>
        <v>0.1656</v>
      </c>
      <c r="H96" s="16" t="n">
        <f aca="false">IF(D96="","",MAX(0,MIN($B$8,IFERROR(LOOKUP(2,1/($U$24:U95&lt;&gt;""),$U$24:U95),$B$11))))</f>
        <v>9.2544132268071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0.904770350447138</v>
      </c>
      <c r="J96" s="16" t="n">
        <f aca="false">IF(D96="","",$B$12)</f>
        <v>0.25</v>
      </c>
      <c r="K96" s="16" t="n">
        <f aca="false">IF(J96="","",J96*$B$15)</f>
        <v>0.648</v>
      </c>
      <c r="L96" s="16" t="n">
        <f aca="false">IF(D96="","",H96+E96-K96-G96*I96)</f>
        <v>8.76285837580195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0.888457689462454</v>
      </c>
      <c r="N96" s="16" t="n">
        <f aca="false">IF(D96="","",(I96+M96)/2)</f>
        <v>0.896614019954796</v>
      </c>
      <c r="O96" s="16" t="n">
        <f aca="false">IF(D96="","",G96*N96)</f>
        <v>0.148479281704514</v>
      </c>
      <c r="P96" s="16" t="n">
        <f aca="false">IF(D96="","",H96+E96-K96-O96)</f>
        <v>8.76420906413148</v>
      </c>
      <c r="Q96" s="16" t="n">
        <f aca="false">IF(D96="","",IF(P96&gt;=0,K96,MAX(0,K96+P96)))</f>
        <v>0.648</v>
      </c>
      <c r="R96" s="16" t="n">
        <f aca="false">IF(D96="","",Q96/$B$15)</f>
        <v>0.25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8.76420906413148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41.1465214278473</v>
      </c>
      <c r="Z96" s="18" t="n">
        <f aca="false">IF(D96="","",MAX(0,IF(P96&gt;=0,P96,IF(K96+P96&gt;=0,0,P96+K96))))</f>
        <v>8.76420906413148</v>
      </c>
      <c r="AA96" s="18" t="n">
        <f aca="false">IF(D96="","",IF(H96&lt;=$B$16,1,IF(H96&gt;=$B$17,$B$21,MATCH(H96,Aux_CAV!$A$2:$A$121,1))))</f>
        <v>5</v>
      </c>
      <c r="AB96" s="18" t="n">
        <f aca="false">IF(D96="","",IF(L96&lt;=$B$16,1,IF(L96&gt;=$B$17,$B$21,MATCH(L96,Aux_CAV!$A$2:$A$121,1))))</f>
        <v>5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0.339432785554754</v>
      </c>
      <c r="E97" s="16" t="n">
        <f aca="false">IF(D97="","",D97*$B$15)</f>
        <v>0.879809780157922</v>
      </c>
      <c r="F97" s="16" t="n">
        <f aca="false" t="array" ref="F97:F97">IF(D97="","",IFERROR(INDEX(Dados_Evap!$C$2:$N$15,MATCH($B$9,Dados_Evap!$A$2:$A$15,0),C97),0))</f>
        <v>124.9</v>
      </c>
      <c r="G97" s="16" t="n">
        <f aca="false">IF(F97="","",F97/1000)</f>
        <v>0.1249</v>
      </c>
      <c r="H97" s="16" t="n">
        <f aca="false">IF(D97="","",MAX(0,MIN($B$8,IFERROR(LOOKUP(2,1/($U$24:U96&lt;&gt;""),$U$24:U96),$B$11))))</f>
        <v>8.76420906413148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0.888502513190204</v>
      </c>
      <c r="J97" s="16" t="n">
        <f aca="false">IF(D97="","",$B$12)</f>
        <v>0.25</v>
      </c>
      <c r="K97" s="16" t="n">
        <f aca="false">IF(J97="","",J97*$B$15)</f>
        <v>0.648</v>
      </c>
      <c r="L97" s="16" t="n">
        <f aca="false">IF(D97="","",H97+E97-K97-G97*I97)</f>
        <v>8.88504488039195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0.892512551340441</v>
      </c>
      <c r="N97" s="16" t="n">
        <f aca="false">IF(D97="","",(I97+M97)/2)</f>
        <v>0.890507532265322</v>
      </c>
      <c r="O97" s="16" t="n">
        <f aca="false">IF(D97="","",G97*N97)</f>
        <v>0.111224390779939</v>
      </c>
      <c r="P97" s="16" t="n">
        <f aca="false">IF(D97="","",H97+E97-K97-O97)</f>
        <v>8.88479445350946</v>
      </c>
      <c r="Q97" s="16" t="n">
        <f aca="false">IF(D97="","",IF(P97&gt;=0,K97,MAX(0,K97+P97)))</f>
        <v>0.648</v>
      </c>
      <c r="R97" s="16" t="n">
        <f aca="false">IF(D97="","",Q97/$B$15)</f>
        <v>0.25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8.88479445350946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41.7126500164764</v>
      </c>
      <c r="Z97" s="18" t="n">
        <f aca="false">IF(D97="","",MAX(0,IF(P97&gt;=0,P97,IF(K97+P97&gt;=0,0,P97+K97))))</f>
        <v>8.88479445350946</v>
      </c>
      <c r="AA97" s="18" t="n">
        <f aca="false">IF(D97="","",IF(H97&lt;=$B$16,1,IF(H97&gt;=$B$17,$B$21,MATCH(H97,Aux_CAV!$A$2:$A$121,1))))</f>
        <v>5</v>
      </c>
      <c r="AB97" s="18" t="n">
        <f aca="false">IF(D97="","",IF(L97&lt;=$B$16,1,IF(L97&gt;=$B$17,$B$21,MATCH(L97,Aux_CAV!$A$2:$A$121,1))))</f>
        <v>5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1.71363798364012</v>
      </c>
      <c r="E98" s="16" t="n">
        <f aca="false">IF(D98="","",D98*$B$15)</f>
        <v>4.44174965359519</v>
      </c>
      <c r="F98" s="16" t="n">
        <f aca="false" t="array" ref="F98:F98">IF(D98="","",IFERROR(INDEX(Dados_Evap!$C$2:$N$15,MATCH($B$9,Dados_Evap!$A$2:$A$15,0),C98),0))</f>
        <v>88.2</v>
      </c>
      <c r="G98" s="16" t="n">
        <f aca="false">IF(F98="","",F98/1000)</f>
        <v>0.0882</v>
      </c>
      <c r="H98" s="16" t="n">
        <f aca="false">IF(D98="","",MAX(0,MIN($B$8,IFERROR(LOOKUP(2,1/($U$24:U97&lt;&gt;""),$U$24:U97),$B$11))))</f>
        <v>8.88479445350946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0.89250424071381</v>
      </c>
      <c r="J98" s="16" t="n">
        <f aca="false">IF(D98="","",$B$12)</f>
        <v>0.25</v>
      </c>
      <c r="K98" s="16" t="n">
        <f aca="false">IF(J98="","",J98*$B$15)</f>
        <v>0.648</v>
      </c>
      <c r="L98" s="16" t="n">
        <f aca="false">IF(D98="","",H98+E98-K98-G98*I98)</f>
        <v>12.5998252330737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1.01434220975851</v>
      </c>
      <c r="N98" s="16" t="n">
        <f aca="false">IF(D98="","",(I98+M98)/2)</f>
        <v>0.953423225236161</v>
      </c>
      <c r="O98" s="16" t="n">
        <f aca="false">IF(D98="","",G98*N98)</f>
        <v>0.0840919284658294</v>
      </c>
      <c r="P98" s="16" t="n">
        <f aca="false">IF(D98="","",H98+E98-K98-O98)</f>
        <v>12.5944521786388</v>
      </c>
      <c r="Q98" s="16" t="n">
        <f aca="false">IF(D98="","",IF(P98&gt;=0,K98,MAX(0,K98+P98)))</f>
        <v>0.648</v>
      </c>
      <c r="R98" s="16" t="n">
        <f aca="false">IF(D98="","",Q98/$B$15)</f>
        <v>0.25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12.5944521786388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59.1288834677879</v>
      </c>
      <c r="Z98" s="18" t="n">
        <f aca="false">IF(D98="","",MAX(0,IF(P98&gt;=0,P98,IF(K98+P98&gt;=0,0,P98+K98))))</f>
        <v>12.5944521786388</v>
      </c>
      <c r="AA98" s="18" t="n">
        <f aca="false">IF(D98="","",IF(H98&lt;=$B$16,1,IF(H98&gt;=$B$17,$B$21,MATCH(H98,Aux_CAV!$A$2:$A$121,1))))</f>
        <v>5</v>
      </c>
      <c r="AB98" s="18" t="n">
        <f aca="false">IF(D98="","",IF(L98&lt;=$B$16,1,IF(L98&gt;=$B$17,$B$21,MATCH(L98,Aux_CAV!$A$2:$A$121,1))))</f>
        <v>6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1.48944371208474</v>
      </c>
      <c r="E99" s="16" t="n">
        <f aca="false">IF(D99="","",D99*$B$15)</f>
        <v>3.86063810172365</v>
      </c>
      <c r="F99" s="16" t="n">
        <f aca="false" t="array" ref="F99:F99">IF(D99="","",IFERROR(INDEX(Dados_Evap!$C$2:$N$15,MATCH($B$9,Dados_Evap!$A$2:$A$15,0),C99),0))</f>
        <v>88.2</v>
      </c>
      <c r="G99" s="16" t="n">
        <f aca="false">IF(F99="","",F99/1000)</f>
        <v>0.0882</v>
      </c>
      <c r="H99" s="16" t="n">
        <f aca="false">IF(D99="","",MAX(0,MIN($B$8,IFERROR(LOOKUP(2,1/($U$24:U98&lt;&gt;""),$U$24:U98),$B$11))))</f>
        <v>12.5944521786388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1.0141695407124</v>
      </c>
      <c r="J99" s="16" t="n">
        <f aca="false">IF(D99="","",$B$12)</f>
        <v>0.25</v>
      </c>
      <c r="K99" s="16" t="n">
        <f aca="false">IF(J99="","",J99*$B$15)</f>
        <v>0.648</v>
      </c>
      <c r="L99" s="16" t="n">
        <f aca="false">IF(D99="","",H99+E99-K99-G99*I99)</f>
        <v>15.7176405268716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1.11453665209228</v>
      </c>
      <c r="N99" s="16" t="n">
        <f aca="false">IF(D99="","",(I99+M99)/2)</f>
        <v>1.06435309640234</v>
      </c>
      <c r="O99" s="16" t="n">
        <f aca="false">IF(D99="","",G99*N99)</f>
        <v>0.0938759431026866</v>
      </c>
      <c r="P99" s="16" t="n">
        <f aca="false">IF(D99="","",H99+E99-K99-O99)</f>
        <v>15.7132143372598</v>
      </c>
      <c r="Q99" s="16" t="n">
        <f aca="false">IF(D99="","",IF(P99&gt;=0,K99,MAX(0,K99+P99)))</f>
        <v>0.648</v>
      </c>
      <c r="R99" s="16" t="n">
        <f aca="false">IF(D99="","",Q99/$B$15)</f>
        <v>0.25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15.7132143372598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73.7709593298582</v>
      </c>
      <c r="Z99" s="18" t="n">
        <f aca="false">IF(D99="","",MAX(0,IF(P99&gt;=0,P99,IF(K99+P99&gt;=0,0,P99+K99))))</f>
        <v>15.7132143372598</v>
      </c>
      <c r="AA99" s="18" t="n">
        <f aca="false">IF(D99="","",IF(H99&lt;=$B$16,1,IF(H99&gt;=$B$17,$B$21,MATCH(H99,Aux_CAV!$A$2:$A$121,1))))</f>
        <v>6</v>
      </c>
      <c r="AB99" s="18" t="n">
        <f aca="false">IF(D99="","",IF(L99&lt;=$B$16,1,IF(L99&gt;=$B$17,$B$21,MATCH(L99,Aux_CAV!$A$2:$A$121,1))))</f>
        <v>6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0.579469841117123</v>
      </c>
      <c r="E100" s="16" t="n">
        <f aca="false">IF(D100="","",D100*$B$15)</f>
        <v>1.50198582817558</v>
      </c>
      <c r="F100" s="16" t="n">
        <f aca="false" t="array" ref="F100:F100">IF(D100="","",IFERROR(INDEX(Dados_Evap!$C$2:$N$15,MATCH($B$9,Dados_Evap!$A$2:$A$15,0),C100),0))</f>
        <v>83.9</v>
      </c>
      <c r="G100" s="16" t="n">
        <f aca="false">IF(F100="","",F100/1000)</f>
        <v>0.0839</v>
      </c>
      <c r="H100" s="16" t="n">
        <f aca="false">IF(D100="","",MAX(0,MIN($B$8,IFERROR(LOOKUP(2,1/($U$24:U99&lt;&gt;""),$U$24:U99),$B$11))))</f>
        <v>15.7132143372598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1.11439441159436</v>
      </c>
      <c r="J100" s="16" t="n">
        <f aca="false">IF(D100="","",$B$12)</f>
        <v>0.25</v>
      </c>
      <c r="K100" s="16" t="n">
        <f aca="false">IF(J100="","",J100*$B$15)</f>
        <v>0.648</v>
      </c>
      <c r="L100" s="16" t="n">
        <f aca="false">IF(D100="","",H100+E100-K100-G100*I100)</f>
        <v>16.4737024743026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1.13883353887173</v>
      </c>
      <c r="N100" s="16" t="n">
        <f aca="false">IF(D100="","",(I100+M100)/2)</f>
        <v>1.12661397523304</v>
      </c>
      <c r="O100" s="16" t="n">
        <f aca="false">IF(D100="","",G100*N100)</f>
        <v>0.0945229125220524</v>
      </c>
      <c r="P100" s="16" t="n">
        <f aca="false">IF(D100="","",H100+E100-K100-O100)</f>
        <v>16.4726772529133</v>
      </c>
      <c r="Q100" s="16" t="n">
        <f aca="false">IF(D100="","",IF(P100&gt;=0,K100,MAX(0,K100+P100)))</f>
        <v>0.648</v>
      </c>
      <c r="R100" s="16" t="n">
        <f aca="false">IF(D100="","",Q100/$B$15)</f>
        <v>0.25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16.4726772529133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77.3365129244757</v>
      </c>
      <c r="Z100" s="18" t="n">
        <f aca="false">IF(D100="","",MAX(0,IF(P100&gt;=0,P100,IF(K100+P100&gt;=0,0,P100+K100))))</f>
        <v>16.4726772529133</v>
      </c>
      <c r="AA100" s="18" t="n">
        <f aca="false">IF(D100="","",IF(H100&lt;=$B$16,1,IF(H100&gt;=$B$17,$B$21,MATCH(H100,Aux_CAV!$A$2:$A$121,1))))</f>
        <v>6</v>
      </c>
      <c r="AB100" s="18" t="n">
        <f aca="false">IF(D100="","",IF(L100&lt;=$B$16,1,IF(L100&gt;=$B$17,$B$21,MATCH(L100,Aux_CAV!$A$2:$A$121,1))))</f>
        <v>6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0.541030105860703</v>
      </c>
      <c r="E101" s="16" t="n">
        <f aca="false">IF(D101="","",D101*$B$15)</f>
        <v>1.40235003439094</v>
      </c>
      <c r="F101" s="16" t="n">
        <f aca="false" t="array" ref="F101:F101">IF(D101="","",IFERROR(INDEX(Dados_Evap!$C$2:$N$15,MATCH($B$9,Dados_Evap!$A$2:$A$15,0),C101),0))</f>
        <v>104.7</v>
      </c>
      <c r="G101" s="16" t="n">
        <f aca="false">IF(F101="","",F101/1000)</f>
        <v>0.1047</v>
      </c>
      <c r="H101" s="16" t="n">
        <f aca="false">IF(D101="","",MAX(0,MIN($B$8,IFERROR(LOOKUP(2,1/($U$24:U100&lt;&gt;""),$U$24:U100),$B$11))))</f>
        <v>16.4726772529133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1.13880059224863</v>
      </c>
      <c r="J101" s="16" t="n">
        <f aca="false">IF(D101="","",$B$12)</f>
        <v>0.25</v>
      </c>
      <c r="K101" s="16" t="n">
        <f aca="false">IF(J101="","",J101*$B$15)</f>
        <v>0.648</v>
      </c>
      <c r="L101" s="16" t="n">
        <f aca="false">IF(D101="","",H101+E101-K101-G101*I101)</f>
        <v>17.1077948652958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1.15123205383646</v>
      </c>
      <c r="N101" s="16" t="n">
        <f aca="false">IF(D101="","",(I101+M101)/2)</f>
        <v>1.14501632304254</v>
      </c>
      <c r="O101" s="16" t="n">
        <f aca="false">IF(D101="","",G101*N101)</f>
        <v>0.119883209022554</v>
      </c>
      <c r="P101" s="16" t="n">
        <f aca="false">IF(D101="","",H101+E101-K101-O101)</f>
        <v>17.1071440782817</v>
      </c>
      <c r="Q101" s="16" t="n">
        <f aca="false">IF(D101="","",IF(P101&gt;=0,K101,MAX(0,K101+P101)))</f>
        <v>0.648</v>
      </c>
      <c r="R101" s="16" t="n">
        <f aca="false">IF(D101="","",Q101/$B$15)</f>
        <v>0.25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17.1071440782817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80.3152304144681</v>
      </c>
      <c r="Z101" s="18" t="n">
        <f aca="false">IF(D101="","",MAX(0,IF(P101&gt;=0,P101,IF(K101+P101&gt;=0,0,P101+K101))))</f>
        <v>17.1071440782817</v>
      </c>
      <c r="AA101" s="18" t="n">
        <f aca="false">IF(D101="","",IF(H101&lt;=$B$16,1,IF(H101&gt;=$B$17,$B$21,MATCH(H101,Aux_CAV!$A$2:$A$121,1))))</f>
        <v>6</v>
      </c>
      <c r="AB101" s="18" t="n">
        <f aca="false">IF(D101="","",IF(L101&lt;=$B$16,1,IF(L101&gt;=$B$17,$B$21,MATCH(L101,Aux_CAV!$A$2:$A$121,1))))</f>
        <v>7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0.149179891762347</v>
      </c>
      <c r="E102" s="16" t="n">
        <f aca="false">IF(D102="","",D102*$B$15)</f>
        <v>0.386674279448003</v>
      </c>
      <c r="F102" s="16" t="n">
        <f aca="false" t="array" ref="F102:F102">IF(D102="","",IFERROR(INDEX(Dados_Evap!$C$2:$N$15,MATCH($B$9,Dados_Evap!$A$2:$A$15,0),C102),0))</f>
        <v>145.2</v>
      </c>
      <c r="G102" s="16" t="n">
        <f aca="false">IF(F102="","",F102/1000)</f>
        <v>0.1452</v>
      </c>
      <c r="H102" s="16" t="n">
        <f aca="false">IF(D102="","",MAX(0,MIN($B$8,IFERROR(LOOKUP(2,1/($U$24:U101&lt;&gt;""),$U$24:U101),$B$11))))</f>
        <v>17.1071440782817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1.1512198261055</v>
      </c>
      <c r="J102" s="16" t="n">
        <f aca="false">IF(D102="","",$B$12)</f>
        <v>0.25</v>
      </c>
      <c r="K102" s="16" t="n">
        <f aca="false">IF(J102="","",J102*$B$15)</f>
        <v>0.648</v>
      </c>
      <c r="L102" s="16" t="n">
        <f aca="false">IF(D102="","",H102+E102-K102-G102*I102)</f>
        <v>16.6786612389792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1.14316900031485</v>
      </c>
      <c r="N102" s="16" t="n">
        <f aca="false">IF(D102="","",(I102+M102)/2)</f>
        <v>1.14719441321018</v>
      </c>
      <c r="O102" s="16" t="n">
        <f aca="false">IF(D102="","",G102*N102)</f>
        <v>0.166572628798117</v>
      </c>
      <c r="P102" s="16" t="n">
        <f aca="false">IF(D102="","",H102+E102-K102-O102)</f>
        <v>16.6792457289316</v>
      </c>
      <c r="Q102" s="16" t="n">
        <f aca="false">IF(D102="","",IF(P102&gt;=0,K102,MAX(0,K102+P102)))</f>
        <v>0.648</v>
      </c>
      <c r="R102" s="16" t="n">
        <f aca="false">IF(D102="","",Q102/$B$15)</f>
        <v>0.25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16.6792457289316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78.3063179762046</v>
      </c>
      <c r="Z102" s="18" t="n">
        <f aca="false">IF(D102="","",MAX(0,IF(P102&gt;=0,P102,IF(K102+P102&gt;=0,0,P102+K102))))</f>
        <v>16.6792457289316</v>
      </c>
      <c r="AA102" s="18" t="n">
        <f aca="false">IF(D102="","",IF(H102&lt;=$B$16,1,IF(H102&gt;=$B$17,$B$21,MATCH(H102,Aux_CAV!$A$2:$A$121,1))))</f>
        <v>7</v>
      </c>
      <c r="AB102" s="18" t="n">
        <f aca="false">IF(D102="","",IF(L102&lt;=$B$16,1,IF(L102&gt;=$B$17,$B$21,MATCH(L102,Aux_CAV!$A$2:$A$121,1))))</f>
        <v>7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0.109944128633622</v>
      </c>
      <c r="E103" s="16" t="n">
        <f aca="false">IF(D103="","",D103*$B$15)</f>
        <v>0.284975181418348</v>
      </c>
      <c r="F103" s="16" t="n">
        <f aca="false" t="array" ref="F103:F103">IF(D103="","",IFERROR(INDEX(Dados_Evap!$C$2:$N$15,MATCH($B$9,Dados_Evap!$A$2:$A$15,0),C103),0))</f>
        <v>180.9</v>
      </c>
      <c r="G103" s="16" t="n">
        <f aca="false">IF(F103="","",F103/1000)</f>
        <v>0.1809</v>
      </c>
      <c r="H103" s="16" t="n">
        <f aca="false">IF(D103="","",MAX(0,MIN($B$8,IFERROR(LOOKUP(2,1/($U$24:U102&lt;&gt;""),$U$24:U102),$B$11))))</f>
        <v>16.6792457289316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1.14317998238076</v>
      </c>
      <c r="J103" s="16" t="n">
        <f aca="false">IF(D103="","",$B$12)</f>
        <v>0.25</v>
      </c>
      <c r="K103" s="16" t="n">
        <f aca="false">IF(J103="","",J103*$B$15)</f>
        <v>0.648</v>
      </c>
      <c r="L103" s="16" t="n">
        <f aca="false">IF(D103="","",H103+E103-K103-G103*I103)</f>
        <v>16.1094196515373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1.12712690751632</v>
      </c>
      <c r="N103" s="16" t="n">
        <f aca="false">IF(D103="","",(I103+M103)/2)</f>
        <v>1.13515344494854</v>
      </c>
      <c r="O103" s="16" t="n">
        <f aca="false">IF(D103="","",G103*N103)</f>
        <v>0.205349258191191</v>
      </c>
      <c r="P103" s="16" t="n">
        <f aca="false">IF(D103="","",H103+E103-K103-O103)</f>
        <v>16.1108716521588</v>
      </c>
      <c r="Q103" s="16" t="n">
        <f aca="false">IF(D103="","",IF(P103&gt;=0,K103,MAX(0,K103+P103)))</f>
        <v>0.648</v>
      </c>
      <c r="R103" s="16" t="n">
        <f aca="false">IF(D103="","",Q103/$B$15)</f>
        <v>0.25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16.1108716521588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75.6378950805575</v>
      </c>
      <c r="Z103" s="18" t="n">
        <f aca="false">IF(D103="","",MAX(0,IF(P103&gt;=0,P103,IF(K103+P103&gt;=0,0,P103+K103))))</f>
        <v>16.1108716521588</v>
      </c>
      <c r="AA103" s="18" t="n">
        <f aca="false">IF(D103="","",IF(H103&lt;=$B$16,1,IF(H103&gt;=$B$17,$B$21,MATCH(H103,Aux_CAV!$A$2:$A$121,1))))</f>
        <v>7</v>
      </c>
      <c r="AB103" s="18" t="n">
        <f aca="false">IF(D103="","",IF(L103&lt;=$B$16,1,IF(L103&gt;=$B$17,$B$21,MATCH(L103,Aux_CAV!$A$2:$A$121,1))))</f>
        <v>6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0.0741608475743467</v>
      </c>
      <c r="E104" s="16" t="n">
        <f aca="false">IF(D104="","",D104*$B$15)</f>
        <v>0.192224916912707</v>
      </c>
      <c r="F104" s="16" t="n">
        <f aca="false" t="array" ref="F104:F104">IF(D104="","",IFERROR(INDEX(Dados_Evap!$C$2:$N$15,MATCH($B$9,Dados_Evap!$A$2:$A$15,0),C104),0))</f>
        <v>208.9</v>
      </c>
      <c r="G104" s="16" t="n">
        <f aca="false">IF(F104="","",F104/1000)</f>
        <v>0.2089</v>
      </c>
      <c r="H104" s="16" t="n">
        <f aca="false">IF(D104="","",MAX(0,MIN($B$8,IFERROR(LOOKUP(2,1/($U$24:U103&lt;&gt;""),$U$24:U103),$B$11))))</f>
        <v>16.1108716521588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1.127173569162</v>
      </c>
      <c r="J104" s="16" t="n">
        <f aca="false">IF(D104="","",$B$12)</f>
        <v>0.25</v>
      </c>
      <c r="K104" s="16" t="n">
        <f aca="false">IF(J104="","",J104*$B$15)</f>
        <v>0.648</v>
      </c>
      <c r="L104" s="16" t="n">
        <f aca="false">IF(D104="","",H104+E104-K104-G104*I104)</f>
        <v>15.4196300104735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1.10495975458989</v>
      </c>
      <c r="N104" s="16" t="n">
        <f aca="false">IF(D104="","",(I104+M104)/2)</f>
        <v>1.11606666187594</v>
      </c>
      <c r="O104" s="16" t="n">
        <f aca="false">IF(D104="","",G104*N104)</f>
        <v>0.233146325665885</v>
      </c>
      <c r="P104" s="16" t="n">
        <f aca="false">IF(D104="","",H104+E104-K104-O104)</f>
        <v>15.4219502434056</v>
      </c>
      <c r="Q104" s="16" t="n">
        <f aca="false">IF(D104="","",IF(P104&gt;=0,K104,MAX(0,K104+P104)))</f>
        <v>0.648</v>
      </c>
      <c r="R104" s="16" t="n">
        <f aca="false">IF(D104="","",Q104/$B$15)</f>
        <v>0.25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15.4219502434056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72.4035222695097</v>
      </c>
      <c r="Z104" s="18" t="n">
        <f aca="false">IF(D104="","",MAX(0,IF(P104&gt;=0,P104,IF(K104+P104&gt;=0,0,P104+K104))))</f>
        <v>15.4219502434056</v>
      </c>
      <c r="AA104" s="18" t="n">
        <f aca="false">IF(D104="","",IF(H104&lt;=$B$16,1,IF(H104&gt;=$B$17,$B$21,MATCH(H104,Aux_CAV!$A$2:$A$121,1))))</f>
        <v>6</v>
      </c>
      <c r="AB104" s="18" t="n">
        <f aca="false">IF(D104="","",IF(L104&lt;=$B$16,1,IF(L104&gt;=$B$17,$B$21,MATCH(L104,Aux_CAV!$A$2:$A$121,1))))</f>
        <v>6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0.0412450416992393</v>
      </c>
      <c r="E105" s="16" t="n">
        <f aca="false">IF(D105="","",D105*$B$15)</f>
        <v>0.106907148084428</v>
      </c>
      <c r="F105" s="16" t="n">
        <f aca="false" t="array" ref="F105:F105">IF(D105="","",IFERROR(INDEX(Dados_Evap!$C$2:$N$15,MATCH($B$9,Dados_Evap!$A$2:$A$15,0),C105),0))</f>
        <v>235.9</v>
      </c>
      <c r="G105" s="16" t="n">
        <f aca="false">IF(F105="","",F105/1000)</f>
        <v>0.2359</v>
      </c>
      <c r="H105" s="16" t="n">
        <f aca="false">IF(D105="","",MAX(0,MIN($B$8,IFERROR(LOOKUP(2,1/($U$24:U104&lt;&gt;""),$U$24:U104),$B$11))))</f>
        <v>15.4219502434056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1.10503431784101</v>
      </c>
      <c r="J105" s="16" t="n">
        <f aca="false">IF(D105="","",$B$12)</f>
        <v>0.25</v>
      </c>
      <c r="K105" s="16" t="n">
        <f aca="false">IF(J105="","",J105*$B$15)</f>
        <v>0.648</v>
      </c>
      <c r="L105" s="16" t="n">
        <f aca="false">IF(D105="","",H105+E105-K105-G105*I105)</f>
        <v>14.6201797959113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1.07926853786482</v>
      </c>
      <c r="N105" s="16" t="n">
        <f aca="false">IF(D105="","",(I105+M105)/2)</f>
        <v>1.09215142785292</v>
      </c>
      <c r="O105" s="16" t="n">
        <f aca="false">IF(D105="","",G105*N105)</f>
        <v>0.257638521830503</v>
      </c>
      <c r="P105" s="16" t="n">
        <f aca="false">IF(D105="","",H105+E105-K105-O105)</f>
        <v>14.6232188696595</v>
      </c>
      <c r="Q105" s="16" t="n">
        <f aca="false">IF(D105="","",IF(P105&gt;=0,K105,MAX(0,K105+P105)))</f>
        <v>0.648</v>
      </c>
      <c r="R105" s="16" t="n">
        <f aca="false">IF(D105="","",Q105/$B$15)</f>
        <v>0.25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14.6232188696595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68.6536097167112</v>
      </c>
      <c r="Z105" s="18" t="n">
        <f aca="false">IF(D105="","",MAX(0,IF(P105&gt;=0,P105,IF(K105+P105&gt;=0,0,P105+K105))))</f>
        <v>14.6232188696595</v>
      </c>
      <c r="AA105" s="18" t="n">
        <f aca="false">IF(D105="","",IF(H105&lt;=$B$16,1,IF(H105&gt;=$B$17,$B$21,MATCH(H105,Aux_CAV!$A$2:$A$121,1))))</f>
        <v>6</v>
      </c>
      <c r="AB105" s="18" t="n">
        <f aca="false">IF(D105="","",IF(L105&lt;=$B$16,1,IF(L105&gt;=$B$17,$B$21,MATCH(L105,Aux_CAV!$A$2:$A$121,1))))</f>
        <v>6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0.0388288493072234</v>
      </c>
      <c r="E106" s="16" t="n">
        <f aca="false">IF(D106="","",D106*$B$15)</f>
        <v>0.100644377404323</v>
      </c>
      <c r="F106" s="16" t="n">
        <f aca="false" t="array" ref="F106:F106">IF(D106="","",IFERROR(INDEX(Dados_Evap!$C$2:$N$15,MATCH($B$9,Dados_Evap!$A$2:$A$15,0),C106),0))</f>
        <v>225.9</v>
      </c>
      <c r="G106" s="16" t="n">
        <f aca="false">IF(F106="","",F106/1000)</f>
        <v>0.2259</v>
      </c>
      <c r="H106" s="16" t="n">
        <f aca="false">IF(D106="","",MAX(0,MIN($B$8,IFERROR(LOOKUP(2,1/($U$24:U105&lt;&gt;""),$U$24:U105),$B$11))))</f>
        <v>14.6232188696595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1.07936620186051</v>
      </c>
      <c r="J106" s="16" t="n">
        <f aca="false">IF(D106="","",$B$12)</f>
        <v>0.25</v>
      </c>
      <c r="K106" s="16" t="n">
        <f aca="false">IF(J106="","",J106*$B$15)</f>
        <v>0.648</v>
      </c>
      <c r="L106" s="16" t="n">
        <f aca="false">IF(D106="","",H106+E106-K106-G106*I106)</f>
        <v>13.8320344220635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1.05394061469769</v>
      </c>
      <c r="N106" s="16" t="n">
        <f aca="false">IF(D106="","",(I106+M106)/2)</f>
        <v>1.0666534082791</v>
      </c>
      <c r="O106" s="16" t="n">
        <f aca="false">IF(D106="","",G106*N106)</f>
        <v>0.24095700493025</v>
      </c>
      <c r="P106" s="16" t="n">
        <f aca="false">IF(D106="","",H106+E106-K106-O106)</f>
        <v>13.8349062421336</v>
      </c>
      <c r="Q106" s="16" t="n">
        <f aca="false">IF(D106="","",IF(P106&gt;=0,K106,MAX(0,K106+P106)))</f>
        <v>0.648</v>
      </c>
      <c r="R106" s="16" t="n">
        <f aca="false">IF(D106="","",Q106/$B$15)</f>
        <v>0.25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13.8349062421336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64.9526114654158</v>
      </c>
      <c r="Z106" s="18" t="n">
        <f aca="false">IF(D106="","",MAX(0,IF(P106&gt;=0,P106,IF(K106+P106&gt;=0,0,P106+K106))))</f>
        <v>13.8349062421336</v>
      </c>
      <c r="AA106" s="18" t="n">
        <f aca="false">IF(D106="","",IF(H106&lt;=$B$16,1,IF(H106&gt;=$B$17,$B$21,MATCH(H106,Aux_CAV!$A$2:$A$121,1))))</f>
        <v>6</v>
      </c>
      <c r="AB106" s="18" t="n">
        <f aca="false">IF(D106="","",IF(L106&lt;=$B$16,1,IF(L106&gt;=$B$17,$B$21,MATCH(L106,Aux_CAV!$A$2:$A$121,1))))</f>
        <v>6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0.0885436769300843</v>
      </c>
      <c r="E107" s="16" t="n">
        <f aca="false">IF(D107="","",D107*$B$15)</f>
        <v>0.229505210602779</v>
      </c>
      <c r="F107" s="16" t="n">
        <f aca="false" t="array" ref="F107:F107">IF(D107="","",IFERROR(INDEX(Dados_Evap!$C$2:$N$15,MATCH($B$9,Dados_Evap!$A$2:$A$15,0),C107),0))</f>
        <v>206</v>
      </c>
      <c r="G107" s="16" t="n">
        <f aca="false">IF(F107="","",F107/1000)</f>
        <v>0.206</v>
      </c>
      <c r="H107" s="16" t="n">
        <f aca="false">IF(D107="","",MAX(0,MIN($B$8,IFERROR(LOOKUP(2,1/($U$24:U106&lt;&gt;""),$U$24:U106),$B$11))))</f>
        <v>13.8349062421336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1.05403290381148</v>
      </c>
      <c r="J107" s="16" t="n">
        <f aca="false">IF(D107="","",$B$12)</f>
        <v>0.25</v>
      </c>
      <c r="K107" s="16" t="n">
        <f aca="false">IF(J107="","",J107*$B$15)</f>
        <v>0.648</v>
      </c>
      <c r="L107" s="16" t="n">
        <f aca="false">IF(D107="","",H107+E107-K107-G107*I107)</f>
        <v>13.1992806745512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1.03360637328425</v>
      </c>
      <c r="N107" s="16" t="n">
        <f aca="false">IF(D107="","",(I107+M107)/2)</f>
        <v>1.04381963854786</v>
      </c>
      <c r="O107" s="16" t="n">
        <f aca="false">IF(D107="","",G107*N107)</f>
        <v>0.21502684554086</v>
      </c>
      <c r="P107" s="16" t="n">
        <f aca="false">IF(D107="","",H107+E107-K107-O107)</f>
        <v>13.2013846071955</v>
      </c>
      <c r="Q107" s="16" t="n">
        <f aca="false">IF(D107="","",IF(P107&gt;=0,K107,MAX(0,K107+P107)))</f>
        <v>0.648</v>
      </c>
      <c r="R107" s="16" t="n">
        <f aca="false">IF(D107="","",Q107/$B$15)</f>
        <v>0.25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13.2013846071955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61.9783314891807</v>
      </c>
      <c r="Z107" s="18" t="n">
        <f aca="false">IF(D107="","",MAX(0,IF(P107&gt;=0,P107,IF(K107+P107&gt;=0,0,P107+K107))))</f>
        <v>13.2013846071955</v>
      </c>
      <c r="AA107" s="18" t="n">
        <f aca="false">IF(D107="","",IF(H107&lt;=$B$16,1,IF(H107&gt;=$B$17,$B$21,MATCH(H107,Aux_CAV!$A$2:$A$121,1))))</f>
        <v>6</v>
      </c>
      <c r="AB107" s="18" t="n">
        <f aca="false">IF(D107="","",IF(L107&lt;=$B$16,1,IF(L107&gt;=$B$17,$B$21,MATCH(L107,Aux_CAV!$A$2:$A$121,1))))</f>
        <v>6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0.675250385234988</v>
      </c>
      <c r="E108" s="16" t="n">
        <f aca="false">IF(D108="","",D108*$B$15)</f>
        <v>1.75024899852909</v>
      </c>
      <c r="F108" s="16" t="n">
        <f aca="false" t="array" ref="F108:F108">IF(D108="","",IFERROR(INDEX(Dados_Evap!$C$2:$N$15,MATCH($B$9,Dados_Evap!$A$2:$A$15,0),C108),0))</f>
        <v>165.6</v>
      </c>
      <c r="G108" s="16" t="n">
        <f aca="false">IF(F108="","",F108/1000)</f>
        <v>0.1656</v>
      </c>
      <c r="H108" s="16" t="n">
        <f aca="false">IF(D108="","",MAX(0,MIN($B$8,IFERROR(LOOKUP(2,1/($U$24:U107&lt;&gt;""),$U$24:U107),$B$11))))</f>
        <v>13.2013846071955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1.03367398548643</v>
      </c>
      <c r="J108" s="16" t="n">
        <f aca="false">IF(D108="","",$B$12)</f>
        <v>0.25</v>
      </c>
      <c r="K108" s="16" t="n">
        <f aca="false">IF(J108="","",J108*$B$15)</f>
        <v>0.648</v>
      </c>
      <c r="L108" s="16" t="n">
        <f aca="false">IF(D108="","",H108+E108-K108-G108*I108)</f>
        <v>14.132457193728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1.06359503269069</v>
      </c>
      <c r="N108" s="16" t="n">
        <f aca="false">IF(D108="","",(I108+M108)/2)</f>
        <v>1.04863450908856</v>
      </c>
      <c r="O108" s="16" t="n">
        <f aca="false">IF(D108="","",G108*N108)</f>
        <v>0.173653874705066</v>
      </c>
      <c r="P108" s="16" t="n">
        <f aca="false">IF(D108="","",H108+E108-K108-O108)</f>
        <v>14.1299797310195</v>
      </c>
      <c r="Q108" s="16" t="n">
        <f aca="false">IF(D108="","",IF(P108&gt;=0,K108,MAX(0,K108+P108)))</f>
        <v>0.648</v>
      </c>
      <c r="R108" s="16" t="n">
        <f aca="false">IF(D108="","",Q108/$B$15)</f>
        <v>0.25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14.1299797310195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66.3379330094813</v>
      </c>
      <c r="Z108" s="18" t="n">
        <f aca="false">IF(D108="","",MAX(0,IF(P108&gt;=0,P108,IF(K108+P108&gt;=0,0,P108+K108))))</f>
        <v>14.1299797310195</v>
      </c>
      <c r="AA108" s="18" t="n">
        <f aca="false">IF(D108="","",IF(H108&lt;=$B$16,1,IF(H108&gt;=$B$17,$B$21,MATCH(H108,Aux_CAV!$A$2:$A$121,1))))</f>
        <v>6</v>
      </c>
      <c r="AB108" s="18" t="n">
        <f aca="false">IF(D108="","",IF(L108&lt;=$B$16,1,IF(L108&gt;=$B$17,$B$21,MATCH(L108,Aux_CAV!$A$2:$A$121,1))))</f>
        <v>6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1.43378605178424</v>
      </c>
      <c r="E109" s="16" t="n">
        <f aca="false">IF(D109="","",D109*$B$15)</f>
        <v>3.71637344622475</v>
      </c>
      <c r="F109" s="16" t="n">
        <f aca="false" t="array" ref="F109:F109">IF(D109="","",IFERROR(INDEX(Dados_Evap!$C$2:$N$15,MATCH($B$9,Dados_Evap!$A$2:$A$15,0),C109),0))</f>
        <v>124.9</v>
      </c>
      <c r="G109" s="16" t="n">
        <f aca="false">IF(F109="","",F109/1000)</f>
        <v>0.1249</v>
      </c>
      <c r="H109" s="16" t="n">
        <f aca="false">IF(D109="","",MAX(0,MIN($B$8,IFERROR(LOOKUP(2,1/($U$24:U108&lt;&gt;""),$U$24:U108),$B$11))))</f>
        <v>14.1299797310195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1.06351541668683</v>
      </c>
      <c r="J109" s="16" t="n">
        <f aca="false">IF(D109="","",$B$12)</f>
        <v>0.25</v>
      </c>
      <c r="K109" s="16" t="n">
        <f aca="false">IF(J109="","",J109*$B$15)</f>
        <v>0.648</v>
      </c>
      <c r="L109" s="16" t="n">
        <f aca="false">IF(D109="","",H109+E109-K109-G109*I109)</f>
        <v>17.0655201017001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1.15043774721357</v>
      </c>
      <c r="N109" s="16" t="n">
        <f aca="false">IF(D109="","",(I109+M109)/2)</f>
        <v>1.1069765819502</v>
      </c>
      <c r="O109" s="16" t="n">
        <f aca="false">IF(D109="","",G109*N109)</f>
        <v>0.13826137508558</v>
      </c>
      <c r="P109" s="16" t="n">
        <f aca="false">IF(D109="","",H109+E109-K109-O109)</f>
        <v>17.0600918021587</v>
      </c>
      <c r="Q109" s="16" t="n">
        <f aca="false">IF(D109="","",IF(P109&gt;=0,K109,MAX(0,K109+P109)))</f>
        <v>0.648</v>
      </c>
      <c r="R109" s="16" t="n">
        <f aca="false">IF(D109="","",Q109/$B$15)</f>
        <v>0.25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17.0600918021587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80.0943277096652</v>
      </c>
      <c r="Z109" s="18" t="n">
        <f aca="false">IF(D109="","",MAX(0,IF(P109&gt;=0,P109,IF(K109+P109&gt;=0,0,P109+K109))))</f>
        <v>17.0600918021587</v>
      </c>
      <c r="AA109" s="18" t="n">
        <f aca="false">IF(D109="","",IF(H109&lt;=$B$16,1,IF(H109&gt;=$B$17,$B$21,MATCH(H109,Aux_CAV!$A$2:$A$121,1))))</f>
        <v>6</v>
      </c>
      <c r="AB109" s="18" t="n">
        <f aca="false">IF(D109="","",IF(L109&lt;=$B$16,1,IF(L109&gt;=$B$17,$B$21,MATCH(L109,Aux_CAV!$A$2:$A$121,1))))</f>
        <v>7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2.34231921792084</v>
      </c>
      <c r="E110" s="16" t="n">
        <f aca="false">IF(D110="","",D110*$B$15)</f>
        <v>6.07129141285082</v>
      </c>
      <c r="F110" s="16" t="n">
        <f aca="false" t="array" ref="F110:F110">IF(D110="","",IFERROR(INDEX(Dados_Evap!$C$2:$N$15,MATCH($B$9,Dados_Evap!$A$2:$A$15,0),C110),0))</f>
        <v>88.2</v>
      </c>
      <c r="G110" s="16" t="n">
        <f aca="false">IF(F110="","",F110/1000)</f>
        <v>0.0882</v>
      </c>
      <c r="H110" s="16" t="n">
        <f aca="false">IF(D110="","",MAX(0,MIN($B$8,IFERROR(LOOKUP(2,1/($U$24:U109&lt;&gt;""),$U$24:U109),$B$11))))</f>
        <v>17.0600918021587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1.15033575411154</v>
      </c>
      <c r="J110" s="16" t="n">
        <f aca="false">IF(D110="","",$B$12)</f>
        <v>0.25</v>
      </c>
      <c r="K110" s="16" t="n">
        <f aca="false">IF(J110="","",J110*$B$15)</f>
        <v>0.648</v>
      </c>
      <c r="L110" s="16" t="n">
        <f aca="false">IF(D110="","",H110+E110-K110-G110*I110)</f>
        <v>22.3819236014969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1.24803206002495</v>
      </c>
      <c r="N110" s="16" t="n">
        <f aca="false">IF(D110="","",(I110+M110)/2)</f>
        <v>1.19918390706824</v>
      </c>
      <c r="O110" s="16" t="n">
        <f aca="false">IF(D110="","",G110*N110)</f>
        <v>0.105768020603419</v>
      </c>
      <c r="P110" s="16" t="n">
        <f aca="false">IF(D110="","",H110+E110-K110-O110)</f>
        <v>22.3776151944061</v>
      </c>
      <c r="Q110" s="16" t="n">
        <f aca="false">IF(D110="","",IF(P110&gt;=0,K110,MAX(0,K110+P110)))</f>
        <v>0.648</v>
      </c>
      <c r="R110" s="16" t="n">
        <f aca="false">IF(D110="","",Q110/$B$15)</f>
        <v>0.25</v>
      </c>
      <c r="S110" s="16" t="n">
        <f aca="false">IF(D110="","",MAX(0,J110-R110))</f>
        <v>0</v>
      </c>
      <c r="T110" s="16" t="n">
        <f aca="false">IF(D110="","",MAX(0,Z110-$B$8))</f>
        <v>1.07761519440609</v>
      </c>
      <c r="U110" s="16" t="n">
        <f aca="false">IF(D110="","",MAX(0,MIN($B$8,Z110)))</f>
        <v>21.3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22.3776151944061</v>
      </c>
      <c r="AA110" s="18" t="n">
        <f aca="false">IF(D110="","",IF(H110&lt;=$B$16,1,IF(H110&gt;=$B$17,$B$21,MATCH(H110,Aux_CAV!$A$2:$A$121,1))))</f>
        <v>7</v>
      </c>
      <c r="AB110" s="18" t="n">
        <f aca="false">IF(D110="","",IF(L110&lt;=$B$16,1,IF(L110&gt;=$B$17,$B$21,MATCH(L110,Aux_CAV!$A$2:$A$121,1))))</f>
        <v>8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1.62476145540305</v>
      </c>
      <c r="E111" s="16" t="n">
        <f aca="false">IF(D111="","",D111*$B$15)</f>
        <v>4.21138169240471</v>
      </c>
      <c r="F111" s="16" t="n">
        <f aca="false" t="array" ref="F111:F111">IF(D111="","",IFERROR(INDEX(Dados_Evap!$C$2:$N$15,MATCH($B$9,Dados_Evap!$A$2:$A$15,0),C111),0))</f>
        <v>88.2</v>
      </c>
      <c r="G111" s="16" t="n">
        <f aca="false">IF(F111="","",F111/1000)</f>
        <v>0.0882</v>
      </c>
      <c r="H111" s="16" t="n">
        <f aca="false">IF(D111="","",MAX(0,MIN($B$8,IFERROR(LOOKUP(2,1/($U$24:U110&lt;&gt;""),$U$24:U110),$B$11))))</f>
        <v>21.3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1.23</v>
      </c>
      <c r="J111" s="16" t="n">
        <f aca="false">IF(D111="","",$B$12)</f>
        <v>0.25</v>
      </c>
      <c r="K111" s="16" t="n">
        <f aca="false">IF(J111="","",J111*$B$15)</f>
        <v>0.648</v>
      </c>
      <c r="L111" s="16" t="n">
        <f aca="false">IF(D111="","",H111+E111-K111-G111*I111)</f>
        <v>24.7548956924047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1.30409045139202</v>
      </c>
      <c r="N111" s="16" t="n">
        <f aca="false">IF(D111="","",(I111+M111)/2)</f>
        <v>1.26704522569601</v>
      </c>
      <c r="O111" s="16" t="n">
        <f aca="false">IF(D111="","",G111*N111)</f>
        <v>0.111753388906388</v>
      </c>
      <c r="P111" s="16" t="n">
        <f aca="false">IF(D111="","",H111+E111-K111-O111)</f>
        <v>24.7516283034983</v>
      </c>
      <c r="Q111" s="16" t="n">
        <f aca="false">IF(D111="","",IF(P111&gt;=0,K111,MAX(0,K111+P111)))</f>
        <v>0.648</v>
      </c>
      <c r="R111" s="16" t="n">
        <f aca="false">IF(D111="","",Q111/$B$15)</f>
        <v>0.25</v>
      </c>
      <c r="S111" s="16" t="n">
        <f aca="false">IF(D111="","",MAX(0,J111-R111))</f>
        <v>0</v>
      </c>
      <c r="T111" s="16" t="n">
        <f aca="false">IF(D111="","",MAX(0,Z111-$B$8))</f>
        <v>3.45162830349832</v>
      </c>
      <c r="U111" s="16" t="n">
        <f aca="false">IF(D111="","",MAX(0,MIN($B$8,Z111)))</f>
        <v>21.3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24.7516283034983</v>
      </c>
      <c r="AA111" s="18" t="n">
        <f aca="false">IF(D111="","",IF(H111&lt;=$B$16,1,IF(H111&gt;=$B$17,$B$21,MATCH(H111,Aux_CAV!$A$2:$A$121,1))))</f>
        <v>8</v>
      </c>
      <c r="AB111" s="18" t="n">
        <f aca="false">IF(D111="","",IF(L111&lt;=$B$16,1,IF(L111&gt;=$B$17,$B$21,MATCH(L111,Aux_CAV!$A$2:$A$121,1))))</f>
        <v>9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2.37209647387005</v>
      </c>
      <c r="E112" s="16" t="n">
        <f aca="false">IF(D112="","",D112*$B$15)</f>
        <v>6.14847406027117</v>
      </c>
      <c r="F112" s="16" t="n">
        <f aca="false" t="array" ref="F112:F112">IF(D112="","",IFERROR(INDEX(Dados_Evap!$C$2:$N$15,MATCH($B$9,Dados_Evap!$A$2:$A$15,0),C112),0))</f>
        <v>83.9</v>
      </c>
      <c r="G112" s="16" t="n">
        <f aca="false">IF(F112="","",F112/1000)</f>
        <v>0.0839</v>
      </c>
      <c r="H112" s="16" t="n">
        <f aca="false">IF(D112="","",MAX(0,MIN($B$8,IFERROR(LOOKUP(2,1/($U$24:U111&lt;&gt;""),$U$24:U111),$B$11))))</f>
        <v>21.3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1.23</v>
      </c>
      <c r="J112" s="16" t="n">
        <f aca="false">IF(D112="","",$B$12)</f>
        <v>0.25</v>
      </c>
      <c r="K112" s="16" t="n">
        <f aca="false">IF(J112="","",J112*$B$15)</f>
        <v>0.648</v>
      </c>
      <c r="L112" s="16" t="n">
        <f aca="false">IF(D112="","",H112+E112-K112-G112*I112)</f>
        <v>26.6972770602712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1.35068430729286</v>
      </c>
      <c r="N112" s="16" t="n">
        <f aca="false">IF(D112="","",(I112+M112)/2)</f>
        <v>1.29034215364643</v>
      </c>
      <c r="O112" s="16" t="n">
        <f aca="false">IF(D112="","",G112*N112)</f>
        <v>0.108259706690936</v>
      </c>
      <c r="P112" s="16" t="n">
        <f aca="false">IF(D112="","",H112+E112-K112-O112)</f>
        <v>26.6922143535802</v>
      </c>
      <c r="Q112" s="16" t="n">
        <f aca="false">IF(D112="","",IF(P112&gt;=0,K112,MAX(0,K112+P112)))</f>
        <v>0.648</v>
      </c>
      <c r="R112" s="16" t="n">
        <f aca="false">IF(D112="","",Q112/$B$15)</f>
        <v>0.25</v>
      </c>
      <c r="S112" s="16" t="n">
        <f aca="false">IF(D112="","",MAX(0,J112-R112))</f>
        <v>0</v>
      </c>
      <c r="T112" s="16" t="n">
        <f aca="false">IF(D112="","",MAX(0,Z112-$B$8))</f>
        <v>5.39221435358023</v>
      </c>
      <c r="U112" s="16" t="n">
        <f aca="false">IF(D112="","",MAX(0,MIN($B$8,Z112)))</f>
        <v>21.3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26.6922143535802</v>
      </c>
      <c r="AA112" s="18" t="n">
        <f aca="false">IF(D112="","",IF(H112&lt;=$B$16,1,IF(H112&gt;=$B$17,$B$21,MATCH(H112,Aux_CAV!$A$2:$A$121,1))))</f>
        <v>8</v>
      </c>
      <c r="AB112" s="18" t="n">
        <f aca="false">IF(D112="","",IF(L112&lt;=$B$16,1,IF(L112&gt;=$B$17,$B$21,MATCH(L112,Aux_CAV!$A$2:$A$121,1))))</f>
        <v>9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0.644646546350079</v>
      </c>
      <c r="E113" s="16" t="n">
        <f aca="false">IF(D113="","",D113*$B$15)</f>
        <v>1.6709238481394</v>
      </c>
      <c r="F113" s="16" t="n">
        <f aca="false" t="array" ref="F113:F113">IF(D113="","",IFERROR(INDEX(Dados_Evap!$C$2:$N$15,MATCH($B$9,Dados_Evap!$A$2:$A$15,0),C113),0))</f>
        <v>104.7</v>
      </c>
      <c r="G113" s="16" t="n">
        <f aca="false">IF(F113="","",F113/1000)</f>
        <v>0.1047</v>
      </c>
      <c r="H113" s="16" t="n">
        <f aca="false">IF(D113="","",MAX(0,MIN($B$8,IFERROR(LOOKUP(2,1/($U$24:U112&lt;&gt;""),$U$24:U112),$B$11))))</f>
        <v>21.3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1.23</v>
      </c>
      <c r="J113" s="16" t="n">
        <f aca="false">IF(D113="","",$B$12)</f>
        <v>0.25</v>
      </c>
      <c r="K113" s="16" t="n">
        <f aca="false">IF(J113="","",J113*$B$15)</f>
        <v>0.648</v>
      </c>
      <c r="L113" s="16" t="n">
        <f aca="false">IF(D113="","",H113+E113-K113-G113*I113)</f>
        <v>22.1941428481394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1.24490238080232</v>
      </c>
      <c r="N113" s="16" t="n">
        <f aca="false">IF(D113="","",(I113+M113)/2)</f>
        <v>1.23745119040116</v>
      </c>
      <c r="O113" s="16" t="n">
        <f aca="false">IF(D113="","",G113*N113)</f>
        <v>0.129561139635002</v>
      </c>
      <c r="P113" s="16" t="n">
        <f aca="false">IF(D113="","",H113+E113-K113-O113)</f>
        <v>22.1933627085044</v>
      </c>
      <c r="Q113" s="16" t="n">
        <f aca="false">IF(D113="","",IF(P113&gt;=0,K113,MAX(0,K113+P113)))</f>
        <v>0.648</v>
      </c>
      <c r="R113" s="16" t="n">
        <f aca="false">IF(D113="","",Q113/$B$15)</f>
        <v>0.25</v>
      </c>
      <c r="S113" s="16" t="n">
        <f aca="false">IF(D113="","",MAX(0,J113-R113))</f>
        <v>0</v>
      </c>
      <c r="T113" s="16" t="n">
        <f aca="false">IF(D113="","",MAX(0,Z113-$B$8))</f>
        <v>0.893362708504405</v>
      </c>
      <c r="U113" s="16" t="n">
        <f aca="false">IF(D113="","",MAX(0,MIN($B$8,Z113)))</f>
        <v>21.3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22.1933627085044</v>
      </c>
      <c r="AA113" s="18" t="n">
        <f aca="false">IF(D113="","",IF(H113&lt;=$B$16,1,IF(H113&gt;=$B$17,$B$21,MATCH(H113,Aux_CAV!$A$2:$A$121,1))))</f>
        <v>8</v>
      </c>
      <c r="AB113" s="18" t="n">
        <f aca="false">IF(D113="","",IF(L113&lt;=$B$16,1,IF(L113&gt;=$B$17,$B$21,MATCH(L113,Aux_CAV!$A$2:$A$121,1))))</f>
        <v>8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0.356578647229121</v>
      </c>
      <c r="E114" s="16" t="n">
        <f aca="false">IF(D114="","",D114*$B$15)</f>
        <v>0.924251853617882</v>
      </c>
      <c r="F114" s="16" t="n">
        <f aca="false" t="array" ref="F114:F114">IF(D114="","",IFERROR(INDEX(Dados_Evap!$C$2:$N$15,MATCH($B$9,Dados_Evap!$A$2:$A$15,0),C114),0))</f>
        <v>145.2</v>
      </c>
      <c r="G114" s="16" t="n">
        <f aca="false">IF(F114="","",F114/1000)</f>
        <v>0.1452</v>
      </c>
      <c r="H114" s="16" t="n">
        <f aca="false">IF(D114="","",MAX(0,MIN($B$8,IFERROR(LOOKUP(2,1/($U$24:U113&lt;&gt;""),$U$24:U113),$B$11))))</f>
        <v>21.3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1.23</v>
      </c>
      <c r="J114" s="16" t="n">
        <f aca="false">IF(D114="","",$B$12)</f>
        <v>0.25</v>
      </c>
      <c r="K114" s="16" t="n">
        <f aca="false">IF(J114="","",J114*$B$15)</f>
        <v>0.648</v>
      </c>
      <c r="L114" s="16" t="n">
        <f aca="false">IF(D114="","",H114+E114-K114-G114*I114)</f>
        <v>21.3976558536179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1.2316275975603</v>
      </c>
      <c r="N114" s="16" t="n">
        <f aca="false">IF(D114="","",(I114+M114)/2)</f>
        <v>1.23081379878015</v>
      </c>
      <c r="O114" s="16" t="n">
        <f aca="false">IF(D114="","",G114*N114)</f>
        <v>0.178714163582878</v>
      </c>
      <c r="P114" s="16" t="n">
        <f aca="false">IF(D114="","",H114+E114-K114-O114)</f>
        <v>21.397537690035</v>
      </c>
      <c r="Q114" s="16" t="n">
        <f aca="false">IF(D114="","",IF(P114&gt;=0,K114,MAX(0,K114+P114)))</f>
        <v>0.648</v>
      </c>
      <c r="R114" s="16" t="n">
        <f aca="false">IF(D114="","",Q114/$B$15)</f>
        <v>0.25</v>
      </c>
      <c r="S114" s="16" t="n">
        <f aca="false">IF(D114="","",MAX(0,J114-R114))</f>
        <v>0</v>
      </c>
      <c r="T114" s="16" t="n">
        <f aca="false">IF(D114="","",MAX(0,Z114-$B$8))</f>
        <v>0.0975376900350042</v>
      </c>
      <c r="U114" s="16" t="n">
        <f aca="false">IF(D114="","",MAX(0,MIN($B$8,Z114)))</f>
        <v>21.3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21.397537690035</v>
      </c>
      <c r="AA114" s="18" t="n">
        <f aca="false">IF(D114="","",IF(H114&lt;=$B$16,1,IF(H114&gt;=$B$17,$B$21,MATCH(H114,Aux_CAV!$A$2:$A$121,1))))</f>
        <v>8</v>
      </c>
      <c r="AB114" s="18" t="n">
        <f aca="false">IF(D114="","",IF(L114&lt;=$B$16,1,IF(L114&gt;=$B$17,$B$21,MATCH(L114,Aux_CAV!$A$2:$A$121,1))))</f>
        <v>8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0.220613853878071</v>
      </c>
      <c r="E115" s="16" t="n">
        <f aca="false">IF(D115="","",D115*$B$15)</f>
        <v>0.57183110925196</v>
      </c>
      <c r="F115" s="16" t="n">
        <f aca="false" t="array" ref="F115:F115">IF(D115="","",IFERROR(INDEX(Dados_Evap!$C$2:$N$15,MATCH($B$9,Dados_Evap!$A$2:$A$15,0),C115),0))</f>
        <v>180.9</v>
      </c>
      <c r="G115" s="16" t="n">
        <f aca="false">IF(F115="","",F115/1000)</f>
        <v>0.1809</v>
      </c>
      <c r="H115" s="16" t="n">
        <f aca="false">IF(D115="","",MAX(0,MIN($B$8,IFERROR(LOOKUP(2,1/($U$24:U114&lt;&gt;""),$U$24:U114),$B$11))))</f>
        <v>21.3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1.23</v>
      </c>
      <c r="J115" s="16" t="n">
        <f aca="false">IF(D115="","",$B$12)</f>
        <v>0.25</v>
      </c>
      <c r="K115" s="16" t="n">
        <f aca="false">IF(J115="","",J115*$B$15)</f>
        <v>0.648</v>
      </c>
      <c r="L115" s="16" t="n">
        <f aca="false">IF(D115="","",H115+E115-K115-G115*I115)</f>
        <v>21.001324109252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1.22438813566444</v>
      </c>
      <c r="N115" s="16" t="n">
        <f aca="false">IF(D115="","",(I115+M115)/2)</f>
        <v>1.22719406783222</v>
      </c>
      <c r="O115" s="16" t="n">
        <f aca="false">IF(D115="","",G115*N115)</f>
        <v>0.221999406870849</v>
      </c>
      <c r="P115" s="16" t="n">
        <f aca="false">IF(D115="","",H115+E115-K115-O115)</f>
        <v>21.0018317023811</v>
      </c>
      <c r="Q115" s="16" t="n">
        <f aca="false">IF(D115="","",IF(P115&gt;=0,K115,MAX(0,K115+P115)))</f>
        <v>0.648</v>
      </c>
      <c r="R115" s="16" t="n">
        <f aca="false">IF(D115="","",Q115/$B$15)</f>
        <v>0.25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21.0018317023811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98.60014883747</v>
      </c>
      <c r="Z115" s="18" t="n">
        <f aca="false">IF(D115="","",MAX(0,IF(P115&gt;=0,P115,IF(K115+P115&gt;=0,0,P115+K115))))</f>
        <v>21.0018317023811</v>
      </c>
      <c r="AA115" s="18" t="n">
        <f aca="false">IF(D115="","",IF(H115&lt;=$B$16,1,IF(H115&gt;=$B$17,$B$21,MATCH(H115,Aux_CAV!$A$2:$A$121,1))))</f>
        <v>8</v>
      </c>
      <c r="AB115" s="18" t="n">
        <f aca="false">IF(D115="","",IF(L115&lt;=$B$16,1,IF(L115&gt;=$B$17,$B$21,MATCH(L115,Aux_CAV!$A$2:$A$121,1))))</f>
        <v>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0.144358014135663</v>
      </c>
      <c r="E116" s="16" t="n">
        <f aca="false">IF(D116="","",D116*$B$15)</f>
        <v>0.374175972639639</v>
      </c>
      <c r="F116" s="16" t="n">
        <f aca="false" t="array" ref="F116:F116">IF(D116="","",IFERROR(INDEX(Dados_Evap!$C$2:$N$15,MATCH($B$9,Dados_Evap!$A$2:$A$15,0),C116),0))</f>
        <v>208.9</v>
      </c>
      <c r="G116" s="16" t="n">
        <f aca="false">IF(F116="","",F116/1000)</f>
        <v>0.2089</v>
      </c>
      <c r="H116" s="16" t="n">
        <f aca="false">IF(D116="","",MAX(0,MIN($B$8,IFERROR(LOOKUP(2,1/($U$24:U115&lt;&gt;""),$U$24:U115),$B$11))))</f>
        <v>21.0018317023811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1.22439767290486</v>
      </c>
      <c r="J116" s="16" t="n">
        <f aca="false">IF(D116="","",$B$12)</f>
        <v>0.25</v>
      </c>
      <c r="K116" s="16" t="n">
        <f aca="false">IF(J116="","",J116*$B$15)</f>
        <v>0.648</v>
      </c>
      <c r="L116" s="16" t="n">
        <f aca="false">IF(D116="","",H116+E116-K116-G116*I116)</f>
        <v>20.4722310011509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1.21444692904041</v>
      </c>
      <c r="N116" s="16" t="n">
        <f aca="false">IF(D116="","",(I116+M116)/2)</f>
        <v>1.21942230097264</v>
      </c>
      <c r="O116" s="16" t="n">
        <f aca="false">IF(D116="","",G116*N116)</f>
        <v>0.254737318673184</v>
      </c>
      <c r="P116" s="16" t="n">
        <f aca="false">IF(D116="","",H116+E116-K116-O116)</f>
        <v>20.4732703563476</v>
      </c>
      <c r="Q116" s="16" t="n">
        <f aca="false">IF(D116="","",IF(P116&gt;=0,K116,MAX(0,K116+P116)))</f>
        <v>0.648</v>
      </c>
      <c r="R116" s="16" t="n">
        <f aca="false">IF(D116="","",Q116/$B$15)</f>
        <v>0.25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20.4732703563476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96.1186401706458</v>
      </c>
      <c r="Z116" s="18" t="n">
        <f aca="false">IF(D116="","",MAX(0,IF(P116&gt;=0,P116,IF(K116+P116&gt;=0,0,P116+K116))))</f>
        <v>20.4732703563476</v>
      </c>
      <c r="AA116" s="18" t="n">
        <f aca="false">IF(D116="","",IF(H116&lt;=$B$16,1,IF(H116&gt;=$B$17,$B$21,MATCH(H116,Aux_CAV!$A$2:$A$121,1))))</f>
        <v>7</v>
      </c>
      <c r="AB116" s="18" t="n">
        <f aca="false">IF(D116="","",IF(L116&lt;=$B$16,1,IF(L116&gt;=$B$17,$B$21,MATCH(L116,Aux_CAV!$A$2:$A$121,1))))</f>
        <v>7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0.0793993780674684</v>
      </c>
      <c r="E117" s="16" t="n">
        <f aca="false">IF(D117="","",D117*$B$15)</f>
        <v>0.205803187950878</v>
      </c>
      <c r="F117" s="16" t="n">
        <f aca="false" t="array" ref="F117:F117">IF(D117="","",IFERROR(INDEX(Dados_Evap!$C$2:$N$15,MATCH($B$9,Dados_Evap!$A$2:$A$15,0),C117),0))</f>
        <v>235.9</v>
      </c>
      <c r="G117" s="16" t="n">
        <f aca="false">IF(F117="","",F117/1000)</f>
        <v>0.2359</v>
      </c>
      <c r="H117" s="16" t="n">
        <f aca="false">IF(D117="","",MAX(0,MIN($B$8,IFERROR(LOOKUP(2,1/($U$24:U116&lt;&gt;""),$U$24:U116),$B$11))))</f>
        <v>20.4732703563476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1.21446645763492</v>
      </c>
      <c r="J117" s="16" t="n">
        <f aca="false">IF(D117="","",$B$12)</f>
        <v>0.25</v>
      </c>
      <c r="K117" s="16" t="n">
        <f aca="false">IF(J117="","",J117*$B$15)</f>
        <v>0.648</v>
      </c>
      <c r="L117" s="16" t="n">
        <f aca="false">IF(D117="","",H117+E117-K117-G117*I117)</f>
        <v>19.7445809069424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1.20077500660226</v>
      </c>
      <c r="N117" s="16" t="n">
        <f aca="false">IF(D117="","",(I117+M117)/2)</f>
        <v>1.20762073211859</v>
      </c>
      <c r="O117" s="16" t="n">
        <f aca="false">IF(D117="","",G117*N117)</f>
        <v>0.284877730706775</v>
      </c>
      <c r="P117" s="16" t="n">
        <f aca="false">IF(D117="","",H117+E117-K117-O117)</f>
        <v>19.7461958135917</v>
      </c>
      <c r="Q117" s="16" t="n">
        <f aca="false">IF(D117="","",IF(P117&gt;=0,K117,MAX(0,K117+P117)))</f>
        <v>0.648</v>
      </c>
      <c r="R117" s="16" t="n">
        <f aca="false">IF(D117="","",Q117/$B$15)</f>
        <v>0.25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19.7461958135917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92.7051446647496</v>
      </c>
      <c r="Z117" s="18" t="n">
        <f aca="false">IF(D117="","",MAX(0,IF(P117&gt;=0,P117,IF(K117+P117&gt;=0,0,P117+K117))))</f>
        <v>19.7461958135917</v>
      </c>
      <c r="AA117" s="18" t="n">
        <f aca="false">IF(D117="","",IF(H117&lt;=$B$16,1,IF(H117&gt;=$B$17,$B$21,MATCH(H117,Aux_CAV!$A$2:$A$121,1))))</f>
        <v>7</v>
      </c>
      <c r="AB117" s="18" t="n">
        <f aca="false">IF(D117="","",IF(L117&lt;=$B$16,1,IF(L117&gt;=$B$17,$B$21,MATCH(L117,Aux_CAV!$A$2:$A$121,1))))</f>
        <v>7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0.116091718085803</v>
      </c>
      <c r="E118" s="16" t="n">
        <f aca="false">IF(D118="","",D118*$B$15)</f>
        <v>0.300909733278401</v>
      </c>
      <c r="F118" s="16" t="n">
        <f aca="false" t="array" ref="F118:F118">IF(D118="","",IFERROR(INDEX(Dados_Evap!$C$2:$N$15,MATCH($B$9,Dados_Evap!$A$2:$A$15,0),C118),0))</f>
        <v>225.9</v>
      </c>
      <c r="G118" s="16" t="n">
        <f aca="false">IF(F118="","",F118/1000)</f>
        <v>0.2259</v>
      </c>
      <c r="H118" s="16" t="n">
        <f aca="false">IF(D118="","",MAX(0,MIN($B$8,IFERROR(LOOKUP(2,1/($U$24:U117&lt;&gt;""),$U$24:U117),$B$11))))</f>
        <v>19.7461958135917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1.20080534931592</v>
      </c>
      <c r="J118" s="16" t="n">
        <f aca="false">IF(D118="","",$B$12)</f>
        <v>0.25</v>
      </c>
      <c r="K118" s="16" t="n">
        <f aca="false">IF(J118="","",J118*$B$15)</f>
        <v>0.648</v>
      </c>
      <c r="L118" s="16" t="n">
        <f aca="false">IF(D118="","",H118+E118-K118-G118*I118)</f>
        <v>19.1278436184596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1.18918704084788</v>
      </c>
      <c r="N118" s="16" t="n">
        <f aca="false">IF(D118="","",(I118+M118)/2)</f>
        <v>1.1949961950819</v>
      </c>
      <c r="O118" s="16" t="n">
        <f aca="false">IF(D118="","",G118*N118)</f>
        <v>0.269949640469002</v>
      </c>
      <c r="P118" s="16" t="n">
        <f aca="false">IF(D118="","",H118+E118-K118-O118)</f>
        <v>19.1291559064011</v>
      </c>
      <c r="Q118" s="16" t="n">
        <f aca="false">IF(D118="","",IF(P118&gt;=0,K118,MAX(0,K118+P118)))</f>
        <v>0.648</v>
      </c>
      <c r="R118" s="16" t="n">
        <f aca="false">IF(D118="","",Q118/$B$15)</f>
        <v>0.25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19.1291559064011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89.8082436920238</v>
      </c>
      <c r="Z118" s="18" t="n">
        <f aca="false">IF(D118="","",MAX(0,IF(P118&gt;=0,P118,IF(K118+P118&gt;=0,0,P118+K118))))</f>
        <v>19.1291559064011</v>
      </c>
      <c r="AA118" s="18" t="n">
        <f aca="false">IF(D118="","",IF(H118&lt;=$B$16,1,IF(H118&gt;=$B$17,$B$21,MATCH(H118,Aux_CAV!$A$2:$A$121,1))))</f>
        <v>7</v>
      </c>
      <c r="AB118" s="18" t="n">
        <f aca="false">IF(D118="","",IF(L118&lt;=$B$16,1,IF(L118&gt;=$B$17,$B$21,MATCH(L118,Aux_CAV!$A$2:$A$121,1))))</f>
        <v>7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0.176309730975745</v>
      </c>
      <c r="E119" s="16" t="n">
        <f aca="false">IF(D119="","",D119*$B$15)</f>
        <v>0.456994822689131</v>
      </c>
      <c r="F119" s="16" t="n">
        <f aca="false" t="array" ref="F119:F119">IF(D119="","",IFERROR(INDEX(Dados_Evap!$C$2:$N$15,MATCH($B$9,Dados_Evap!$A$2:$A$15,0),C119),0))</f>
        <v>206</v>
      </c>
      <c r="G119" s="16" t="n">
        <f aca="false">IF(F119="","",F119/1000)</f>
        <v>0.206</v>
      </c>
      <c r="H119" s="16" t="n">
        <f aca="false">IF(D119="","",MAX(0,MIN($B$8,IFERROR(LOOKUP(2,1/($U$24:U118&lt;&gt;""),$U$24:U118),$B$11))))</f>
        <v>19.1291559064011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1.18921169761505</v>
      </c>
      <c r="J119" s="16" t="n">
        <f aca="false">IF(D119="","",$B$12)</f>
        <v>0.25</v>
      </c>
      <c r="K119" s="16" t="n">
        <f aca="false">IF(J119="","",J119*$B$15)</f>
        <v>0.648</v>
      </c>
      <c r="L119" s="16" t="n">
        <f aca="false">IF(D119="","",H119+E119-K119-G119*I119)</f>
        <v>18.6931731193815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1.18101995422637</v>
      </c>
      <c r="N119" s="16" t="n">
        <f aca="false">IF(D119="","",(I119+M119)/2)</f>
        <v>1.18511582592071</v>
      </c>
      <c r="O119" s="16" t="n">
        <f aca="false">IF(D119="","",G119*N119)</f>
        <v>0.244133860139667</v>
      </c>
      <c r="P119" s="16" t="n">
        <f aca="false">IF(D119="","",H119+E119-K119-O119)</f>
        <v>18.6940168689505</v>
      </c>
      <c r="Q119" s="16" t="n">
        <f aca="false">IF(D119="","",IF(P119&gt;=0,K119,MAX(0,K119+P119)))</f>
        <v>0.648</v>
      </c>
      <c r="R119" s="16" t="n">
        <f aca="false">IF(D119="","",Q119/$B$15)</f>
        <v>0.25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18.6940168689505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87.7653374129133</v>
      </c>
      <c r="Z119" s="18" t="n">
        <f aca="false">IF(D119="","",MAX(0,IF(P119&gt;=0,P119,IF(K119+P119&gt;=0,0,P119+K119))))</f>
        <v>18.6940168689505</v>
      </c>
      <c r="AA119" s="18" t="n">
        <f aca="false">IF(D119="","",IF(H119&lt;=$B$16,1,IF(H119&gt;=$B$17,$B$21,MATCH(H119,Aux_CAV!$A$2:$A$121,1))))</f>
        <v>7</v>
      </c>
      <c r="AB119" s="18" t="n">
        <f aca="false">IF(D119="","",IF(L119&lt;=$B$16,1,IF(L119&gt;=$B$17,$B$21,MATCH(L119,Aux_CAV!$A$2:$A$121,1))))</f>
        <v>7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0.281595000140249</v>
      </c>
      <c r="E120" s="16" t="n">
        <f aca="false">IF(D120="","",D120*$B$15)</f>
        <v>0.729894240363526</v>
      </c>
      <c r="F120" s="16" t="n">
        <f aca="false" t="array" ref="F120:F120">IF(D120="","",IFERROR(INDEX(Dados_Evap!$C$2:$N$15,MATCH($B$9,Dados_Evap!$A$2:$A$15,0),C120),0))</f>
        <v>165.6</v>
      </c>
      <c r="G120" s="16" t="n">
        <f aca="false">IF(F120="","",F120/1000)</f>
        <v>0.1656</v>
      </c>
      <c r="H120" s="16" t="n">
        <f aca="false">IF(D120="","",MAX(0,MIN($B$8,IFERROR(LOOKUP(2,1/($U$24:U119&lt;&gt;""),$U$24:U119),$B$11))))</f>
        <v>18.6940168689505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1.18103580755857</v>
      </c>
      <c r="J120" s="16" t="n">
        <f aca="false">IF(D120="","",$B$12)</f>
        <v>0.25</v>
      </c>
      <c r="K120" s="16" t="n">
        <f aca="false">IF(J120="","",J120*$B$15)</f>
        <v>0.648</v>
      </c>
      <c r="L120" s="16" t="n">
        <f aca="false">IF(D120="","",H120+E120-K120-G120*I120)</f>
        <v>18.5803315795824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1.17889975828025</v>
      </c>
      <c r="N120" s="16" t="n">
        <f aca="false">IF(D120="","",(I120+M120)/2)</f>
        <v>1.17996778291941</v>
      </c>
      <c r="O120" s="16" t="n">
        <f aca="false">IF(D120="","",G120*N120)</f>
        <v>0.195402664851454</v>
      </c>
      <c r="P120" s="16" t="n">
        <f aca="false">IF(D120="","",H120+E120-K120-O120)</f>
        <v>18.5805084444626</v>
      </c>
      <c r="Q120" s="16" t="n">
        <f aca="false">IF(D120="","",IF(P120&gt;=0,K120,MAX(0,K120+P120)))</f>
        <v>0.648</v>
      </c>
      <c r="R120" s="16" t="n">
        <f aca="false">IF(D120="","",Q120/$B$15)</f>
        <v>0.25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18.5805084444626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87.2324340115615</v>
      </c>
      <c r="Z120" s="18" t="n">
        <f aca="false">IF(D120="","",MAX(0,IF(P120&gt;=0,P120,IF(K120+P120&gt;=0,0,P120+K120))))</f>
        <v>18.5805084444626</v>
      </c>
      <c r="AA120" s="18" t="n">
        <f aca="false">IF(D120="","",IF(H120&lt;=$B$16,1,IF(H120&gt;=$B$17,$B$21,MATCH(H120,Aux_CAV!$A$2:$A$121,1))))</f>
        <v>7</v>
      </c>
      <c r="AB120" s="18" t="n">
        <f aca="false">IF(D120="","",IF(L120&lt;=$B$16,1,IF(L120&gt;=$B$17,$B$21,MATCH(L120,Aux_CAV!$A$2:$A$121,1))))</f>
        <v>7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0.429331395386766</v>
      </c>
      <c r="E121" s="16" t="n">
        <f aca="false">IF(D121="","",D121*$B$15)</f>
        <v>1.1128269768425</v>
      </c>
      <c r="F121" s="16" t="n">
        <f aca="false" t="array" ref="F121:F121">IF(D121="","",IFERROR(INDEX(Dados_Evap!$C$2:$N$15,MATCH($B$9,Dados_Evap!$A$2:$A$15,0),C121),0))</f>
        <v>124.9</v>
      </c>
      <c r="G121" s="16" t="n">
        <f aca="false">IF(F121="","",F121/1000)</f>
        <v>0.1249</v>
      </c>
      <c r="H121" s="16" t="n">
        <f aca="false">IF(D121="","",MAX(0,MIN($B$8,IFERROR(LOOKUP(2,1/($U$24:U120&lt;&gt;""),$U$24:U120),$B$11))))</f>
        <v>18.5805084444626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1.17890308141997</v>
      </c>
      <c r="J121" s="16" t="n">
        <f aca="false">IF(D121="","",$B$12)</f>
        <v>0.25</v>
      </c>
      <c r="K121" s="16" t="n">
        <f aca="false">IF(J121="","",J121*$B$15)</f>
        <v>0.648</v>
      </c>
      <c r="L121" s="16" t="n">
        <f aca="false">IF(D121="","",H121+E121-K121-G121*I121)</f>
        <v>18.8980904264358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1.18487017502698</v>
      </c>
      <c r="N121" s="16" t="n">
        <f aca="false">IF(D121="","",(I121+M121)/2)</f>
        <v>1.18188662822347</v>
      </c>
      <c r="O121" s="16" t="n">
        <f aca="false">IF(D121="","",G121*N121)</f>
        <v>0.147617639865112</v>
      </c>
      <c r="P121" s="16" t="n">
        <f aca="false">IF(D121="","",H121+E121-K121-O121)</f>
        <v>18.89771778144</v>
      </c>
      <c r="Q121" s="16" t="n">
        <f aca="false">IF(D121="","",IF(P121&gt;=0,K121,MAX(0,K121+P121)))</f>
        <v>0.648</v>
      </c>
      <c r="R121" s="16" t="n">
        <f aca="false">IF(D121="","",Q121/$B$15)</f>
        <v>0.25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18.89771778144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88.7216797250704</v>
      </c>
      <c r="Z121" s="18" t="n">
        <f aca="false">IF(D121="","",MAX(0,IF(P121&gt;=0,P121,IF(K121+P121&gt;=0,0,P121+K121))))</f>
        <v>18.89771778144</v>
      </c>
      <c r="AA121" s="18" t="n">
        <f aca="false">IF(D121="","",IF(H121&lt;=$B$16,1,IF(H121&gt;=$B$17,$B$21,MATCH(H121,Aux_CAV!$A$2:$A$121,1))))</f>
        <v>7</v>
      </c>
      <c r="AB121" s="18" t="n">
        <f aca="false">IF(D121="","",IF(L121&lt;=$B$16,1,IF(L121&gt;=$B$17,$B$21,MATCH(L121,Aux_CAV!$A$2:$A$121,1))))</f>
        <v>7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1.0794757916228</v>
      </c>
      <c r="E122" s="16" t="n">
        <f aca="false">IF(D122="","",D122*$B$15)</f>
        <v>2.7980012518863</v>
      </c>
      <c r="F122" s="16" t="n">
        <f aca="false" t="array" ref="F122:F122">IF(D122="","",IFERROR(INDEX(Dados_Evap!$C$2:$N$15,MATCH($B$9,Dados_Evap!$A$2:$A$15,0),C122),0))</f>
        <v>88.2</v>
      </c>
      <c r="G122" s="16" t="n">
        <f aca="false">IF(F122="","",F122/1000)</f>
        <v>0.0882</v>
      </c>
      <c r="H122" s="16" t="n">
        <f aca="false">IF(D122="","",MAX(0,MIN($B$8,IFERROR(LOOKUP(2,1/($U$24:U121&lt;&gt;""),$U$24:U121),$B$11))))</f>
        <v>18.89771778144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1.18486317334647</v>
      </c>
      <c r="J122" s="16" t="n">
        <f aca="false">IF(D122="","",$B$12)</f>
        <v>0.25</v>
      </c>
      <c r="K122" s="16" t="n">
        <f aca="false">IF(J122="","",J122*$B$15)</f>
        <v>0.648</v>
      </c>
      <c r="L122" s="16" t="n">
        <f aca="false">IF(D122="","",H122+E122-K122-G122*I122)</f>
        <v>20.9432141014371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1.22329629835686</v>
      </c>
      <c r="N122" s="16" t="n">
        <f aca="false">IF(D122="","",(I122+M122)/2)</f>
        <v>1.20407973585166</v>
      </c>
      <c r="O122" s="16" t="n">
        <f aca="false">IF(D122="","",G122*N122)</f>
        <v>0.106199832702117</v>
      </c>
      <c r="P122" s="16" t="n">
        <f aca="false">IF(D122="","",H122+E122-K122-O122)</f>
        <v>20.9415192006242</v>
      </c>
      <c r="Q122" s="16" t="n">
        <f aca="false">IF(D122="","",IF(P122&gt;=0,K122,MAX(0,K122+P122)))</f>
        <v>0.648</v>
      </c>
      <c r="R122" s="16" t="n">
        <f aca="false">IF(D122="","",Q122/$B$15)</f>
        <v>0.25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20.9415192006242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98.3169915522262</v>
      </c>
      <c r="Z122" s="18" t="n">
        <f aca="false">IF(D122="","",MAX(0,IF(P122&gt;=0,P122,IF(K122+P122&gt;=0,0,P122+K122))))</f>
        <v>20.9415192006242</v>
      </c>
      <c r="AA122" s="18" t="n">
        <f aca="false">IF(D122="","",IF(H122&lt;=$B$16,1,IF(H122&gt;=$B$17,$B$21,MATCH(H122,Aux_CAV!$A$2:$A$121,1))))</f>
        <v>7</v>
      </c>
      <c r="AB122" s="18" t="n">
        <f aca="false">IF(D122="","",IF(L122&lt;=$B$16,1,IF(L122&gt;=$B$17,$B$21,MATCH(L122,Aux_CAV!$A$2:$A$121,1))))</f>
        <v>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0.591518340345666</v>
      </c>
      <c r="E123" s="16" t="n">
        <f aca="false">IF(D123="","",D123*$B$15)</f>
        <v>1.53321553817597</v>
      </c>
      <c r="F123" s="16" t="n">
        <f aca="false" t="array" ref="F123:F123">IF(D123="","",IFERROR(INDEX(Dados_Evap!$C$2:$N$15,MATCH($B$9,Dados_Evap!$A$2:$A$15,0),C123),0))</f>
        <v>88.2</v>
      </c>
      <c r="G123" s="16" t="n">
        <f aca="false">IF(F123="","",F123/1000)</f>
        <v>0.0882</v>
      </c>
      <c r="H123" s="16" t="n">
        <f aca="false">IF(D123="","",MAX(0,MIN($B$8,IFERROR(LOOKUP(2,1/($U$24:U122&lt;&gt;""),$U$24:U122),$B$11))))</f>
        <v>20.9415192006242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1.22326445262133</v>
      </c>
      <c r="J123" s="16" t="n">
        <f aca="false">IF(D123="","",$B$12)</f>
        <v>0.25</v>
      </c>
      <c r="K123" s="16" t="n">
        <f aca="false">IF(J123="","",J123*$B$15)</f>
        <v>0.648</v>
      </c>
      <c r="L123" s="16" t="n">
        <f aca="false">IF(D123="","",H123+E123-K123-G123*I123)</f>
        <v>21.7188428140789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1.23698071356798</v>
      </c>
      <c r="N123" s="16" t="n">
        <f aca="false">IF(D123="","",(I123+M123)/2)</f>
        <v>1.23012258309466</v>
      </c>
      <c r="O123" s="16" t="n">
        <f aca="false">IF(D123="","",G123*N123)</f>
        <v>0.108496811828949</v>
      </c>
      <c r="P123" s="16" t="n">
        <f aca="false">IF(D123="","",H123+E123-K123-O123)</f>
        <v>21.7182379269712</v>
      </c>
      <c r="Q123" s="16" t="n">
        <f aca="false">IF(D123="","",IF(P123&gt;=0,K123,MAX(0,K123+P123)))</f>
        <v>0.648</v>
      </c>
      <c r="R123" s="16" t="n">
        <f aca="false">IF(D123="","",Q123/$B$15)</f>
        <v>0.25</v>
      </c>
      <c r="S123" s="16" t="n">
        <f aca="false">IF(D123="","",MAX(0,J123-R123))</f>
        <v>0</v>
      </c>
      <c r="T123" s="16" t="n">
        <f aca="false">IF(D123="","",MAX(0,Z123-$B$8))</f>
        <v>0.418237926971191</v>
      </c>
      <c r="U123" s="16" t="n">
        <f aca="false">IF(D123="","",MAX(0,MIN($B$8,Z123)))</f>
        <v>21.3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21.7182379269712</v>
      </c>
      <c r="AA123" s="18" t="n">
        <f aca="false">IF(D123="","",IF(H123&lt;=$B$16,1,IF(H123&gt;=$B$17,$B$21,MATCH(H123,Aux_CAV!$A$2:$A$121,1))))</f>
        <v>7</v>
      </c>
      <c r="AB123" s="18" t="n">
        <f aca="false">IF(D123="","",IF(L123&lt;=$B$16,1,IF(L123&gt;=$B$17,$B$21,MATCH(L123,Aux_CAV!$A$2:$A$121,1))))</f>
        <v>8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1.16085640993918</v>
      </c>
      <c r="E124" s="16" t="n">
        <f aca="false">IF(D124="","",D124*$B$15)</f>
        <v>3.00893981456235</v>
      </c>
      <c r="F124" s="16" t="n">
        <f aca="false" t="array" ref="F124:F124">IF(D124="","",IFERROR(INDEX(Dados_Evap!$C$2:$N$15,MATCH($B$9,Dados_Evap!$A$2:$A$15,0),C124),0))</f>
        <v>83.9</v>
      </c>
      <c r="G124" s="16" t="n">
        <f aca="false">IF(F124="","",F124/1000)</f>
        <v>0.0839</v>
      </c>
      <c r="H124" s="16" t="n">
        <f aca="false">IF(D124="","",MAX(0,MIN($B$8,IFERROR(LOOKUP(2,1/($U$24:U123&lt;&gt;""),$U$24:U123),$B$11))))</f>
        <v>21.3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1.23</v>
      </c>
      <c r="J124" s="16" t="n">
        <f aca="false">IF(D124="","",$B$12)</f>
        <v>0.25</v>
      </c>
      <c r="K124" s="16" t="n">
        <f aca="false">IF(J124="","",J124*$B$15)</f>
        <v>0.648</v>
      </c>
      <c r="L124" s="16" t="n">
        <f aca="false">IF(D124="","",H124+E124-K124-G124*I124)</f>
        <v>23.5577428145624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1.27537314097901</v>
      </c>
      <c r="N124" s="16" t="n">
        <f aca="false">IF(D124="","",(I124+M124)/2)</f>
        <v>1.2526865704895</v>
      </c>
      <c r="O124" s="16" t="n">
        <f aca="false">IF(D124="","",G124*N124)</f>
        <v>0.105100403264069</v>
      </c>
      <c r="P124" s="16" t="n">
        <f aca="false">IF(D124="","",H124+E124-K124-O124)</f>
        <v>23.5558394112983</v>
      </c>
      <c r="Q124" s="16" t="n">
        <f aca="false">IF(D124="","",IF(P124&gt;=0,K124,MAX(0,K124+P124)))</f>
        <v>0.648</v>
      </c>
      <c r="R124" s="16" t="n">
        <f aca="false">IF(D124="","",Q124/$B$15)</f>
        <v>0.25</v>
      </c>
      <c r="S124" s="16" t="n">
        <f aca="false">IF(D124="","",MAX(0,J124-R124))</f>
        <v>0</v>
      </c>
      <c r="T124" s="16" t="n">
        <f aca="false">IF(D124="","",MAX(0,Z124-$B$8))</f>
        <v>2.25583941129829</v>
      </c>
      <c r="U124" s="16" t="n">
        <f aca="false">IF(D124="","",MAX(0,MIN($B$8,Z124)))</f>
        <v>21.3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23.5558394112983</v>
      </c>
      <c r="AA124" s="18" t="n">
        <f aca="false">IF(D124="","",IF(H124&lt;=$B$16,1,IF(H124&gt;=$B$17,$B$21,MATCH(H124,Aux_CAV!$A$2:$A$121,1))))</f>
        <v>8</v>
      </c>
      <c r="AB124" s="18" t="n">
        <f aca="false">IF(D124="","",IF(L124&lt;=$B$16,1,IF(L124&gt;=$B$17,$B$21,MATCH(L124,Aux_CAV!$A$2:$A$121,1))))</f>
        <v>9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0.386232218340527</v>
      </c>
      <c r="E125" s="16" t="n">
        <f aca="false">IF(D125="","",D125*$B$15)</f>
        <v>1.00111390993865</v>
      </c>
      <c r="F125" s="16" t="n">
        <f aca="false" t="array" ref="F125:F125">IF(D125="","",IFERROR(INDEX(Dados_Evap!$C$2:$N$15,MATCH($B$9,Dados_Evap!$A$2:$A$15,0),C125),0))</f>
        <v>104.7</v>
      </c>
      <c r="G125" s="16" t="n">
        <f aca="false">IF(F125="","",F125/1000)</f>
        <v>0.1047</v>
      </c>
      <c r="H125" s="16" t="n">
        <f aca="false">IF(D125="","",MAX(0,MIN($B$8,IFERROR(LOOKUP(2,1/($U$24:U124&lt;&gt;""),$U$24:U124),$B$11))))</f>
        <v>21.3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1.23</v>
      </c>
      <c r="J125" s="16" t="n">
        <f aca="false">IF(D125="","",$B$12)</f>
        <v>0.25</v>
      </c>
      <c r="K125" s="16" t="n">
        <f aca="false">IF(J125="","",J125*$B$15)</f>
        <v>0.648</v>
      </c>
      <c r="L125" s="16" t="n">
        <f aca="false">IF(D125="","",H125+E125-K125-G125*I125)</f>
        <v>21.5243329099386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1.23373888183231</v>
      </c>
      <c r="N125" s="16" t="n">
        <f aca="false">IF(D125="","",(I125+M125)/2)</f>
        <v>1.23186944091616</v>
      </c>
      <c r="O125" s="16" t="n">
        <f aca="false">IF(D125="","",G125*N125)</f>
        <v>0.128976730463921</v>
      </c>
      <c r="P125" s="16" t="n">
        <f aca="false">IF(D125="","",H125+E125-K125-O125)</f>
        <v>21.5241371794747</v>
      </c>
      <c r="Q125" s="16" t="n">
        <f aca="false">IF(D125="","",IF(P125&gt;=0,K125,MAX(0,K125+P125)))</f>
        <v>0.648</v>
      </c>
      <c r="R125" s="16" t="n">
        <f aca="false">IF(D125="","",Q125/$B$15)</f>
        <v>0.25</v>
      </c>
      <c r="S125" s="16" t="n">
        <f aca="false">IF(D125="","",MAX(0,J125-R125))</f>
        <v>0</v>
      </c>
      <c r="T125" s="16" t="n">
        <f aca="false">IF(D125="","",MAX(0,Z125-$B$8))</f>
        <v>0.224137179474724</v>
      </c>
      <c r="U125" s="16" t="n">
        <f aca="false">IF(D125="","",MAX(0,MIN($B$8,Z125)))</f>
        <v>21.3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21.5241371794747</v>
      </c>
      <c r="AA125" s="18" t="n">
        <f aca="false">IF(D125="","",IF(H125&lt;=$B$16,1,IF(H125&gt;=$B$17,$B$21,MATCH(H125,Aux_CAV!$A$2:$A$121,1))))</f>
        <v>8</v>
      </c>
      <c r="AB125" s="18" t="n">
        <f aca="false">IF(D125="","",IF(L125&lt;=$B$16,1,IF(L125&gt;=$B$17,$B$21,MATCH(L125,Aux_CAV!$A$2:$A$121,1))))</f>
        <v>8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0.187039843324658</v>
      </c>
      <c r="E126" s="16" t="n">
        <f aca="false">IF(D126="","",D126*$B$15)</f>
        <v>0.484807273897514</v>
      </c>
      <c r="F126" s="16" t="n">
        <f aca="false" t="array" ref="F126:F126">IF(D126="","",IFERROR(INDEX(Dados_Evap!$C$2:$N$15,MATCH($B$9,Dados_Evap!$A$2:$A$15,0),C126),0))</f>
        <v>145.2</v>
      </c>
      <c r="G126" s="16" t="n">
        <f aca="false">IF(F126="","",F126/1000)</f>
        <v>0.1452</v>
      </c>
      <c r="H126" s="16" t="n">
        <f aca="false">IF(D126="","",MAX(0,MIN($B$8,IFERROR(LOOKUP(2,1/($U$24:U125&lt;&gt;""),$U$24:U125),$B$11))))</f>
        <v>21.3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1.23</v>
      </c>
      <c r="J126" s="16" t="n">
        <f aca="false">IF(D126="","",$B$12)</f>
        <v>0.25</v>
      </c>
      <c r="K126" s="16" t="n">
        <f aca="false">IF(J126="","",J126*$B$15)</f>
        <v>0.648</v>
      </c>
      <c r="L126" s="16" t="n">
        <f aca="false">IF(D126="","",H126+E126-K126-G126*I126)</f>
        <v>20.9582112738975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1.22357808239056</v>
      </c>
      <c r="N126" s="16" t="n">
        <f aca="false">IF(D126="","",(I126+M126)/2)</f>
        <v>1.22678904119528</v>
      </c>
      <c r="O126" s="16" t="n">
        <f aca="false">IF(D126="","",G126*N126)</f>
        <v>0.178129768781555</v>
      </c>
      <c r="P126" s="16" t="n">
        <f aca="false">IF(D126="","",H126+E126-K126-O126)</f>
        <v>20.958677505116</v>
      </c>
      <c r="Q126" s="16" t="n">
        <f aca="false">IF(D126="","",IF(P126&gt;=0,K126,MAX(0,K126+P126)))</f>
        <v>0.648</v>
      </c>
      <c r="R126" s="16" t="n">
        <f aca="false">IF(D126="","",Q126/$B$15)</f>
        <v>0.25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20.958677505116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98.3975469723754</v>
      </c>
      <c r="Z126" s="18" t="n">
        <f aca="false">IF(D126="","",MAX(0,IF(P126&gt;=0,P126,IF(K126+P126&gt;=0,0,P126+K126))))</f>
        <v>20.958677505116</v>
      </c>
      <c r="AA126" s="18" t="n">
        <f aca="false">IF(D126="","",IF(H126&lt;=$B$16,1,IF(H126&gt;=$B$17,$B$21,MATCH(H126,Aux_CAV!$A$2:$A$121,1))))</f>
        <v>8</v>
      </c>
      <c r="AB126" s="18" t="n">
        <f aca="false">IF(D126="","",IF(L126&lt;=$B$16,1,IF(L126&gt;=$B$17,$B$21,MATCH(L126,Aux_CAV!$A$2:$A$121,1))))</f>
        <v>7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0.117223225183303</v>
      </c>
      <c r="E127" s="16" t="n">
        <f aca="false">IF(D127="","",D127*$B$15)</f>
        <v>0.303842599675121</v>
      </c>
      <c r="F127" s="16" t="n">
        <f aca="false" t="array" ref="F127:F127">IF(D127="","",IFERROR(INDEX(Dados_Evap!$C$2:$N$15,MATCH($B$9,Dados_Evap!$A$2:$A$15,0),C127),0))</f>
        <v>180.9</v>
      </c>
      <c r="G127" s="16" t="n">
        <f aca="false">IF(F127="","",F127/1000)</f>
        <v>0.1809</v>
      </c>
      <c r="H127" s="16" t="n">
        <f aca="false">IF(D127="","",MAX(0,MIN($B$8,IFERROR(LOOKUP(2,1/($U$24:U126&lt;&gt;""),$U$24:U126),$B$11))))</f>
        <v>20.958677505116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1.22358684247608</v>
      </c>
      <c r="J127" s="16" t="n">
        <f aca="false">IF(D127="","",$B$12)</f>
        <v>0.25</v>
      </c>
      <c r="K127" s="16" t="n">
        <f aca="false">IF(J127="","",J127*$B$15)</f>
        <v>0.648</v>
      </c>
      <c r="L127" s="16" t="n">
        <f aca="false">IF(D127="","",H127+E127-K127-G127*I127)</f>
        <v>20.3931732449872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1.21296150147157</v>
      </c>
      <c r="N127" s="16" t="n">
        <f aca="false">IF(D127="","",(I127+M127)/2)</f>
        <v>1.21827417197383</v>
      </c>
      <c r="O127" s="16" t="n">
        <f aca="false">IF(D127="","",G127*N127)</f>
        <v>0.220385797710066</v>
      </c>
      <c r="P127" s="16" t="n">
        <f aca="false">IF(D127="","",H127+E127-K127-O127)</f>
        <v>20.394134307081</v>
      </c>
      <c r="Q127" s="16" t="n">
        <f aca="false">IF(D127="","",IF(P127&gt;=0,K127,MAX(0,K127+P127)))</f>
        <v>0.648</v>
      </c>
      <c r="R127" s="16" t="n">
        <f aca="false">IF(D127="","",Q127/$B$15)</f>
        <v>0.25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20.394134307081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95.7471094229156</v>
      </c>
      <c r="Z127" s="18" t="n">
        <f aca="false">IF(D127="","",MAX(0,IF(P127&gt;=0,P127,IF(K127+P127&gt;=0,0,P127+K127))))</f>
        <v>20.394134307081</v>
      </c>
      <c r="AA127" s="18" t="n">
        <f aca="false">IF(D127="","",IF(H127&lt;=$B$16,1,IF(H127&gt;=$B$17,$B$21,MATCH(H127,Aux_CAV!$A$2:$A$121,1))))</f>
        <v>7</v>
      </c>
      <c r="AB127" s="18" t="n">
        <f aca="false">IF(D127="","",IF(L127&lt;=$B$16,1,IF(L127&gt;=$B$17,$B$21,MATCH(L127,Aux_CAV!$A$2:$A$121,1))))</f>
        <v>7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0.071903931211706</v>
      </c>
      <c r="E128" s="16" t="n">
        <f aca="false">IF(D128="","",D128*$B$15)</f>
        <v>0.186374989700742</v>
      </c>
      <c r="F128" s="16" t="n">
        <f aca="false" t="array" ref="F128:F128">IF(D128="","",IFERROR(INDEX(Dados_Evap!$C$2:$N$15,MATCH($B$9,Dados_Evap!$A$2:$A$15,0),C128),0))</f>
        <v>208.9</v>
      </c>
      <c r="G128" s="16" t="n">
        <f aca="false">IF(F128="","",F128/1000)</f>
        <v>0.2089</v>
      </c>
      <c r="H128" s="16" t="n">
        <f aca="false">IF(D128="","",MAX(0,MIN($B$8,IFERROR(LOOKUP(2,1/($U$24:U127&lt;&gt;""),$U$24:U127),$B$11))))</f>
        <v>20.394134307081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1.2129795590057</v>
      </c>
      <c r="J128" s="16" t="n">
        <f aca="false">IF(D128="","",$B$12)</f>
        <v>0.25</v>
      </c>
      <c r="K128" s="16" t="n">
        <f aca="false">IF(J128="","",J128*$B$15)</f>
        <v>0.648</v>
      </c>
      <c r="L128" s="16" t="n">
        <f aca="false">IF(D128="","",H128+E128-K128-G128*I128)</f>
        <v>19.6791178669055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1.19954501211305</v>
      </c>
      <c r="N128" s="16" t="n">
        <f aca="false">IF(D128="","",(I128+M128)/2)</f>
        <v>1.20626228555937</v>
      </c>
      <c r="O128" s="16" t="n">
        <f aca="false">IF(D128="","",G128*N128)</f>
        <v>0.251988191453353</v>
      </c>
      <c r="P128" s="16" t="n">
        <f aca="false">IF(D128="","",H128+E128-K128-O128)</f>
        <v>19.6805211053284</v>
      </c>
      <c r="Q128" s="16" t="n">
        <f aca="false">IF(D128="","",IF(P128&gt;=0,K128,MAX(0,K128+P128)))</f>
        <v>0.648</v>
      </c>
      <c r="R128" s="16" t="n">
        <f aca="false">IF(D128="","",Q128/$B$15)</f>
        <v>0.25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19.6805211053284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92.3968127010723</v>
      </c>
      <c r="Z128" s="18" t="n">
        <f aca="false">IF(D128="","",MAX(0,IF(P128&gt;=0,P128,IF(K128+P128&gt;=0,0,P128+K128))))</f>
        <v>19.6805211053284</v>
      </c>
      <c r="AA128" s="18" t="n">
        <f aca="false">IF(D128="","",IF(H128&lt;=$B$16,1,IF(H128&gt;=$B$17,$B$21,MATCH(H128,Aux_CAV!$A$2:$A$121,1))))</f>
        <v>7</v>
      </c>
      <c r="AB128" s="18" t="n">
        <f aca="false">IF(D128="","",IF(L128&lt;=$B$16,1,IF(L128&gt;=$B$17,$B$21,MATCH(L128,Aux_CAV!$A$2:$A$121,1))))</f>
        <v>7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0.0436306191434884</v>
      </c>
      <c r="E129" s="16" t="n">
        <f aca="false">IF(D129="","",D129*$B$15)</f>
        <v>0.113090564819922</v>
      </c>
      <c r="F129" s="16" t="n">
        <f aca="false" t="array" ref="F129:F129">IF(D129="","",IFERROR(INDEX(Dados_Evap!$C$2:$N$15,MATCH($B$9,Dados_Evap!$A$2:$A$15,0),C129),0))</f>
        <v>235.9</v>
      </c>
      <c r="G129" s="16" t="n">
        <f aca="false">IF(F129="","",F129/1000)</f>
        <v>0.2359</v>
      </c>
      <c r="H129" s="16" t="n">
        <f aca="false">IF(D129="","",MAX(0,MIN($B$8,IFERROR(LOOKUP(2,1/($U$24:U128&lt;&gt;""),$U$24:U128),$B$11))))</f>
        <v>19.6805211053284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1.19957137776191</v>
      </c>
      <c r="J129" s="16" t="n">
        <f aca="false">IF(D129="","",$B$12)</f>
        <v>0.25</v>
      </c>
      <c r="K129" s="16" t="n">
        <f aca="false">IF(J129="","",J129*$B$15)</f>
        <v>0.648</v>
      </c>
      <c r="L129" s="16" t="n">
        <f aca="false">IF(D129="","",H129+E129-K129-G129*I129)</f>
        <v>18.8626327821343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1.18420395624052</v>
      </c>
      <c r="N129" s="16" t="n">
        <f aca="false">IF(D129="","",(I129+M129)/2)</f>
        <v>1.19188766700122</v>
      </c>
      <c r="O129" s="16" t="n">
        <f aca="false">IF(D129="","",G129*N129)</f>
        <v>0.281166300645587</v>
      </c>
      <c r="P129" s="16" t="n">
        <f aca="false">IF(D129="","",H129+E129-K129-O129)</f>
        <v>18.8644453695027</v>
      </c>
      <c r="Q129" s="16" t="n">
        <f aca="false">IF(D129="","",IF(P129&gt;=0,K129,MAX(0,K129+P129)))</f>
        <v>0.648</v>
      </c>
      <c r="R129" s="16" t="n">
        <f aca="false">IF(D129="","",Q129/$B$15)</f>
        <v>0.25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18.8644453695027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88.5654712183227</v>
      </c>
      <c r="Z129" s="18" t="n">
        <f aca="false">IF(D129="","",MAX(0,IF(P129&gt;=0,P129,IF(K129+P129&gt;=0,0,P129+K129))))</f>
        <v>18.8644453695027</v>
      </c>
      <c r="AA129" s="18" t="n">
        <f aca="false">IF(D129="","",IF(H129&lt;=$B$16,1,IF(H129&gt;=$B$17,$B$21,MATCH(H129,Aux_CAV!$A$2:$A$121,1))))</f>
        <v>7</v>
      </c>
      <c r="AB129" s="18" t="n">
        <f aca="false">IF(D129="","",IF(L129&lt;=$B$16,1,IF(L129&gt;=$B$17,$B$21,MATCH(L129,Aux_CAV!$A$2:$A$121,1))))</f>
        <v>7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0.0226804819930023</v>
      </c>
      <c r="E130" s="16" t="n">
        <f aca="false">IF(D130="","",D130*$B$15)</f>
        <v>0.058787809325862</v>
      </c>
      <c r="F130" s="16" t="n">
        <f aca="false" t="array" ref="F130:F130">IF(D130="","",IFERROR(INDEX(Dados_Evap!$C$2:$N$15,MATCH($B$9,Dados_Evap!$A$2:$A$15,0),C130),0))</f>
        <v>225.9</v>
      </c>
      <c r="G130" s="16" t="n">
        <f aca="false">IF(F130="","",F130/1000)</f>
        <v>0.2259</v>
      </c>
      <c r="H130" s="16" t="n">
        <f aca="false">IF(D130="","",MAX(0,MIN($B$8,IFERROR(LOOKUP(2,1/($U$24:U129&lt;&gt;""),$U$24:U129),$B$11))))</f>
        <v>18.8644453695027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1.18423801320569</v>
      </c>
      <c r="J130" s="16" t="n">
        <f aca="false">IF(D130="","",$B$12)</f>
        <v>0.25</v>
      </c>
      <c r="K130" s="16" t="n">
        <f aca="false">IF(J130="","",J130*$B$15)</f>
        <v>0.648</v>
      </c>
      <c r="L130" s="16" t="n">
        <f aca="false">IF(D130="","",H130+E130-K130-G130*I130)</f>
        <v>18.0077138116454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1.16814076055284</v>
      </c>
      <c r="N130" s="16" t="n">
        <f aca="false">IF(D130="","",(I130+M130)/2)</f>
        <v>1.17618938687926</v>
      </c>
      <c r="O130" s="16" t="n">
        <f aca="false">IF(D130="","",G130*N130)</f>
        <v>0.265701182496025</v>
      </c>
      <c r="P130" s="16" t="n">
        <f aca="false">IF(D130="","",H130+E130-K130-O130)</f>
        <v>18.0095319963326</v>
      </c>
      <c r="Q130" s="16" t="n">
        <f aca="false">IF(D130="","",IF(P130&gt;=0,K130,MAX(0,K130+P130)))</f>
        <v>0.648</v>
      </c>
      <c r="R130" s="16" t="n">
        <f aca="false">IF(D130="","",Q130/$B$15)</f>
        <v>0.25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18.0095319963326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84.5517934100121</v>
      </c>
      <c r="Z130" s="18" t="n">
        <f aca="false">IF(D130="","",MAX(0,IF(P130&gt;=0,P130,IF(K130+P130&gt;=0,0,P130+K130))))</f>
        <v>18.0095319963326</v>
      </c>
      <c r="AA130" s="18" t="n">
        <f aca="false">IF(D130="","",IF(H130&lt;=$B$16,1,IF(H130&gt;=$B$17,$B$21,MATCH(H130,Aux_CAV!$A$2:$A$121,1))))</f>
        <v>7</v>
      </c>
      <c r="AB130" s="18" t="n">
        <f aca="false">IF(D130="","",IF(L130&lt;=$B$16,1,IF(L130&gt;=$B$17,$B$21,MATCH(L130,Aux_CAV!$A$2:$A$121,1))))</f>
        <v>7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0.0474998594353557</v>
      </c>
      <c r="E131" s="16" t="n">
        <f aca="false">IF(D131="","",D131*$B$15)</f>
        <v>0.123119635656442</v>
      </c>
      <c r="F131" s="16" t="n">
        <f aca="false" t="array" ref="F131:F131">IF(D131="","",IFERROR(INDEX(Dados_Evap!$C$2:$N$15,MATCH($B$9,Dados_Evap!$A$2:$A$15,0),C131),0))</f>
        <v>206</v>
      </c>
      <c r="G131" s="16" t="n">
        <f aca="false">IF(F131="","",F131/1000)</f>
        <v>0.206</v>
      </c>
      <c r="H131" s="16" t="n">
        <f aca="false">IF(D131="","",MAX(0,MIN($B$8,IFERROR(LOOKUP(2,1/($U$24:U130&lt;&gt;""),$U$24:U130),$B$11))))</f>
        <v>18.0095319963326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1.16817492268683</v>
      </c>
      <c r="J131" s="16" t="n">
        <f aca="false">IF(D131="","",$B$12)</f>
        <v>0.25</v>
      </c>
      <c r="K131" s="16" t="n">
        <f aca="false">IF(J131="","",J131*$B$15)</f>
        <v>0.648</v>
      </c>
      <c r="L131" s="16" t="n">
        <f aca="false">IF(D131="","",H131+E131-K131-G131*I131)</f>
        <v>17.2440075979155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1.15379137449111</v>
      </c>
      <c r="N131" s="16" t="n">
        <f aca="false">IF(D131="","",(I131+M131)/2)</f>
        <v>1.16098314858897</v>
      </c>
      <c r="O131" s="16" t="n">
        <f aca="false">IF(D131="","",G131*N131)</f>
        <v>0.239162528609328</v>
      </c>
      <c r="P131" s="16" t="n">
        <f aca="false">IF(D131="","",H131+E131-K131-O131)</f>
        <v>17.2454891033797</v>
      </c>
      <c r="Q131" s="16" t="n">
        <f aca="false">IF(D131="","",IF(P131&gt;=0,K131,MAX(0,K131+P131)))</f>
        <v>0.648</v>
      </c>
      <c r="R131" s="16" t="n">
        <f aca="false">IF(D131="","",Q131/$B$15)</f>
        <v>0.25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17.2454891033797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80.9647375745525</v>
      </c>
      <c r="Z131" s="18" t="n">
        <f aca="false">IF(D131="","",MAX(0,IF(P131&gt;=0,P131,IF(K131+P131&gt;=0,0,P131+K131))))</f>
        <v>17.2454891033797</v>
      </c>
      <c r="AA131" s="18" t="n">
        <f aca="false">IF(D131="","",IF(H131&lt;=$B$16,1,IF(H131&gt;=$B$17,$B$21,MATCH(H131,Aux_CAV!$A$2:$A$121,1))))</f>
        <v>7</v>
      </c>
      <c r="AB131" s="18" t="n">
        <f aca="false">IF(D131="","",IF(L131&lt;=$B$16,1,IF(L131&gt;=$B$17,$B$21,MATCH(L131,Aux_CAV!$A$2:$A$121,1))))</f>
        <v>7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0.0452688037492201</v>
      </c>
      <c r="E132" s="16" t="n">
        <f aca="false">IF(D132="","",D132*$B$15)</f>
        <v>0.117336739317979</v>
      </c>
      <c r="F132" s="16" t="n">
        <f aca="false" t="array" ref="F132:F132">IF(D132="","",IFERROR(INDEX(Dados_Evap!$C$2:$N$15,MATCH($B$9,Dados_Evap!$A$2:$A$15,0),C132),0))</f>
        <v>165.6</v>
      </c>
      <c r="G132" s="16" t="n">
        <f aca="false">IF(F132="","",F132/1000)</f>
        <v>0.1656</v>
      </c>
      <c r="H132" s="16" t="n">
        <f aca="false">IF(D132="","",MAX(0,MIN($B$8,IFERROR(LOOKUP(2,1/($U$24:U131&lt;&gt;""),$U$24:U131),$B$11))))</f>
        <v>17.2454891033797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1.15381921071068</v>
      </c>
      <c r="J132" s="16" t="n">
        <f aca="false">IF(D132="","",$B$12)</f>
        <v>0.25</v>
      </c>
      <c r="K132" s="16" t="n">
        <f aca="false">IF(J132="","",J132*$B$15)</f>
        <v>0.648</v>
      </c>
      <c r="L132" s="16" t="n">
        <f aca="false">IF(D132="","",H132+E132-K132-G132*I132)</f>
        <v>16.523753381404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1.14025841426438</v>
      </c>
      <c r="N132" s="16" t="n">
        <f aca="false">IF(D132="","",(I132+M132)/2)</f>
        <v>1.14703881248753</v>
      </c>
      <c r="O132" s="16" t="n">
        <f aca="false">IF(D132="","",G132*N132)</f>
        <v>0.189949627347935</v>
      </c>
      <c r="P132" s="16" t="n">
        <f aca="false">IF(D132="","",H132+E132-K132-O132)</f>
        <v>16.5248762153497</v>
      </c>
      <c r="Q132" s="16" t="n">
        <f aca="false">IF(D132="","",IF(P132&gt;=0,K132,MAX(0,K132+P132)))</f>
        <v>0.648</v>
      </c>
      <c r="R132" s="16" t="n">
        <f aca="false">IF(D132="","",Q132/$B$15)</f>
        <v>0.25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16.5248762153497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77.5815784758203</v>
      </c>
      <c r="Z132" s="18" t="n">
        <f aca="false">IF(D132="","",MAX(0,IF(P132&gt;=0,P132,IF(K132+P132&gt;=0,0,P132+K132))))</f>
        <v>16.5248762153497</v>
      </c>
      <c r="AA132" s="18" t="n">
        <f aca="false">IF(D132="","",IF(H132&lt;=$B$16,1,IF(H132&gt;=$B$17,$B$21,MATCH(H132,Aux_CAV!$A$2:$A$121,1))))</f>
        <v>7</v>
      </c>
      <c r="AB132" s="18" t="n">
        <f aca="false">IF(D132="","",IF(L132&lt;=$B$16,1,IF(L132&gt;=$B$17,$B$21,MATCH(L132,Aux_CAV!$A$2:$A$121,1))))</f>
        <v>7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0.0593398364058033</v>
      </c>
      <c r="E133" s="16" t="n">
        <f aca="false">IF(D133="","",D133*$B$15)</f>
        <v>0.153808855963842</v>
      </c>
      <c r="F133" s="16" t="n">
        <f aca="false" t="array" ref="F133:F133">IF(D133="","",IFERROR(INDEX(Dados_Evap!$C$2:$N$15,MATCH($B$9,Dados_Evap!$A$2:$A$15,0),C133),0))</f>
        <v>124.9</v>
      </c>
      <c r="G133" s="16" t="n">
        <f aca="false">IF(F133="","",F133/1000)</f>
        <v>0.1249</v>
      </c>
      <c r="H133" s="16" t="n">
        <f aca="false">IF(D133="","",MAX(0,MIN($B$8,IFERROR(LOOKUP(2,1/($U$24:U132&lt;&gt;""),$U$24:U132),$B$11))))</f>
        <v>16.5248762153497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1.14027951135313</v>
      </c>
      <c r="J133" s="16" t="n">
        <f aca="false">IF(D133="","",$B$12)</f>
        <v>0.25</v>
      </c>
      <c r="K133" s="16" t="n">
        <f aca="false">IF(J133="","",J133*$B$15)</f>
        <v>0.648</v>
      </c>
      <c r="L133" s="16" t="n">
        <f aca="false">IF(D133="","",H133+E133-K133-G133*I133)</f>
        <v>15.8882641603456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1.12001983123984</v>
      </c>
      <c r="N133" s="16" t="n">
        <f aca="false">IF(D133="","",(I133+M133)/2)</f>
        <v>1.13014967129648</v>
      </c>
      <c r="O133" s="16" t="n">
        <f aca="false">IF(D133="","",G133*N133)</f>
        <v>0.141155693944931</v>
      </c>
      <c r="P133" s="16" t="n">
        <f aca="false">IF(D133="","",H133+E133-K133-O133)</f>
        <v>15.8895293773686</v>
      </c>
      <c r="Q133" s="16" t="n">
        <f aca="false">IF(D133="","",IF(P133&gt;=0,K133,MAX(0,K133+P133)))</f>
        <v>0.648</v>
      </c>
      <c r="R133" s="16" t="n">
        <f aca="false">IF(D133="","",Q133/$B$15)</f>
        <v>0.25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15.8895293773686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74.5987294712143</v>
      </c>
      <c r="Z133" s="18" t="n">
        <f aca="false">IF(D133="","",MAX(0,IF(P133&gt;=0,P133,IF(K133+P133&gt;=0,0,P133+K133))))</f>
        <v>15.8895293773686</v>
      </c>
      <c r="AA133" s="18" t="n">
        <f aca="false">IF(D133="","",IF(H133&lt;=$B$16,1,IF(H133&gt;=$B$17,$B$21,MATCH(H133,Aux_CAV!$A$2:$A$121,1))))</f>
        <v>7</v>
      </c>
      <c r="AB133" s="18" t="n">
        <f aca="false">IF(D133="","",IF(L133&lt;=$B$16,1,IF(L133&gt;=$B$17,$B$21,MATCH(L133,Aux_CAV!$A$2:$A$121,1))))</f>
        <v>6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0.0971098840645209</v>
      </c>
      <c r="E134" s="16" t="n">
        <f aca="false">IF(D134="","",D134*$B$15)</f>
        <v>0.251708819495238</v>
      </c>
      <c r="F134" s="16" t="n">
        <f aca="false" t="array" ref="F134:F134">IF(D134="","",IFERROR(INDEX(Dados_Evap!$C$2:$N$15,MATCH($B$9,Dados_Evap!$A$2:$A$15,0),C134),0))</f>
        <v>88.2</v>
      </c>
      <c r="G134" s="16" t="n">
        <f aca="false">IF(F134="","",F134/1000)</f>
        <v>0.0882</v>
      </c>
      <c r="H134" s="16" t="n">
        <f aca="false">IF(D134="","",MAX(0,MIN($B$8,IFERROR(LOOKUP(2,1/($U$24:U133&lt;&gt;""),$U$24:U133),$B$11))))</f>
        <v>15.8895293773686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1.12006049038803</v>
      </c>
      <c r="J134" s="16" t="n">
        <f aca="false">IF(D134="","",$B$12)</f>
        <v>0.25</v>
      </c>
      <c r="K134" s="16" t="n">
        <f aca="false">IF(J134="","",J134*$B$15)</f>
        <v>0.648</v>
      </c>
      <c r="L134" s="16" t="n">
        <f aca="false">IF(D134="","",H134+E134-K134-G134*I134)</f>
        <v>15.3944488616117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1.10415053052438</v>
      </c>
      <c r="N134" s="16" t="n">
        <f aca="false">IF(D134="","",(I134+M134)/2)</f>
        <v>1.11210551045621</v>
      </c>
      <c r="O134" s="16" t="n">
        <f aca="false">IF(D134="","",G134*N134)</f>
        <v>0.0980877060222373</v>
      </c>
      <c r="P134" s="16" t="n">
        <f aca="false">IF(D134="","",H134+E134-K134-O134)</f>
        <v>15.3951504908416</v>
      </c>
      <c r="Q134" s="16" t="n">
        <f aca="false">IF(D134="","",IF(P134&gt;=0,K134,MAX(0,K134+P134)))</f>
        <v>0.648</v>
      </c>
      <c r="R134" s="16" t="n">
        <f aca="false">IF(D134="","",Q134/$B$15)</f>
        <v>0.25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15.3951504908416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72.2777018349373</v>
      </c>
      <c r="Z134" s="18" t="n">
        <f aca="false">IF(D134="","",MAX(0,IF(P134&gt;=0,P134,IF(K134+P134&gt;=0,0,P134+K134))))</f>
        <v>15.3951504908416</v>
      </c>
      <c r="AA134" s="18" t="n">
        <f aca="false">IF(D134="","",IF(H134&lt;=$B$16,1,IF(H134&gt;=$B$17,$B$21,MATCH(H134,Aux_CAV!$A$2:$A$121,1))))</f>
        <v>6</v>
      </c>
      <c r="AB134" s="18" t="n">
        <f aca="false">IF(D134="","",IF(L134&lt;=$B$16,1,IF(L134&gt;=$B$17,$B$21,MATCH(L134,Aux_CAV!$A$2:$A$121,1))))</f>
        <v>6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0.0811723205731702</v>
      </c>
      <c r="E135" s="16" t="n">
        <f aca="false">IF(D135="","",D135*$B$15)</f>
        <v>0.210398654925657</v>
      </c>
      <c r="F135" s="16" t="n">
        <f aca="false" t="array" ref="F135:F135">IF(D135="","",IFERROR(INDEX(Dados_Evap!$C$2:$N$15,MATCH($B$9,Dados_Evap!$A$2:$A$15,0),C135),0))</f>
        <v>88.2</v>
      </c>
      <c r="G135" s="16" t="n">
        <f aca="false">IF(F135="","",F135/1000)</f>
        <v>0.0882</v>
      </c>
      <c r="H135" s="16" t="n">
        <f aca="false">IF(D135="","",MAX(0,MIN($B$8,IFERROR(LOOKUP(2,1/($U$24:U134&lt;&gt;""),$U$24:U134),$B$11))))</f>
        <v>15.3951504908416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1.10417307815559</v>
      </c>
      <c r="J135" s="16" t="n">
        <f aca="false">IF(D135="","",$B$12)</f>
        <v>0.25</v>
      </c>
      <c r="K135" s="16" t="n">
        <f aca="false">IF(J135="","",J135*$B$15)</f>
        <v>0.648</v>
      </c>
      <c r="L135" s="16" t="n">
        <f aca="false">IF(D135="","",H135+E135-K135-G135*I135)</f>
        <v>14.860161080274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1.08698060182355</v>
      </c>
      <c r="N135" s="16" t="n">
        <f aca="false">IF(D135="","",(I135+M135)/2)</f>
        <v>1.09557683998957</v>
      </c>
      <c r="O135" s="16" t="n">
        <f aca="false">IF(D135="","",G135*N135)</f>
        <v>0.0966298772870801</v>
      </c>
      <c r="P135" s="16" t="n">
        <f aca="false">IF(D135="","",H135+E135-K135-O135)</f>
        <v>14.8609192684802</v>
      </c>
      <c r="Q135" s="16" t="n">
        <f aca="false">IF(D135="","",IF(P135&gt;=0,K135,MAX(0,K135+P135)))</f>
        <v>0.648</v>
      </c>
      <c r="R135" s="16" t="n">
        <f aca="false">IF(D135="","",Q135/$B$15)</f>
        <v>0.25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14.8609192684802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69.7695740304235</v>
      </c>
      <c r="Z135" s="18" t="n">
        <f aca="false">IF(D135="","",MAX(0,IF(P135&gt;=0,P135,IF(K135+P135&gt;=0,0,P135+K135))))</f>
        <v>14.8609192684802</v>
      </c>
      <c r="AA135" s="18" t="n">
        <f aca="false">IF(D135="","",IF(H135&lt;=$B$16,1,IF(H135&gt;=$B$17,$B$21,MATCH(H135,Aux_CAV!$A$2:$A$121,1))))</f>
        <v>6</v>
      </c>
      <c r="AB135" s="18" t="n">
        <f aca="false">IF(D135="","",IF(L135&lt;=$B$16,1,IF(L135&gt;=$B$17,$B$21,MATCH(L135,Aux_CAV!$A$2:$A$121,1))))</f>
        <v>6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0.0857689252590489</v>
      </c>
      <c r="E136" s="16" t="n">
        <f aca="false">IF(D136="","",D136*$B$15)</f>
        <v>0.222313054271455</v>
      </c>
      <c r="F136" s="16" t="n">
        <f aca="false" t="array" ref="F136:F136">IF(D136="","",IFERROR(INDEX(Dados_Evap!$C$2:$N$15,MATCH($B$9,Dados_Evap!$A$2:$A$15,0),C136),0))</f>
        <v>83.9</v>
      </c>
      <c r="G136" s="16" t="n">
        <f aca="false">IF(F136="","",F136/1000)</f>
        <v>0.0839</v>
      </c>
      <c r="H136" s="16" t="n">
        <f aca="false">IF(D136="","",MAX(0,MIN($B$8,IFERROR(LOOKUP(2,1/($U$24:U135&lt;&gt;""),$U$24:U135),$B$11))))</f>
        <v>14.8609192684802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1.08700496704001</v>
      </c>
      <c r="J136" s="16" t="n">
        <f aca="false">IF(D136="","",$B$12)</f>
        <v>0.25</v>
      </c>
      <c r="K136" s="16" t="n">
        <f aca="false">IF(J136="","",J136*$B$15)</f>
        <v>0.648</v>
      </c>
      <c r="L136" s="16" t="n">
        <f aca="false">IF(D136="","",H136+E136-K136-G136*I136)</f>
        <v>14.344032606017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1.07039424253741</v>
      </c>
      <c r="N136" s="16" t="n">
        <f aca="false">IF(D136="","",(I136+M136)/2)</f>
        <v>1.07869960478871</v>
      </c>
      <c r="O136" s="16" t="n">
        <f aca="false">IF(D136="","",G136*N136)</f>
        <v>0.0905028968417726</v>
      </c>
      <c r="P136" s="16" t="n">
        <f aca="false">IF(D136="","",H136+E136-K136-O136)</f>
        <v>14.3447294259099</v>
      </c>
      <c r="Q136" s="16" t="n">
        <f aca="false">IF(D136="","",IF(P136&gt;=0,K136,MAX(0,K136+P136)))</f>
        <v>0.648</v>
      </c>
      <c r="R136" s="16" t="n">
        <f aca="false">IF(D136="","",Q136/$B$15)</f>
        <v>0.25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14.3447294259099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67.3461475394831</v>
      </c>
      <c r="Z136" s="18" t="n">
        <f aca="false">IF(D136="","",MAX(0,IF(P136&gt;=0,P136,IF(K136+P136&gt;=0,0,P136+K136))))</f>
        <v>14.3447294259099</v>
      </c>
      <c r="AA136" s="18" t="n">
        <f aca="false">IF(D136="","",IF(H136&lt;=$B$16,1,IF(H136&gt;=$B$17,$B$21,MATCH(H136,Aux_CAV!$A$2:$A$121,1))))</f>
        <v>6</v>
      </c>
      <c r="AB136" s="18" t="n">
        <f aca="false">IF(D136="","",IF(L136&lt;=$B$16,1,IF(L136&gt;=$B$17,$B$21,MATCH(L136,Aux_CAV!$A$2:$A$121,1))))</f>
        <v>6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0.0272133667607139</v>
      </c>
      <c r="E137" s="16" t="n">
        <f aca="false">IF(D137="","",D137*$B$15)</f>
        <v>0.0705370466437704</v>
      </c>
      <c r="F137" s="16" t="n">
        <f aca="false" t="array" ref="F137:F137">IF(D137="","",IFERROR(INDEX(Dados_Evap!$C$2:$N$15,MATCH($B$9,Dados_Evap!$A$2:$A$15,0),C137),0))</f>
        <v>104.7</v>
      </c>
      <c r="G137" s="16" t="n">
        <f aca="false">IF(F137="","",F137/1000)</f>
        <v>0.1047</v>
      </c>
      <c r="H137" s="16" t="n">
        <f aca="false">IF(D137="","",MAX(0,MIN($B$8,IFERROR(LOOKUP(2,1/($U$24:U136&lt;&gt;""),$U$24:U136),$B$11))))</f>
        <v>14.3447294259099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1.07041663561525</v>
      </c>
      <c r="J137" s="16" t="n">
        <f aca="false">IF(D137="","",$B$12)</f>
        <v>0.25</v>
      </c>
      <c r="K137" s="16" t="n">
        <f aca="false">IF(J137="","",J137*$B$15)</f>
        <v>0.648</v>
      </c>
      <c r="L137" s="16" t="n">
        <f aca="false">IF(D137="","",H137+E137-K137-G137*I137)</f>
        <v>13.6551938508047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1.04825764737936</v>
      </c>
      <c r="N137" s="16" t="n">
        <f aca="false">IF(D137="","",(I137+M137)/2)</f>
        <v>1.05933714149731</v>
      </c>
      <c r="O137" s="16" t="n">
        <f aca="false">IF(D137="","",G137*N137)</f>
        <v>0.110912598714768</v>
      </c>
      <c r="P137" s="16" t="n">
        <f aca="false">IF(D137="","",H137+E137-K137-O137)</f>
        <v>13.6563538738389</v>
      </c>
      <c r="Q137" s="16" t="n">
        <f aca="false">IF(D137="","",IF(P137&gt;=0,K137,MAX(0,K137+P137)))</f>
        <v>0.648</v>
      </c>
      <c r="R137" s="16" t="n">
        <f aca="false">IF(D137="","",Q137/$B$15)</f>
        <v>0.25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13.6563538738389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64.1143374358634</v>
      </c>
      <c r="Z137" s="18" t="n">
        <f aca="false">IF(D137="","",MAX(0,IF(P137&gt;=0,P137,IF(K137+P137&gt;=0,0,P137+K137))))</f>
        <v>13.6563538738389</v>
      </c>
      <c r="AA137" s="18" t="n">
        <f aca="false">IF(D137="","",IF(H137&lt;=$B$16,1,IF(H137&gt;=$B$17,$B$21,MATCH(H137,Aux_CAV!$A$2:$A$121,1))))</f>
        <v>6</v>
      </c>
      <c r="AB137" s="18" t="n">
        <f aca="false">IF(D137="","",IF(L137&lt;=$B$16,1,IF(L137&gt;=$B$17,$B$21,MATCH(L137,Aux_CAV!$A$2:$A$121,1))))</f>
        <v>6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0.00963007602289364</v>
      </c>
      <c r="E138" s="16" t="n">
        <f aca="false">IF(D138="","",D138*$B$15)</f>
        <v>0.0249611570513403</v>
      </c>
      <c r="F138" s="16" t="n">
        <f aca="false" t="array" ref="F138:F138">IF(D138="","",IFERROR(INDEX(Dados_Evap!$C$2:$N$15,MATCH($B$9,Dados_Evap!$A$2:$A$15,0),C138),0))</f>
        <v>145.2</v>
      </c>
      <c r="G138" s="16" t="n">
        <f aca="false">IF(F138="","",F138/1000)</f>
        <v>0.1452</v>
      </c>
      <c r="H138" s="16" t="n">
        <f aca="false">IF(D138="","",MAX(0,MIN($B$8,IFERROR(LOOKUP(2,1/($U$24:U137&lt;&gt;""),$U$24:U137),$B$11))))</f>
        <v>13.6563538738389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1.04829492600238</v>
      </c>
      <c r="J138" s="16" t="n">
        <f aca="false">IF(D138="","",$B$12)</f>
        <v>0.25</v>
      </c>
      <c r="K138" s="16" t="n">
        <f aca="false">IF(J138="","",J138*$B$15)</f>
        <v>0.648</v>
      </c>
      <c r="L138" s="16" t="n">
        <f aca="false">IF(D138="","",H138+E138-K138-G138*I138)</f>
        <v>12.8811026076347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1.02338136924346</v>
      </c>
      <c r="N138" s="16" t="n">
        <f aca="false">IF(D138="","",(I138+M138)/2)</f>
        <v>1.03583814762292</v>
      </c>
      <c r="O138" s="16" t="n">
        <f aca="false">IF(D138="","",G138*N138)</f>
        <v>0.150403699034848</v>
      </c>
      <c r="P138" s="16" t="n">
        <f aca="false">IF(D138="","",H138+E138-K138-O138)</f>
        <v>12.8829113318554</v>
      </c>
      <c r="Q138" s="16" t="n">
        <f aca="false">IF(D138="","",IF(P138&gt;=0,K138,MAX(0,K138+P138)))</f>
        <v>0.648</v>
      </c>
      <c r="R138" s="16" t="n">
        <f aca="false">IF(D138="","",Q138/$B$15)</f>
        <v>0.25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12.8829113318554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60.4831517927483</v>
      </c>
      <c r="Z138" s="18" t="n">
        <f aca="false">IF(D138="","",MAX(0,IF(P138&gt;=0,P138,IF(K138+P138&gt;=0,0,P138+K138))))</f>
        <v>12.8829113318554</v>
      </c>
      <c r="AA138" s="18" t="n">
        <f aca="false">IF(D138="","",IF(H138&lt;=$B$16,1,IF(H138&gt;=$B$17,$B$21,MATCH(H138,Aux_CAV!$A$2:$A$121,1))))</f>
        <v>6</v>
      </c>
      <c r="AB138" s="18" t="n">
        <f aca="false">IF(D138="","",IF(L138&lt;=$B$16,1,IF(L138&gt;=$B$17,$B$21,MATCH(L138,Aux_CAV!$A$2:$A$121,1))))</f>
        <v>6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0.0252150080305608</v>
      </c>
      <c r="E139" s="16" t="n">
        <f aca="false">IF(D139="","",D139*$B$15)</f>
        <v>0.0653573008152136</v>
      </c>
      <c r="F139" s="16" t="n">
        <f aca="false" t="array" ref="F139:F139">IF(D139="","",IFERROR(INDEX(Dados_Evap!$C$2:$N$15,MATCH($B$9,Dados_Evap!$A$2:$A$15,0),C139),0))</f>
        <v>180.9</v>
      </c>
      <c r="G139" s="16" t="n">
        <f aca="false">IF(F139="","",F139/1000)</f>
        <v>0.1809</v>
      </c>
      <c r="H139" s="16" t="n">
        <f aca="false">IF(D139="","",MAX(0,MIN($B$8,IFERROR(LOOKUP(2,1/($U$24:U138&lt;&gt;""),$U$24:U138),$B$11))))</f>
        <v>12.8829113318554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1.02343949459649</v>
      </c>
      <c r="J139" s="16" t="n">
        <f aca="false">IF(D139="","",$B$12)</f>
        <v>0.25</v>
      </c>
      <c r="K139" s="16" t="n">
        <f aca="false">IF(J139="","",J139*$B$15)</f>
        <v>0.648</v>
      </c>
      <c r="L139" s="16" t="n">
        <f aca="false">IF(D139="","",H139+E139-K139-G139*I139)</f>
        <v>12.1151284280981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0.998765941923757</v>
      </c>
      <c r="N139" s="16" t="n">
        <f aca="false">IF(D139="","",(I139+M139)/2)</f>
        <v>1.01110271826012</v>
      </c>
      <c r="O139" s="16" t="n">
        <f aca="false">IF(D139="","",G139*N139)</f>
        <v>0.182908481733256</v>
      </c>
      <c r="P139" s="16" t="n">
        <f aca="false">IF(D139="","",H139+E139-K139-O139)</f>
        <v>12.1173601509373</v>
      </c>
      <c r="Q139" s="16" t="n">
        <f aca="false">IF(D139="","",IF(P139&gt;=0,K139,MAX(0,K139+P139)))</f>
        <v>0.648</v>
      </c>
      <c r="R139" s="16" t="n">
        <f aca="false">IF(D139="","",Q139/$B$15)</f>
        <v>0.25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12.1173601509373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56.8890147931331</v>
      </c>
      <c r="Z139" s="18" t="n">
        <f aca="false">IF(D139="","",MAX(0,IF(P139&gt;=0,P139,IF(K139+P139&gt;=0,0,P139+K139))))</f>
        <v>12.1173601509373</v>
      </c>
      <c r="AA139" s="18" t="n">
        <f aca="false">IF(D139="","",IF(H139&lt;=$B$16,1,IF(H139&gt;=$B$17,$B$21,MATCH(H139,Aux_CAV!$A$2:$A$121,1))))</f>
        <v>6</v>
      </c>
      <c r="AB139" s="18" t="n">
        <f aca="false">IF(D139="","",IF(L139&lt;=$B$16,1,IF(L139&gt;=$B$17,$B$21,MATCH(L139,Aux_CAV!$A$2:$A$121,1))))</f>
        <v>6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0.00576053344462501</v>
      </c>
      <c r="E140" s="16" t="n">
        <f aca="false">IF(D140="","",D140*$B$15)</f>
        <v>0.014931302688468</v>
      </c>
      <c r="F140" s="16" t="n">
        <f aca="false" t="array" ref="F140:F140">IF(D140="","",IFERROR(INDEX(Dados_Evap!$C$2:$N$15,MATCH($B$9,Dados_Evap!$A$2:$A$15,0),C140),0))</f>
        <v>208.9</v>
      </c>
      <c r="G140" s="16" t="n">
        <f aca="false">IF(F140="","",F140/1000)</f>
        <v>0.2089</v>
      </c>
      <c r="H140" s="16" t="n">
        <f aca="false">IF(D140="","",MAX(0,MIN($B$8,IFERROR(LOOKUP(2,1/($U$24:U139&lt;&gt;""),$U$24:U139),$B$11))))</f>
        <v>12.1173601509373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0.99883766080517</v>
      </c>
      <c r="J140" s="16" t="n">
        <f aca="false">IF(D140="","",$B$12)</f>
        <v>0.25</v>
      </c>
      <c r="K140" s="16" t="n">
        <f aca="false">IF(J140="","",J140*$B$15)</f>
        <v>0.648</v>
      </c>
      <c r="L140" s="16" t="n">
        <f aca="false">IF(D140="","",H140+E140-K140-G140*I140)</f>
        <v>11.2756342662836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0.97178786867074</v>
      </c>
      <c r="N140" s="16" t="n">
        <f aca="false">IF(D140="","",(I140+M140)/2)</f>
        <v>0.985312764737955</v>
      </c>
      <c r="O140" s="16" t="n">
        <f aca="false">IF(D140="","",G140*N140)</f>
        <v>0.205831836553759</v>
      </c>
      <c r="P140" s="16" t="n">
        <f aca="false">IF(D140="","",H140+E140-K140-O140)</f>
        <v>11.2784596170721</v>
      </c>
      <c r="Q140" s="16" t="n">
        <f aca="false">IF(D140="","",IF(P140&gt;=0,K140,MAX(0,K140+P140)))</f>
        <v>0.648</v>
      </c>
      <c r="R140" s="16" t="n">
        <f aca="false">IF(D140="","",Q140/$B$15)</f>
        <v>0.25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11.2784596170721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52.9505146341411</v>
      </c>
      <c r="Z140" s="18" t="n">
        <f aca="false">IF(D140="","",MAX(0,IF(P140&gt;=0,P140,IF(K140+P140&gt;=0,0,P140+K140))))</f>
        <v>11.2784596170721</v>
      </c>
      <c r="AA140" s="18" t="n">
        <f aca="false">IF(D140="","",IF(H140&lt;=$B$16,1,IF(H140&gt;=$B$17,$B$21,MATCH(H140,Aux_CAV!$A$2:$A$121,1))))</f>
        <v>6</v>
      </c>
      <c r="AB140" s="18" t="n">
        <f aca="false">IF(D140="","",IF(L140&lt;=$B$16,1,IF(L140&gt;=$B$17,$B$21,MATCH(L140,Aux_CAV!$A$2:$A$121,1))))</f>
        <v>6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0.00233845100371749</v>
      </c>
      <c r="E141" s="16" t="n">
        <f aca="false">IF(D141="","",D141*$B$15)</f>
        <v>0.00606126500163573</v>
      </c>
      <c r="F141" s="16" t="n">
        <f aca="false" t="array" ref="F141:F141">IF(D141="","",IFERROR(INDEX(Dados_Evap!$C$2:$N$15,MATCH($B$9,Dados_Evap!$A$2:$A$15,0),C141),0))</f>
        <v>235.9</v>
      </c>
      <c r="G141" s="16" t="n">
        <f aca="false">IF(F141="","",F141/1000)</f>
        <v>0.2359</v>
      </c>
      <c r="H141" s="16" t="n">
        <f aca="false">IF(D141="","",MAX(0,MIN($B$8,IFERROR(LOOKUP(2,1/($U$24:U140&lt;&gt;""),$U$24:U140),$B$11))))</f>
        <v>11.2784596170721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0.971878664442769</v>
      </c>
      <c r="J141" s="16" t="n">
        <f aca="false">IF(D141="","",$B$12)</f>
        <v>0.25</v>
      </c>
      <c r="K141" s="16" t="n">
        <f aca="false">IF(J141="","",J141*$B$15)</f>
        <v>0.648</v>
      </c>
      <c r="L141" s="16" t="n">
        <f aca="false">IF(D141="","",H141+E141-K141-G141*I141)</f>
        <v>10.4072547051316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0.943028364108351</v>
      </c>
      <c r="N141" s="16" t="n">
        <f aca="false">IF(D141="","",(I141+M141)/2)</f>
        <v>0.95745351427556</v>
      </c>
      <c r="O141" s="16" t="n">
        <f aca="false">IF(D141="","",G141*N141)</f>
        <v>0.225863284017605</v>
      </c>
      <c r="P141" s="16" t="n">
        <f aca="false">IF(D141="","",H141+E141-K141-O141)</f>
        <v>10.4106575980561</v>
      </c>
      <c r="Q141" s="16" t="n">
        <f aca="false">IF(D141="","",IF(P141&gt;=0,K141,MAX(0,K141+P141)))</f>
        <v>0.648</v>
      </c>
      <c r="R141" s="16" t="n">
        <f aca="false">IF(D141="","",Q141/$B$15)</f>
        <v>0.25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10.4106575980561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48.876326751437</v>
      </c>
      <c r="Z141" s="18" t="n">
        <f aca="false">IF(D141="","",MAX(0,IF(P141&gt;=0,P141,IF(K141+P141&gt;=0,0,P141+K141))))</f>
        <v>10.4106575980561</v>
      </c>
      <c r="AA141" s="18" t="n">
        <f aca="false">IF(D141="","",IF(H141&lt;=$B$16,1,IF(H141&gt;=$B$17,$B$21,MATCH(H141,Aux_CAV!$A$2:$A$121,1))))</f>
        <v>6</v>
      </c>
      <c r="AB141" s="18" t="n">
        <f aca="false">IF(D141="","",IF(L141&lt;=$B$16,1,IF(L141&gt;=$B$17,$B$21,MATCH(L141,Aux_CAV!$A$2:$A$121,1))))</f>
        <v>5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0.00107336517258512</v>
      </c>
      <c r="E142" s="16" t="n">
        <f aca="false">IF(D142="","",D142*$B$15)</f>
        <v>0.00278216252734063</v>
      </c>
      <c r="F142" s="16" t="n">
        <f aca="false" t="array" ref="F142:F142">IF(D142="","",IFERROR(INDEX(Dados_Evap!$C$2:$N$15,MATCH($B$9,Dados_Evap!$A$2:$A$15,0),C142),0))</f>
        <v>225.9</v>
      </c>
      <c r="G142" s="16" t="n">
        <f aca="false">IF(F142="","",F142/1000)</f>
        <v>0.2259</v>
      </c>
      <c r="H142" s="16" t="n">
        <f aca="false">IF(D142="","",MAX(0,MIN($B$8,IFERROR(LOOKUP(2,1/($U$24:U141&lt;&gt;""),$U$24:U141),$B$11))))</f>
        <v>10.4106575980561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0.943141291970888</v>
      </c>
      <c r="J142" s="16" t="n">
        <f aca="false">IF(D142="","",$B$12)</f>
        <v>0.25</v>
      </c>
      <c r="K142" s="16" t="n">
        <f aca="false">IF(J142="","",J142*$B$15)</f>
        <v>0.648</v>
      </c>
      <c r="L142" s="16" t="n">
        <f aca="false">IF(D142="","",H142+E142-K142-G142*I142)</f>
        <v>9.55238414272721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0.914658765798469</v>
      </c>
      <c r="N142" s="16" t="n">
        <f aca="false">IF(D142="","",(I142+M142)/2)</f>
        <v>0.928900028884679</v>
      </c>
      <c r="O142" s="16" t="n">
        <f aca="false">IF(D142="","",G142*N142)</f>
        <v>0.209838516525049</v>
      </c>
      <c r="P142" s="16" t="n">
        <f aca="false">IF(D142="","",H142+E142-K142-O142)</f>
        <v>9.55560124405838</v>
      </c>
      <c r="Q142" s="16" t="n">
        <f aca="false">IF(D142="","",IF(P142&gt;=0,K142,MAX(0,K142+P142)))</f>
        <v>0.648</v>
      </c>
      <c r="R142" s="16" t="n">
        <f aca="false">IF(D142="","",Q142/$B$15)</f>
        <v>0.25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9.55560124405838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44.8619776716356</v>
      </c>
      <c r="Z142" s="18" t="n">
        <f aca="false">IF(D142="","",MAX(0,IF(P142&gt;=0,P142,IF(K142+P142&gt;=0,0,P142+K142))))</f>
        <v>9.55560124405838</v>
      </c>
      <c r="AA142" s="18" t="n">
        <f aca="false">IF(D142="","",IF(H142&lt;=$B$16,1,IF(H142&gt;=$B$17,$B$21,MATCH(H142,Aux_CAV!$A$2:$A$121,1))))</f>
        <v>5</v>
      </c>
      <c r="AB142" s="18" t="n">
        <f aca="false">IF(D142="","",IF(L142&lt;=$B$16,1,IF(L142&gt;=$B$17,$B$21,MATCH(L142,Aux_CAV!$A$2:$A$121,1))))</f>
        <v>5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0.00370802739784115</v>
      </c>
      <c r="E143" s="16" t="n">
        <f aca="false">IF(D143="","",D143*$B$15)</f>
        <v>0.00961120701520426</v>
      </c>
      <c r="F143" s="16" t="n">
        <f aca="false" t="array" ref="F143:F143">IF(D143="","",IFERROR(INDEX(Dados_Evap!$C$2:$N$15,MATCH($B$9,Dados_Evap!$A$2:$A$15,0),C143),0))</f>
        <v>206</v>
      </c>
      <c r="G143" s="16" t="n">
        <f aca="false">IF(F143="","",F143/1000)</f>
        <v>0.206</v>
      </c>
      <c r="H143" s="16" t="n">
        <f aca="false">IF(D143="","",MAX(0,MIN($B$8,IFERROR(LOOKUP(2,1/($U$24:U142&lt;&gt;""),$U$24:U142),$B$11))))</f>
        <v>9.55560124405838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0.914765528010787</v>
      </c>
      <c r="J143" s="16" t="n">
        <f aca="false">IF(D143="","",$B$12)</f>
        <v>0.25</v>
      </c>
      <c r="K143" s="16" t="n">
        <f aca="false">IF(J143="","",J143*$B$15)</f>
        <v>0.648</v>
      </c>
      <c r="L143" s="16" t="n">
        <f aca="false">IF(D143="","",H143+E143-K143-G143*I143)</f>
        <v>8.72877075230337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0.887326463018917</v>
      </c>
      <c r="N143" s="16" t="n">
        <f aca="false">IF(D143="","",(I143+M143)/2)</f>
        <v>0.901045995514852</v>
      </c>
      <c r="O143" s="16" t="n">
        <f aca="false">IF(D143="","",G143*N143)</f>
        <v>0.18561547507606</v>
      </c>
      <c r="P143" s="16" t="n">
        <f aca="false">IF(D143="","",H143+E143-K143-O143)</f>
        <v>8.73159697599753</v>
      </c>
      <c r="Q143" s="16" t="n">
        <f aca="false">IF(D143="","",IF(P143&gt;=0,K143,MAX(0,K143+P143)))</f>
        <v>0.648</v>
      </c>
      <c r="R143" s="16" t="n">
        <f aca="false">IF(D143="","",Q143/$B$15)</f>
        <v>0.25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8.73159697599753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40.9934130328522</v>
      </c>
      <c r="Z143" s="18" t="n">
        <f aca="false">IF(D143="","",MAX(0,IF(P143&gt;=0,P143,IF(K143+P143&gt;=0,0,P143+K143))))</f>
        <v>8.73159697599753</v>
      </c>
      <c r="AA143" s="18" t="n">
        <f aca="false">IF(D143="","",IF(H143&lt;=$B$16,1,IF(H143&gt;=$B$17,$B$21,MATCH(H143,Aux_CAV!$A$2:$A$121,1))))</f>
        <v>5</v>
      </c>
      <c r="AB143" s="18" t="n">
        <f aca="false">IF(D143="","",IF(L143&lt;=$B$16,1,IF(L143&gt;=$B$17,$B$21,MATCH(L143,Aux_CAV!$A$2:$A$121,1))))</f>
        <v>5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0.0024211444224951</v>
      </c>
      <c r="E144" s="16" t="n">
        <f aca="false">IF(D144="","",D144*$B$15)</f>
        <v>0.0062756063431073</v>
      </c>
      <c r="F144" s="16" t="n">
        <f aca="false" t="array" ref="F144:F144">IF(D144="","",IFERROR(INDEX(Dados_Evap!$C$2:$N$15,MATCH($B$9,Dados_Evap!$A$2:$A$15,0),C144),0))</f>
        <v>165.6</v>
      </c>
      <c r="G144" s="16" t="n">
        <f aca="false">IF(F144="","",F144/1000)</f>
        <v>0.1656</v>
      </c>
      <c r="H144" s="16" t="n">
        <f aca="false">IF(D144="","",MAX(0,MIN($B$8,IFERROR(LOOKUP(2,1/($U$24:U143&lt;&gt;""),$U$24:U143),$B$11))))</f>
        <v>8.73159697599753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0.887420253628237</v>
      </c>
      <c r="J144" s="16" t="n">
        <f aca="false">IF(D144="","",$B$12)</f>
        <v>0.25</v>
      </c>
      <c r="K144" s="16" t="n">
        <f aca="false">IF(J144="","",J144*$B$15)</f>
        <v>0.648</v>
      </c>
      <c r="L144" s="16" t="n">
        <f aca="false">IF(D144="","",H144+E144-K144-G144*I144)</f>
        <v>7.9429157883398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0.861247205365259</v>
      </c>
      <c r="N144" s="16" t="n">
        <f aca="false">IF(D144="","",(I144+M144)/2)</f>
        <v>0.874333729496748</v>
      </c>
      <c r="O144" s="16" t="n">
        <f aca="false">IF(D144="","",G144*N144)</f>
        <v>0.144789665604661</v>
      </c>
      <c r="P144" s="16" t="n">
        <f aca="false">IF(D144="","",H144+E144-K144-O144)</f>
        <v>7.94508291673597</v>
      </c>
      <c r="Q144" s="16" t="n">
        <f aca="false">IF(D144="","",IF(P144&gt;=0,K144,MAX(0,K144+P144)))</f>
        <v>0.648</v>
      </c>
      <c r="R144" s="16" t="n">
        <f aca="false">IF(D144="","",Q144/$B$15)</f>
        <v>0.25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7.94508291673597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37.3008587640187</v>
      </c>
      <c r="Z144" s="18" t="n">
        <f aca="false">IF(D144="","",MAX(0,IF(P144&gt;=0,P144,IF(K144+P144&gt;=0,0,P144+K144))))</f>
        <v>7.94508291673597</v>
      </c>
      <c r="AA144" s="18" t="n">
        <f aca="false">IF(D144="","",IF(H144&lt;=$B$16,1,IF(H144&gt;=$B$17,$B$21,MATCH(H144,Aux_CAV!$A$2:$A$121,1))))</f>
        <v>5</v>
      </c>
      <c r="AB144" s="18" t="n">
        <f aca="false">IF(D144="","",IF(L144&lt;=$B$16,1,IF(L144&gt;=$B$17,$B$21,MATCH(L144,Aux_CAV!$A$2:$A$121,1))))</f>
        <v>5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0.0106640367736828</v>
      </c>
      <c r="E145" s="16" t="n">
        <f aca="false">IF(D145="","",D145*$B$15)</f>
        <v>0.0276411833173858</v>
      </c>
      <c r="F145" s="16" t="n">
        <f aca="false" t="array" ref="F145:F145">IF(D145="","",IFERROR(INDEX(Dados_Evap!$C$2:$N$15,MATCH($B$9,Dados_Evap!$A$2:$A$15,0),C145),0))</f>
        <v>124.9</v>
      </c>
      <c r="G145" s="16" t="n">
        <f aca="false">IF(F145="","",F145/1000)</f>
        <v>0.1249</v>
      </c>
      <c r="H145" s="16" t="n">
        <f aca="false">IF(D145="","",MAX(0,MIN($B$8,IFERROR(LOOKUP(2,1/($U$24:U144&lt;&gt;""),$U$24:U144),$B$11))))</f>
        <v>7.94508291673597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0.861319123343008</v>
      </c>
      <c r="J145" s="16" t="n">
        <f aca="false">IF(D145="","",$B$12)</f>
        <v>0.25</v>
      </c>
      <c r="K145" s="16" t="n">
        <f aca="false">IF(J145="","",J145*$B$15)</f>
        <v>0.648</v>
      </c>
      <c r="L145" s="16" t="n">
        <f aca="false">IF(D145="","",H145+E145-K145-G145*I145)</f>
        <v>7.21714534154782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0.837161902927472</v>
      </c>
      <c r="N145" s="16" t="n">
        <f aca="false">IF(D145="","",(I145+M145)/2)</f>
        <v>0.84924051313524</v>
      </c>
      <c r="O145" s="16" t="n">
        <f aca="false">IF(D145="","",G145*N145)</f>
        <v>0.106070140090591</v>
      </c>
      <c r="P145" s="16" t="n">
        <f aca="false">IF(D145="","",H145+E145-K145-O145)</f>
        <v>7.21865395996277</v>
      </c>
      <c r="Q145" s="16" t="n">
        <f aca="false">IF(D145="","",IF(P145&gt;=0,K145,MAX(0,K145+P145)))</f>
        <v>0.648</v>
      </c>
      <c r="R145" s="16" t="n">
        <f aca="false">IF(D145="","",Q145/$B$15)</f>
        <v>0.25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7.21865395996277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33.890394178229</v>
      </c>
      <c r="Z145" s="18" t="n">
        <f aca="false">IF(D145="","",MAX(0,IF(P145&gt;=0,P145,IF(K145+P145&gt;=0,0,P145+K145))))</f>
        <v>7.21865395996277</v>
      </c>
      <c r="AA145" s="18" t="n">
        <f aca="false">IF(D145="","",IF(H145&lt;=$B$16,1,IF(H145&gt;=$B$17,$B$21,MATCH(H145,Aux_CAV!$A$2:$A$121,1))))</f>
        <v>5</v>
      </c>
      <c r="AB145" s="18" t="n">
        <f aca="false">IF(D145="","",IF(L145&lt;=$B$16,1,IF(L145&gt;=$B$17,$B$21,MATCH(L145,Aux_CAV!$A$2:$A$121,1))))</f>
        <v>5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1.39336282093379</v>
      </c>
      <c r="E146" s="16" t="n">
        <f aca="false">IF(D146="","",D146*$B$15)</f>
        <v>3.61159643186038</v>
      </c>
      <c r="F146" s="16" t="n">
        <f aca="false" t="array" ref="F146:F146">IF(D146="","",IFERROR(INDEX(Dados_Evap!$C$2:$N$15,MATCH($B$9,Dados_Evap!$A$2:$A$15,0),C146),0))</f>
        <v>88.2</v>
      </c>
      <c r="G146" s="16" t="n">
        <f aca="false">IF(F146="","",F146/1000)</f>
        <v>0.0882</v>
      </c>
      <c r="H146" s="16" t="n">
        <f aca="false">IF(D146="","",MAX(0,MIN($B$8,IFERROR(LOOKUP(2,1/($U$24:U145&lt;&gt;""),$U$24:U145),$B$11))))</f>
        <v>7.21865395996277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0.837211967697879</v>
      </c>
      <c r="J146" s="16" t="n">
        <f aca="false">IF(D146="","",$B$12)</f>
        <v>0.25</v>
      </c>
      <c r="K146" s="16" t="n">
        <f aca="false">IF(J146="","",J146*$B$15)</f>
        <v>0.648</v>
      </c>
      <c r="L146" s="16" t="n">
        <f aca="false">IF(D146="","",H146+E146-K146-G146*I146)</f>
        <v>10.1084082962722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0.933110894787794</v>
      </c>
      <c r="N146" s="16" t="n">
        <f aca="false">IF(D146="","",(I146+M146)/2)</f>
        <v>0.885161431242837</v>
      </c>
      <c r="O146" s="16" t="n">
        <f aca="false">IF(D146="","",G146*N146)</f>
        <v>0.0780712382356182</v>
      </c>
      <c r="P146" s="16" t="n">
        <f aca="false">IF(D146="","",H146+E146-K146-O146)</f>
        <v>10.1041791535875</v>
      </c>
      <c r="Q146" s="16" t="n">
        <f aca="false">IF(D146="","",IF(P146&gt;=0,K146,MAX(0,K146+P146)))</f>
        <v>0.648</v>
      </c>
      <c r="R146" s="16" t="n">
        <f aca="false">IF(D146="","",Q146/$B$15)</f>
        <v>0.25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10.1041791535875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47.437460814965</v>
      </c>
      <c r="Z146" s="18" t="n">
        <f aca="false">IF(D146="","",MAX(0,IF(P146&gt;=0,P146,IF(K146+P146&gt;=0,0,P146+K146))))</f>
        <v>10.1041791535875</v>
      </c>
      <c r="AA146" s="18" t="n">
        <f aca="false">IF(D146="","",IF(H146&lt;=$B$16,1,IF(H146&gt;=$B$17,$B$21,MATCH(H146,Aux_CAV!$A$2:$A$121,1))))</f>
        <v>5</v>
      </c>
      <c r="AB146" s="18" t="n">
        <f aca="false">IF(D146="","",IF(L146&lt;=$B$16,1,IF(L146&gt;=$B$17,$B$21,MATCH(L146,Aux_CAV!$A$2:$A$121,1))))</f>
        <v>5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1.08526156477183</v>
      </c>
      <c r="E147" s="16" t="n">
        <f aca="false">IF(D147="","",D147*$B$15)</f>
        <v>2.81299797588858</v>
      </c>
      <c r="F147" s="16" t="n">
        <f aca="false" t="array" ref="F147:F147">IF(D147="","",IFERROR(INDEX(Dados_Evap!$C$2:$N$15,MATCH($B$9,Dados_Evap!$A$2:$A$15,0),C147),0))</f>
        <v>88.2</v>
      </c>
      <c r="G147" s="16" t="n">
        <f aca="false">IF(F147="","",F147/1000)</f>
        <v>0.0882</v>
      </c>
      <c r="H147" s="16" t="n">
        <f aca="false">IF(D147="","",MAX(0,MIN($B$8,IFERROR(LOOKUP(2,1/($U$24:U146&lt;&gt;""),$U$24:U146),$B$11))))</f>
        <v>10.1041791535875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0.93297054713233</v>
      </c>
      <c r="J147" s="16" t="n">
        <f aca="false">IF(D147="","",$B$12)</f>
        <v>0.25</v>
      </c>
      <c r="K147" s="16" t="n">
        <f aca="false">IF(J147="","",J147*$B$15)</f>
        <v>0.648</v>
      </c>
      <c r="L147" s="16" t="n">
        <f aca="false">IF(D147="","",H147+E147-K147-G147*I147)</f>
        <v>12.186889127219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1.0010720513473</v>
      </c>
      <c r="N147" s="16" t="n">
        <f aca="false">IF(D147="","",(I147+M147)/2)</f>
        <v>0.967021299239817</v>
      </c>
      <c r="O147" s="16" t="n">
        <f aca="false">IF(D147="","",G147*N147)</f>
        <v>0.0852912785929518</v>
      </c>
      <c r="P147" s="16" t="n">
        <f aca="false">IF(D147="","",H147+E147-K147-O147)</f>
        <v>12.1838858508832</v>
      </c>
      <c r="Q147" s="16" t="n">
        <f aca="false">IF(D147="","",IF(P147&gt;=0,K147,MAX(0,K147+P147)))</f>
        <v>0.648</v>
      </c>
      <c r="R147" s="16" t="n">
        <f aca="false">IF(D147="","",Q147/$B$15)</f>
        <v>0.25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12.1838858508832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57.2013420229257</v>
      </c>
      <c r="Z147" s="18" t="n">
        <f aca="false">IF(D147="","",MAX(0,IF(P147&gt;=0,P147,IF(K147+P147&gt;=0,0,P147+K147))))</f>
        <v>12.1838858508832</v>
      </c>
      <c r="AA147" s="18" t="n">
        <f aca="false">IF(D147="","",IF(H147&lt;=$B$16,1,IF(H147&gt;=$B$17,$B$21,MATCH(H147,Aux_CAV!$A$2:$A$121,1))))</f>
        <v>5</v>
      </c>
      <c r="AB147" s="18" t="n">
        <f aca="false">IF(D147="","",IF(L147&lt;=$B$16,1,IF(L147&gt;=$B$17,$B$21,MATCH(L147,Aux_CAV!$A$2:$A$121,1))))</f>
        <v>6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0.702069302661926</v>
      </c>
      <c r="E148" s="16" t="n">
        <f aca="false">IF(D148="","",D148*$B$15)</f>
        <v>1.81976363249971</v>
      </c>
      <c r="F148" s="16" t="n">
        <f aca="false" t="array" ref="F148:F148">IF(D148="","",IFERROR(INDEX(Dados_Evap!$C$2:$N$15,MATCH($B$9,Dados_Evap!$A$2:$A$15,0),C148),0))</f>
        <v>83.9</v>
      </c>
      <c r="G148" s="16" t="n">
        <f aca="false">IF(F148="","",F148/1000)</f>
        <v>0.0839</v>
      </c>
      <c r="H148" s="16" t="n">
        <f aca="false">IF(D148="","",MAX(0,MIN($B$8,IFERROR(LOOKUP(2,1/($U$24:U147&lt;&gt;""),$U$24:U147),$B$11))))</f>
        <v>12.1838858508832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1.00097553774105</v>
      </c>
      <c r="J148" s="16" t="n">
        <f aca="false">IF(D148="","",$B$12)</f>
        <v>0.25</v>
      </c>
      <c r="K148" s="16" t="n">
        <f aca="false">IF(J148="","",J148*$B$15)</f>
        <v>0.648</v>
      </c>
      <c r="L148" s="16" t="n">
        <f aca="false">IF(D148="","",H148+E148-K148-G148*I148)</f>
        <v>13.2716676357664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1.03593260833276</v>
      </c>
      <c r="N148" s="16" t="n">
        <f aca="false">IF(D148="","",(I148+M148)/2)</f>
        <v>1.0184540730369</v>
      </c>
      <c r="O148" s="16" t="n">
        <f aca="false">IF(D148="","",G148*N148)</f>
        <v>0.0854482967277961</v>
      </c>
      <c r="P148" s="16" t="n">
        <f aca="false">IF(D148="","",H148+E148-K148-O148)</f>
        <v>13.2702011866551</v>
      </c>
      <c r="Q148" s="16" t="n">
        <f aca="false">IF(D148="","",IF(P148&gt;=0,K148,MAX(0,K148+P148)))</f>
        <v>0.648</v>
      </c>
      <c r="R148" s="16" t="n">
        <f aca="false">IF(D148="","",Q148/$B$15)</f>
        <v>0.25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13.2702011866551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62.3014140218549</v>
      </c>
      <c r="Z148" s="18" t="n">
        <f aca="false">IF(D148="","",MAX(0,IF(P148&gt;=0,P148,IF(K148+P148&gt;=0,0,P148+K148))))</f>
        <v>13.2702011866551</v>
      </c>
      <c r="AA148" s="18" t="n">
        <f aca="false">IF(D148="","",IF(H148&lt;=$B$16,1,IF(H148&gt;=$B$17,$B$21,MATCH(H148,Aux_CAV!$A$2:$A$121,1))))</f>
        <v>6</v>
      </c>
      <c r="AB148" s="18" t="n">
        <f aca="false">IF(D148="","",IF(L148&lt;=$B$16,1,IF(L148&gt;=$B$17,$B$21,MATCH(L148,Aux_CAV!$A$2:$A$121,1))))</f>
        <v>6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0.456481200534608</v>
      </c>
      <c r="E149" s="16" t="n">
        <f aca="false">IF(D149="","",D149*$B$15)</f>
        <v>1.1831992717857</v>
      </c>
      <c r="F149" s="16" t="n">
        <f aca="false" t="array" ref="F149:F149">IF(D149="","",IFERROR(INDEX(Dados_Evap!$C$2:$N$15,MATCH($B$9,Dados_Evap!$A$2:$A$15,0),C149),0))</f>
        <v>104.7</v>
      </c>
      <c r="G149" s="16" t="n">
        <f aca="false">IF(F149="","",F149/1000)</f>
        <v>0.1047</v>
      </c>
      <c r="H149" s="16" t="n">
        <f aca="false">IF(D149="","",MAX(0,MIN($B$8,IFERROR(LOOKUP(2,1/($U$24:U148&lt;&gt;""),$U$24:U148),$B$11))))</f>
        <v>13.2702011866551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1.03588548236888</v>
      </c>
      <c r="J149" s="16" t="n">
        <f aca="false">IF(D149="","",$B$12)</f>
        <v>0.25</v>
      </c>
      <c r="K149" s="16" t="n">
        <f aca="false">IF(J149="","",J149*$B$15)</f>
        <v>0.648</v>
      </c>
      <c r="L149" s="16" t="n">
        <f aca="false">IF(D149="","",H149+E149-K149-G149*I149)</f>
        <v>13.6969432484368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1.04959931044126</v>
      </c>
      <c r="N149" s="16" t="n">
        <f aca="false">IF(D149="","",(I149+M149)/2)</f>
        <v>1.04274239640507</v>
      </c>
      <c r="O149" s="16" t="n">
        <f aca="false">IF(D149="","",G149*N149)</f>
        <v>0.109175128903611</v>
      </c>
      <c r="P149" s="16" t="n">
        <f aca="false">IF(D149="","",H149+E149-K149-O149)</f>
        <v>13.6962253295372</v>
      </c>
      <c r="Q149" s="16" t="n">
        <f aca="false">IF(D149="","",IF(P149&gt;=0,K149,MAX(0,K149+P149)))</f>
        <v>0.648</v>
      </c>
      <c r="R149" s="16" t="n">
        <f aca="false">IF(D149="","",Q149/$B$15)</f>
        <v>0.25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13.6962253295372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64.3015273687192</v>
      </c>
      <c r="Z149" s="18" t="n">
        <f aca="false">IF(D149="","",MAX(0,IF(P149&gt;=0,P149,IF(K149+P149&gt;=0,0,P149+K149))))</f>
        <v>13.6962253295372</v>
      </c>
      <c r="AA149" s="18" t="n">
        <f aca="false">IF(D149="","",IF(H149&lt;=$B$16,1,IF(H149&gt;=$B$17,$B$21,MATCH(H149,Aux_CAV!$A$2:$A$121,1))))</f>
        <v>6</v>
      </c>
      <c r="AB149" s="18" t="n">
        <f aca="false">IF(D149="","",IF(L149&lt;=$B$16,1,IF(L149&gt;=$B$17,$B$21,MATCH(L149,Aux_CAV!$A$2:$A$121,1))))</f>
        <v>6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0.199912018150053</v>
      </c>
      <c r="E150" s="16" t="n">
        <f aca="false">IF(D150="","",D150*$B$15)</f>
        <v>0.518171951044937</v>
      </c>
      <c r="F150" s="16" t="n">
        <f aca="false" t="array" ref="F150:F150">IF(D150="","",IFERROR(INDEX(Dados_Evap!$C$2:$N$15,MATCH($B$9,Dados_Evap!$A$2:$A$15,0),C150),0))</f>
        <v>145.2</v>
      </c>
      <c r="G150" s="16" t="n">
        <f aca="false">IF(F150="","",F150/1000)</f>
        <v>0.1452</v>
      </c>
      <c r="H150" s="16" t="n">
        <f aca="false">IF(D150="","",MAX(0,MIN($B$8,IFERROR(LOOKUP(2,1/($U$24:U149&lt;&gt;""),$U$24:U149),$B$11))))</f>
        <v>13.6962253295372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1.0495762393235</v>
      </c>
      <c r="J150" s="16" t="n">
        <f aca="false">IF(D150="","",$B$12)</f>
        <v>0.25</v>
      </c>
      <c r="K150" s="16" t="n">
        <f aca="false">IF(J150="","",J150*$B$15)</f>
        <v>0.648</v>
      </c>
      <c r="L150" s="16" t="n">
        <f aca="false">IF(D150="","",H150+E150-K150-G150*I150)</f>
        <v>13.4139988106323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1.04050657803544</v>
      </c>
      <c r="N150" s="16" t="n">
        <f aca="false">IF(D150="","",(I150+M150)/2)</f>
        <v>1.04504140867947</v>
      </c>
      <c r="O150" s="16" t="n">
        <f aca="false">IF(D150="","",G150*N150)</f>
        <v>0.151740012540259</v>
      </c>
      <c r="P150" s="16" t="n">
        <f aca="false">IF(D150="","",H150+E150-K150-O150)</f>
        <v>13.4146572680419</v>
      </c>
      <c r="Q150" s="16" t="n">
        <f aca="false">IF(D150="","",IF(P150&gt;=0,K150,MAX(0,K150+P150)))</f>
        <v>0.648</v>
      </c>
      <c r="R150" s="16" t="n">
        <f aca="false">IF(D150="","",Q150/$B$15)</f>
        <v>0.25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13.4146572680419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62.979611587051</v>
      </c>
      <c r="Z150" s="18" t="n">
        <f aca="false">IF(D150="","",MAX(0,IF(P150&gt;=0,P150,IF(K150+P150&gt;=0,0,P150+K150))))</f>
        <v>13.4146572680419</v>
      </c>
      <c r="AA150" s="18" t="n">
        <f aca="false">IF(D150="","",IF(H150&lt;=$B$16,1,IF(H150&gt;=$B$17,$B$21,MATCH(H150,Aux_CAV!$A$2:$A$121,1))))</f>
        <v>6</v>
      </c>
      <c r="AB150" s="18" t="n">
        <f aca="false">IF(D150="","",IF(L150&lt;=$B$16,1,IF(L150&gt;=$B$17,$B$21,MATCH(L150,Aux_CAV!$A$2:$A$121,1))))</f>
        <v>6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0.125130983472127</v>
      </c>
      <c r="E151" s="16" t="n">
        <f aca="false">IF(D151="","",D151*$B$15)</f>
        <v>0.324339509159753</v>
      </c>
      <c r="F151" s="16" t="n">
        <f aca="false" t="array" ref="F151:F151">IF(D151="","",IFERROR(INDEX(Dados_Evap!$C$2:$N$15,MATCH($B$9,Dados_Evap!$A$2:$A$15,0),C151),0))</f>
        <v>180.9</v>
      </c>
      <c r="G151" s="16" t="n">
        <f aca="false">IF(F151="","",F151/1000)</f>
        <v>0.1809</v>
      </c>
      <c r="H151" s="16" t="n">
        <f aca="false">IF(D151="","",MAX(0,MIN($B$8,IFERROR(LOOKUP(2,1/($U$24:U150&lt;&gt;""),$U$24:U150),$B$11))))</f>
        <v>13.4146572680419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1.04052773829246</v>
      </c>
      <c r="J151" s="16" t="n">
        <f aca="false">IF(D151="","",$B$12)</f>
        <v>0.25</v>
      </c>
      <c r="K151" s="16" t="n">
        <f aca="false">IF(J151="","",J151*$B$15)</f>
        <v>0.648</v>
      </c>
      <c r="L151" s="16" t="n">
        <f aca="false">IF(D151="","",H151+E151-K151-G151*I151)</f>
        <v>12.9027653093445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1.02407752411882</v>
      </c>
      <c r="N151" s="16" t="n">
        <f aca="false">IF(D151="","",(I151+M151)/2)</f>
        <v>1.03230263120564</v>
      </c>
      <c r="O151" s="16" t="n">
        <f aca="false">IF(D151="","",G151*N151)</f>
        <v>0.1867435459851</v>
      </c>
      <c r="P151" s="16" t="n">
        <f aca="false">IF(D151="","",H151+E151-K151-O151)</f>
        <v>12.9042532312165</v>
      </c>
      <c r="Q151" s="16" t="n">
        <f aca="false">IF(D151="","",IF(P151&gt;=0,K151,MAX(0,K151+P151)))</f>
        <v>0.648</v>
      </c>
      <c r="R151" s="16" t="n">
        <f aca="false">IF(D151="","",Q151/$B$15)</f>
        <v>0.25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12.9042532312165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60.5833485033639</v>
      </c>
      <c r="Z151" s="18" t="n">
        <f aca="false">IF(D151="","",MAX(0,IF(P151&gt;=0,P151,IF(K151+P151&gt;=0,0,P151+K151))))</f>
        <v>12.9042532312165</v>
      </c>
      <c r="AA151" s="18" t="n">
        <f aca="false">IF(D151="","",IF(H151&lt;=$B$16,1,IF(H151&gt;=$B$17,$B$21,MATCH(H151,Aux_CAV!$A$2:$A$121,1))))</f>
        <v>6</v>
      </c>
      <c r="AB151" s="18" t="n">
        <f aca="false">IF(D151="","",IF(L151&lt;=$B$16,1,IF(L151&gt;=$B$17,$B$21,MATCH(L151,Aux_CAV!$A$2:$A$121,1))))</f>
        <v>6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0.0775568291858559</v>
      </c>
      <c r="E152" s="16" t="n">
        <f aca="false">IF(D152="","",D152*$B$15)</f>
        <v>0.201027301249738</v>
      </c>
      <c r="F152" s="16" t="n">
        <f aca="false" t="array" ref="F152:F152">IF(D152="","",IFERROR(INDEX(Dados_Evap!$C$2:$N$15,MATCH($B$9,Dados_Evap!$A$2:$A$15,0),C152),0))</f>
        <v>208.9</v>
      </c>
      <c r="G152" s="16" t="n">
        <f aca="false">IF(F152="","",F152/1000)</f>
        <v>0.2089</v>
      </c>
      <c r="H152" s="16" t="n">
        <f aca="false">IF(D152="","",MAX(0,MIN($B$8,IFERROR(LOOKUP(2,1/($U$24:U151&lt;&gt;""),$U$24:U151),$B$11))))</f>
        <v>12.9042532312165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1.02412534013361</v>
      </c>
      <c r="J152" s="16" t="n">
        <f aca="false">IF(D152="","",$B$12)</f>
        <v>0.25</v>
      </c>
      <c r="K152" s="16" t="n">
        <f aca="false">IF(J152="","",J152*$B$15)</f>
        <v>0.648</v>
      </c>
      <c r="L152" s="16" t="n">
        <f aca="false">IF(D152="","",H152+E152-K152-G152*I152)</f>
        <v>12.2433407489123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1.00288618663801</v>
      </c>
      <c r="N152" s="16" t="n">
        <f aca="false">IF(D152="","",(I152+M152)/2)</f>
        <v>1.01350576338581</v>
      </c>
      <c r="O152" s="16" t="n">
        <f aca="false">IF(D152="","",G152*N152)</f>
        <v>0.211721353971296</v>
      </c>
      <c r="P152" s="16" t="n">
        <f aca="false">IF(D152="","",H152+E152-K152-O152)</f>
        <v>12.245559178495</v>
      </c>
      <c r="Q152" s="16" t="n">
        <f aca="false">IF(D152="","",IF(P152&gt;=0,K152,MAX(0,K152+P152)))</f>
        <v>0.648</v>
      </c>
      <c r="R152" s="16" t="n">
        <f aca="false">IF(D152="","",Q152/$B$15)</f>
        <v>0.25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12.245559178495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57.4908881619481</v>
      </c>
      <c r="Z152" s="18" t="n">
        <f aca="false">IF(D152="","",MAX(0,IF(P152&gt;=0,P152,IF(K152+P152&gt;=0,0,P152+K152))))</f>
        <v>12.245559178495</v>
      </c>
      <c r="AA152" s="18" t="n">
        <f aca="false">IF(D152="","",IF(H152&lt;=$B$16,1,IF(H152&gt;=$B$17,$B$21,MATCH(H152,Aux_CAV!$A$2:$A$121,1))))</f>
        <v>6</v>
      </c>
      <c r="AB152" s="18" t="n">
        <f aca="false">IF(D152="","",IF(L152&lt;=$B$16,1,IF(L152&gt;=$B$17,$B$21,MATCH(L152,Aux_CAV!$A$2:$A$121,1))))</f>
        <v>6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0.0412485380535882</v>
      </c>
      <c r="E153" s="16" t="n">
        <f aca="false">IF(D153="","",D153*$B$15)</f>
        <v>0.106916210634901</v>
      </c>
      <c r="F153" s="16" t="n">
        <f aca="false" t="array" ref="F153:F153">IF(D153="","",IFERROR(INDEX(Dados_Evap!$C$2:$N$15,MATCH($B$9,Dados_Evap!$A$2:$A$15,0),C153),0))</f>
        <v>235.9</v>
      </c>
      <c r="G153" s="16" t="n">
        <f aca="false">IF(F153="","",F153/1000)</f>
        <v>0.2359</v>
      </c>
      <c r="H153" s="16" t="n">
        <f aca="false">IF(D153="","",MAX(0,MIN($B$8,IFERROR(LOOKUP(2,1/($U$24:U152&lt;&gt;""),$U$24:U152),$B$11))))</f>
        <v>12.245559178495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1.00295747832592</v>
      </c>
      <c r="J153" s="16" t="n">
        <f aca="false">IF(D153="","",$B$12)</f>
        <v>0.25</v>
      </c>
      <c r="K153" s="16" t="n">
        <f aca="false">IF(J153="","",J153*$B$15)</f>
        <v>0.648</v>
      </c>
      <c r="L153" s="16" t="n">
        <f aca="false">IF(D153="","",H153+E153-K153-G153*I153)</f>
        <v>11.4678777199928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0.977965824650051</v>
      </c>
      <c r="N153" s="16" t="n">
        <f aca="false">IF(D153="","",(I153+M153)/2)</f>
        <v>0.990461651487988</v>
      </c>
      <c r="O153" s="16" t="n">
        <f aca="false">IF(D153="","",G153*N153)</f>
        <v>0.233649903586016</v>
      </c>
      <c r="P153" s="16" t="n">
        <f aca="false">IF(D153="","",H153+E153-K153-O153)</f>
        <v>11.4708254855438</v>
      </c>
      <c r="Q153" s="16" t="n">
        <f aca="false">IF(D153="","",IF(P153&gt;=0,K153,MAX(0,K153+P153)))</f>
        <v>0.648</v>
      </c>
      <c r="R153" s="16" t="n">
        <f aca="false">IF(D153="","",Q153/$B$15)</f>
        <v>0.25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11.4708254855438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53.8536407772011</v>
      </c>
      <c r="Z153" s="18" t="n">
        <f aca="false">IF(D153="","",MAX(0,IF(P153&gt;=0,P153,IF(K153+P153&gt;=0,0,P153+K153))))</f>
        <v>11.4708254855438</v>
      </c>
      <c r="AA153" s="18" t="n">
        <f aca="false">IF(D153="","",IF(H153&lt;=$B$16,1,IF(H153&gt;=$B$17,$B$21,MATCH(H153,Aux_CAV!$A$2:$A$121,1))))</f>
        <v>6</v>
      </c>
      <c r="AB153" s="18" t="n">
        <f aca="false">IF(D153="","",IF(L153&lt;=$B$16,1,IF(L153&gt;=$B$17,$B$21,MATCH(L153,Aux_CAV!$A$2:$A$121,1))))</f>
        <v>6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0.0262749998266132</v>
      </c>
      <c r="E154" s="16" t="n">
        <f aca="false">IF(D154="","",D154*$B$15)</f>
        <v>0.0681047995505814</v>
      </c>
      <c r="F154" s="16" t="n">
        <f aca="false" t="array" ref="F154:F154">IF(D154="","",IFERROR(INDEX(Dados_Evap!$C$2:$N$15,MATCH($B$9,Dados_Evap!$A$2:$A$15,0),C154),0))</f>
        <v>225.9</v>
      </c>
      <c r="G154" s="16" t="n">
        <f aca="false">IF(F154="","",F154/1000)</f>
        <v>0.2259</v>
      </c>
      <c r="H154" s="16" t="n">
        <f aca="false">IF(D154="","",MAX(0,MIN($B$8,IFERROR(LOOKUP(2,1/($U$24:U153&lt;&gt;""),$U$24:U153),$B$11))))</f>
        <v>11.4708254855438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0.978060554355851</v>
      </c>
      <c r="J154" s="16" t="n">
        <f aca="false">IF(D154="","",$B$12)</f>
        <v>0.25</v>
      </c>
      <c r="K154" s="16" t="n">
        <f aca="false">IF(J154="","",J154*$B$15)</f>
        <v>0.648</v>
      </c>
      <c r="L154" s="16" t="n">
        <f aca="false">IF(D154="","",H154+E154-K154-G154*I154)</f>
        <v>10.6699864058654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0.951747336477835</v>
      </c>
      <c r="N154" s="16" t="n">
        <f aca="false">IF(D154="","",(I154+M154)/2)</f>
        <v>0.964903945416843</v>
      </c>
      <c r="O154" s="16" t="n">
        <f aca="false">IF(D154="","",G154*N154)</f>
        <v>0.217971801269665</v>
      </c>
      <c r="P154" s="16" t="n">
        <f aca="false">IF(D154="","",H154+E154-K154-O154)</f>
        <v>10.6729584838248</v>
      </c>
      <c r="Q154" s="16" t="n">
        <f aca="false">IF(D154="","",IF(P154&gt;=0,K154,MAX(0,K154+P154)))</f>
        <v>0.648</v>
      </c>
      <c r="R154" s="16" t="n">
        <f aca="false">IF(D154="","",Q154/$B$15)</f>
        <v>0.25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10.6729584838248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50.1077863090364</v>
      </c>
      <c r="Z154" s="18" t="n">
        <f aca="false">IF(D154="","",MAX(0,IF(P154&gt;=0,P154,IF(K154+P154&gt;=0,0,P154+K154))))</f>
        <v>10.6729584838248</v>
      </c>
      <c r="AA154" s="18" t="n">
        <f aca="false">IF(D154="","",IF(H154&lt;=$B$16,1,IF(H154&gt;=$B$17,$B$21,MATCH(H154,Aux_CAV!$A$2:$A$121,1))))</f>
        <v>6</v>
      </c>
      <c r="AB154" s="18" t="n">
        <f aca="false">IF(D154="","",IF(L154&lt;=$B$16,1,IF(L154&gt;=$B$17,$B$21,MATCH(L154,Aux_CAV!$A$2:$A$121,1))))</f>
        <v>5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0.0864262728766261</v>
      </c>
      <c r="E155" s="16" t="n">
        <f aca="false">IF(D155="","",D155*$B$15)</f>
        <v>0.224016899296215</v>
      </c>
      <c r="F155" s="16" t="n">
        <f aca="false" t="array" ref="F155:F155">IF(D155="","",IFERROR(INDEX(Dados_Evap!$C$2:$N$15,MATCH($B$9,Dados_Evap!$A$2:$A$15,0),C155),0))</f>
        <v>206</v>
      </c>
      <c r="G155" s="16" t="n">
        <f aca="false">IF(F155="","",F155/1000)</f>
        <v>0.206</v>
      </c>
      <c r="H155" s="16" t="n">
        <f aca="false">IF(D155="","",MAX(0,MIN($B$8,IFERROR(LOOKUP(2,1/($U$24:U154&lt;&gt;""),$U$24:U154),$B$11))))</f>
        <v>10.6729584838248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0.951845967383565</v>
      </c>
      <c r="J155" s="16" t="n">
        <f aca="false">IF(D155="","",$B$12)</f>
        <v>0.25</v>
      </c>
      <c r="K155" s="16" t="n">
        <f aca="false">IF(J155="","",J155*$B$15)</f>
        <v>0.648</v>
      </c>
      <c r="L155" s="16" t="n">
        <f aca="false">IF(D155="","",H155+E155-K155-G155*I155)</f>
        <v>10.05289511384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0.931268643158406</v>
      </c>
      <c r="N155" s="16" t="n">
        <f aca="false">IF(D155="","",(I155+M155)/2)</f>
        <v>0.941557305270985</v>
      </c>
      <c r="O155" s="16" t="n">
        <f aca="false">IF(D155="","",G155*N155)</f>
        <v>0.193960804885823</v>
      </c>
      <c r="P155" s="16" t="n">
        <f aca="false">IF(D155="","",H155+E155-K155-O155)</f>
        <v>10.0550145782351</v>
      </c>
      <c r="Q155" s="16" t="n">
        <f aca="false">IF(D155="","",IF(P155&gt;=0,K155,MAX(0,K155+P155)))</f>
        <v>0.648</v>
      </c>
      <c r="R155" s="16" t="n">
        <f aca="false">IF(D155="","",Q155/$B$15)</f>
        <v>0.25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10.0550145782351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47.2066412123716</v>
      </c>
      <c r="Z155" s="18" t="n">
        <f aca="false">IF(D155="","",MAX(0,IF(P155&gt;=0,P155,IF(K155+P155&gt;=0,0,P155+K155))))</f>
        <v>10.0550145782351</v>
      </c>
      <c r="AA155" s="18" t="n">
        <f aca="false">IF(D155="","",IF(H155&lt;=$B$16,1,IF(H155&gt;=$B$17,$B$21,MATCH(H155,Aux_CAV!$A$2:$A$121,1))))</f>
        <v>5</v>
      </c>
      <c r="AB155" s="18" t="n">
        <f aca="false">IF(D155="","",IF(L155&lt;=$B$16,1,IF(L155&gt;=$B$17,$B$21,MATCH(L155,Aux_CAV!$A$2:$A$121,1))))</f>
        <v>5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0.133243087629164</v>
      </c>
      <c r="E156" s="16" t="n">
        <f aca="false">IF(D156="","",D156*$B$15)</f>
        <v>0.345366083134793</v>
      </c>
      <c r="F156" s="16" t="n">
        <f aca="false" t="array" ref="F156:F156">IF(D156="","",IFERROR(INDEX(Dados_Evap!$C$2:$N$15,MATCH($B$9,Dados_Evap!$A$2:$A$15,0),C156),0))</f>
        <v>165.6</v>
      </c>
      <c r="G156" s="16" t="n">
        <f aca="false">IF(F156="","",F156/1000)</f>
        <v>0.1656</v>
      </c>
      <c r="H156" s="16" t="n">
        <f aca="false">IF(D156="","",MAX(0,MIN($B$8,IFERROR(LOOKUP(2,1/($U$24:U155&lt;&gt;""),$U$24:U155),$B$11))))</f>
        <v>10.0550145782351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0.931338979366211</v>
      </c>
      <c r="J156" s="16" t="n">
        <f aca="false">IF(D156="","",$B$12)</f>
        <v>0.25</v>
      </c>
      <c r="K156" s="16" t="n">
        <f aca="false">IF(J156="","",J156*$B$15)</f>
        <v>0.648</v>
      </c>
      <c r="L156" s="16" t="n">
        <f aca="false">IF(D156="","",H156+E156-K156-G156*I156)</f>
        <v>9.5981509263869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0.916177574990716</v>
      </c>
      <c r="N156" s="16" t="n">
        <f aca="false">IF(D156="","",(I156+M156)/2)</f>
        <v>0.923758277178463</v>
      </c>
      <c r="O156" s="16" t="n">
        <f aca="false">IF(D156="","",G156*N156)</f>
        <v>0.152974370700753</v>
      </c>
      <c r="P156" s="16" t="n">
        <f aca="false">IF(D156="","",H156+E156-K156-O156)</f>
        <v>9.59940629066919</v>
      </c>
      <c r="Q156" s="16" t="n">
        <f aca="false">IF(D156="","",IF(P156&gt;=0,K156,MAX(0,K156+P156)))</f>
        <v>0.648</v>
      </c>
      <c r="R156" s="16" t="n">
        <f aca="false">IF(D156="","",Q156/$B$15)</f>
        <v>0.25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9.59940629066919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45.067635167461</v>
      </c>
      <c r="Z156" s="18" t="n">
        <f aca="false">IF(D156="","",MAX(0,IF(P156&gt;=0,P156,IF(K156+P156&gt;=0,0,P156+K156))))</f>
        <v>9.59940629066919</v>
      </c>
      <c r="AA156" s="18" t="n">
        <f aca="false">IF(D156="","",IF(H156&lt;=$B$16,1,IF(H156&gt;=$B$17,$B$21,MATCH(H156,Aux_CAV!$A$2:$A$121,1))))</f>
        <v>5</v>
      </c>
      <c r="AB156" s="18" t="n">
        <f aca="false">IF(D156="","",IF(L156&lt;=$B$16,1,IF(L156&gt;=$B$17,$B$21,MATCH(L156,Aux_CAV!$A$2:$A$121,1))))</f>
        <v>5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0.754898120435819</v>
      </c>
      <c r="E157" s="16" t="n">
        <f aca="false">IF(D157="","",D157*$B$15)</f>
        <v>1.95669592816964</v>
      </c>
      <c r="F157" s="16" t="n">
        <f aca="false" t="array" ref="F157:F157">IF(D157="","",IFERROR(INDEX(Dados_Evap!$C$2:$N$15,MATCH($B$9,Dados_Evap!$A$2:$A$15,0),C157),0))</f>
        <v>124.9</v>
      </c>
      <c r="G157" s="16" t="n">
        <f aca="false">IF(F157="","",F157/1000)</f>
        <v>0.1249</v>
      </c>
      <c r="H157" s="16" t="n">
        <f aca="false">IF(D157="","",MAX(0,MIN($B$8,IFERROR(LOOKUP(2,1/($U$24:U156&lt;&gt;""),$U$24:U156),$B$11))))</f>
        <v>9.59940629066919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0.916219235309818</v>
      </c>
      <c r="J157" s="16" t="n">
        <f aca="false">IF(D157="","",$B$12)</f>
        <v>0.25</v>
      </c>
      <c r="K157" s="16" t="n">
        <f aca="false">IF(J157="","",J157*$B$15)</f>
        <v>0.648</v>
      </c>
      <c r="L157" s="16" t="n">
        <f aca="false">IF(D157="","",H157+E157-K157-G157*I157)</f>
        <v>10.7936664363486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0.955851762268207</v>
      </c>
      <c r="N157" s="16" t="n">
        <f aca="false">IF(D157="","",(I157+M157)/2)</f>
        <v>0.936035498789013</v>
      </c>
      <c r="O157" s="16" t="n">
        <f aca="false">IF(D157="","",G157*N157)</f>
        <v>0.116910833798748</v>
      </c>
      <c r="P157" s="16" t="n">
        <f aca="false">IF(D157="","",H157+E157-K157-O157)</f>
        <v>10.7911913850401</v>
      </c>
      <c r="Q157" s="16" t="n">
        <f aca="false">IF(D157="","",IF(P157&gt;=0,K157,MAX(0,K157+P157)))</f>
        <v>0.648</v>
      </c>
      <c r="R157" s="16" t="n">
        <f aca="false">IF(D157="","",Q157/$B$15)</f>
        <v>0.25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10.7911913850401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50.6628703523009</v>
      </c>
      <c r="Z157" s="18" t="n">
        <f aca="false">IF(D157="","",MAX(0,IF(P157&gt;=0,P157,IF(K157+P157&gt;=0,0,P157+K157))))</f>
        <v>10.7911913850401</v>
      </c>
      <c r="AA157" s="18" t="n">
        <f aca="false">IF(D157="","",IF(H157&lt;=$B$16,1,IF(H157&gt;=$B$17,$B$21,MATCH(H157,Aux_CAV!$A$2:$A$121,1))))</f>
        <v>5</v>
      </c>
      <c r="AB157" s="18" t="n">
        <f aca="false">IF(D157="","",IF(L157&lt;=$B$16,1,IF(L157&gt;=$B$17,$B$21,MATCH(L157,Aux_CAV!$A$2:$A$121,1))))</f>
        <v>5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2.32935045991056</v>
      </c>
      <c r="E158" s="16" t="n">
        <f aca="false">IF(D158="","",D158*$B$15)</f>
        <v>6.03767639208817</v>
      </c>
      <c r="F158" s="16" t="n">
        <f aca="false" t="array" ref="F158:F158">IF(D158="","",IFERROR(INDEX(Dados_Evap!$C$2:$N$15,MATCH($B$9,Dados_Evap!$A$2:$A$15,0),C158),0))</f>
        <v>88.2</v>
      </c>
      <c r="G158" s="16" t="n">
        <f aca="false">IF(F158="","",F158/1000)</f>
        <v>0.0882</v>
      </c>
      <c r="H158" s="16" t="n">
        <f aca="false">IF(D158="","",MAX(0,MIN($B$8,IFERROR(LOOKUP(2,1/($U$24:U157&lt;&gt;""),$U$24:U157),$B$11))))</f>
        <v>10.7911913850401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0.955769625609737</v>
      </c>
      <c r="J158" s="16" t="n">
        <f aca="false">IF(D158="","",$B$12)</f>
        <v>0.25</v>
      </c>
      <c r="K158" s="16" t="n">
        <f aca="false">IF(J158="","",J158*$B$15)</f>
        <v>0.648</v>
      </c>
      <c r="L158" s="16" t="n">
        <f aca="false">IF(D158="","",H158+E158-K158-G158*I158)</f>
        <v>16.0965688961495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1.1267139342808</v>
      </c>
      <c r="N158" s="16" t="n">
        <f aca="false">IF(D158="","",(I158+M158)/2)</f>
        <v>1.04124177994527</v>
      </c>
      <c r="O158" s="16" t="n">
        <f aca="false">IF(D158="","",G158*N158)</f>
        <v>0.0918375249911725</v>
      </c>
      <c r="P158" s="16" t="n">
        <f aca="false">IF(D158="","",H158+E158-K158-O158)</f>
        <v>16.0890302521371</v>
      </c>
      <c r="Q158" s="16" t="n">
        <f aca="false">IF(D158="","",IF(P158&gt;=0,K158,MAX(0,K158+P158)))</f>
        <v>0.648</v>
      </c>
      <c r="R158" s="16" t="n">
        <f aca="false">IF(D158="","",Q158/$B$15)</f>
        <v>0.25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16.0890302521371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75.5353532964182</v>
      </c>
      <c r="Z158" s="18" t="n">
        <f aca="false">IF(D158="","",MAX(0,IF(P158&gt;=0,P158,IF(K158+P158&gt;=0,0,P158+K158))))</f>
        <v>16.0890302521371</v>
      </c>
      <c r="AA158" s="18" t="n">
        <f aca="false">IF(D158="","",IF(H158&lt;=$B$16,1,IF(H158&gt;=$B$17,$B$21,MATCH(H158,Aux_CAV!$A$2:$A$121,1))))</f>
        <v>5</v>
      </c>
      <c r="AB158" s="18" t="n">
        <f aca="false">IF(D158="","",IF(L158&lt;=$B$16,1,IF(L158&gt;=$B$17,$B$21,MATCH(L158,Aux_CAV!$A$2:$A$121,1))))</f>
        <v>6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1.82335916261144</v>
      </c>
      <c r="E159" s="16" t="n">
        <f aca="false">IF(D159="","",D159*$B$15)</f>
        <v>4.72614694948885</v>
      </c>
      <c r="F159" s="16" t="n">
        <f aca="false" t="array" ref="F159:F159">IF(D159="","",IFERROR(INDEX(Dados_Evap!$C$2:$N$15,MATCH($B$9,Dados_Evap!$A$2:$A$15,0),C159),0))</f>
        <v>88.2</v>
      </c>
      <c r="G159" s="16" t="n">
        <f aca="false">IF(F159="","",F159/1000)</f>
        <v>0.0882</v>
      </c>
      <c r="H159" s="16" t="n">
        <f aca="false">IF(D159="","",MAX(0,MIN($B$8,IFERROR(LOOKUP(2,1/($U$24:U158&lt;&gt;""),$U$24:U158),$B$11))))</f>
        <v>16.0890302521371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1.12647167161877</v>
      </c>
      <c r="J159" s="16" t="n">
        <f aca="false">IF(D159="","",$B$12)</f>
        <v>0.25</v>
      </c>
      <c r="K159" s="16" t="n">
        <f aca="false">IF(J159="","",J159*$B$15)</f>
        <v>0.648</v>
      </c>
      <c r="L159" s="16" t="n">
        <f aca="false">IF(D159="","",H159+E159-K159-G159*I159)</f>
        <v>20.0678224001892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1.20684843758184</v>
      </c>
      <c r="N159" s="16" t="n">
        <f aca="false">IF(D159="","",(I159+M159)/2)</f>
        <v>1.16666005460031</v>
      </c>
      <c r="O159" s="16" t="n">
        <f aca="false">IF(D159="","",G159*N159)</f>
        <v>0.102899416815747</v>
      </c>
      <c r="P159" s="16" t="n">
        <f aca="false">IF(D159="","",H159+E159-K159-O159)</f>
        <v>20.0642777848102</v>
      </c>
      <c r="Q159" s="16" t="n">
        <f aca="false">IF(D159="","",IF(P159&gt;=0,K159,MAX(0,K159+P159)))</f>
        <v>0.648</v>
      </c>
      <c r="R159" s="16" t="n">
        <f aca="false">IF(D159="","",Q159/$B$15)</f>
        <v>0.25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20.0642777848102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94.19848725263</v>
      </c>
      <c r="Z159" s="18" t="n">
        <f aca="false">IF(D159="","",MAX(0,IF(P159&gt;=0,P159,IF(K159+P159&gt;=0,0,P159+K159))))</f>
        <v>20.0642777848102</v>
      </c>
      <c r="AA159" s="18" t="n">
        <f aca="false">IF(D159="","",IF(H159&lt;=$B$16,1,IF(H159&gt;=$B$17,$B$21,MATCH(H159,Aux_CAV!$A$2:$A$121,1))))</f>
        <v>6</v>
      </c>
      <c r="AB159" s="18" t="n">
        <f aca="false">IF(D159="","",IF(L159&lt;=$B$16,1,IF(L159&gt;=$B$17,$B$21,MATCH(L159,Aux_CAV!$A$2:$A$121,1))))</f>
        <v>7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1.31006417611756</v>
      </c>
      <c r="E160" s="16" t="n">
        <f aca="false">IF(D160="","",D160*$B$15)</f>
        <v>3.39568634449672</v>
      </c>
      <c r="F160" s="16" t="n">
        <f aca="false" t="array" ref="F160:F160">IF(D160="","",IFERROR(INDEX(Dados_Evap!$C$2:$N$15,MATCH($B$9,Dados_Evap!$A$2:$A$15,0),C160),0))</f>
        <v>83.9</v>
      </c>
      <c r="G160" s="16" t="n">
        <f aca="false">IF(F160="","",F160/1000)</f>
        <v>0.0839</v>
      </c>
      <c r="H160" s="16" t="n">
        <f aca="false">IF(D160="","",MAX(0,MIN($B$8,IFERROR(LOOKUP(2,1/($U$24:U159&lt;&gt;""),$U$24:U159),$B$11))))</f>
        <v>20.0642777848102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1.20678183729288</v>
      </c>
      <c r="J160" s="16" t="n">
        <f aca="false">IF(D160="","",$B$12)</f>
        <v>0.25</v>
      </c>
      <c r="K160" s="16" t="n">
        <f aca="false">IF(J160="","",J160*$B$15)</f>
        <v>0.648</v>
      </c>
      <c r="L160" s="16" t="n">
        <f aca="false">IF(D160="","",H160+E160-K160-G160*I160)</f>
        <v>22.710715133158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1.25505463587785</v>
      </c>
      <c r="N160" s="16" t="n">
        <f aca="false">IF(D160="","",(I160+M160)/2)</f>
        <v>1.23091823658537</v>
      </c>
      <c r="O160" s="16" t="n">
        <f aca="false">IF(D160="","",G160*N160)</f>
        <v>0.103274040049512</v>
      </c>
      <c r="P160" s="16" t="n">
        <f aca="false">IF(D160="","",H160+E160-K160-O160)</f>
        <v>22.7086900892574</v>
      </c>
      <c r="Q160" s="16" t="n">
        <f aca="false">IF(D160="","",IF(P160&gt;=0,K160,MAX(0,K160+P160)))</f>
        <v>0.648</v>
      </c>
      <c r="R160" s="16" t="n">
        <f aca="false">IF(D160="","",Q160/$B$15)</f>
        <v>0.25</v>
      </c>
      <c r="S160" s="16" t="n">
        <f aca="false">IF(D160="","",MAX(0,J160-R160))</f>
        <v>0</v>
      </c>
      <c r="T160" s="16" t="n">
        <f aca="false">IF(D160="","",MAX(0,Z160-$B$8))</f>
        <v>1.40869008925739</v>
      </c>
      <c r="U160" s="16" t="n">
        <f aca="false">IF(D160="","",MAX(0,MIN($B$8,Z160)))</f>
        <v>21.3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22.7086900892574</v>
      </c>
      <c r="AA160" s="18" t="n">
        <f aca="false">IF(D160="","",IF(H160&lt;=$B$16,1,IF(H160&gt;=$B$17,$B$21,MATCH(H160,Aux_CAV!$A$2:$A$121,1))))</f>
        <v>7</v>
      </c>
      <c r="AB160" s="18" t="n">
        <f aca="false">IF(D160="","",IF(L160&lt;=$B$16,1,IF(L160&gt;=$B$17,$B$21,MATCH(L160,Aux_CAV!$A$2:$A$121,1))))</f>
        <v>9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0.286770523205207</v>
      </c>
      <c r="E161" s="16" t="n">
        <f aca="false">IF(D161="","",D161*$B$15)</f>
        <v>0.743309196147897</v>
      </c>
      <c r="F161" s="16" t="n">
        <f aca="false" t="array" ref="F161:F161">IF(D161="","",IFERROR(INDEX(Dados_Evap!$C$2:$N$15,MATCH($B$9,Dados_Evap!$A$2:$A$15,0),C161),0))</f>
        <v>104.7</v>
      </c>
      <c r="G161" s="16" t="n">
        <f aca="false">IF(F161="","",F161/1000)</f>
        <v>0.1047</v>
      </c>
      <c r="H161" s="16" t="n">
        <f aca="false">IF(D161="","",MAX(0,MIN($B$8,IFERROR(LOOKUP(2,1/($U$24:U160&lt;&gt;""),$U$24:U160),$B$11))))</f>
        <v>21.3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1.23</v>
      </c>
      <c r="J161" s="16" t="n">
        <f aca="false">IF(D161="","",$B$12)</f>
        <v>0.25</v>
      </c>
      <c r="K161" s="16" t="n">
        <f aca="false">IF(J161="","",J161*$B$15)</f>
        <v>0.648</v>
      </c>
      <c r="L161" s="16" t="n">
        <f aca="false">IF(D161="","",H161+E161-K161-G161*I161)</f>
        <v>21.2665281961479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1.22937109345581</v>
      </c>
      <c r="N161" s="16" t="n">
        <f aca="false">IF(D161="","",(I161+M161)/2)</f>
        <v>1.2296855467279</v>
      </c>
      <c r="O161" s="16" t="n">
        <f aca="false">IF(D161="","",G161*N161)</f>
        <v>0.128748076742411</v>
      </c>
      <c r="P161" s="16" t="n">
        <f aca="false">IF(D161="","",H161+E161-K161-O161)</f>
        <v>21.2665611194055</v>
      </c>
      <c r="Q161" s="16" t="n">
        <f aca="false">IF(D161="","",IF(P161&gt;=0,K161,MAX(0,K161+P161)))</f>
        <v>0.648</v>
      </c>
      <c r="R161" s="16" t="n">
        <f aca="false">IF(D161="","",Q161/$B$15)</f>
        <v>0.25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21.2665611194055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99.8430099502605</v>
      </c>
      <c r="Z161" s="18" t="n">
        <f aca="false">IF(D161="","",MAX(0,IF(P161&gt;=0,P161,IF(K161+P161&gt;=0,0,P161+K161))))</f>
        <v>21.2665611194055</v>
      </c>
      <c r="AA161" s="18" t="n">
        <f aca="false">IF(D161="","",IF(H161&lt;=$B$16,1,IF(H161&gt;=$B$17,$B$21,MATCH(H161,Aux_CAV!$A$2:$A$121,1))))</f>
        <v>8</v>
      </c>
      <c r="AB161" s="18" t="n">
        <f aca="false">IF(D161="","",IF(L161&lt;=$B$16,1,IF(L161&gt;=$B$17,$B$21,MATCH(L161,Aux_CAV!$A$2:$A$121,1))))</f>
        <v>7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0.478221403305015</v>
      </c>
      <c r="E162" s="16" t="n">
        <f aca="false">IF(D162="","",D162*$B$15)</f>
        <v>1.2395498773666</v>
      </c>
      <c r="F162" s="16" t="n">
        <f aca="false" t="array" ref="F162:F162">IF(D162="","",IFERROR(INDEX(Dados_Evap!$C$2:$N$15,MATCH($B$9,Dados_Evap!$A$2:$A$15,0),C162),0))</f>
        <v>145.2</v>
      </c>
      <c r="G162" s="16" t="n">
        <f aca="false">IF(F162="","",F162/1000)</f>
        <v>0.1452</v>
      </c>
      <c r="H162" s="16" t="n">
        <f aca="false">IF(D162="","",MAX(0,MIN($B$8,IFERROR(LOOKUP(2,1/($U$24:U161&lt;&gt;""),$U$24:U161),$B$11))))</f>
        <v>21.2665611194055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1.22937171205564</v>
      </c>
      <c r="J162" s="16" t="n">
        <f aca="false">IF(D162="","",$B$12)</f>
        <v>0.25</v>
      </c>
      <c r="K162" s="16" t="n">
        <f aca="false">IF(J162="","",J162*$B$15)</f>
        <v>0.648</v>
      </c>
      <c r="L162" s="16" t="n">
        <f aca="false">IF(D162="","",H162+E162-K162-G162*I162)</f>
        <v>21.6796062241816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1.23632677040303</v>
      </c>
      <c r="N162" s="16" t="n">
        <f aca="false">IF(D162="","",(I162+M162)/2)</f>
        <v>1.23284924122933</v>
      </c>
      <c r="O162" s="16" t="n">
        <f aca="false">IF(D162="","",G162*N162)</f>
        <v>0.179009709826499</v>
      </c>
      <c r="P162" s="16" t="n">
        <f aca="false">IF(D162="","",H162+E162-K162-O162)</f>
        <v>21.6791012869456</v>
      </c>
      <c r="Q162" s="16" t="n">
        <f aca="false">IF(D162="","",IF(P162&gt;=0,K162,MAX(0,K162+P162)))</f>
        <v>0.648</v>
      </c>
      <c r="R162" s="16" t="n">
        <f aca="false">IF(D162="","",Q162/$B$15)</f>
        <v>0.25</v>
      </c>
      <c r="S162" s="16" t="n">
        <f aca="false">IF(D162="","",MAX(0,J162-R162))</f>
        <v>0</v>
      </c>
      <c r="T162" s="16" t="n">
        <f aca="false">IF(D162="","",MAX(0,Z162-$B$8))</f>
        <v>0.379101286945588</v>
      </c>
      <c r="U162" s="16" t="n">
        <f aca="false">IF(D162="","",MAX(0,MIN($B$8,Z162)))</f>
        <v>21.3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21.6791012869456</v>
      </c>
      <c r="AA162" s="18" t="n">
        <f aca="false">IF(D162="","",IF(H162&lt;=$B$16,1,IF(H162&gt;=$B$17,$B$21,MATCH(H162,Aux_CAV!$A$2:$A$121,1))))</f>
        <v>7</v>
      </c>
      <c r="AB162" s="18" t="n">
        <f aca="false">IF(D162="","",IF(L162&lt;=$B$16,1,IF(L162&gt;=$B$17,$B$21,MATCH(L162,Aux_CAV!$A$2:$A$121,1))))</f>
        <v>8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0.162892147053038</v>
      </c>
      <c r="E163" s="16" t="n">
        <f aca="false">IF(D163="","",D163*$B$15)</f>
        <v>0.422216445161475</v>
      </c>
      <c r="F163" s="16" t="n">
        <f aca="false" t="array" ref="F163:F163">IF(D163="","",IFERROR(INDEX(Dados_Evap!$C$2:$N$15,MATCH($B$9,Dados_Evap!$A$2:$A$15,0),C163),0))</f>
        <v>180.9</v>
      </c>
      <c r="G163" s="16" t="n">
        <f aca="false">IF(F163="","",F163/1000)</f>
        <v>0.1809</v>
      </c>
      <c r="H163" s="16" t="n">
        <f aca="false">IF(D163="","",MAX(0,MIN($B$8,IFERROR(LOOKUP(2,1/($U$24:U162&lt;&gt;""),$U$24:U162),$B$11))))</f>
        <v>21.3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1.23</v>
      </c>
      <c r="J163" s="16" t="n">
        <f aca="false">IF(D163="","",$B$12)</f>
        <v>0.25</v>
      </c>
      <c r="K163" s="16" t="n">
        <f aca="false">IF(J163="","",J163*$B$15)</f>
        <v>0.648</v>
      </c>
      <c r="L163" s="16" t="n">
        <f aca="false">IF(D163="","",H163+E163-K163-G163*I163)</f>
        <v>20.8517094451615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1.22157700418884</v>
      </c>
      <c r="N163" s="16" t="n">
        <f aca="false">IF(D163="","",(I163+M163)/2)</f>
        <v>1.22578850209442</v>
      </c>
      <c r="O163" s="16" t="n">
        <f aca="false">IF(D163="","",G163*N163)</f>
        <v>0.22174514002888</v>
      </c>
      <c r="P163" s="16" t="n">
        <f aca="false">IF(D163="","",H163+E163-K163-O163)</f>
        <v>20.8524713051326</v>
      </c>
      <c r="Q163" s="16" t="n">
        <f aca="false">IF(D163="","",IF(P163&gt;=0,K163,MAX(0,K163+P163)))</f>
        <v>0.648</v>
      </c>
      <c r="R163" s="16" t="n">
        <f aca="false">IF(D163="","",Q163/$B$15)</f>
        <v>0.25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20.8524713051326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97.8989263151765</v>
      </c>
      <c r="Z163" s="18" t="n">
        <f aca="false">IF(D163="","",MAX(0,IF(P163&gt;=0,P163,IF(K163+P163&gt;=0,0,P163+K163))))</f>
        <v>20.8524713051326</v>
      </c>
      <c r="AA163" s="18" t="n">
        <f aca="false">IF(D163="","",IF(H163&lt;=$B$16,1,IF(H163&gt;=$B$17,$B$21,MATCH(H163,Aux_CAV!$A$2:$A$121,1))))</f>
        <v>8</v>
      </c>
      <c r="AB163" s="18" t="n">
        <f aca="false">IF(D163="","",IF(L163&lt;=$B$16,1,IF(L163&gt;=$B$17,$B$21,MATCH(L163,Aux_CAV!$A$2:$A$121,1))))</f>
        <v>7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0.151953314301482</v>
      </c>
      <c r="E164" s="16" t="n">
        <f aca="false">IF(D164="","",D164*$B$15)</f>
        <v>0.393862990669441</v>
      </c>
      <c r="F164" s="16" t="n">
        <f aca="false" t="array" ref="F164:F164">IF(D164="","",IFERROR(INDEX(Dados_Evap!$C$2:$N$15,MATCH($B$9,Dados_Evap!$A$2:$A$15,0),C164),0))</f>
        <v>208.9</v>
      </c>
      <c r="G164" s="16" t="n">
        <f aca="false">IF(F164="","",F164/1000)</f>
        <v>0.2089</v>
      </c>
      <c r="H164" s="16" t="n">
        <f aca="false">IF(D164="","",MAX(0,MIN($B$8,IFERROR(LOOKUP(2,1/($U$24:U163&lt;&gt;""),$U$24:U163),$B$11))))</f>
        <v>20.8524713051326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1.22159131888558</v>
      </c>
      <c r="J164" s="16" t="n">
        <f aca="false">IF(D164="","",$B$12)</f>
        <v>0.25</v>
      </c>
      <c r="K164" s="16" t="n">
        <f aca="false">IF(J164="","",J164*$B$15)</f>
        <v>0.648</v>
      </c>
      <c r="L164" s="16" t="n">
        <f aca="false">IF(D164="","",H164+E164-K164-G164*I164)</f>
        <v>20.3431438692868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1.21202149232481</v>
      </c>
      <c r="N164" s="16" t="n">
        <f aca="false">IF(D164="","",(I164+M164)/2)</f>
        <v>1.21680640560519</v>
      </c>
      <c r="O164" s="16" t="n">
        <f aca="false">IF(D164="","",G164*N164)</f>
        <v>0.254190858130925</v>
      </c>
      <c r="P164" s="16" t="n">
        <f aca="false">IF(D164="","",H164+E164-K164-O164)</f>
        <v>20.3441434376711</v>
      </c>
      <c r="Q164" s="16" t="n">
        <f aca="false">IF(D164="","",IF(P164&gt;=0,K164,MAX(0,K164+P164)))</f>
        <v>0.648</v>
      </c>
      <c r="R164" s="16" t="n">
        <f aca="false">IF(D164="","",Q164/$B$15)</f>
        <v>0.25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20.3441434376711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95.5124105054982</v>
      </c>
      <c r="Z164" s="18" t="n">
        <f aca="false">IF(D164="","",MAX(0,IF(P164&gt;=0,P164,IF(K164+P164&gt;=0,0,P164+K164))))</f>
        <v>20.3441434376711</v>
      </c>
      <c r="AA164" s="18" t="n">
        <f aca="false">IF(D164="","",IF(H164&lt;=$B$16,1,IF(H164&gt;=$B$17,$B$21,MATCH(H164,Aux_CAV!$A$2:$A$121,1))))</f>
        <v>7</v>
      </c>
      <c r="AB164" s="18" t="n">
        <f aca="false">IF(D164="","",IF(L164&lt;=$B$16,1,IF(L164&gt;=$B$17,$B$21,MATCH(L164,Aux_CAV!$A$2:$A$121,1))))</f>
        <v>7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0.0858692870794125</v>
      </c>
      <c r="E165" s="16" t="n">
        <f aca="false">IF(D165="","",D165*$B$15)</f>
        <v>0.222573192109837</v>
      </c>
      <c r="F165" s="16" t="n">
        <f aca="false" t="array" ref="F165:F165">IF(D165="","",IFERROR(INDEX(Dados_Evap!$C$2:$N$15,MATCH($B$9,Dados_Evap!$A$2:$A$15,0),C165),0))</f>
        <v>235.9</v>
      </c>
      <c r="G165" s="16" t="n">
        <f aca="false">IF(F165="","",F165/1000)</f>
        <v>0.2359</v>
      </c>
      <c r="H165" s="16" t="n">
        <f aca="false">IF(D165="","",MAX(0,MIN($B$8,IFERROR(LOOKUP(2,1/($U$24:U164&lt;&gt;""),$U$24:U164),$B$11))))</f>
        <v>20.3441434376711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1.21204027335916</v>
      </c>
      <c r="J165" s="16" t="n">
        <f aca="false">IF(D165="","",$B$12)</f>
        <v>0.25</v>
      </c>
      <c r="K165" s="16" t="n">
        <f aca="false">IF(J165="","",J165*$B$15)</f>
        <v>0.648</v>
      </c>
      <c r="L165" s="16" t="n">
        <f aca="false">IF(D165="","",H165+E165-K165-G165*I165)</f>
        <v>19.6327963292955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1.19867467007027</v>
      </c>
      <c r="N165" s="16" t="n">
        <f aca="false">IF(D165="","",(I165+M165)/2)</f>
        <v>1.20535747171472</v>
      </c>
      <c r="O165" s="16" t="n">
        <f aca="false">IF(D165="","",G165*N165)</f>
        <v>0.284343827577502</v>
      </c>
      <c r="P165" s="16" t="n">
        <f aca="false">IF(D165="","",H165+E165-K165-O165)</f>
        <v>19.6343728022034</v>
      </c>
      <c r="Q165" s="16" t="n">
        <f aca="false">IF(D165="","",IF(P165&gt;=0,K165,MAX(0,K165+P165)))</f>
        <v>0.648</v>
      </c>
      <c r="R165" s="16" t="n">
        <f aca="false">IF(D165="","",Q165/$B$15)</f>
        <v>0.25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19.6343728022034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92.1801540009552</v>
      </c>
      <c r="Z165" s="18" t="n">
        <f aca="false">IF(D165="","",MAX(0,IF(P165&gt;=0,P165,IF(K165+P165&gt;=0,0,P165+K165))))</f>
        <v>19.6343728022034</v>
      </c>
      <c r="AA165" s="18" t="n">
        <f aca="false">IF(D165="","",IF(H165&lt;=$B$16,1,IF(H165&gt;=$B$17,$B$21,MATCH(H165,Aux_CAV!$A$2:$A$121,1))))</f>
        <v>7</v>
      </c>
      <c r="AB165" s="18" t="n">
        <f aca="false">IF(D165="","",IF(L165&lt;=$B$16,1,IF(L165&gt;=$B$17,$B$21,MATCH(L165,Aux_CAV!$A$2:$A$121,1))))</f>
        <v>7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0.0869436677508723</v>
      </c>
      <c r="E166" s="16" t="n">
        <f aca="false">IF(D166="","",D166*$B$15)</f>
        <v>0.225357986810261</v>
      </c>
      <c r="F166" s="16" t="n">
        <f aca="false" t="array" ref="F166:F166">IF(D166="","",IFERROR(INDEX(Dados_Evap!$C$2:$N$15,MATCH($B$9,Dados_Evap!$A$2:$A$15,0),C166),0))</f>
        <v>225.9</v>
      </c>
      <c r="G166" s="16" t="n">
        <f aca="false">IF(F166="","",F166/1000)</f>
        <v>0.2259</v>
      </c>
      <c r="H166" s="16" t="n">
        <f aca="false">IF(D166="","",MAX(0,MIN($B$8,IFERROR(LOOKUP(2,1/($U$24:U165&lt;&gt;""),$U$24:U165),$B$11))))</f>
        <v>19.6343728022034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1.19870429064683</v>
      </c>
      <c r="J166" s="16" t="n">
        <f aca="false">IF(D166="","",$B$12)</f>
        <v>0.25</v>
      </c>
      <c r="K166" s="16" t="n">
        <f aca="false">IF(J166="","",J166*$B$15)</f>
        <v>0.648</v>
      </c>
      <c r="L166" s="16" t="n">
        <f aca="false">IF(D166="","",H166+E166-K166-G166*I166)</f>
        <v>18.9409434897566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1.1856753474067</v>
      </c>
      <c r="N166" s="16" t="n">
        <f aca="false">IF(D166="","",(I166+M166)/2)</f>
        <v>1.19218981902676</v>
      </c>
      <c r="O166" s="16" t="n">
        <f aca="false">IF(D166="","",G166*N166)</f>
        <v>0.269315680118146</v>
      </c>
      <c r="P166" s="16" t="n">
        <f aca="false">IF(D166="","",H166+E166-K166-O166)</f>
        <v>18.9424151088956</v>
      </c>
      <c r="Q166" s="16" t="n">
        <f aca="false">IF(D166="","",IF(P166&gt;=0,K166,MAX(0,K166+P166)))</f>
        <v>0.648</v>
      </c>
      <c r="R166" s="16" t="n">
        <f aca="false">IF(D166="","",Q166/$B$15)</f>
        <v>0.25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18.9424151088956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88.931526332843</v>
      </c>
      <c r="Z166" s="18" t="n">
        <f aca="false">IF(D166="","",MAX(0,IF(P166&gt;=0,P166,IF(K166+P166&gt;=0,0,P166+K166))))</f>
        <v>18.9424151088956</v>
      </c>
      <c r="AA166" s="18" t="n">
        <f aca="false">IF(D166="","",IF(H166&lt;=$B$16,1,IF(H166&gt;=$B$17,$B$21,MATCH(H166,Aux_CAV!$A$2:$A$121,1))))</f>
        <v>7</v>
      </c>
      <c r="AB166" s="18" t="n">
        <f aca="false">IF(D166="","",IF(L166&lt;=$B$16,1,IF(L166&gt;=$B$17,$B$21,MATCH(L166,Aux_CAV!$A$2:$A$121,1))))</f>
        <v>7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0.0235366089348627</v>
      </c>
      <c r="E167" s="16" t="n">
        <f aca="false">IF(D167="","",D167*$B$15)</f>
        <v>0.0610068903591641</v>
      </c>
      <c r="F167" s="16" t="n">
        <f aca="false" t="array" ref="F167:F167">IF(D167="","",IFERROR(INDEX(Dados_Evap!$C$2:$N$15,MATCH($B$9,Dados_Evap!$A$2:$A$15,0),C167),0))</f>
        <v>206</v>
      </c>
      <c r="G167" s="16" t="n">
        <f aca="false">IF(F167="","",F167/1000)</f>
        <v>0.206</v>
      </c>
      <c r="H167" s="16" t="n">
        <f aca="false">IF(D167="","",MAX(0,MIN($B$8,IFERROR(LOOKUP(2,1/($U$24:U166&lt;&gt;""),$U$24:U166),$B$11))))</f>
        <v>18.9424151088956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1.18570299787069</v>
      </c>
      <c r="J167" s="16" t="n">
        <f aca="false">IF(D167="","",$B$12)</f>
        <v>0.25</v>
      </c>
      <c r="K167" s="16" t="n">
        <f aca="false">IF(J167="","",J167*$B$15)</f>
        <v>0.648</v>
      </c>
      <c r="L167" s="16" t="n">
        <f aca="false">IF(D167="","",H167+E167-K167-G167*I167)</f>
        <v>18.1111671816934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1.17008456082514</v>
      </c>
      <c r="N167" s="16" t="n">
        <f aca="false">IF(D167="","",(I167+M167)/2)</f>
        <v>1.17789377934791</v>
      </c>
      <c r="O167" s="16" t="n">
        <f aca="false">IF(D167="","",G167*N167)</f>
        <v>0.24264611854567</v>
      </c>
      <c r="P167" s="16" t="n">
        <f aca="false">IF(D167="","",H167+E167-K167-O167)</f>
        <v>18.1127758807091</v>
      </c>
      <c r="Q167" s="16" t="n">
        <f aca="false">IF(D167="","",IF(P167&gt;=0,K167,MAX(0,K167+P167)))</f>
        <v>0.648</v>
      </c>
      <c r="R167" s="16" t="n">
        <f aca="false">IF(D167="","",Q167/$B$15)</f>
        <v>0.25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18.1127758807091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85.0365064822021</v>
      </c>
      <c r="Z167" s="18" t="n">
        <f aca="false">IF(D167="","",MAX(0,IF(P167&gt;=0,P167,IF(K167+P167&gt;=0,0,P167+K167))))</f>
        <v>18.1127758807091</v>
      </c>
      <c r="AA167" s="18" t="n">
        <f aca="false">IF(D167="","",IF(H167&lt;=$B$16,1,IF(H167&gt;=$B$17,$B$21,MATCH(H167,Aux_CAV!$A$2:$A$121,1))))</f>
        <v>7</v>
      </c>
      <c r="AB167" s="18" t="n">
        <f aca="false">IF(D167="","",IF(L167&lt;=$B$16,1,IF(L167&gt;=$B$17,$B$21,MATCH(L167,Aux_CAV!$A$2:$A$121,1))))</f>
        <v>7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0.0569507064734303</v>
      </c>
      <c r="E168" s="16" t="n">
        <f aca="false">IF(D168="","",D168*$B$15)</f>
        <v>0.147616231179131</v>
      </c>
      <c r="F168" s="16" t="n">
        <f aca="false" t="array" ref="F168:F168">IF(D168="","",IFERROR(INDEX(Dados_Evap!$C$2:$N$15,MATCH($B$9,Dados_Evap!$A$2:$A$15,0),C168),0))</f>
        <v>165.6</v>
      </c>
      <c r="G168" s="16" t="n">
        <f aca="false">IF(F168="","",F168/1000)</f>
        <v>0.1656</v>
      </c>
      <c r="H168" s="16" t="n">
        <f aca="false">IF(D168="","",MAX(0,MIN($B$8,IFERROR(LOOKUP(2,1/($U$24:U167&lt;&gt;""),$U$24:U167),$B$11))))</f>
        <v>18.1127758807091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1.17011478690268</v>
      </c>
      <c r="J168" s="16" t="n">
        <f aca="false">IF(D168="","",$B$12)</f>
        <v>0.25</v>
      </c>
      <c r="K168" s="16" t="n">
        <f aca="false">IF(J168="","",J168*$B$15)</f>
        <v>0.648</v>
      </c>
      <c r="L168" s="16" t="n">
        <f aca="false">IF(D168="","",H168+E168-K168-G168*I168)</f>
        <v>17.4186211031771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1.15707221279456</v>
      </c>
      <c r="N168" s="16" t="n">
        <f aca="false">IF(D168="","",(I168+M168)/2)</f>
        <v>1.16359349984862</v>
      </c>
      <c r="O168" s="16" t="n">
        <f aca="false">IF(D168="","",G168*N168)</f>
        <v>0.192691083574931</v>
      </c>
      <c r="P168" s="16" t="n">
        <f aca="false">IF(D168="","",H168+E168-K168-O168)</f>
        <v>17.4197010283133</v>
      </c>
      <c r="Q168" s="16" t="n">
        <f aca="false">IF(D168="","",IF(P168&gt;=0,K168,MAX(0,K168+P168)))</f>
        <v>0.648</v>
      </c>
      <c r="R168" s="16" t="n">
        <f aca="false">IF(D168="","",Q168/$B$15)</f>
        <v>0.25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17.4197010283133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81.782633935743</v>
      </c>
      <c r="Z168" s="18" t="n">
        <f aca="false">IF(D168="","",MAX(0,IF(P168&gt;=0,P168,IF(K168+P168&gt;=0,0,P168+K168))))</f>
        <v>17.4197010283133</v>
      </c>
      <c r="AA168" s="18" t="n">
        <f aca="false">IF(D168="","",IF(H168&lt;=$B$16,1,IF(H168&gt;=$B$17,$B$21,MATCH(H168,Aux_CAV!$A$2:$A$121,1))))</f>
        <v>7</v>
      </c>
      <c r="AB168" s="18" t="n">
        <f aca="false">IF(D168="","",IF(L168&lt;=$B$16,1,IF(L168&gt;=$B$17,$B$21,MATCH(L168,Aux_CAV!$A$2:$A$121,1))))</f>
        <v>7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0.15257928178124</v>
      </c>
      <c r="E169" s="16" t="n">
        <f aca="false">IF(D169="","",D169*$B$15)</f>
        <v>0.395485498376974</v>
      </c>
      <c r="F169" s="16" t="n">
        <f aca="false" t="array" ref="F169:F169">IF(D169="","",IFERROR(INDEX(Dados_Evap!$C$2:$N$15,MATCH($B$9,Dados_Evap!$A$2:$A$15,0),C169),0))</f>
        <v>124.9</v>
      </c>
      <c r="G169" s="16" t="n">
        <f aca="false">IF(F169="","",F169/1000)</f>
        <v>0.1249</v>
      </c>
      <c r="H169" s="16" t="n">
        <f aca="false">IF(D169="","",MAX(0,MIN($B$8,IFERROR(LOOKUP(2,1/($U$24:U168&lt;&gt;""),$U$24:U168),$B$11))))</f>
        <v>17.4197010283133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1.15709250366351</v>
      </c>
      <c r="J169" s="16" t="n">
        <f aca="false">IF(D169="","",$B$12)</f>
        <v>0.25</v>
      </c>
      <c r="K169" s="16" t="n">
        <f aca="false">IF(J169="","",J169*$B$15)</f>
        <v>0.648</v>
      </c>
      <c r="L169" s="16" t="n">
        <f aca="false">IF(D169="","",H169+E169-K169-G169*I169)</f>
        <v>17.0226656729827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1.14963254917921</v>
      </c>
      <c r="N169" s="16" t="n">
        <f aca="false">IF(D169="","",(I169+M169)/2)</f>
        <v>1.15336252642136</v>
      </c>
      <c r="O169" s="16" t="n">
        <f aca="false">IF(D169="","",G169*N169)</f>
        <v>0.144054979550028</v>
      </c>
      <c r="P169" s="16" t="n">
        <f aca="false">IF(D169="","",H169+E169-K169-O169)</f>
        <v>17.0231315471402</v>
      </c>
      <c r="Q169" s="16" t="n">
        <f aca="false">IF(D169="","",IF(P169&gt;=0,K169,MAX(0,K169+P169)))</f>
        <v>0.648</v>
      </c>
      <c r="R169" s="16" t="n">
        <f aca="false">IF(D169="","",Q169/$B$15)</f>
        <v>0.25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17.0231315471402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79.9208053856348</v>
      </c>
      <c r="Z169" s="18" t="n">
        <f aca="false">IF(D169="","",MAX(0,IF(P169&gt;=0,P169,IF(K169+P169&gt;=0,0,P169+K169))))</f>
        <v>17.0231315471402</v>
      </c>
      <c r="AA169" s="18" t="n">
        <f aca="false">IF(D169="","",IF(H169&lt;=$B$16,1,IF(H169&gt;=$B$17,$B$21,MATCH(H169,Aux_CAV!$A$2:$A$121,1))))</f>
        <v>7</v>
      </c>
      <c r="AB169" s="18" t="n">
        <f aca="false">IF(D169="","",IF(L169&lt;=$B$16,1,IF(L169&gt;=$B$17,$B$21,MATCH(L169,Aux_CAV!$A$2:$A$121,1))))</f>
        <v>7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0.490224533957064</v>
      </c>
      <c r="E170" s="16" t="n">
        <f aca="false">IF(D170="","",D170*$B$15)</f>
        <v>1.27066199201671</v>
      </c>
      <c r="F170" s="16" t="n">
        <f aca="false" t="array" ref="F170:F170">IF(D170="","",IFERROR(INDEX(Dados_Evap!$C$2:$N$15,MATCH($B$9,Dados_Evap!$A$2:$A$15,0),C170),0))</f>
        <v>88.2</v>
      </c>
      <c r="G170" s="16" t="n">
        <f aca="false">IF(F170="","",F170/1000)</f>
        <v>0.0882</v>
      </c>
      <c r="H170" s="16" t="n">
        <f aca="false">IF(D170="","",MAX(0,MIN($B$8,IFERROR(LOOKUP(2,1/($U$24:U169&lt;&gt;""),$U$24:U169),$B$11))))</f>
        <v>17.0231315471402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1.14964130255587</v>
      </c>
      <c r="J170" s="16" t="n">
        <f aca="false">IF(D170="","",$B$12)</f>
        <v>0.25</v>
      </c>
      <c r="K170" s="16" t="n">
        <f aca="false">IF(J170="","",J170*$B$15)</f>
        <v>0.648</v>
      </c>
      <c r="L170" s="16" t="n">
        <f aca="false">IF(D170="","",H170+E170-K170-G170*I170)</f>
        <v>17.5443951762715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1.1594353999717</v>
      </c>
      <c r="N170" s="16" t="n">
        <f aca="false">IF(D170="","",(I170+M170)/2)</f>
        <v>1.15453835126378</v>
      </c>
      <c r="O170" s="16" t="n">
        <f aca="false">IF(D170="","",G170*N170)</f>
        <v>0.101830282581466</v>
      </c>
      <c r="P170" s="16" t="n">
        <f aca="false">IF(D170="","",H170+E170-K170-O170)</f>
        <v>17.5439632565754</v>
      </c>
      <c r="Q170" s="16" t="n">
        <f aca="false">IF(D170="","",IF(P170&gt;=0,K170,MAX(0,K170+P170)))</f>
        <v>0.648</v>
      </c>
      <c r="R170" s="16" t="n">
        <f aca="false">IF(D170="","",Q170/$B$15)</f>
        <v>0.25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17.5439632565754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82.366024678758</v>
      </c>
      <c r="Z170" s="18" t="n">
        <f aca="false">IF(D170="","",MAX(0,IF(P170&gt;=0,P170,IF(K170+P170&gt;=0,0,P170+K170))))</f>
        <v>17.5439632565754</v>
      </c>
      <c r="AA170" s="18" t="n">
        <f aca="false">IF(D170="","",IF(H170&lt;=$B$16,1,IF(H170&gt;=$B$17,$B$21,MATCH(H170,Aux_CAV!$A$2:$A$121,1))))</f>
        <v>7</v>
      </c>
      <c r="AB170" s="18" t="n">
        <f aca="false">IF(D170="","",IF(L170&lt;=$B$16,1,IF(L170&gt;=$B$17,$B$21,MATCH(L170,Aux_CAV!$A$2:$A$121,1))))</f>
        <v>7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1.06676841334511</v>
      </c>
      <c r="E171" s="16" t="n">
        <f aca="false">IF(D171="","",D171*$B$15)</f>
        <v>2.76506372739053</v>
      </c>
      <c r="F171" s="16" t="n">
        <f aca="false" t="array" ref="F171:F171">IF(D171="","",IFERROR(INDEX(Dados_Evap!$C$2:$N$15,MATCH($B$9,Dados_Evap!$A$2:$A$15,0),C171),0))</f>
        <v>88.2</v>
      </c>
      <c r="G171" s="16" t="n">
        <f aca="false">IF(F171="","",F171/1000)</f>
        <v>0.0882</v>
      </c>
      <c r="H171" s="16" t="n">
        <f aca="false">IF(D171="","",MAX(0,MIN($B$8,IFERROR(LOOKUP(2,1/($U$24:U170&lt;&gt;""),$U$24:U170),$B$11))))</f>
        <v>17.5439632565754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1.15942728457031</v>
      </c>
      <c r="J171" s="16" t="n">
        <f aca="false">IF(D171="","",$B$12)</f>
        <v>0.25</v>
      </c>
      <c r="K171" s="16" t="n">
        <f aca="false">IF(J171="","",J171*$B$15)</f>
        <v>0.648</v>
      </c>
      <c r="L171" s="16" t="n">
        <f aca="false">IF(D171="","",H171+E171-K171-G171*I171)</f>
        <v>19.5587654974669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1.19728369410689</v>
      </c>
      <c r="N171" s="16" t="n">
        <f aca="false">IF(D171="","",(I171+M171)/2)</f>
        <v>1.1783554893386</v>
      </c>
      <c r="O171" s="16" t="n">
        <f aca="false">IF(D171="","",G171*N171)</f>
        <v>0.103930954159665</v>
      </c>
      <c r="P171" s="16" t="n">
        <f aca="false">IF(D171="","",H171+E171-K171-O171)</f>
        <v>19.5570960298063</v>
      </c>
      <c r="Q171" s="16" t="n">
        <f aca="false">IF(D171="","",IF(P171&gt;=0,K171,MAX(0,K171+P171)))</f>
        <v>0.648</v>
      </c>
      <c r="R171" s="16" t="n">
        <f aca="false">IF(D171="","",Q171/$B$15)</f>
        <v>0.25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19.5570960298063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91.8173522526118</v>
      </c>
      <c r="Z171" s="18" t="n">
        <f aca="false">IF(D171="","",MAX(0,IF(P171&gt;=0,P171,IF(K171+P171&gt;=0,0,P171+K171))))</f>
        <v>19.5570960298063</v>
      </c>
      <c r="AA171" s="18" t="n">
        <f aca="false">IF(D171="","",IF(H171&lt;=$B$16,1,IF(H171&gt;=$B$17,$B$21,MATCH(H171,Aux_CAV!$A$2:$A$121,1))))</f>
        <v>7</v>
      </c>
      <c r="AB171" s="18" t="n">
        <f aca="false">IF(D171="","",IF(L171&lt;=$B$16,1,IF(L171&gt;=$B$17,$B$21,MATCH(L171,Aux_CAV!$A$2:$A$121,1))))</f>
        <v>7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0.96181112425911</v>
      </c>
      <c r="E172" s="16" t="n">
        <f aca="false">IF(D172="","",D172*$B$15)</f>
        <v>2.49301443407961</v>
      </c>
      <c r="F172" s="16" t="n">
        <f aca="false" t="array" ref="F172:F172">IF(D172="","",IFERROR(INDEX(Dados_Evap!$C$2:$N$15,MATCH($B$9,Dados_Evap!$A$2:$A$15,0),C172),0))</f>
        <v>83.9</v>
      </c>
      <c r="G172" s="16" t="n">
        <f aca="false">IF(F172="","",F172/1000)</f>
        <v>0.0839</v>
      </c>
      <c r="H172" s="16" t="n">
        <f aca="false">IF(D172="","",MAX(0,MIN($B$8,IFERROR(LOOKUP(2,1/($U$24:U171&lt;&gt;""),$U$24:U171),$B$11))))</f>
        <v>19.5570960298063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1.19725232623853</v>
      </c>
      <c r="J172" s="16" t="n">
        <f aca="false">IF(D172="","",$B$12)</f>
        <v>0.25</v>
      </c>
      <c r="K172" s="16" t="n">
        <f aca="false">IF(J172="","",J172*$B$15)</f>
        <v>0.648</v>
      </c>
      <c r="L172" s="16" t="n">
        <f aca="false">IF(D172="","",H172+E172-K172-G172*I172)</f>
        <v>21.3016609937145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1.23002768322858</v>
      </c>
      <c r="N172" s="16" t="n">
        <f aca="false">IF(D172="","",(I172+M172)/2)</f>
        <v>1.21364000473355</v>
      </c>
      <c r="O172" s="16" t="n">
        <f aca="false">IF(D172="","",G172*N172)</f>
        <v>0.101824396397145</v>
      </c>
      <c r="P172" s="16" t="n">
        <f aca="false">IF(D172="","",H172+E172-K172-O172)</f>
        <v>21.3002860674888</v>
      </c>
      <c r="Q172" s="16" t="n">
        <f aca="false">IF(D172="","",IF(P172&gt;=0,K172,MAX(0,K172+P172)))</f>
        <v>0.648</v>
      </c>
      <c r="R172" s="16" t="n">
        <f aca="false">IF(D172="","",Q172/$B$15)</f>
        <v>0.25</v>
      </c>
      <c r="S172" s="16" t="n">
        <f aca="false">IF(D172="","",MAX(0,J172-R172))</f>
        <v>0</v>
      </c>
      <c r="T172" s="16" t="n">
        <f aca="false">IF(D172="","",MAX(0,Z172-$B$8))</f>
        <v>0.000286067488772801</v>
      </c>
      <c r="U172" s="16" t="n">
        <f aca="false">IF(D172="","",MAX(0,MIN($B$8,Z172)))</f>
        <v>21.3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21.3002860674888</v>
      </c>
      <c r="AA172" s="18" t="n">
        <f aca="false">IF(D172="","",IF(H172&lt;=$B$16,1,IF(H172&gt;=$B$17,$B$21,MATCH(H172,Aux_CAV!$A$2:$A$121,1))))</f>
        <v>7</v>
      </c>
      <c r="AB172" s="18" t="n">
        <f aca="false">IF(D172="","",IF(L172&lt;=$B$16,1,IF(L172&gt;=$B$17,$B$21,MATCH(L172,Aux_CAV!$A$2:$A$121,1))))</f>
        <v>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0.315659454345717</v>
      </c>
      <c r="E173" s="16" t="n">
        <f aca="false">IF(D173="","",D173*$B$15)</f>
        <v>0.818189305664099</v>
      </c>
      <c r="F173" s="16" t="n">
        <f aca="false" t="array" ref="F173:F173">IF(D173="","",IFERROR(INDEX(Dados_Evap!$C$2:$N$15,MATCH($B$9,Dados_Evap!$A$2:$A$15,0),C173),0))</f>
        <v>104.7</v>
      </c>
      <c r="G173" s="16" t="n">
        <f aca="false">IF(F173="","",F173/1000)</f>
        <v>0.1047</v>
      </c>
      <c r="H173" s="16" t="n">
        <f aca="false">IF(D173="","",MAX(0,MIN($B$8,IFERROR(LOOKUP(2,1/($U$24:U172&lt;&gt;""),$U$24:U172),$B$11))))</f>
        <v>21.3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1.23</v>
      </c>
      <c r="J173" s="16" t="n">
        <f aca="false">IF(D173="","",$B$12)</f>
        <v>0.25</v>
      </c>
      <c r="K173" s="16" t="n">
        <f aca="false">IF(J173="","",J173*$B$15)</f>
        <v>0.648</v>
      </c>
      <c r="L173" s="16" t="n">
        <f aca="false">IF(D173="","",H173+E173-K173-G173*I173)</f>
        <v>21.3414083056641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1.23069013842774</v>
      </c>
      <c r="N173" s="16" t="n">
        <f aca="false">IF(D173="","",(I173+M173)/2)</f>
        <v>1.23034506921387</v>
      </c>
      <c r="O173" s="16" t="n">
        <f aca="false">IF(D173="","",G173*N173)</f>
        <v>0.128817128746692</v>
      </c>
      <c r="P173" s="16" t="n">
        <f aca="false">IF(D173="","",H173+E173-K173-O173)</f>
        <v>21.3413721769174</v>
      </c>
      <c r="Q173" s="16" t="n">
        <f aca="false">IF(D173="","",IF(P173&gt;=0,K173,MAX(0,K173+P173)))</f>
        <v>0.648</v>
      </c>
      <c r="R173" s="16" t="n">
        <f aca="false">IF(D173="","",Q173/$B$15)</f>
        <v>0.25</v>
      </c>
      <c r="S173" s="16" t="n">
        <f aca="false">IF(D173="","",MAX(0,J173-R173))</f>
        <v>0</v>
      </c>
      <c r="T173" s="16" t="n">
        <f aca="false">IF(D173="","",MAX(0,Z173-$B$8))</f>
        <v>0.041372176917406</v>
      </c>
      <c r="U173" s="16" t="n">
        <f aca="false">IF(D173="","",MAX(0,MIN($B$8,Z173)))</f>
        <v>21.3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21.3413721769174</v>
      </c>
      <c r="AA173" s="18" t="n">
        <f aca="false">IF(D173="","",IF(H173&lt;=$B$16,1,IF(H173&gt;=$B$17,$B$21,MATCH(H173,Aux_CAV!$A$2:$A$121,1))))</f>
        <v>8</v>
      </c>
      <c r="AB173" s="18" t="n">
        <f aca="false">IF(D173="","",IF(L173&lt;=$B$16,1,IF(L173&gt;=$B$17,$B$21,MATCH(L173,Aux_CAV!$A$2:$A$121,1))))</f>
        <v>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0.346853707663819</v>
      </c>
      <c r="E174" s="16" t="n">
        <f aca="false">IF(D174="","",D174*$B$15)</f>
        <v>0.899044810264619</v>
      </c>
      <c r="F174" s="16" t="n">
        <f aca="false" t="array" ref="F174:F174">IF(D174="","",IFERROR(INDEX(Dados_Evap!$C$2:$N$15,MATCH($B$9,Dados_Evap!$A$2:$A$15,0),C174),0))</f>
        <v>145.2</v>
      </c>
      <c r="G174" s="16" t="n">
        <f aca="false">IF(F174="","",F174/1000)</f>
        <v>0.1452</v>
      </c>
      <c r="H174" s="16" t="n">
        <f aca="false">IF(D174="","",MAX(0,MIN($B$8,IFERROR(LOOKUP(2,1/($U$24:U173&lt;&gt;""),$U$24:U173),$B$11))))</f>
        <v>21.3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1.23</v>
      </c>
      <c r="J174" s="16" t="n">
        <f aca="false">IF(D174="","",$B$12)</f>
        <v>0.25</v>
      </c>
      <c r="K174" s="16" t="n">
        <f aca="false">IF(J174="","",J174*$B$15)</f>
        <v>0.648</v>
      </c>
      <c r="L174" s="16" t="n">
        <f aca="false">IF(D174="","",H174+E174-K174-G174*I174)</f>
        <v>21.3724488102646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1.23120748017108</v>
      </c>
      <c r="N174" s="16" t="n">
        <f aca="false">IF(D174="","",(I174+M174)/2)</f>
        <v>1.23060374008554</v>
      </c>
      <c r="O174" s="16" t="n">
        <f aca="false">IF(D174="","",G174*N174)</f>
        <v>0.17868366306042</v>
      </c>
      <c r="P174" s="16" t="n">
        <f aca="false">IF(D174="","",H174+E174-K174-O174)</f>
        <v>21.3723611472042</v>
      </c>
      <c r="Q174" s="16" t="n">
        <f aca="false">IF(D174="","",IF(P174&gt;=0,K174,MAX(0,K174+P174)))</f>
        <v>0.648</v>
      </c>
      <c r="R174" s="16" t="n">
        <f aca="false">IF(D174="","",Q174/$B$15)</f>
        <v>0.25</v>
      </c>
      <c r="S174" s="16" t="n">
        <f aca="false">IF(D174="","",MAX(0,J174-R174))</f>
        <v>0</v>
      </c>
      <c r="T174" s="16" t="n">
        <f aca="false">IF(D174="","",MAX(0,Z174-$B$8))</f>
        <v>0.0723611472042016</v>
      </c>
      <c r="U174" s="16" t="n">
        <f aca="false">IF(D174="","",MAX(0,MIN($B$8,Z174)))</f>
        <v>21.3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21.3723611472042</v>
      </c>
      <c r="AA174" s="18" t="n">
        <f aca="false">IF(D174="","",IF(H174&lt;=$B$16,1,IF(H174&gt;=$B$17,$B$21,MATCH(H174,Aux_CAV!$A$2:$A$121,1))))</f>
        <v>8</v>
      </c>
      <c r="AB174" s="18" t="n">
        <f aca="false">IF(D174="","",IF(L174&lt;=$B$16,1,IF(L174&gt;=$B$17,$B$21,MATCH(L174,Aux_CAV!$A$2:$A$121,1))))</f>
        <v>8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0.145405142233265</v>
      </c>
      <c r="E175" s="16" t="n">
        <f aca="false">IF(D175="","",D175*$B$15)</f>
        <v>0.376890128668623</v>
      </c>
      <c r="F175" s="16" t="n">
        <f aca="false" t="array" ref="F175:F175">IF(D175="","",IFERROR(INDEX(Dados_Evap!$C$2:$N$15,MATCH($B$9,Dados_Evap!$A$2:$A$15,0),C175),0))</f>
        <v>180.9</v>
      </c>
      <c r="G175" s="16" t="n">
        <f aca="false">IF(F175="","",F175/1000)</f>
        <v>0.1809</v>
      </c>
      <c r="H175" s="16" t="n">
        <f aca="false">IF(D175="","",MAX(0,MIN($B$8,IFERROR(LOOKUP(2,1/($U$24:U174&lt;&gt;""),$U$24:U174),$B$11))))</f>
        <v>21.3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1.23</v>
      </c>
      <c r="J175" s="16" t="n">
        <f aca="false">IF(D175="","",$B$12)</f>
        <v>0.25</v>
      </c>
      <c r="K175" s="16" t="n">
        <f aca="false">IF(J175="","",J175*$B$15)</f>
        <v>0.648</v>
      </c>
      <c r="L175" s="16" t="n">
        <f aca="false">IF(D175="","",H175+E175-K175-G175*I175)</f>
        <v>20.8063831286686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1.22072536149899</v>
      </c>
      <c r="N175" s="16" t="n">
        <f aca="false">IF(D175="","",(I175+M175)/2)</f>
        <v>1.2253626807495</v>
      </c>
      <c r="O175" s="16" t="n">
        <f aca="false">IF(D175="","",G175*N175)</f>
        <v>0.221668108947584</v>
      </c>
      <c r="P175" s="16" t="n">
        <f aca="false">IF(D175="","",H175+E175-K175-O175)</f>
        <v>20.807222019721</v>
      </c>
      <c r="Q175" s="16" t="n">
        <f aca="false">IF(D175="","",IF(P175&gt;=0,K175,MAX(0,K175+P175)))</f>
        <v>0.648</v>
      </c>
      <c r="R175" s="16" t="n">
        <f aca="false">IF(D175="","",Q175/$B$15)</f>
        <v>0.25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20.807222019721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97.6864883554978</v>
      </c>
      <c r="Z175" s="18" t="n">
        <f aca="false">IF(D175="","",MAX(0,IF(P175&gt;=0,P175,IF(K175+P175&gt;=0,0,P175+K175))))</f>
        <v>20.807222019721</v>
      </c>
      <c r="AA175" s="18" t="n">
        <f aca="false">IF(D175="","",IF(H175&lt;=$B$16,1,IF(H175&gt;=$B$17,$B$21,MATCH(H175,Aux_CAV!$A$2:$A$121,1))))</f>
        <v>8</v>
      </c>
      <c r="AB175" s="18" t="n">
        <f aca="false">IF(D175="","",IF(L175&lt;=$B$16,1,IF(L175&gt;=$B$17,$B$21,MATCH(L175,Aux_CAV!$A$2:$A$121,1))))</f>
        <v>7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0.0759141353638265</v>
      </c>
      <c r="E176" s="16" t="n">
        <f aca="false">IF(D176="","",D176*$B$15)</f>
        <v>0.196769438863038</v>
      </c>
      <c r="F176" s="16" t="n">
        <f aca="false" t="array" ref="F176:F176">IF(D176="","",IFERROR(INDEX(Dados_Evap!$C$2:$N$15,MATCH($B$9,Dados_Evap!$A$2:$A$15,0),C176),0))</f>
        <v>208.9</v>
      </c>
      <c r="G176" s="16" t="n">
        <f aca="false">IF(F176="","",F176/1000)</f>
        <v>0.2089</v>
      </c>
      <c r="H176" s="16" t="n">
        <f aca="false">IF(D176="","",MAX(0,MIN($B$8,IFERROR(LOOKUP(2,1/($U$24:U175&lt;&gt;""),$U$24:U175),$B$11))))</f>
        <v>20.807222019721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1.22074112354382</v>
      </c>
      <c r="J176" s="16" t="n">
        <f aca="false">IF(D176="","",$B$12)</f>
        <v>0.25</v>
      </c>
      <c r="K176" s="16" t="n">
        <f aca="false">IF(J176="","",J176*$B$15)</f>
        <v>0.648</v>
      </c>
      <c r="L176" s="16" t="n">
        <f aca="false">IF(D176="","",H176+E176-K176-G176*I176)</f>
        <v>20.1009786378758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1.2074714149079</v>
      </c>
      <c r="N176" s="16" t="n">
        <f aca="false">IF(D176="","",(I176+M176)/2)</f>
        <v>1.21410626922586</v>
      </c>
      <c r="O176" s="16" t="n">
        <f aca="false">IF(D176="","",G176*N176)</f>
        <v>0.253626799641282</v>
      </c>
      <c r="P176" s="16" t="n">
        <f aca="false">IF(D176="","",H176+E176-K176-O176)</f>
        <v>20.1023646589428</v>
      </c>
      <c r="Q176" s="16" t="n">
        <f aca="false">IF(D176="","",IF(P176&gt;=0,K176,MAX(0,K176+P176)))</f>
        <v>0.648</v>
      </c>
      <c r="R176" s="16" t="n">
        <f aca="false">IF(D176="","",Q176/$B$15)</f>
        <v>0.25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20.1023646589428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94.3772988682761</v>
      </c>
      <c r="Z176" s="18" t="n">
        <f aca="false">IF(D176="","",MAX(0,IF(P176&gt;=0,P176,IF(K176+P176&gt;=0,0,P176+K176))))</f>
        <v>20.1023646589428</v>
      </c>
      <c r="AA176" s="18" t="n">
        <f aca="false">IF(D176="","",IF(H176&lt;=$B$16,1,IF(H176&gt;=$B$17,$B$21,MATCH(H176,Aux_CAV!$A$2:$A$121,1))))</f>
        <v>7</v>
      </c>
      <c r="AB176" s="18" t="n">
        <f aca="false">IF(D176="","",IF(L176&lt;=$B$16,1,IF(L176&gt;=$B$17,$B$21,MATCH(L176,Aux_CAV!$A$2:$A$121,1))))</f>
        <v>7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0.0418881326856275</v>
      </c>
      <c r="E177" s="16" t="n">
        <f aca="false">IF(D177="","",D177*$B$15)</f>
        <v>0.108574039921146</v>
      </c>
      <c r="F177" s="16" t="n">
        <f aca="false" t="array" ref="F177:F177">IF(D177="","",IFERROR(INDEX(Dados_Evap!$C$2:$N$15,MATCH($B$9,Dados_Evap!$A$2:$A$15,0),C177),0))</f>
        <v>235.9</v>
      </c>
      <c r="G177" s="16" t="n">
        <f aca="false">IF(F177="","",F177/1000)</f>
        <v>0.2359</v>
      </c>
      <c r="H177" s="16" t="n">
        <f aca="false">IF(D177="","",MAX(0,MIN($B$8,IFERROR(LOOKUP(2,1/($U$24:U176&lt;&gt;""),$U$24:U176),$B$11))))</f>
        <v>20.1023646589428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1.20749745705738</v>
      </c>
      <c r="J177" s="16" t="n">
        <f aca="false">IF(D177="","",$B$12)</f>
        <v>0.25</v>
      </c>
      <c r="K177" s="16" t="n">
        <f aca="false">IF(J177="","",J177*$B$15)</f>
        <v>0.648</v>
      </c>
      <c r="L177" s="16" t="n">
        <f aca="false">IF(D177="","",H177+E177-K177-G177*I177)</f>
        <v>19.2780900487441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1.19201004266951</v>
      </c>
      <c r="N177" s="16" t="n">
        <f aca="false">IF(D177="","",(I177+M177)/2)</f>
        <v>1.19975374986345</v>
      </c>
      <c r="O177" s="16" t="n">
        <f aca="false">IF(D177="","",G177*N177)</f>
        <v>0.283021909592787</v>
      </c>
      <c r="P177" s="16" t="n">
        <f aca="false">IF(D177="","",H177+E177-K177-O177)</f>
        <v>19.2799167892712</v>
      </c>
      <c r="Q177" s="16" t="n">
        <f aca="false">IF(D177="","",IF(P177&gt;=0,K177,MAX(0,K177+P177)))</f>
        <v>0.648</v>
      </c>
      <c r="R177" s="16" t="n">
        <f aca="false">IF(D177="","",Q177/$B$15)</f>
        <v>0.25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19.2799167892712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90.5160412641839</v>
      </c>
      <c r="Z177" s="18" t="n">
        <f aca="false">IF(D177="","",MAX(0,IF(P177&gt;=0,P177,IF(K177+P177&gt;=0,0,P177+K177))))</f>
        <v>19.2799167892712</v>
      </c>
      <c r="AA177" s="18" t="n">
        <f aca="false">IF(D177="","",IF(H177&lt;=$B$16,1,IF(H177&gt;=$B$17,$B$21,MATCH(H177,Aux_CAV!$A$2:$A$121,1))))</f>
        <v>7</v>
      </c>
      <c r="AB177" s="18" t="n">
        <f aca="false">IF(D177="","",IF(L177&lt;=$B$16,1,IF(L177&gt;=$B$17,$B$21,MATCH(L177,Aux_CAV!$A$2:$A$121,1))))</f>
        <v>7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0.050079047094709</v>
      </c>
      <c r="E178" s="16" t="n">
        <f aca="false">IF(D178="","",D178*$B$15)</f>
        <v>0.129804890069486</v>
      </c>
      <c r="F178" s="16" t="n">
        <f aca="false" t="array" ref="F178:F178">IF(D178="","",IFERROR(INDEX(Dados_Evap!$C$2:$N$15,MATCH($B$9,Dados_Evap!$A$2:$A$15,0),C178),0))</f>
        <v>225.9</v>
      </c>
      <c r="G178" s="16" t="n">
        <f aca="false">IF(F178="","",F178/1000)</f>
        <v>0.2259</v>
      </c>
      <c r="H178" s="16" t="n">
        <f aca="false">IF(D178="","",MAX(0,MIN($B$8,IFERROR(LOOKUP(2,1/($U$24:U177&lt;&gt;""),$U$24:U177),$B$11))))</f>
        <v>19.2799167892712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1.19204436556042</v>
      </c>
      <c r="J178" s="16" t="n">
        <f aca="false">IF(D178="","",$B$12)</f>
        <v>0.25</v>
      </c>
      <c r="K178" s="16" t="n">
        <f aca="false">IF(J178="","",J178*$B$15)</f>
        <v>0.648</v>
      </c>
      <c r="L178" s="16" t="n">
        <f aca="false">IF(D178="","",H178+E178-K178-G178*I178)</f>
        <v>18.4924388571606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1.17724832925771</v>
      </c>
      <c r="N178" s="16" t="n">
        <f aca="false">IF(D178="","",(I178+M178)/2)</f>
        <v>1.18464634740907</v>
      </c>
      <c r="O178" s="16" t="n">
        <f aca="false">IF(D178="","",G178*N178)</f>
        <v>0.267611609879708</v>
      </c>
      <c r="P178" s="16" t="n">
        <f aca="false">IF(D178="","",H178+E178-K178-O178)</f>
        <v>18.4941100694609</v>
      </c>
      <c r="Q178" s="16" t="n">
        <f aca="false">IF(D178="","",IF(P178&gt;=0,K178,MAX(0,K178+P178)))</f>
        <v>0.648</v>
      </c>
      <c r="R178" s="16" t="n">
        <f aca="false">IF(D178="","",Q178/$B$15)</f>
        <v>0.25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18.4941100694609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86.8268078378448</v>
      </c>
      <c r="Z178" s="18" t="n">
        <f aca="false">IF(D178="","",MAX(0,IF(P178&gt;=0,P178,IF(K178+P178&gt;=0,0,P178+K178))))</f>
        <v>18.4941100694609</v>
      </c>
      <c r="AA178" s="18" t="n">
        <f aca="false">IF(D178="","",IF(H178&lt;=$B$16,1,IF(H178&gt;=$B$17,$B$21,MATCH(H178,Aux_CAV!$A$2:$A$121,1))))</f>
        <v>7</v>
      </c>
      <c r="AB178" s="18" t="n">
        <f aca="false">IF(D178="","",IF(L178&lt;=$B$16,1,IF(L178&gt;=$B$17,$B$21,MATCH(L178,Aux_CAV!$A$2:$A$121,1))))</f>
        <v>7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0.0229044768800988</v>
      </c>
      <c r="E179" s="16" t="n">
        <f aca="false">IF(D179="","",D179*$B$15)</f>
        <v>0.0593684040732161</v>
      </c>
      <c r="F179" s="16" t="n">
        <f aca="false" t="array" ref="F179:F179">IF(D179="","",IFERROR(INDEX(Dados_Evap!$C$2:$N$15,MATCH($B$9,Dados_Evap!$A$2:$A$15,0),C179),0))</f>
        <v>206</v>
      </c>
      <c r="G179" s="16" t="n">
        <f aca="false">IF(F179="","",F179/1000)</f>
        <v>0.206</v>
      </c>
      <c r="H179" s="16" t="n">
        <f aca="false">IF(D179="","",MAX(0,MIN($B$8,IFERROR(LOOKUP(2,1/($U$24:U178&lt;&gt;""),$U$24:U178),$B$11))))</f>
        <v>18.4941100694609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1.17727972990636</v>
      </c>
      <c r="J179" s="16" t="n">
        <f aca="false">IF(D179="","",$B$12)</f>
        <v>0.25</v>
      </c>
      <c r="K179" s="16" t="n">
        <f aca="false">IF(J179="","",J179*$B$15)</f>
        <v>0.648</v>
      </c>
      <c r="L179" s="16" t="n">
        <f aca="false">IF(D179="","",H179+E179-K179-G179*I179)</f>
        <v>17.6629588491734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1.16166310990096</v>
      </c>
      <c r="N179" s="16" t="n">
        <f aca="false">IF(D179="","",(I179+M179)/2)</f>
        <v>1.16947141990366</v>
      </c>
      <c r="O179" s="16" t="n">
        <f aca="false">IF(D179="","",G179*N179)</f>
        <v>0.240911112500155</v>
      </c>
      <c r="P179" s="16" t="n">
        <f aca="false">IF(D179="","",H179+E179-K179-O179)</f>
        <v>17.664567361034</v>
      </c>
      <c r="Q179" s="16" t="n">
        <f aca="false">IF(D179="","",IF(P179&gt;=0,K179,MAX(0,K179+P179)))</f>
        <v>0.648</v>
      </c>
      <c r="R179" s="16" t="n">
        <f aca="false">IF(D179="","",Q179/$B$15)</f>
        <v>0.25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17.664567361034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82.932241131615</v>
      </c>
      <c r="Z179" s="18" t="n">
        <f aca="false">IF(D179="","",MAX(0,IF(P179&gt;=0,P179,IF(K179+P179&gt;=0,0,P179+K179))))</f>
        <v>17.664567361034</v>
      </c>
      <c r="AA179" s="18" t="n">
        <f aca="false">IF(D179="","",IF(H179&lt;=$B$16,1,IF(H179&gt;=$B$17,$B$21,MATCH(H179,Aux_CAV!$A$2:$A$121,1))))</f>
        <v>7</v>
      </c>
      <c r="AB179" s="18" t="n">
        <f aca="false">IF(D179="","",IF(L179&lt;=$B$16,1,IF(L179&gt;=$B$17,$B$21,MATCH(L179,Aux_CAV!$A$2:$A$121,1))))</f>
        <v>7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0.0476940293723602</v>
      </c>
      <c r="E180" s="16" t="n">
        <f aca="false">IF(D180="","",D180*$B$15)</f>
        <v>0.123622924133158</v>
      </c>
      <c r="F180" s="16" t="n">
        <f aca="false" t="array" ref="F180:F180">IF(D180="","",IFERROR(INDEX(Dados_Evap!$C$2:$N$15,MATCH($B$9,Dados_Evap!$A$2:$A$15,0),C180),0))</f>
        <v>165.6</v>
      </c>
      <c r="G180" s="16" t="n">
        <f aca="false">IF(F180="","",F180/1000)</f>
        <v>0.1656</v>
      </c>
      <c r="H180" s="16" t="n">
        <f aca="false">IF(D180="","",MAX(0,MIN($B$8,IFERROR(LOOKUP(2,1/($U$24:U179&lt;&gt;""),$U$24:U179),$B$11))))</f>
        <v>17.664567361034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1.16169333246202</v>
      </c>
      <c r="J180" s="16" t="n">
        <f aca="false">IF(D180="","",$B$12)</f>
        <v>0.25</v>
      </c>
      <c r="K180" s="16" t="n">
        <f aca="false">IF(J180="","",J180*$B$15)</f>
        <v>0.648</v>
      </c>
      <c r="L180" s="16" t="n">
        <f aca="false">IF(D180="","",H180+E180-K180-G180*I180)</f>
        <v>16.9478138693115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1.14822614785763</v>
      </c>
      <c r="N180" s="16" t="n">
        <f aca="false">IF(D180="","",(I180+M180)/2)</f>
        <v>1.15495974015982</v>
      </c>
      <c r="O180" s="16" t="n">
        <f aca="false">IF(D180="","",G180*N180)</f>
        <v>0.191261332970466</v>
      </c>
      <c r="P180" s="16" t="n">
        <f aca="false">IF(D180="","",H180+E180-K180-O180)</f>
        <v>16.9489289521967</v>
      </c>
      <c r="Q180" s="16" t="n">
        <f aca="false">IF(D180="","",IF(P180&gt;=0,K180,MAX(0,K180+P180)))</f>
        <v>0.648</v>
      </c>
      <c r="R180" s="16" t="n">
        <f aca="false">IF(D180="","",Q180/$B$15)</f>
        <v>0.25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16.9489289521967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79.5724363952896</v>
      </c>
      <c r="Z180" s="18" t="n">
        <f aca="false">IF(D180="","",MAX(0,IF(P180&gt;=0,P180,IF(K180+P180&gt;=0,0,P180+K180))))</f>
        <v>16.9489289521967</v>
      </c>
      <c r="AA180" s="18" t="n">
        <f aca="false">IF(D180="","",IF(H180&lt;=$B$16,1,IF(H180&gt;=$B$17,$B$21,MATCH(H180,Aux_CAV!$A$2:$A$121,1))))</f>
        <v>7</v>
      </c>
      <c r="AB180" s="18" t="n">
        <f aca="false">IF(D180="","",IF(L180&lt;=$B$16,1,IF(L180&gt;=$B$17,$B$21,MATCH(L180,Aux_CAV!$A$2:$A$121,1))))</f>
        <v>7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0.282868932077191</v>
      </c>
      <c r="E181" s="16" t="n">
        <f aca="false">IF(D181="","",D181*$B$15)</f>
        <v>0.733196271944079</v>
      </c>
      <c r="F181" s="16" t="n">
        <f aca="false" t="array" ref="F181:F181">IF(D181="","",IFERROR(INDEX(Dados_Evap!$C$2:$N$15,MATCH($B$9,Dados_Evap!$A$2:$A$15,0),C181),0))</f>
        <v>124.9</v>
      </c>
      <c r="G181" s="16" t="n">
        <f aca="false">IF(F181="","",F181/1000)</f>
        <v>0.1249</v>
      </c>
      <c r="H181" s="16" t="n">
        <f aca="false">IF(D181="","",MAX(0,MIN($B$8,IFERROR(LOOKUP(2,1/($U$24:U180&lt;&gt;""),$U$24:U180),$B$11))))</f>
        <v>16.9489289521967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1.14824709931058</v>
      </c>
      <c r="J181" s="16" t="n">
        <f aca="false">IF(D181="","",$B$12)</f>
        <v>0.25</v>
      </c>
      <c r="K181" s="16" t="n">
        <f aca="false">IF(J181="","",J181*$B$15)</f>
        <v>0.648</v>
      </c>
      <c r="L181" s="16" t="n">
        <f aca="false">IF(D181="","",H181+E181-K181-G181*I181)</f>
        <v>16.8907091614369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1.14715319927543</v>
      </c>
      <c r="N181" s="16" t="n">
        <f aca="false">IF(D181="","",(I181+M181)/2)</f>
        <v>1.14770014929301</v>
      </c>
      <c r="O181" s="16" t="n">
        <f aca="false">IF(D181="","",G181*N181)</f>
        <v>0.143347748646697</v>
      </c>
      <c r="P181" s="16" t="n">
        <f aca="false">IF(D181="","",H181+E181-K181-O181)</f>
        <v>16.8907774754941</v>
      </c>
      <c r="Q181" s="16" t="n">
        <f aca="false">IF(D181="","",IF(P181&gt;=0,K181,MAX(0,K181+P181)))</f>
        <v>0.648</v>
      </c>
      <c r="R181" s="16" t="n">
        <f aca="false">IF(D181="","",Q181/$B$15)</f>
        <v>0.25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16.8907774754941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79.2994247675778</v>
      </c>
      <c r="Z181" s="18" t="n">
        <f aca="false">IF(D181="","",MAX(0,IF(P181&gt;=0,P181,IF(K181+P181&gt;=0,0,P181+K181))))</f>
        <v>16.8907774754941</v>
      </c>
      <c r="AA181" s="18" t="n">
        <f aca="false">IF(D181="","",IF(H181&lt;=$B$16,1,IF(H181&gt;=$B$17,$B$21,MATCH(H181,Aux_CAV!$A$2:$A$121,1))))</f>
        <v>7</v>
      </c>
      <c r="AB181" s="18" t="n">
        <f aca="false">IF(D181="","",IF(L181&lt;=$B$16,1,IF(L181&gt;=$B$17,$B$21,MATCH(L181,Aux_CAV!$A$2:$A$121,1))))</f>
        <v>7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0.48012574946658</v>
      </c>
      <c r="E182" s="16" t="n">
        <f aca="false">IF(D182="","",D182*$B$15)</f>
        <v>1.24448594261738</v>
      </c>
      <c r="F182" s="16" t="n">
        <f aca="false" t="array" ref="F182:F182">IF(D182="","",IFERROR(INDEX(Dados_Evap!$C$2:$N$15,MATCH($B$9,Dados_Evap!$A$2:$A$15,0),C182),0))</f>
        <v>88.2</v>
      </c>
      <c r="G182" s="16" t="n">
        <f aca="false">IF(F182="","",F182/1000)</f>
        <v>0.0882</v>
      </c>
      <c r="H182" s="16" t="n">
        <f aca="false">IF(D182="","",MAX(0,MIN($B$8,IFERROR(LOOKUP(2,1/($U$24:U181&lt;&gt;""),$U$24:U181),$B$11))))</f>
        <v>16.8907774754941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1.14715448283809</v>
      </c>
      <c r="J182" s="16" t="n">
        <f aca="false">IF(D182="","",$B$12)</f>
        <v>0.25</v>
      </c>
      <c r="K182" s="16" t="n">
        <f aca="false">IF(J182="","",J182*$B$15)</f>
        <v>0.648</v>
      </c>
      <c r="L182" s="16" t="n">
        <f aca="false">IF(D182="","",H182+E182-K182-G182*I182)</f>
        <v>17.3860843927251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1.15646087585496</v>
      </c>
      <c r="N182" s="16" t="n">
        <f aca="false">IF(D182="","",(I182+M182)/2)</f>
        <v>1.15180767934653</v>
      </c>
      <c r="O182" s="16" t="n">
        <f aca="false">IF(D182="","",G182*N182)</f>
        <v>0.101589437318364</v>
      </c>
      <c r="P182" s="16" t="n">
        <f aca="false">IF(D182="","",H182+E182-K182-O182)</f>
        <v>17.3856739807931</v>
      </c>
      <c r="Q182" s="16" t="n">
        <f aca="false">IF(D182="","",IF(P182&gt;=0,K182,MAX(0,K182+P182)))</f>
        <v>0.648</v>
      </c>
      <c r="R182" s="16" t="n">
        <f aca="false">IF(D182="","",Q182/$B$15)</f>
        <v>0.25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17.3856739807931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81.6228825389347</v>
      </c>
      <c r="Z182" s="18" t="n">
        <f aca="false">IF(D182="","",MAX(0,IF(P182&gt;=0,P182,IF(K182+P182&gt;=0,0,P182+K182))))</f>
        <v>17.3856739807931</v>
      </c>
      <c r="AA182" s="18" t="n">
        <f aca="false">IF(D182="","",IF(H182&lt;=$B$16,1,IF(H182&gt;=$B$17,$B$21,MATCH(H182,Aux_CAV!$A$2:$A$121,1))))</f>
        <v>7</v>
      </c>
      <c r="AB182" s="18" t="n">
        <f aca="false">IF(D182="","",IF(L182&lt;=$B$16,1,IF(L182&gt;=$B$17,$B$21,MATCH(L182,Aux_CAV!$A$2:$A$121,1))))</f>
        <v>7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0.849144322304212</v>
      </c>
      <c r="E183" s="16" t="n">
        <f aca="false">IF(D183="","",D183*$B$15)</f>
        <v>2.20098208341252</v>
      </c>
      <c r="F183" s="16" t="n">
        <f aca="false" t="array" ref="F183:F183">IF(D183="","",IFERROR(INDEX(Dados_Evap!$C$2:$N$15,MATCH($B$9,Dados_Evap!$A$2:$A$15,0),C183),0))</f>
        <v>88.2</v>
      </c>
      <c r="G183" s="16" t="n">
        <f aca="false">IF(F183="","",F183/1000)</f>
        <v>0.0882</v>
      </c>
      <c r="H183" s="16" t="n">
        <f aca="false">IF(D183="","",MAX(0,MIN($B$8,IFERROR(LOOKUP(2,1/($U$24:U182&lt;&gt;""),$U$24:U182),$B$11))))</f>
        <v>17.3856739807931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1.15645316456605</v>
      </c>
      <c r="J183" s="16" t="n">
        <f aca="false">IF(D183="","",$B$12)</f>
        <v>0.25</v>
      </c>
      <c r="K183" s="16" t="n">
        <f aca="false">IF(J183="","",J183*$B$15)</f>
        <v>0.648</v>
      </c>
      <c r="L183" s="16" t="n">
        <f aca="false">IF(D183="","",H183+E183-K183-G183*I183)</f>
        <v>18.8366568950909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1.18371589155703</v>
      </c>
      <c r="N183" s="16" t="n">
        <f aca="false">IF(D183="","",(I183+M183)/2)</f>
        <v>1.17008452806154</v>
      </c>
      <c r="O183" s="16" t="n">
        <f aca="false">IF(D183="","",G183*N183)</f>
        <v>0.103201455375028</v>
      </c>
      <c r="P183" s="16" t="n">
        <f aca="false">IF(D183="","",H183+E183-K183-O183)</f>
        <v>18.8354546088306</v>
      </c>
      <c r="Q183" s="16" t="n">
        <f aca="false">IF(D183="","",IF(P183&gt;=0,K183,MAX(0,K183+P183)))</f>
        <v>0.648</v>
      </c>
      <c r="R183" s="16" t="n">
        <f aca="false">IF(D183="","",Q183/$B$15)</f>
        <v>0.25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18.8354546088306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88.4293643607069</v>
      </c>
      <c r="Z183" s="18" t="n">
        <f aca="false">IF(D183="","",MAX(0,IF(P183&gt;=0,P183,IF(K183+P183&gt;=0,0,P183+K183))))</f>
        <v>18.8354546088306</v>
      </c>
      <c r="AA183" s="18" t="n">
        <f aca="false">IF(D183="","",IF(H183&lt;=$B$16,1,IF(H183&gt;=$B$17,$B$21,MATCH(H183,Aux_CAV!$A$2:$A$121,1))))</f>
        <v>7</v>
      </c>
      <c r="AB183" s="18" t="n">
        <f aca="false">IF(D183="","",IF(L183&lt;=$B$16,1,IF(L183&gt;=$B$17,$B$21,MATCH(L183,Aux_CAV!$A$2:$A$121,1))))</f>
        <v>7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0.909298603956548</v>
      </c>
      <c r="E184" s="16" t="n">
        <f aca="false">IF(D184="","",D184*$B$15)</f>
        <v>2.35690198145537</v>
      </c>
      <c r="F184" s="16" t="n">
        <f aca="false" t="array" ref="F184:F184">IF(D184="","",IFERROR(INDEX(Dados_Evap!$C$2:$N$15,MATCH($B$9,Dados_Evap!$A$2:$A$15,0),C184),0))</f>
        <v>83.9</v>
      </c>
      <c r="G184" s="16" t="n">
        <f aca="false">IF(F184="","",F184/1000)</f>
        <v>0.0839</v>
      </c>
      <c r="H184" s="16" t="n">
        <f aca="false">IF(D184="","",MAX(0,MIN($B$8,IFERROR(LOOKUP(2,1/($U$24:U183&lt;&gt;""),$U$24:U183),$B$11))))</f>
        <v>18.8354546088306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1.1836933016273</v>
      </c>
      <c r="J184" s="16" t="n">
        <f aca="false">IF(D184="","",$B$12)</f>
        <v>0.25</v>
      </c>
      <c r="K184" s="16" t="n">
        <f aca="false">IF(J184="","",J184*$B$15)</f>
        <v>0.648</v>
      </c>
      <c r="L184" s="16" t="n">
        <f aca="false">IF(D184="","",H184+E184-K184-G184*I184)</f>
        <v>20.4450447222794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1.21393612213051</v>
      </c>
      <c r="N184" s="16" t="n">
        <f aca="false">IF(D184="","",(I184+M184)/2)</f>
        <v>1.1988147118789</v>
      </c>
      <c r="O184" s="16" t="n">
        <f aca="false">IF(D184="","",G184*N184)</f>
        <v>0.10058055432664</v>
      </c>
      <c r="P184" s="16" t="n">
        <f aca="false">IF(D184="","",H184+E184-K184-O184)</f>
        <v>20.4437760359593</v>
      </c>
      <c r="Q184" s="16" t="n">
        <f aca="false">IF(D184="","",IF(P184&gt;=0,K184,MAX(0,K184+P184)))</f>
        <v>0.648</v>
      </c>
      <c r="R184" s="16" t="n">
        <f aca="false">IF(D184="","",Q184/$B$15)</f>
        <v>0.25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20.4437760359593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95.9801691829076</v>
      </c>
      <c r="Z184" s="18" t="n">
        <f aca="false">IF(D184="","",MAX(0,IF(P184&gt;=0,P184,IF(K184+P184&gt;=0,0,P184+K184))))</f>
        <v>20.4437760359593</v>
      </c>
      <c r="AA184" s="18" t="n">
        <f aca="false">IF(D184="","",IF(H184&lt;=$B$16,1,IF(H184&gt;=$B$17,$B$21,MATCH(H184,Aux_CAV!$A$2:$A$121,1))))</f>
        <v>7</v>
      </c>
      <c r="AB184" s="18" t="n">
        <f aca="false">IF(D184="","",IF(L184&lt;=$B$16,1,IF(L184&gt;=$B$17,$B$21,MATCH(L184,Aux_CAV!$A$2:$A$121,1))))</f>
        <v>7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0.249057037480646</v>
      </c>
      <c r="E185" s="16" t="n">
        <f aca="false">IF(D185="","",D185*$B$15)</f>
        <v>0.645555841149834</v>
      </c>
      <c r="F185" s="16" t="n">
        <f aca="false" t="array" ref="F185:F185">IF(D185="","",IFERROR(INDEX(Dados_Evap!$C$2:$N$15,MATCH($B$9,Dados_Evap!$A$2:$A$15,0),C185),0))</f>
        <v>104.7</v>
      </c>
      <c r="G185" s="16" t="n">
        <f aca="false">IF(F185="","",F185/1000)</f>
        <v>0.1047</v>
      </c>
      <c r="H185" s="16" t="n">
        <f aca="false">IF(D185="","",MAX(0,MIN($B$8,IFERROR(LOOKUP(2,1/($U$24:U184&lt;&gt;""),$U$24:U184),$B$11))))</f>
        <v>20.4437760359593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1.21391228460049</v>
      </c>
      <c r="J185" s="16" t="n">
        <f aca="false">IF(D185="","",$B$12)</f>
        <v>0.25</v>
      </c>
      <c r="K185" s="16" t="n">
        <f aca="false">IF(J185="","",J185*$B$15)</f>
        <v>0.648</v>
      </c>
      <c r="L185" s="16" t="n">
        <f aca="false">IF(D185="","",H185+E185-K185-G185*I185)</f>
        <v>20.3142352609115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1.21147832431775</v>
      </c>
      <c r="N185" s="16" t="n">
        <f aca="false">IF(D185="","",(I185+M185)/2)</f>
        <v>1.21269530445912</v>
      </c>
      <c r="O185" s="16" t="n">
        <f aca="false">IF(D185="","",G185*N185)</f>
        <v>0.12696919837687</v>
      </c>
      <c r="P185" s="16" t="n">
        <f aca="false">IF(D185="","",H185+E185-K185-O185)</f>
        <v>20.3143626787323</v>
      </c>
      <c r="Q185" s="16" t="n">
        <f aca="false">IF(D185="","",IF(P185&gt;=0,K185,MAX(0,K185+P185)))</f>
        <v>0.648</v>
      </c>
      <c r="R185" s="16" t="n">
        <f aca="false">IF(D185="","",Q185/$B$15)</f>
        <v>0.25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20.3143626787323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95.3725947358323</v>
      </c>
      <c r="Z185" s="18" t="n">
        <f aca="false">IF(D185="","",MAX(0,IF(P185&gt;=0,P185,IF(K185+P185&gt;=0,0,P185+K185))))</f>
        <v>20.3143626787323</v>
      </c>
      <c r="AA185" s="18" t="n">
        <f aca="false">IF(D185="","",IF(H185&lt;=$B$16,1,IF(H185&gt;=$B$17,$B$21,MATCH(H185,Aux_CAV!$A$2:$A$121,1))))</f>
        <v>7</v>
      </c>
      <c r="AB185" s="18" t="n">
        <f aca="false">IF(D185="","",IF(L185&lt;=$B$16,1,IF(L185&gt;=$B$17,$B$21,MATCH(L185,Aux_CAV!$A$2:$A$121,1))))</f>
        <v>7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0.204524456076505</v>
      </c>
      <c r="E186" s="16" t="n">
        <f aca="false">IF(D186="","",D186*$B$15)</f>
        <v>0.530127390150301</v>
      </c>
      <c r="F186" s="16" t="n">
        <f aca="false" t="array" ref="F186:F186">IF(D186="","",IFERROR(INDEX(Dados_Evap!$C$2:$N$15,MATCH($B$9,Dados_Evap!$A$2:$A$15,0),C186),0))</f>
        <v>145.2</v>
      </c>
      <c r="G186" s="16" t="n">
        <f aca="false">IF(F186="","",F186/1000)</f>
        <v>0.1452</v>
      </c>
      <c r="H186" s="16" t="n">
        <f aca="false">IF(D186="","",MAX(0,MIN($B$8,IFERROR(LOOKUP(2,1/($U$24:U185&lt;&gt;""),$U$24:U185),$B$11))))</f>
        <v>20.3143626787323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1.21148071838954</v>
      </c>
      <c r="J186" s="16" t="n">
        <f aca="false">IF(D186="","",$B$12)</f>
        <v>0.25</v>
      </c>
      <c r="K186" s="16" t="n">
        <f aca="false">IF(J186="","",J186*$B$15)</f>
        <v>0.648</v>
      </c>
      <c r="L186" s="16" t="n">
        <f aca="false">IF(D186="","",H186+E186-K186-G186*I186)</f>
        <v>20.0205830685724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1.20596085097526</v>
      </c>
      <c r="N186" s="16" t="n">
        <f aca="false">IF(D186="","",(I186+M186)/2)</f>
        <v>1.2087207846824</v>
      </c>
      <c r="O186" s="16" t="n">
        <f aca="false">IF(D186="","",G186*N186)</f>
        <v>0.175506257935885</v>
      </c>
      <c r="P186" s="16" t="n">
        <f aca="false">IF(D186="","",H186+E186-K186-O186)</f>
        <v>20.0209838109467</v>
      </c>
      <c r="Q186" s="16" t="n">
        <f aca="false">IF(D186="","",IF(P186&gt;=0,K186,MAX(0,K186+P186)))</f>
        <v>0.648</v>
      </c>
      <c r="R186" s="16" t="n">
        <f aca="false">IF(D186="","",Q186/$B$15)</f>
        <v>0.25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20.0209838109467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93.9952291593741</v>
      </c>
      <c r="Z186" s="18" t="n">
        <f aca="false">IF(D186="","",MAX(0,IF(P186&gt;=0,P186,IF(K186+P186&gt;=0,0,P186+K186))))</f>
        <v>20.0209838109467</v>
      </c>
      <c r="AA186" s="18" t="n">
        <f aca="false">IF(D186="","",IF(H186&lt;=$B$16,1,IF(H186&gt;=$B$17,$B$21,MATCH(H186,Aux_CAV!$A$2:$A$121,1))))</f>
        <v>7</v>
      </c>
      <c r="AB186" s="18" t="n">
        <f aca="false">IF(D186="","",IF(L186&lt;=$B$16,1,IF(L186&gt;=$B$17,$B$21,MATCH(L186,Aux_CAV!$A$2:$A$121,1))))</f>
        <v>7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0.0854280392415402</v>
      </c>
      <c r="E187" s="16" t="n">
        <f aca="false">IF(D187="","",D187*$B$15)</f>
        <v>0.221429477714072</v>
      </c>
      <c r="F187" s="16" t="n">
        <f aca="false" t="array" ref="F187:F187">IF(D187="","",IFERROR(INDEX(Dados_Evap!$C$2:$N$15,MATCH($B$9,Dados_Evap!$A$2:$A$15,0),C187),0))</f>
        <v>180.9</v>
      </c>
      <c r="G187" s="16" t="n">
        <f aca="false">IF(F187="","",F187/1000)</f>
        <v>0.1809</v>
      </c>
      <c r="H187" s="16" t="n">
        <f aca="false">IF(D187="","",MAX(0,MIN($B$8,IFERROR(LOOKUP(2,1/($U$24:U186&lt;&gt;""),$U$24:U186),$B$11))))</f>
        <v>20.0209838109467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1.20596838058146</v>
      </c>
      <c r="J187" s="16" t="n">
        <f aca="false">IF(D187="","",$B$12)</f>
        <v>0.25</v>
      </c>
      <c r="K187" s="16" t="n">
        <f aca="false">IF(J187="","",J187*$B$15)</f>
        <v>0.648</v>
      </c>
      <c r="L187" s="16" t="n">
        <f aca="false">IF(D187="","",H187+E187-K187-G187*I187)</f>
        <v>19.3762536086136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1.19385445193637</v>
      </c>
      <c r="N187" s="16" t="n">
        <f aca="false">IF(D187="","",(I187+M187)/2)</f>
        <v>1.19991141625892</v>
      </c>
      <c r="O187" s="16" t="n">
        <f aca="false">IF(D187="","",G187*N187)</f>
        <v>0.217063975201238</v>
      </c>
      <c r="P187" s="16" t="n">
        <f aca="false">IF(D187="","",H187+E187-K187-O187)</f>
        <v>19.3773493134595</v>
      </c>
      <c r="Q187" s="16" t="n">
        <f aca="false">IF(D187="","",IF(P187&gt;=0,K187,MAX(0,K187+P187)))</f>
        <v>0.648</v>
      </c>
      <c r="R187" s="16" t="n">
        <f aca="false">IF(D187="","",Q187/$B$15)</f>
        <v>0.25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19.3773493134595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90.973470955209</v>
      </c>
      <c r="Z187" s="18" t="n">
        <f aca="false">IF(D187="","",MAX(0,IF(P187&gt;=0,P187,IF(K187+P187&gt;=0,0,P187+K187))))</f>
        <v>19.3773493134595</v>
      </c>
      <c r="AA187" s="18" t="n">
        <f aca="false">IF(D187="","",IF(H187&lt;=$B$16,1,IF(H187&gt;=$B$17,$B$21,MATCH(H187,Aux_CAV!$A$2:$A$121,1))))</f>
        <v>7</v>
      </c>
      <c r="AB187" s="18" t="n">
        <f aca="false">IF(D187="","",IF(L187&lt;=$B$16,1,IF(L187&gt;=$B$17,$B$21,MATCH(L187,Aux_CAV!$A$2:$A$121,1))))</f>
        <v>7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0.0550545761441592</v>
      </c>
      <c r="E188" s="16" t="n">
        <f aca="false">IF(D188="","",D188*$B$15)</f>
        <v>0.142701461365661</v>
      </c>
      <c r="F188" s="16" t="n">
        <f aca="false" t="array" ref="F188:F188">IF(D188="","",IFERROR(INDEX(Dados_Evap!$C$2:$N$15,MATCH($B$9,Dados_Evap!$A$2:$A$15,0),C188),0))</f>
        <v>208.9</v>
      </c>
      <c r="G188" s="16" t="n">
        <f aca="false">IF(F188="","",F188/1000)</f>
        <v>0.2089</v>
      </c>
      <c r="H188" s="16" t="n">
        <f aca="false">IF(D188="","",MAX(0,MIN($B$8,IFERROR(LOOKUP(2,1/($U$24:U187&lt;&gt;""),$U$24:U187),$B$11))))</f>
        <v>19.3773493134595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1.19387503929256</v>
      </c>
      <c r="J188" s="16" t="n">
        <f aca="false">IF(D188="","",$B$12)</f>
        <v>0.25</v>
      </c>
      <c r="K188" s="16" t="n">
        <f aca="false">IF(J188="","",J188*$B$15)</f>
        <v>0.648</v>
      </c>
      <c r="L188" s="16" t="n">
        <f aca="false">IF(D188="","",H188+E188-K188-G188*I188)</f>
        <v>18.622650279117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1.17969489042182</v>
      </c>
      <c r="N188" s="16" t="n">
        <f aca="false">IF(D188="","",(I188+M188)/2)</f>
        <v>1.18678496485719</v>
      </c>
      <c r="O188" s="16" t="n">
        <f aca="false">IF(D188="","",G188*N188)</f>
        <v>0.247919379158667</v>
      </c>
      <c r="P188" s="16" t="n">
        <f aca="false">IF(D188="","",H188+E188-K188-O188)</f>
        <v>18.6241313956665</v>
      </c>
      <c r="Q188" s="16" t="n">
        <f aca="false">IF(D188="","",IF(P188&gt;=0,K188,MAX(0,K188+P188)))</f>
        <v>0.648</v>
      </c>
      <c r="R188" s="16" t="n">
        <f aca="false">IF(D188="","",Q188/$B$15)</f>
        <v>0.25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18.6241313956665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87.4372365993733</v>
      </c>
      <c r="Z188" s="18" t="n">
        <f aca="false">IF(D188="","",MAX(0,IF(P188&gt;=0,P188,IF(K188+P188&gt;=0,0,P188+K188))))</f>
        <v>18.6241313956665</v>
      </c>
      <c r="AA188" s="18" t="n">
        <f aca="false">IF(D188="","",IF(H188&lt;=$B$16,1,IF(H188&gt;=$B$17,$B$21,MATCH(H188,Aux_CAV!$A$2:$A$121,1))))</f>
        <v>7</v>
      </c>
      <c r="AB188" s="18" t="n">
        <f aca="false">IF(D188="","",IF(L188&lt;=$B$16,1,IF(L188&gt;=$B$17,$B$21,MATCH(L188,Aux_CAV!$A$2:$A$121,1))))</f>
        <v>7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0.0322700020718589</v>
      </c>
      <c r="E189" s="16" t="n">
        <f aca="false">IF(D189="","",D189*$B$15)</f>
        <v>0.0836438453702583</v>
      </c>
      <c r="F189" s="16" t="n">
        <f aca="false" t="array" ref="F189:F189">IF(D189="","",IFERROR(INDEX(Dados_Evap!$C$2:$N$15,MATCH($B$9,Dados_Evap!$A$2:$A$15,0),C189),0))</f>
        <v>235.9</v>
      </c>
      <c r="G189" s="16" t="n">
        <f aca="false">IF(F189="","",F189/1000)</f>
        <v>0.2359</v>
      </c>
      <c r="H189" s="16" t="n">
        <f aca="false">IF(D189="","",MAX(0,MIN($B$8,IFERROR(LOOKUP(2,1/($U$24:U188&lt;&gt;""),$U$24:U188),$B$11))))</f>
        <v>18.6241313956665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1.17972271933403</v>
      </c>
      <c r="J189" s="16" t="n">
        <f aca="false">IF(D189="","",$B$12)</f>
        <v>0.25</v>
      </c>
      <c r="K189" s="16" t="n">
        <f aca="false">IF(J189="","",J189*$B$15)</f>
        <v>0.648</v>
      </c>
      <c r="L189" s="16" t="n">
        <f aca="false">IF(D189="","",H189+E189-K189-G189*I189)</f>
        <v>17.7814786515459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1.16388999554053</v>
      </c>
      <c r="N189" s="16" t="n">
        <f aca="false">IF(D189="","",(I189+M189)/2)</f>
        <v>1.17180635743728</v>
      </c>
      <c r="O189" s="16" t="n">
        <f aca="false">IF(D189="","",G189*N189)</f>
        <v>0.276429119719454</v>
      </c>
      <c r="P189" s="16" t="n">
        <f aca="false">IF(D189="","",H189+E189-K189-O189)</f>
        <v>17.7833461213173</v>
      </c>
      <c r="Q189" s="16" t="n">
        <f aca="false">IF(D189="","",IF(P189&gt;=0,K189,MAX(0,K189+P189)))</f>
        <v>0.648</v>
      </c>
      <c r="R189" s="16" t="n">
        <f aca="false">IF(D189="","",Q189/$B$15)</f>
        <v>0.25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17.7833461213173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83.4898878935086</v>
      </c>
      <c r="Z189" s="18" t="n">
        <f aca="false">IF(D189="","",MAX(0,IF(P189&gt;=0,P189,IF(K189+P189&gt;=0,0,P189+K189))))</f>
        <v>17.7833461213173</v>
      </c>
      <c r="AA189" s="18" t="n">
        <f aca="false">IF(D189="","",IF(H189&lt;=$B$16,1,IF(H189&gt;=$B$17,$B$21,MATCH(H189,Aux_CAV!$A$2:$A$121,1))))</f>
        <v>7</v>
      </c>
      <c r="AB189" s="18" t="n">
        <f aca="false">IF(D189="","",IF(L189&lt;=$B$16,1,IF(L189&gt;=$B$17,$B$21,MATCH(L189,Aux_CAV!$A$2:$A$121,1))))</f>
        <v>7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0.0184125843205849</v>
      </c>
      <c r="E190" s="16" t="n">
        <f aca="false">IF(D190="","",D190*$B$15)</f>
        <v>0.0477254185589561</v>
      </c>
      <c r="F190" s="16" t="n">
        <f aca="false" t="array" ref="F190:F190">IF(D190="","",IFERROR(INDEX(Dados_Evap!$C$2:$N$15,MATCH($B$9,Dados_Evap!$A$2:$A$15,0),C190),0))</f>
        <v>225.9</v>
      </c>
      <c r="G190" s="16" t="n">
        <f aca="false">IF(F190="","",F190/1000)</f>
        <v>0.2259</v>
      </c>
      <c r="H190" s="16" t="n">
        <f aca="false">IF(D190="","",MAX(0,MIN($B$8,IFERROR(LOOKUP(2,1/($U$24:U189&lt;&gt;""),$U$24:U189),$B$11))))</f>
        <v>17.7833461213173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1.16392508369907</v>
      </c>
      <c r="J190" s="16" t="n">
        <f aca="false">IF(D190="","",$B$12)</f>
        <v>0.25</v>
      </c>
      <c r="K190" s="16" t="n">
        <f aca="false">IF(J190="","",J190*$B$15)</f>
        <v>0.648</v>
      </c>
      <c r="L190" s="16" t="n">
        <f aca="false">IF(D190="","",H190+E190-K190-G190*I190)</f>
        <v>16.9201408634687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1.14770619576455</v>
      </c>
      <c r="N190" s="16" t="n">
        <f aca="false">IF(D190="","",(I190+M190)/2)</f>
        <v>1.15581563973181</v>
      </c>
      <c r="O190" s="16" t="n">
        <f aca="false">IF(D190="","",G190*N190)</f>
        <v>0.261098753015416</v>
      </c>
      <c r="P190" s="16" t="n">
        <f aca="false">IF(D190="","",H190+E190-K190-O190)</f>
        <v>16.9219727868609</v>
      </c>
      <c r="Q190" s="16" t="n">
        <f aca="false">IF(D190="","",IF(P190&gt;=0,K190,MAX(0,K190+P190)))</f>
        <v>0.648</v>
      </c>
      <c r="R190" s="16" t="n">
        <f aca="false">IF(D190="","",Q190/$B$15)</f>
        <v>0.25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16.9219727868609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79.4458816284548</v>
      </c>
      <c r="Z190" s="18" t="n">
        <f aca="false">IF(D190="","",MAX(0,IF(P190&gt;=0,P190,IF(K190+P190&gt;=0,0,P190+K190))))</f>
        <v>16.9219727868609</v>
      </c>
      <c r="AA190" s="18" t="n">
        <f aca="false">IF(D190="","",IF(H190&lt;=$B$16,1,IF(H190&gt;=$B$17,$B$21,MATCH(H190,Aux_CAV!$A$2:$A$121,1))))</f>
        <v>7</v>
      </c>
      <c r="AB190" s="18" t="n">
        <f aca="false">IF(D190="","",IF(L190&lt;=$B$16,1,IF(L190&gt;=$B$17,$B$21,MATCH(L190,Aux_CAV!$A$2:$A$121,1))))</f>
        <v>7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0.00960399077440733</v>
      </c>
      <c r="E191" s="16" t="n">
        <f aca="false">IF(D191="","",D191*$B$15)</f>
        <v>0.0248935440872638</v>
      </c>
      <c r="F191" s="16" t="n">
        <f aca="false" t="array" ref="F191:F191">IF(D191="","",IFERROR(INDEX(Dados_Evap!$C$2:$N$15,MATCH($B$9,Dados_Evap!$A$2:$A$15,0),C191),0))</f>
        <v>206</v>
      </c>
      <c r="G191" s="16" t="n">
        <f aca="false">IF(F191="","",F191/1000)</f>
        <v>0.206</v>
      </c>
      <c r="H191" s="16" t="n">
        <f aca="false">IF(D191="","",MAX(0,MIN($B$8,IFERROR(LOOKUP(2,1/($U$24:U190&lt;&gt;""),$U$24:U190),$B$11))))</f>
        <v>16.9219727868609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1.14774061603705</v>
      </c>
      <c r="J191" s="16" t="n">
        <f aca="false">IF(D191="","",$B$12)</f>
        <v>0.25</v>
      </c>
      <c r="K191" s="16" t="n">
        <f aca="false">IF(J191="","",J191*$B$15)</f>
        <v>0.648</v>
      </c>
      <c r="L191" s="16" t="n">
        <f aca="false">IF(D191="","",H191+E191-K191-G191*I191)</f>
        <v>16.0624317640445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1.12561689978971</v>
      </c>
      <c r="N191" s="16" t="n">
        <f aca="false">IF(D191="","",(I191+M191)/2)</f>
        <v>1.13667875791338</v>
      </c>
      <c r="O191" s="16" t="n">
        <f aca="false">IF(D191="","",G191*N191)</f>
        <v>0.234155824130156</v>
      </c>
      <c r="P191" s="16" t="n">
        <f aca="false">IF(D191="","",H191+E191-K191-O191)</f>
        <v>16.064710506818</v>
      </c>
      <c r="Q191" s="16" t="n">
        <f aca="false">IF(D191="","",IF(P191&gt;=0,K191,MAX(0,K191+P191)))</f>
        <v>0.648</v>
      </c>
      <c r="R191" s="16" t="n">
        <f aca="false">IF(D191="","",Q191/$B$15)</f>
        <v>0.25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16.064710506818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75.4211760883473</v>
      </c>
      <c r="Z191" s="18" t="n">
        <f aca="false">IF(D191="","",MAX(0,IF(P191&gt;=0,P191,IF(K191+P191&gt;=0,0,P191+K191))))</f>
        <v>16.064710506818</v>
      </c>
      <c r="AA191" s="18" t="n">
        <f aca="false">IF(D191="","",IF(H191&lt;=$B$16,1,IF(H191&gt;=$B$17,$B$21,MATCH(H191,Aux_CAV!$A$2:$A$121,1))))</f>
        <v>7</v>
      </c>
      <c r="AB191" s="18" t="n">
        <f aca="false">IF(D191="","",IF(L191&lt;=$B$16,1,IF(L191&gt;=$B$17,$B$21,MATCH(L191,Aux_CAV!$A$2:$A$121,1))))</f>
        <v>6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0.210863658155812</v>
      </c>
      <c r="E192" s="16" t="n">
        <f aca="false">IF(D192="","",D192*$B$15)</f>
        <v>0.546558601939865</v>
      </c>
      <c r="F192" s="16" t="n">
        <f aca="false" t="array" ref="F192:F192">IF(D192="","",IFERROR(INDEX(Dados_Evap!$C$2:$N$15,MATCH($B$9,Dados_Evap!$A$2:$A$15,0),C192),0))</f>
        <v>165.6</v>
      </c>
      <c r="G192" s="16" t="n">
        <f aca="false">IF(F192="","",F192/1000)</f>
        <v>0.1656</v>
      </c>
      <c r="H192" s="16" t="n">
        <f aca="false">IF(D192="","",MAX(0,MIN($B$8,IFERROR(LOOKUP(2,1/($U$24:U191&lt;&gt;""),$U$24:U191),$B$11))))</f>
        <v>16.064710506818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1.12569012970871</v>
      </c>
      <c r="J192" s="16" t="n">
        <f aca="false">IF(D192="","",$B$12)</f>
        <v>0.25</v>
      </c>
      <c r="K192" s="16" t="n">
        <f aca="false">IF(J192="","",J192*$B$15)</f>
        <v>0.648</v>
      </c>
      <c r="L192" s="16" t="n">
        <f aca="false">IF(D192="","",H192+E192-K192-G192*I192)</f>
        <v>15.7768548232781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1.11643956899003</v>
      </c>
      <c r="N192" s="16" t="n">
        <f aca="false">IF(D192="","",(I192+M192)/2)</f>
        <v>1.12106484934937</v>
      </c>
      <c r="O192" s="16" t="n">
        <f aca="false">IF(D192="","",G192*N192)</f>
        <v>0.185648339052256</v>
      </c>
      <c r="P192" s="16" t="n">
        <f aca="false">IF(D192="","",H192+E192-K192-O192)</f>
        <v>15.7776207697056</v>
      </c>
      <c r="Q192" s="16" t="n">
        <f aca="false">IF(D192="","",IF(P192&gt;=0,K192,MAX(0,K192+P192)))</f>
        <v>0.648</v>
      </c>
      <c r="R192" s="16" t="n">
        <f aca="false">IF(D192="","",Q192/$B$15)</f>
        <v>0.25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15.7776207697056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74.0733369469746</v>
      </c>
      <c r="Z192" s="18" t="n">
        <f aca="false">IF(D192="","",MAX(0,IF(P192&gt;=0,P192,IF(K192+P192&gt;=0,0,P192+K192))))</f>
        <v>15.7776207697056</v>
      </c>
      <c r="AA192" s="18" t="n">
        <f aca="false">IF(D192="","",IF(H192&lt;=$B$16,1,IF(H192&gt;=$B$17,$B$21,MATCH(H192,Aux_CAV!$A$2:$A$121,1))))</f>
        <v>6</v>
      </c>
      <c r="AB192" s="18" t="n">
        <f aca="false">IF(D192="","",IF(L192&lt;=$B$16,1,IF(L192&gt;=$B$17,$B$21,MATCH(L192,Aux_CAV!$A$2:$A$121,1))))</f>
        <v>6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0.511790884977356</v>
      </c>
      <c r="E193" s="16" t="n">
        <f aca="false">IF(D193="","",D193*$B$15)</f>
        <v>1.32656197386131</v>
      </c>
      <c r="F193" s="16" t="n">
        <f aca="false" t="array" ref="F193:F193">IF(D193="","",IFERROR(INDEX(Dados_Evap!$C$2:$N$15,MATCH($B$9,Dados_Evap!$A$2:$A$15,0),C193),0))</f>
        <v>124.9</v>
      </c>
      <c r="G193" s="16" t="n">
        <f aca="false">IF(F193="","",F193/1000)</f>
        <v>0.1249</v>
      </c>
      <c r="H193" s="16" t="n">
        <f aca="false">IF(D193="","",MAX(0,MIN($B$8,IFERROR(LOOKUP(2,1/($U$24:U192&lt;&gt;""),$U$24:U192),$B$11))))</f>
        <v>15.7776207697056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1.11646418352551</v>
      </c>
      <c r="J193" s="16" t="n">
        <f aca="false">IF(D193="","",$B$12)</f>
        <v>0.25</v>
      </c>
      <c r="K193" s="16" t="n">
        <f aca="false">IF(J193="","",J193*$B$15)</f>
        <v>0.648</v>
      </c>
      <c r="L193" s="16" t="n">
        <f aca="false">IF(D193="","",H193+E193-K193-G193*I193)</f>
        <v>16.3167363670446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1.13378925943243</v>
      </c>
      <c r="N193" s="16" t="n">
        <f aca="false">IF(D193="","",(I193+M193)/2)</f>
        <v>1.12512672147897</v>
      </c>
      <c r="O193" s="16" t="n">
        <f aca="false">IF(D193="","",G193*N193)</f>
        <v>0.140528327512724</v>
      </c>
      <c r="P193" s="16" t="n">
        <f aca="false">IF(D193="","",H193+E193-K193-O193)</f>
        <v>16.3156544160542</v>
      </c>
      <c r="Q193" s="16" t="n">
        <f aca="false">IF(D193="","",IF(P193&gt;=0,K193,MAX(0,K193+P193)))</f>
        <v>0.648</v>
      </c>
      <c r="R193" s="16" t="n">
        <f aca="false">IF(D193="","",Q193/$B$15)</f>
        <v>0.25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16.3156544160542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76.5993165072966</v>
      </c>
      <c r="Z193" s="18" t="n">
        <f aca="false">IF(D193="","",MAX(0,IF(P193&gt;=0,P193,IF(K193+P193&gt;=0,0,P193+K193))))</f>
        <v>16.3156544160542</v>
      </c>
      <c r="AA193" s="18" t="n">
        <f aca="false">IF(D193="","",IF(H193&lt;=$B$16,1,IF(H193&gt;=$B$17,$B$21,MATCH(H193,Aux_CAV!$A$2:$A$121,1))))</f>
        <v>6</v>
      </c>
      <c r="AB193" s="18" t="n">
        <f aca="false">IF(D193="","",IF(L193&lt;=$B$16,1,IF(L193&gt;=$B$17,$B$21,MATCH(L193,Aux_CAV!$A$2:$A$121,1))))</f>
        <v>6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1.66004567374485</v>
      </c>
      <c r="E194" s="16" t="n">
        <f aca="false">IF(D194="","",D194*$B$15)</f>
        <v>4.30283838634665</v>
      </c>
      <c r="F194" s="16" t="n">
        <f aca="false" t="array" ref="F194:F194">IF(D194="","",IFERROR(INDEX(Dados_Evap!$C$2:$N$15,MATCH($B$9,Dados_Evap!$A$2:$A$15,0),C194),0))</f>
        <v>88.2</v>
      </c>
      <c r="G194" s="16" t="n">
        <f aca="false">IF(F194="","",F194/1000)</f>
        <v>0.0882</v>
      </c>
      <c r="H194" s="16" t="n">
        <f aca="false">IF(D194="","",MAX(0,MIN($B$8,IFERROR(LOOKUP(2,1/($U$24:U193&lt;&gt;""),$U$24:U193),$B$11))))</f>
        <v>16.3156544160542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1.13375448974087</v>
      </c>
      <c r="J194" s="16" t="n">
        <f aca="false">IF(D194="","",$B$12)</f>
        <v>0.25</v>
      </c>
      <c r="K194" s="16" t="n">
        <f aca="false">IF(J194="","",J194*$B$15)</f>
        <v>0.648</v>
      </c>
      <c r="L194" s="16" t="n">
        <f aca="false">IF(D194="","",H194+E194-K194-G194*I194)</f>
        <v>19.8704956564057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1.20314083696796</v>
      </c>
      <c r="N194" s="16" t="n">
        <f aca="false">IF(D194="","",(I194+M194)/2)</f>
        <v>1.16844766335441</v>
      </c>
      <c r="O194" s="16" t="n">
        <f aca="false">IF(D194="","",G194*N194)</f>
        <v>0.103057083907859</v>
      </c>
      <c r="P194" s="16" t="n">
        <f aca="false">IF(D194="","",H194+E194-K194-O194)</f>
        <v>19.867435718493</v>
      </c>
      <c r="Q194" s="16" t="n">
        <f aca="false">IF(D194="","",IF(P194&gt;=0,K194,MAX(0,K194+P194)))</f>
        <v>0.648</v>
      </c>
      <c r="R194" s="16" t="n">
        <f aca="false">IF(D194="","",Q194/$B$15)</f>
        <v>0.25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19.867435718493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93.2743460962111</v>
      </c>
      <c r="Z194" s="18" t="n">
        <f aca="false">IF(D194="","",MAX(0,IF(P194&gt;=0,P194,IF(K194+P194&gt;=0,0,P194+K194))))</f>
        <v>19.867435718493</v>
      </c>
      <c r="AA194" s="18" t="n">
        <f aca="false">IF(D194="","",IF(H194&lt;=$B$16,1,IF(H194&gt;=$B$17,$B$21,MATCH(H194,Aux_CAV!$A$2:$A$121,1))))</f>
        <v>6</v>
      </c>
      <c r="AB194" s="18" t="n">
        <f aca="false">IF(D194="","",IF(L194&lt;=$B$16,1,IF(L194&gt;=$B$17,$B$21,MATCH(L194,Aux_CAV!$A$2:$A$121,1))))</f>
        <v>7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2.84402398040886</v>
      </c>
      <c r="E195" s="16" t="n">
        <f aca="false">IF(D195="","",D195*$B$15)</f>
        <v>7.37171015721976</v>
      </c>
      <c r="F195" s="16" t="n">
        <f aca="false" t="array" ref="F195:F195">IF(D195="","",IFERROR(INDEX(Dados_Evap!$C$2:$N$15,MATCH($B$9,Dados_Evap!$A$2:$A$15,0),C195),0))</f>
        <v>88.2</v>
      </c>
      <c r="G195" s="16" t="n">
        <f aca="false">IF(F195="","",F195/1000)</f>
        <v>0.0882</v>
      </c>
      <c r="H195" s="16" t="n">
        <f aca="false">IF(D195="","",MAX(0,MIN($B$8,IFERROR(LOOKUP(2,1/($U$24:U194&lt;&gt;""),$U$24:U194),$B$11))))</f>
        <v>19.867435718493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1.20308334335373</v>
      </c>
      <c r="J195" s="16" t="n">
        <f aca="false">IF(D195="","",$B$12)</f>
        <v>0.25</v>
      </c>
      <c r="K195" s="16" t="n">
        <f aca="false">IF(J195="","",J195*$B$15)</f>
        <v>0.648</v>
      </c>
      <c r="L195" s="16" t="n">
        <f aca="false">IF(D195="","",H195+E195-K195-G195*I195)</f>
        <v>26.4850339248289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1.34559301768705</v>
      </c>
      <c r="N195" s="16" t="n">
        <f aca="false">IF(D195="","",(I195+M195)/2)</f>
        <v>1.27433818052039</v>
      </c>
      <c r="O195" s="16" t="n">
        <f aca="false">IF(D195="","",G195*N195)</f>
        <v>0.112396627521898</v>
      </c>
      <c r="P195" s="16" t="n">
        <f aca="false">IF(D195="","",H195+E195-K195-O195)</f>
        <v>26.4787492481908</v>
      </c>
      <c r="Q195" s="16" t="n">
        <f aca="false">IF(D195="","",IF(P195&gt;=0,K195,MAX(0,K195+P195)))</f>
        <v>0.648</v>
      </c>
      <c r="R195" s="16" t="n">
        <f aca="false">IF(D195="","",Q195/$B$15)</f>
        <v>0.25</v>
      </c>
      <c r="S195" s="16" t="n">
        <f aca="false">IF(D195="","",MAX(0,J195-R195))</f>
        <v>0</v>
      </c>
      <c r="T195" s="16" t="n">
        <f aca="false">IF(D195="","",MAX(0,Z195-$B$8))</f>
        <v>5.17874924819082</v>
      </c>
      <c r="U195" s="16" t="n">
        <f aca="false">IF(D195="","",MAX(0,MIN($B$8,Z195)))</f>
        <v>21.3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26.4787492481908</v>
      </c>
      <c r="AA195" s="18" t="n">
        <f aca="false">IF(D195="","",IF(H195&lt;=$B$16,1,IF(H195&gt;=$B$17,$B$21,MATCH(H195,Aux_CAV!$A$2:$A$121,1))))</f>
        <v>7</v>
      </c>
      <c r="AB195" s="18" t="n">
        <f aca="false">IF(D195="","",IF(L195&lt;=$B$16,1,IF(L195&gt;=$B$17,$B$21,MATCH(L195,Aux_CAV!$A$2:$A$121,1))))</f>
        <v>9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1.75821092698594</v>
      </c>
      <c r="E196" s="16" t="n">
        <f aca="false">IF(D196="","",D196*$B$15)</f>
        <v>4.55728272274756</v>
      </c>
      <c r="F196" s="16" t="n">
        <f aca="false" t="array" ref="F196:F196">IF(D196="","",IFERROR(INDEX(Dados_Evap!$C$2:$N$15,MATCH($B$9,Dados_Evap!$A$2:$A$15,0),C196),0))</f>
        <v>83.9</v>
      </c>
      <c r="G196" s="16" t="n">
        <f aca="false">IF(F196="","",F196/1000)</f>
        <v>0.0839</v>
      </c>
      <c r="H196" s="16" t="n">
        <f aca="false">IF(D196="","",MAX(0,MIN($B$8,IFERROR(LOOKUP(2,1/($U$24:U195&lt;&gt;""),$U$24:U195),$B$11))))</f>
        <v>21.3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1.23</v>
      </c>
      <c r="J196" s="16" t="n">
        <f aca="false">IF(D196="","",$B$12)</f>
        <v>0.25</v>
      </c>
      <c r="K196" s="16" t="n">
        <f aca="false">IF(J196="","",J196*$B$15)</f>
        <v>0.648</v>
      </c>
      <c r="L196" s="16" t="n">
        <f aca="false">IF(D196="","",H196+E196-K196-G196*I196)</f>
        <v>25.1060857227476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1.31251479994597</v>
      </c>
      <c r="N196" s="16" t="n">
        <f aca="false">IF(D196="","",(I196+M196)/2)</f>
        <v>1.27125739997298</v>
      </c>
      <c r="O196" s="16" t="n">
        <f aca="false">IF(D196="","",G196*N196)</f>
        <v>0.106658495857733</v>
      </c>
      <c r="P196" s="16" t="n">
        <f aca="false">IF(D196="","",H196+E196-K196-O196)</f>
        <v>25.1026242268898</v>
      </c>
      <c r="Q196" s="16" t="n">
        <f aca="false">IF(D196="","",IF(P196&gt;=0,K196,MAX(0,K196+P196)))</f>
        <v>0.648</v>
      </c>
      <c r="R196" s="16" t="n">
        <f aca="false">IF(D196="","",Q196/$B$15)</f>
        <v>0.25</v>
      </c>
      <c r="S196" s="16" t="n">
        <f aca="false">IF(D196="","",MAX(0,J196-R196))</f>
        <v>0</v>
      </c>
      <c r="T196" s="16" t="n">
        <f aca="false">IF(D196="","",MAX(0,Z196-$B$8))</f>
        <v>3.80262422688982</v>
      </c>
      <c r="U196" s="16" t="n">
        <f aca="false">IF(D196="","",MAX(0,MIN($B$8,Z196)))</f>
        <v>21.3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25.1026242268898</v>
      </c>
      <c r="AA196" s="18" t="n">
        <f aca="false">IF(D196="","",IF(H196&lt;=$B$16,1,IF(H196&gt;=$B$17,$B$21,MATCH(H196,Aux_CAV!$A$2:$A$121,1))))</f>
        <v>8</v>
      </c>
      <c r="AB196" s="18" t="n">
        <f aca="false">IF(D196="","",IF(L196&lt;=$B$16,1,IF(L196&gt;=$B$17,$B$21,MATCH(L196,Aux_CAV!$A$2:$A$121,1))))</f>
        <v>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1.00565646617912</v>
      </c>
      <c r="E197" s="16" t="n">
        <f aca="false">IF(D197="","",D197*$B$15)</f>
        <v>2.60666156033628</v>
      </c>
      <c r="F197" s="16" t="n">
        <f aca="false" t="array" ref="F197:F197">IF(D197="","",IFERROR(INDEX(Dados_Evap!$C$2:$N$15,MATCH($B$9,Dados_Evap!$A$2:$A$15,0),C197),0))</f>
        <v>104.7</v>
      </c>
      <c r="G197" s="16" t="n">
        <f aca="false">IF(F197="","",F197/1000)</f>
        <v>0.1047</v>
      </c>
      <c r="H197" s="16" t="n">
        <f aca="false">IF(D197="","",MAX(0,MIN($B$8,IFERROR(LOOKUP(2,1/($U$24:U196&lt;&gt;""),$U$24:U196),$B$11))))</f>
        <v>21.3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1.23</v>
      </c>
      <c r="J197" s="16" t="n">
        <f aca="false">IF(D197="","",$B$12)</f>
        <v>0.25</v>
      </c>
      <c r="K197" s="16" t="n">
        <f aca="false">IF(J197="","",J197*$B$15)</f>
        <v>0.648</v>
      </c>
      <c r="L197" s="16" t="n">
        <f aca="false">IF(D197="","",H197+E197-K197-G197*I197)</f>
        <v>23.1298805603363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1.26510957865874</v>
      </c>
      <c r="N197" s="16" t="n">
        <f aca="false">IF(D197="","",(I197+M197)/2)</f>
        <v>1.24755478932937</v>
      </c>
      <c r="O197" s="16" t="n">
        <f aca="false">IF(D197="","",G197*N197)</f>
        <v>0.130618986442785</v>
      </c>
      <c r="P197" s="16" t="n">
        <f aca="false">IF(D197="","",H197+E197-K197-O197)</f>
        <v>23.1280425738935</v>
      </c>
      <c r="Q197" s="16" t="n">
        <f aca="false">IF(D197="","",IF(P197&gt;=0,K197,MAX(0,K197+P197)))</f>
        <v>0.648</v>
      </c>
      <c r="R197" s="16" t="n">
        <f aca="false">IF(D197="","",Q197/$B$15)</f>
        <v>0.25</v>
      </c>
      <c r="S197" s="16" t="n">
        <f aca="false">IF(D197="","",MAX(0,J197-R197))</f>
        <v>0</v>
      </c>
      <c r="T197" s="16" t="n">
        <f aca="false">IF(D197="","",MAX(0,Z197-$B$8))</f>
        <v>1.8280425738935</v>
      </c>
      <c r="U197" s="16" t="n">
        <f aca="false">IF(D197="","",MAX(0,MIN($B$8,Z197)))</f>
        <v>21.3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23.1280425738935</v>
      </c>
      <c r="AA197" s="18" t="n">
        <f aca="false">IF(D197="","",IF(H197&lt;=$B$16,1,IF(H197&gt;=$B$17,$B$21,MATCH(H197,Aux_CAV!$A$2:$A$121,1))))</f>
        <v>8</v>
      </c>
      <c r="AB197" s="18" t="n">
        <f aca="false">IF(D197="","",IF(L197&lt;=$B$16,1,IF(L197&gt;=$B$17,$B$21,MATCH(L197,Aux_CAV!$A$2:$A$121,1))))</f>
        <v>9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0.314297531228891</v>
      </c>
      <c r="E198" s="16" t="n">
        <f aca="false">IF(D198="","",D198*$B$15)</f>
        <v>0.814659200945285</v>
      </c>
      <c r="F198" s="16" t="n">
        <f aca="false" t="array" ref="F198:F198">IF(D198="","",IFERROR(INDEX(Dados_Evap!$C$2:$N$15,MATCH($B$9,Dados_Evap!$A$2:$A$15,0),C198),0))</f>
        <v>145.2</v>
      </c>
      <c r="G198" s="16" t="n">
        <f aca="false">IF(F198="","",F198/1000)</f>
        <v>0.1452</v>
      </c>
      <c r="H198" s="16" t="n">
        <f aca="false">IF(D198="","",MAX(0,MIN($B$8,IFERROR(LOOKUP(2,1/($U$24:U197&lt;&gt;""),$U$24:U197),$B$11))))</f>
        <v>21.3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1.23</v>
      </c>
      <c r="J198" s="16" t="n">
        <f aca="false">IF(D198="","",$B$12)</f>
        <v>0.25</v>
      </c>
      <c r="K198" s="16" t="n">
        <f aca="false">IF(J198="","",J198*$B$15)</f>
        <v>0.648</v>
      </c>
      <c r="L198" s="16" t="n">
        <f aca="false">IF(D198="","",H198+E198-K198-G198*I198)</f>
        <v>21.2880632009453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1.22977571776306</v>
      </c>
      <c r="N198" s="16" t="n">
        <f aca="false">IF(D198="","",(I198+M198)/2)</f>
        <v>1.22988785888153</v>
      </c>
      <c r="O198" s="16" t="n">
        <f aca="false">IF(D198="","",G198*N198)</f>
        <v>0.178579717109598</v>
      </c>
      <c r="P198" s="16" t="n">
        <f aca="false">IF(D198="","",H198+E198-K198-O198)</f>
        <v>21.2880794838357</v>
      </c>
      <c r="Q198" s="16" t="n">
        <f aca="false">IF(D198="","",IF(P198&gt;=0,K198,MAX(0,K198+P198)))</f>
        <v>0.648</v>
      </c>
      <c r="R198" s="16" t="n">
        <f aca="false">IF(D198="","",Q198/$B$15)</f>
        <v>0.25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21.2880794838357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99.9440351353788</v>
      </c>
      <c r="Z198" s="18" t="n">
        <f aca="false">IF(D198="","",MAX(0,IF(P198&gt;=0,P198,IF(K198+P198&gt;=0,0,P198+K198))))</f>
        <v>21.2880794838357</v>
      </c>
      <c r="AA198" s="18" t="n">
        <f aca="false">IF(D198="","",IF(H198&lt;=$B$16,1,IF(H198&gt;=$B$17,$B$21,MATCH(H198,Aux_CAV!$A$2:$A$121,1))))</f>
        <v>8</v>
      </c>
      <c r="AB198" s="18" t="n">
        <f aca="false">IF(D198="","",IF(L198&lt;=$B$16,1,IF(L198&gt;=$B$17,$B$21,MATCH(L198,Aux_CAV!$A$2:$A$121,1))))</f>
        <v>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0.216463201170583</v>
      </c>
      <c r="E199" s="16" t="n">
        <f aca="false">IF(D199="","",D199*$B$15)</f>
        <v>0.561072617434151</v>
      </c>
      <c r="F199" s="16" t="n">
        <f aca="false" t="array" ref="F199:F199">IF(D199="","",IFERROR(INDEX(Dados_Evap!$C$2:$N$15,MATCH($B$9,Dados_Evap!$A$2:$A$15,0),C199),0))</f>
        <v>180.9</v>
      </c>
      <c r="G199" s="16" t="n">
        <f aca="false">IF(F199="","",F199/1000)</f>
        <v>0.1809</v>
      </c>
      <c r="H199" s="16" t="n">
        <f aca="false">IF(D199="","",MAX(0,MIN($B$8,IFERROR(LOOKUP(2,1/($U$24:U198&lt;&gt;""),$U$24:U198),$B$11))))</f>
        <v>21.2880794838357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1.22977602370464</v>
      </c>
      <c r="J199" s="16" t="n">
        <f aca="false">IF(D199="","",$B$12)</f>
        <v>0.25</v>
      </c>
      <c r="K199" s="16" t="n">
        <f aca="false">IF(J199="","",J199*$B$15)</f>
        <v>0.648</v>
      </c>
      <c r="L199" s="16" t="n">
        <f aca="false">IF(D199="","",H199+E199-K199-G199*I199)</f>
        <v>20.9786856185817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1.22396277780216</v>
      </c>
      <c r="N199" s="16" t="n">
        <f aca="false">IF(D199="","",(I199+M199)/2)</f>
        <v>1.2268694007534</v>
      </c>
      <c r="O199" s="16" t="n">
        <f aca="false">IF(D199="","",G199*N199)</f>
        <v>0.22194067459629</v>
      </c>
      <c r="P199" s="16" t="n">
        <f aca="false">IF(D199="","",H199+E199-K199-O199)</f>
        <v>20.9792114266735</v>
      </c>
      <c r="Q199" s="16" t="n">
        <f aca="false">IF(D199="","",IF(P199&gt;=0,K199,MAX(0,K199+P199)))</f>
        <v>0.648</v>
      </c>
      <c r="R199" s="16" t="n">
        <f aca="false">IF(D199="","",Q199/$B$15)</f>
        <v>0.25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20.9792114266735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98.4939503599697</v>
      </c>
      <c r="Z199" s="18" t="n">
        <f aca="false">IF(D199="","",MAX(0,IF(P199&gt;=0,P199,IF(K199+P199&gt;=0,0,P199+K199))))</f>
        <v>20.9792114266735</v>
      </c>
      <c r="AA199" s="18" t="n">
        <f aca="false">IF(D199="","",IF(H199&lt;=$B$16,1,IF(H199&gt;=$B$17,$B$21,MATCH(H199,Aux_CAV!$A$2:$A$121,1))))</f>
        <v>7</v>
      </c>
      <c r="AB199" s="18" t="n">
        <f aca="false">IF(D199="","",IF(L199&lt;=$B$16,1,IF(L199&gt;=$B$17,$B$21,MATCH(L199,Aux_CAV!$A$2:$A$121,1))))</f>
        <v>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0.171555207780421</v>
      </c>
      <c r="E200" s="16" t="n">
        <f aca="false">IF(D200="","",D200*$B$15)</f>
        <v>0.444671098566851</v>
      </c>
      <c r="F200" s="16" t="n">
        <f aca="false" t="array" ref="F200:F200">IF(D200="","",IFERROR(INDEX(Dados_Evap!$C$2:$N$15,MATCH($B$9,Dados_Evap!$A$2:$A$15,0),C200),0))</f>
        <v>208.9</v>
      </c>
      <c r="G200" s="16" t="n">
        <f aca="false">IF(F200="","",F200/1000)</f>
        <v>0.2089</v>
      </c>
      <c r="H200" s="16" t="n">
        <f aca="false">IF(D200="","",MAX(0,MIN($B$8,IFERROR(LOOKUP(2,1/($U$24:U199&lt;&gt;""),$U$24:U199),$B$11))))</f>
        <v>20.9792114266735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1.22397265728614</v>
      </c>
      <c r="J200" s="16" t="n">
        <f aca="false">IF(D200="","",$B$12)</f>
        <v>0.25</v>
      </c>
      <c r="K200" s="16" t="n">
        <f aca="false">IF(J200="","",J200*$B$15)</f>
        <v>0.648</v>
      </c>
      <c r="L200" s="16" t="n">
        <f aca="false">IF(D200="","",H200+E200-K200-G200*I200)</f>
        <v>20.5201946371333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1.21534812470605</v>
      </c>
      <c r="N200" s="16" t="n">
        <f aca="false">IF(D200="","",(I200+M200)/2)</f>
        <v>1.2196603909961</v>
      </c>
      <c r="O200" s="16" t="n">
        <f aca="false">IF(D200="","",G200*N200)</f>
        <v>0.254787055679085</v>
      </c>
      <c r="P200" s="16" t="n">
        <f aca="false">IF(D200="","",H200+E200-K200-O200)</f>
        <v>20.5210954695613</v>
      </c>
      <c r="Q200" s="16" t="n">
        <f aca="false">IF(D200="","",IF(P200&gt;=0,K200,MAX(0,K200+P200)))</f>
        <v>0.648</v>
      </c>
      <c r="R200" s="16" t="n">
        <f aca="false">IF(D200="","",Q200/$B$15)</f>
        <v>0.25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20.5210954695613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96.3431712185977</v>
      </c>
      <c r="Z200" s="18" t="n">
        <f aca="false">IF(D200="","",MAX(0,IF(P200&gt;=0,P200,IF(K200+P200&gt;=0,0,P200+K200))))</f>
        <v>20.5210954695613</v>
      </c>
      <c r="AA200" s="18" t="n">
        <f aca="false">IF(D200="","",IF(H200&lt;=$B$16,1,IF(H200&gt;=$B$17,$B$21,MATCH(H200,Aux_CAV!$A$2:$A$121,1))))</f>
        <v>7</v>
      </c>
      <c r="AB200" s="18" t="n">
        <f aca="false">IF(D200="","",IF(L200&lt;=$B$16,1,IF(L200&gt;=$B$17,$B$21,MATCH(L200,Aux_CAV!$A$2:$A$121,1))))</f>
        <v>7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0.106065812385779</v>
      </c>
      <c r="E201" s="16" t="n">
        <f aca="false">IF(D201="","",D201*$B$15)</f>
        <v>0.274922585703939</v>
      </c>
      <c r="F201" s="16" t="n">
        <f aca="false" t="array" ref="F201:F201">IF(D201="","",IFERROR(INDEX(Dados_Evap!$C$2:$N$15,MATCH($B$9,Dados_Evap!$A$2:$A$15,0),C201),0))</f>
        <v>235.9</v>
      </c>
      <c r="G201" s="16" t="n">
        <f aca="false">IF(F201="","",F201/1000)</f>
        <v>0.2359</v>
      </c>
      <c r="H201" s="16" t="n">
        <f aca="false">IF(D201="","",MAX(0,MIN($B$8,IFERROR(LOOKUP(2,1/($U$24:U200&lt;&gt;""),$U$24:U200),$B$11))))</f>
        <v>20.5210954695613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1.21536505057631</v>
      </c>
      <c r="J201" s="16" t="n">
        <f aca="false">IF(D201="","",$B$12)</f>
        <v>0.25</v>
      </c>
      <c r="K201" s="16" t="n">
        <f aca="false">IF(J201="","",J201*$B$15)</f>
        <v>0.648</v>
      </c>
      <c r="L201" s="16" t="n">
        <f aca="false">IF(D201="","",H201+E201-K201-G201*I201)</f>
        <v>19.8613134398343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1.2029683109781</v>
      </c>
      <c r="N201" s="16" t="n">
        <f aca="false">IF(D201="","",(I201+M201)/2)</f>
        <v>1.2091666807772</v>
      </c>
      <c r="O201" s="16" t="n">
        <f aca="false">IF(D201="","",G201*N201)</f>
        <v>0.285242419995342</v>
      </c>
      <c r="P201" s="16" t="n">
        <f aca="false">IF(D201="","",H201+E201-K201-O201)</f>
        <v>19.8627756352699</v>
      </c>
      <c r="Q201" s="16" t="n">
        <f aca="false">IF(D201="","",IF(P201&gt;=0,K201,MAX(0,K201+P201)))</f>
        <v>0.648</v>
      </c>
      <c r="R201" s="16" t="n">
        <f aca="false">IF(D201="","",Q201/$B$15)</f>
        <v>0.25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19.8627756352699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93.2524677712202</v>
      </c>
      <c r="Z201" s="18" t="n">
        <f aca="false">IF(D201="","",MAX(0,IF(P201&gt;=0,P201,IF(K201+P201&gt;=0,0,P201+K201))))</f>
        <v>19.8627756352699</v>
      </c>
      <c r="AA201" s="18" t="n">
        <f aca="false">IF(D201="","",IF(H201&lt;=$B$16,1,IF(H201&gt;=$B$17,$B$21,MATCH(H201,Aux_CAV!$A$2:$A$121,1))))</f>
        <v>7</v>
      </c>
      <c r="AB201" s="18" t="n">
        <f aca="false">IF(D201="","",IF(L201&lt;=$B$16,1,IF(L201&gt;=$B$17,$B$21,MATCH(L201,Aux_CAV!$A$2:$A$121,1))))</f>
        <v>7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0.0562715669478917</v>
      </c>
      <c r="E202" s="16" t="n">
        <f aca="false">IF(D202="","",D202*$B$15)</f>
        <v>0.145855901528935</v>
      </c>
      <c r="F202" s="16" t="n">
        <f aca="false" t="array" ref="F202:F202">IF(D202="","",IFERROR(INDEX(Dados_Evap!$C$2:$N$15,MATCH($B$9,Dados_Evap!$A$2:$A$15,0),C202),0))</f>
        <v>225.9</v>
      </c>
      <c r="G202" s="16" t="n">
        <f aca="false">IF(F202="","",F202/1000)</f>
        <v>0.2259</v>
      </c>
      <c r="H202" s="16" t="n">
        <f aca="false">IF(D202="","",MAX(0,MIN($B$8,IFERROR(LOOKUP(2,1/($U$24:U201&lt;&gt;""),$U$24:U201),$B$11))))</f>
        <v>19.8627756352699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1.20299578437877</v>
      </c>
      <c r="J202" s="16" t="n">
        <f aca="false">IF(D202="","",$B$12)</f>
        <v>0.25</v>
      </c>
      <c r="K202" s="16" t="n">
        <f aca="false">IF(J202="","",J202*$B$15)</f>
        <v>0.648</v>
      </c>
      <c r="L202" s="16" t="n">
        <f aca="false">IF(D202="","",H202+E202-K202-G202*I202)</f>
        <v>19.0888747891077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1.18845484989973</v>
      </c>
      <c r="N202" s="16" t="n">
        <f aca="false">IF(D202="","",(I202+M202)/2)</f>
        <v>1.19572531713925</v>
      </c>
      <c r="O202" s="16" t="n">
        <f aca="false">IF(D202="","",G202*N202)</f>
        <v>0.270114349141756</v>
      </c>
      <c r="P202" s="16" t="n">
        <f aca="false">IF(D202="","",H202+E202-K202-O202)</f>
        <v>19.0905171876571</v>
      </c>
      <c r="Q202" s="16" t="n">
        <f aca="false">IF(D202="","",IF(P202&gt;=0,K202,MAX(0,K202+P202)))</f>
        <v>0.648</v>
      </c>
      <c r="R202" s="16" t="n">
        <f aca="false">IF(D202="","",Q202/$B$15)</f>
        <v>0.25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19.0905171876571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89.6268412566061</v>
      </c>
      <c r="Z202" s="18" t="n">
        <f aca="false">IF(D202="","",MAX(0,IF(P202&gt;=0,P202,IF(K202+P202&gt;=0,0,P202+K202))))</f>
        <v>19.0905171876571</v>
      </c>
      <c r="AA202" s="18" t="n">
        <f aca="false">IF(D202="","",IF(H202&lt;=$B$16,1,IF(H202&gt;=$B$17,$B$21,MATCH(H202,Aux_CAV!$A$2:$A$121,1))))</f>
        <v>7</v>
      </c>
      <c r="AB202" s="18" t="n">
        <f aca="false">IF(D202="","",IF(L202&lt;=$B$16,1,IF(L202&gt;=$B$17,$B$21,MATCH(L202,Aux_CAV!$A$2:$A$121,1))))</f>
        <v>7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0.150919617151921</v>
      </c>
      <c r="E203" s="16" t="n">
        <f aca="false">IF(D203="","",D203*$B$15)</f>
        <v>0.391183647657779</v>
      </c>
      <c r="F203" s="16" t="n">
        <f aca="false" t="array" ref="F203:F203">IF(D203="","",IFERROR(INDEX(Dados_Evap!$C$2:$N$15,MATCH($B$9,Dados_Evap!$A$2:$A$15,0),C203),0))</f>
        <v>206</v>
      </c>
      <c r="G203" s="16" t="n">
        <f aca="false">IF(F203="","",F203/1000)</f>
        <v>0.206</v>
      </c>
      <c r="H203" s="16" t="n">
        <f aca="false">IF(D203="","",MAX(0,MIN($B$8,IFERROR(LOOKUP(2,1/($U$24:U202&lt;&gt;""),$U$24:U202),$B$11))))</f>
        <v>19.0905171876571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1.18848570916266</v>
      </c>
      <c r="J203" s="16" t="n">
        <f aca="false">IF(D203="","",$B$12)</f>
        <v>0.25</v>
      </c>
      <c r="K203" s="16" t="n">
        <f aca="false">IF(J203="","",J203*$B$15)</f>
        <v>0.648</v>
      </c>
      <c r="L203" s="16" t="n">
        <f aca="false">IF(D203="","",H203+E203-K203-G203*I203)</f>
        <v>18.5888727792274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1.17906024011074</v>
      </c>
      <c r="N203" s="16" t="n">
        <f aca="false">IF(D203="","",(I203+M203)/2)</f>
        <v>1.1837729746367</v>
      </c>
      <c r="O203" s="16" t="n">
        <f aca="false">IF(D203="","",G203*N203)</f>
        <v>0.24385723277516</v>
      </c>
      <c r="P203" s="16" t="n">
        <f aca="false">IF(D203="","",H203+E203-K203-O203)</f>
        <v>18.5898436025397</v>
      </c>
      <c r="Q203" s="16" t="n">
        <f aca="false">IF(D203="","",IF(P203&gt;=0,K203,MAX(0,K203+P203)))</f>
        <v>0.648</v>
      </c>
      <c r="R203" s="16" t="n">
        <f aca="false">IF(D203="","",Q203/$B$15)</f>
        <v>0.25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18.5898436025397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87.2762610447874</v>
      </c>
      <c r="Z203" s="18" t="n">
        <f aca="false">IF(D203="","",MAX(0,IF(P203&gt;=0,P203,IF(K203+P203&gt;=0,0,P203+K203))))</f>
        <v>18.5898436025397</v>
      </c>
      <c r="AA203" s="18" t="n">
        <f aca="false">IF(D203="","",IF(H203&lt;=$B$16,1,IF(H203&gt;=$B$17,$B$21,MATCH(H203,Aux_CAV!$A$2:$A$121,1))))</f>
        <v>7</v>
      </c>
      <c r="AB203" s="18" t="n">
        <f aca="false">IF(D203="","",IF(L203&lt;=$B$16,1,IF(L203&gt;=$B$17,$B$21,MATCH(L203,Aux_CAV!$A$2:$A$121,1))))</f>
        <v>7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0.403732348895935</v>
      </c>
      <c r="E204" s="16" t="n">
        <f aca="false">IF(D204="","",D204*$B$15)</f>
        <v>1.04647424833826</v>
      </c>
      <c r="F204" s="16" t="n">
        <f aca="false" t="array" ref="F204:F204">IF(D204="","",IFERROR(INDEX(Dados_Evap!$C$2:$N$15,MATCH($B$9,Dados_Evap!$A$2:$A$15,0),C204),0))</f>
        <v>165.6</v>
      </c>
      <c r="G204" s="16" t="n">
        <f aca="false">IF(F204="","",F204/1000)</f>
        <v>0.1656</v>
      </c>
      <c r="H204" s="16" t="n">
        <f aca="false">IF(D204="","",MAX(0,MIN($B$8,IFERROR(LOOKUP(2,1/($U$24:U203&lt;&gt;""),$U$24:U203),$B$11))))</f>
        <v>18.5898436025397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1.17907848104981</v>
      </c>
      <c r="J204" s="16" t="n">
        <f aca="false">IF(D204="","",$B$12)</f>
        <v>0.25</v>
      </c>
      <c r="K204" s="16" t="n">
        <f aca="false">IF(J204="","",J204*$B$15)</f>
        <v>0.648</v>
      </c>
      <c r="L204" s="16" t="n">
        <f aca="false">IF(D204="","",H204+E204-K204-G204*I204)</f>
        <v>18.7930624544161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1.18289678933141</v>
      </c>
      <c r="N204" s="16" t="n">
        <f aca="false">IF(D204="","",(I204+M204)/2)</f>
        <v>1.18098763519061</v>
      </c>
      <c r="O204" s="16" t="n">
        <f aca="false">IF(D204="","",G204*N204)</f>
        <v>0.195571552387565</v>
      </c>
      <c r="P204" s="16" t="n">
        <f aca="false">IF(D204="","",H204+E204-K204-O204)</f>
        <v>18.7927462984904</v>
      </c>
      <c r="Q204" s="16" t="n">
        <f aca="false">IF(D204="","",IF(P204&gt;=0,K204,MAX(0,K204+P204)))</f>
        <v>0.648</v>
      </c>
      <c r="R204" s="16" t="n">
        <f aca="false">IF(D204="","",Q204/$B$15)</f>
        <v>0.25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18.7927462984904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88.2288558614573</v>
      </c>
      <c r="Z204" s="18" t="n">
        <f aca="false">IF(D204="","",MAX(0,IF(P204&gt;=0,P204,IF(K204+P204&gt;=0,0,P204+K204))))</f>
        <v>18.7927462984904</v>
      </c>
      <c r="AA204" s="18" t="n">
        <f aca="false">IF(D204="","",IF(H204&lt;=$B$16,1,IF(H204&gt;=$B$17,$B$21,MATCH(H204,Aux_CAV!$A$2:$A$121,1))))</f>
        <v>7</v>
      </c>
      <c r="AB204" s="18" t="n">
        <f aca="false">IF(D204="","",IF(L204&lt;=$B$16,1,IF(L204&gt;=$B$17,$B$21,MATCH(L204,Aux_CAV!$A$2:$A$121,1))))</f>
        <v>7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0.354226742966342</v>
      </c>
      <c r="E205" s="16" t="n">
        <f aca="false">IF(D205="","",D205*$B$15)</f>
        <v>0.918155717768759</v>
      </c>
      <c r="F205" s="16" t="n">
        <f aca="false" t="array" ref="F205:F205">IF(D205="","",IFERROR(INDEX(Dados_Evap!$C$2:$N$15,MATCH($B$9,Dados_Evap!$A$2:$A$15,0),C205),0))</f>
        <v>124.9</v>
      </c>
      <c r="G205" s="16" t="n">
        <f aca="false">IF(F205="","",F205/1000)</f>
        <v>0.1249</v>
      </c>
      <c r="H205" s="16" t="n">
        <f aca="false">IF(D205="","",MAX(0,MIN($B$8,IFERROR(LOOKUP(2,1/($U$24:U204&lt;&gt;""),$U$24:U204),$B$11))))</f>
        <v>18.7927462984904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1.18289084903218</v>
      </c>
      <c r="J205" s="16" t="n">
        <f aca="false">IF(D205="","",$B$12)</f>
        <v>0.25</v>
      </c>
      <c r="K205" s="16" t="n">
        <f aca="false">IF(J205="","",J205*$B$15)</f>
        <v>0.648</v>
      </c>
      <c r="L205" s="16" t="n">
        <f aca="false">IF(D205="","",H205+E205-K205-G205*I205)</f>
        <v>18.9151589492151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1.1851908779602</v>
      </c>
      <c r="N205" s="16" t="n">
        <f aca="false">IF(D205="","",(I205+M205)/2)</f>
        <v>1.18404086349619</v>
      </c>
      <c r="O205" s="16" t="n">
        <f aca="false">IF(D205="","",G205*N205)</f>
        <v>0.147886703850674</v>
      </c>
      <c r="P205" s="16" t="n">
        <f aca="false">IF(D205="","",H205+E205-K205-O205)</f>
        <v>18.9150153124085</v>
      </c>
      <c r="Q205" s="16" t="n">
        <f aca="false">IF(D205="","",IF(P205&gt;=0,K205,MAX(0,K205+P205)))</f>
        <v>0.648</v>
      </c>
      <c r="R205" s="16" t="n">
        <f aca="false">IF(D205="","",Q205/$B$15)</f>
        <v>0.25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18.9150153124085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88.8028887906502</v>
      </c>
      <c r="Z205" s="18" t="n">
        <f aca="false">IF(D205="","",MAX(0,IF(P205&gt;=0,P205,IF(K205+P205&gt;=0,0,P205+K205))))</f>
        <v>18.9150153124085</v>
      </c>
      <c r="AA205" s="18" t="n">
        <f aca="false">IF(D205="","",IF(H205&lt;=$B$16,1,IF(H205&gt;=$B$17,$B$21,MATCH(H205,Aux_CAV!$A$2:$A$121,1))))</f>
        <v>7</v>
      </c>
      <c r="AB205" s="18" t="n">
        <f aca="false">IF(D205="","",IF(L205&lt;=$B$16,1,IF(L205&gt;=$B$17,$B$21,MATCH(L205,Aux_CAV!$A$2:$A$121,1))))</f>
        <v>7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1.25758248288963</v>
      </c>
      <c r="E206" s="16" t="n">
        <f aca="false">IF(D206="","",D206*$B$15)</f>
        <v>3.25965379564992</v>
      </c>
      <c r="F206" s="16" t="n">
        <f aca="false" t="array" ref="F206:F206">IF(D206="","",IFERROR(INDEX(Dados_Evap!$C$2:$N$15,MATCH($B$9,Dados_Evap!$A$2:$A$15,0),C206),0))</f>
        <v>88.2</v>
      </c>
      <c r="G206" s="16" t="n">
        <f aca="false">IF(F206="","",F206/1000)</f>
        <v>0.0882</v>
      </c>
      <c r="H206" s="16" t="n">
        <f aca="false">IF(D206="","",MAX(0,MIN($B$8,IFERROR(LOOKUP(2,1/($U$24:U205&lt;&gt;""),$U$24:U205),$B$11))))</f>
        <v>18.9150153124085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1.18518817914755</v>
      </c>
      <c r="J206" s="16" t="n">
        <f aca="false">IF(D206="","",$B$12)</f>
        <v>0.25</v>
      </c>
      <c r="K206" s="16" t="n">
        <f aca="false">IF(J206="","",J206*$B$15)</f>
        <v>0.648</v>
      </c>
      <c r="L206" s="16" t="n">
        <f aca="false">IF(D206="","",H206+E206-K206-G206*I206)</f>
        <v>21.4221355106576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1.23203559184429</v>
      </c>
      <c r="N206" s="16" t="n">
        <f aca="false">IF(D206="","",(I206+M206)/2)</f>
        <v>1.20861188549592</v>
      </c>
      <c r="O206" s="16" t="n">
        <f aca="false">IF(D206="","",G206*N206)</f>
        <v>0.10659956830074</v>
      </c>
      <c r="P206" s="16" t="n">
        <f aca="false">IF(D206="","",H206+E206-K206-O206)</f>
        <v>21.4200695397577</v>
      </c>
      <c r="Q206" s="16" t="n">
        <f aca="false">IF(D206="","",IF(P206&gt;=0,K206,MAX(0,K206+P206)))</f>
        <v>0.648</v>
      </c>
      <c r="R206" s="16" t="n">
        <f aca="false">IF(D206="","",Q206/$B$15)</f>
        <v>0.25</v>
      </c>
      <c r="S206" s="16" t="n">
        <f aca="false">IF(D206="","",MAX(0,J206-R206))</f>
        <v>0</v>
      </c>
      <c r="T206" s="16" t="n">
        <f aca="false">IF(D206="","",MAX(0,Z206-$B$8))</f>
        <v>0.120069539757676</v>
      </c>
      <c r="U206" s="16" t="n">
        <f aca="false">IF(D206="","",MAX(0,MIN($B$8,Z206)))</f>
        <v>21.3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21.4200695397577</v>
      </c>
      <c r="AA206" s="18" t="n">
        <f aca="false">IF(D206="","",IF(H206&lt;=$B$16,1,IF(H206&gt;=$B$17,$B$21,MATCH(H206,Aux_CAV!$A$2:$A$121,1))))</f>
        <v>7</v>
      </c>
      <c r="AB206" s="18" t="n">
        <f aca="false">IF(D206="","",IF(L206&lt;=$B$16,1,IF(L206&gt;=$B$17,$B$21,MATCH(L206,Aux_CAV!$A$2:$A$121,1))))</f>
        <v>8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2.04121106033808</v>
      </c>
      <c r="E207" s="16" t="n">
        <f aca="false">IF(D207="","",D207*$B$15)</f>
        <v>5.2908190683963</v>
      </c>
      <c r="F207" s="16" t="n">
        <f aca="false" t="array" ref="F207:F207">IF(D207="","",IFERROR(INDEX(Dados_Evap!$C$2:$N$15,MATCH($B$9,Dados_Evap!$A$2:$A$15,0),C207),0))</f>
        <v>88.2</v>
      </c>
      <c r="G207" s="16" t="n">
        <f aca="false">IF(F207="","",F207/1000)</f>
        <v>0.0882</v>
      </c>
      <c r="H207" s="16" t="n">
        <f aca="false">IF(D207="","",MAX(0,MIN($B$8,IFERROR(LOOKUP(2,1/($U$24:U206&lt;&gt;""),$U$24:U206),$B$11))))</f>
        <v>21.3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1.23</v>
      </c>
      <c r="J207" s="16" t="n">
        <f aca="false">IF(D207="","",$B$12)</f>
        <v>0.25</v>
      </c>
      <c r="K207" s="16" t="n">
        <f aca="false">IF(J207="","",J207*$B$15)</f>
        <v>0.648</v>
      </c>
      <c r="L207" s="16" t="n">
        <f aca="false">IF(D207="","",H207+E207-K207-G207*I207)</f>
        <v>25.8343330683963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1.32998400164069</v>
      </c>
      <c r="N207" s="16" t="n">
        <f aca="false">IF(D207="","",(I207+M207)/2)</f>
        <v>1.27999200082035</v>
      </c>
      <c r="O207" s="16" t="n">
        <f aca="false">IF(D207="","",G207*N207)</f>
        <v>0.112895294472354</v>
      </c>
      <c r="P207" s="16" t="n">
        <f aca="false">IF(D207="","",H207+E207-K207-O207)</f>
        <v>25.8299237739239</v>
      </c>
      <c r="Q207" s="16" t="n">
        <f aca="false">IF(D207="","",IF(P207&gt;=0,K207,MAX(0,K207+P207)))</f>
        <v>0.648</v>
      </c>
      <c r="R207" s="16" t="n">
        <f aca="false">IF(D207="","",Q207/$B$15)</f>
        <v>0.25</v>
      </c>
      <c r="S207" s="16" t="n">
        <f aca="false">IF(D207="","",MAX(0,J207-R207))</f>
        <v>0</v>
      </c>
      <c r="T207" s="16" t="n">
        <f aca="false">IF(D207="","",MAX(0,Z207-$B$8))</f>
        <v>4.52992377392395</v>
      </c>
      <c r="U207" s="16" t="n">
        <f aca="false">IF(D207="","",MAX(0,MIN($B$8,Z207)))</f>
        <v>21.3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25.8299237739239</v>
      </c>
      <c r="AA207" s="18" t="n">
        <f aca="false">IF(D207="","",IF(H207&lt;=$B$16,1,IF(H207&gt;=$B$17,$B$21,MATCH(H207,Aux_CAV!$A$2:$A$121,1))))</f>
        <v>8</v>
      </c>
      <c r="AB207" s="18" t="n">
        <f aca="false">IF(D207="","",IF(L207&lt;=$B$16,1,IF(L207&gt;=$B$17,$B$21,MATCH(L207,Aux_CAV!$A$2:$A$121,1))))</f>
        <v>9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0.807730343533706</v>
      </c>
      <c r="E208" s="16" t="n">
        <f aca="false">IF(D208="","",D208*$B$15)</f>
        <v>2.09363705043937</v>
      </c>
      <c r="F208" s="16" t="n">
        <f aca="false" t="array" ref="F208:F208">IF(D208="","",IFERROR(INDEX(Dados_Evap!$C$2:$N$15,MATCH($B$9,Dados_Evap!$A$2:$A$15,0),C208),0))</f>
        <v>83.9</v>
      </c>
      <c r="G208" s="16" t="n">
        <f aca="false">IF(F208="","",F208/1000)</f>
        <v>0.0839</v>
      </c>
      <c r="H208" s="16" t="n">
        <f aca="false">IF(D208="","",MAX(0,MIN($B$8,IFERROR(LOOKUP(2,1/($U$24:U207&lt;&gt;""),$U$24:U207),$B$11))))</f>
        <v>21.3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1.23</v>
      </c>
      <c r="J208" s="16" t="n">
        <f aca="false">IF(D208="","",$B$12)</f>
        <v>0.25</v>
      </c>
      <c r="K208" s="16" t="n">
        <f aca="false">IF(J208="","",J208*$B$15)</f>
        <v>0.648</v>
      </c>
      <c r="L208" s="16" t="n">
        <f aca="false">IF(D208="","",H208+E208-K208-G208*I208)</f>
        <v>22.6424400504394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1.25341685278415</v>
      </c>
      <c r="N208" s="16" t="n">
        <f aca="false">IF(D208="","",(I208+M208)/2)</f>
        <v>1.24170842639208</v>
      </c>
      <c r="O208" s="16" t="n">
        <f aca="false">IF(D208="","",G208*N208)</f>
        <v>0.104179336974295</v>
      </c>
      <c r="P208" s="16" t="n">
        <f aca="false">IF(D208="","",H208+E208-K208-O208)</f>
        <v>22.6414577134651</v>
      </c>
      <c r="Q208" s="16" t="n">
        <f aca="false">IF(D208="","",IF(P208&gt;=0,K208,MAX(0,K208+P208)))</f>
        <v>0.648</v>
      </c>
      <c r="R208" s="16" t="n">
        <f aca="false">IF(D208="","",Q208/$B$15)</f>
        <v>0.25</v>
      </c>
      <c r="S208" s="16" t="n">
        <f aca="false">IF(D208="","",MAX(0,J208-R208))</f>
        <v>0</v>
      </c>
      <c r="T208" s="16" t="n">
        <f aca="false">IF(D208="","",MAX(0,Z208-$B$8))</f>
        <v>1.34145771346507</v>
      </c>
      <c r="U208" s="16" t="n">
        <f aca="false">IF(D208="","",MAX(0,MIN($B$8,Z208)))</f>
        <v>21.3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22.6414577134651</v>
      </c>
      <c r="AA208" s="18" t="n">
        <f aca="false">IF(D208="","",IF(H208&lt;=$B$16,1,IF(H208&gt;=$B$17,$B$21,MATCH(H208,Aux_CAV!$A$2:$A$121,1))))</f>
        <v>8</v>
      </c>
      <c r="AB208" s="18" t="n">
        <f aca="false">IF(D208="","",IF(L208&lt;=$B$16,1,IF(L208&gt;=$B$17,$B$21,MATCH(L208,Aux_CAV!$A$2:$A$121,1))))</f>
        <v>9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0.362481150177939</v>
      </c>
      <c r="E209" s="16" t="n">
        <f aca="false">IF(D209="","",D209*$B$15)</f>
        <v>0.939551141261218</v>
      </c>
      <c r="F209" s="16" t="n">
        <f aca="false" t="array" ref="F209:F209">IF(D209="","",IFERROR(INDEX(Dados_Evap!$C$2:$N$15,MATCH($B$9,Dados_Evap!$A$2:$A$15,0),C209),0))</f>
        <v>104.7</v>
      </c>
      <c r="G209" s="16" t="n">
        <f aca="false">IF(F209="","",F209/1000)</f>
        <v>0.1047</v>
      </c>
      <c r="H209" s="16" t="n">
        <f aca="false">IF(D209="","",MAX(0,MIN($B$8,IFERROR(LOOKUP(2,1/($U$24:U208&lt;&gt;""),$U$24:U208),$B$11))))</f>
        <v>21.3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1.23</v>
      </c>
      <c r="J209" s="16" t="n">
        <f aca="false">IF(D209="","",$B$12)</f>
        <v>0.25</v>
      </c>
      <c r="K209" s="16" t="n">
        <f aca="false">IF(J209="","",J209*$B$15)</f>
        <v>0.648</v>
      </c>
      <c r="L209" s="16" t="n">
        <f aca="false">IF(D209="","",H209+E209-K209-G209*I209)</f>
        <v>21.4627701412612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1.23271283568769</v>
      </c>
      <c r="N209" s="16" t="n">
        <f aca="false">IF(D209="","",(I209+M209)/2)</f>
        <v>1.23135641784384</v>
      </c>
      <c r="O209" s="16" t="n">
        <f aca="false">IF(D209="","",G209*N209)</f>
        <v>0.12892301694825</v>
      </c>
      <c r="P209" s="16" t="n">
        <f aca="false">IF(D209="","",H209+E209-K209-O209)</f>
        <v>21.462628124313</v>
      </c>
      <c r="Q209" s="16" t="n">
        <f aca="false">IF(D209="","",IF(P209&gt;=0,K209,MAX(0,K209+P209)))</f>
        <v>0.648</v>
      </c>
      <c r="R209" s="16" t="n">
        <f aca="false">IF(D209="","",Q209/$B$15)</f>
        <v>0.25</v>
      </c>
      <c r="S209" s="16" t="n">
        <f aca="false">IF(D209="","",MAX(0,J209-R209))</f>
        <v>0</v>
      </c>
      <c r="T209" s="16" t="n">
        <f aca="false">IF(D209="","",MAX(0,Z209-$B$8))</f>
        <v>0.16262812431297</v>
      </c>
      <c r="U209" s="16" t="n">
        <f aca="false">IF(D209="","",MAX(0,MIN($B$8,Z209)))</f>
        <v>21.3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21.462628124313</v>
      </c>
      <c r="AA209" s="18" t="n">
        <f aca="false">IF(D209="","",IF(H209&lt;=$B$16,1,IF(H209&gt;=$B$17,$B$21,MATCH(H209,Aux_CAV!$A$2:$A$121,1))))</f>
        <v>8</v>
      </c>
      <c r="AB209" s="18" t="n">
        <f aca="false">IF(D209="","",IF(L209&lt;=$B$16,1,IF(L209&gt;=$B$17,$B$21,MATCH(L209,Aux_CAV!$A$2:$A$121,1))))</f>
        <v>8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0.260695631177581</v>
      </c>
      <c r="E210" s="16" t="n">
        <f aca="false">IF(D210="","",D210*$B$15)</f>
        <v>0.67572307601229</v>
      </c>
      <c r="F210" s="16" t="n">
        <f aca="false" t="array" ref="F210:F210">IF(D210="","",IFERROR(INDEX(Dados_Evap!$C$2:$N$15,MATCH($B$9,Dados_Evap!$A$2:$A$15,0),C210),0))</f>
        <v>145.2</v>
      </c>
      <c r="G210" s="16" t="n">
        <f aca="false">IF(F210="","",F210/1000)</f>
        <v>0.1452</v>
      </c>
      <c r="H210" s="16" t="n">
        <f aca="false">IF(D210="","",MAX(0,MIN($B$8,IFERROR(LOOKUP(2,1/($U$24:U209&lt;&gt;""),$U$24:U209),$B$11))))</f>
        <v>21.3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1.23</v>
      </c>
      <c r="J210" s="16" t="n">
        <f aca="false">IF(D210="","",$B$12)</f>
        <v>0.25</v>
      </c>
      <c r="K210" s="16" t="n">
        <f aca="false">IF(J210="","",J210*$B$15)</f>
        <v>0.648</v>
      </c>
      <c r="L210" s="16" t="n">
        <f aca="false">IF(D210="","",H210+E210-K210-G210*I210)</f>
        <v>21.1491270760123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1.22716522689793</v>
      </c>
      <c r="N210" s="16" t="n">
        <f aca="false">IF(D210="","",(I210+M210)/2)</f>
        <v>1.22858261344897</v>
      </c>
      <c r="O210" s="16" t="n">
        <f aca="false">IF(D210="","",G210*N210)</f>
        <v>0.17839019547279</v>
      </c>
      <c r="P210" s="16" t="n">
        <f aca="false">IF(D210="","",H210+E210-K210-O210)</f>
        <v>21.1493328805395</v>
      </c>
      <c r="Q210" s="16" t="n">
        <f aca="false">IF(D210="","",IF(P210&gt;=0,K210,MAX(0,K210+P210)))</f>
        <v>0.648</v>
      </c>
      <c r="R210" s="16" t="n">
        <f aca="false">IF(D210="","",Q210/$B$15)</f>
        <v>0.25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21.1493328805395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99.2926426316408</v>
      </c>
      <c r="Z210" s="18" t="n">
        <f aca="false">IF(D210="","",MAX(0,IF(P210&gt;=0,P210,IF(K210+P210&gt;=0,0,P210+K210))))</f>
        <v>21.1493328805395</v>
      </c>
      <c r="AA210" s="18" t="n">
        <f aca="false">IF(D210="","",IF(H210&lt;=$B$16,1,IF(H210&gt;=$B$17,$B$21,MATCH(H210,Aux_CAV!$A$2:$A$121,1))))</f>
        <v>8</v>
      </c>
      <c r="AB210" s="18" t="n">
        <f aca="false">IF(D210="","",IF(L210&lt;=$B$16,1,IF(L210&gt;=$B$17,$B$21,MATCH(L210,Aux_CAV!$A$2:$A$121,1))))</f>
        <v>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0.161129246250666</v>
      </c>
      <c r="E211" s="16" t="n">
        <f aca="false">IF(D211="","",D211*$B$15)</f>
        <v>0.417647006281726</v>
      </c>
      <c r="F211" s="16" t="n">
        <f aca="false" t="array" ref="F211:F211">IF(D211="","",IFERROR(INDEX(Dados_Evap!$C$2:$N$15,MATCH($B$9,Dados_Evap!$A$2:$A$15,0),C211),0))</f>
        <v>180.9</v>
      </c>
      <c r="G211" s="16" t="n">
        <f aca="false">IF(F211="","",F211/1000)</f>
        <v>0.1809</v>
      </c>
      <c r="H211" s="16" t="n">
        <f aca="false">IF(D211="","",MAX(0,MIN($B$8,IFERROR(LOOKUP(2,1/($U$24:U210&lt;&gt;""),$U$24:U210),$B$11))))</f>
        <v>21.1493328805395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1.22716909378884</v>
      </c>
      <c r="J211" s="16" t="n">
        <f aca="false">IF(D211="","",$B$12)</f>
        <v>0.25</v>
      </c>
      <c r="K211" s="16" t="n">
        <f aca="false">IF(J211="","",J211*$B$15)</f>
        <v>0.648</v>
      </c>
      <c r="L211" s="16" t="n">
        <f aca="false">IF(D211="","",H211+E211-K211-G211*I211)</f>
        <v>20.6969849977548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1.21866986425844</v>
      </c>
      <c r="N211" s="16" t="n">
        <f aca="false">IF(D211="","",(I211+M211)/2)</f>
        <v>1.22291947902364</v>
      </c>
      <c r="O211" s="16" t="n">
        <f aca="false">IF(D211="","",G211*N211)</f>
        <v>0.221226133755377</v>
      </c>
      <c r="P211" s="16" t="n">
        <f aca="false">IF(D211="","",H211+E211-K211-O211)</f>
        <v>20.6977537530659</v>
      </c>
      <c r="Q211" s="16" t="n">
        <f aca="false">IF(D211="","",IF(P211&gt;=0,K211,MAX(0,K211+P211)))</f>
        <v>0.648</v>
      </c>
      <c r="R211" s="16" t="n">
        <f aca="false">IF(D211="","",Q211/$B$15)</f>
        <v>0.25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20.6977537530659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97.1725528312951</v>
      </c>
      <c r="Z211" s="18" t="n">
        <f aca="false">IF(D211="","",MAX(0,IF(P211&gt;=0,P211,IF(K211+P211&gt;=0,0,P211+K211))))</f>
        <v>20.6977537530659</v>
      </c>
      <c r="AA211" s="18" t="n">
        <f aca="false">IF(D211="","",IF(H211&lt;=$B$16,1,IF(H211&gt;=$B$17,$B$21,MATCH(H211,Aux_CAV!$A$2:$A$121,1))))</f>
        <v>7</v>
      </c>
      <c r="AB211" s="18" t="n">
        <f aca="false">IF(D211="","",IF(L211&lt;=$B$16,1,IF(L211&gt;=$B$17,$B$21,MATCH(L211,Aux_CAV!$A$2:$A$121,1))))</f>
        <v>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0.0924416157992746</v>
      </c>
      <c r="E212" s="16" t="n">
        <f aca="false">IF(D212="","",D212*$B$15)</f>
        <v>0.23960866815172</v>
      </c>
      <c r="F212" s="16" t="n">
        <f aca="false" t="array" ref="F212:F212">IF(D212="","",IFERROR(INDEX(Dados_Evap!$C$2:$N$15,MATCH($B$9,Dados_Evap!$A$2:$A$15,0),C212),0))</f>
        <v>208.9</v>
      </c>
      <c r="G212" s="16" t="n">
        <f aca="false">IF(F212="","",F212/1000)</f>
        <v>0.2089</v>
      </c>
      <c r="H212" s="16" t="n">
        <f aca="false">IF(D212="","",MAX(0,MIN($B$8,IFERROR(LOOKUP(2,1/($U$24:U211&lt;&gt;""),$U$24:U211),$B$11))))</f>
        <v>20.6977537530659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1.21868430851272</v>
      </c>
      <c r="J212" s="16" t="n">
        <f aca="false">IF(D212="","",$B$12)</f>
        <v>0.25</v>
      </c>
      <c r="K212" s="16" t="n">
        <f aca="false">IF(J212="","",J212*$B$15)</f>
        <v>0.648</v>
      </c>
      <c r="L212" s="16" t="n">
        <f aca="false">IF(D212="","",H212+E212-K212-G212*I212)</f>
        <v>20.0347792691693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1.20622758543324</v>
      </c>
      <c r="N212" s="16" t="n">
        <f aca="false">IF(D212="","",(I212+M212)/2)</f>
        <v>1.21245594697298</v>
      </c>
      <c r="O212" s="16" t="n">
        <f aca="false">IF(D212="","",G212*N212)</f>
        <v>0.253282047322656</v>
      </c>
      <c r="P212" s="16" t="n">
        <f aca="false">IF(D212="","",H212+E212-K212-O212)</f>
        <v>20.0360803738949</v>
      </c>
      <c r="Q212" s="16" t="n">
        <f aca="false">IF(D212="","",IF(P212&gt;=0,K212,MAX(0,K212+P212)))</f>
        <v>0.648</v>
      </c>
      <c r="R212" s="16" t="n">
        <f aca="false">IF(D212="","",Q212/$B$15)</f>
        <v>0.25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20.0360803738949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94.0661050417602</v>
      </c>
      <c r="Z212" s="18" t="n">
        <f aca="false">IF(D212="","",MAX(0,IF(P212&gt;=0,P212,IF(K212+P212&gt;=0,0,P212+K212))))</f>
        <v>20.0360803738949</v>
      </c>
      <c r="AA212" s="18" t="n">
        <f aca="false">IF(D212="","",IF(H212&lt;=$B$16,1,IF(H212&gt;=$B$17,$B$21,MATCH(H212,Aux_CAV!$A$2:$A$121,1))))</f>
        <v>7</v>
      </c>
      <c r="AB212" s="18" t="n">
        <f aca="false">IF(D212="","",IF(L212&lt;=$B$16,1,IF(L212&gt;=$B$17,$B$21,MATCH(L212,Aux_CAV!$A$2:$A$121,1))))</f>
        <v>7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0.0490643045906774</v>
      </c>
      <c r="E213" s="16" t="n">
        <f aca="false">IF(D213="","",D213*$B$15)</f>
        <v>0.127174677499036</v>
      </c>
      <c r="F213" s="16" t="n">
        <f aca="false" t="array" ref="F213:F213">IF(D213="","",IFERROR(INDEX(Dados_Evap!$C$2:$N$15,MATCH($B$9,Dados_Evap!$A$2:$A$15,0),C213),0))</f>
        <v>235.9</v>
      </c>
      <c r="G213" s="16" t="n">
        <f aca="false">IF(F213="","",F213/1000)</f>
        <v>0.2359</v>
      </c>
      <c r="H213" s="16" t="n">
        <f aca="false">IF(D213="","",MAX(0,MIN($B$8,IFERROR(LOOKUP(2,1/($U$24:U212&lt;&gt;""),$U$24:U212),$B$11))))</f>
        <v>20.0360803738949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1.20625203207736</v>
      </c>
      <c r="J213" s="16" t="n">
        <f aca="false">IF(D213="","",$B$12)</f>
        <v>0.25</v>
      </c>
      <c r="K213" s="16" t="n">
        <f aca="false">IF(J213="","",J213*$B$15)</f>
        <v>0.648</v>
      </c>
      <c r="L213" s="16" t="n">
        <f aca="false">IF(D213="","",H213+E213-K213-G213*I213)</f>
        <v>19.2307001970269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1.19111962791909</v>
      </c>
      <c r="N213" s="16" t="n">
        <f aca="false">IF(D213="","",(I213+M213)/2)</f>
        <v>1.19868582999822</v>
      </c>
      <c r="O213" s="16" t="n">
        <f aca="false">IF(D213="","",G213*N213)</f>
        <v>0.28276998729658</v>
      </c>
      <c r="P213" s="16" t="n">
        <f aca="false">IF(D213="","",H213+E213-K213-O213)</f>
        <v>19.2324850640974</v>
      </c>
      <c r="Q213" s="16" t="n">
        <f aca="false">IF(D213="","",IF(P213&gt;=0,K213,MAX(0,K213+P213)))</f>
        <v>0.648</v>
      </c>
      <c r="R213" s="16" t="n">
        <f aca="false">IF(D213="","",Q213/$B$15)</f>
        <v>0.25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19.2324850640974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90.2933571084384</v>
      </c>
      <c r="Z213" s="18" t="n">
        <f aca="false">IF(D213="","",MAX(0,IF(P213&gt;=0,P213,IF(K213+P213&gt;=0,0,P213+K213))))</f>
        <v>19.2324850640974</v>
      </c>
      <c r="AA213" s="18" t="n">
        <f aca="false">IF(D213="","",IF(H213&lt;=$B$16,1,IF(H213&gt;=$B$17,$B$21,MATCH(H213,Aux_CAV!$A$2:$A$121,1))))</f>
        <v>7</v>
      </c>
      <c r="AB213" s="18" t="n">
        <f aca="false">IF(D213="","",IF(L213&lt;=$B$16,1,IF(L213&gt;=$B$17,$B$21,MATCH(L213,Aux_CAV!$A$2:$A$121,1))))</f>
        <v>7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0.0290664841882737</v>
      </c>
      <c r="E214" s="16" t="n">
        <f aca="false">IF(D214="","",D214*$B$15)</f>
        <v>0.0753403270160054</v>
      </c>
      <c r="F214" s="16" t="n">
        <f aca="false" t="array" ref="F214:F214">IF(D214="","",IFERROR(INDEX(Dados_Evap!$C$2:$N$15,MATCH($B$9,Dados_Evap!$A$2:$A$15,0),C214),0))</f>
        <v>225.9</v>
      </c>
      <c r="G214" s="16" t="n">
        <f aca="false">IF(F214="","",F214/1000)</f>
        <v>0.2259</v>
      </c>
      <c r="H214" s="16" t="n">
        <f aca="false">IF(D214="","",MAX(0,MIN($B$8,IFERROR(LOOKUP(2,1/($U$24:U213&lt;&gt;""),$U$24:U213),$B$11))))</f>
        <v>19.2324850640974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1.19115316404358</v>
      </c>
      <c r="J214" s="16" t="n">
        <f aca="false">IF(D214="","",$B$12)</f>
        <v>0.25</v>
      </c>
      <c r="K214" s="16" t="n">
        <f aca="false">IF(J214="","",J214*$B$15)</f>
        <v>0.648</v>
      </c>
      <c r="L214" s="16" t="n">
        <f aca="false">IF(D214="","",H214+E214-K214-G214*I214)</f>
        <v>18.3907438913559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1.17533756789604</v>
      </c>
      <c r="N214" s="16" t="n">
        <f aca="false">IF(D214="","",(I214+M214)/2)</f>
        <v>1.18324536596981</v>
      </c>
      <c r="O214" s="16" t="n">
        <f aca="false">IF(D214="","",G214*N214)</f>
        <v>0.267295128172581</v>
      </c>
      <c r="P214" s="16" t="n">
        <f aca="false">IF(D214="","",H214+E214-K214-O214)</f>
        <v>18.3925302629408</v>
      </c>
      <c r="Q214" s="16" t="n">
        <f aca="false">IF(D214="","",IF(P214&gt;=0,K214,MAX(0,K214+P214)))</f>
        <v>0.648</v>
      </c>
      <c r="R214" s="16" t="n">
        <f aca="false">IF(D214="","",Q214/$B$15)</f>
        <v>0.25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18.3925302629408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86.3499073377502</v>
      </c>
      <c r="Z214" s="18" t="n">
        <f aca="false">IF(D214="","",MAX(0,IF(P214&gt;=0,P214,IF(K214+P214&gt;=0,0,P214+K214))))</f>
        <v>18.3925302629408</v>
      </c>
      <c r="AA214" s="18" t="n">
        <f aca="false">IF(D214="","",IF(H214&lt;=$B$16,1,IF(H214&gt;=$B$17,$B$21,MATCH(H214,Aux_CAV!$A$2:$A$121,1))))</f>
        <v>7</v>
      </c>
      <c r="AB214" s="18" t="n">
        <f aca="false">IF(D214="","",IF(L214&lt;=$B$16,1,IF(L214&gt;=$B$17,$B$21,MATCH(L214,Aux_CAV!$A$2:$A$121,1))))</f>
        <v>7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0.0180967369105242</v>
      </c>
      <c r="E215" s="16" t="n">
        <f aca="false">IF(D215="","",D215*$B$15)</f>
        <v>0.0469067420720787</v>
      </c>
      <c r="F215" s="16" t="n">
        <f aca="false" t="array" ref="F215:F215">IF(D215="","",IFERROR(INDEX(Dados_Evap!$C$2:$N$15,MATCH($B$9,Dados_Evap!$A$2:$A$15,0),C215),0))</f>
        <v>206</v>
      </c>
      <c r="G215" s="16" t="n">
        <f aca="false">IF(F215="","",F215/1000)</f>
        <v>0.206</v>
      </c>
      <c r="H215" s="16" t="n">
        <f aca="false">IF(D215="","",MAX(0,MIN($B$8,IFERROR(LOOKUP(2,1/($U$24:U214&lt;&gt;""),$U$24:U214),$B$11))))</f>
        <v>18.3925302629408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1.17537113228908</v>
      </c>
      <c r="J215" s="16" t="n">
        <f aca="false">IF(D215="","",$B$12)</f>
        <v>0.25</v>
      </c>
      <c r="K215" s="16" t="n">
        <f aca="false">IF(J215="","",J215*$B$15)</f>
        <v>0.648</v>
      </c>
      <c r="L215" s="16" t="n">
        <f aca="false">IF(D215="","",H215+E215-K215-G215*I215)</f>
        <v>17.5493105517613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1.15952775566984</v>
      </c>
      <c r="N215" s="16" t="n">
        <f aca="false">IF(D215="","",(I215+M215)/2)</f>
        <v>1.16744944397946</v>
      </c>
      <c r="O215" s="16" t="n">
        <f aca="false">IF(D215="","",G215*N215)</f>
        <v>0.240494585459768</v>
      </c>
      <c r="P215" s="16" t="n">
        <f aca="false">IF(D215="","",H215+E215-K215-O215)</f>
        <v>17.5509424195531</v>
      </c>
      <c r="Q215" s="16" t="n">
        <f aca="false">IF(D215="","",IF(P215&gt;=0,K215,MAX(0,K215+P215)))</f>
        <v>0.648</v>
      </c>
      <c r="R215" s="16" t="n">
        <f aca="false">IF(D215="","",Q215/$B$15)</f>
        <v>0.25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17.5509424195531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82.3987907021273</v>
      </c>
      <c r="Z215" s="18" t="n">
        <f aca="false">IF(D215="","",MAX(0,IF(P215&gt;=0,P215,IF(K215+P215&gt;=0,0,P215+K215))))</f>
        <v>17.5509424195531</v>
      </c>
      <c r="AA215" s="18" t="n">
        <f aca="false">IF(D215="","",IF(H215&lt;=$B$16,1,IF(H215&gt;=$B$17,$B$21,MATCH(H215,Aux_CAV!$A$2:$A$121,1))))</f>
        <v>7</v>
      </c>
      <c r="AB215" s="18" t="n">
        <f aca="false">IF(D215="","",IF(L215&lt;=$B$16,1,IF(L215&gt;=$B$17,$B$21,MATCH(L215,Aux_CAV!$A$2:$A$121,1))))</f>
        <v>7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0.0501648147948033</v>
      </c>
      <c r="E216" s="16" t="n">
        <f aca="false">IF(D216="","",D216*$B$15)</f>
        <v>0.13002719994813</v>
      </c>
      <c r="F216" s="16" t="n">
        <f aca="false" t="array" ref="F216:F216">IF(D216="","",IFERROR(INDEX(Dados_Evap!$C$2:$N$15,MATCH($B$9,Dados_Evap!$A$2:$A$15,0),C216),0))</f>
        <v>165.6</v>
      </c>
      <c r="G216" s="16" t="n">
        <f aca="false">IF(F216="","",F216/1000)</f>
        <v>0.1656</v>
      </c>
      <c r="H216" s="16" t="n">
        <f aca="false">IF(D216="","",MAX(0,MIN($B$8,IFERROR(LOOKUP(2,1/($U$24:U215&lt;&gt;""),$U$24:U215),$B$11))))</f>
        <v>17.5509424195531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1.15955841706885</v>
      </c>
      <c r="J216" s="16" t="n">
        <f aca="false">IF(D216="","",$B$12)</f>
        <v>0.25</v>
      </c>
      <c r="K216" s="16" t="n">
        <f aca="false">IF(J216="","",J216*$B$15)</f>
        <v>0.648</v>
      </c>
      <c r="L216" s="16" t="n">
        <f aca="false">IF(D216="","",H216+E216-K216-G216*I216)</f>
        <v>16.8409467456346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1.14621820607664</v>
      </c>
      <c r="N216" s="16" t="n">
        <f aca="false">IF(D216="","",(I216+M216)/2)</f>
        <v>1.15288831157274</v>
      </c>
      <c r="O216" s="16" t="n">
        <f aca="false">IF(D216="","",G216*N216)</f>
        <v>0.190918304396447</v>
      </c>
      <c r="P216" s="16" t="n">
        <f aca="false">IF(D216="","",H216+E216-K216-O216)</f>
        <v>16.8420513151048</v>
      </c>
      <c r="Q216" s="16" t="n">
        <f aca="false">IF(D216="","",IF(P216&gt;=0,K216,MAX(0,K216+P216)))</f>
        <v>0.648</v>
      </c>
      <c r="R216" s="16" t="n">
        <f aca="false">IF(D216="","",Q216/$B$15)</f>
        <v>0.25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16.8420513151048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79.0706634511962</v>
      </c>
      <c r="Z216" s="18" t="n">
        <f aca="false">IF(D216="","",MAX(0,IF(P216&gt;=0,P216,IF(K216+P216&gt;=0,0,P216+K216))))</f>
        <v>16.8420513151048</v>
      </c>
      <c r="AA216" s="18" t="n">
        <f aca="false">IF(D216="","",IF(H216&lt;=$B$16,1,IF(H216&gt;=$B$17,$B$21,MATCH(H216,Aux_CAV!$A$2:$A$121,1))))</f>
        <v>7</v>
      </c>
      <c r="AB216" s="18" t="n">
        <f aca="false">IF(D216="","",IF(L216&lt;=$B$16,1,IF(L216&gt;=$B$17,$B$21,MATCH(L216,Aux_CAV!$A$2:$A$121,1))))</f>
        <v>7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0.410005232141915</v>
      </c>
      <c r="E217" s="16" t="n">
        <f aca="false">IF(D217="","",D217*$B$15)</f>
        <v>1.06273356171184</v>
      </c>
      <c r="F217" s="16" t="n">
        <f aca="false" t="array" ref="F217:F217">IF(D217="","",IFERROR(INDEX(Dados_Evap!$C$2:$N$15,MATCH($B$9,Dados_Evap!$A$2:$A$15,0),C217),0))</f>
        <v>124.9</v>
      </c>
      <c r="G217" s="16" t="n">
        <f aca="false">IF(F217="","",F217/1000)</f>
        <v>0.1249</v>
      </c>
      <c r="H217" s="16" t="n">
        <f aca="false">IF(D217="","",MAX(0,MIN($B$8,IFERROR(LOOKUP(2,1/($U$24:U216&lt;&gt;""),$U$24:U216),$B$11))))</f>
        <v>16.8420513151048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1.14623895999153</v>
      </c>
      <c r="J217" s="16" t="n">
        <f aca="false">IF(D217="","",$B$12)</f>
        <v>0.25</v>
      </c>
      <c r="K217" s="16" t="n">
        <f aca="false">IF(J217="","",J217*$B$15)</f>
        <v>0.648</v>
      </c>
      <c r="L217" s="16" t="n">
        <f aca="false">IF(D217="","",H217+E217-K217-G217*I217)</f>
        <v>17.1136196307137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1.15134149619295</v>
      </c>
      <c r="N217" s="16" t="n">
        <f aca="false">IF(D217="","",(I217+M217)/2)</f>
        <v>1.14879022809224</v>
      </c>
      <c r="O217" s="16" t="n">
        <f aca="false">IF(D217="","",G217*N217)</f>
        <v>0.143483899488721</v>
      </c>
      <c r="P217" s="16" t="n">
        <f aca="false">IF(D217="","",H217+E217-K217-O217)</f>
        <v>17.1133009773279</v>
      </c>
      <c r="Q217" s="16" t="n">
        <f aca="false">IF(D217="","",IF(P217&gt;=0,K217,MAX(0,K217+P217)))</f>
        <v>0.648</v>
      </c>
      <c r="R217" s="16" t="n">
        <f aca="false">IF(D217="","",Q217/$B$15)</f>
        <v>0.25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17.1133009773279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80.344136043793</v>
      </c>
      <c r="Z217" s="18" t="n">
        <f aca="false">IF(D217="","",MAX(0,IF(P217&gt;=0,P217,IF(K217+P217&gt;=0,0,P217+K217))))</f>
        <v>17.1133009773279</v>
      </c>
      <c r="AA217" s="18" t="n">
        <f aca="false">IF(D217="","",IF(H217&lt;=$B$16,1,IF(H217&gt;=$B$17,$B$21,MATCH(H217,Aux_CAV!$A$2:$A$121,1))))</f>
        <v>7</v>
      </c>
      <c r="AB217" s="18" t="n">
        <f aca="false">IF(D217="","",IF(L217&lt;=$B$16,1,IF(L217&gt;=$B$17,$B$21,MATCH(L217,Aux_CAV!$A$2:$A$121,1))))</f>
        <v>7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1.24508013397053</v>
      </c>
      <c r="E218" s="16" t="n">
        <f aca="false">IF(D218="","",D218*$B$15)</f>
        <v>3.22724770725161</v>
      </c>
      <c r="F218" s="16" t="n">
        <f aca="false" t="array" ref="F218:F218">IF(D218="","",IFERROR(INDEX(Dados_Evap!$C$2:$N$15,MATCH($B$9,Dados_Evap!$A$2:$A$15,0),C218),0))</f>
        <v>88.2</v>
      </c>
      <c r="G218" s="16" t="n">
        <f aca="false">IF(F218="","",F218/1000)</f>
        <v>0.0882</v>
      </c>
      <c r="H218" s="16" t="n">
        <f aca="false">IF(D218="","",MAX(0,MIN($B$8,IFERROR(LOOKUP(2,1/($U$24:U217&lt;&gt;""),$U$24:U217),$B$11))))</f>
        <v>17.1133009773279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1.15133550896858</v>
      </c>
      <c r="J218" s="16" t="n">
        <f aca="false">IF(D218="","",$B$12)</f>
        <v>0.25</v>
      </c>
      <c r="K218" s="16" t="n">
        <f aca="false">IF(J218="","",J218*$B$15)</f>
        <v>0.648</v>
      </c>
      <c r="L218" s="16" t="n">
        <f aca="false">IF(D218="","",H218+E218-K218-G218*I218)</f>
        <v>19.5910008926885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1.19788936959122</v>
      </c>
      <c r="N218" s="16" t="n">
        <f aca="false">IF(D218="","",(I218+M218)/2)</f>
        <v>1.1746124392799</v>
      </c>
      <c r="O218" s="16" t="n">
        <f aca="false">IF(D218="","",G218*N218)</f>
        <v>0.103600817144487</v>
      </c>
      <c r="P218" s="16" t="n">
        <f aca="false">IF(D218="","",H218+E218-K218-O218)</f>
        <v>19.588947867435</v>
      </c>
      <c r="Q218" s="16" t="n">
        <f aca="false">IF(D218="","",IF(P218&gt;=0,K218,MAX(0,K218+P218)))</f>
        <v>0.648</v>
      </c>
      <c r="R218" s="16" t="n">
        <f aca="false">IF(D218="","",Q218/$B$15)</f>
        <v>0.25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19.588947867435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91.9668913964086</v>
      </c>
      <c r="Z218" s="18" t="n">
        <f aca="false">IF(D218="","",MAX(0,IF(P218&gt;=0,P218,IF(K218+P218&gt;=0,0,P218+K218))))</f>
        <v>19.588947867435</v>
      </c>
      <c r="AA218" s="18" t="n">
        <f aca="false">IF(D218="","",IF(H218&lt;=$B$16,1,IF(H218&gt;=$B$17,$B$21,MATCH(H218,Aux_CAV!$A$2:$A$121,1))))</f>
        <v>7</v>
      </c>
      <c r="AB218" s="18" t="n">
        <f aca="false">IF(D218="","",IF(L218&lt;=$B$16,1,IF(L218&gt;=$B$17,$B$21,MATCH(L218,Aux_CAV!$A$2:$A$121,1))))</f>
        <v>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1.84732222385452</v>
      </c>
      <c r="E219" s="16" t="n">
        <f aca="false">IF(D219="","",D219*$B$15)</f>
        <v>4.78825920423092</v>
      </c>
      <c r="F219" s="16" t="n">
        <f aca="false" t="array" ref="F219:F219">IF(D219="","",IFERROR(INDEX(Dados_Evap!$C$2:$N$15,MATCH($B$9,Dados_Evap!$A$2:$A$15,0),C219),0))</f>
        <v>88.2</v>
      </c>
      <c r="G219" s="16" t="n">
        <f aca="false">IF(F219="","",F219/1000)</f>
        <v>0.0882</v>
      </c>
      <c r="H219" s="16" t="n">
        <f aca="false">IF(D219="","",MAX(0,MIN($B$8,IFERROR(LOOKUP(2,1/($U$24:U218&lt;&gt;""),$U$24:U218),$B$11))))</f>
        <v>19.588947867435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1.197850795004</v>
      </c>
      <c r="J219" s="16" t="n">
        <f aca="false">IF(D219="","",$B$12)</f>
        <v>0.25</v>
      </c>
      <c r="K219" s="16" t="n">
        <f aca="false">IF(J219="","",J219*$B$15)</f>
        <v>0.648</v>
      </c>
      <c r="L219" s="16" t="n">
        <f aca="false">IF(D219="","",H219+E219-K219-G219*I219)</f>
        <v>23.6235566315466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1.27695188321551</v>
      </c>
      <c r="N219" s="16" t="n">
        <f aca="false">IF(D219="","",(I219+M219)/2)</f>
        <v>1.23740133910975</v>
      </c>
      <c r="O219" s="16" t="n">
        <f aca="false">IF(D219="","",G219*N219)</f>
        <v>0.10913879810948</v>
      </c>
      <c r="P219" s="16" t="n">
        <f aca="false">IF(D219="","",H219+E219-K219-O219)</f>
        <v>23.6200682735565</v>
      </c>
      <c r="Q219" s="16" t="n">
        <f aca="false">IF(D219="","",IF(P219&gt;=0,K219,MAX(0,K219+P219)))</f>
        <v>0.648</v>
      </c>
      <c r="R219" s="16" t="n">
        <f aca="false">IF(D219="","",Q219/$B$15)</f>
        <v>0.25</v>
      </c>
      <c r="S219" s="16" t="n">
        <f aca="false">IF(D219="","",MAX(0,J219-R219))</f>
        <v>0</v>
      </c>
      <c r="T219" s="16" t="n">
        <f aca="false">IF(D219="","",MAX(0,Z219-$B$8))</f>
        <v>2.32006827355647</v>
      </c>
      <c r="U219" s="16" t="n">
        <f aca="false">IF(D219="","",MAX(0,MIN($B$8,Z219)))</f>
        <v>21.3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23.6200682735565</v>
      </c>
      <c r="AA219" s="18" t="n">
        <f aca="false">IF(D219="","",IF(H219&lt;=$B$16,1,IF(H219&gt;=$B$17,$B$21,MATCH(H219,Aux_CAV!$A$2:$A$121,1))))</f>
        <v>7</v>
      </c>
      <c r="AB219" s="18" t="n">
        <f aca="false">IF(D219="","",IF(L219&lt;=$B$16,1,IF(L219&gt;=$B$17,$B$21,MATCH(L219,Aux_CAV!$A$2:$A$121,1))))</f>
        <v>9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0.717970864300633</v>
      </c>
      <c r="E220" s="16" t="n">
        <f aca="false">IF(D220="","",D220*$B$15)</f>
        <v>1.86098048026724</v>
      </c>
      <c r="F220" s="16" t="n">
        <f aca="false" t="array" ref="F220:F220">IF(D220="","",IFERROR(INDEX(Dados_Evap!$C$2:$N$15,MATCH($B$9,Dados_Evap!$A$2:$A$15,0),C220),0))</f>
        <v>83.9</v>
      </c>
      <c r="G220" s="16" t="n">
        <f aca="false">IF(F220="","",F220/1000)</f>
        <v>0.0839</v>
      </c>
      <c r="H220" s="16" t="n">
        <f aca="false">IF(D220="","",MAX(0,MIN($B$8,IFERROR(LOOKUP(2,1/($U$24:U219&lt;&gt;""),$U$24:U219),$B$11))))</f>
        <v>21.3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1.23</v>
      </c>
      <c r="J220" s="16" t="n">
        <f aca="false">IF(D220="","",$B$12)</f>
        <v>0.25</v>
      </c>
      <c r="K220" s="16" t="n">
        <f aca="false">IF(J220="","",J220*$B$15)</f>
        <v>0.648</v>
      </c>
      <c r="L220" s="16" t="n">
        <f aca="false">IF(D220="","",H220+E220-K220-G220*I220)</f>
        <v>22.4097834802672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1.24849639133779</v>
      </c>
      <c r="N220" s="16" t="n">
        <f aca="false">IF(D220="","",(I220+M220)/2)</f>
        <v>1.23924819566889</v>
      </c>
      <c r="O220" s="16" t="n">
        <f aca="false">IF(D220="","",G220*N220)</f>
        <v>0.10397292361662</v>
      </c>
      <c r="P220" s="16" t="n">
        <f aca="false">IF(D220="","",H220+E220-K220-O220)</f>
        <v>22.4090075566506</v>
      </c>
      <c r="Q220" s="16" t="n">
        <f aca="false">IF(D220="","",IF(P220&gt;=0,K220,MAX(0,K220+P220)))</f>
        <v>0.648</v>
      </c>
      <c r="R220" s="16" t="n">
        <f aca="false">IF(D220="","",Q220/$B$15)</f>
        <v>0.25</v>
      </c>
      <c r="S220" s="16" t="n">
        <f aca="false">IF(D220="","",MAX(0,J220-R220))</f>
        <v>0</v>
      </c>
      <c r="T220" s="16" t="n">
        <f aca="false">IF(D220="","",MAX(0,Z220-$B$8))</f>
        <v>1.10900755665062</v>
      </c>
      <c r="U220" s="16" t="n">
        <f aca="false">IF(D220="","",MAX(0,MIN($B$8,Z220)))</f>
        <v>21.3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22.4090075566506</v>
      </c>
      <c r="AA220" s="18" t="n">
        <f aca="false">IF(D220="","",IF(H220&lt;=$B$16,1,IF(H220&gt;=$B$17,$B$21,MATCH(H220,Aux_CAV!$A$2:$A$121,1))))</f>
        <v>8</v>
      </c>
      <c r="AB220" s="18" t="n">
        <f aca="false">IF(D220="","",IF(L220&lt;=$B$16,1,IF(L220&gt;=$B$17,$B$21,MATCH(L220,Aux_CAV!$A$2:$A$121,1))))</f>
        <v>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0.327262262131039</v>
      </c>
      <c r="E221" s="16" t="n">
        <f aca="false">IF(D221="","",D221*$B$15)</f>
        <v>0.848263783443653</v>
      </c>
      <c r="F221" s="16" t="n">
        <f aca="false" t="array" ref="F221:F221">IF(D221="","",IFERROR(INDEX(Dados_Evap!$C$2:$N$15,MATCH($B$9,Dados_Evap!$A$2:$A$15,0),C221),0))</f>
        <v>104.7</v>
      </c>
      <c r="G221" s="16" t="n">
        <f aca="false">IF(F221="","",F221/1000)</f>
        <v>0.1047</v>
      </c>
      <c r="H221" s="16" t="n">
        <f aca="false">IF(D221="","",MAX(0,MIN($B$8,IFERROR(LOOKUP(2,1/($U$24:U220&lt;&gt;""),$U$24:U220),$B$11))))</f>
        <v>21.3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1.23</v>
      </c>
      <c r="J221" s="16" t="n">
        <f aca="false">IF(D221="","",$B$12)</f>
        <v>0.25</v>
      </c>
      <c r="K221" s="16" t="n">
        <f aca="false">IF(J221="","",J221*$B$15)</f>
        <v>0.648</v>
      </c>
      <c r="L221" s="16" t="n">
        <f aca="false">IF(D221="","",H221+E221-K221-G221*I221)</f>
        <v>21.3714827834437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1.23119137972406</v>
      </c>
      <c r="N221" s="16" t="n">
        <f aca="false">IF(D221="","",(I221+M221)/2)</f>
        <v>1.23059568986203</v>
      </c>
      <c r="O221" s="16" t="n">
        <f aca="false">IF(D221="","",G221*N221)</f>
        <v>0.128843368728555</v>
      </c>
      <c r="P221" s="16" t="n">
        <f aca="false">IF(D221="","",H221+E221-K221-O221)</f>
        <v>21.3714204147151</v>
      </c>
      <c r="Q221" s="16" t="n">
        <f aca="false">IF(D221="","",IF(P221&gt;=0,K221,MAX(0,K221+P221)))</f>
        <v>0.648</v>
      </c>
      <c r="R221" s="16" t="n">
        <f aca="false">IF(D221="","",Q221/$B$15)</f>
        <v>0.25</v>
      </c>
      <c r="S221" s="16" t="n">
        <f aca="false">IF(D221="","",MAX(0,J221-R221))</f>
        <v>0</v>
      </c>
      <c r="T221" s="16" t="n">
        <f aca="false">IF(D221="","",MAX(0,Z221-$B$8))</f>
        <v>0.0714204147150994</v>
      </c>
      <c r="U221" s="16" t="n">
        <f aca="false">IF(D221="","",MAX(0,MIN($B$8,Z221)))</f>
        <v>21.3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21.3714204147151</v>
      </c>
      <c r="AA221" s="18" t="n">
        <f aca="false">IF(D221="","",IF(H221&lt;=$B$16,1,IF(H221&gt;=$B$17,$B$21,MATCH(H221,Aux_CAV!$A$2:$A$121,1))))</f>
        <v>8</v>
      </c>
      <c r="AB221" s="18" t="n">
        <f aca="false">IF(D221="","",IF(L221&lt;=$B$16,1,IF(L221&gt;=$B$17,$B$21,MATCH(L221,Aux_CAV!$A$2:$A$121,1))))</f>
        <v>8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0.182419676502358</v>
      </c>
      <c r="E222" s="16" t="n">
        <f aca="false">IF(D222="","",D222*$B$15)</f>
        <v>0.472831801494112</v>
      </c>
      <c r="F222" s="16" t="n">
        <f aca="false" t="array" ref="F222:F222">IF(D222="","",IFERROR(INDEX(Dados_Evap!$C$2:$N$15,MATCH($B$9,Dados_Evap!$A$2:$A$15,0),C222),0))</f>
        <v>145.2</v>
      </c>
      <c r="G222" s="16" t="n">
        <f aca="false">IF(F222="","",F222/1000)</f>
        <v>0.1452</v>
      </c>
      <c r="H222" s="16" t="n">
        <f aca="false">IF(D222="","",MAX(0,MIN($B$8,IFERROR(LOOKUP(2,1/($U$24:U221&lt;&gt;""),$U$24:U221),$B$11))))</f>
        <v>21.3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1.23</v>
      </c>
      <c r="J222" s="16" t="n">
        <f aca="false">IF(D222="","",$B$12)</f>
        <v>0.25</v>
      </c>
      <c r="K222" s="16" t="n">
        <f aca="false">IF(J222="","",J222*$B$15)</f>
        <v>0.648</v>
      </c>
      <c r="L222" s="16" t="n">
        <f aca="false">IF(D222="","",H222+E222-K222-G222*I222)</f>
        <v>20.9462358014941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1.2233530735145</v>
      </c>
      <c r="N222" s="16" t="n">
        <f aca="false">IF(D222="","",(I222+M222)/2)</f>
        <v>1.22667653675725</v>
      </c>
      <c r="O222" s="16" t="n">
        <f aca="false">IF(D222="","",G222*N222)</f>
        <v>0.178113433137153</v>
      </c>
      <c r="P222" s="16" t="n">
        <f aca="false">IF(D222="","",H222+E222-K222-O222)</f>
        <v>20.946718368357</v>
      </c>
      <c r="Q222" s="16" t="n">
        <f aca="false">IF(D222="","",IF(P222&gt;=0,K222,MAX(0,K222+P222)))</f>
        <v>0.648</v>
      </c>
      <c r="R222" s="16" t="n">
        <f aca="false">IF(D222="","",Q222/$B$15)</f>
        <v>0.25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20.946718368357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98.3414007904083</v>
      </c>
      <c r="Z222" s="18" t="n">
        <f aca="false">IF(D222="","",MAX(0,IF(P222&gt;=0,P222,IF(K222+P222&gt;=0,0,P222+K222))))</f>
        <v>20.946718368357</v>
      </c>
      <c r="AA222" s="18" t="n">
        <f aca="false">IF(D222="","",IF(H222&lt;=$B$16,1,IF(H222&gt;=$B$17,$B$21,MATCH(H222,Aux_CAV!$A$2:$A$121,1))))</f>
        <v>8</v>
      </c>
      <c r="AB222" s="18" t="n">
        <f aca="false">IF(D222="","",IF(L222&lt;=$B$16,1,IF(L222&gt;=$B$17,$B$21,MATCH(L222,Aux_CAV!$A$2:$A$121,1))))</f>
        <v>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0.108528195635454</v>
      </c>
      <c r="E223" s="16" t="n">
        <f aca="false">IF(D223="","",D223*$B$15)</f>
        <v>0.281305083087097</v>
      </c>
      <c r="F223" s="16" t="n">
        <f aca="false" t="array" ref="F223:F223">IF(D223="","",IFERROR(INDEX(Dados_Evap!$C$2:$N$15,MATCH($B$9,Dados_Evap!$A$2:$A$15,0),C223),0))</f>
        <v>180.9</v>
      </c>
      <c r="G223" s="16" t="n">
        <f aca="false">IF(F223="","",F223/1000)</f>
        <v>0.1809</v>
      </c>
      <c r="H223" s="16" t="n">
        <f aca="false">IF(D223="","",MAX(0,MIN($B$8,IFERROR(LOOKUP(2,1/($U$24:U222&lt;&gt;""),$U$24:U222),$B$11))))</f>
        <v>20.946718368357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1.2233621405328</v>
      </c>
      <c r="J223" s="16" t="n">
        <f aca="false">IF(D223="","",$B$12)</f>
        <v>0.25</v>
      </c>
      <c r="K223" s="16" t="n">
        <f aca="false">IF(J223="","",J223*$B$15)</f>
        <v>0.648</v>
      </c>
      <c r="L223" s="16" t="n">
        <f aca="false">IF(D223="","",H223+E223-K223-G223*I223)</f>
        <v>20.3587172402217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1.21231410263465</v>
      </c>
      <c r="N223" s="16" t="n">
        <f aca="false">IF(D223="","",(I223+M223)/2)</f>
        <v>1.21783812158372</v>
      </c>
      <c r="O223" s="16" t="n">
        <f aca="false">IF(D223="","",G223*N223)</f>
        <v>0.220306916194496</v>
      </c>
      <c r="P223" s="16" t="n">
        <f aca="false">IF(D223="","",H223+E223-K223-O223)</f>
        <v>20.3597165352496</v>
      </c>
      <c r="Q223" s="16" t="n">
        <f aca="false">IF(D223="","",IF(P223&gt;=0,K223,MAX(0,K223+P223)))</f>
        <v>0.648</v>
      </c>
      <c r="R223" s="16" t="n">
        <f aca="false">IF(D223="","",Q223/$B$15)</f>
        <v>0.25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20.3597165352496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95.5855236396693</v>
      </c>
      <c r="Z223" s="18" t="n">
        <f aca="false">IF(D223="","",MAX(0,IF(P223&gt;=0,P223,IF(K223+P223&gt;=0,0,P223+K223))))</f>
        <v>20.3597165352496</v>
      </c>
      <c r="AA223" s="18" t="n">
        <f aca="false">IF(D223="","",IF(H223&lt;=$B$16,1,IF(H223&gt;=$B$17,$B$21,MATCH(H223,Aux_CAV!$A$2:$A$121,1))))</f>
        <v>7</v>
      </c>
      <c r="AB223" s="18" t="n">
        <f aca="false">IF(D223="","",IF(L223&lt;=$B$16,1,IF(L223&gt;=$B$17,$B$21,MATCH(L223,Aux_CAV!$A$2:$A$121,1))))</f>
        <v>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0.0705458629794718</v>
      </c>
      <c r="E224" s="16" t="n">
        <f aca="false">IF(D224="","",D224*$B$15)</f>
        <v>0.182854876842791</v>
      </c>
      <c r="F224" s="16" t="n">
        <f aca="false" t="array" ref="F224:F224">IF(D224="","",IFERROR(INDEX(Dados_Evap!$C$2:$N$15,MATCH($B$9,Dados_Evap!$A$2:$A$15,0),C224),0))</f>
        <v>208.9</v>
      </c>
      <c r="G224" s="16" t="n">
        <f aca="false">IF(F224="","",F224/1000)</f>
        <v>0.2089</v>
      </c>
      <c r="H224" s="16" t="n">
        <f aca="false">IF(D224="","",MAX(0,MIN($B$8,IFERROR(LOOKUP(2,1/($U$24:U223&lt;&gt;""),$U$24:U223),$B$11))))</f>
        <v>20.3597165352496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1.21233287853287</v>
      </c>
      <c r="J224" s="16" t="n">
        <f aca="false">IF(D224="","",$B$12)</f>
        <v>0.25</v>
      </c>
      <c r="K224" s="16" t="n">
        <f aca="false">IF(J224="","",J224*$B$15)</f>
        <v>0.648</v>
      </c>
      <c r="L224" s="16" t="n">
        <f aca="false">IF(D224="","",H224+E224-K224-G224*I224)</f>
        <v>19.6413150737668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1.19883472998727</v>
      </c>
      <c r="N224" s="16" t="n">
        <f aca="false">IF(D224="","",(I224+M224)/2)</f>
        <v>1.20558380426007</v>
      </c>
      <c r="O224" s="16" t="n">
        <f aca="false">IF(D224="","",G224*N224)</f>
        <v>0.251846456709929</v>
      </c>
      <c r="P224" s="16" t="n">
        <f aca="false">IF(D224="","",H224+E224-K224-O224)</f>
        <v>19.6427249553824</v>
      </c>
      <c r="Q224" s="16" t="n">
        <f aca="false">IF(D224="","",IF(P224&gt;=0,K224,MAX(0,K224+P224)))</f>
        <v>0.648</v>
      </c>
      <c r="R224" s="16" t="n">
        <f aca="false">IF(D224="","",Q224/$B$15)</f>
        <v>0.25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19.6427249553824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92.2193659877109</v>
      </c>
      <c r="Z224" s="18" t="n">
        <f aca="false">IF(D224="","",MAX(0,IF(P224&gt;=0,P224,IF(K224+P224&gt;=0,0,P224+K224))))</f>
        <v>19.6427249553824</v>
      </c>
      <c r="AA224" s="18" t="n">
        <f aca="false">IF(D224="","",IF(H224&lt;=$B$16,1,IF(H224&gt;=$B$17,$B$21,MATCH(H224,Aux_CAV!$A$2:$A$121,1))))</f>
        <v>7</v>
      </c>
      <c r="AB224" s="18" t="n">
        <f aca="false">IF(D224="","",IF(L224&lt;=$B$16,1,IF(L224&gt;=$B$17,$B$21,MATCH(L224,Aux_CAV!$A$2:$A$121,1))))</f>
        <v>7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0.0412463193129344</v>
      </c>
      <c r="E225" s="16" t="n">
        <f aca="false">IF(D225="","",D225*$B$15)</f>
        <v>0.106910459659126</v>
      </c>
      <c r="F225" s="16" t="n">
        <f aca="false" t="array" ref="F225:F225">IF(D225="","",IFERROR(INDEX(Dados_Evap!$C$2:$N$15,MATCH($B$9,Dados_Evap!$A$2:$A$15,0),C225),0))</f>
        <v>235.9</v>
      </c>
      <c r="G225" s="16" t="n">
        <f aca="false">IF(F225="","",F225/1000)</f>
        <v>0.2359</v>
      </c>
      <c r="H225" s="16" t="n">
        <f aca="false">IF(D225="","",MAX(0,MIN($B$8,IFERROR(LOOKUP(2,1/($U$24:U224&lt;&gt;""),$U$24:U224),$B$11))))</f>
        <v>19.6427249553824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1.19886122045604</v>
      </c>
      <c r="J225" s="16" t="n">
        <f aca="false">IF(D225="","",$B$12)</f>
        <v>0.25</v>
      </c>
      <c r="K225" s="16" t="n">
        <f aca="false">IF(J225="","",J225*$B$15)</f>
        <v>0.648</v>
      </c>
      <c r="L225" s="16" t="n">
        <f aca="false">IF(D225="","",H225+E225-K225-G225*I225)</f>
        <v>18.818824053136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1.18338082772072</v>
      </c>
      <c r="N225" s="16" t="n">
        <f aca="false">IF(D225="","",(I225+M225)/2)</f>
        <v>1.19112102408838</v>
      </c>
      <c r="O225" s="16" t="n">
        <f aca="false">IF(D225="","",G225*N225)</f>
        <v>0.280985449582448</v>
      </c>
      <c r="P225" s="16" t="n">
        <f aca="false">IF(D225="","",H225+E225-K225-O225)</f>
        <v>18.8206499654591</v>
      </c>
      <c r="Q225" s="16" t="n">
        <f aca="false">IF(D225="","",IF(P225&gt;=0,K225,MAX(0,K225+P225)))</f>
        <v>0.648</v>
      </c>
      <c r="R225" s="16" t="n">
        <f aca="false">IF(D225="","",Q225/$B$15)</f>
        <v>0.25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18.8206499654591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88.3598589927658</v>
      </c>
      <c r="Z225" s="18" t="n">
        <f aca="false">IF(D225="","",MAX(0,IF(P225&gt;=0,P225,IF(K225+P225&gt;=0,0,P225+K225))))</f>
        <v>18.8206499654591</v>
      </c>
      <c r="AA225" s="18" t="n">
        <f aca="false">IF(D225="","",IF(H225&lt;=$B$16,1,IF(H225&gt;=$B$17,$B$21,MATCH(H225,Aux_CAV!$A$2:$A$121,1))))</f>
        <v>7</v>
      </c>
      <c r="AB225" s="18" t="n">
        <f aca="false">IF(D225="","",IF(L225&lt;=$B$16,1,IF(L225&gt;=$B$17,$B$21,MATCH(L225,Aux_CAV!$A$2:$A$121,1))))</f>
        <v>7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0.0238355466359042</v>
      </c>
      <c r="E226" s="16" t="n">
        <f aca="false">IF(D226="","",D226*$B$15)</f>
        <v>0.0617817368802637</v>
      </c>
      <c r="F226" s="16" t="n">
        <f aca="false" t="array" ref="F226:F226">IF(D226="","",IFERROR(INDEX(Dados_Evap!$C$2:$N$15,MATCH($B$9,Dados_Evap!$A$2:$A$15,0),C226),0))</f>
        <v>225.9</v>
      </c>
      <c r="G226" s="16" t="n">
        <f aca="false">IF(F226="","",F226/1000)</f>
        <v>0.2259</v>
      </c>
      <c r="H226" s="16" t="n">
        <f aca="false">IF(D226="","",MAX(0,MIN($B$8,IFERROR(LOOKUP(2,1/($U$24:U225&lt;&gt;""),$U$24:U225),$B$11))))</f>
        <v>18.8206499654591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1.18341513505038</v>
      </c>
      <c r="J226" s="16" t="n">
        <f aca="false">IF(D226="","",$B$12)</f>
        <v>0.25</v>
      </c>
      <c r="K226" s="16" t="n">
        <f aca="false">IF(J226="","",J226*$B$15)</f>
        <v>0.648</v>
      </c>
      <c r="L226" s="16" t="n">
        <f aca="false">IF(D226="","",H226+E226-K226-G226*I226)</f>
        <v>17.9670982233315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1.16737762841333</v>
      </c>
      <c r="N226" s="16" t="n">
        <f aca="false">IF(D226="","",(I226+M226)/2)</f>
        <v>1.17539638173185</v>
      </c>
      <c r="O226" s="16" t="n">
        <f aca="false">IF(D226="","",G226*N226)</f>
        <v>0.265522042633226</v>
      </c>
      <c r="P226" s="16" t="n">
        <f aca="false">IF(D226="","",H226+E226-K226-O226)</f>
        <v>17.9689096597061</v>
      </c>
      <c r="Q226" s="16" t="n">
        <f aca="false">IF(D226="","",IF(P226&gt;=0,K226,MAX(0,K226+P226)))</f>
        <v>0.648</v>
      </c>
      <c r="R226" s="16" t="n">
        <f aca="false">IF(D226="","",Q226/$B$15)</f>
        <v>0.25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17.9689096597061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84.3610782145828</v>
      </c>
      <c r="Z226" s="18" t="n">
        <f aca="false">IF(D226="","",MAX(0,IF(P226&gt;=0,P226,IF(K226+P226&gt;=0,0,P226+K226))))</f>
        <v>17.9689096597061</v>
      </c>
      <c r="AA226" s="18" t="n">
        <f aca="false">IF(D226="","",IF(H226&lt;=$B$16,1,IF(H226&gt;=$B$17,$B$21,MATCH(H226,Aux_CAV!$A$2:$A$121,1))))</f>
        <v>7</v>
      </c>
      <c r="AB226" s="18" t="n">
        <f aca="false">IF(D226="","",IF(L226&lt;=$B$16,1,IF(L226&gt;=$B$17,$B$21,MATCH(L226,Aux_CAV!$A$2:$A$121,1))))</f>
        <v>7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0.0181081768711901</v>
      </c>
      <c r="E227" s="16" t="n">
        <f aca="false">IF(D227="","",D227*$B$15)</f>
        <v>0.0469363944501247</v>
      </c>
      <c r="F227" s="16" t="n">
        <f aca="false" t="array" ref="F227:F227">IF(D227="","",IFERROR(INDEX(Dados_Evap!$C$2:$N$15,MATCH($B$9,Dados_Evap!$A$2:$A$15,0),C227),0))</f>
        <v>206</v>
      </c>
      <c r="G227" s="16" t="n">
        <f aca="false">IF(F227="","",F227/1000)</f>
        <v>0.206</v>
      </c>
      <c r="H227" s="16" t="n">
        <f aca="false">IF(D227="","",MAX(0,MIN($B$8,IFERROR(LOOKUP(2,1/($U$24:U226&lt;&gt;""),$U$24:U226),$B$11))))</f>
        <v>17.9689096597061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1.16741166375231</v>
      </c>
      <c r="J227" s="16" t="n">
        <f aca="false">IF(D227="","",$B$12)</f>
        <v>0.25</v>
      </c>
      <c r="K227" s="16" t="n">
        <f aca="false">IF(J227="","",J227*$B$15)</f>
        <v>0.648</v>
      </c>
      <c r="L227" s="16" t="n">
        <f aca="false">IF(D227="","",H227+E227-K227-G227*I227)</f>
        <v>17.1273592514233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1.15159965190566</v>
      </c>
      <c r="N227" s="16" t="n">
        <f aca="false">IF(D227="","",(I227+M227)/2)</f>
        <v>1.15950565782898</v>
      </c>
      <c r="O227" s="16" t="n">
        <f aca="false">IF(D227="","",G227*N227)</f>
        <v>0.23885816551277</v>
      </c>
      <c r="P227" s="16" t="n">
        <f aca="false">IF(D227="","",H227+E227-K227-O227)</f>
        <v>17.1289878886435</v>
      </c>
      <c r="Q227" s="16" t="n">
        <f aca="false">IF(D227="","",IF(P227&gt;=0,K227,MAX(0,K227+P227)))</f>
        <v>0.648</v>
      </c>
      <c r="R227" s="16" t="n">
        <f aca="false">IF(D227="","",Q227/$B$15)</f>
        <v>0.25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17.1289878886435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80.4177835147582</v>
      </c>
      <c r="Z227" s="18" t="n">
        <f aca="false">IF(D227="","",MAX(0,IF(P227&gt;=0,P227,IF(K227+P227&gt;=0,0,P227+K227))))</f>
        <v>17.1289878886435</v>
      </c>
      <c r="AA227" s="18" t="n">
        <f aca="false">IF(D227="","",IF(H227&lt;=$B$16,1,IF(H227&gt;=$B$17,$B$21,MATCH(H227,Aux_CAV!$A$2:$A$121,1))))</f>
        <v>7</v>
      </c>
      <c r="AB227" s="18" t="n">
        <f aca="false">IF(D227="","",IF(L227&lt;=$B$16,1,IF(L227&gt;=$B$17,$B$21,MATCH(L227,Aux_CAV!$A$2:$A$121,1))))</f>
        <v>7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0.419517577787685</v>
      </c>
      <c r="E228" s="16" t="n">
        <f aca="false">IF(D228="","",D228*$B$15)</f>
        <v>1.08738956162568</v>
      </c>
      <c r="F228" s="16" t="n">
        <f aca="false" t="array" ref="F228:F228">IF(D228="","",IFERROR(INDEX(Dados_Evap!$C$2:$N$15,MATCH($B$9,Dados_Evap!$A$2:$A$15,0),C228),0))</f>
        <v>165.6</v>
      </c>
      <c r="G228" s="16" t="n">
        <f aca="false">IF(F228="","",F228/1000)</f>
        <v>0.1656</v>
      </c>
      <c r="H228" s="16" t="n">
        <f aca="false">IF(D228="","",MAX(0,MIN($B$8,IFERROR(LOOKUP(2,1/($U$24:U227&lt;&gt;""),$U$24:U227),$B$11))))</f>
        <v>17.1289878886435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1.15163025260499</v>
      </c>
      <c r="J228" s="16" t="n">
        <f aca="false">IF(D228="","",$B$12)</f>
        <v>0.25</v>
      </c>
      <c r="K228" s="16" t="n">
        <f aca="false">IF(J228="","",J228*$B$15)</f>
        <v>0.648</v>
      </c>
      <c r="L228" s="16" t="n">
        <f aca="false">IF(D228="","",H228+E228-K228-G228*I228)</f>
        <v>17.3776674804378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1.15630272927754</v>
      </c>
      <c r="N228" s="16" t="n">
        <f aca="false">IF(D228="","",(I228+M228)/2)</f>
        <v>1.15396649094126</v>
      </c>
      <c r="O228" s="16" t="n">
        <f aca="false">IF(D228="","",G228*N228)</f>
        <v>0.191096850899873</v>
      </c>
      <c r="P228" s="16" t="n">
        <f aca="false">IF(D228="","",H228+E228-K228-O228)</f>
        <v>17.3772805993693</v>
      </c>
      <c r="Q228" s="16" t="n">
        <f aca="false">IF(D228="","",IF(P228&gt;=0,K228,MAX(0,K228+P228)))</f>
        <v>0.648</v>
      </c>
      <c r="R228" s="16" t="n">
        <f aca="false">IF(D228="","",Q228/$B$15)</f>
        <v>0.25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17.3772805993693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81.5834769923442</v>
      </c>
      <c r="Z228" s="18" t="n">
        <f aca="false">IF(D228="","",MAX(0,IF(P228&gt;=0,P228,IF(K228+P228&gt;=0,0,P228+K228))))</f>
        <v>17.3772805993693</v>
      </c>
      <c r="AA228" s="18" t="n">
        <f aca="false">IF(D228="","",IF(H228&lt;=$B$16,1,IF(H228&gt;=$B$17,$B$21,MATCH(H228,Aux_CAV!$A$2:$A$121,1))))</f>
        <v>7</v>
      </c>
      <c r="AB228" s="18" t="n">
        <f aca="false">IF(D228="","",IF(L228&lt;=$B$16,1,IF(L228&gt;=$B$17,$B$21,MATCH(L228,Aux_CAV!$A$2:$A$121,1))))</f>
        <v>7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0.990242615245332</v>
      </c>
      <c r="E229" s="16" t="n">
        <f aca="false">IF(D229="","",D229*$B$15)</f>
        <v>2.5667088587159</v>
      </c>
      <c r="F229" s="16" t="n">
        <f aca="false" t="array" ref="F229:F229">IF(D229="","",IFERROR(INDEX(Dados_Evap!$C$2:$N$15,MATCH($B$9,Dados_Evap!$A$2:$A$15,0),C229),0))</f>
        <v>124.9</v>
      </c>
      <c r="G229" s="16" t="n">
        <f aca="false">IF(F229="","",F229/1000)</f>
        <v>0.1249</v>
      </c>
      <c r="H229" s="16" t="n">
        <f aca="false">IF(D229="","",MAX(0,MIN($B$8,IFERROR(LOOKUP(2,1/($U$24:U228&lt;&gt;""),$U$24:U228),$B$11))))</f>
        <v>17.3772805993693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1.15629546011341</v>
      </c>
      <c r="J229" s="16" t="n">
        <f aca="false">IF(D229="","",$B$12)</f>
        <v>0.25</v>
      </c>
      <c r="K229" s="16" t="n">
        <f aca="false">IF(J229="","",J229*$B$15)</f>
        <v>0.648</v>
      </c>
      <c r="L229" s="16" t="n">
        <f aca="false">IF(D229="","",H229+E229-K229-G229*I229)</f>
        <v>19.151568155117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1.18963280458466</v>
      </c>
      <c r="N229" s="16" t="n">
        <f aca="false">IF(D229="","",(I229+M229)/2)</f>
        <v>1.17296413234904</v>
      </c>
      <c r="O229" s="16" t="n">
        <f aca="false">IF(D229="","",G229*N229)</f>
        <v>0.146503220130395</v>
      </c>
      <c r="P229" s="16" t="n">
        <f aca="false">IF(D229="","",H229+E229-K229-O229)</f>
        <v>19.1494862379548</v>
      </c>
      <c r="Q229" s="16" t="n">
        <f aca="false">IF(D229="","",IF(P229&gt;=0,K229,MAX(0,K229+P229)))</f>
        <v>0.648</v>
      </c>
      <c r="R229" s="16" t="n">
        <f aca="false">IF(D229="","",Q229/$B$15)</f>
        <v>0.25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19.1494862379548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89.9036912580038</v>
      </c>
      <c r="Z229" s="18" t="n">
        <f aca="false">IF(D229="","",MAX(0,IF(P229&gt;=0,P229,IF(K229+P229&gt;=0,0,P229+K229))))</f>
        <v>19.1494862379548</v>
      </c>
      <c r="AA229" s="18" t="n">
        <f aca="false">IF(D229="","",IF(H229&lt;=$B$16,1,IF(H229&gt;=$B$17,$B$21,MATCH(H229,Aux_CAV!$A$2:$A$121,1))))</f>
        <v>7</v>
      </c>
      <c r="AB229" s="18" t="n">
        <f aca="false">IF(D229="","",IF(L229&lt;=$B$16,1,IF(L229&gt;=$B$17,$B$21,MATCH(L229,Aux_CAV!$A$2:$A$121,1))))</f>
        <v>7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1.93008182591126</v>
      </c>
      <c r="E230" s="16" t="n">
        <f aca="false">IF(D230="","",D230*$B$15)</f>
        <v>5.00277209276199</v>
      </c>
      <c r="F230" s="16" t="n">
        <f aca="false" t="array" ref="F230:F230">IF(D230="","",IFERROR(INDEX(Dados_Evap!$C$2:$N$15,MATCH($B$9,Dados_Evap!$A$2:$A$15,0),C230),0))</f>
        <v>88.2</v>
      </c>
      <c r="G230" s="16" t="n">
        <f aca="false">IF(F230="","",F230/1000)</f>
        <v>0.0882</v>
      </c>
      <c r="H230" s="16" t="n">
        <f aca="false">IF(D230="","",MAX(0,MIN($B$8,IFERROR(LOOKUP(2,1/($U$24:U229&lt;&gt;""),$U$24:U229),$B$11))))</f>
        <v>19.1494862379548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1.1895936871432</v>
      </c>
      <c r="J230" s="16" t="n">
        <f aca="false">IF(D230="","",$B$12)</f>
        <v>0.25</v>
      </c>
      <c r="K230" s="16" t="n">
        <f aca="false">IF(J230="","",J230*$B$15)</f>
        <v>0.648</v>
      </c>
      <c r="L230" s="16" t="n">
        <f aca="false">IF(D230="","",H230+E230-K230-G230*I230)</f>
        <v>23.3993361675108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1.27157328137957</v>
      </c>
      <c r="N230" s="16" t="n">
        <f aca="false">IF(D230="","",(I230+M230)/2)</f>
        <v>1.23058348426138</v>
      </c>
      <c r="O230" s="16" t="n">
        <f aca="false">IF(D230="","",G230*N230)</f>
        <v>0.108537463311854</v>
      </c>
      <c r="P230" s="16" t="n">
        <f aca="false">IF(D230="","",H230+E230-K230-O230)</f>
        <v>23.3957208674049</v>
      </c>
      <c r="Q230" s="16" t="n">
        <f aca="false">IF(D230="","",IF(P230&gt;=0,K230,MAX(0,K230+P230)))</f>
        <v>0.648</v>
      </c>
      <c r="R230" s="16" t="n">
        <f aca="false">IF(D230="","",Q230/$B$15)</f>
        <v>0.25</v>
      </c>
      <c r="S230" s="16" t="n">
        <f aca="false">IF(D230="","",MAX(0,J230-R230))</f>
        <v>0</v>
      </c>
      <c r="T230" s="16" t="n">
        <f aca="false">IF(D230="","",MAX(0,Z230-$B$8))</f>
        <v>2.09572086740494</v>
      </c>
      <c r="U230" s="16" t="n">
        <f aca="false">IF(D230="","",MAX(0,MIN($B$8,Z230)))</f>
        <v>21.3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100</v>
      </c>
      <c r="Z230" s="18" t="n">
        <f aca="false">IF(D230="","",MAX(0,IF(P230&gt;=0,P230,IF(K230+P230&gt;=0,0,P230+K230))))</f>
        <v>23.3957208674049</v>
      </c>
      <c r="AA230" s="18" t="n">
        <f aca="false">IF(D230="","",IF(H230&lt;=$B$16,1,IF(H230&gt;=$B$17,$B$21,MATCH(H230,Aux_CAV!$A$2:$A$121,1))))</f>
        <v>7</v>
      </c>
      <c r="AB230" s="18" t="n">
        <f aca="false">IF(D230="","",IF(L230&lt;=$B$16,1,IF(L230&gt;=$B$17,$B$21,MATCH(L230,Aux_CAV!$A$2:$A$121,1))))</f>
        <v>9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4.69116599416166</v>
      </c>
      <c r="E231" s="16" t="n">
        <f aca="false">IF(D231="","",D231*$B$15)</f>
        <v>12.159502256867</v>
      </c>
      <c r="F231" s="16" t="n">
        <f aca="false" t="array" ref="F231:F231">IF(D231="","",IFERROR(INDEX(Dados_Evap!$C$2:$N$15,MATCH($B$9,Dados_Evap!$A$2:$A$15,0),C231),0))</f>
        <v>88.2</v>
      </c>
      <c r="G231" s="16" t="n">
        <f aca="false">IF(F231="","",F231/1000)</f>
        <v>0.0882</v>
      </c>
      <c r="H231" s="16" t="n">
        <f aca="false">IF(D231="","",MAX(0,MIN($B$8,IFERROR(LOOKUP(2,1/($U$24:U230&lt;&gt;""),$U$24:U230),$B$11))))</f>
        <v>21.3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1.23</v>
      </c>
      <c r="J231" s="16" t="n">
        <f aca="false">IF(D231="","",$B$12)</f>
        <v>0.25</v>
      </c>
      <c r="K231" s="16" t="n">
        <f aca="false">IF(J231="","",J231*$B$15)</f>
        <v>0.648</v>
      </c>
      <c r="L231" s="16" t="n">
        <f aca="false">IF(D231="","",H231+E231-K231-G231*I231)</f>
        <v>32.703016256867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1.45826524941075</v>
      </c>
      <c r="N231" s="16" t="n">
        <f aca="false">IF(D231="","",(I231+M231)/2)</f>
        <v>1.34413262470538</v>
      </c>
      <c r="O231" s="16" t="n">
        <f aca="false">IF(D231="","",G231*N231)</f>
        <v>0.118552497499014</v>
      </c>
      <c r="P231" s="16" t="n">
        <f aca="false">IF(D231="","",H231+E231-K231-O231)</f>
        <v>32.692949759368</v>
      </c>
      <c r="Q231" s="16" t="n">
        <f aca="false">IF(D231="","",IF(P231&gt;=0,K231,MAX(0,K231+P231)))</f>
        <v>0.648</v>
      </c>
      <c r="R231" s="16" t="n">
        <f aca="false">IF(D231="","",Q231/$B$15)</f>
        <v>0.25</v>
      </c>
      <c r="S231" s="16" t="n">
        <f aca="false">IF(D231="","",MAX(0,J231-R231))</f>
        <v>0</v>
      </c>
      <c r="T231" s="16" t="n">
        <f aca="false">IF(D231="","",MAX(0,Z231-$B$8))</f>
        <v>11.392949759368</v>
      </c>
      <c r="U231" s="16" t="n">
        <f aca="false">IF(D231="","",MAX(0,MIN($B$8,Z231)))</f>
        <v>21.3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32.692949759368</v>
      </c>
      <c r="AA231" s="18" t="n">
        <f aca="false">IF(D231="","",IF(H231&lt;=$B$16,1,IF(H231&gt;=$B$17,$B$21,MATCH(H231,Aux_CAV!$A$2:$A$121,1))))</f>
        <v>8</v>
      </c>
      <c r="AB231" s="18" t="n">
        <f aca="false">IF(D231="","",IF(L231&lt;=$B$16,1,IF(L231&gt;=$B$17,$B$21,MATCH(L231,Aux_CAV!$A$2:$A$121,1))))</f>
        <v>10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2.19127326334812</v>
      </c>
      <c r="E232" s="16" t="n">
        <f aca="false">IF(D232="","",D232*$B$15)</f>
        <v>5.67978029859833</v>
      </c>
      <c r="F232" s="16" t="n">
        <f aca="false" t="array" ref="F232:F232">IF(D232="","",IFERROR(INDEX(Dados_Evap!$C$2:$N$15,MATCH($B$9,Dados_Evap!$A$2:$A$15,0),C232),0))</f>
        <v>83.9</v>
      </c>
      <c r="G232" s="16" t="n">
        <f aca="false">IF(F232="","",F232/1000)</f>
        <v>0.0839</v>
      </c>
      <c r="H232" s="16" t="n">
        <f aca="false">IF(D232="","",MAX(0,MIN($B$8,IFERROR(LOOKUP(2,1/($U$24:U231&lt;&gt;""),$U$24:U231),$B$11))))</f>
        <v>21.3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1.23</v>
      </c>
      <c r="J232" s="16" t="n">
        <f aca="false">IF(D232="","",$B$12)</f>
        <v>0.25</v>
      </c>
      <c r="K232" s="16" t="n">
        <f aca="false">IF(J232="","",J232*$B$15)</f>
        <v>0.648</v>
      </c>
      <c r="L232" s="16" t="n">
        <f aca="false">IF(D232="","",H232+E232-K232-G232*I232)</f>
        <v>26.2285832985983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1.3394412785271</v>
      </c>
      <c r="N232" s="16" t="n">
        <f aca="false">IF(D232="","",(I232+M232)/2)</f>
        <v>1.28472063926355</v>
      </c>
      <c r="O232" s="16" t="n">
        <f aca="false">IF(D232="","",G232*N232)</f>
        <v>0.107788061634212</v>
      </c>
      <c r="P232" s="16" t="n">
        <f aca="false">IF(D232="","",H232+E232-K232-O232)</f>
        <v>26.2239922369641</v>
      </c>
      <c r="Q232" s="16" t="n">
        <f aca="false">IF(D232="","",IF(P232&gt;=0,K232,MAX(0,K232+P232)))</f>
        <v>0.648</v>
      </c>
      <c r="R232" s="16" t="n">
        <f aca="false">IF(D232="","",Q232/$B$15)</f>
        <v>0.25</v>
      </c>
      <c r="S232" s="16" t="n">
        <f aca="false">IF(D232="","",MAX(0,J232-R232))</f>
        <v>0</v>
      </c>
      <c r="T232" s="16" t="n">
        <f aca="false">IF(D232="","",MAX(0,Z232-$B$8))</f>
        <v>4.92399223696412</v>
      </c>
      <c r="U232" s="16" t="n">
        <f aca="false">IF(D232="","",MAX(0,MIN($B$8,Z232)))</f>
        <v>21.3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26.2239922369641</v>
      </c>
      <c r="AA232" s="18" t="n">
        <f aca="false">IF(D232="","",IF(H232&lt;=$B$16,1,IF(H232&gt;=$B$17,$B$21,MATCH(H232,Aux_CAV!$A$2:$A$121,1))))</f>
        <v>8</v>
      </c>
      <c r="AB232" s="18" t="n">
        <f aca="false">IF(D232="","",IF(L232&lt;=$B$16,1,IF(L232&gt;=$B$17,$B$21,MATCH(L232,Aux_CAV!$A$2:$A$121,1))))</f>
        <v>9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2.06674185958383</v>
      </c>
      <c r="E233" s="16" t="n">
        <f aca="false">IF(D233="","",D233*$B$15)</f>
        <v>5.35699490004129</v>
      </c>
      <c r="F233" s="16" t="n">
        <f aca="false" t="array" ref="F233:F233">IF(D233="","",IFERROR(INDEX(Dados_Evap!$C$2:$N$15,MATCH($B$9,Dados_Evap!$A$2:$A$15,0),C233),0))</f>
        <v>104.7</v>
      </c>
      <c r="G233" s="16" t="n">
        <f aca="false">IF(F233="","",F233/1000)</f>
        <v>0.1047</v>
      </c>
      <c r="H233" s="16" t="n">
        <f aca="false">IF(D233="","",MAX(0,MIN($B$8,IFERROR(LOOKUP(2,1/($U$24:U232&lt;&gt;""),$U$24:U232),$B$11))))</f>
        <v>21.3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1.23</v>
      </c>
      <c r="J233" s="16" t="n">
        <f aca="false">IF(D233="","",$B$12)</f>
        <v>0.25</v>
      </c>
      <c r="K233" s="16" t="n">
        <f aca="false">IF(J233="","",J233*$B$15)</f>
        <v>0.648</v>
      </c>
      <c r="L233" s="16" t="n">
        <f aca="false">IF(D233="","",H233+E233-K233-G233*I233)</f>
        <v>25.8802139000413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1.33108459130534</v>
      </c>
      <c r="N233" s="16" t="n">
        <f aca="false">IF(D233="","",(I233+M233)/2)</f>
        <v>1.28054229565267</v>
      </c>
      <c r="O233" s="16" t="n">
        <f aca="false">IF(D233="","",G233*N233)</f>
        <v>0.134072778354834</v>
      </c>
      <c r="P233" s="16" t="n">
        <f aca="false">IF(D233="","",H233+E233-K233-O233)</f>
        <v>25.8749221216865</v>
      </c>
      <c r="Q233" s="16" t="n">
        <f aca="false">IF(D233="","",IF(P233&gt;=0,K233,MAX(0,K233+P233)))</f>
        <v>0.648</v>
      </c>
      <c r="R233" s="16" t="n">
        <f aca="false">IF(D233="","",Q233/$B$15)</f>
        <v>0.25</v>
      </c>
      <c r="S233" s="16" t="n">
        <f aca="false">IF(D233="","",MAX(0,J233-R233))</f>
        <v>0</v>
      </c>
      <c r="T233" s="16" t="n">
        <f aca="false">IF(D233="","",MAX(0,Z233-$B$8))</f>
        <v>4.57492212168645</v>
      </c>
      <c r="U233" s="16" t="n">
        <f aca="false">IF(D233="","",MAX(0,MIN($B$8,Z233)))</f>
        <v>21.3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25.8749221216865</v>
      </c>
      <c r="AA233" s="18" t="n">
        <f aca="false">IF(D233="","",IF(H233&lt;=$B$16,1,IF(H233&gt;=$B$17,$B$21,MATCH(H233,Aux_CAV!$A$2:$A$121,1))))</f>
        <v>8</v>
      </c>
      <c r="AB233" s="18" t="n">
        <f aca="false">IF(D233="","",IF(L233&lt;=$B$16,1,IF(L233&gt;=$B$17,$B$21,MATCH(L233,Aux_CAV!$A$2:$A$121,1))))</f>
        <v>9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0.98907447931901</v>
      </c>
      <c r="E234" s="16" t="n">
        <f aca="false">IF(D234="","",D234*$B$15)</f>
        <v>2.56368105039487</v>
      </c>
      <c r="F234" s="16" t="n">
        <f aca="false" t="array" ref="F234:F234">IF(D234="","",IFERROR(INDEX(Dados_Evap!$C$2:$N$15,MATCH($B$9,Dados_Evap!$A$2:$A$15,0),C234),0))</f>
        <v>145.2</v>
      </c>
      <c r="G234" s="16" t="n">
        <f aca="false">IF(F234="","",F234/1000)</f>
        <v>0.1452</v>
      </c>
      <c r="H234" s="16" t="n">
        <f aca="false">IF(D234="","",MAX(0,MIN($B$8,IFERROR(LOOKUP(2,1/($U$24:U233&lt;&gt;""),$U$24:U233),$B$11))))</f>
        <v>21.3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1.23</v>
      </c>
      <c r="J234" s="16" t="n">
        <f aca="false">IF(D234="","",$B$12)</f>
        <v>0.25</v>
      </c>
      <c r="K234" s="16" t="n">
        <f aca="false">IF(J234="","",J234*$B$15)</f>
        <v>0.648</v>
      </c>
      <c r="L234" s="16" t="n">
        <f aca="false">IF(D234="","",H234+E234-K234-G234*I234)</f>
        <v>23.0370850503949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1.26288359940977</v>
      </c>
      <c r="N234" s="16" t="n">
        <f aca="false">IF(D234="","",(I234+M234)/2)</f>
        <v>1.24644179970489</v>
      </c>
      <c r="O234" s="16" t="n">
        <f aca="false">IF(D234="","",G234*N234)</f>
        <v>0.180983349317149</v>
      </c>
      <c r="P234" s="16" t="n">
        <f aca="false">IF(D234="","",H234+E234-K234-O234)</f>
        <v>23.0346977010777</v>
      </c>
      <c r="Q234" s="16" t="n">
        <f aca="false">IF(D234="","",IF(P234&gt;=0,K234,MAX(0,K234+P234)))</f>
        <v>0.648</v>
      </c>
      <c r="R234" s="16" t="n">
        <f aca="false">IF(D234="","",Q234/$B$15)</f>
        <v>0.25</v>
      </c>
      <c r="S234" s="16" t="n">
        <f aca="false">IF(D234="","",MAX(0,J234-R234))</f>
        <v>0</v>
      </c>
      <c r="T234" s="16" t="n">
        <f aca="false">IF(D234="","",MAX(0,Z234-$B$8))</f>
        <v>1.73469770107772</v>
      </c>
      <c r="U234" s="16" t="n">
        <f aca="false">IF(D234="","",MAX(0,MIN($B$8,Z234)))</f>
        <v>21.3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23.0346977010777</v>
      </c>
      <c r="AA234" s="18" t="n">
        <f aca="false">IF(D234="","",IF(H234&lt;=$B$16,1,IF(H234&gt;=$B$17,$B$21,MATCH(H234,Aux_CAV!$A$2:$A$121,1))))</f>
        <v>8</v>
      </c>
      <c r="AB234" s="18" t="n">
        <f aca="false">IF(D234="","",IF(L234&lt;=$B$16,1,IF(L234&gt;=$B$17,$B$21,MATCH(L234,Aux_CAV!$A$2:$A$121,1))))</f>
        <v>9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0.329023543167508</v>
      </c>
      <c r="E235" s="16" t="n">
        <f aca="false">IF(D235="","",D235*$B$15)</f>
        <v>0.852829023890181</v>
      </c>
      <c r="F235" s="16" t="n">
        <f aca="false" t="array" ref="F235:F235">IF(D235="","",IFERROR(INDEX(Dados_Evap!$C$2:$N$15,MATCH($B$9,Dados_Evap!$A$2:$A$15,0),C235),0))</f>
        <v>180.9</v>
      </c>
      <c r="G235" s="16" t="n">
        <f aca="false">IF(F235="","",F235/1000)</f>
        <v>0.1809</v>
      </c>
      <c r="H235" s="16" t="n">
        <f aca="false">IF(D235="","",MAX(0,MIN($B$8,IFERROR(LOOKUP(2,1/($U$24:U234&lt;&gt;""),$U$24:U234),$B$11))))</f>
        <v>21.3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1.23</v>
      </c>
      <c r="J235" s="16" t="n">
        <f aca="false">IF(D235="","",$B$12)</f>
        <v>0.25</v>
      </c>
      <c r="K235" s="16" t="n">
        <f aca="false">IF(J235="","",J235*$B$15)</f>
        <v>0.648</v>
      </c>
      <c r="L235" s="16" t="n">
        <f aca="false">IF(D235="","",H235+E235-K235-G235*I235)</f>
        <v>21.2823220238902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1.22966784596036</v>
      </c>
      <c r="N235" s="16" t="n">
        <f aca="false">IF(D235="","",(I235+M235)/2)</f>
        <v>1.22983392298018</v>
      </c>
      <c r="O235" s="16" t="n">
        <f aca="false">IF(D235="","",G235*N235)</f>
        <v>0.222476956667114</v>
      </c>
      <c r="P235" s="16" t="n">
        <f aca="false">IF(D235="","",H235+E235-K235-O235)</f>
        <v>21.2823520672231</v>
      </c>
      <c r="Q235" s="16" t="n">
        <f aca="false">IF(D235="","",IF(P235&gt;=0,K235,MAX(0,K235+P235)))</f>
        <v>0.648</v>
      </c>
      <c r="R235" s="16" t="n">
        <f aca="false">IF(D235="","",Q235/$B$15)</f>
        <v>0.25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21.2823520672231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99.9171458555074</v>
      </c>
      <c r="Z235" s="18" t="n">
        <f aca="false">IF(D235="","",MAX(0,IF(P235&gt;=0,P235,IF(K235+P235&gt;=0,0,P235+K235))))</f>
        <v>21.2823520672231</v>
      </c>
      <c r="AA235" s="18" t="n">
        <f aca="false">IF(D235="","",IF(H235&lt;=$B$16,1,IF(H235&gt;=$B$17,$B$21,MATCH(H235,Aux_CAV!$A$2:$A$121,1))))</f>
        <v>8</v>
      </c>
      <c r="AB235" s="18" t="n">
        <f aca="false">IF(D235="","",IF(L235&lt;=$B$16,1,IF(L235&gt;=$B$17,$B$21,MATCH(L235,Aux_CAV!$A$2:$A$121,1))))</f>
        <v>7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0.23136887278776</v>
      </c>
      <c r="E236" s="16" t="n">
        <f aca="false">IF(D236="","",D236*$B$15)</f>
        <v>0.599708118265874</v>
      </c>
      <c r="F236" s="16" t="n">
        <f aca="false" t="array" ref="F236:F236">IF(D236="","",IFERROR(INDEX(Dados_Evap!$C$2:$N$15,MATCH($B$9,Dados_Evap!$A$2:$A$15,0),C236),0))</f>
        <v>208.9</v>
      </c>
      <c r="G236" s="16" t="n">
        <f aca="false">IF(F236="","",F236/1000)</f>
        <v>0.2089</v>
      </c>
      <c r="H236" s="16" t="n">
        <f aca="false">IF(D236="","",MAX(0,MIN($B$8,IFERROR(LOOKUP(2,1/($U$24:U235&lt;&gt;""),$U$24:U235),$B$11))))</f>
        <v>21.2823520672231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1.22966841044887</v>
      </c>
      <c r="J236" s="16" t="n">
        <f aca="false">IF(D236="","",$B$12)</f>
        <v>0.25</v>
      </c>
      <c r="K236" s="16" t="n">
        <f aca="false">IF(J236="","",J236*$B$15)</f>
        <v>0.648</v>
      </c>
      <c r="L236" s="16" t="n">
        <f aca="false">IF(D236="","",H236+E236-K236-G236*I236)</f>
        <v>20.9771824545462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1.22393453463657</v>
      </c>
      <c r="N236" s="16" t="n">
        <f aca="false">IF(D236="","",(I236+M236)/2)</f>
        <v>1.22680147254272</v>
      </c>
      <c r="O236" s="16" t="n">
        <f aca="false">IF(D236="","",G236*N236)</f>
        <v>0.256278827614174</v>
      </c>
      <c r="P236" s="16" t="n">
        <f aca="false">IF(D236="","",H236+E236-K236-O236)</f>
        <v>20.9777813578748</v>
      </c>
      <c r="Q236" s="16" t="n">
        <f aca="false">IF(D236="","",IF(P236&gt;=0,K236,MAX(0,K236+P236)))</f>
        <v>0.648</v>
      </c>
      <c r="R236" s="16" t="n">
        <f aca="false">IF(D236="","",Q236/$B$15)</f>
        <v>0.25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20.9777813578748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98.4872364219472</v>
      </c>
      <c r="Z236" s="18" t="n">
        <f aca="false">IF(D236="","",MAX(0,IF(P236&gt;=0,P236,IF(K236+P236&gt;=0,0,P236+K236))))</f>
        <v>20.9777813578748</v>
      </c>
      <c r="AA236" s="18" t="n">
        <f aca="false">IF(D236="","",IF(H236&lt;=$B$16,1,IF(H236&gt;=$B$17,$B$21,MATCH(H236,Aux_CAV!$A$2:$A$121,1))))</f>
        <v>7</v>
      </c>
      <c r="AB236" s="18" t="n">
        <f aca="false">IF(D236="","",IF(L236&lt;=$B$16,1,IF(L236&gt;=$B$17,$B$21,MATCH(L236,Aux_CAV!$A$2:$A$121,1))))</f>
        <v>7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0.138183557047962</v>
      </c>
      <c r="E237" s="16" t="n">
        <f aca="false">IF(D237="","",D237*$B$15)</f>
        <v>0.358171779868318</v>
      </c>
      <c r="F237" s="16" t="n">
        <f aca="false" t="array" ref="F237:F237">IF(D237="","",IFERROR(INDEX(Dados_Evap!$C$2:$N$15,MATCH($B$9,Dados_Evap!$A$2:$A$15,0),C237),0))</f>
        <v>235.9</v>
      </c>
      <c r="G237" s="16" t="n">
        <f aca="false">IF(F237="","",F237/1000)</f>
        <v>0.2359</v>
      </c>
      <c r="H237" s="16" t="n">
        <f aca="false">IF(D237="","",MAX(0,MIN($B$8,IFERROR(LOOKUP(2,1/($U$24:U236&lt;&gt;""),$U$24:U236),$B$11))))</f>
        <v>20.9777813578748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1.22394578751748</v>
      </c>
      <c r="J237" s="16" t="n">
        <f aca="false">IF(D237="","",$B$12)</f>
        <v>0.25</v>
      </c>
      <c r="K237" s="16" t="n">
        <f aca="false">IF(J237="","",J237*$B$15)</f>
        <v>0.648</v>
      </c>
      <c r="L237" s="16" t="n">
        <f aca="false">IF(D237="","",H237+E237-K237-G237*I237)</f>
        <v>20.3992243264677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1.21307519611317</v>
      </c>
      <c r="N237" s="16" t="n">
        <f aca="false">IF(D237="","",(I237+M237)/2)</f>
        <v>1.21851049181533</v>
      </c>
      <c r="O237" s="16" t="n">
        <f aca="false">IF(D237="","",G237*N237)</f>
        <v>0.287446625019235</v>
      </c>
      <c r="P237" s="16" t="n">
        <f aca="false">IF(D237="","",H237+E237-K237-O237)</f>
        <v>20.4005065127238</v>
      </c>
      <c r="Q237" s="16" t="n">
        <f aca="false">IF(D237="","",IF(P237&gt;=0,K237,MAX(0,K237+P237)))</f>
        <v>0.648</v>
      </c>
      <c r="R237" s="16" t="n">
        <f aca="false">IF(D237="","",Q237/$B$15)</f>
        <v>0.25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20.4005065127238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95.7770258813326</v>
      </c>
      <c r="Z237" s="18" t="n">
        <f aca="false">IF(D237="","",MAX(0,IF(P237&gt;=0,P237,IF(K237+P237&gt;=0,0,P237+K237))))</f>
        <v>20.4005065127238</v>
      </c>
      <c r="AA237" s="18" t="n">
        <f aca="false">IF(D237="","",IF(H237&lt;=$B$16,1,IF(H237&gt;=$B$17,$B$21,MATCH(H237,Aux_CAV!$A$2:$A$121,1))))</f>
        <v>7</v>
      </c>
      <c r="AB237" s="18" t="n">
        <f aca="false">IF(D237="","",IF(L237&lt;=$B$16,1,IF(L237&gt;=$B$17,$B$21,MATCH(L237,Aux_CAV!$A$2:$A$121,1))))</f>
        <v>7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0.0997758476139303</v>
      </c>
      <c r="E238" s="16" t="n">
        <f aca="false">IF(D238="","",D238*$B$15)</f>
        <v>0.258618997015307</v>
      </c>
      <c r="F238" s="16" t="n">
        <f aca="false" t="array" ref="F238:F238">IF(D238="","",IFERROR(INDEX(Dados_Evap!$C$2:$N$15,MATCH($B$9,Dados_Evap!$A$2:$A$15,0),C238),0))</f>
        <v>225.9</v>
      </c>
      <c r="G238" s="16" t="n">
        <f aca="false">IF(F238="","",F238/1000)</f>
        <v>0.2259</v>
      </c>
      <c r="H238" s="16" t="n">
        <f aca="false">IF(D238="","",MAX(0,MIN($B$8,IFERROR(LOOKUP(2,1/($U$24:U237&lt;&gt;""),$U$24:U237),$B$11))))</f>
        <v>20.4005065127238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1.21309928729544</v>
      </c>
      <c r="J238" s="16" t="n">
        <f aca="false">IF(D238="","",$B$12)</f>
        <v>0.25</v>
      </c>
      <c r="K238" s="16" t="n">
        <f aca="false">IF(J238="","",J238*$B$15)</f>
        <v>0.648</v>
      </c>
      <c r="L238" s="16" t="n">
        <f aca="false">IF(D238="","",H238+E238-K238-G238*I238)</f>
        <v>19.7370863807391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1.20063419086984</v>
      </c>
      <c r="N238" s="16" t="n">
        <f aca="false">IF(D238="","",(I238+M238)/2)</f>
        <v>1.20686673908264</v>
      </c>
      <c r="O238" s="16" t="n">
        <f aca="false">IF(D238="","",G238*N238)</f>
        <v>0.272631196358768</v>
      </c>
      <c r="P238" s="16" t="n">
        <f aca="false">IF(D238="","",H238+E238-K238-O238)</f>
        <v>19.7384943133804</v>
      </c>
      <c r="Q238" s="16" t="n">
        <f aca="false">IF(D238="","",IF(P238&gt;=0,K238,MAX(0,K238+P238)))</f>
        <v>0.648</v>
      </c>
      <c r="R238" s="16" t="n">
        <f aca="false">IF(D238="","",Q238/$B$15)</f>
        <v>0.25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19.7384943133804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92.6689873867624</v>
      </c>
      <c r="Z238" s="18" t="n">
        <f aca="false">IF(D238="","",MAX(0,IF(P238&gt;=0,P238,IF(K238+P238&gt;=0,0,P238+K238))))</f>
        <v>19.7384943133804</v>
      </c>
      <c r="AA238" s="18" t="n">
        <f aca="false">IF(D238="","",IF(H238&lt;=$B$16,1,IF(H238&gt;=$B$17,$B$21,MATCH(H238,Aux_CAV!$A$2:$A$121,1))))</f>
        <v>7</v>
      </c>
      <c r="AB238" s="18" t="n">
        <f aca="false">IF(D238="","",IF(L238&lt;=$B$16,1,IF(L238&gt;=$B$17,$B$21,MATCH(L238,Aux_CAV!$A$2:$A$121,1))))</f>
        <v>7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0.0602931109544253</v>
      </c>
      <c r="E239" s="16" t="n">
        <f aca="false">IF(D239="","",D239*$B$15)</f>
        <v>0.15627974359387</v>
      </c>
      <c r="F239" s="16" t="n">
        <f aca="false" t="array" ref="F239:F239">IF(D239="","",IFERROR(INDEX(Dados_Evap!$C$2:$N$15,MATCH($B$9,Dados_Evap!$A$2:$A$15,0),C239),0))</f>
        <v>206</v>
      </c>
      <c r="G239" s="16" t="n">
        <f aca="false">IF(F239="","",F239/1000)</f>
        <v>0.206</v>
      </c>
      <c r="H239" s="16" t="n">
        <f aca="false">IF(D239="","",MAX(0,MIN($B$8,IFERROR(LOOKUP(2,1/($U$24:U238&lt;&gt;""),$U$24:U238),$B$11))))</f>
        <v>19.7384943133804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1.20066064471905</v>
      </c>
      <c r="J239" s="16" t="n">
        <f aca="false">IF(D239="","",$B$12)</f>
        <v>0.25</v>
      </c>
      <c r="K239" s="16" t="n">
        <f aca="false">IF(J239="","",J239*$B$15)</f>
        <v>0.648</v>
      </c>
      <c r="L239" s="16" t="n">
        <f aca="false">IF(D239="","",H239+E239-K239-G239*I239)</f>
        <v>18.9994379641621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1.18677440851244</v>
      </c>
      <c r="N239" s="16" t="n">
        <f aca="false">IF(D239="","",(I239+M239)/2)</f>
        <v>1.19371752661574</v>
      </c>
      <c r="O239" s="16" t="n">
        <f aca="false">IF(D239="","",G239*N239)</f>
        <v>0.245905810482843</v>
      </c>
      <c r="P239" s="16" t="n">
        <f aca="false">IF(D239="","",H239+E239-K239-O239)</f>
        <v>19.0008682464914</v>
      </c>
      <c r="Q239" s="16" t="n">
        <f aca="false">IF(D239="","",IF(P239&gt;=0,K239,MAX(0,K239+P239)))</f>
        <v>0.648</v>
      </c>
      <c r="R239" s="16" t="n">
        <f aca="false">IF(D239="","",Q239/$B$15)</f>
        <v>0.25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19.0008682464914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89.2059542088799</v>
      </c>
      <c r="Z239" s="18" t="n">
        <f aca="false">IF(D239="","",MAX(0,IF(P239&gt;=0,P239,IF(K239+P239&gt;=0,0,P239+K239))))</f>
        <v>19.0008682464914</v>
      </c>
      <c r="AA239" s="18" t="n">
        <f aca="false">IF(D239="","",IF(H239&lt;=$B$16,1,IF(H239&gt;=$B$17,$B$21,MATCH(H239,Aux_CAV!$A$2:$A$121,1))))</f>
        <v>7</v>
      </c>
      <c r="AB239" s="18" t="n">
        <f aca="false">IF(D239="","",IF(L239&lt;=$B$16,1,IF(L239&gt;=$B$17,$B$21,MATCH(L239,Aux_CAV!$A$2:$A$121,1))))</f>
        <v>7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0.105582521684423</v>
      </c>
      <c r="E240" s="16" t="n">
        <f aca="false">IF(D240="","",D240*$B$15)</f>
        <v>0.273669896206024</v>
      </c>
      <c r="F240" s="16" t="n">
        <f aca="false" t="array" ref="F240:F240">IF(D240="","",IFERROR(INDEX(Dados_Evap!$C$2:$N$15,MATCH($B$9,Dados_Evap!$A$2:$A$15,0),C240),0))</f>
        <v>165.6</v>
      </c>
      <c r="G240" s="16" t="n">
        <f aca="false">IF(F240="","",F240/1000)</f>
        <v>0.1656</v>
      </c>
      <c r="H240" s="16" t="n">
        <f aca="false">IF(D240="","",MAX(0,MIN($B$8,IFERROR(LOOKUP(2,1/($U$24:U239&lt;&gt;""),$U$24:U239),$B$11))))</f>
        <v>19.0008682464914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1.18680128229316</v>
      </c>
      <c r="J240" s="16" t="n">
        <f aca="false">IF(D240="","",$B$12)</f>
        <v>0.25</v>
      </c>
      <c r="K240" s="16" t="n">
        <f aca="false">IF(J240="","",J240*$B$15)</f>
        <v>0.648</v>
      </c>
      <c r="L240" s="16" t="n">
        <f aca="false">IF(D240="","",H240+E240-K240-G240*I240)</f>
        <v>18.4300038503497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1.17607522892098</v>
      </c>
      <c r="N240" s="16" t="n">
        <f aca="false">IF(D240="","",(I240+M240)/2)</f>
        <v>1.18143825560707</v>
      </c>
      <c r="O240" s="16" t="n">
        <f aca="false">IF(D240="","",G240*N240)</f>
        <v>0.19564617512853</v>
      </c>
      <c r="P240" s="16" t="n">
        <f aca="false">IF(D240="","",H240+E240-K240-O240)</f>
        <v>18.4308919675689</v>
      </c>
      <c r="Q240" s="16" t="n">
        <f aca="false">IF(D240="","",IF(P240&gt;=0,K240,MAX(0,K240+P240)))</f>
        <v>0.648</v>
      </c>
      <c r="R240" s="16" t="n">
        <f aca="false">IF(D240="","",Q240/$B$15)</f>
        <v>0.25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18.4308919675689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86.5300092374127</v>
      </c>
      <c r="Z240" s="18" t="n">
        <f aca="false">IF(D240="","",MAX(0,IF(P240&gt;=0,P240,IF(K240+P240&gt;=0,0,P240+K240))))</f>
        <v>18.4308919675689</v>
      </c>
      <c r="AA240" s="18" t="n">
        <f aca="false">IF(D240="","",IF(H240&lt;=$B$16,1,IF(H240&gt;=$B$17,$B$21,MATCH(H240,Aux_CAV!$A$2:$A$121,1))))</f>
        <v>7</v>
      </c>
      <c r="AB240" s="18" t="n">
        <f aca="false">IF(D240="","",IF(L240&lt;=$B$16,1,IF(L240&gt;=$B$17,$B$21,MATCH(L240,Aux_CAV!$A$2:$A$121,1))))</f>
        <v>7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0.115140713329433</v>
      </c>
      <c r="E241" s="16" t="n">
        <f aca="false">IF(D241="","",D241*$B$15)</f>
        <v>0.29844472894989</v>
      </c>
      <c r="F241" s="16" t="n">
        <f aca="false" t="array" ref="F241:F241">IF(D241="","",IFERROR(INDEX(Dados_Evap!$C$2:$N$15,MATCH($B$9,Dados_Evap!$A$2:$A$15,0),C241),0))</f>
        <v>124.9</v>
      </c>
      <c r="G241" s="16" t="n">
        <f aca="false">IF(F241="","",F241/1000)</f>
        <v>0.1249</v>
      </c>
      <c r="H241" s="16" t="n">
        <f aca="false">IF(D241="","",MAX(0,MIN($B$8,IFERROR(LOOKUP(2,1/($U$24:U240&lt;&gt;""),$U$24:U240),$B$11))))</f>
        <v>18.4308919675689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1.17609191588334</v>
      </c>
      <c r="J241" s="16" t="n">
        <f aca="false">IF(D241="","",$B$12)</f>
        <v>0.25</v>
      </c>
      <c r="K241" s="16" t="n">
        <f aca="false">IF(J241="","",J241*$B$15)</f>
        <v>0.648</v>
      </c>
      <c r="L241" s="16" t="n">
        <f aca="false">IF(D241="","",H241+E241-K241-G241*I241)</f>
        <v>17.934442816225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1.16676406126519</v>
      </c>
      <c r="N241" s="16" t="n">
        <f aca="false">IF(D241="","",(I241+M241)/2)</f>
        <v>1.17142798857426</v>
      </c>
      <c r="O241" s="16" t="n">
        <f aca="false">IF(D241="","",G241*N241)</f>
        <v>0.146311355772926</v>
      </c>
      <c r="P241" s="16" t="n">
        <f aca="false">IF(D241="","",H241+E241-K241-O241)</f>
        <v>17.9350253407459</v>
      </c>
      <c r="Q241" s="16" t="n">
        <f aca="false">IF(D241="","",IF(P241&gt;=0,K241,MAX(0,K241+P241)))</f>
        <v>0.648</v>
      </c>
      <c r="R241" s="16" t="n">
        <f aca="false">IF(D241="","",Q241/$B$15)</f>
        <v>0.25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17.9350253407459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84.2019969049102</v>
      </c>
      <c r="Z241" s="18" t="n">
        <f aca="false">IF(D241="","",MAX(0,IF(P241&gt;=0,P241,IF(K241+P241&gt;=0,0,P241+K241))))</f>
        <v>17.9350253407459</v>
      </c>
      <c r="AA241" s="18" t="n">
        <f aca="false">IF(D241="","",IF(H241&lt;=$B$16,1,IF(H241&gt;=$B$17,$B$21,MATCH(H241,Aux_CAV!$A$2:$A$121,1))))</f>
        <v>7</v>
      </c>
      <c r="AB241" s="18" t="n">
        <f aca="false">IF(D241="","",IF(L241&lt;=$B$16,1,IF(L241&gt;=$B$17,$B$21,MATCH(L241,Aux_CAV!$A$2:$A$121,1))))</f>
        <v>7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0.599255648990943</v>
      </c>
      <c r="E242" s="16" t="n">
        <f aca="false">IF(D242="","",D242*$B$15)</f>
        <v>1.55327064218452</v>
      </c>
      <c r="F242" s="16" t="n">
        <f aca="false" t="array" ref="F242:F242">IF(D242="","",IFERROR(INDEX(Dados_Evap!$C$2:$N$15,MATCH($B$9,Dados_Evap!$A$2:$A$15,0),C242),0))</f>
        <v>88.2</v>
      </c>
      <c r="G242" s="16" t="n">
        <f aca="false">IF(F242="","",F242/1000)</f>
        <v>0.0882</v>
      </c>
      <c r="H242" s="16" t="n">
        <f aca="false">IF(D242="","",MAX(0,MIN($B$8,IFERROR(LOOKUP(2,1/($U$24:U241&lt;&gt;""),$U$24:U241),$B$11))))</f>
        <v>17.9350253407459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1.16677500640232</v>
      </c>
      <c r="J242" s="16" t="n">
        <f aca="false">IF(D242="","",$B$12)</f>
        <v>0.25</v>
      </c>
      <c r="K242" s="16" t="n">
        <f aca="false">IF(J242="","",J242*$B$15)</f>
        <v>0.648</v>
      </c>
      <c r="L242" s="16" t="n">
        <f aca="false">IF(D242="","",H242+E242-K242-G242*I242)</f>
        <v>18.7373864273657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1.18185068443902</v>
      </c>
      <c r="N242" s="16" t="n">
        <f aca="false">IF(D242="","",(I242+M242)/2)</f>
        <v>1.17431284542067</v>
      </c>
      <c r="O242" s="16" t="n">
        <f aca="false">IF(D242="","",G242*N242)</f>
        <v>0.103574392966103</v>
      </c>
      <c r="P242" s="16" t="n">
        <f aca="false">IF(D242="","",H242+E242-K242-O242)</f>
        <v>18.7367215899643</v>
      </c>
      <c r="Q242" s="16" t="n">
        <f aca="false">IF(D242="","",IF(P242&gt;=0,K242,MAX(0,K242+P242)))</f>
        <v>0.648</v>
      </c>
      <c r="R242" s="16" t="n">
        <f aca="false">IF(D242="","",Q242/$B$15)</f>
        <v>0.25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18.7367215899643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87.9658290608653</v>
      </c>
      <c r="Z242" s="18" t="n">
        <f aca="false">IF(D242="","",MAX(0,IF(P242&gt;=0,P242,IF(K242+P242&gt;=0,0,P242+K242))))</f>
        <v>18.7367215899643</v>
      </c>
      <c r="AA242" s="18" t="n">
        <f aca="false">IF(D242="","",IF(H242&lt;=$B$16,1,IF(H242&gt;=$B$17,$B$21,MATCH(H242,Aux_CAV!$A$2:$A$121,1))))</f>
        <v>7</v>
      </c>
      <c r="AB242" s="18" t="n">
        <f aca="false">IF(D242="","",IF(L242&lt;=$B$16,1,IF(L242&gt;=$B$17,$B$21,MATCH(L242,Aux_CAV!$A$2:$A$121,1))))</f>
        <v>7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0.465118000301627</v>
      </c>
      <c r="E243" s="16" t="n">
        <f aca="false">IF(D243="","",D243*$B$15)</f>
        <v>1.20558585678182</v>
      </c>
      <c r="F243" s="16" t="n">
        <f aca="false" t="array" ref="F243:F243">IF(D243="","",IFERROR(INDEX(Dados_Evap!$C$2:$N$15,MATCH($B$9,Dados_Evap!$A$2:$A$15,0),C243),0))</f>
        <v>88.2</v>
      </c>
      <c r="G243" s="16" t="n">
        <f aca="false">IF(F243="","",F243/1000)</f>
        <v>0.0882</v>
      </c>
      <c r="H243" s="16" t="n">
        <f aca="false">IF(D243="","",MAX(0,MIN($B$8,IFERROR(LOOKUP(2,1/($U$24:U242&lt;&gt;""),$U$24:U242),$B$11))))</f>
        <v>18.7367215899643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1.18183819271332</v>
      </c>
      <c r="J243" s="16" t="n">
        <f aca="false">IF(D243="","",$B$12)</f>
        <v>0.25</v>
      </c>
      <c r="K243" s="16" t="n">
        <f aca="false">IF(J243="","",J243*$B$15)</f>
        <v>0.648</v>
      </c>
      <c r="L243" s="16" t="n">
        <f aca="false">IF(D243="","",H243+E243-K243-G243*I243)</f>
        <v>19.1900693181488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1.19035620848296</v>
      </c>
      <c r="N243" s="16" t="n">
        <f aca="false">IF(D243="","",(I243+M243)/2)</f>
        <v>1.18609720059814</v>
      </c>
      <c r="O243" s="16" t="n">
        <f aca="false">IF(D243="","",G243*N243)</f>
        <v>0.104613773092756</v>
      </c>
      <c r="P243" s="16" t="n">
        <f aca="false">IF(D243="","",H243+E243-K243-O243)</f>
        <v>19.1896936736534</v>
      </c>
      <c r="Q243" s="16" t="n">
        <f aca="false">IF(D243="","",IF(P243&gt;=0,K243,MAX(0,K243+P243)))</f>
        <v>0.648</v>
      </c>
      <c r="R243" s="16" t="n">
        <f aca="false">IF(D243="","",Q243/$B$15)</f>
        <v>0.25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19.1896936736534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90.0924585617529</v>
      </c>
      <c r="Z243" s="18" t="n">
        <f aca="false">IF(D243="","",MAX(0,IF(P243&gt;=0,P243,IF(K243+P243&gt;=0,0,P243+K243))))</f>
        <v>19.1896936736534</v>
      </c>
      <c r="AA243" s="18" t="n">
        <f aca="false">IF(D243="","",IF(H243&lt;=$B$16,1,IF(H243&gt;=$B$17,$B$21,MATCH(H243,Aux_CAV!$A$2:$A$121,1))))</f>
        <v>7</v>
      </c>
      <c r="AB243" s="18" t="n">
        <f aca="false">IF(D243="","",IF(L243&lt;=$B$16,1,IF(L243&gt;=$B$17,$B$21,MATCH(L243,Aux_CAV!$A$2:$A$121,1))))</f>
        <v>7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0.140082898927851</v>
      </c>
      <c r="E244" s="16" t="n">
        <f aca="false">IF(D244="","",D244*$B$15)</f>
        <v>0.36309487402099</v>
      </c>
      <c r="F244" s="16" t="n">
        <f aca="false" t="array" ref="F244:F244">IF(D244="","",IFERROR(INDEX(Dados_Evap!$C$2:$N$15,MATCH($B$9,Dados_Evap!$A$2:$A$15,0),C244),0))</f>
        <v>83.9</v>
      </c>
      <c r="G244" s="16" t="n">
        <f aca="false">IF(F244="","",F244/1000)</f>
        <v>0.0839</v>
      </c>
      <c r="H244" s="16" t="n">
        <f aca="false">IF(D244="","",MAX(0,MIN($B$8,IFERROR(LOOKUP(2,1/($U$24:U243&lt;&gt;""),$U$24:U243),$B$11))))</f>
        <v>19.1896936736534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1.19034915044443</v>
      </c>
      <c r="J244" s="16" t="n">
        <f aca="false">IF(D244="","",$B$12)</f>
        <v>0.25</v>
      </c>
      <c r="K244" s="16" t="n">
        <f aca="false">IF(J244="","",J244*$B$15)</f>
        <v>0.648</v>
      </c>
      <c r="L244" s="16" t="n">
        <f aca="false">IF(D244="","",H244+E244-K244-G244*I244)</f>
        <v>18.8049182539521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1.18311954965672</v>
      </c>
      <c r="N244" s="16" t="n">
        <f aca="false">IF(D244="","",(I244+M244)/2)</f>
        <v>1.18673435005057</v>
      </c>
      <c r="O244" s="16" t="n">
        <f aca="false">IF(D244="","",G244*N244)</f>
        <v>0.0995670119692431</v>
      </c>
      <c r="P244" s="16" t="n">
        <f aca="false">IF(D244="","",H244+E244-K244-O244)</f>
        <v>18.8052215357051</v>
      </c>
      <c r="Q244" s="16" t="n">
        <f aca="false">IF(D244="","",IF(P244&gt;=0,K244,MAX(0,K244+P244)))</f>
        <v>0.648</v>
      </c>
      <c r="R244" s="16" t="n">
        <f aca="false">IF(D244="","",Q244/$B$15)</f>
        <v>0.25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18.8052215357051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88.2874250502587</v>
      </c>
      <c r="Z244" s="18" t="n">
        <f aca="false">IF(D244="","",MAX(0,IF(P244&gt;=0,P244,IF(K244+P244&gt;=0,0,P244+K244))))</f>
        <v>18.8052215357051</v>
      </c>
      <c r="AA244" s="18" t="n">
        <f aca="false">IF(D244="","",IF(H244&lt;=$B$16,1,IF(H244&gt;=$B$17,$B$21,MATCH(H244,Aux_CAV!$A$2:$A$121,1))))</f>
        <v>7</v>
      </c>
      <c r="AB244" s="18" t="n">
        <f aca="false">IF(D244="","",IF(L244&lt;=$B$16,1,IF(L244&gt;=$B$17,$B$21,MATCH(L244,Aux_CAV!$A$2:$A$121,1))))</f>
        <v>7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0.0802324849167954</v>
      </c>
      <c r="E245" s="16" t="n">
        <f aca="false">IF(D245="","",D245*$B$15)</f>
        <v>0.207962600904334</v>
      </c>
      <c r="F245" s="16" t="n">
        <f aca="false" t="array" ref="F245:F245">IF(D245="","",IFERROR(INDEX(Dados_Evap!$C$2:$N$15,MATCH($B$9,Dados_Evap!$A$2:$A$15,0),C245),0))</f>
        <v>104.7</v>
      </c>
      <c r="G245" s="16" t="n">
        <f aca="false">IF(F245="","",F245/1000)</f>
        <v>0.1047</v>
      </c>
      <c r="H245" s="16" t="n">
        <f aca="false">IF(D245="","",MAX(0,MIN($B$8,IFERROR(LOOKUP(2,1/($U$24:U244&lt;&gt;""),$U$24:U244),$B$11))))</f>
        <v>18.8052215357051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1.18312524806127</v>
      </c>
      <c r="J245" s="16" t="n">
        <f aca="false">IF(D245="","",$B$12)</f>
        <v>0.25</v>
      </c>
      <c r="K245" s="16" t="n">
        <f aca="false">IF(J245="","",J245*$B$15)</f>
        <v>0.648</v>
      </c>
      <c r="L245" s="16" t="n">
        <f aca="false">IF(D245="","",H245+E245-K245-G245*I245)</f>
        <v>18.2413109231374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1.17252985033035</v>
      </c>
      <c r="N245" s="16" t="n">
        <f aca="false">IF(D245="","",(I245+M245)/2)</f>
        <v>1.17782754919581</v>
      </c>
      <c r="O245" s="16" t="n">
        <f aca="false">IF(D245="","",G245*N245)</f>
        <v>0.123318544400801</v>
      </c>
      <c r="P245" s="16" t="n">
        <f aca="false">IF(D245="","",H245+E245-K245-O245)</f>
        <v>18.2418655922086</v>
      </c>
      <c r="Q245" s="16" t="n">
        <f aca="false">IF(D245="","",IF(P245&gt;=0,K245,MAX(0,K245+P245)))</f>
        <v>0.648</v>
      </c>
      <c r="R245" s="16" t="n">
        <f aca="false">IF(D245="","",Q245/$B$15)</f>
        <v>0.25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18.2418655922086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85.6425614657683</v>
      </c>
      <c r="Z245" s="18" t="n">
        <f aca="false">IF(D245="","",MAX(0,IF(P245&gt;=0,P245,IF(K245+P245&gt;=0,0,P245+K245))))</f>
        <v>18.2418655922086</v>
      </c>
      <c r="AA245" s="18" t="n">
        <f aca="false">IF(D245="","",IF(H245&lt;=$B$16,1,IF(H245&gt;=$B$17,$B$21,MATCH(H245,Aux_CAV!$A$2:$A$121,1))))</f>
        <v>7</v>
      </c>
      <c r="AB245" s="18" t="n">
        <f aca="false">IF(D245="","",IF(L245&lt;=$B$16,1,IF(L245&gt;=$B$17,$B$21,MATCH(L245,Aux_CAV!$A$2:$A$121,1))))</f>
        <v>7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0.0544505214901237</v>
      </c>
      <c r="E246" s="16" t="n">
        <f aca="false">IF(D246="","",D246*$B$15)</f>
        <v>0.141135751702401</v>
      </c>
      <c r="F246" s="16" t="n">
        <f aca="false" t="array" ref="F246:F246">IF(D246="","",IFERROR(INDEX(Dados_Evap!$C$2:$N$15,MATCH($B$9,Dados_Evap!$A$2:$A$15,0),C246),0))</f>
        <v>145.2</v>
      </c>
      <c r="G246" s="16" t="n">
        <f aca="false">IF(F246="","",F246/1000)</f>
        <v>0.1452</v>
      </c>
      <c r="H246" s="16" t="n">
        <f aca="false">IF(D246="","",MAX(0,MIN($B$8,IFERROR(LOOKUP(2,1/($U$24:U245&lt;&gt;""),$U$24:U245),$B$11))))</f>
        <v>18.2418655922086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1.17254027208743</v>
      </c>
      <c r="J246" s="16" t="n">
        <f aca="false">IF(D246="","",$B$12)</f>
        <v>0.25</v>
      </c>
      <c r="K246" s="16" t="n">
        <f aca="false">IF(J246="","",J246*$B$15)</f>
        <v>0.648</v>
      </c>
      <c r="L246" s="16" t="n">
        <f aca="false">IF(D246="","",H246+E246-K246-G246*I246)</f>
        <v>17.564748496404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1.15981782143556</v>
      </c>
      <c r="N246" s="16" t="n">
        <f aca="false">IF(D246="","",(I246+M246)/2)</f>
        <v>1.1661790467615</v>
      </c>
      <c r="O246" s="16" t="n">
        <f aca="false">IF(D246="","",G246*N246)</f>
        <v>0.169329197589769</v>
      </c>
      <c r="P246" s="16" t="n">
        <f aca="false">IF(D246="","",H246+E246-K246-O246)</f>
        <v>17.5656721463213</v>
      </c>
      <c r="Q246" s="16" t="n">
        <f aca="false">IF(D246="","",IF(P246&gt;=0,K246,MAX(0,K246+P246)))</f>
        <v>0.648</v>
      </c>
      <c r="R246" s="16" t="n">
        <f aca="false">IF(D246="","",Q246/$B$15)</f>
        <v>0.25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17.5656721463213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82.4679443489262</v>
      </c>
      <c r="Z246" s="18" t="n">
        <f aca="false">IF(D246="","",MAX(0,IF(P246&gt;=0,P246,IF(K246+P246&gt;=0,0,P246+K246))))</f>
        <v>17.5656721463213</v>
      </c>
      <c r="AA246" s="18" t="n">
        <f aca="false">IF(D246="","",IF(H246&lt;=$B$16,1,IF(H246&gt;=$B$17,$B$21,MATCH(H246,Aux_CAV!$A$2:$A$121,1))))</f>
        <v>7</v>
      </c>
      <c r="AB246" s="18" t="n">
        <f aca="false">IF(D246="","",IF(L246&lt;=$B$16,1,IF(L246&gt;=$B$17,$B$21,MATCH(L246,Aux_CAV!$A$2:$A$121,1))))</f>
        <v>7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0.0231703256213446</v>
      </c>
      <c r="E247" s="16" t="n">
        <f aca="false">IF(D247="","",D247*$B$15)</f>
        <v>0.0600574840105252</v>
      </c>
      <c r="F247" s="16" t="n">
        <f aca="false" t="array" ref="F247:F247">IF(D247="","",IFERROR(INDEX(Dados_Evap!$C$2:$N$15,MATCH($B$9,Dados_Evap!$A$2:$A$15,0),C247),0))</f>
        <v>180.9</v>
      </c>
      <c r="G247" s="16" t="n">
        <f aca="false">IF(F247="","",F247/1000)</f>
        <v>0.1809</v>
      </c>
      <c r="H247" s="16" t="n">
        <f aca="false">IF(D247="","",MAX(0,MIN($B$8,IFERROR(LOOKUP(2,1/($U$24:U246&lt;&gt;""),$U$24:U246),$B$11))))</f>
        <v>17.5656721463213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1.15983517602691</v>
      </c>
      <c r="J247" s="16" t="n">
        <f aca="false">IF(D247="","",$B$12)</f>
        <v>0.25</v>
      </c>
      <c r="K247" s="16" t="n">
        <f aca="false">IF(J247="","",J247*$B$15)</f>
        <v>0.648</v>
      </c>
      <c r="L247" s="16" t="n">
        <f aca="false">IF(D247="","",H247+E247-K247-G247*I247)</f>
        <v>16.7679154469885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1.14484601048621</v>
      </c>
      <c r="N247" s="16" t="n">
        <f aca="false">IF(D247="","",(I247+M247)/2)</f>
        <v>1.15234059325656</v>
      </c>
      <c r="O247" s="16" t="n">
        <f aca="false">IF(D247="","",G247*N247)</f>
        <v>0.208458413320112</v>
      </c>
      <c r="P247" s="16" t="n">
        <f aca="false">IF(D247="","",H247+E247-K247-O247)</f>
        <v>16.7692712170117</v>
      </c>
      <c r="Q247" s="16" t="n">
        <f aca="false">IF(D247="","",IF(P247&gt;=0,K247,MAX(0,K247+P247)))</f>
        <v>0.648</v>
      </c>
      <c r="R247" s="16" t="n">
        <f aca="false">IF(D247="","",Q247/$B$15)</f>
        <v>0.25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16.7692712170117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78.7289728498201</v>
      </c>
      <c r="Z247" s="18" t="n">
        <f aca="false">IF(D247="","",MAX(0,IF(P247&gt;=0,P247,IF(K247+P247&gt;=0,0,P247+K247))))</f>
        <v>16.7692712170117</v>
      </c>
      <c r="AA247" s="18" t="n">
        <f aca="false">IF(D247="","",IF(H247&lt;=$B$16,1,IF(H247&gt;=$B$17,$B$21,MATCH(H247,Aux_CAV!$A$2:$A$121,1))))</f>
        <v>7</v>
      </c>
      <c r="AB247" s="18" t="n">
        <f aca="false">IF(D247="","",IF(L247&lt;=$B$16,1,IF(L247&gt;=$B$17,$B$21,MATCH(L247,Aux_CAV!$A$2:$A$121,1))))</f>
        <v>7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0.0156968202254546</v>
      </c>
      <c r="E248" s="16" t="n">
        <f aca="false">IF(D248="","",D248*$B$15)</f>
        <v>0.0406861580243783</v>
      </c>
      <c r="F248" s="16" t="n">
        <f aca="false" t="array" ref="F248:F248">IF(D248="","",IFERROR(INDEX(Dados_Evap!$C$2:$N$15,MATCH($B$9,Dados_Evap!$A$2:$A$15,0),C248),0))</f>
        <v>208.9</v>
      </c>
      <c r="G248" s="16" t="n">
        <f aca="false">IF(F248="","",F248/1000)</f>
        <v>0.2089</v>
      </c>
      <c r="H248" s="16" t="n">
        <f aca="false">IF(D248="","",MAX(0,MIN($B$8,IFERROR(LOOKUP(2,1/($U$24:U247&lt;&gt;""),$U$24:U247),$B$11))))</f>
        <v>16.7692712170117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1.14487148424448</v>
      </c>
      <c r="J248" s="16" t="n">
        <f aca="false">IF(D248="","",$B$12)</f>
        <v>0.25</v>
      </c>
      <c r="K248" s="16" t="n">
        <f aca="false">IF(J248="","",J248*$B$15)</f>
        <v>0.648</v>
      </c>
      <c r="L248" s="16" t="n">
        <f aca="false">IF(D248="","",H248+E248-K248-G248*I248)</f>
        <v>15.9227937219774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1.12112947688774</v>
      </c>
      <c r="N248" s="16" t="n">
        <f aca="false">IF(D248="","",(I248+M248)/2)</f>
        <v>1.13300048056611</v>
      </c>
      <c r="O248" s="16" t="n">
        <f aca="false">IF(D248="","",G248*N248)</f>
        <v>0.23668380039026</v>
      </c>
      <c r="P248" s="16" t="n">
        <f aca="false">IF(D248="","",H248+E248-K248-O248)</f>
        <v>15.9252735746458</v>
      </c>
      <c r="Q248" s="16" t="n">
        <f aca="false">IF(D248="","",IF(P248&gt;=0,K248,MAX(0,K248+P248)))</f>
        <v>0.648</v>
      </c>
      <c r="R248" s="16" t="n">
        <f aca="false">IF(D248="","",Q248/$B$15)</f>
        <v>0.25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15.9252735746458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74.7665426039709</v>
      </c>
      <c r="Z248" s="18" t="n">
        <f aca="false">IF(D248="","",MAX(0,IF(P248&gt;=0,P248,IF(K248+P248&gt;=0,0,P248+K248))))</f>
        <v>15.9252735746458</v>
      </c>
      <c r="AA248" s="18" t="n">
        <f aca="false">IF(D248="","",IF(H248&lt;=$B$16,1,IF(H248&gt;=$B$17,$B$21,MATCH(H248,Aux_CAV!$A$2:$A$121,1))))</f>
        <v>7</v>
      </c>
      <c r="AB248" s="18" t="n">
        <f aca="false">IF(D248="","",IF(L248&lt;=$B$16,1,IF(L248&gt;=$B$17,$B$21,MATCH(L248,Aux_CAV!$A$2:$A$121,1))))</f>
        <v>6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0.00942504050713066</v>
      </c>
      <c r="E249" s="16" t="n">
        <f aca="false">IF(D249="","",D249*$B$15)</f>
        <v>0.0244297049944827</v>
      </c>
      <c r="F249" s="16" t="n">
        <f aca="false" t="array" ref="F249:F249">IF(D249="","",IFERROR(INDEX(Dados_Evap!$C$2:$N$15,MATCH($B$9,Dados_Evap!$A$2:$A$15,0),C249),0))</f>
        <v>235.9</v>
      </c>
      <c r="G249" s="16" t="n">
        <f aca="false">IF(F249="","",F249/1000)</f>
        <v>0.2359</v>
      </c>
      <c r="H249" s="16" t="n">
        <f aca="false">IF(D249="","",MAX(0,MIN($B$8,IFERROR(LOOKUP(2,1/($U$24:U248&lt;&gt;""),$U$24:U248),$B$11))))</f>
        <v>15.9252735746458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1.12120916969561</v>
      </c>
      <c r="J249" s="16" t="n">
        <f aca="false">IF(D249="","",$B$12)</f>
        <v>0.25</v>
      </c>
      <c r="K249" s="16" t="n">
        <f aca="false">IF(J249="","",J249*$B$15)</f>
        <v>0.648</v>
      </c>
      <c r="L249" s="16" t="n">
        <f aca="false">IF(D249="","",H249+E249-K249-G249*I249)</f>
        <v>15.0372100365091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1.09267026582354</v>
      </c>
      <c r="N249" s="16" t="n">
        <f aca="false">IF(D249="","",(I249+M249)/2)</f>
        <v>1.10693971775958</v>
      </c>
      <c r="O249" s="16" t="n">
        <f aca="false">IF(D249="","",G249*N249)</f>
        <v>0.261127079419484</v>
      </c>
      <c r="P249" s="16" t="n">
        <f aca="false">IF(D249="","",H249+E249-K249-O249)</f>
        <v>15.0405762002208</v>
      </c>
      <c r="Q249" s="16" t="n">
        <f aca="false">IF(D249="","",IF(P249&gt;=0,K249,MAX(0,K249+P249)))</f>
        <v>0.648</v>
      </c>
      <c r="R249" s="16" t="n">
        <f aca="false">IF(D249="","",Q249/$B$15)</f>
        <v>0.25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15.0405762002208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70.6130338038535</v>
      </c>
      <c r="Z249" s="18" t="n">
        <f aca="false">IF(D249="","",MAX(0,IF(P249&gt;=0,P249,IF(K249+P249&gt;=0,0,P249+K249))))</f>
        <v>15.0405762002208</v>
      </c>
      <c r="AA249" s="18" t="n">
        <f aca="false">IF(D249="","",IF(H249&lt;=$B$16,1,IF(H249&gt;=$B$17,$B$21,MATCH(H249,Aux_CAV!$A$2:$A$121,1))))</f>
        <v>6</v>
      </c>
      <c r="AB249" s="18" t="n">
        <f aca="false">IF(D249="","",IF(L249&lt;=$B$16,1,IF(L249&gt;=$B$17,$B$21,MATCH(L249,Aux_CAV!$A$2:$A$121,1))))</f>
        <v>6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0.0052111288661185</v>
      </c>
      <c r="E250" s="16" t="n">
        <f aca="false">IF(D250="","",D250*$B$15)</f>
        <v>0.0135072460209792</v>
      </c>
      <c r="F250" s="16" t="n">
        <f aca="false" t="array" ref="F250:F250">IF(D250="","",IFERROR(INDEX(Dados_Evap!$C$2:$N$15,MATCH($B$9,Dados_Evap!$A$2:$A$15,0),C250),0))</f>
        <v>225.9</v>
      </c>
      <c r="G250" s="16" t="n">
        <f aca="false">IF(F250="","",F250/1000)</f>
        <v>0.2259</v>
      </c>
      <c r="H250" s="16" t="n">
        <f aca="false">IF(D250="","",MAX(0,MIN($B$8,IFERROR(LOOKUP(2,1/($U$24:U249&lt;&gt;""),$U$24:U249),$B$11))))</f>
        <v>15.0405762002208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1.09277844121693</v>
      </c>
      <c r="J250" s="16" t="n">
        <f aca="false">IF(D250="","",$B$12)</f>
        <v>0.25</v>
      </c>
      <c r="K250" s="16" t="n">
        <f aca="false">IF(J250="","",J250*$B$15)</f>
        <v>0.648</v>
      </c>
      <c r="L250" s="16" t="n">
        <f aca="false">IF(D250="","",H250+E250-K250-G250*I250)</f>
        <v>14.1592247963709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1.06445523920284</v>
      </c>
      <c r="N250" s="16" t="n">
        <f aca="false">IF(D250="","",(I250+M250)/2)</f>
        <v>1.07861684020989</v>
      </c>
      <c r="O250" s="16" t="n">
        <f aca="false">IF(D250="","",G250*N250)</f>
        <v>0.243659544203413</v>
      </c>
      <c r="P250" s="16" t="n">
        <f aca="false">IF(D250="","",H250+E250-K250-O250)</f>
        <v>14.1624239020384</v>
      </c>
      <c r="Q250" s="16" t="n">
        <f aca="false">IF(D250="","",IF(P250&gt;=0,K250,MAX(0,K250+P250)))</f>
        <v>0.648</v>
      </c>
      <c r="R250" s="16" t="n">
        <f aca="false">IF(D250="","",Q250/$B$15)</f>
        <v>0.25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14.1624239020384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66.490253061213</v>
      </c>
      <c r="Z250" s="18" t="n">
        <f aca="false">IF(D250="","",MAX(0,IF(P250&gt;=0,P250,IF(K250+P250&gt;=0,0,P250+K250))))</f>
        <v>14.1624239020384</v>
      </c>
      <c r="AA250" s="18" t="n">
        <f aca="false">IF(D250="","",IF(H250&lt;=$B$16,1,IF(H250&gt;=$B$17,$B$21,MATCH(H250,Aux_CAV!$A$2:$A$121,1))))</f>
        <v>6</v>
      </c>
      <c r="AB250" s="18" t="n">
        <f aca="false">IF(D250="","",IF(L250&lt;=$B$16,1,IF(L250&gt;=$B$17,$B$21,MATCH(L250,Aux_CAV!$A$2:$A$121,1))))</f>
        <v>6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0.00345789587277862</v>
      </c>
      <c r="E251" s="16" t="n">
        <f aca="false">IF(D251="","",D251*$B$15)</f>
        <v>0.00896286610224218</v>
      </c>
      <c r="F251" s="16" t="n">
        <f aca="false" t="array" ref="F251:F251">IF(D251="","",IFERROR(INDEX(Dados_Evap!$C$2:$N$15,MATCH($B$9,Dados_Evap!$A$2:$A$15,0),C251),0))</f>
        <v>206</v>
      </c>
      <c r="G251" s="16" t="n">
        <f aca="false">IF(F251="","",F251/1000)</f>
        <v>0.206</v>
      </c>
      <c r="H251" s="16" t="n">
        <f aca="false">IF(D251="","",MAX(0,MIN($B$8,IFERROR(LOOKUP(2,1/($U$24:U250&lt;&gt;""),$U$24:U250),$B$11))))</f>
        <v>14.1624239020384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1.06455804600123</v>
      </c>
      <c r="J251" s="16" t="n">
        <f aca="false">IF(D251="","",$B$12)</f>
        <v>0.25</v>
      </c>
      <c r="K251" s="16" t="n">
        <f aca="false">IF(J251="","",J251*$B$15)</f>
        <v>0.648</v>
      </c>
      <c r="L251" s="16" t="n">
        <f aca="false">IF(D251="","",H251+E251-K251-G251*I251)</f>
        <v>13.3040878106644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1.03697446650528</v>
      </c>
      <c r="N251" s="16" t="n">
        <f aca="false">IF(D251="","",(I251+M251)/2)</f>
        <v>1.05076625625326</v>
      </c>
      <c r="O251" s="16" t="n">
        <f aca="false">IF(D251="","",G251*N251)</f>
        <v>0.216457848788171</v>
      </c>
      <c r="P251" s="16" t="n">
        <f aca="false">IF(D251="","",H251+E251-K251-O251)</f>
        <v>13.3069289193524</v>
      </c>
      <c r="Q251" s="16" t="n">
        <f aca="false">IF(D251="","",IF(P251&gt;=0,K251,MAX(0,K251+P251)))</f>
        <v>0.648</v>
      </c>
      <c r="R251" s="16" t="n">
        <f aca="false">IF(D251="","",Q251/$B$15)</f>
        <v>0.25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13.3069289193524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62.4738446917955</v>
      </c>
      <c r="Z251" s="18" t="n">
        <f aca="false">IF(D251="","",MAX(0,IF(P251&gt;=0,P251,IF(K251+P251&gt;=0,0,P251+K251))))</f>
        <v>13.3069289193524</v>
      </c>
      <c r="AA251" s="18" t="n">
        <f aca="false">IF(D251="","",IF(H251&lt;=$B$16,1,IF(H251&gt;=$B$17,$B$21,MATCH(H251,Aux_CAV!$A$2:$A$121,1))))</f>
        <v>6</v>
      </c>
      <c r="AB251" s="18" t="n">
        <f aca="false">IF(D251="","",IF(L251&lt;=$B$16,1,IF(L251&gt;=$B$17,$B$21,MATCH(L251,Aux_CAV!$A$2:$A$121,1))))</f>
        <v>6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0.0815232505505663</v>
      </c>
      <c r="E252" s="16" t="n">
        <f aca="false">IF(D252="","",D252*$B$15)</f>
        <v>0.211308265427068</v>
      </c>
      <c r="F252" s="16" t="n">
        <f aca="false" t="array" ref="F252:F252">IF(D252="","",IFERROR(INDEX(Dados_Evap!$C$2:$N$15,MATCH($B$9,Dados_Evap!$A$2:$A$15,0),C252),0))</f>
        <v>165.6</v>
      </c>
      <c r="G252" s="16" t="n">
        <f aca="false">IF(F252="","",F252/1000)</f>
        <v>0.1656</v>
      </c>
      <c r="H252" s="16" t="n">
        <f aca="false">IF(D252="","",MAX(0,MIN($B$8,IFERROR(LOOKUP(2,1/($U$24:U251&lt;&gt;""),$U$24:U251),$B$11))))</f>
        <v>13.3069289193524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1.03706576867484</v>
      </c>
      <c r="J252" s="16" t="n">
        <f aca="false">IF(D252="","",$B$12)</f>
        <v>0.25</v>
      </c>
      <c r="K252" s="16" t="n">
        <f aca="false">IF(J252="","",J252*$B$15)</f>
        <v>0.648</v>
      </c>
      <c r="L252" s="16" t="n">
        <f aca="false">IF(D252="","",H252+E252-K252-G252*I252)</f>
        <v>12.698499093487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1.01751320338238</v>
      </c>
      <c r="N252" s="16" t="n">
        <f aca="false">IF(D252="","",(I252+M252)/2)</f>
        <v>1.02728948602861</v>
      </c>
      <c r="O252" s="16" t="n">
        <f aca="false">IF(D252="","",G252*N252)</f>
        <v>0.170119138886338</v>
      </c>
      <c r="P252" s="16" t="n">
        <f aca="false">IF(D252="","",H252+E252-K252-O252)</f>
        <v>12.7001180458932</v>
      </c>
      <c r="Q252" s="16" t="n">
        <f aca="false">IF(D252="","",IF(P252&gt;=0,K252,MAX(0,K252+P252)))</f>
        <v>0.648</v>
      </c>
      <c r="R252" s="16" t="n">
        <f aca="false">IF(D252="","",Q252/$B$15)</f>
        <v>0.25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12.7001180458932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59.6249673516112</v>
      </c>
      <c r="Z252" s="18" t="n">
        <f aca="false">IF(D252="","",MAX(0,IF(P252&gt;=0,P252,IF(K252+P252&gt;=0,0,P252+K252))))</f>
        <v>12.7001180458932</v>
      </c>
      <c r="AA252" s="18" t="n">
        <f aca="false">IF(D252="","",IF(H252&lt;=$B$16,1,IF(H252&gt;=$B$17,$B$21,MATCH(H252,Aux_CAV!$A$2:$A$121,1))))</f>
        <v>6</v>
      </c>
      <c r="AB252" s="18" t="n">
        <f aca="false">IF(D252="","",IF(L252&lt;=$B$16,1,IF(L252&gt;=$B$17,$B$21,MATCH(L252,Aux_CAV!$A$2:$A$121,1))))</f>
        <v>6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0.395534934754284</v>
      </c>
      <c r="E253" s="16" t="n">
        <f aca="false">IF(D253="","",D253*$B$15)</f>
        <v>1.0252265508831</v>
      </c>
      <c r="F253" s="16" t="n">
        <f aca="false" t="array" ref="F253:F253">IF(D253="","",IFERROR(INDEX(Dados_Evap!$C$2:$N$15,MATCH($B$9,Dados_Evap!$A$2:$A$15,0),C253),0))</f>
        <v>124.9</v>
      </c>
      <c r="G253" s="16" t="n">
        <f aca="false">IF(F253="","",F253/1000)</f>
        <v>0.1249</v>
      </c>
      <c r="H253" s="16" t="n">
        <f aca="false">IF(D253="","",MAX(0,MIN($B$8,IFERROR(LOOKUP(2,1/($U$24:U252&lt;&gt;""),$U$24:U252),$B$11))))</f>
        <v>12.7001180458932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1.01756523020829</v>
      </c>
      <c r="J253" s="16" t="n">
        <f aca="false">IF(D253="","",$B$12)</f>
        <v>0.25</v>
      </c>
      <c r="K253" s="16" t="n">
        <f aca="false">IF(J253="","",J253*$B$15)</f>
        <v>0.648</v>
      </c>
      <c r="L253" s="16" t="n">
        <f aca="false">IF(D253="","",H253+E253-K253-G253*I253)</f>
        <v>12.9502506995233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1.02560351964441</v>
      </c>
      <c r="N253" s="16" t="n">
        <f aca="false">IF(D253="","",(I253+M253)/2)</f>
        <v>1.02158437492635</v>
      </c>
      <c r="O253" s="16" t="n">
        <f aca="false">IF(D253="","",G253*N253)</f>
        <v>0.127595888428301</v>
      </c>
      <c r="P253" s="16" t="n">
        <f aca="false">IF(D253="","",H253+E253-K253-O253)</f>
        <v>12.949748708348</v>
      </c>
      <c r="Q253" s="16" t="n">
        <f aca="false">IF(D253="","",IF(P253&gt;=0,K253,MAX(0,K253+P253)))</f>
        <v>0.648</v>
      </c>
      <c r="R253" s="16" t="n">
        <f aca="false">IF(D253="","",Q253/$B$15)</f>
        <v>0.25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12.949748708348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60.7969422927135</v>
      </c>
      <c r="Z253" s="18" t="n">
        <f aca="false">IF(D253="","",MAX(0,IF(P253&gt;=0,P253,IF(K253+P253&gt;=0,0,P253+K253))))</f>
        <v>12.949748708348</v>
      </c>
      <c r="AA253" s="18" t="n">
        <f aca="false">IF(D253="","",IF(H253&lt;=$B$16,1,IF(H253&gt;=$B$17,$B$21,MATCH(H253,Aux_CAV!$A$2:$A$121,1))))</f>
        <v>6</v>
      </c>
      <c r="AB253" s="18" t="n">
        <f aca="false">IF(D253="","",IF(L253&lt;=$B$16,1,IF(L253&gt;=$B$17,$B$21,MATCH(L253,Aux_CAV!$A$2:$A$121,1))))</f>
        <v>6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0.654560831316329</v>
      </c>
      <c r="E254" s="16" t="n">
        <f aca="false">IF(D254="","",D254*$B$15)</f>
        <v>1.69662167477193</v>
      </c>
      <c r="F254" s="16" t="n">
        <f aca="false" t="array" ref="F254:F254">IF(D254="","",IFERROR(INDEX(Dados_Evap!$C$2:$N$15,MATCH($B$9,Dados_Evap!$A$2:$A$15,0),C254),0))</f>
        <v>88.2</v>
      </c>
      <c r="G254" s="16" t="n">
        <f aca="false">IF(F254="","",F254/1000)</f>
        <v>0.0882</v>
      </c>
      <c r="H254" s="16" t="n">
        <f aca="false">IF(D254="","",MAX(0,MIN($B$8,IFERROR(LOOKUP(2,1/($U$24:U253&lt;&gt;""),$U$24:U253),$B$11))))</f>
        <v>12.949748708348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1.02558738760287</v>
      </c>
      <c r="J254" s="16" t="n">
        <f aca="false">IF(D254="","",$B$12)</f>
        <v>0.25</v>
      </c>
      <c r="K254" s="16" t="n">
        <f aca="false">IF(J254="","",J254*$B$15)</f>
        <v>0.648</v>
      </c>
      <c r="L254" s="16" t="n">
        <f aca="false">IF(D254="","",H254+E254-K254-G254*I254)</f>
        <v>13.9079135755333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1.05637907520617</v>
      </c>
      <c r="N254" s="16" t="n">
        <f aca="false">IF(D254="","",(I254+M254)/2)</f>
        <v>1.04098323140452</v>
      </c>
      <c r="O254" s="16" t="n">
        <f aca="false">IF(D254="","",G254*N254)</f>
        <v>0.0918147210098786</v>
      </c>
      <c r="P254" s="16" t="n">
        <f aca="false">IF(D254="","",H254+E254-K254-O254)</f>
        <v>13.90655566211</v>
      </c>
      <c r="Q254" s="16" t="n">
        <f aca="false">IF(D254="","",IF(P254&gt;=0,K254,MAX(0,K254+P254)))</f>
        <v>0.648</v>
      </c>
      <c r="R254" s="16" t="n">
        <f aca="false">IF(D254="","",Q254/$B$15)</f>
        <v>0.25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13.90655566211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65.2889937188264</v>
      </c>
      <c r="Z254" s="18" t="n">
        <f aca="false">IF(D254="","",MAX(0,IF(P254&gt;=0,P254,IF(K254+P254&gt;=0,0,P254+K254))))</f>
        <v>13.90655566211</v>
      </c>
      <c r="AA254" s="18" t="n">
        <f aca="false">IF(D254="","",IF(H254&lt;=$B$16,1,IF(H254&gt;=$B$17,$B$21,MATCH(H254,Aux_CAV!$A$2:$A$121,1))))</f>
        <v>6</v>
      </c>
      <c r="AB254" s="18" t="n">
        <f aca="false">IF(D254="","",IF(L254&lt;=$B$16,1,IF(L254&gt;=$B$17,$B$21,MATCH(L254,Aux_CAV!$A$2:$A$121,1))))</f>
        <v>6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1.03113860994008</v>
      </c>
      <c r="E255" s="16" t="n">
        <f aca="false">IF(D255="","",D255*$B$15)</f>
        <v>2.67271127696469</v>
      </c>
      <c r="F255" s="16" t="n">
        <f aca="false" t="array" ref="F255:F255">IF(D255="","",IFERROR(INDEX(Dados_Evap!$C$2:$N$15,MATCH($B$9,Dados_Evap!$A$2:$A$15,0),C255),0))</f>
        <v>88.2</v>
      </c>
      <c r="G255" s="16" t="n">
        <f aca="false">IF(F255="","",F255/1000)</f>
        <v>0.0882</v>
      </c>
      <c r="H255" s="16" t="n">
        <f aca="false">IF(D255="","",MAX(0,MIN($B$8,IFERROR(LOOKUP(2,1/($U$24:U254&lt;&gt;""),$U$24:U254),$B$11))))</f>
        <v>13.90655566211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1.05633543715665</v>
      </c>
      <c r="J255" s="16" t="n">
        <f aca="false">IF(D255="","",$B$12)</f>
        <v>0.25</v>
      </c>
      <c r="K255" s="16" t="n">
        <f aca="false">IF(J255="","",J255*$B$15)</f>
        <v>0.648</v>
      </c>
      <c r="L255" s="16" t="n">
        <f aca="false">IF(D255="","",H255+E255-K255-G255*I255)</f>
        <v>15.8380981535175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1.11840769113383</v>
      </c>
      <c r="N255" s="16" t="n">
        <f aca="false">IF(D255="","",(I255+M255)/2)</f>
        <v>1.08737156414524</v>
      </c>
      <c r="O255" s="16" t="n">
        <f aca="false">IF(D255="","",G255*N255)</f>
        <v>0.0959061719576105</v>
      </c>
      <c r="P255" s="16" t="n">
        <f aca="false">IF(D255="","",H255+E255-K255-O255)</f>
        <v>15.8353607671171</v>
      </c>
      <c r="Q255" s="16" t="n">
        <f aca="false">IF(D255="","",IF(P255&gt;=0,K255,MAX(0,K255+P255)))</f>
        <v>0.648</v>
      </c>
      <c r="R255" s="16" t="n">
        <f aca="false">IF(D255="","",Q255/$B$15)</f>
        <v>0.25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15.8353607671171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74.3444167470287</v>
      </c>
      <c r="Z255" s="18" t="n">
        <f aca="false">IF(D255="","",MAX(0,IF(P255&gt;=0,P255,IF(K255+P255&gt;=0,0,P255+K255))))</f>
        <v>15.8353607671171</v>
      </c>
      <c r="AA255" s="18" t="n">
        <f aca="false">IF(D255="","",IF(H255&lt;=$B$16,1,IF(H255&gt;=$B$17,$B$21,MATCH(H255,Aux_CAV!$A$2:$A$121,1))))</f>
        <v>6</v>
      </c>
      <c r="AB255" s="18" t="n">
        <f aca="false">IF(D255="","",IF(L255&lt;=$B$16,1,IF(L255&gt;=$B$17,$B$21,MATCH(L255,Aux_CAV!$A$2:$A$121,1))))</f>
        <v>6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0.423569769644459</v>
      </c>
      <c r="E256" s="16" t="n">
        <f aca="false">IF(D256="","",D256*$B$15)</f>
        <v>1.09789284291844</v>
      </c>
      <c r="F256" s="16" t="n">
        <f aca="false" t="array" ref="F256:F256">IF(D256="","",IFERROR(INDEX(Dados_Evap!$C$2:$N$15,MATCH($B$9,Dados_Evap!$A$2:$A$15,0),C256),0))</f>
        <v>83.9</v>
      </c>
      <c r="G256" s="16" t="n">
        <f aca="false">IF(F256="","",F256/1000)</f>
        <v>0.0839</v>
      </c>
      <c r="H256" s="16" t="n">
        <f aca="false">IF(D256="","",MAX(0,MIN($B$8,IFERROR(LOOKUP(2,1/($U$24:U255&lt;&gt;""),$U$24:U255),$B$11))))</f>
        <v>15.8353607671171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1.11831972219469</v>
      </c>
      <c r="J256" s="16" t="n">
        <f aca="false">IF(D256="","",$B$12)</f>
        <v>0.25</v>
      </c>
      <c r="K256" s="16" t="n">
        <f aca="false">IF(J256="","",J256*$B$15)</f>
        <v>0.648</v>
      </c>
      <c r="L256" s="16" t="n">
        <f aca="false">IF(D256="","",H256+E256-K256-G256*I256)</f>
        <v>16.1914265853434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1.12976229102238</v>
      </c>
      <c r="N256" s="16" t="n">
        <f aca="false">IF(D256="","",(I256+M256)/2)</f>
        <v>1.12404100660853</v>
      </c>
      <c r="O256" s="16" t="n">
        <f aca="false">IF(D256="","",G256*N256)</f>
        <v>0.094307040454456</v>
      </c>
      <c r="P256" s="16" t="n">
        <f aca="false">IF(D256="","",H256+E256-K256-O256)</f>
        <v>16.1909465695811</v>
      </c>
      <c r="Q256" s="16" t="n">
        <f aca="false">IF(D256="","",IF(P256&gt;=0,K256,MAX(0,K256+P256)))</f>
        <v>0.648</v>
      </c>
      <c r="R256" s="16" t="n">
        <f aca="false">IF(D256="","",Q256/$B$15)</f>
        <v>0.25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16.1909465695811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76.0138336600051</v>
      </c>
      <c r="Z256" s="18" t="n">
        <f aca="false">IF(D256="","",MAX(0,IF(P256&gt;=0,P256,IF(K256+P256&gt;=0,0,P256+K256))))</f>
        <v>16.1909465695811</v>
      </c>
      <c r="AA256" s="18" t="n">
        <f aca="false">IF(D256="","",IF(H256&lt;=$B$16,1,IF(H256&gt;=$B$17,$B$21,MATCH(H256,Aux_CAV!$A$2:$A$121,1))))</f>
        <v>6</v>
      </c>
      <c r="AB256" s="18" t="n">
        <f aca="false">IF(D256="","",IF(L256&lt;=$B$16,1,IF(L256&gt;=$B$17,$B$21,MATCH(L256,Aux_CAV!$A$2:$A$121,1))))</f>
        <v>6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0.263120922166092</v>
      </c>
      <c r="E257" s="16" t="n">
        <f aca="false">IF(D257="","",D257*$B$15)</f>
        <v>0.682009430254511</v>
      </c>
      <c r="F257" s="16" t="n">
        <f aca="false" t="array" ref="F257:F257">IF(D257="","",IFERROR(INDEX(Dados_Evap!$C$2:$N$15,MATCH($B$9,Dados_Evap!$A$2:$A$15,0),C257),0))</f>
        <v>104.7</v>
      </c>
      <c r="G257" s="16" t="n">
        <f aca="false">IF(F257="","",F257/1000)</f>
        <v>0.1047</v>
      </c>
      <c r="H257" s="16" t="n">
        <f aca="false">IF(D257="","",MAX(0,MIN($B$8,IFERROR(LOOKUP(2,1/($U$24:U256&lt;&gt;""),$U$24:U256),$B$11))))</f>
        <v>16.1909465695811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1.12974686518503</v>
      </c>
      <c r="J257" s="16" t="n">
        <f aca="false">IF(D257="","",$B$12)</f>
        <v>0.25</v>
      </c>
      <c r="K257" s="16" t="n">
        <f aca="false">IF(J257="","",J257*$B$15)</f>
        <v>0.648</v>
      </c>
      <c r="L257" s="16" t="n">
        <f aca="false">IF(D257="","",H257+E257-K257-G257*I257)</f>
        <v>16.1066715030507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1.12703859272564</v>
      </c>
      <c r="N257" s="16" t="n">
        <f aca="false">IF(D257="","",(I257+M257)/2)</f>
        <v>1.12839272895533</v>
      </c>
      <c r="O257" s="16" t="n">
        <f aca="false">IF(D257="","",G257*N257)</f>
        <v>0.118142718721623</v>
      </c>
      <c r="P257" s="16" t="n">
        <f aca="false">IF(D257="","",H257+E257-K257-O257)</f>
        <v>16.106813281114</v>
      </c>
      <c r="Q257" s="16" t="n">
        <f aca="false">IF(D257="","",IF(P257&gt;=0,K257,MAX(0,K257+P257)))</f>
        <v>0.648</v>
      </c>
      <c r="R257" s="16" t="n">
        <f aca="false">IF(D257="","",Q257/$B$15)</f>
        <v>0.25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16.106813281114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75.6188416953708</v>
      </c>
      <c r="Z257" s="18" t="n">
        <f aca="false">IF(D257="","",MAX(0,IF(P257&gt;=0,P257,IF(K257+P257&gt;=0,0,P257+K257))))</f>
        <v>16.106813281114</v>
      </c>
      <c r="AA257" s="18" t="n">
        <f aca="false">IF(D257="","",IF(H257&lt;=$B$16,1,IF(H257&gt;=$B$17,$B$21,MATCH(H257,Aux_CAV!$A$2:$A$121,1))))</f>
        <v>6</v>
      </c>
      <c r="AB257" s="18" t="n">
        <f aca="false">IF(D257="","",IF(L257&lt;=$B$16,1,IF(L257&gt;=$B$17,$B$21,MATCH(L257,Aux_CAV!$A$2:$A$121,1))))</f>
        <v>6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0.105325311171969</v>
      </c>
      <c r="E258" s="16" t="n">
        <f aca="false">IF(D258="","",D258*$B$15)</f>
        <v>0.273003206557744</v>
      </c>
      <c r="F258" s="16" t="n">
        <f aca="false" t="array" ref="F258:F258">IF(D258="","",IFERROR(INDEX(Dados_Evap!$C$2:$N$15,MATCH($B$9,Dados_Evap!$A$2:$A$15,0),C258),0))</f>
        <v>145.2</v>
      </c>
      <c r="G258" s="16" t="n">
        <f aca="false">IF(F258="","",F258/1000)</f>
        <v>0.1452</v>
      </c>
      <c r="H258" s="16" t="n">
        <f aca="false">IF(D258="","",MAX(0,MIN($B$8,IFERROR(LOOKUP(2,1/($U$24:U257&lt;&gt;""),$U$24:U257),$B$11))))</f>
        <v>16.106813281114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1.12704314892049</v>
      </c>
      <c r="J258" s="16" t="n">
        <f aca="false">IF(D258="","",$B$12)</f>
        <v>0.25</v>
      </c>
      <c r="K258" s="16" t="n">
        <f aca="false">IF(J258="","",J258*$B$15)</f>
        <v>0.648</v>
      </c>
      <c r="L258" s="16" t="n">
        <f aca="false">IF(D258="","",H258+E258-K258-G258*I258)</f>
        <v>15.5681698224485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1.10973324571195</v>
      </c>
      <c r="N258" s="16" t="n">
        <f aca="false">IF(D258="","",(I258+M258)/2)</f>
        <v>1.11838819731622</v>
      </c>
      <c r="O258" s="16" t="n">
        <f aca="false">IF(D258="","",G258*N258)</f>
        <v>0.162389966250315</v>
      </c>
      <c r="P258" s="16" t="n">
        <f aca="false">IF(D258="","",H258+E258-K258-O258)</f>
        <v>15.5694265214214</v>
      </c>
      <c r="Q258" s="16" t="n">
        <f aca="false">IF(D258="","",IF(P258&gt;=0,K258,MAX(0,K258+P258)))</f>
        <v>0.648</v>
      </c>
      <c r="R258" s="16" t="n">
        <f aca="false">IF(D258="","",Q258/$B$15)</f>
        <v>0.25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15.5694265214214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73.0958991616028</v>
      </c>
      <c r="Z258" s="18" t="n">
        <f aca="false">IF(D258="","",MAX(0,IF(P258&gt;=0,P258,IF(K258+P258&gt;=0,0,P258+K258))))</f>
        <v>15.5694265214214</v>
      </c>
      <c r="AA258" s="18" t="n">
        <f aca="false">IF(D258="","",IF(H258&lt;=$B$16,1,IF(H258&gt;=$B$17,$B$21,MATCH(H258,Aux_CAV!$A$2:$A$121,1))))</f>
        <v>6</v>
      </c>
      <c r="AB258" s="18" t="n">
        <f aca="false">IF(D258="","",IF(L258&lt;=$B$16,1,IF(L258&gt;=$B$17,$B$21,MATCH(L258,Aux_CAV!$A$2:$A$121,1))))</f>
        <v>6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0.066494805600046</v>
      </c>
      <c r="E259" s="16" t="n">
        <f aca="false">IF(D259="","",D259*$B$15)</f>
        <v>0.172354536115319</v>
      </c>
      <c r="F259" s="16" t="n">
        <f aca="false" t="array" ref="F259:F259">IF(D259="","",IFERROR(INDEX(Dados_Evap!$C$2:$N$15,MATCH($B$9,Dados_Evap!$A$2:$A$15,0),C259),0))</f>
        <v>180.9</v>
      </c>
      <c r="G259" s="16" t="n">
        <f aca="false">IF(F259="","",F259/1000)</f>
        <v>0.1809</v>
      </c>
      <c r="H259" s="16" t="n">
        <f aca="false">IF(D259="","",MAX(0,MIN($B$8,IFERROR(LOOKUP(2,1/($U$24:U258&lt;&gt;""),$U$24:U258),$B$11))))</f>
        <v>15.5694265214214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1.10977363112318</v>
      </c>
      <c r="J259" s="16" t="n">
        <f aca="false">IF(D259="","",$B$12)</f>
        <v>0.25</v>
      </c>
      <c r="K259" s="16" t="n">
        <f aca="false">IF(J259="","",J259*$B$15)</f>
        <v>0.648</v>
      </c>
      <c r="L259" s="16" t="n">
        <f aca="false">IF(D259="","",H259+E259-K259-G259*I259)</f>
        <v>14.8930230076665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1.088036656201</v>
      </c>
      <c r="N259" s="16" t="n">
        <f aca="false">IF(D259="","",(I259+M259)/2)</f>
        <v>1.09890514366209</v>
      </c>
      <c r="O259" s="16" t="n">
        <f aca="false">IF(D259="","",G259*N259)</f>
        <v>0.198791940488473</v>
      </c>
      <c r="P259" s="16" t="n">
        <f aca="false">IF(D259="","",H259+E259-K259-O259)</f>
        <v>14.8949891170482</v>
      </c>
      <c r="Q259" s="16" t="n">
        <f aca="false">IF(D259="","",IF(P259&gt;=0,K259,MAX(0,K259+P259)))</f>
        <v>0.648</v>
      </c>
      <c r="R259" s="16" t="n">
        <f aca="false">IF(D259="","",Q259/$B$15)</f>
        <v>0.25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14.8949891170482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69.9295263711185</v>
      </c>
      <c r="Z259" s="18" t="n">
        <f aca="false">IF(D259="","",MAX(0,IF(P259&gt;=0,P259,IF(K259+P259&gt;=0,0,P259+K259))))</f>
        <v>14.8949891170482</v>
      </c>
      <c r="AA259" s="18" t="n">
        <f aca="false">IF(D259="","",IF(H259&lt;=$B$16,1,IF(H259&gt;=$B$17,$B$21,MATCH(H259,Aux_CAV!$A$2:$A$121,1))))</f>
        <v>6</v>
      </c>
      <c r="AB259" s="18" t="n">
        <f aca="false">IF(D259="","",IF(L259&lt;=$B$16,1,IF(L259&gt;=$B$17,$B$21,MATCH(L259,Aux_CAV!$A$2:$A$121,1))))</f>
        <v>6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0.0441680803815585</v>
      </c>
      <c r="E260" s="16" t="n">
        <f aca="false">IF(D260="","",D260*$B$15)</f>
        <v>0.114483664349</v>
      </c>
      <c r="F260" s="16" t="n">
        <f aca="false" t="array" ref="F260:F260">IF(D260="","",IFERROR(INDEX(Dados_Evap!$C$2:$N$15,MATCH($B$9,Dados_Evap!$A$2:$A$15,0),C260),0))</f>
        <v>208.9</v>
      </c>
      <c r="G260" s="16" t="n">
        <f aca="false">IF(F260="","",F260/1000)</f>
        <v>0.2089</v>
      </c>
      <c r="H260" s="16" t="n">
        <f aca="false">IF(D260="","",MAX(0,MIN($B$8,IFERROR(LOOKUP(2,1/($U$24:U259&lt;&gt;""),$U$24:U259),$B$11))))</f>
        <v>14.8949891170482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1.08809983930023</v>
      </c>
      <c r="J260" s="16" t="n">
        <f aca="false">IF(D260="","",$B$12)</f>
        <v>0.25</v>
      </c>
      <c r="K260" s="16" t="n">
        <f aca="false">IF(J260="","",J260*$B$15)</f>
        <v>0.648</v>
      </c>
      <c r="L260" s="16" t="n">
        <f aca="false">IF(D260="","",H260+E260-K260-G260*I260)</f>
        <v>14.1341687249674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1.06365003463979</v>
      </c>
      <c r="N260" s="16" t="n">
        <f aca="false">IF(D260="","",(I260+M260)/2)</f>
        <v>1.07587493697001</v>
      </c>
      <c r="O260" s="16" t="n">
        <f aca="false">IF(D260="","",G260*N260)</f>
        <v>0.224750274333034</v>
      </c>
      <c r="P260" s="16" t="n">
        <f aca="false">IF(D260="","",H260+E260-K260-O260)</f>
        <v>14.1367225070642</v>
      </c>
      <c r="Q260" s="16" t="n">
        <f aca="false">IF(D260="","",IF(P260&gt;=0,K260,MAX(0,K260+P260)))</f>
        <v>0.648</v>
      </c>
      <c r="R260" s="16" t="n">
        <f aca="false">IF(D260="","",Q260/$B$15)</f>
        <v>0.25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14.1367225070642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66.3695892350433</v>
      </c>
      <c r="Z260" s="18" t="n">
        <f aca="false">IF(D260="","",MAX(0,IF(P260&gt;=0,P260,IF(K260+P260&gt;=0,0,P260+K260))))</f>
        <v>14.1367225070642</v>
      </c>
      <c r="AA260" s="18" t="n">
        <f aca="false">IF(D260="","",IF(H260&lt;=$B$16,1,IF(H260&gt;=$B$17,$B$21,MATCH(H260,Aux_CAV!$A$2:$A$121,1))))</f>
        <v>6</v>
      </c>
      <c r="AB260" s="18" t="n">
        <f aca="false">IF(D260="","",IF(L260&lt;=$B$16,1,IF(L260&gt;=$B$17,$B$21,MATCH(L260,Aux_CAV!$A$2:$A$121,1))))</f>
        <v>6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0.0323788289903804</v>
      </c>
      <c r="E261" s="16" t="n">
        <f aca="false">IF(D261="","",D261*$B$15)</f>
        <v>0.083925924743066</v>
      </c>
      <c r="F261" s="16" t="n">
        <f aca="false" t="array" ref="F261:F261">IF(D261="","",IFERROR(INDEX(Dados_Evap!$C$2:$N$15,MATCH($B$9,Dados_Evap!$A$2:$A$15,0),C261),0))</f>
        <v>235.9</v>
      </c>
      <c r="G261" s="16" t="n">
        <f aca="false">IF(F261="","",F261/1000)</f>
        <v>0.2359</v>
      </c>
      <c r="H261" s="16" t="n">
        <f aca="false">IF(D261="","",MAX(0,MIN($B$8,IFERROR(LOOKUP(2,1/($U$24:U260&lt;&gt;""),$U$24:U260),$B$11))))</f>
        <v>14.1367225070642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1.06373210325159</v>
      </c>
      <c r="J261" s="16" t="n">
        <f aca="false">IF(D261="","",$B$12)</f>
        <v>0.25</v>
      </c>
      <c r="K261" s="16" t="n">
        <f aca="false">IF(J261="","",J261*$B$15)</f>
        <v>0.648</v>
      </c>
      <c r="L261" s="16" t="n">
        <f aca="false">IF(D261="","",H261+E261-K261-G261*I261)</f>
        <v>13.3217140286502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1.03754090451239</v>
      </c>
      <c r="N261" s="16" t="n">
        <f aca="false">IF(D261="","",(I261+M261)/2)</f>
        <v>1.05063650388199</v>
      </c>
      <c r="O261" s="16" t="n">
        <f aca="false">IF(D261="","",G261*N261)</f>
        <v>0.247845151265761</v>
      </c>
      <c r="P261" s="16" t="n">
        <f aca="false">IF(D261="","",H261+E261-K261-O261)</f>
        <v>13.3248032805415</v>
      </c>
      <c r="Q261" s="16" t="n">
        <f aca="false">IF(D261="","",IF(P261&gt;=0,K261,MAX(0,K261+P261)))</f>
        <v>0.648</v>
      </c>
      <c r="R261" s="16" t="n">
        <f aca="false">IF(D261="","",Q261/$B$15)</f>
        <v>0.25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13.3248032805415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62.5577618804766</v>
      </c>
      <c r="Z261" s="18" t="n">
        <f aca="false">IF(D261="","",MAX(0,IF(P261&gt;=0,P261,IF(K261+P261&gt;=0,0,P261+K261))))</f>
        <v>13.3248032805415</v>
      </c>
      <c r="AA261" s="18" t="n">
        <f aca="false">IF(D261="","",IF(H261&lt;=$B$16,1,IF(H261&gt;=$B$17,$B$21,MATCH(H261,Aux_CAV!$A$2:$A$121,1))))</f>
        <v>6</v>
      </c>
      <c r="AB261" s="18" t="n">
        <f aca="false">IF(D261="","",IF(L261&lt;=$B$16,1,IF(L261&gt;=$B$17,$B$21,MATCH(L261,Aux_CAV!$A$2:$A$121,1))))</f>
        <v>6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0.0178094912385273</v>
      </c>
      <c r="E262" s="16" t="n">
        <f aca="false">IF(D262="","",D262*$B$15)</f>
        <v>0.0461622012902628</v>
      </c>
      <c r="F262" s="16" t="n">
        <f aca="false" t="array" ref="F262:F262">IF(D262="","",IFERROR(INDEX(Dados_Evap!$C$2:$N$15,MATCH($B$9,Dados_Evap!$A$2:$A$15,0),C262),0))</f>
        <v>225.9</v>
      </c>
      <c r="G262" s="16" t="n">
        <f aca="false">IF(F262="","",F262/1000)</f>
        <v>0.2259</v>
      </c>
      <c r="H262" s="16" t="n">
        <f aca="false">IF(D262="","",MAX(0,MIN($B$8,IFERROR(LOOKUP(2,1/($U$24:U261&lt;&gt;""),$U$24:U261),$B$11))))</f>
        <v>13.3248032805415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1.0376401810382</v>
      </c>
      <c r="J262" s="16" t="n">
        <f aca="false">IF(D262="","",$B$12)</f>
        <v>0.25</v>
      </c>
      <c r="K262" s="16" t="n">
        <f aca="false">IF(J262="","",J262*$B$15)</f>
        <v>0.648</v>
      </c>
      <c r="L262" s="16" t="n">
        <f aca="false">IF(D262="","",H262+E262-K262-G262*I262)</f>
        <v>12.4885625649353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1.01076666087694</v>
      </c>
      <c r="N262" s="16" t="n">
        <f aca="false">IF(D262="","",(I262+M262)/2)</f>
        <v>1.02420342095757</v>
      </c>
      <c r="O262" s="16" t="n">
        <f aca="false">IF(D262="","",G262*N262)</f>
        <v>0.231367552794314</v>
      </c>
      <c r="P262" s="16" t="n">
        <f aca="false">IF(D262="","",H262+E262-K262-O262)</f>
        <v>12.4915979290375</v>
      </c>
      <c r="Q262" s="16" t="n">
        <f aca="false">IF(D262="","",IF(P262&gt;=0,K262,MAX(0,K262+P262)))</f>
        <v>0.648</v>
      </c>
      <c r="R262" s="16" t="n">
        <f aca="false">IF(D262="","",Q262/$B$15)</f>
        <v>0.25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12.4915979290375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58.6459996668426</v>
      </c>
      <c r="Z262" s="18" t="n">
        <f aca="false">IF(D262="","",MAX(0,IF(P262&gt;=0,P262,IF(K262+P262&gt;=0,0,P262+K262))))</f>
        <v>12.4915979290375</v>
      </c>
      <c r="AA262" s="18" t="n">
        <f aca="false">IF(D262="","",IF(H262&lt;=$B$16,1,IF(H262&gt;=$B$17,$B$21,MATCH(H262,Aux_CAV!$A$2:$A$121,1))))</f>
        <v>6</v>
      </c>
      <c r="AB262" s="18" t="n">
        <f aca="false">IF(D262="","",IF(L262&lt;=$B$16,1,IF(L262&gt;=$B$17,$B$21,MATCH(L262,Aux_CAV!$A$2:$A$121,1))))</f>
        <v>6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0.0120304243431886</v>
      </c>
      <c r="E263" s="16" t="n">
        <f aca="false">IF(D263="","",D263*$B$15)</f>
        <v>0.0311828598975449</v>
      </c>
      <c r="F263" s="16" t="n">
        <f aca="false" t="array" ref="F263:F263">IF(D263="","",IFERROR(INDEX(Dados_Evap!$C$2:$N$15,MATCH($B$9,Dados_Evap!$A$2:$A$15,0),C263),0))</f>
        <v>206</v>
      </c>
      <c r="G263" s="16" t="n">
        <f aca="false">IF(F263="","",F263/1000)</f>
        <v>0.206</v>
      </c>
      <c r="H263" s="16" t="n">
        <f aca="false">IF(D263="","",MAX(0,MIN($B$8,IFERROR(LOOKUP(2,1/($U$24:U262&lt;&gt;""),$U$24:U262),$B$11))))</f>
        <v>12.4915979290375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1.01086420565905</v>
      </c>
      <c r="J263" s="16" t="n">
        <f aca="false">IF(D263="","",$B$12)</f>
        <v>0.25</v>
      </c>
      <c r="K263" s="16" t="n">
        <f aca="false">IF(J263="","",J263*$B$15)</f>
        <v>0.648</v>
      </c>
      <c r="L263" s="16" t="n">
        <f aca="false">IF(D263="","",H263+E263-K263-G263*I263)</f>
        <v>11.6665427625692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0.984350145488993</v>
      </c>
      <c r="N263" s="16" t="n">
        <f aca="false">IF(D263="","",(I263+M263)/2)</f>
        <v>0.997607175574021</v>
      </c>
      <c r="O263" s="16" t="n">
        <f aca="false">IF(D263="","",G263*N263)</f>
        <v>0.205507078168248</v>
      </c>
      <c r="P263" s="16" t="n">
        <f aca="false">IF(D263="","",H263+E263-K263-O263)</f>
        <v>11.6692737107668</v>
      </c>
      <c r="Q263" s="16" t="n">
        <f aca="false">IF(D263="","",IF(P263&gt;=0,K263,MAX(0,K263+P263)))</f>
        <v>0.648</v>
      </c>
      <c r="R263" s="16" t="n">
        <f aca="false">IF(D263="","",Q263/$B$15)</f>
        <v>0.25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11.6692737107668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54.7853225857595</v>
      </c>
      <c r="Z263" s="18" t="n">
        <f aca="false">IF(D263="","",MAX(0,IF(P263&gt;=0,P263,IF(K263+P263&gt;=0,0,P263+K263))))</f>
        <v>11.6692737107668</v>
      </c>
      <c r="AA263" s="18" t="n">
        <f aca="false">IF(D263="","",IF(H263&lt;=$B$16,1,IF(H263&gt;=$B$17,$B$21,MATCH(H263,Aux_CAV!$A$2:$A$121,1))))</f>
        <v>6</v>
      </c>
      <c r="AB263" s="18" t="n">
        <f aca="false">IF(D263="","",IF(L263&lt;=$B$16,1,IF(L263&gt;=$B$17,$B$21,MATCH(L263,Aux_CAV!$A$2:$A$121,1))))</f>
        <v>6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0.197519166488715</v>
      </c>
      <c r="E264" s="16" t="n">
        <f aca="false">IF(D264="","",D264*$B$15)</f>
        <v>0.511969679538749</v>
      </c>
      <c r="F264" s="16" t="n">
        <f aca="false" t="array" ref="F264:F264">IF(D264="","",IFERROR(INDEX(Dados_Evap!$C$2:$N$15,MATCH($B$9,Dados_Evap!$A$2:$A$15,0),C264),0))</f>
        <v>165.6</v>
      </c>
      <c r="G264" s="16" t="n">
        <f aca="false">IF(F264="","",F264/1000)</f>
        <v>0.1656</v>
      </c>
      <c r="H264" s="16" t="n">
        <f aca="false">IF(D264="","",MAX(0,MIN($B$8,IFERROR(LOOKUP(2,1/($U$24:U263&lt;&gt;""),$U$24:U263),$B$11))))</f>
        <v>11.6692737107668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0.984437907529367</v>
      </c>
      <c r="J264" s="16" t="n">
        <f aca="false">IF(D264="","",$B$12)</f>
        <v>0.25</v>
      </c>
      <c r="K264" s="16" t="n">
        <f aca="false">IF(J264="","",J264*$B$15)</f>
        <v>0.648</v>
      </c>
      <c r="L264" s="16" t="n">
        <f aca="false">IF(D264="","",H264+E264-K264-G264*I264)</f>
        <v>11.3702204728187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0.974827501016856</v>
      </c>
      <c r="N264" s="16" t="n">
        <f aca="false">IF(D264="","",(I264+M264)/2)</f>
        <v>0.979632704273112</v>
      </c>
      <c r="O264" s="16" t="n">
        <f aca="false">IF(D264="","",G264*N264)</f>
        <v>0.162227175827627</v>
      </c>
      <c r="P264" s="16" t="n">
        <f aca="false">IF(D264="","",H264+E264-K264-O264)</f>
        <v>11.3710162144779</v>
      </c>
      <c r="Q264" s="16" t="n">
        <f aca="false">IF(D264="","",IF(P264&gt;=0,K264,MAX(0,K264+P264)))</f>
        <v>0.648</v>
      </c>
      <c r="R264" s="16" t="n">
        <f aca="false">IF(D264="","",Q264/$B$15)</f>
        <v>0.25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11.3710162144779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53.3850526501309</v>
      </c>
      <c r="Z264" s="18" t="n">
        <f aca="false">IF(D264="","",MAX(0,IF(P264&gt;=0,P264,IF(K264+P264&gt;=0,0,P264+K264))))</f>
        <v>11.3710162144779</v>
      </c>
      <c r="AA264" s="18" t="n">
        <f aca="false">IF(D264="","",IF(H264&lt;=$B$16,1,IF(H264&gt;=$B$17,$B$21,MATCH(H264,Aux_CAV!$A$2:$A$121,1))))</f>
        <v>6</v>
      </c>
      <c r="AB264" s="18" t="n">
        <f aca="false">IF(D264="","",IF(L264&lt;=$B$16,1,IF(L264&gt;=$B$17,$B$21,MATCH(L264,Aux_CAV!$A$2:$A$121,1))))</f>
        <v>6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0.300241577654207</v>
      </c>
      <c r="E265" s="16" t="n">
        <f aca="false">IF(D265="","",D265*$B$15)</f>
        <v>0.778226169279705</v>
      </c>
      <c r="F265" s="16" t="n">
        <f aca="false" t="array" ref="F265:F265">IF(D265="","",IFERROR(INDEX(Dados_Evap!$C$2:$N$15,MATCH($B$9,Dados_Evap!$A$2:$A$15,0),C265),0))</f>
        <v>124.9</v>
      </c>
      <c r="G265" s="16" t="n">
        <f aca="false">IF(F265="","",F265/1000)</f>
        <v>0.1249</v>
      </c>
      <c r="H265" s="16" t="n">
        <f aca="false">IF(D265="","",MAX(0,MIN($B$8,IFERROR(LOOKUP(2,1/($U$24:U264&lt;&gt;""),$U$24:U264),$B$11))))</f>
        <v>11.3710162144779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0.974853073055055</v>
      </c>
      <c r="J265" s="16" t="n">
        <f aca="false">IF(D265="","",$B$12)</f>
        <v>0.25</v>
      </c>
      <c r="K265" s="16" t="n">
        <f aca="false">IF(J265="","",J265*$B$15)</f>
        <v>0.648</v>
      </c>
      <c r="L265" s="16" t="n">
        <f aca="false">IF(D265="","",H265+E265-K265-G265*I265)</f>
        <v>11.379483234933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0.975125170120721</v>
      </c>
      <c r="N265" s="16" t="n">
        <f aca="false">IF(D265="","",(I265+M265)/2)</f>
        <v>0.974989121587888</v>
      </c>
      <c r="O265" s="16" t="n">
        <f aca="false">IF(D265="","",G265*N265)</f>
        <v>0.121776141286327</v>
      </c>
      <c r="P265" s="16" t="n">
        <f aca="false">IF(D265="","",H265+E265-K265-O265)</f>
        <v>11.3794662424713</v>
      </c>
      <c r="Q265" s="16" t="n">
        <f aca="false">IF(D265="","",IF(P265&gt;=0,K265,MAX(0,K265+P265)))</f>
        <v>0.648</v>
      </c>
      <c r="R265" s="16" t="n">
        <f aca="false">IF(D265="","",Q265/$B$15)</f>
        <v>0.25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11.3794662424713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53.4247241430576</v>
      </c>
      <c r="Z265" s="18" t="n">
        <f aca="false">IF(D265="","",MAX(0,IF(P265&gt;=0,P265,IF(K265+P265&gt;=0,0,P265+K265))))</f>
        <v>11.3794662424713</v>
      </c>
      <c r="AA265" s="18" t="n">
        <f aca="false">IF(D265="","",IF(H265&lt;=$B$16,1,IF(H265&gt;=$B$17,$B$21,MATCH(H265,Aux_CAV!$A$2:$A$121,1))))</f>
        <v>6</v>
      </c>
      <c r="AB265" s="18" t="n">
        <f aca="false">IF(D265="","",IF(L265&lt;=$B$16,1,IF(L265&gt;=$B$17,$B$21,MATCH(L265,Aux_CAV!$A$2:$A$121,1))))</f>
        <v>6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0.480582504341236</v>
      </c>
      <c r="E266" s="16" t="n">
        <f aca="false">IF(D266="","",D266*$B$15)</f>
        <v>1.24566985125248</v>
      </c>
      <c r="F266" s="16" t="n">
        <f aca="false" t="array" ref="F266:F266">IF(D266="","",IFERROR(INDEX(Dados_Evap!$C$2:$N$15,MATCH($B$9,Dados_Evap!$A$2:$A$15,0),C266),0))</f>
        <v>88.2</v>
      </c>
      <c r="G266" s="16" t="n">
        <f aca="false">IF(F266="","",F266/1000)</f>
        <v>0.0882</v>
      </c>
      <c r="H266" s="16" t="n">
        <f aca="false">IF(D266="","",MAX(0,MIN($B$8,IFERROR(LOOKUP(2,1/($U$24:U265&lt;&gt;""),$U$24:U265),$B$11))))</f>
        <v>11.3794662424713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0.975124624049171</v>
      </c>
      <c r="J266" s="16" t="n">
        <f aca="false">IF(D266="","",$B$12)</f>
        <v>0.25</v>
      </c>
      <c r="K266" s="16" t="n">
        <f aca="false">IF(J266="","",J266*$B$15)</f>
        <v>0.648</v>
      </c>
      <c r="L266" s="16" t="n">
        <f aca="false">IF(D266="","",H266+E266-K266-G266*I266)</f>
        <v>11.8911301018826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0.991567508000008</v>
      </c>
      <c r="N266" s="16" t="n">
        <f aca="false">IF(D266="","",(I266+M266)/2)</f>
        <v>0.98334606602459</v>
      </c>
      <c r="O266" s="16" t="n">
        <f aca="false">IF(D266="","",G266*N266)</f>
        <v>0.0867311230233688</v>
      </c>
      <c r="P266" s="16" t="n">
        <f aca="false">IF(D266="","",H266+E266-K266-O266)</f>
        <v>11.8904049707004</v>
      </c>
      <c r="Q266" s="16" t="n">
        <f aca="false">IF(D266="","",IF(P266&gt;=0,K266,MAX(0,K266+P266)))</f>
        <v>0.648</v>
      </c>
      <c r="R266" s="16" t="n">
        <f aca="false">IF(D266="","",Q266/$B$15)</f>
        <v>0.25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11.8904049707004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55.8234975150253</v>
      </c>
      <c r="Z266" s="18" t="n">
        <f aca="false">IF(D266="","",MAX(0,IF(P266&gt;=0,P266,IF(K266+P266&gt;=0,0,P266+K266))))</f>
        <v>11.8904049707004</v>
      </c>
      <c r="AA266" s="18" t="n">
        <f aca="false">IF(D266="","",IF(H266&lt;=$B$16,1,IF(H266&gt;=$B$17,$B$21,MATCH(H266,Aux_CAV!$A$2:$A$121,1))))</f>
        <v>6</v>
      </c>
      <c r="AB266" s="18" t="n">
        <f aca="false">IF(D266="","",IF(L266&lt;=$B$16,1,IF(L266&gt;=$B$17,$B$21,MATCH(L266,Aux_CAV!$A$2:$A$121,1))))</f>
        <v>6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0.531343984015486</v>
      </c>
      <c r="E267" s="16" t="n">
        <f aca="false">IF(D267="","",D267*$B$15)</f>
        <v>1.37724360656814</v>
      </c>
      <c r="F267" s="16" t="n">
        <f aca="false" t="array" ref="F267:F267">IF(D267="","",IFERROR(INDEX(Dados_Evap!$C$2:$N$15,MATCH($B$9,Dados_Evap!$A$2:$A$15,0),C267),0))</f>
        <v>88.2</v>
      </c>
      <c r="G267" s="16" t="n">
        <f aca="false">IF(F267="","",F267/1000)</f>
        <v>0.0882</v>
      </c>
      <c r="H267" s="16" t="n">
        <f aca="false">IF(D267="","",MAX(0,MIN($B$8,IFERROR(LOOKUP(2,1/($U$24:U266&lt;&gt;""),$U$24:U266),$B$11))))</f>
        <v>11.8904049707004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0.991544205107574</v>
      </c>
      <c r="J267" s="16" t="n">
        <f aca="false">IF(D267="","",$B$12)</f>
        <v>0.25</v>
      </c>
      <c r="K267" s="16" t="n">
        <f aca="false">IF(J267="","",J267*$B$15)</f>
        <v>0.648</v>
      </c>
      <c r="L267" s="16" t="n">
        <f aca="false">IF(D267="","",H267+E267-K267-G267*I267)</f>
        <v>12.532194378378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1.0121688174526</v>
      </c>
      <c r="N267" s="16" t="n">
        <f aca="false">IF(D267="","",(I267+M267)/2)</f>
        <v>1.00185651128009</v>
      </c>
      <c r="O267" s="16" t="n">
        <f aca="false">IF(D267="","",G267*N267)</f>
        <v>0.0883637442949037</v>
      </c>
      <c r="P267" s="16" t="n">
        <f aca="false">IF(D267="","",H267+E267-K267-O267)</f>
        <v>12.5312848329736</v>
      </c>
      <c r="Q267" s="16" t="n">
        <f aca="false">IF(D267="","",IF(P267&gt;=0,K267,MAX(0,K267+P267)))</f>
        <v>0.648</v>
      </c>
      <c r="R267" s="16" t="n">
        <f aca="false">IF(D267="","",Q267/$B$15)</f>
        <v>0.25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12.5312848329736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58.8323231595005</v>
      </c>
      <c r="Z267" s="18" t="n">
        <f aca="false">IF(D267="","",MAX(0,IF(P267&gt;=0,P267,IF(K267+P267&gt;=0,0,P267+K267))))</f>
        <v>12.5312848329736</v>
      </c>
      <c r="AA267" s="18" t="n">
        <f aca="false">IF(D267="","",IF(H267&lt;=$B$16,1,IF(H267&gt;=$B$17,$B$21,MATCH(H267,Aux_CAV!$A$2:$A$121,1))))</f>
        <v>6</v>
      </c>
      <c r="AB267" s="18" t="n">
        <f aca="false">IF(D267="","",IF(L267&lt;=$B$16,1,IF(L267&gt;=$B$17,$B$21,MATCH(L267,Aux_CAV!$A$2:$A$121,1))))</f>
        <v>6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0.109694873099088</v>
      </c>
      <c r="E268" s="16" t="n">
        <f aca="false">IF(D268="","",D268*$B$15)</f>
        <v>0.284329111072836</v>
      </c>
      <c r="F268" s="16" t="n">
        <f aca="false" t="array" ref="F268:F268">IF(D268="","",IFERROR(INDEX(Dados_Evap!$C$2:$N$15,MATCH($B$9,Dados_Evap!$A$2:$A$15,0),C268),0))</f>
        <v>83.9</v>
      </c>
      <c r="G268" s="16" t="n">
        <f aca="false">IF(F268="","",F268/1000)</f>
        <v>0.0839</v>
      </c>
      <c r="H268" s="16" t="n">
        <f aca="false">IF(D268="","",MAX(0,MIN($B$8,IFERROR(LOOKUP(2,1/($U$24:U267&lt;&gt;""),$U$24:U267),$B$11))))</f>
        <v>12.5312848329736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1.0121395882052</v>
      </c>
      <c r="J268" s="16" t="n">
        <f aca="false">IF(D268="","",$B$12)</f>
        <v>0.25</v>
      </c>
      <c r="K268" s="16" t="n">
        <f aca="false">IF(J268="","",J268*$B$15)</f>
        <v>0.648</v>
      </c>
      <c r="L268" s="16" t="n">
        <f aca="false">IF(D268="","",H268+E268-K268-G268*I268)</f>
        <v>12.082695432596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0.997723671746942</v>
      </c>
      <c r="N268" s="16" t="n">
        <f aca="false">IF(D268="","",(I268+M268)/2)</f>
        <v>1.00493162997607</v>
      </c>
      <c r="O268" s="16" t="n">
        <f aca="false">IF(D268="","",G268*N268)</f>
        <v>0.0843137637549924</v>
      </c>
      <c r="P268" s="16" t="n">
        <f aca="false">IF(D268="","",H268+E268-K268-O268)</f>
        <v>12.0833001802915</v>
      </c>
      <c r="Q268" s="16" t="n">
        <f aca="false">IF(D268="","",IF(P268&gt;=0,K268,MAX(0,K268+P268)))</f>
        <v>0.648</v>
      </c>
      <c r="R268" s="16" t="n">
        <f aca="false">IF(D268="","",Q268/$B$15)</f>
        <v>0.25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12.0833001802915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56.7291088276594</v>
      </c>
      <c r="Z268" s="18" t="n">
        <f aca="false">IF(D268="","",MAX(0,IF(P268&gt;=0,P268,IF(K268+P268&gt;=0,0,P268+K268))))</f>
        <v>12.0833001802915</v>
      </c>
      <c r="AA268" s="18" t="n">
        <f aca="false">IF(D268="","",IF(H268&lt;=$B$16,1,IF(H268&gt;=$B$17,$B$21,MATCH(H268,Aux_CAV!$A$2:$A$121,1))))</f>
        <v>6</v>
      </c>
      <c r="AB268" s="18" t="n">
        <f aca="false">IF(D268="","",IF(L268&lt;=$B$16,1,IF(L268&gt;=$B$17,$B$21,MATCH(L268,Aux_CAV!$A$2:$A$121,1))))</f>
        <v>6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0.264254574370326</v>
      </c>
      <c r="E269" s="16" t="n">
        <f aca="false">IF(D269="","",D269*$B$15)</f>
        <v>0.684947856767885</v>
      </c>
      <c r="F269" s="16" t="n">
        <f aca="false" t="array" ref="F269:F269">IF(D269="","",IFERROR(INDEX(Dados_Evap!$C$2:$N$15,MATCH($B$9,Dados_Evap!$A$2:$A$15,0),C269),0))</f>
        <v>104.7</v>
      </c>
      <c r="G269" s="16" t="n">
        <f aca="false">IF(F269="","",F269/1000)</f>
        <v>0.1047</v>
      </c>
      <c r="H269" s="16" t="n">
        <f aca="false">IF(D269="","",MAX(0,MIN($B$8,IFERROR(LOOKUP(2,1/($U$24:U268&lt;&gt;""),$U$24:U268),$B$11))))</f>
        <v>12.0833001802915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0.997743105982901</v>
      </c>
      <c r="J269" s="16" t="n">
        <f aca="false">IF(D269="","",$B$12)</f>
        <v>0.25</v>
      </c>
      <c r="K269" s="16" t="n">
        <f aca="false">IF(J269="","",J269*$B$15)</f>
        <v>0.648</v>
      </c>
      <c r="L269" s="16" t="n">
        <f aca="false">IF(D269="","",H269+E269-K269-G269*I269)</f>
        <v>12.0157843338629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0.995573409594839</v>
      </c>
      <c r="N269" s="16" t="n">
        <f aca="false">IF(D269="","",(I269+M269)/2)</f>
        <v>0.99665825778887</v>
      </c>
      <c r="O269" s="16" t="n">
        <f aca="false">IF(D269="","",G269*N269)</f>
        <v>0.104350119590495</v>
      </c>
      <c r="P269" s="16" t="n">
        <f aca="false">IF(D269="","",H269+E269-K269-O269)</f>
        <v>12.0158979174689</v>
      </c>
      <c r="Q269" s="16" t="n">
        <f aca="false">IF(D269="","",IF(P269&gt;=0,K269,MAX(0,K269+P269)))</f>
        <v>0.648</v>
      </c>
      <c r="R269" s="16" t="n">
        <f aca="false">IF(D269="","",Q269/$B$15)</f>
        <v>0.25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12.0158979174689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56.4126662791965</v>
      </c>
      <c r="Z269" s="18" t="n">
        <f aca="false">IF(D269="","",MAX(0,IF(P269&gt;=0,P269,IF(K269+P269&gt;=0,0,P269+K269))))</f>
        <v>12.0158979174689</v>
      </c>
      <c r="AA269" s="18" t="n">
        <f aca="false">IF(D269="","",IF(H269&lt;=$B$16,1,IF(H269&gt;=$B$17,$B$21,MATCH(H269,Aux_CAV!$A$2:$A$121,1))))</f>
        <v>6</v>
      </c>
      <c r="AB269" s="18" t="n">
        <f aca="false">IF(D269="","",IF(L269&lt;=$B$16,1,IF(L269&gt;=$B$17,$B$21,MATCH(L269,Aux_CAV!$A$2:$A$121,1))))</f>
        <v>6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0.0555841267379872</v>
      </c>
      <c r="E270" s="16" t="n">
        <f aca="false">IF(D270="","",D270*$B$15)</f>
        <v>0.144074056504863</v>
      </c>
      <c r="F270" s="16" t="n">
        <f aca="false" t="array" ref="F270:F270">IF(D270="","",IFERROR(INDEX(Dados_Evap!$C$2:$N$15,MATCH($B$9,Dados_Evap!$A$2:$A$15,0),C270),0))</f>
        <v>145.2</v>
      </c>
      <c r="G270" s="16" t="n">
        <f aca="false">IF(F270="","",F270/1000)</f>
        <v>0.1452</v>
      </c>
      <c r="H270" s="16" t="n">
        <f aca="false">IF(D270="","",MAX(0,MIN($B$8,IFERROR(LOOKUP(2,1/($U$24:U269&lt;&gt;""),$U$24:U269),$B$11))))</f>
        <v>12.0158979174689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0.995577059729623</v>
      </c>
      <c r="J270" s="16" t="n">
        <f aca="false">IF(D270="","",$B$12)</f>
        <v>0.25</v>
      </c>
      <c r="K270" s="16" t="n">
        <f aca="false">IF(J270="","",J270*$B$15)</f>
        <v>0.648</v>
      </c>
      <c r="L270" s="16" t="n">
        <f aca="false">IF(D270="","",H270+E270-K270-G270*I270)</f>
        <v>11.367414184901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0.97473731785126</v>
      </c>
      <c r="N270" s="16" t="n">
        <f aca="false">IF(D270="","",(I270+M270)/2)</f>
        <v>0.985157188790441</v>
      </c>
      <c r="O270" s="16" t="n">
        <f aca="false">IF(D270="","",G270*N270)</f>
        <v>0.143044823812372</v>
      </c>
      <c r="P270" s="16" t="n">
        <f aca="false">IF(D270="","",H270+E270-K270-O270)</f>
        <v>11.3689271501613</v>
      </c>
      <c r="Q270" s="16" t="n">
        <f aca="false">IF(D270="","",IF(P270&gt;=0,K270,MAX(0,K270+P270)))</f>
        <v>0.648</v>
      </c>
      <c r="R270" s="16" t="n">
        <f aca="false">IF(D270="","",Q270/$B$15)</f>
        <v>0.25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11.3689271501613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53.3752448364382</v>
      </c>
      <c r="Z270" s="18" t="n">
        <f aca="false">IF(D270="","",MAX(0,IF(P270&gt;=0,P270,IF(K270+P270&gt;=0,0,P270+K270))))</f>
        <v>11.3689271501613</v>
      </c>
      <c r="AA270" s="18" t="n">
        <f aca="false">IF(D270="","",IF(H270&lt;=$B$16,1,IF(H270&gt;=$B$17,$B$21,MATCH(H270,Aux_CAV!$A$2:$A$121,1))))</f>
        <v>6</v>
      </c>
      <c r="AB270" s="18" t="n">
        <f aca="false">IF(D270="","",IF(L270&lt;=$B$16,1,IF(L270&gt;=$B$17,$B$21,MATCH(L270,Aux_CAV!$A$2:$A$121,1))))</f>
        <v>6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0.039431995327819</v>
      </c>
      <c r="E271" s="16" t="n">
        <f aca="false">IF(D271="","",D271*$B$15)</f>
        <v>0.102207731889707</v>
      </c>
      <c r="F271" s="16" t="n">
        <f aca="false" t="array" ref="F271:F271">IF(D271="","",IFERROR(INDEX(Dados_Evap!$C$2:$N$15,MATCH($B$9,Dados_Evap!$A$2:$A$15,0),C271),0))</f>
        <v>180.9</v>
      </c>
      <c r="G271" s="16" t="n">
        <f aca="false">IF(F271="","",F271/1000)</f>
        <v>0.1809</v>
      </c>
      <c r="H271" s="16" t="n">
        <f aca="false">IF(D271="","",MAX(0,MIN($B$8,IFERROR(LOOKUP(2,1/($U$24:U270&lt;&gt;""),$U$24:U270),$B$11))))</f>
        <v>11.3689271501613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0.97478593866303</v>
      </c>
      <c r="J271" s="16" t="n">
        <f aca="false">IF(D271="","",$B$12)</f>
        <v>0.25</v>
      </c>
      <c r="K271" s="16" t="n">
        <f aca="false">IF(J271="","",J271*$B$15)</f>
        <v>0.648</v>
      </c>
      <c r="L271" s="16" t="n">
        <f aca="false">IF(D271="","",H271+E271-K271-G271*I271)</f>
        <v>10.6467961057469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0.950977746872132</v>
      </c>
      <c r="N271" s="16" t="n">
        <f aca="false">IF(D271="","",(I271+M271)/2)</f>
        <v>0.962881842767581</v>
      </c>
      <c r="O271" s="16" t="n">
        <f aca="false">IF(D271="","",G271*N271)</f>
        <v>0.174185325356655</v>
      </c>
      <c r="P271" s="16" t="n">
        <f aca="false">IF(D271="","",H271+E271-K271-O271)</f>
        <v>10.6489495566944</v>
      </c>
      <c r="Q271" s="16" t="n">
        <f aca="false">IF(D271="","",IF(P271&gt;=0,K271,MAX(0,K271+P271)))</f>
        <v>0.648</v>
      </c>
      <c r="R271" s="16" t="n">
        <f aca="false">IF(D271="","",Q271/$B$15)</f>
        <v>0.25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10.6489495566944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49.9950683412882</v>
      </c>
      <c r="Z271" s="18" t="n">
        <f aca="false">IF(D271="","",MAX(0,IF(P271&gt;=0,P271,IF(K271+P271&gt;=0,0,P271+K271))))</f>
        <v>10.6489495566944</v>
      </c>
      <c r="AA271" s="18" t="n">
        <f aca="false">IF(D271="","",IF(H271&lt;=$B$16,1,IF(H271&gt;=$B$17,$B$21,MATCH(H271,Aux_CAV!$A$2:$A$121,1))))</f>
        <v>6</v>
      </c>
      <c r="AB271" s="18" t="n">
        <f aca="false">IF(D271="","",IF(L271&lt;=$B$16,1,IF(L271&gt;=$B$17,$B$21,MATCH(L271,Aux_CAV!$A$2:$A$121,1))))</f>
        <v>5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0.0316063977893939</v>
      </c>
      <c r="E272" s="16" t="n">
        <f aca="false">IF(D272="","",D272*$B$15)</f>
        <v>0.081923783070109</v>
      </c>
      <c r="F272" s="16" t="n">
        <f aca="false" t="array" ref="F272:F272">IF(D272="","",IFERROR(INDEX(Dados_Evap!$C$2:$N$15,MATCH($B$9,Dados_Evap!$A$2:$A$15,0),C272),0))</f>
        <v>208.9</v>
      </c>
      <c r="G272" s="16" t="n">
        <f aca="false">IF(F272="","",F272/1000)</f>
        <v>0.2089</v>
      </c>
      <c r="H272" s="16" t="n">
        <f aca="false">IF(D272="","",MAX(0,MIN($B$8,IFERROR(LOOKUP(2,1/($U$24:U271&lt;&gt;""),$U$24:U271),$B$11))))</f>
        <v>10.6489495566944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0.951049210952248</v>
      </c>
      <c r="J272" s="16" t="n">
        <f aca="false">IF(D272="","",$B$12)</f>
        <v>0.25</v>
      </c>
      <c r="K272" s="16" t="n">
        <f aca="false">IF(J272="","",J272*$B$15)</f>
        <v>0.648</v>
      </c>
      <c r="L272" s="16" t="n">
        <f aca="false">IF(D272="","",H272+E272-K272-G272*I272)</f>
        <v>9.88419915959658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0.925670326092807</v>
      </c>
      <c r="N272" s="16" t="n">
        <f aca="false">IF(D272="","",(I272+M272)/2)</f>
        <v>0.938359768522527</v>
      </c>
      <c r="O272" s="16" t="n">
        <f aca="false">IF(D272="","",G272*N272)</f>
        <v>0.196023355644356</v>
      </c>
      <c r="P272" s="16" t="n">
        <f aca="false">IF(D272="","",H272+E272-K272-O272)</f>
        <v>9.88684998412015</v>
      </c>
      <c r="Q272" s="16" t="n">
        <f aca="false">IF(D272="","",IF(P272&gt;=0,K272,MAX(0,K272+P272)))</f>
        <v>0.648</v>
      </c>
      <c r="R272" s="16" t="n">
        <f aca="false">IF(D272="","",Q272/$B$15)</f>
        <v>0.25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9.88684998412015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46.4171360756814</v>
      </c>
      <c r="Z272" s="18" t="n">
        <f aca="false">IF(D272="","",MAX(0,IF(P272&gt;=0,P272,IF(K272+P272&gt;=0,0,P272+K272))))</f>
        <v>9.88684998412015</v>
      </c>
      <c r="AA272" s="18" t="n">
        <f aca="false">IF(D272="","",IF(H272&lt;=$B$16,1,IF(H272&gt;=$B$17,$B$21,MATCH(H272,Aux_CAV!$A$2:$A$121,1))))</f>
        <v>5</v>
      </c>
      <c r="AB272" s="18" t="n">
        <f aca="false">IF(D272="","",IF(L272&lt;=$B$16,1,IF(L272&gt;=$B$17,$B$21,MATCH(L272,Aux_CAV!$A$2:$A$121,1))))</f>
        <v>5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0.0223467839980215</v>
      </c>
      <c r="E273" s="16" t="n">
        <f aca="false">IF(D273="","",D273*$B$15)</f>
        <v>0.0579228641228717</v>
      </c>
      <c r="F273" s="16" t="n">
        <f aca="false" t="array" ref="F273:F273">IF(D273="","",IFERROR(INDEX(Dados_Evap!$C$2:$N$15,MATCH($B$9,Dados_Evap!$A$2:$A$15,0),C273),0))</f>
        <v>235.9</v>
      </c>
      <c r="G273" s="16" t="n">
        <f aca="false">IF(F273="","",F273/1000)</f>
        <v>0.2359</v>
      </c>
      <c r="H273" s="16" t="n">
        <f aca="false">IF(D273="","",MAX(0,MIN($B$8,IFERROR(LOOKUP(2,1/($U$24:U272&lt;&gt;""),$U$24:U272),$B$11))))</f>
        <v>9.88684998412015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0.925758295933191</v>
      </c>
      <c r="J273" s="16" t="n">
        <f aca="false">IF(D273="","",$B$12)</f>
        <v>0.25</v>
      </c>
      <c r="K273" s="16" t="n">
        <f aca="false">IF(J273="","",J273*$B$15)</f>
        <v>0.648</v>
      </c>
      <c r="L273" s="16" t="n">
        <f aca="false">IF(D273="","",H273+E273-K273-G273*I273)</f>
        <v>9.07838646623238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0.898928754410367</v>
      </c>
      <c r="N273" s="16" t="n">
        <f aca="false">IF(D273="","",(I273+M273)/2)</f>
        <v>0.912343525171779</v>
      </c>
      <c r="O273" s="16" t="n">
        <f aca="false">IF(D273="","",G273*N273)</f>
        <v>0.215221837588023</v>
      </c>
      <c r="P273" s="16" t="n">
        <f aca="false">IF(D273="","",H273+E273-K273-O273)</f>
        <v>9.081551010655</v>
      </c>
      <c r="Q273" s="16" t="n">
        <f aca="false">IF(D273="","",IF(P273&gt;=0,K273,MAX(0,K273+P273)))</f>
        <v>0.648</v>
      </c>
      <c r="R273" s="16" t="n">
        <f aca="false">IF(D273="","",Q273/$B$15)</f>
        <v>0.25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9.081551010655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42.636389721385</v>
      </c>
      <c r="Z273" s="18" t="n">
        <f aca="false">IF(D273="","",MAX(0,IF(P273&gt;=0,P273,IF(K273+P273&gt;=0,0,P273+K273))))</f>
        <v>9.081551010655</v>
      </c>
      <c r="AA273" s="18" t="n">
        <f aca="false">IF(D273="","",IF(H273&lt;=$B$16,1,IF(H273&gt;=$B$17,$B$21,MATCH(H273,Aux_CAV!$A$2:$A$121,1))))</f>
        <v>5</v>
      </c>
      <c r="AB273" s="18" t="n">
        <f aca="false">IF(D273="","",IF(L273&lt;=$B$16,1,IF(L273&gt;=$B$17,$B$21,MATCH(L273,Aux_CAV!$A$2:$A$121,1))))</f>
        <v>5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0.0103650743805603</v>
      </c>
      <c r="E274" s="16" t="n">
        <f aca="false">IF(D274="","",D274*$B$15)</f>
        <v>0.0268662727944123</v>
      </c>
      <c r="F274" s="16" t="n">
        <f aca="false" t="array" ref="F274:F274">IF(D274="","",IFERROR(INDEX(Dados_Evap!$C$2:$N$15,MATCH($B$9,Dados_Evap!$A$2:$A$15,0),C274),0))</f>
        <v>225.9</v>
      </c>
      <c r="G274" s="16" t="n">
        <f aca="false">IF(F274="","",F274/1000)</f>
        <v>0.2259</v>
      </c>
      <c r="H274" s="16" t="n">
        <f aca="false">IF(D274="","",MAX(0,MIN($B$8,IFERROR(LOOKUP(2,1/($U$24:U273&lt;&gt;""),$U$24:U273),$B$11))))</f>
        <v>9.081551010655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0.899033772477489</v>
      </c>
      <c r="J274" s="16" t="n">
        <f aca="false">IF(D274="","",$B$12)</f>
        <v>0.25</v>
      </c>
      <c r="K274" s="16" t="n">
        <f aca="false">IF(J274="","",J274*$B$15)</f>
        <v>0.648</v>
      </c>
      <c r="L274" s="16" t="n">
        <f aca="false">IF(D274="","",H274+E274-K274-G274*I274)</f>
        <v>8.25732555424675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0.871681157773675</v>
      </c>
      <c r="N274" s="16" t="n">
        <f aca="false">IF(D274="","",(I274+M274)/2)</f>
        <v>0.885357465125582</v>
      </c>
      <c r="O274" s="16" t="n">
        <f aca="false">IF(D274="","",G274*N274)</f>
        <v>0.200002251371869</v>
      </c>
      <c r="P274" s="16" t="n">
        <f aca="false">IF(D274="","",H274+E274-K274-O274)</f>
        <v>8.26041503207754</v>
      </c>
      <c r="Q274" s="16" t="n">
        <f aca="false">IF(D274="","",IF(P274&gt;=0,K274,MAX(0,K274+P274)))</f>
        <v>0.648</v>
      </c>
      <c r="R274" s="16" t="n">
        <f aca="false">IF(D274="","",Q274/$B$15)</f>
        <v>0.25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8.26041503207754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38.781291230411</v>
      </c>
      <c r="Z274" s="18" t="n">
        <f aca="false">IF(D274="","",MAX(0,IF(P274&gt;=0,P274,IF(K274+P274&gt;=0,0,P274+K274))))</f>
        <v>8.26041503207754</v>
      </c>
      <c r="AA274" s="18" t="n">
        <f aca="false">IF(D274="","",IF(H274&lt;=$B$16,1,IF(H274&gt;=$B$17,$B$21,MATCH(H274,Aux_CAV!$A$2:$A$121,1))))</f>
        <v>5</v>
      </c>
      <c r="AB274" s="18" t="n">
        <f aca="false">IF(D274="","",IF(L274&lt;=$B$16,1,IF(L274&gt;=$B$17,$B$21,MATCH(L274,Aux_CAV!$A$2:$A$121,1))))</f>
        <v>5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0.0230116530310386</v>
      </c>
      <c r="E275" s="16" t="n">
        <f aca="false">IF(D275="","",D275*$B$15)</f>
        <v>0.0596462046564521</v>
      </c>
      <c r="F275" s="16" t="n">
        <f aca="false" t="array" ref="F275:F275">IF(D275="","",IFERROR(INDEX(Dados_Evap!$C$2:$N$15,MATCH($B$9,Dados_Evap!$A$2:$A$15,0),C275),0))</f>
        <v>206</v>
      </c>
      <c r="G275" s="16" t="n">
        <f aca="false">IF(F275="","",F275/1000)</f>
        <v>0.206</v>
      </c>
      <c r="H275" s="16" t="n">
        <f aca="false">IF(D275="","",MAX(0,MIN($B$8,IFERROR(LOOKUP(2,1/($U$24:U274&lt;&gt;""),$U$24:U274),$B$11))))</f>
        <v>8.26041503207754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0.871783684692839</v>
      </c>
      <c r="J275" s="16" t="n">
        <f aca="false">IF(D275="","",$B$12)</f>
        <v>0.25</v>
      </c>
      <c r="K275" s="16" t="n">
        <f aca="false">IF(J275="","",J275*$B$15)</f>
        <v>0.648</v>
      </c>
      <c r="L275" s="16" t="n">
        <f aca="false">IF(D275="","",H275+E275-K275-G275*I275)</f>
        <v>7.49247379768727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0.846298909215286</v>
      </c>
      <c r="N275" s="16" t="n">
        <f aca="false">IF(D275="","",(I275+M275)/2)</f>
        <v>0.859041296954062</v>
      </c>
      <c r="O275" s="16" t="n">
        <f aca="false">IF(D275="","",G275*N275)</f>
        <v>0.176962507172537</v>
      </c>
      <c r="P275" s="16" t="n">
        <f aca="false">IF(D275="","",H275+E275-K275-O275)</f>
        <v>7.49509872956146</v>
      </c>
      <c r="Q275" s="16" t="n">
        <f aca="false">IF(D275="","",IF(P275&gt;=0,K275,MAX(0,K275+P275)))</f>
        <v>0.648</v>
      </c>
      <c r="R275" s="16" t="n">
        <f aca="false">IF(D275="","",Q275/$B$15)</f>
        <v>0.25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7.49509872956146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35.1882569462979</v>
      </c>
      <c r="Z275" s="18" t="n">
        <f aca="false">IF(D275="","",MAX(0,IF(P275&gt;=0,P275,IF(K275+P275&gt;=0,0,P275+K275))))</f>
        <v>7.49509872956146</v>
      </c>
      <c r="AA275" s="18" t="n">
        <f aca="false">IF(D275="","",IF(H275&lt;=$B$16,1,IF(H275&gt;=$B$17,$B$21,MATCH(H275,Aux_CAV!$A$2:$A$121,1))))</f>
        <v>5</v>
      </c>
      <c r="AB275" s="18" t="n">
        <f aca="false">IF(D275="","",IF(L275&lt;=$B$16,1,IF(L275&gt;=$B$17,$B$21,MATCH(L275,Aux_CAV!$A$2:$A$121,1))))</f>
        <v>5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0.0327929294334275</v>
      </c>
      <c r="E276" s="16" t="n">
        <f aca="false">IF(D276="","",D276*$B$15)</f>
        <v>0.0849992730914441</v>
      </c>
      <c r="F276" s="16" t="n">
        <f aca="false" t="array" ref="F276:F276">IF(D276="","",IFERROR(INDEX(Dados_Evap!$C$2:$N$15,MATCH($B$9,Dados_Evap!$A$2:$A$15,0),C276),0))</f>
        <v>165.6</v>
      </c>
      <c r="G276" s="16" t="n">
        <f aca="false">IF(F276="","",F276/1000)</f>
        <v>0.1656</v>
      </c>
      <c r="H276" s="16" t="n">
        <f aca="false">IF(D276="","",MAX(0,MIN($B$8,IFERROR(LOOKUP(2,1/($U$24:U275&lt;&gt;""),$U$24:U275),$B$11))))</f>
        <v>7.49509872956146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0.846386019786332</v>
      </c>
      <c r="J276" s="16" t="n">
        <f aca="false">IF(D276="","",$B$12)</f>
        <v>0.25</v>
      </c>
      <c r="K276" s="16" t="n">
        <f aca="false">IF(J276="","",J276*$B$15)</f>
        <v>0.648</v>
      </c>
      <c r="L276" s="16" t="n">
        <f aca="false">IF(D276="","",H276+E276-K276-G276*I276)</f>
        <v>6.79193647777629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0.823050989306735</v>
      </c>
      <c r="N276" s="16" t="n">
        <f aca="false">IF(D276="","",(I276+M276)/2)</f>
        <v>0.834718504546533</v>
      </c>
      <c r="O276" s="16" t="n">
        <f aca="false">IF(D276="","",G276*N276)</f>
        <v>0.138229384352906</v>
      </c>
      <c r="P276" s="16" t="n">
        <f aca="false">IF(D276="","",H276+E276-K276-O276)</f>
        <v>6.7938686183</v>
      </c>
      <c r="Q276" s="16" t="n">
        <f aca="false">IF(D276="","",IF(P276&gt;=0,K276,MAX(0,K276+P276)))</f>
        <v>0.648</v>
      </c>
      <c r="R276" s="16" t="n">
        <f aca="false">IF(D276="","",Q276/$B$15)</f>
        <v>0.25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6.7938686183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31.8960967995305</v>
      </c>
      <c r="Z276" s="18" t="n">
        <f aca="false">IF(D276="","",MAX(0,IF(P276&gt;=0,P276,IF(K276+P276&gt;=0,0,P276+K276))))</f>
        <v>6.7938686183</v>
      </c>
      <c r="AA276" s="18" t="n">
        <f aca="false">IF(D276="","",IF(H276&lt;=$B$16,1,IF(H276&gt;=$B$17,$B$21,MATCH(H276,Aux_CAV!$A$2:$A$121,1))))</f>
        <v>5</v>
      </c>
      <c r="AB276" s="18" t="n">
        <f aca="false">IF(D276="","",IF(L276&lt;=$B$16,1,IF(L276&gt;=$B$17,$B$21,MATCH(L276,Aux_CAV!$A$2:$A$121,1))))</f>
        <v>5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0.175389664027274</v>
      </c>
      <c r="E277" s="16" t="n">
        <f aca="false">IF(D277="","",D277*$B$15)</f>
        <v>0.454610009158694</v>
      </c>
      <c r="F277" s="16" t="n">
        <f aca="false" t="array" ref="F277:F277">IF(D277="","",IFERROR(INDEX(Dados_Evap!$C$2:$N$15,MATCH($B$9,Dados_Evap!$A$2:$A$15,0),C277),0))</f>
        <v>124.9</v>
      </c>
      <c r="G277" s="16" t="n">
        <f aca="false">IF(F277="","",F277/1000)</f>
        <v>0.1249</v>
      </c>
      <c r="H277" s="16" t="n">
        <f aca="false">IF(D277="","",MAX(0,MIN($B$8,IFERROR(LOOKUP(2,1/($U$24:U276&lt;&gt;""),$U$24:U276),$B$11))))</f>
        <v>6.7938686183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0.823115109014381</v>
      </c>
      <c r="J277" s="16" t="n">
        <f aca="false">IF(D277="","",$B$12)</f>
        <v>0.25</v>
      </c>
      <c r="K277" s="16" t="n">
        <f aca="false">IF(J277="","",J277*$B$15)</f>
        <v>0.648</v>
      </c>
      <c r="L277" s="16" t="n">
        <f aca="false">IF(D277="","",H277+E277-K277-G277*I277)</f>
        <v>6.4976715503428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0.80819750710333</v>
      </c>
      <c r="N277" s="16" t="n">
        <f aca="false">IF(D277="","",(I277+M277)/2)</f>
        <v>0.815656308058855</v>
      </c>
      <c r="O277" s="16" t="n">
        <f aca="false">IF(D277="","",G277*N277)</f>
        <v>0.101875472876551</v>
      </c>
      <c r="P277" s="16" t="n">
        <f aca="false">IF(D277="","",H277+E277-K277-O277)</f>
        <v>6.49860315458214</v>
      </c>
      <c r="Q277" s="16" t="n">
        <f aca="false">IF(D277="","",IF(P277&gt;=0,K277,MAX(0,K277+P277)))</f>
        <v>0.648</v>
      </c>
      <c r="R277" s="16" t="n">
        <f aca="false">IF(D277="","",Q277/$B$15)</f>
        <v>0.25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6.49860315458214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30.5098739651744</v>
      </c>
      <c r="Z277" s="18" t="n">
        <f aca="false">IF(D277="","",MAX(0,IF(P277&gt;=0,P277,IF(K277+P277&gt;=0,0,P277+K277))))</f>
        <v>6.49860315458214</v>
      </c>
      <c r="AA277" s="18" t="n">
        <f aca="false">IF(D277="","",IF(H277&lt;=$B$16,1,IF(H277&gt;=$B$17,$B$21,MATCH(H277,Aux_CAV!$A$2:$A$121,1))))</f>
        <v>5</v>
      </c>
      <c r="AB277" s="18" t="n">
        <f aca="false">IF(D277="","",IF(L277&lt;=$B$16,1,IF(L277&gt;=$B$17,$B$21,MATCH(L277,Aux_CAV!$A$2:$A$121,1))))</f>
        <v>4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0.155143734231959</v>
      </c>
      <c r="E278" s="16" t="n">
        <f aca="false">IF(D278="","",D278*$B$15)</f>
        <v>0.402132559129238</v>
      </c>
      <c r="F278" s="16" t="n">
        <f aca="false" t="array" ref="F278:F278">IF(D278="","",IFERROR(INDEX(Dados_Evap!$C$2:$N$15,MATCH($B$9,Dados_Evap!$A$2:$A$15,0),C278),0))</f>
        <v>88.2</v>
      </c>
      <c r="G278" s="16" t="n">
        <f aca="false">IF(F278="","",F278/1000)</f>
        <v>0.0882</v>
      </c>
      <c r="H278" s="16" t="n">
        <f aca="false">IF(D278="","",MAX(0,MIN($B$8,IFERROR(LOOKUP(2,1/($U$24:U277&lt;&gt;""),$U$24:U277),$B$11))))</f>
        <v>6.49860315458214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0.808251850683958</v>
      </c>
      <c r="J278" s="16" t="n">
        <f aca="false">IF(D278="","",$B$12)</f>
        <v>0.25</v>
      </c>
      <c r="K278" s="16" t="n">
        <f aca="false">IF(J278="","",J278*$B$15)</f>
        <v>0.648</v>
      </c>
      <c r="L278" s="16" t="n">
        <f aca="false">IF(D278="","",H278+E278-K278-G278*I278)</f>
        <v>6.18144790048105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0.789751127528061</v>
      </c>
      <c r="N278" s="16" t="n">
        <f aca="false">IF(D278="","",(I278+M278)/2)</f>
        <v>0.79900148910601</v>
      </c>
      <c r="O278" s="16" t="n">
        <f aca="false">IF(D278="","",G278*N278)</f>
        <v>0.0704719313391501</v>
      </c>
      <c r="P278" s="16" t="n">
        <f aca="false">IF(D278="","",H278+E278-K278-O278)</f>
        <v>6.18226378237223</v>
      </c>
      <c r="Q278" s="16" t="n">
        <f aca="false">IF(D278="","",IF(P278&gt;=0,K278,MAX(0,K278+P278)))</f>
        <v>0.648</v>
      </c>
      <c r="R278" s="16" t="n">
        <f aca="false">IF(D278="","",Q278/$B$15)</f>
        <v>0.25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6.18226378237223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29.0247125932968</v>
      </c>
      <c r="Z278" s="18" t="n">
        <f aca="false">IF(D278="","",MAX(0,IF(P278&gt;=0,P278,IF(K278+P278&gt;=0,0,P278+K278))))</f>
        <v>6.18226378237223</v>
      </c>
      <c r="AA278" s="18" t="n">
        <f aca="false">IF(D278="","",IF(H278&lt;=$B$16,1,IF(H278&gt;=$B$17,$B$21,MATCH(H278,Aux_CAV!$A$2:$A$121,1))))</f>
        <v>4</v>
      </c>
      <c r="AB278" s="18" t="n">
        <f aca="false">IF(D278="","",IF(L278&lt;=$B$16,1,IF(L278&gt;=$B$17,$B$21,MATCH(L278,Aux_CAV!$A$2:$A$121,1))))</f>
        <v>4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0.201681975622357</v>
      </c>
      <c r="E279" s="16" t="n">
        <f aca="false">IF(D279="","",D279*$B$15)</f>
        <v>0.522759680813149</v>
      </c>
      <c r="F279" s="16" t="n">
        <f aca="false" t="array" ref="F279:F279">IF(D279="","",IFERROR(INDEX(Dados_Evap!$C$2:$N$15,MATCH($B$9,Dados_Evap!$A$2:$A$15,0),C279),0))</f>
        <v>88.2</v>
      </c>
      <c r="G279" s="16" t="n">
        <f aca="false">IF(F279="","",F279/1000)</f>
        <v>0.0882</v>
      </c>
      <c r="H279" s="16" t="n">
        <f aca="false">IF(D279="","",MAX(0,MIN($B$8,IFERROR(LOOKUP(2,1/($U$24:U278&lt;&gt;""),$U$24:U278),$B$11))))</f>
        <v>6.18226378237223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0.78979872063838</v>
      </c>
      <c r="J279" s="16" t="n">
        <f aca="false">IF(D279="","",$B$12)</f>
        <v>0.25</v>
      </c>
      <c r="K279" s="16" t="n">
        <f aca="false">IF(J279="","",J279*$B$15)</f>
        <v>0.648</v>
      </c>
      <c r="L279" s="16" t="n">
        <f aca="false">IF(D279="","",H279+E279-K279-G279*I279)</f>
        <v>5.98736321602507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0.778429520934796</v>
      </c>
      <c r="N279" s="16" t="n">
        <f aca="false">IF(D279="","",(I279+M279)/2)</f>
        <v>0.784114120786588</v>
      </c>
      <c r="O279" s="16" t="n">
        <f aca="false">IF(D279="","",G279*N279)</f>
        <v>0.0691588654533771</v>
      </c>
      <c r="P279" s="16" t="n">
        <f aca="false">IF(D279="","",H279+E279-K279-O279)</f>
        <v>5.987864597732</v>
      </c>
      <c r="Q279" s="16" t="n">
        <f aca="false">IF(D279="","",IF(P279&gt;=0,K279,MAX(0,K279+P279)))</f>
        <v>0.648</v>
      </c>
      <c r="R279" s="16" t="n">
        <f aca="false">IF(D279="","",Q279/$B$15)</f>
        <v>0.25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5.987864597732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28.112040364939</v>
      </c>
      <c r="Z279" s="18" t="n">
        <f aca="false">IF(D279="","",MAX(0,IF(P279&gt;=0,P279,IF(K279+P279&gt;=0,0,P279+K279))))</f>
        <v>5.987864597732</v>
      </c>
      <c r="AA279" s="18" t="n">
        <f aca="false">IF(D279="","",IF(H279&lt;=$B$16,1,IF(H279&gt;=$B$17,$B$21,MATCH(H279,Aux_CAV!$A$2:$A$121,1))))</f>
        <v>4</v>
      </c>
      <c r="AB279" s="18" t="n">
        <f aca="false">IF(D279="","",IF(L279&lt;=$B$16,1,IF(L279&gt;=$B$17,$B$21,MATCH(L279,Aux_CAV!$A$2:$A$121,1))))</f>
        <v>4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0.0608602562136408</v>
      </c>
      <c r="E280" s="16" t="n">
        <f aca="false">IF(D280="","",D280*$B$15)</f>
        <v>0.157749784105757</v>
      </c>
      <c r="F280" s="16" t="n">
        <f aca="false" t="array" ref="F280:F280">IF(D280="","",IFERROR(INDEX(Dados_Evap!$C$2:$N$15,MATCH($B$9,Dados_Evap!$A$2:$A$15,0),C280),0))</f>
        <v>83.9</v>
      </c>
      <c r="G280" s="16" t="n">
        <f aca="false">IF(F280="","",F280/1000)</f>
        <v>0.0839</v>
      </c>
      <c r="H280" s="16" t="n">
        <f aca="false">IF(D280="","",MAX(0,MIN($B$8,IFERROR(LOOKUP(2,1/($U$24:U279&lt;&gt;""),$U$24:U279),$B$11))))</f>
        <v>5.987864597732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0.778458768201033</v>
      </c>
      <c r="J280" s="16" t="n">
        <f aca="false">IF(D280="","",$B$12)</f>
        <v>0.25</v>
      </c>
      <c r="K280" s="16" t="n">
        <f aca="false">IF(J280="","",J280*$B$15)</f>
        <v>0.648</v>
      </c>
      <c r="L280" s="16" t="n">
        <f aca="false">IF(D280="","",H280+E280-K280-G280*I280)</f>
        <v>5.43230169118569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0.746050931985832</v>
      </c>
      <c r="N280" s="16" t="n">
        <f aca="false">IF(D280="","",(I280+M280)/2)</f>
        <v>0.762254850093433</v>
      </c>
      <c r="O280" s="16" t="n">
        <f aca="false">IF(D280="","",G280*N280)</f>
        <v>0.063953181922839</v>
      </c>
      <c r="P280" s="16" t="n">
        <f aca="false">IF(D280="","",H280+E280-K280-O280)</f>
        <v>5.43366119991492</v>
      </c>
      <c r="Q280" s="16" t="n">
        <f aca="false">IF(D280="","",IF(P280&gt;=0,K280,MAX(0,K280+P280)))</f>
        <v>0.648</v>
      </c>
      <c r="R280" s="16" t="n">
        <f aca="false">IF(D280="","",Q280/$B$15)</f>
        <v>0.25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5.43366119991492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25.5101464784738</v>
      </c>
      <c r="Z280" s="18" t="n">
        <f aca="false">IF(D280="","",MAX(0,IF(P280&gt;=0,P280,IF(K280+P280&gt;=0,0,P280+K280))))</f>
        <v>5.43366119991492</v>
      </c>
      <c r="AA280" s="18" t="n">
        <f aca="false">IF(D280="","",IF(H280&lt;=$B$16,1,IF(H280&gt;=$B$17,$B$21,MATCH(H280,Aux_CAV!$A$2:$A$121,1))))</f>
        <v>4</v>
      </c>
      <c r="AB280" s="18" t="n">
        <f aca="false">IF(D280="","",IF(L280&lt;=$B$16,1,IF(L280&gt;=$B$17,$B$21,MATCH(L280,Aux_CAV!$A$2:$A$121,1))))</f>
        <v>4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0.0223504433783056</v>
      </c>
      <c r="E281" s="16" t="n">
        <f aca="false">IF(D281="","",D281*$B$15)</f>
        <v>0.0579323492365681</v>
      </c>
      <c r="F281" s="16" t="n">
        <f aca="false" t="array" ref="F281:F281">IF(D281="","",IFERROR(INDEX(Dados_Evap!$C$2:$N$15,MATCH($B$9,Dados_Evap!$A$2:$A$15,0),C281),0))</f>
        <v>104.7</v>
      </c>
      <c r="G281" s="16" t="n">
        <f aca="false">IF(F281="","",F281/1000)</f>
        <v>0.1047</v>
      </c>
      <c r="H281" s="16" t="n">
        <f aca="false">IF(D281="","",MAX(0,MIN($B$8,IFERROR(LOOKUP(2,1/($U$24:U280&lt;&gt;""),$U$24:U280),$B$11))))</f>
        <v>5.43366119991492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0.746130236661704</v>
      </c>
      <c r="J281" s="16" t="n">
        <f aca="false">IF(D281="","",$B$12)</f>
        <v>0.25</v>
      </c>
      <c r="K281" s="16" t="n">
        <f aca="false">IF(J281="","",J281*$B$15)</f>
        <v>0.648</v>
      </c>
      <c r="L281" s="16" t="n">
        <f aca="false">IF(D281="","",H281+E281-K281-G281*I281)</f>
        <v>4.76547371337301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0.707152633280092</v>
      </c>
      <c r="N281" s="16" t="n">
        <f aca="false">IF(D281="","",(I281+M281)/2)</f>
        <v>0.726641434970898</v>
      </c>
      <c r="O281" s="16" t="n">
        <f aca="false">IF(D281="","",G281*N281)</f>
        <v>0.076079358241453</v>
      </c>
      <c r="P281" s="16" t="n">
        <f aca="false">IF(D281="","",H281+E281-K281-O281)</f>
        <v>4.76751419091004</v>
      </c>
      <c r="Q281" s="16" t="n">
        <f aca="false">IF(D281="","",IF(P281&gt;=0,K281,MAX(0,K281+P281)))</f>
        <v>0.648</v>
      </c>
      <c r="R281" s="16" t="n">
        <f aca="false">IF(D281="","",Q281/$B$15)</f>
        <v>0.25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4.76751419091004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22.382695731972</v>
      </c>
      <c r="Z281" s="18" t="n">
        <f aca="false">IF(D281="","",MAX(0,IF(P281&gt;=0,P281,IF(K281+P281&gt;=0,0,P281+K281))))</f>
        <v>4.76751419091004</v>
      </c>
      <c r="AA281" s="18" t="n">
        <f aca="false">IF(D281="","",IF(H281&lt;=$B$16,1,IF(H281&gt;=$B$17,$B$21,MATCH(H281,Aux_CAV!$A$2:$A$121,1))))</f>
        <v>4</v>
      </c>
      <c r="AB281" s="18" t="n">
        <f aca="false">IF(D281="","",IF(L281&lt;=$B$16,1,IF(L281&gt;=$B$17,$B$21,MATCH(L281,Aux_CAV!$A$2:$A$121,1))))</f>
        <v>4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0.0148259896007912</v>
      </c>
      <c r="E282" s="16" t="n">
        <f aca="false">IF(D282="","",D282*$B$15)</f>
        <v>0.0384289650452508</v>
      </c>
      <c r="F282" s="16" t="n">
        <f aca="false" t="array" ref="F282:F282">IF(D282="","",IFERROR(INDEX(Dados_Evap!$C$2:$N$15,MATCH($B$9,Dados_Evap!$A$2:$A$15,0),C282),0))</f>
        <v>145.2</v>
      </c>
      <c r="G282" s="16" t="n">
        <f aca="false">IF(F282="","",F282/1000)</f>
        <v>0.1452</v>
      </c>
      <c r="H282" s="16" t="n">
        <f aca="false">IF(D282="","",MAX(0,MIN($B$8,IFERROR(LOOKUP(2,1/($U$24:U281&lt;&gt;""),$U$24:U281),$B$11))))</f>
        <v>4.76751419091004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0.707271661136419</v>
      </c>
      <c r="J282" s="16" t="n">
        <f aca="false">IF(D282="","",$B$12)</f>
        <v>0.25</v>
      </c>
      <c r="K282" s="16" t="n">
        <f aca="false">IF(J282="","",J282*$B$15)</f>
        <v>0.648</v>
      </c>
      <c r="L282" s="16" t="n">
        <f aca="false">IF(D282="","",H282+E282-K282-G282*I282)</f>
        <v>4.05524731075828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0.665722759794233</v>
      </c>
      <c r="N282" s="16" t="n">
        <f aca="false">IF(D282="","",(I282+M282)/2)</f>
        <v>0.686497210465326</v>
      </c>
      <c r="O282" s="16" t="n">
        <f aca="false">IF(D282="","",G282*N282)</f>
        <v>0.0996793949595653</v>
      </c>
      <c r="P282" s="16" t="n">
        <f aca="false">IF(D282="","",H282+E282-K282-O282)</f>
        <v>4.05826376099572</v>
      </c>
      <c r="Q282" s="16" t="n">
        <f aca="false">IF(D282="","",IF(P282&gt;=0,K282,MAX(0,K282+P282)))</f>
        <v>0.648</v>
      </c>
      <c r="R282" s="16" t="n">
        <f aca="false">IF(D282="","",Q282/$B$15)</f>
        <v>0.25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4.05826376099572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19.0528815070222</v>
      </c>
      <c r="Z282" s="18" t="n">
        <f aca="false">IF(D282="","",MAX(0,IF(P282&gt;=0,P282,IF(K282+P282&gt;=0,0,P282+K282))))</f>
        <v>4.05826376099572</v>
      </c>
      <c r="AA282" s="18" t="n">
        <f aca="false">IF(D282="","",IF(H282&lt;=$B$16,1,IF(H282&gt;=$B$17,$B$21,MATCH(H282,Aux_CAV!$A$2:$A$121,1))))</f>
        <v>4</v>
      </c>
      <c r="AB282" s="18" t="n">
        <f aca="false">IF(D282="","",IF(L282&lt;=$B$16,1,IF(L282&gt;=$B$17,$B$21,MATCH(L282,Aux_CAV!$A$2:$A$121,1))))</f>
        <v>4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0.00639554748018629</v>
      </c>
      <c r="E283" s="16" t="n">
        <f aca="false">IF(D283="","",D283*$B$15)</f>
        <v>0.0165772590686429</v>
      </c>
      <c r="F283" s="16" t="n">
        <f aca="false" t="array" ref="F283:F283">IF(D283="","",IFERROR(INDEX(Dados_Evap!$C$2:$N$15,MATCH($B$9,Dados_Evap!$A$2:$A$15,0),C283),0))</f>
        <v>180.9</v>
      </c>
      <c r="G283" s="16" t="n">
        <f aca="false">IF(F283="","",F283/1000)</f>
        <v>0.1809</v>
      </c>
      <c r="H283" s="16" t="n">
        <f aca="false">IF(D283="","",MAX(0,MIN($B$8,IFERROR(LOOKUP(2,1/($U$24:U282&lt;&gt;""),$U$24:U282),$B$11))))</f>
        <v>4.05826376099572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0.665898719391417</v>
      </c>
      <c r="J283" s="16" t="n">
        <f aca="false">IF(D283="","",$B$12)</f>
        <v>0.25</v>
      </c>
      <c r="K283" s="16" t="n">
        <f aca="false">IF(J283="","",J283*$B$15)</f>
        <v>0.648</v>
      </c>
      <c r="L283" s="16" t="n">
        <f aca="false">IF(D283="","",H283+E283-K283-G283*I283)</f>
        <v>3.30637994172646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0.622038829934043</v>
      </c>
      <c r="N283" s="16" t="n">
        <f aca="false">IF(D283="","",(I283+M283)/2)</f>
        <v>0.64396877466273</v>
      </c>
      <c r="O283" s="16" t="n">
        <f aca="false">IF(D283="","",G283*N283)</f>
        <v>0.116493951336488</v>
      </c>
      <c r="P283" s="16" t="n">
        <f aca="false">IF(D283="","",H283+E283-K283-O283)</f>
        <v>3.31034706872787</v>
      </c>
      <c r="Q283" s="16" t="n">
        <f aca="false">IF(D283="","",IF(P283&gt;=0,K283,MAX(0,K283+P283)))</f>
        <v>0.648</v>
      </c>
      <c r="R283" s="16" t="n">
        <f aca="false">IF(D283="","",Q283/$B$15)</f>
        <v>0.25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3.31034706872787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15.5415355339337</v>
      </c>
      <c r="Z283" s="18" t="n">
        <f aca="false">IF(D283="","",MAX(0,IF(P283&gt;=0,P283,IF(K283+P283&gt;=0,0,P283+K283))))</f>
        <v>3.31034706872787</v>
      </c>
      <c r="AA283" s="18" t="n">
        <f aca="false">IF(D283="","",IF(H283&lt;=$B$16,1,IF(H283&gt;=$B$17,$B$21,MATCH(H283,Aux_CAV!$A$2:$A$121,1))))</f>
        <v>4</v>
      </c>
      <c r="AB283" s="18" t="n">
        <f aca="false">IF(D283="","",IF(L283&lt;=$B$16,1,IF(L283&gt;=$B$17,$B$21,MATCH(L283,Aux_CAV!$A$2:$A$121,1))))</f>
        <v>4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0.00400005633791908</v>
      </c>
      <c r="E284" s="16" t="n">
        <f aca="false">IF(D284="","",D284*$B$15)</f>
        <v>0.0103681460278863</v>
      </c>
      <c r="F284" s="16" t="n">
        <f aca="false" t="array" ref="F284:F284">IF(D284="","",IFERROR(INDEX(Dados_Evap!$C$2:$N$15,MATCH($B$9,Dados_Evap!$A$2:$A$15,0),C284),0))</f>
        <v>208.9</v>
      </c>
      <c r="G284" s="16" t="n">
        <f aca="false">IF(F284="","",F284/1000)</f>
        <v>0.2089</v>
      </c>
      <c r="H284" s="16" t="n">
        <f aca="false">IF(D284="","",MAX(0,MIN($B$8,IFERROR(LOOKUP(2,1/($U$24:U283&lt;&gt;""),$U$24:U283),$B$11))))</f>
        <v>3.31034706872787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0.622270245675793</v>
      </c>
      <c r="J284" s="16" t="n">
        <f aca="false">IF(D284="","",$B$12)</f>
        <v>0.25</v>
      </c>
      <c r="K284" s="16" t="n">
        <f aca="false">IF(J284="","",J284*$B$15)</f>
        <v>0.648</v>
      </c>
      <c r="L284" s="16" t="n">
        <f aca="false">IF(D284="","",H284+E284-K284-G284*I284)</f>
        <v>2.54272296043409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0.531093516521641</v>
      </c>
      <c r="N284" s="16" t="n">
        <f aca="false">IF(D284="","",(I284+M284)/2)</f>
        <v>0.576681881098717</v>
      </c>
      <c r="O284" s="16" t="n">
        <f aca="false">IF(D284="","",G284*N284)</f>
        <v>0.120468844961522</v>
      </c>
      <c r="P284" s="16" t="n">
        <f aca="false">IF(D284="","",H284+E284-K284-O284)</f>
        <v>2.55224636979424</v>
      </c>
      <c r="Q284" s="16" t="n">
        <f aca="false">IF(D284="","",IF(P284&gt;=0,K284,MAX(0,K284+P284)))</f>
        <v>0.648</v>
      </c>
      <c r="R284" s="16" t="n">
        <f aca="false">IF(D284="","",Q284/$B$15)</f>
        <v>0.25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2.55224636979424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11.9823773229776</v>
      </c>
      <c r="Z284" s="18" t="n">
        <f aca="false">IF(D284="","",MAX(0,IF(P284&gt;=0,P284,IF(K284+P284&gt;=0,0,P284+K284))))</f>
        <v>2.55224636979424</v>
      </c>
      <c r="AA284" s="18" t="n">
        <f aca="false">IF(D284="","",IF(H284&lt;=$B$16,1,IF(H284&gt;=$B$17,$B$21,MATCH(H284,Aux_CAV!$A$2:$A$121,1))))</f>
        <v>4</v>
      </c>
      <c r="AB284" s="18" t="n">
        <f aca="false">IF(D284="","",IF(L284&lt;=$B$16,1,IF(L284&gt;=$B$17,$B$21,MATCH(L284,Aux_CAV!$A$2:$A$121,1))))</f>
        <v>3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0.00235769175817174</v>
      </c>
      <c r="E285" s="16" t="n">
        <f aca="false">IF(D285="","",D285*$B$15)</f>
        <v>0.00611113703718115</v>
      </c>
      <c r="F285" s="16" t="n">
        <f aca="false" t="array" ref="F285:F285">IF(D285="","",IFERROR(INDEX(Dados_Evap!$C$2:$N$15,MATCH($B$9,Dados_Evap!$A$2:$A$15,0),C285),0))</f>
        <v>235.9</v>
      </c>
      <c r="G285" s="16" t="n">
        <f aca="false">IF(F285="","",F285/1000)</f>
        <v>0.2359</v>
      </c>
      <c r="H285" s="16" t="n">
        <f aca="false">IF(D285="","",MAX(0,MIN($B$8,IFERROR(LOOKUP(2,1/($U$24:U284&lt;&gt;""),$U$24:U284),$B$11))))</f>
        <v>2.55224636979424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0.532441963864671</v>
      </c>
      <c r="J285" s="16" t="n">
        <f aca="false">IF(D285="","",$B$12)</f>
        <v>0.25</v>
      </c>
      <c r="K285" s="16" t="n">
        <f aca="false">IF(J285="","",J285*$B$15)</f>
        <v>0.648</v>
      </c>
      <c r="L285" s="16" t="n">
        <f aca="false">IF(D285="","",H285+E285-K285-G285*I285)</f>
        <v>1.78475444755574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0.423770541246831</v>
      </c>
      <c r="N285" s="16" t="n">
        <f aca="false">IF(D285="","",(I285+M285)/2)</f>
        <v>0.478106252555751</v>
      </c>
      <c r="O285" s="16" t="n">
        <f aca="false">IF(D285="","",G285*N285)</f>
        <v>0.112785264977902</v>
      </c>
      <c r="P285" s="16" t="n">
        <f aca="false">IF(D285="","",H285+E285-K285-O285)</f>
        <v>1.79757224185352</v>
      </c>
      <c r="Q285" s="16" t="n">
        <f aca="false">IF(D285="","",IF(P285&gt;=0,K285,MAX(0,K285+P285)))</f>
        <v>0.648</v>
      </c>
      <c r="R285" s="16" t="n">
        <f aca="false">IF(D285="","",Q285/$B$15)</f>
        <v>0.25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1.79757224185352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8.43930629978178</v>
      </c>
      <c r="Z285" s="18" t="n">
        <f aca="false">IF(D285="","",MAX(0,IF(P285&gt;=0,P285,IF(K285+P285&gt;=0,0,P285+K285))))</f>
        <v>1.79757224185352</v>
      </c>
      <c r="AA285" s="18" t="n">
        <f aca="false">IF(D285="","",IF(H285&lt;=$B$16,1,IF(H285&gt;=$B$17,$B$21,MATCH(H285,Aux_CAV!$A$2:$A$121,1))))</f>
        <v>3</v>
      </c>
      <c r="AB285" s="18" t="n">
        <f aca="false">IF(D285="","",IF(L285&lt;=$B$16,1,IF(L285&gt;=$B$17,$B$21,MATCH(L285,Aux_CAV!$A$2:$A$121,1))))</f>
        <v>3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0.00144884294801497</v>
      </c>
      <c r="E286" s="16" t="n">
        <f aca="false">IF(D286="","",D286*$B$15)</f>
        <v>0.0037554009212548</v>
      </c>
      <c r="F286" s="16" t="n">
        <f aca="false" t="array" ref="F286:F286">IF(D286="","",IFERROR(INDEX(Dados_Evap!$C$2:$N$15,MATCH($B$9,Dados_Evap!$A$2:$A$15,0),C286),0))</f>
        <v>225.9</v>
      </c>
      <c r="G286" s="16" t="n">
        <f aca="false">IF(F286="","",F286/1000)</f>
        <v>0.2259</v>
      </c>
      <c r="H286" s="16" t="n">
        <f aca="false">IF(D286="","",MAX(0,MIN($B$8,IFERROR(LOOKUP(2,1/($U$24:U285&lt;&gt;""),$U$24:U285),$B$11))))</f>
        <v>1.79757224185352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0.42558545017395</v>
      </c>
      <c r="J286" s="16" t="n">
        <f aca="false">IF(D286="","",$B$12)</f>
        <v>0.25</v>
      </c>
      <c r="K286" s="16" t="n">
        <f aca="false">IF(J286="","",J286*$B$15)</f>
        <v>0.648</v>
      </c>
      <c r="L286" s="16" t="n">
        <f aca="false">IF(D286="","",H286+E286-K286-G286*I286)</f>
        <v>1.05718788958048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0.320752267551218</v>
      </c>
      <c r="N286" s="16" t="n">
        <f aca="false">IF(D286="","",(I286+M286)/2)</f>
        <v>0.373168858862584</v>
      </c>
      <c r="O286" s="16" t="n">
        <f aca="false">IF(D286="","",G286*N286)</f>
        <v>0.0842988452170577</v>
      </c>
      <c r="P286" s="16" t="n">
        <f aca="false">IF(D286="","",H286+E286-K286-O286)</f>
        <v>1.06902879755772</v>
      </c>
      <c r="Q286" s="16" t="n">
        <f aca="false">IF(D286="","",IF(P286&gt;=0,K286,MAX(0,K286+P286)))</f>
        <v>0.648</v>
      </c>
      <c r="R286" s="16" t="n">
        <f aca="false">IF(D286="","",Q286/$B$15)</f>
        <v>0.25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1.06902879755772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5.01891454252449</v>
      </c>
      <c r="Z286" s="18" t="n">
        <f aca="false">IF(D286="","",MAX(0,IF(P286&gt;=0,P286,IF(K286+P286&gt;=0,0,P286+K286))))</f>
        <v>1.06902879755772</v>
      </c>
      <c r="AA286" s="18" t="n">
        <f aca="false">IF(D286="","",IF(H286&lt;=$B$16,1,IF(H286&gt;=$B$17,$B$21,MATCH(H286,Aux_CAV!$A$2:$A$121,1))))</f>
        <v>3</v>
      </c>
      <c r="AB286" s="18" t="n">
        <f aca="false">IF(D286="","",IF(L286&lt;=$B$16,1,IF(L286&gt;=$B$17,$B$21,MATCH(L286,Aux_CAV!$A$2:$A$121,1))))</f>
        <v>3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0.000877729547496335</v>
      </c>
      <c r="E287" s="16" t="n">
        <f aca="false">IF(D287="","",D287*$B$15)</f>
        <v>0.0022750749871105</v>
      </c>
      <c r="F287" s="16" t="n">
        <f aca="false" t="array" ref="F287:F287">IF(D287="","",IFERROR(INDEX(Dados_Evap!$C$2:$N$15,MATCH($B$9,Dados_Evap!$A$2:$A$15,0),C287),0))</f>
        <v>206</v>
      </c>
      <c r="G287" s="16" t="n">
        <f aca="false">IF(F287="","",F287/1000)</f>
        <v>0.206</v>
      </c>
      <c r="H287" s="16" t="n">
        <f aca="false">IF(D287="","",MAX(0,MIN($B$8,IFERROR(LOOKUP(2,1/($U$24:U286&lt;&gt;""),$U$24:U286),$B$11))))</f>
        <v>1.06902879755772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0.322428856291358</v>
      </c>
      <c r="J287" s="16" t="n">
        <f aca="false">IF(D287="","",$B$12)</f>
        <v>0.25</v>
      </c>
      <c r="K287" s="16" t="n">
        <f aca="false">IF(J287="","",J287*$B$15)</f>
        <v>0.648</v>
      </c>
      <c r="L287" s="16" t="n">
        <f aca="false">IF(D287="","",H287+E287-K287-G287*I287)</f>
        <v>0.356883528148807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0.124884243797693</v>
      </c>
      <c r="N287" s="16" t="n">
        <f aca="false">IF(D287="","",(I287+M287)/2)</f>
        <v>0.223656550044526</v>
      </c>
      <c r="O287" s="16" t="n">
        <f aca="false">IF(D287="","",G287*N287)</f>
        <v>0.0460732493091723</v>
      </c>
      <c r="P287" s="16" t="n">
        <f aca="false">IF(D287="","",H287+E287-K287-O287)</f>
        <v>0.377230623235654</v>
      </c>
      <c r="Q287" s="16" t="n">
        <f aca="false">IF(D287="","",IF(P287&gt;=0,K287,MAX(0,K287+P287)))</f>
        <v>0.648</v>
      </c>
      <c r="R287" s="16" t="n">
        <f aca="false">IF(D287="","",Q287/$B$15)</f>
        <v>0.25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0.377230623235654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1.77103578983875</v>
      </c>
      <c r="Z287" s="18" t="n">
        <f aca="false">IF(D287="","",MAX(0,IF(P287&gt;=0,P287,IF(K287+P287&gt;=0,0,P287+K287))))</f>
        <v>0.377230623235654</v>
      </c>
      <c r="AA287" s="18" t="n">
        <f aca="false">IF(D287="","",IF(H287&lt;=$B$16,1,IF(H287&gt;=$B$17,$B$21,MATCH(H287,Aux_CAV!$A$2:$A$121,1))))</f>
        <v>3</v>
      </c>
      <c r="AB287" s="18" t="n">
        <f aca="false">IF(D287="","",IF(L287&lt;=$B$16,1,IF(L287&gt;=$B$17,$B$21,MATCH(L287,Aux_CAV!$A$2:$A$121,1))))</f>
        <v>2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0.0399406869076112</v>
      </c>
      <c r="E288" s="16" t="n">
        <f aca="false">IF(D288="","",D288*$B$15)</f>
        <v>0.103526260464528</v>
      </c>
      <c r="F288" s="16" t="n">
        <f aca="false" t="array" ref="F288:F288">IF(D288="","",IFERROR(INDEX(Dados_Evap!$C$2:$N$15,MATCH($B$9,Dados_Evap!$A$2:$A$15,0),C288),0))</f>
        <v>165.6</v>
      </c>
      <c r="G288" s="16" t="n">
        <f aca="false">IF(F288="","",F288/1000)</f>
        <v>0.1656</v>
      </c>
      <c r="H288" s="16" t="n">
        <f aca="false">IF(D288="","",MAX(0,MIN($B$8,IFERROR(LOOKUP(2,1/($U$24:U287&lt;&gt;""),$U$24:U287),$B$11))))</f>
        <v>0.377230623235654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0.131838314270413</v>
      </c>
      <c r="J288" s="16" t="n">
        <f aca="false">IF(D288="","",$B$12)</f>
        <v>0.25</v>
      </c>
      <c r="K288" s="16" t="n">
        <f aca="false">IF(J288="","",J288*$B$15)</f>
        <v>0.648</v>
      </c>
      <c r="L288" s="16" t="n">
        <f aca="false">IF(D288="","",H288+E288-K288-G288*I288)</f>
        <v>-0.189075541142998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0.0659191571352067</v>
      </c>
      <c r="O288" s="16" t="n">
        <f aca="false">IF(D288="","",G288*N288)</f>
        <v>0.0109162124215902</v>
      </c>
      <c r="P288" s="16" t="n">
        <f aca="false">IF(D288="","",H288+E288-K288-O288)</f>
        <v>-0.178159328721408</v>
      </c>
      <c r="Q288" s="16" t="n">
        <f aca="false">IF(D288="","",IF(P288&gt;=0,K288,MAX(0,K288+P288)))</f>
        <v>0.469840671278592</v>
      </c>
      <c r="R288" s="16" t="n">
        <f aca="false">IF(D288="","",Q288/$B$15)</f>
        <v>0.181265691079704</v>
      </c>
      <c r="S288" s="16" t="n">
        <f aca="false">IF(D288="","",MAX(0,J288-R288))</f>
        <v>0.0687343089202963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2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0.0652428642948685</v>
      </c>
      <c r="E289" s="16" t="n">
        <f aca="false">IF(D289="","",D289*$B$15)</f>
        <v>0.169109504252299</v>
      </c>
      <c r="F289" s="16" t="n">
        <f aca="false" t="array" ref="F289:F289">IF(D289="","",IFERROR(INDEX(Dados_Evap!$C$2:$N$15,MATCH($B$9,Dados_Evap!$A$2:$A$15,0),C289),0))</f>
        <v>124.9</v>
      </c>
      <c r="G289" s="16" t="n">
        <f aca="false">IF(F289="","",F289/1000)</f>
        <v>0.1249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0.25</v>
      </c>
      <c r="K289" s="16" t="n">
        <f aca="false">IF(J289="","",J289*$B$15)</f>
        <v>0.648</v>
      </c>
      <c r="L289" s="16" t="n">
        <f aca="false">IF(D289="","",H289+E289-K289-G289*I289)</f>
        <v>-0.478890495747701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-0.478890495747701</v>
      </c>
      <c r="Q289" s="16" t="n">
        <f aca="false">IF(D289="","",IF(P289&gt;=0,K289,MAX(0,K289+P289)))</f>
        <v>0.169109504252299</v>
      </c>
      <c r="R289" s="16" t="n">
        <f aca="false">IF(D289="","",Q289/$B$15)</f>
        <v>0.0652428642948685</v>
      </c>
      <c r="S289" s="16" t="n">
        <f aca="false">IF(D289="","",MAX(0,J289-R289))</f>
        <v>0.184757135705131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0.063796872850402</v>
      </c>
      <c r="E290" s="16" t="n">
        <f aca="false">IF(D290="","",D290*$B$15)</f>
        <v>0.165361494428242</v>
      </c>
      <c r="F290" s="16" t="n">
        <f aca="false" t="array" ref="F290:F290">IF(D290="","",IFERROR(INDEX(Dados_Evap!$C$2:$N$15,MATCH($B$9,Dados_Evap!$A$2:$A$15,0),C290),0))</f>
        <v>88.2</v>
      </c>
      <c r="G290" s="16" t="n">
        <f aca="false">IF(F290="","",F290/1000)</f>
        <v>0.0882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0.25</v>
      </c>
      <c r="K290" s="16" t="n">
        <f aca="false">IF(J290="","",J290*$B$15)</f>
        <v>0.648</v>
      </c>
      <c r="L290" s="16" t="n">
        <f aca="false">IF(D290="","",H290+E290-K290-G290*I290)</f>
        <v>-0.482638505571758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-0.482638505571758</v>
      </c>
      <c r="Q290" s="16" t="n">
        <f aca="false">IF(D290="","",IF(P290&gt;=0,K290,MAX(0,K290+P290)))</f>
        <v>0.165361494428242</v>
      </c>
      <c r="R290" s="16" t="n">
        <f aca="false">IF(D290="","",Q290/$B$15)</f>
        <v>0.063796872850402</v>
      </c>
      <c r="S290" s="16" t="n">
        <f aca="false">IF(D290="","",MAX(0,J290-R290))</f>
        <v>0.186203127149598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0.0204906328417081</v>
      </c>
      <c r="E291" s="16" t="n">
        <f aca="false">IF(D291="","",D291*$B$15)</f>
        <v>0.0531117203257074</v>
      </c>
      <c r="F291" s="16" t="n">
        <f aca="false" t="array" ref="F291:F291">IF(D291="","",IFERROR(INDEX(Dados_Evap!$C$2:$N$15,MATCH($B$9,Dados_Evap!$A$2:$A$15,0),C291),0))</f>
        <v>88.2</v>
      </c>
      <c r="G291" s="16" t="n">
        <f aca="false">IF(F291="","",F291/1000)</f>
        <v>0.0882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0.25</v>
      </c>
      <c r="K291" s="16" t="n">
        <f aca="false">IF(J291="","",J291*$B$15)</f>
        <v>0.648</v>
      </c>
      <c r="L291" s="16" t="n">
        <f aca="false">IF(D291="","",H291+E291-K291-G291*I291)</f>
        <v>-0.594888279674293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-0.594888279674293</v>
      </c>
      <c r="Q291" s="16" t="n">
        <f aca="false">IF(D291="","",IF(P291&gt;=0,K291,MAX(0,K291+P291)))</f>
        <v>0.0531117203257074</v>
      </c>
      <c r="R291" s="16" t="n">
        <f aca="false">IF(D291="","",Q291/$B$15)</f>
        <v>0.0204906328417081</v>
      </c>
      <c r="S291" s="16" t="n">
        <f aca="false">IF(D291="","",MAX(0,J291-R291))</f>
        <v>0.229509367158292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0.0850920283556693</v>
      </c>
      <c r="E292" s="16" t="n">
        <f aca="false">IF(D292="","",D292*$B$15)</f>
        <v>0.220558537497895</v>
      </c>
      <c r="F292" s="16" t="n">
        <f aca="false" t="array" ref="F292:F292">IF(D292="","",IFERROR(INDEX(Dados_Evap!$C$2:$N$15,MATCH($B$9,Dados_Evap!$A$2:$A$15,0),C292),0))</f>
        <v>83.9</v>
      </c>
      <c r="G292" s="16" t="n">
        <f aca="false">IF(F292="","",F292/1000)</f>
        <v>0.0839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0.25</v>
      </c>
      <c r="K292" s="16" t="n">
        <f aca="false">IF(J292="","",J292*$B$15)</f>
        <v>0.648</v>
      </c>
      <c r="L292" s="16" t="n">
        <f aca="false">IF(D292="","",H292+E292-K292-G292*I292)</f>
        <v>-0.427441462502105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-0.427441462502105</v>
      </c>
      <c r="Q292" s="16" t="n">
        <f aca="false">IF(D292="","",IF(P292&gt;=0,K292,MAX(0,K292+P292)))</f>
        <v>0.220558537497895</v>
      </c>
      <c r="R292" s="16" t="n">
        <f aca="false">IF(D292="","",Q292/$B$15)</f>
        <v>0.0850920283556693</v>
      </c>
      <c r="S292" s="16" t="n">
        <f aca="false">IF(D292="","",MAX(0,J292-R292))</f>
        <v>0.164907971644331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0.0854785218924353</v>
      </c>
      <c r="E293" s="16" t="n">
        <f aca="false">IF(D293="","",D293*$B$15)</f>
        <v>0.221560328745192</v>
      </c>
      <c r="F293" s="16" t="n">
        <f aca="false" t="array" ref="F293:F293">IF(D293="","",IFERROR(INDEX(Dados_Evap!$C$2:$N$15,MATCH($B$9,Dados_Evap!$A$2:$A$15,0),C293),0))</f>
        <v>104.7</v>
      </c>
      <c r="G293" s="16" t="n">
        <f aca="false">IF(F293="","",F293/1000)</f>
        <v>0.1047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0.25</v>
      </c>
      <c r="K293" s="16" t="n">
        <f aca="false">IF(J293="","",J293*$B$15)</f>
        <v>0.648</v>
      </c>
      <c r="L293" s="16" t="n">
        <f aca="false">IF(D293="","",H293+E293-K293-G293*I293)</f>
        <v>-0.426439671254808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-0.426439671254808</v>
      </c>
      <c r="Q293" s="16" t="n">
        <f aca="false">IF(D293="","",IF(P293&gt;=0,K293,MAX(0,K293+P293)))</f>
        <v>0.221560328745192</v>
      </c>
      <c r="R293" s="16" t="n">
        <f aca="false">IF(D293="","",Q293/$B$15)</f>
        <v>0.0854785218924353</v>
      </c>
      <c r="S293" s="16" t="n">
        <f aca="false">IF(D293="","",MAX(0,J293-R293))</f>
        <v>0.164521478107565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0.00943646771776721</v>
      </c>
      <c r="E294" s="16" t="n">
        <f aca="false">IF(D294="","",D294*$B$15)</f>
        <v>0.0244593243244526</v>
      </c>
      <c r="F294" s="16" t="n">
        <f aca="false" t="array" ref="F294:F294">IF(D294="","",IFERROR(INDEX(Dados_Evap!$C$2:$N$15,MATCH($B$9,Dados_Evap!$A$2:$A$15,0),C294),0))</f>
        <v>145.2</v>
      </c>
      <c r="G294" s="16" t="n">
        <f aca="false">IF(F294="","",F294/1000)</f>
        <v>0.1452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0.25</v>
      </c>
      <c r="K294" s="16" t="n">
        <f aca="false">IF(J294="","",J294*$B$15)</f>
        <v>0.648</v>
      </c>
      <c r="L294" s="16" t="n">
        <f aca="false">IF(D294="","",H294+E294-K294-G294*I294)</f>
        <v>-0.623540675675547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-0.623540675675547</v>
      </c>
      <c r="Q294" s="16" t="n">
        <f aca="false">IF(D294="","",IF(P294&gt;=0,K294,MAX(0,K294+P294)))</f>
        <v>0.0244593243244526</v>
      </c>
      <c r="R294" s="16" t="n">
        <f aca="false">IF(D294="","",Q294/$B$15)</f>
        <v>0.00943646771776722</v>
      </c>
      <c r="S294" s="16" t="n">
        <f aca="false">IF(D294="","",MAX(0,J294-R294))</f>
        <v>0.240563532282233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0.00292945485315722</v>
      </c>
      <c r="E295" s="16" t="n">
        <f aca="false">IF(D295="","",D295*$B$15)</f>
        <v>0.00759314697938352</v>
      </c>
      <c r="F295" s="16" t="n">
        <f aca="false" t="array" ref="F295:F295">IF(D295="","",IFERROR(INDEX(Dados_Evap!$C$2:$N$15,MATCH($B$9,Dados_Evap!$A$2:$A$15,0),C295),0))</f>
        <v>180.9</v>
      </c>
      <c r="G295" s="16" t="n">
        <f aca="false">IF(F295="","",F295/1000)</f>
        <v>0.1809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0.25</v>
      </c>
      <c r="K295" s="16" t="n">
        <f aca="false">IF(J295="","",J295*$B$15)</f>
        <v>0.648</v>
      </c>
      <c r="L295" s="16" t="n">
        <f aca="false">IF(D295="","",H295+E295-K295-G295*I295)</f>
        <v>-0.640406853020617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-0.640406853020617</v>
      </c>
      <c r="Q295" s="16" t="n">
        <f aca="false">IF(D295="","",IF(P295&gt;=0,K295,MAX(0,K295+P295)))</f>
        <v>0.00759314697938351</v>
      </c>
      <c r="R295" s="16" t="n">
        <f aca="false">IF(D295="","",Q295/$B$15)</f>
        <v>0.00292945485315722</v>
      </c>
      <c r="S295" s="16" t="n">
        <f aca="false">IF(D295="","",MAX(0,J295-R295))</f>
        <v>0.247070545146843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0.0101433537327987</v>
      </c>
      <c r="E296" s="16" t="n">
        <f aca="false">IF(D296="","",D296*$B$15)</f>
        <v>0.0262915728754142</v>
      </c>
      <c r="F296" s="16" t="n">
        <f aca="false" t="array" ref="F296:F296">IF(D296="","",IFERROR(INDEX(Dados_Evap!$C$2:$N$15,MATCH($B$9,Dados_Evap!$A$2:$A$15,0),C296),0))</f>
        <v>208.9</v>
      </c>
      <c r="G296" s="16" t="n">
        <f aca="false">IF(F296="","",F296/1000)</f>
        <v>0.2089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0.25</v>
      </c>
      <c r="K296" s="16" t="n">
        <f aca="false">IF(J296="","",J296*$B$15)</f>
        <v>0.648</v>
      </c>
      <c r="L296" s="16" t="n">
        <f aca="false">IF(D296="","",H296+E296-K296-G296*I296)</f>
        <v>-0.621708427124586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-0.621708427124586</v>
      </c>
      <c r="Q296" s="16" t="n">
        <f aca="false">IF(D296="","",IF(P296&gt;=0,K296,MAX(0,K296+P296)))</f>
        <v>0.0262915728754143</v>
      </c>
      <c r="R296" s="16" t="n">
        <f aca="false">IF(D296="","",Q296/$B$15)</f>
        <v>0.0101433537327987</v>
      </c>
      <c r="S296" s="16" t="n">
        <f aca="false">IF(D296="","",MAX(0,J296-R296))</f>
        <v>0.239856646267201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0.00231730686772406</v>
      </c>
      <c r="E297" s="16" t="n">
        <f aca="false">IF(D297="","",D297*$B$15)</f>
        <v>0.00600645940114076</v>
      </c>
      <c r="F297" s="16" t="n">
        <f aca="false" t="array" ref="F297:F297">IF(D297="","",IFERROR(INDEX(Dados_Evap!$C$2:$N$15,MATCH($B$9,Dados_Evap!$A$2:$A$15,0),C297),0))</f>
        <v>235.9</v>
      </c>
      <c r="G297" s="16" t="n">
        <f aca="false">IF(F297="","",F297/1000)</f>
        <v>0.2359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0.25</v>
      </c>
      <c r="K297" s="16" t="n">
        <f aca="false">IF(J297="","",J297*$B$15)</f>
        <v>0.648</v>
      </c>
      <c r="L297" s="16" t="n">
        <f aca="false">IF(D297="","",H297+E297-K297-G297*I297)</f>
        <v>-0.641993540598859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-0.641993540598859</v>
      </c>
      <c r="Q297" s="16" t="n">
        <f aca="false">IF(D297="","",IF(P297&gt;=0,K297,MAX(0,K297+P297)))</f>
        <v>0.00600645940114075</v>
      </c>
      <c r="R297" s="16" t="n">
        <f aca="false">IF(D297="","",Q297/$B$15)</f>
        <v>0.00231730686772406</v>
      </c>
      <c r="S297" s="16" t="n">
        <f aca="false">IF(D297="","",MAX(0,J297-R297))</f>
        <v>0.247682693132276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0.000876661318308058</v>
      </c>
      <c r="E298" s="16" t="n">
        <f aca="false">IF(D298="","",D298*$B$15)</f>
        <v>0.00227230613705449</v>
      </c>
      <c r="F298" s="16" t="n">
        <f aca="false" t="array" ref="F298:F298">IF(D298="","",IFERROR(INDEX(Dados_Evap!$C$2:$N$15,MATCH($B$9,Dados_Evap!$A$2:$A$15,0),C298),0))</f>
        <v>225.9</v>
      </c>
      <c r="G298" s="16" t="n">
        <f aca="false">IF(F298="","",F298/1000)</f>
        <v>0.2259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0.25</v>
      </c>
      <c r="K298" s="16" t="n">
        <f aca="false">IF(J298="","",J298*$B$15)</f>
        <v>0.648</v>
      </c>
      <c r="L298" s="16" t="n">
        <f aca="false">IF(D298="","",H298+E298-K298-G298*I298)</f>
        <v>-0.645727693862946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-0.645727693862946</v>
      </c>
      <c r="Q298" s="16" t="n">
        <f aca="false">IF(D298="","",IF(P298&gt;=0,K298,MAX(0,K298+P298)))</f>
        <v>0.00227230613705454</v>
      </c>
      <c r="R298" s="16" t="n">
        <f aca="false">IF(D298="","",Q298/$B$15)</f>
        <v>0.000876661318308077</v>
      </c>
      <c r="S298" s="16" t="n">
        <f aca="false">IF(D298="","",MAX(0,J298-R298))</f>
        <v>0.249123338681692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4.98732999343332E-017</v>
      </c>
      <c r="X298" s="16" t="n">
        <f aca="false">IF(W298="","",ABS(W298))</f>
        <v>4.98732999343332E-017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0.000549417487250886</v>
      </c>
      <c r="E299" s="16" t="n">
        <f aca="false">IF(D299="","",D299*$B$15)</f>
        <v>0.0014240901269543</v>
      </c>
      <c r="F299" s="16" t="n">
        <f aca="false" t="array" ref="F299:F299">IF(D299="","",IFERROR(INDEX(Dados_Evap!$C$2:$N$15,MATCH($B$9,Dados_Evap!$A$2:$A$15,0),C299),0))</f>
        <v>206</v>
      </c>
      <c r="G299" s="16" t="n">
        <f aca="false">IF(F299="","",F299/1000)</f>
        <v>0.206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0.25</v>
      </c>
      <c r="K299" s="16" t="n">
        <f aca="false">IF(J299="","",J299*$B$15)</f>
        <v>0.648</v>
      </c>
      <c r="L299" s="16" t="n">
        <f aca="false">IF(D299="","",H299+E299-K299-G299*I299)</f>
        <v>-0.646575909873046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-0.646575909873046</v>
      </c>
      <c r="Q299" s="16" t="n">
        <f aca="false">IF(D299="","",IF(P299&gt;=0,K299,MAX(0,K299+P299)))</f>
        <v>0.00142409012695433</v>
      </c>
      <c r="R299" s="16" t="n">
        <f aca="false">IF(D299="","",Q299/$B$15)</f>
        <v>0.000549417487250897</v>
      </c>
      <c r="S299" s="16" t="n">
        <f aca="false">IF(D299="","",MAX(0,J299-R299))</f>
        <v>0.249450582512749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2.84060969191202E-017</v>
      </c>
      <c r="X299" s="16" t="n">
        <f aca="false">IF(W299="","",ABS(W299))</f>
        <v>2.84060969191202E-017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0.10092233348022</v>
      </c>
      <c r="E300" s="16" t="n">
        <f aca="false">IF(D300="","",D300*$B$15)</f>
        <v>0.26159068838073</v>
      </c>
      <c r="F300" s="16" t="n">
        <f aca="false" t="array" ref="F300:F300">IF(D300="","",IFERROR(INDEX(Dados_Evap!$C$2:$N$15,MATCH($B$9,Dados_Evap!$A$2:$A$15,0),C300),0))</f>
        <v>165.6</v>
      </c>
      <c r="G300" s="16" t="n">
        <f aca="false">IF(F300="","",F300/1000)</f>
        <v>0.1656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0.25</v>
      </c>
      <c r="K300" s="16" t="n">
        <f aca="false">IF(J300="","",J300*$B$15)</f>
        <v>0.648</v>
      </c>
      <c r="L300" s="16" t="n">
        <f aca="false">IF(D300="","",H300+E300-K300-G300*I300)</f>
        <v>-0.38640931161927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-0.38640931161927</v>
      </c>
      <c r="Q300" s="16" t="n">
        <f aca="false">IF(D300="","",IF(P300&gt;=0,K300,MAX(0,K300+P300)))</f>
        <v>0.26159068838073</v>
      </c>
      <c r="R300" s="16" t="n">
        <f aca="false">IF(D300="","",Q300/$B$15)</f>
        <v>0.10092233348022</v>
      </c>
      <c r="S300" s="16" t="n">
        <f aca="false">IF(D300="","",MAX(0,J300-R300))</f>
        <v>0.14907766651978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0.177876183973779</v>
      </c>
      <c r="E301" s="16" t="n">
        <f aca="false">IF(D301="","",D301*$B$15)</f>
        <v>0.461055068860035</v>
      </c>
      <c r="F301" s="16" t="n">
        <f aca="false" t="array" ref="F301:F301">IF(D301="","",IFERROR(INDEX(Dados_Evap!$C$2:$N$15,MATCH($B$9,Dados_Evap!$A$2:$A$15,0),C301),0))</f>
        <v>124.9</v>
      </c>
      <c r="G301" s="16" t="n">
        <f aca="false">IF(F301="","",F301/1000)</f>
        <v>0.1249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0.25</v>
      </c>
      <c r="K301" s="16" t="n">
        <f aca="false">IF(J301="","",J301*$B$15)</f>
        <v>0.648</v>
      </c>
      <c r="L301" s="16" t="n">
        <f aca="false">IF(D301="","",H301+E301-K301-G301*I301)</f>
        <v>-0.186944931139965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-0.186944931139965</v>
      </c>
      <c r="Q301" s="16" t="n">
        <f aca="false">IF(D301="","",IF(P301&gt;=0,K301,MAX(0,K301+P301)))</f>
        <v>0.461055068860035</v>
      </c>
      <c r="R301" s="16" t="n">
        <f aca="false">IF(D301="","",Q301/$B$15)</f>
        <v>0.177876183973779</v>
      </c>
      <c r="S301" s="16" t="n">
        <f aca="false">IF(D301="","",MAX(0,J301-R301))</f>
        <v>0.072123816026221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0.746292571076166</v>
      </c>
      <c r="E302" s="16" t="n">
        <f aca="false">IF(D302="","",D302*$B$15)</f>
        <v>1.93439034422942</v>
      </c>
      <c r="F302" s="16" t="n">
        <f aca="false" t="array" ref="F302:F302">IF(D302="","",IFERROR(INDEX(Dados_Evap!$C$2:$N$15,MATCH($B$9,Dados_Evap!$A$2:$A$15,0),C302),0))</f>
        <v>88.2</v>
      </c>
      <c r="G302" s="16" t="n">
        <f aca="false">IF(F302="","",F302/1000)</f>
        <v>0.0882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0.25</v>
      </c>
      <c r="K302" s="16" t="n">
        <f aca="false">IF(J302="","",J302*$B$15)</f>
        <v>0.648</v>
      </c>
      <c r="L302" s="16" t="n">
        <f aca="false">IF(D302="","",H302+E302-K302-G302*I302)</f>
        <v>1.28639034422942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0.353205712457263</v>
      </c>
      <c r="N302" s="16" t="n">
        <f aca="false">IF(D302="","",(I302+M302)/2)</f>
        <v>0.176602856228632</v>
      </c>
      <c r="O302" s="16" t="n">
        <f aca="false">IF(D302="","",G302*N302)</f>
        <v>0.0155763719193653</v>
      </c>
      <c r="P302" s="16" t="n">
        <f aca="false">IF(D302="","",H302+E302-K302-O302)</f>
        <v>1.27081397231006</v>
      </c>
      <c r="Q302" s="16" t="n">
        <f aca="false">IF(D302="","",IF(P302&gt;=0,K302,MAX(0,K302+P302)))</f>
        <v>0.648</v>
      </c>
      <c r="R302" s="16" t="n">
        <f aca="false">IF(D302="","",Q302/$B$15)</f>
        <v>0.25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1.27081397231006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5.96626278079839</v>
      </c>
      <c r="Z302" s="18" t="n">
        <f aca="false">IF(D302="","",MAX(0,IF(P302&gt;=0,P302,IF(K302+P302&gt;=0,0,P302+K302))))</f>
        <v>1.27081397231006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3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1.47200496910947</v>
      </c>
      <c r="E303" s="16" t="n">
        <f aca="false">IF(D303="","",D303*$B$15)</f>
        <v>3.81543687993175</v>
      </c>
      <c r="F303" s="16" t="n">
        <f aca="false" t="array" ref="F303:F303">IF(D303="","",IFERROR(INDEX(Dados_Evap!$C$2:$N$15,MATCH($B$9,Dados_Evap!$A$2:$A$15,0),C303),0))</f>
        <v>88.2</v>
      </c>
      <c r="G303" s="16" t="n">
        <f aca="false">IF(F303="","",F303/1000)</f>
        <v>0.0882</v>
      </c>
      <c r="H303" s="16" t="n">
        <f aca="false">IF(D303="","",MAX(0,MIN($B$8,IFERROR(LOOKUP(2,1/($U$24:U302&lt;&gt;""),$U$24:U302),$B$11))))</f>
        <v>1.27081397231006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0.351000208468681</v>
      </c>
      <c r="J303" s="16" t="n">
        <f aca="false">IF(D303="","",$B$12)</f>
        <v>0.25</v>
      </c>
      <c r="K303" s="16" t="n">
        <f aca="false">IF(J303="","",J303*$B$15)</f>
        <v>0.648</v>
      </c>
      <c r="L303" s="16" t="n">
        <f aca="false">IF(D303="","",H303+E303-K303-G303*I303)</f>
        <v>4.40729263385487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0.686258736974867</v>
      </c>
      <c r="N303" s="16" t="n">
        <f aca="false">IF(D303="","",(I303+M303)/2)</f>
        <v>0.518629472721774</v>
      </c>
      <c r="O303" s="16" t="n">
        <f aca="false">IF(D303="","",G303*N303)</f>
        <v>0.0457431194940605</v>
      </c>
      <c r="P303" s="16" t="n">
        <f aca="false">IF(D303="","",H303+E303-K303-O303)</f>
        <v>4.39250773274774</v>
      </c>
      <c r="Q303" s="16" t="n">
        <f aca="false">IF(D303="","",IF(P303&gt;=0,K303,MAX(0,K303+P303)))</f>
        <v>0.648</v>
      </c>
      <c r="R303" s="16" t="n">
        <f aca="false">IF(D303="","",Q303/$B$15)</f>
        <v>0.25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4.39250773274774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20.6221020316795</v>
      </c>
      <c r="Z303" s="18" t="n">
        <f aca="false">IF(D303="","",MAX(0,IF(P303&gt;=0,P303,IF(K303+P303&gt;=0,0,P303+K303))))</f>
        <v>4.39250773274774</v>
      </c>
      <c r="AA303" s="18" t="n">
        <f aca="false">IF(D303="","",IF(H303&lt;=$B$16,1,IF(H303&gt;=$B$17,$B$21,MATCH(H303,Aux_CAV!$A$2:$A$121,1))))</f>
        <v>3</v>
      </c>
      <c r="AB303" s="18" t="n">
        <f aca="false">IF(D303="","",IF(L303&lt;=$B$16,1,IF(L303&gt;=$B$17,$B$21,MATCH(L303,Aux_CAV!$A$2:$A$121,1))))</f>
        <v>4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0.192026135231229</v>
      </c>
      <c r="E304" s="16" t="n">
        <f aca="false">IF(D304="","",D304*$B$15)</f>
        <v>0.497731742519346</v>
      </c>
      <c r="F304" s="16" t="n">
        <f aca="false" t="array" ref="F304:F304">IF(D304="","",IFERROR(INDEX(Dados_Evap!$C$2:$N$15,MATCH($B$9,Dados_Evap!$A$2:$A$15,0),C304),0))</f>
        <v>83.9</v>
      </c>
      <c r="G304" s="16" t="n">
        <f aca="false">IF(F304="","",F304/1000)</f>
        <v>0.0839</v>
      </c>
      <c r="H304" s="16" t="n">
        <f aca="false">IF(D304="","",MAX(0,MIN($B$8,IFERROR(LOOKUP(2,1/($U$24:U303&lt;&gt;""),$U$24:U303),$B$11))))</f>
        <v>4.39250773274774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0.685396284410285</v>
      </c>
      <c r="J304" s="16" t="n">
        <f aca="false">IF(D304="","",$B$12)</f>
        <v>0.25</v>
      </c>
      <c r="K304" s="16" t="n">
        <f aca="false">IF(J304="","",J304*$B$15)</f>
        <v>0.648</v>
      </c>
      <c r="L304" s="16" t="n">
        <f aca="false">IF(D304="","",H304+E304-K304-G304*I304)</f>
        <v>4.18473472700507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0.673276192408629</v>
      </c>
      <c r="N304" s="16" t="n">
        <f aca="false">IF(D304="","",(I304+M304)/2)</f>
        <v>0.679336238409457</v>
      </c>
      <c r="O304" s="16" t="n">
        <f aca="false">IF(D304="","",G304*N304)</f>
        <v>0.0569963104025534</v>
      </c>
      <c r="P304" s="16" t="n">
        <f aca="false">IF(D304="","",H304+E304-K304-O304)</f>
        <v>4.18524316486454</v>
      </c>
      <c r="Q304" s="16" t="n">
        <f aca="false">IF(D304="","",IF(P304&gt;=0,K304,MAX(0,K304+P304)))</f>
        <v>0.648</v>
      </c>
      <c r="R304" s="16" t="n">
        <f aca="false">IF(D304="","",Q304/$B$15)</f>
        <v>0.25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4.18524316486454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19.649028943026</v>
      </c>
      <c r="Z304" s="18" t="n">
        <f aca="false">IF(D304="","",MAX(0,IF(P304&gt;=0,P304,IF(K304+P304&gt;=0,0,P304+K304))))</f>
        <v>4.18524316486454</v>
      </c>
      <c r="AA304" s="18" t="n">
        <f aca="false">IF(D304="","",IF(H304&lt;=$B$16,1,IF(H304&gt;=$B$17,$B$21,MATCH(H304,Aux_CAV!$A$2:$A$121,1))))</f>
        <v>4</v>
      </c>
      <c r="AB304" s="18" t="n">
        <f aca="false">IF(D304="","",IF(L304&lt;=$B$16,1,IF(L304&gt;=$B$17,$B$21,MATCH(L304,Aux_CAV!$A$2:$A$121,1))))</f>
        <v>4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0.107081024256366</v>
      </c>
      <c r="E305" s="16" t="n">
        <f aca="false">IF(D305="","",D305*$B$15)</f>
        <v>0.277554014872501</v>
      </c>
      <c r="F305" s="16" t="n">
        <f aca="false" t="array" ref="F305:F305">IF(D305="","",IFERROR(INDEX(Dados_Evap!$C$2:$N$15,MATCH($B$9,Dados_Evap!$A$2:$A$15,0),C305),0))</f>
        <v>104.7</v>
      </c>
      <c r="G305" s="16" t="n">
        <f aca="false">IF(F305="","",F305/1000)</f>
        <v>0.1047</v>
      </c>
      <c r="H305" s="16" t="n">
        <f aca="false">IF(D305="","",MAX(0,MIN($B$8,IFERROR(LOOKUP(2,1/($U$24:U304&lt;&gt;""),$U$24:U304),$B$11))))</f>
        <v>4.18524316486454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0.673305851283765</v>
      </c>
      <c r="J305" s="16" t="n">
        <f aca="false">IF(D305="","",$B$12)</f>
        <v>0.25</v>
      </c>
      <c r="K305" s="16" t="n">
        <f aca="false">IF(J305="","",J305*$B$15)</f>
        <v>0.648</v>
      </c>
      <c r="L305" s="16" t="n">
        <f aca="false">IF(D305="","",H305+E305-K305-G305*I305)</f>
        <v>3.74430205710763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0.647584286664612</v>
      </c>
      <c r="N305" s="16" t="n">
        <f aca="false">IF(D305="","",(I305+M305)/2)</f>
        <v>0.660445068974188</v>
      </c>
      <c r="O305" s="16" t="n">
        <f aca="false">IF(D305="","",G305*N305)</f>
        <v>0.0691485987215975</v>
      </c>
      <c r="P305" s="16" t="n">
        <f aca="false">IF(D305="","",H305+E305-K305-O305)</f>
        <v>3.74564858101544</v>
      </c>
      <c r="Q305" s="16" t="n">
        <f aca="false">IF(D305="","",IF(P305&gt;=0,K305,MAX(0,K305+P305)))</f>
        <v>0.648</v>
      </c>
      <c r="R305" s="16" t="n">
        <f aca="false">IF(D305="","",Q305/$B$15)</f>
        <v>0.25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3.74564858101544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17.5852046057063</v>
      </c>
      <c r="Z305" s="18" t="n">
        <f aca="false">IF(D305="","",MAX(0,IF(P305&gt;=0,P305,IF(K305+P305&gt;=0,0,P305+K305))))</f>
        <v>3.74564858101544</v>
      </c>
      <c r="AA305" s="18" t="n">
        <f aca="false">IF(D305="","",IF(H305&lt;=$B$16,1,IF(H305&gt;=$B$17,$B$21,MATCH(H305,Aux_CAV!$A$2:$A$121,1))))</f>
        <v>4</v>
      </c>
      <c r="AB305" s="18" t="n">
        <f aca="false">IF(D305="","",IF(L305&lt;=$B$16,1,IF(L305&gt;=$B$17,$B$21,MATCH(L305,Aux_CAV!$A$2:$A$121,1))))</f>
        <v>4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0.113527196980414</v>
      </c>
      <c r="E306" s="16" t="n">
        <f aca="false">IF(D306="","",D306*$B$15)</f>
        <v>0.294262494573233</v>
      </c>
      <c r="F306" s="16" t="n">
        <f aca="false" t="array" ref="F306:F306">IF(D306="","",IFERROR(INDEX(Dados_Evap!$C$2:$N$15,MATCH($B$9,Dados_Evap!$A$2:$A$15,0),C306),0))</f>
        <v>145.2</v>
      </c>
      <c r="G306" s="16" t="n">
        <f aca="false">IF(F306="","",F306/1000)</f>
        <v>0.1452</v>
      </c>
      <c r="H306" s="16" t="n">
        <f aca="false">IF(D306="","",MAX(0,MIN($B$8,IFERROR(LOOKUP(2,1/($U$24:U305&lt;&gt;""),$U$24:U305),$B$11))))</f>
        <v>3.74564858101544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0.647662833892567</v>
      </c>
      <c r="J306" s="16" t="n">
        <f aca="false">IF(D306="","",$B$12)</f>
        <v>0.25</v>
      </c>
      <c r="K306" s="16" t="n">
        <f aca="false">IF(J306="","",J306*$B$15)</f>
        <v>0.648</v>
      </c>
      <c r="L306" s="16" t="n">
        <f aca="false">IF(D306="","",H306+E306-K306-G306*I306)</f>
        <v>3.29787043210747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0.621542441872936</v>
      </c>
      <c r="N306" s="16" t="n">
        <f aca="false">IF(D306="","",(I306+M306)/2)</f>
        <v>0.634602637882752</v>
      </c>
      <c r="O306" s="16" t="n">
        <f aca="false">IF(D306="","",G306*N306)</f>
        <v>0.0921443030205755</v>
      </c>
      <c r="P306" s="16" t="n">
        <f aca="false">IF(D306="","",H306+E306-K306-O306)</f>
        <v>3.2997667725681</v>
      </c>
      <c r="Q306" s="16" t="n">
        <f aca="false">IF(D306="","",IF(P306&gt;=0,K306,MAX(0,K306+P306)))</f>
        <v>0.648</v>
      </c>
      <c r="R306" s="16" t="n">
        <f aca="false">IF(D306="","",Q306/$B$15)</f>
        <v>0.25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3.2997667725681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15.4918627820098</v>
      </c>
      <c r="Z306" s="18" t="n">
        <f aca="false">IF(D306="","",MAX(0,IF(P306&gt;=0,P306,IF(K306+P306&gt;=0,0,P306+K306))))</f>
        <v>3.2997667725681</v>
      </c>
      <c r="AA306" s="18" t="n">
        <f aca="false">IF(D306="","",IF(H306&lt;=$B$16,1,IF(H306&gt;=$B$17,$B$21,MATCH(H306,Aux_CAV!$A$2:$A$121,1))))</f>
        <v>4</v>
      </c>
      <c r="AB306" s="18" t="n">
        <f aca="false">IF(D306="","",IF(L306&lt;=$B$16,1,IF(L306&gt;=$B$17,$B$21,MATCH(L306,Aux_CAV!$A$2:$A$121,1))))</f>
        <v>4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0.0564869460927254</v>
      </c>
      <c r="E307" s="16" t="n">
        <f aca="false">IF(D307="","",D307*$B$15)</f>
        <v>0.146414164272344</v>
      </c>
      <c r="F307" s="16" t="n">
        <f aca="false" t="array" ref="F307:F307">IF(D307="","",IFERROR(INDEX(Dados_Evap!$C$2:$N$15,MATCH($B$9,Dados_Evap!$A$2:$A$15,0),C307),0))</f>
        <v>180.9</v>
      </c>
      <c r="G307" s="16" t="n">
        <f aca="false">IF(F307="","",F307/1000)</f>
        <v>0.1809</v>
      </c>
      <c r="H307" s="16" t="n">
        <f aca="false">IF(D307="","",MAX(0,MIN($B$8,IFERROR(LOOKUP(2,1/($U$24:U306&lt;&gt;""),$U$24:U306),$B$11))))</f>
        <v>3.2997667725681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0.621653061733139</v>
      </c>
      <c r="J307" s="16" t="n">
        <f aca="false">IF(D307="","",$B$12)</f>
        <v>0.25</v>
      </c>
      <c r="K307" s="16" t="n">
        <f aca="false">IF(J307="","",J307*$B$15)</f>
        <v>0.648</v>
      </c>
      <c r="L307" s="16" t="n">
        <f aca="false">IF(D307="","",H307+E307-K307-G307*I307)</f>
        <v>2.68572389797292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0.551341436881121</v>
      </c>
      <c r="N307" s="16" t="n">
        <f aca="false">IF(D307="","",(I307+M307)/2)</f>
        <v>0.58649724930713</v>
      </c>
      <c r="O307" s="16" t="n">
        <f aca="false">IF(D307="","",G307*N307)</f>
        <v>0.10609735239966</v>
      </c>
      <c r="P307" s="16" t="n">
        <f aca="false">IF(D307="","",H307+E307-K307-O307)</f>
        <v>2.69208358444078</v>
      </c>
      <c r="Q307" s="16" t="n">
        <f aca="false">IF(D307="","",IF(P307&gt;=0,K307,MAX(0,K307+P307)))</f>
        <v>0.648</v>
      </c>
      <c r="R307" s="16" t="n">
        <f aca="false">IF(D307="","",Q307/$B$15)</f>
        <v>0.25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2.69208358444078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12.6388900677971</v>
      </c>
      <c r="Z307" s="18" t="n">
        <f aca="false">IF(D307="","",MAX(0,IF(P307&gt;=0,P307,IF(K307+P307&gt;=0,0,P307+K307))))</f>
        <v>2.69208358444078</v>
      </c>
      <c r="AA307" s="18" t="n">
        <f aca="false">IF(D307="","",IF(H307&lt;=$B$16,1,IF(H307&gt;=$B$17,$B$21,MATCH(H307,Aux_CAV!$A$2:$A$121,1))))</f>
        <v>4</v>
      </c>
      <c r="AB307" s="18" t="n">
        <f aca="false">IF(D307="","",IF(L307&lt;=$B$16,1,IF(L307&gt;=$B$17,$B$21,MATCH(L307,Aux_CAV!$A$2:$A$121,1))))</f>
        <v>3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0.0415560887896804</v>
      </c>
      <c r="E308" s="16" t="n">
        <f aca="false">IF(D308="","",D308*$B$15)</f>
        <v>0.107713382142852</v>
      </c>
      <c r="F308" s="16" t="n">
        <f aca="false" t="array" ref="F308:F308">IF(D308="","",IFERROR(INDEX(Dados_Evap!$C$2:$N$15,MATCH($B$9,Dados_Evap!$A$2:$A$15,0),C308),0))</f>
        <v>208.9</v>
      </c>
      <c r="G308" s="16" t="n">
        <f aca="false">IF(F308="","",F308/1000)</f>
        <v>0.2089</v>
      </c>
      <c r="H308" s="16" t="n">
        <f aca="false">IF(D308="","",MAX(0,MIN($B$8,IFERROR(LOOKUP(2,1/($U$24:U307&lt;&gt;""),$U$24:U307),$B$11))))</f>
        <v>2.69208358444078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0.552241923460642</v>
      </c>
      <c r="J308" s="16" t="n">
        <f aca="false">IF(D308="","",$B$12)</f>
        <v>0.25</v>
      </c>
      <c r="K308" s="16" t="n">
        <f aca="false">IF(J308="","",J308*$B$15)</f>
        <v>0.648</v>
      </c>
      <c r="L308" s="16" t="n">
        <f aca="false">IF(D308="","",H308+E308-K308-G308*I308)</f>
        <v>2.0364336287727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0.45940653150764</v>
      </c>
      <c r="N308" s="16" t="n">
        <f aca="false">IF(D308="","",(I308+M308)/2)</f>
        <v>0.505824227484141</v>
      </c>
      <c r="O308" s="16" t="n">
        <f aca="false">IF(D308="","",G308*N308)</f>
        <v>0.105666681121437</v>
      </c>
      <c r="P308" s="16" t="n">
        <f aca="false">IF(D308="","",H308+E308-K308-O308)</f>
        <v>2.0461302854622</v>
      </c>
      <c r="Q308" s="16" t="n">
        <f aca="false">IF(D308="","",IF(P308&gt;=0,K308,MAX(0,K308+P308)))</f>
        <v>0.648</v>
      </c>
      <c r="R308" s="16" t="n">
        <f aca="false">IF(D308="","",Q308/$B$15)</f>
        <v>0.25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2.0461302854622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9.6062454716535</v>
      </c>
      <c r="Z308" s="18" t="n">
        <f aca="false">IF(D308="","",MAX(0,IF(P308&gt;=0,P308,IF(K308+P308&gt;=0,0,P308+K308))))</f>
        <v>2.0461302854622</v>
      </c>
      <c r="AA308" s="18" t="n">
        <f aca="false">IF(D308="","",IF(H308&lt;=$B$16,1,IF(H308&gt;=$B$17,$B$21,MATCH(H308,Aux_CAV!$A$2:$A$121,1))))</f>
        <v>3</v>
      </c>
      <c r="AB308" s="18" t="n">
        <f aca="false">IF(D308="","",IF(L308&lt;=$B$16,1,IF(L308&gt;=$B$17,$B$21,MATCH(L308,Aux_CAV!$A$2:$A$121,1))))</f>
        <v>3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0.0213142889872259</v>
      </c>
      <c r="E309" s="16" t="n">
        <f aca="false">IF(D309="","",D309*$B$15)</f>
        <v>0.0552466370548895</v>
      </c>
      <c r="F309" s="16" t="n">
        <f aca="false" t="array" ref="F309:F309">IF(D309="","",IFERROR(INDEX(Dados_Evap!$C$2:$N$15,MATCH($B$9,Dados_Evap!$A$2:$A$15,0),C309),0))</f>
        <v>235.9</v>
      </c>
      <c r="G309" s="16" t="n">
        <f aca="false">IF(F309="","",F309/1000)</f>
        <v>0.2359</v>
      </c>
      <c r="H309" s="16" t="n">
        <f aca="false">IF(D309="","",MAX(0,MIN($B$8,IFERROR(LOOKUP(2,1/($U$24:U308&lt;&gt;""),$U$24:U308),$B$11))))</f>
        <v>2.0461302854622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0.460779509445975</v>
      </c>
      <c r="J309" s="16" t="n">
        <f aca="false">IF(D309="","",$B$12)</f>
        <v>0.25</v>
      </c>
      <c r="K309" s="16" t="n">
        <f aca="false">IF(J309="","",J309*$B$15)</f>
        <v>0.648</v>
      </c>
      <c r="L309" s="16" t="n">
        <f aca="false">IF(D309="","",H309+E309-K309-G309*I309)</f>
        <v>1.34467903623878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0.361458978582482</v>
      </c>
      <c r="N309" s="16" t="n">
        <f aca="false">IF(D309="","",(I309+M309)/2)</f>
        <v>0.411119244014228</v>
      </c>
      <c r="O309" s="16" t="n">
        <f aca="false">IF(D309="","",G309*N309)</f>
        <v>0.0969830296629565</v>
      </c>
      <c r="P309" s="16" t="n">
        <f aca="false">IF(D309="","",H309+E309-K309-O309)</f>
        <v>1.35639389285413</v>
      </c>
      <c r="Q309" s="16" t="n">
        <f aca="false">IF(D309="","",IF(P309&gt;=0,K309,MAX(0,K309+P309)))</f>
        <v>0.648</v>
      </c>
      <c r="R309" s="16" t="n">
        <f aca="false">IF(D309="","",Q309/$B$15)</f>
        <v>0.25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1.35639389285413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6.36804644532455</v>
      </c>
      <c r="Z309" s="18" t="n">
        <f aca="false">IF(D309="","",MAX(0,IF(P309&gt;=0,P309,IF(K309+P309&gt;=0,0,P309+K309))))</f>
        <v>1.35639389285413</v>
      </c>
      <c r="AA309" s="18" t="n">
        <f aca="false">IF(D309="","",IF(H309&lt;=$B$16,1,IF(H309&gt;=$B$17,$B$21,MATCH(H309,Aux_CAV!$A$2:$A$121,1))))</f>
        <v>3</v>
      </c>
      <c r="AB309" s="18" t="n">
        <f aca="false">IF(D309="","",IF(L309&lt;=$B$16,1,IF(L309&gt;=$B$17,$B$21,MATCH(L309,Aux_CAV!$A$2:$A$121,1))))</f>
        <v>3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0.0118171771895221</v>
      </c>
      <c r="E310" s="16" t="n">
        <f aca="false">IF(D310="","",D310*$B$15)</f>
        <v>0.0306301232752413</v>
      </c>
      <c r="F310" s="16" t="n">
        <f aca="false" t="array" ref="F310:F310">IF(D310="","",IFERROR(INDEX(Dados_Evap!$C$2:$N$15,MATCH($B$9,Dados_Evap!$A$2:$A$15,0),C310),0))</f>
        <v>225.9</v>
      </c>
      <c r="G310" s="16" t="n">
        <f aca="false">IF(F310="","",F310/1000)</f>
        <v>0.2259</v>
      </c>
      <c r="H310" s="16" t="n">
        <f aca="false">IF(D310="","",MAX(0,MIN($B$8,IFERROR(LOOKUP(2,1/($U$24:U309&lt;&gt;""),$U$24:U309),$B$11))))</f>
        <v>1.35639389285413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0.363117719342177</v>
      </c>
      <c r="J310" s="16" t="n">
        <f aca="false">IF(D310="","",$B$12)</f>
        <v>0.25</v>
      </c>
      <c r="K310" s="16" t="n">
        <f aca="false">IF(J310="","",J310*$B$15)</f>
        <v>0.648</v>
      </c>
      <c r="L310" s="16" t="n">
        <f aca="false">IF(D310="","",H310+E310-K310-G310*I310)</f>
        <v>0.656995723329972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0.227454234555813</v>
      </c>
      <c r="N310" s="16" t="n">
        <f aca="false">IF(D310="","",(I310+M310)/2)</f>
        <v>0.295285976948995</v>
      </c>
      <c r="O310" s="16" t="n">
        <f aca="false">IF(D310="","",G310*N310)</f>
        <v>0.0667051021927781</v>
      </c>
      <c r="P310" s="16" t="n">
        <f aca="false">IF(D310="","",H310+E310-K310-O310)</f>
        <v>0.672318913936592</v>
      </c>
      <c r="Q310" s="16" t="n">
        <f aca="false">IF(D310="","",IF(P310&gt;=0,K310,MAX(0,K310+P310)))</f>
        <v>0.648</v>
      </c>
      <c r="R310" s="16" t="n">
        <f aca="false">IF(D310="","",Q310/$B$15)</f>
        <v>0.25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0.672318913936592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3.15642682599339</v>
      </c>
      <c r="Z310" s="18" t="n">
        <f aca="false">IF(D310="","",MAX(0,IF(P310&gt;=0,P310,IF(K310+P310&gt;=0,0,P310+K310))))</f>
        <v>0.672318913936592</v>
      </c>
      <c r="AA310" s="18" t="n">
        <f aca="false">IF(D310="","",IF(H310&lt;=$B$16,1,IF(H310&gt;=$B$17,$B$21,MATCH(H310,Aux_CAV!$A$2:$A$121,1))))</f>
        <v>3</v>
      </c>
      <c r="AB310" s="18" t="n">
        <f aca="false">IF(D310="","",IF(L310&lt;=$B$16,1,IF(L310&gt;=$B$17,$B$21,MATCH(L310,Aux_CAV!$A$2:$A$121,1))))</f>
        <v>2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0.0126367436408758</v>
      </c>
      <c r="E311" s="16" t="n">
        <f aca="false">IF(D311="","",D311*$B$15)</f>
        <v>0.0327544395171501</v>
      </c>
      <c r="F311" s="16" t="n">
        <f aca="false" t="array" ref="F311:F311">IF(D311="","",IFERROR(INDEX(Dados_Evap!$C$2:$N$15,MATCH($B$9,Dados_Evap!$A$2:$A$15,0),C311),0))</f>
        <v>206</v>
      </c>
      <c r="G311" s="16" t="n">
        <f aca="false">IF(F311="","",F311/1000)</f>
        <v>0.206</v>
      </c>
      <c r="H311" s="16" t="n">
        <f aca="false">IF(D311="","",MAX(0,MIN($B$8,IFERROR(LOOKUP(2,1/($U$24:U310&lt;&gt;""),$U$24:U310),$B$11))))</f>
        <v>0.672318913936592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0.232691274383392</v>
      </c>
      <c r="J311" s="16" t="n">
        <f aca="false">IF(D311="","",$B$12)</f>
        <v>0.25</v>
      </c>
      <c r="K311" s="16" t="n">
        <f aca="false">IF(J311="","",J311*$B$15)</f>
        <v>0.648</v>
      </c>
      <c r="L311" s="16" t="n">
        <f aca="false">IF(D311="","",H311+E311-K311-G311*I311)</f>
        <v>0.0091389509307631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0.00365558037230524</v>
      </c>
      <c r="N311" s="16" t="n">
        <f aca="false">IF(D311="","",(I311+M311)/2)</f>
        <v>0.118173427377849</v>
      </c>
      <c r="O311" s="16" t="n">
        <f aca="false">IF(D311="","",G311*N311)</f>
        <v>0.0243437260398368</v>
      </c>
      <c r="P311" s="16" t="n">
        <f aca="false">IF(D311="","",H311+E311-K311-O311)</f>
        <v>0.032729627413905</v>
      </c>
      <c r="Q311" s="16" t="n">
        <f aca="false">IF(D311="","",IF(P311&gt;=0,K311,MAX(0,K311+P311)))</f>
        <v>0.648</v>
      </c>
      <c r="R311" s="16" t="n">
        <f aca="false">IF(D311="","",Q311/$B$15)</f>
        <v>0.25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0.032729627413905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0.153660222600493</v>
      </c>
      <c r="Z311" s="18" t="n">
        <f aca="false">IF(D311="","",MAX(0,IF(P311&gt;=0,P311,IF(K311+P311&gt;=0,0,P311+K311))))</f>
        <v>0.032729627413905</v>
      </c>
      <c r="AA311" s="18" t="n">
        <f aca="false">IF(D311="","",IF(H311&lt;=$B$16,1,IF(H311&gt;=$B$17,$B$21,MATCH(H311,Aux_CAV!$A$2:$A$121,1))))</f>
        <v>2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0.0414537266716815</v>
      </c>
      <c r="E312" s="16" t="n">
        <f aca="false">IF(D312="","",D312*$B$15)</f>
        <v>0.107448059532998</v>
      </c>
      <c r="F312" s="16" t="n">
        <f aca="false" t="array" ref="F312:F312">IF(D312="","",IFERROR(INDEX(Dados_Evap!$C$2:$N$15,MATCH($B$9,Dados_Evap!$A$2:$A$15,0),C312),0))</f>
        <v>165.6</v>
      </c>
      <c r="G312" s="16" t="n">
        <f aca="false">IF(F312="","",F312/1000)</f>
        <v>0.1656</v>
      </c>
      <c r="H312" s="16" t="n">
        <f aca="false">IF(D312="","",MAX(0,MIN($B$8,IFERROR(LOOKUP(2,1/($U$24:U311&lt;&gt;""),$U$24:U311),$B$11))))</f>
        <v>0.032729627413905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0.013091850965562</v>
      </c>
      <c r="J312" s="16" t="n">
        <f aca="false">IF(D312="","",$B$12)</f>
        <v>0.25</v>
      </c>
      <c r="K312" s="16" t="n">
        <f aca="false">IF(J312="","",J312*$B$15)</f>
        <v>0.648</v>
      </c>
      <c r="L312" s="16" t="n">
        <f aca="false">IF(D312="","",H312+E312-K312-G312*I312)</f>
        <v>-0.509990323572994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0.00654592548278101</v>
      </c>
      <c r="O312" s="16" t="n">
        <f aca="false">IF(D312="","",G312*N312)</f>
        <v>0.00108400525994854</v>
      </c>
      <c r="P312" s="16" t="n">
        <f aca="false">IF(D312="","",H312+E312-K312-O312)</f>
        <v>-0.508906318313045</v>
      </c>
      <c r="Q312" s="16" t="n">
        <f aca="false">IF(D312="","",IF(P312&gt;=0,K312,MAX(0,K312+P312)))</f>
        <v>0.139093681686955</v>
      </c>
      <c r="R312" s="16" t="n">
        <f aca="false">IF(D312="","",Q312/$B$15)</f>
        <v>0.0536626858360166</v>
      </c>
      <c r="S312" s="16" t="n">
        <f aca="false">IF(D312="","",MAX(0,J312-R312))</f>
        <v>0.196337314163983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-5.44269490587723E-017</v>
      </c>
      <c r="X312" s="16" t="n">
        <f aca="false">IF(W312="","",ABS(W312))</f>
        <v>5.44269490587723E-017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0.449483616421283</v>
      </c>
      <c r="E313" s="16" t="n">
        <f aca="false">IF(D313="","",D313*$B$15)</f>
        <v>1.16506153376397</v>
      </c>
      <c r="F313" s="16" t="n">
        <f aca="false" t="array" ref="F313:F313">IF(D313="","",IFERROR(INDEX(Dados_Evap!$C$2:$N$15,MATCH($B$9,Dados_Evap!$A$2:$A$15,0),C313),0))</f>
        <v>124.9</v>
      </c>
      <c r="G313" s="16" t="n">
        <f aca="false">IF(F313="","",F313/1000)</f>
        <v>0.1249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0.25</v>
      </c>
      <c r="K313" s="16" t="n">
        <f aca="false">IF(J313="","",J313*$B$15)</f>
        <v>0.648</v>
      </c>
      <c r="L313" s="16" t="n">
        <f aca="false">IF(D313="","",H313+E313-K313-G313*I313)</f>
        <v>0.517061533763966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0.179628625463634</v>
      </c>
      <c r="N313" s="16" t="n">
        <f aca="false">IF(D313="","",(I313+M313)/2)</f>
        <v>0.0898143127318169</v>
      </c>
      <c r="O313" s="16" t="n">
        <f aca="false">IF(D313="","",G313*N313)</f>
        <v>0.0112178076602039</v>
      </c>
      <c r="P313" s="16" t="n">
        <f aca="false">IF(D313="","",H313+E313-K313-O313)</f>
        <v>0.505843726103762</v>
      </c>
      <c r="Q313" s="16" t="n">
        <f aca="false">IF(D313="","",IF(P313&gt;=0,K313,MAX(0,K313+P313)))</f>
        <v>0.648</v>
      </c>
      <c r="R313" s="16" t="n">
        <f aca="false">IF(D313="","",Q313/$B$15)</f>
        <v>0.25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0.505843726103762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2.37485317419606</v>
      </c>
      <c r="Z313" s="18" t="n">
        <f aca="false">IF(D313="","",MAX(0,IF(P313&gt;=0,P313,IF(K313+P313&gt;=0,0,P313+K313))))</f>
        <v>0.505843726103762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2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1.05794133388828</v>
      </c>
      <c r="E314" s="16" t="n">
        <f aca="false">IF(D314="","",D314*$B$15)</f>
        <v>2.74218393743842</v>
      </c>
      <c r="F314" s="16" t="n">
        <f aca="false" t="array" ref="F314:F314">IF(D314="","",IFERROR(INDEX(Dados_Evap!$C$2:$N$15,MATCH($B$9,Dados_Evap!$A$2:$A$15,0),C314),0))</f>
        <v>88.2</v>
      </c>
      <c r="G314" s="16" t="n">
        <f aca="false">IF(F314="","",F314/1000)</f>
        <v>0.0882</v>
      </c>
      <c r="H314" s="16" t="n">
        <f aca="false">IF(D314="","",MAX(0,MIN($B$8,IFERROR(LOOKUP(2,1/($U$24:U313&lt;&gt;""),$U$24:U313),$B$11))))</f>
        <v>0.505843726103762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0.17579469120002</v>
      </c>
      <c r="J314" s="16" t="n">
        <f aca="false">IF(D314="","",$B$12)</f>
        <v>0.25</v>
      </c>
      <c r="K314" s="16" t="n">
        <f aca="false">IF(J314="","",J314*$B$15)</f>
        <v>0.648</v>
      </c>
      <c r="L314" s="16" t="n">
        <f aca="false">IF(D314="","",H314+E314-K314-G314*I314)</f>
        <v>2.58452257177834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0.537012045561535</v>
      </c>
      <c r="N314" s="16" t="n">
        <f aca="false">IF(D314="","",(I314+M314)/2)</f>
        <v>0.356403368380777</v>
      </c>
      <c r="O314" s="16" t="n">
        <f aca="false">IF(D314="","",G314*N314)</f>
        <v>0.0314347770911846</v>
      </c>
      <c r="P314" s="16" t="n">
        <f aca="false">IF(D314="","",H314+E314-K314-O314)</f>
        <v>2.568592886451</v>
      </c>
      <c r="Q314" s="16" t="n">
        <f aca="false">IF(D314="","",IF(P314&gt;=0,K314,MAX(0,K314+P314)))</f>
        <v>0.648</v>
      </c>
      <c r="R314" s="16" t="n">
        <f aca="false">IF(D314="","",Q314/$B$15)</f>
        <v>0.25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2.568592886451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12.0591215326338</v>
      </c>
      <c r="Z314" s="18" t="n">
        <f aca="false">IF(D314="","",MAX(0,IF(P314&gt;=0,P314,IF(K314+P314&gt;=0,0,P314+K314))))</f>
        <v>2.568592886451</v>
      </c>
      <c r="AA314" s="18" t="n">
        <f aca="false">IF(D314="","",IF(H314&lt;=$B$16,1,IF(H314&gt;=$B$17,$B$21,MATCH(H314,Aux_CAV!$A$2:$A$121,1))))</f>
        <v>2</v>
      </c>
      <c r="AB314" s="18" t="n">
        <f aca="false">IF(D314="","",IF(L314&lt;=$B$16,1,IF(L314&gt;=$B$17,$B$21,MATCH(L314,Aux_CAV!$A$2:$A$121,1))))</f>
        <v>3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1.00780015809659</v>
      </c>
      <c r="E315" s="16" t="n">
        <f aca="false">IF(D315="","",D315*$B$15)</f>
        <v>2.61221800978636</v>
      </c>
      <c r="F315" s="16" t="n">
        <f aca="false" t="array" ref="F315:F315">IF(D315="","",IFERROR(INDEX(Dados_Evap!$C$2:$N$15,MATCH($B$9,Dados_Evap!$A$2:$A$15,0),C315),0))</f>
        <v>88.2</v>
      </c>
      <c r="G315" s="16" t="n">
        <f aca="false">IF(F315="","",F315/1000)</f>
        <v>0.0882</v>
      </c>
      <c r="H315" s="16" t="n">
        <f aca="false">IF(D315="","",MAX(0,MIN($B$8,IFERROR(LOOKUP(2,1/($U$24:U314&lt;&gt;""),$U$24:U314),$B$11))))</f>
        <v>2.568592886451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0.534756514895717</v>
      </c>
      <c r="J315" s="16" t="n">
        <f aca="false">IF(D315="","",$B$12)</f>
        <v>0.25</v>
      </c>
      <c r="K315" s="16" t="n">
        <f aca="false">IF(J315="","",J315*$B$15)</f>
        <v>0.648</v>
      </c>
      <c r="L315" s="16" t="n">
        <f aca="false">IF(D315="","",H315+E315-K315-G315*I315)</f>
        <v>4.48564537162356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0.690829313344708</v>
      </c>
      <c r="N315" s="16" t="n">
        <f aca="false">IF(D315="","",(I315+M315)/2)</f>
        <v>0.612792914120212</v>
      </c>
      <c r="O315" s="16" t="n">
        <f aca="false">IF(D315="","",G315*N315)</f>
        <v>0.0540483350254027</v>
      </c>
      <c r="P315" s="16" t="n">
        <f aca="false">IF(D315="","",H315+E315-K315-O315)</f>
        <v>4.47876256121196</v>
      </c>
      <c r="Q315" s="16" t="n">
        <f aca="false">IF(D315="","",IF(P315&gt;=0,K315,MAX(0,K315+P315)))</f>
        <v>0.648</v>
      </c>
      <c r="R315" s="16" t="n">
        <f aca="false">IF(D315="","",Q315/$B$15)</f>
        <v>0.25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4.47876256121196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21.0270542779904</v>
      </c>
      <c r="Z315" s="18" t="n">
        <f aca="false">IF(D315="","",MAX(0,IF(P315&gt;=0,P315,IF(K315+P315&gt;=0,0,P315+K315))))</f>
        <v>4.47876256121196</v>
      </c>
      <c r="AA315" s="18" t="n">
        <f aca="false">IF(D315="","",IF(H315&lt;=$B$16,1,IF(H315&gt;=$B$17,$B$21,MATCH(H315,Aux_CAV!$A$2:$A$121,1))))</f>
        <v>3</v>
      </c>
      <c r="AB315" s="18" t="n">
        <f aca="false">IF(D315="","",IF(L315&lt;=$B$16,1,IF(L315&gt;=$B$17,$B$21,MATCH(L315,Aux_CAV!$A$2:$A$121,1))))</f>
        <v>4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1.42461320689788</v>
      </c>
      <c r="E316" s="16" t="n">
        <f aca="false">IF(D316="","",D316*$B$15)</f>
        <v>3.69259743227931</v>
      </c>
      <c r="F316" s="16" t="n">
        <f aca="false" t="array" ref="F316:F316">IF(D316="","",IFERROR(INDEX(Dados_Evap!$C$2:$N$15,MATCH($B$9,Dados_Evap!$A$2:$A$15,0),C316),0))</f>
        <v>83.9</v>
      </c>
      <c r="G316" s="16" t="n">
        <f aca="false">IF(F316="","",F316/1000)</f>
        <v>0.0839</v>
      </c>
      <c r="H316" s="16" t="n">
        <f aca="false">IF(D316="","",MAX(0,MIN($B$8,IFERROR(LOOKUP(2,1/($U$24:U315&lt;&gt;""),$U$24:U315),$B$11))))</f>
        <v>4.47876256121196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0.690427816070698</v>
      </c>
      <c r="J316" s="16" t="n">
        <f aca="false">IF(D316="","",$B$12)</f>
        <v>0.25</v>
      </c>
      <c r="K316" s="16" t="n">
        <f aca="false">IF(J316="","",J316*$B$15)</f>
        <v>0.648</v>
      </c>
      <c r="L316" s="16" t="n">
        <f aca="false">IF(D316="","",H316+E316-K316-G316*I316)</f>
        <v>7.46543309972293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0.845401540920009</v>
      </c>
      <c r="N316" s="16" t="n">
        <f aca="false">IF(D316="","",(I316+M316)/2)</f>
        <v>0.767914678495353</v>
      </c>
      <c r="O316" s="16" t="n">
        <f aca="false">IF(D316="","",G316*N316)</f>
        <v>0.0644280415257601</v>
      </c>
      <c r="P316" s="16" t="n">
        <f aca="false">IF(D316="","",H316+E316-K316-O316)</f>
        <v>7.4589319519655</v>
      </c>
      <c r="Q316" s="16" t="n">
        <f aca="false">IF(D316="","",IF(P316&gt;=0,K316,MAX(0,K316+P316)))</f>
        <v>0.648</v>
      </c>
      <c r="R316" s="16" t="n">
        <f aca="false">IF(D316="","",Q316/$B$15)</f>
        <v>0.25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7.4589319519655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35.0184598683826</v>
      </c>
      <c r="Z316" s="18" t="n">
        <f aca="false">IF(D316="","",MAX(0,IF(P316&gt;=0,P316,IF(K316+P316&gt;=0,0,P316+K316))))</f>
        <v>7.4589319519655</v>
      </c>
      <c r="AA316" s="18" t="n">
        <f aca="false">IF(D316="","",IF(H316&lt;=$B$16,1,IF(H316&gt;=$B$17,$B$21,MATCH(H316,Aux_CAV!$A$2:$A$121,1))))</f>
        <v>4</v>
      </c>
      <c r="AB316" s="18" t="n">
        <f aca="false">IF(D316="","",IF(L316&lt;=$B$16,1,IF(L316&gt;=$B$17,$B$21,MATCH(L316,Aux_CAV!$A$2:$A$121,1))))</f>
        <v>5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0.420869423949741</v>
      </c>
      <c r="E317" s="16" t="n">
        <f aca="false">IF(D317="","",D317*$B$15)</f>
        <v>1.09089354687773</v>
      </c>
      <c r="F317" s="16" t="n">
        <f aca="false" t="array" ref="F317:F317">IF(D317="","",IFERROR(INDEX(Dados_Evap!$C$2:$N$15,MATCH($B$9,Dados_Evap!$A$2:$A$15,0),C317),0))</f>
        <v>104.7</v>
      </c>
      <c r="G317" s="16" t="n">
        <f aca="false">IF(F317="","",F317/1000)</f>
        <v>0.1047</v>
      </c>
      <c r="H317" s="16" t="n">
        <f aca="false">IF(D317="","",MAX(0,MIN($B$8,IFERROR(LOOKUP(2,1/($U$24:U316&lt;&gt;""),$U$24:U316),$B$11))))</f>
        <v>7.4589319519655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0.845185794866112</v>
      </c>
      <c r="J317" s="16" t="n">
        <f aca="false">IF(D317="","",$B$12)</f>
        <v>0.25</v>
      </c>
      <c r="K317" s="16" t="n">
        <f aca="false">IF(J317="","",J317*$B$15)</f>
        <v>0.648</v>
      </c>
      <c r="L317" s="16" t="n">
        <f aca="false">IF(D317="","",H317+E317-K317-G317*I317)</f>
        <v>7.81333454612075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0.856946942902237</v>
      </c>
      <c r="N317" s="16" t="n">
        <f aca="false">IF(D317="","",(I317+M317)/2)</f>
        <v>0.851066368884175</v>
      </c>
      <c r="O317" s="16" t="n">
        <f aca="false">IF(D317="","",G317*N317)</f>
        <v>0.0891066488221731</v>
      </c>
      <c r="P317" s="16" t="n">
        <f aca="false">IF(D317="","",H317+E317-K317-O317)</f>
        <v>7.81271885002106</v>
      </c>
      <c r="Q317" s="16" t="n">
        <f aca="false">IF(D317="","",IF(P317&gt;=0,K317,MAX(0,K317+P317)))</f>
        <v>0.648</v>
      </c>
      <c r="R317" s="16" t="n">
        <f aca="false">IF(D317="","",Q317/$B$15)</f>
        <v>0.25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7.81271885002106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36.6794312207561</v>
      </c>
      <c r="Z317" s="18" t="n">
        <f aca="false">IF(D317="","",MAX(0,IF(P317&gt;=0,P317,IF(K317+P317&gt;=0,0,P317+K317))))</f>
        <v>7.81271885002106</v>
      </c>
      <c r="AA317" s="18" t="n">
        <f aca="false">IF(D317="","",IF(H317&lt;=$B$16,1,IF(H317&gt;=$B$17,$B$21,MATCH(H317,Aux_CAV!$A$2:$A$121,1))))</f>
        <v>5</v>
      </c>
      <c r="AB317" s="18" t="n">
        <f aca="false">IF(D317="","",IF(L317&lt;=$B$16,1,IF(L317&gt;=$B$17,$B$21,MATCH(L317,Aux_CAV!$A$2:$A$121,1))))</f>
        <v>5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0.14697782999323</v>
      </c>
      <c r="E318" s="16" t="n">
        <f aca="false">IF(D318="","",D318*$B$15)</f>
        <v>0.380966535342452</v>
      </c>
      <c r="F318" s="16" t="n">
        <f aca="false" t="array" ref="F318:F318">IF(D318="","",IFERROR(INDEX(Dados_Evap!$C$2:$N$15,MATCH($B$9,Dados_Evap!$A$2:$A$15,0),C318),0))</f>
        <v>145.2</v>
      </c>
      <c r="G318" s="16" t="n">
        <f aca="false">IF(F318="","",F318/1000)</f>
        <v>0.1452</v>
      </c>
      <c r="H318" s="16" t="n">
        <f aca="false">IF(D318="","",MAX(0,MIN($B$8,IFERROR(LOOKUP(2,1/($U$24:U317&lt;&gt;""),$U$24:U317),$B$11))))</f>
        <v>7.81271885002106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0.856926510509548</v>
      </c>
      <c r="J318" s="16" t="n">
        <f aca="false">IF(D318="","",$B$12)</f>
        <v>0.25</v>
      </c>
      <c r="K318" s="16" t="n">
        <f aca="false">IF(J318="","",J318*$B$15)</f>
        <v>0.648</v>
      </c>
      <c r="L318" s="16" t="n">
        <f aca="false">IF(D318="","",H318+E318-K318-G318*I318)</f>
        <v>7.42125965603753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0.843935608054343</v>
      </c>
      <c r="N318" s="16" t="n">
        <f aca="false">IF(D318="","",(I318+M318)/2)</f>
        <v>0.850431059281946</v>
      </c>
      <c r="O318" s="16" t="n">
        <f aca="false">IF(D318="","",G318*N318)</f>
        <v>0.123482589807738</v>
      </c>
      <c r="P318" s="16" t="n">
        <f aca="false">IF(D318="","",H318+E318-K318-O318)</f>
        <v>7.42220279555577</v>
      </c>
      <c r="Q318" s="16" t="n">
        <f aca="false">IF(D318="","",IF(P318&gt;=0,K318,MAX(0,K318+P318)))</f>
        <v>0.648</v>
      </c>
      <c r="R318" s="16" t="n">
        <f aca="false">IF(D318="","",Q318/$B$15)</f>
        <v>0.25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7.42220279555577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34.8460225143464</v>
      </c>
      <c r="Z318" s="18" t="n">
        <f aca="false">IF(D318="","",MAX(0,IF(P318&gt;=0,P318,IF(K318+P318&gt;=0,0,P318+K318))))</f>
        <v>7.42220279555577</v>
      </c>
      <c r="AA318" s="18" t="n">
        <f aca="false">IF(D318="","",IF(H318&lt;=$B$16,1,IF(H318&gt;=$B$17,$B$21,MATCH(H318,Aux_CAV!$A$2:$A$121,1))))</f>
        <v>5</v>
      </c>
      <c r="AB318" s="18" t="n">
        <f aca="false">IF(D318="","",IF(L318&lt;=$B$16,1,IF(L318&gt;=$B$17,$B$21,MATCH(L318,Aux_CAV!$A$2:$A$121,1))))</f>
        <v>5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0.120458488735699</v>
      </c>
      <c r="E319" s="16" t="n">
        <f aca="false">IF(D319="","",D319*$B$15)</f>
        <v>0.312228402802932</v>
      </c>
      <c r="F319" s="16" t="n">
        <f aca="false" t="array" ref="F319:F319">IF(D319="","",IFERROR(INDEX(Dados_Evap!$C$2:$N$15,MATCH($B$9,Dados_Evap!$A$2:$A$15,0),C319),0))</f>
        <v>180.9</v>
      </c>
      <c r="G319" s="16" t="n">
        <f aca="false">IF(F319="","",F319/1000)</f>
        <v>0.1809</v>
      </c>
      <c r="H319" s="16" t="n">
        <f aca="false">IF(D319="","",MAX(0,MIN($B$8,IFERROR(LOOKUP(2,1/($U$24:U318&lt;&gt;""),$U$24:U318),$B$11))))</f>
        <v>7.42220279555577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0.843966906932161</v>
      </c>
      <c r="J319" s="16" t="n">
        <f aca="false">IF(D319="","",$B$12)</f>
        <v>0.25</v>
      </c>
      <c r="K319" s="16" t="n">
        <f aca="false">IF(J319="","",J319*$B$15)</f>
        <v>0.648</v>
      </c>
      <c r="L319" s="16" t="n">
        <f aca="false">IF(D319="","",H319+E319-K319-G319*I319)</f>
        <v>6.93375758489468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0.827757441976593</v>
      </c>
      <c r="N319" s="16" t="n">
        <f aca="false">IF(D319="","",(I319+M319)/2)</f>
        <v>0.835862174454377</v>
      </c>
      <c r="O319" s="16" t="n">
        <f aca="false">IF(D319="","",G319*N319)</f>
        <v>0.151207467358797</v>
      </c>
      <c r="P319" s="16" t="n">
        <f aca="false">IF(D319="","",H319+E319-K319-O319)</f>
        <v>6.93522373099991</v>
      </c>
      <c r="Q319" s="16" t="n">
        <f aca="false">IF(D319="","",IF(P319&gt;=0,K319,MAX(0,K319+P319)))</f>
        <v>0.648</v>
      </c>
      <c r="R319" s="16" t="n">
        <f aca="false">IF(D319="","",Q319/$B$15)</f>
        <v>0.25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6.93522373099991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32.5597358262907</v>
      </c>
      <c r="Z319" s="18" t="n">
        <f aca="false">IF(D319="","",MAX(0,IF(P319&gt;=0,P319,IF(K319+P319&gt;=0,0,P319+K319))))</f>
        <v>6.93522373099991</v>
      </c>
      <c r="AA319" s="18" t="n">
        <f aca="false">IF(D319="","",IF(H319&lt;=$B$16,1,IF(H319&gt;=$B$17,$B$21,MATCH(H319,Aux_CAV!$A$2:$A$121,1))))</f>
        <v>5</v>
      </c>
      <c r="AB319" s="18" t="n">
        <f aca="false">IF(D319="","",IF(L319&lt;=$B$16,1,IF(L319&gt;=$B$17,$B$21,MATCH(L319,Aux_CAV!$A$2:$A$121,1))))</f>
        <v>5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0.0941935937933112</v>
      </c>
      <c r="E320" s="16" t="n">
        <f aca="false">IF(D320="","",D320*$B$15)</f>
        <v>0.244149795112263</v>
      </c>
      <c r="F320" s="16" t="n">
        <f aca="false" t="array" ref="F320:F320">IF(D320="","",IFERROR(INDEX(Dados_Evap!$C$2:$N$15,MATCH($B$9,Dados_Evap!$A$2:$A$15,0),C320),0))</f>
        <v>208.9</v>
      </c>
      <c r="G320" s="16" t="n">
        <f aca="false">IF(F320="","",F320/1000)</f>
        <v>0.2089</v>
      </c>
      <c r="H320" s="16" t="n">
        <f aca="false">IF(D320="","",MAX(0,MIN($B$8,IFERROR(LOOKUP(2,1/($U$24:U319&lt;&gt;""),$U$24:U319),$B$11))))</f>
        <v>6.93522373099991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0.827806097267696</v>
      </c>
      <c r="J320" s="16" t="n">
        <f aca="false">IF(D320="","",$B$12)</f>
        <v>0.25</v>
      </c>
      <c r="K320" s="16" t="n">
        <f aca="false">IF(J320="","",J320*$B$15)</f>
        <v>0.648</v>
      </c>
      <c r="L320" s="16" t="n">
        <f aca="false">IF(D320="","",H320+E320-K320-G320*I320)</f>
        <v>6.35844483239295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0.800075948556255</v>
      </c>
      <c r="N320" s="16" t="n">
        <f aca="false">IF(D320="","",(I320+M320)/2)</f>
        <v>0.813941022911976</v>
      </c>
      <c r="O320" s="16" t="n">
        <f aca="false">IF(D320="","",G320*N320)</f>
        <v>0.170032279686312</v>
      </c>
      <c r="P320" s="16" t="n">
        <f aca="false">IF(D320="","",H320+E320-K320-O320)</f>
        <v>6.36134124642586</v>
      </c>
      <c r="Q320" s="16" t="n">
        <f aca="false">IF(D320="","",IF(P320&gt;=0,K320,MAX(0,K320+P320)))</f>
        <v>0.648</v>
      </c>
      <c r="R320" s="16" t="n">
        <f aca="false">IF(D320="","",Q320/$B$15)</f>
        <v>0.25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6.36134124642586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29.8654518611543</v>
      </c>
      <c r="Z320" s="18" t="n">
        <f aca="false">IF(D320="","",MAX(0,IF(P320&gt;=0,P320,IF(K320+P320&gt;=0,0,P320+K320))))</f>
        <v>6.36134124642586</v>
      </c>
      <c r="AA320" s="18" t="n">
        <f aca="false">IF(D320="","",IF(H320&lt;=$B$16,1,IF(H320&gt;=$B$17,$B$21,MATCH(H320,Aux_CAV!$A$2:$A$121,1))))</f>
        <v>5</v>
      </c>
      <c r="AB320" s="18" t="n">
        <f aca="false">IF(D320="","",IF(L320&lt;=$B$16,1,IF(L320&gt;=$B$17,$B$21,MATCH(L320,Aux_CAV!$A$2:$A$121,1))))</f>
        <v>4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0.0533865319337407</v>
      </c>
      <c r="E321" s="16" t="n">
        <f aca="false">IF(D321="","",D321*$B$15)</f>
        <v>0.138377890772256</v>
      </c>
      <c r="F321" s="16" t="n">
        <f aca="false" t="array" ref="F321:F321">IF(D321="","",IFERROR(INDEX(Dados_Evap!$C$2:$N$15,MATCH($B$9,Dados_Evap!$A$2:$A$15,0),C321),0))</f>
        <v>235.9</v>
      </c>
      <c r="G321" s="16" t="n">
        <f aca="false">IF(F321="","",F321/1000)</f>
        <v>0.2359</v>
      </c>
      <c r="H321" s="16" t="n">
        <f aca="false">IF(D321="","",MAX(0,MIN($B$8,IFERROR(LOOKUP(2,1/($U$24:U320&lt;&gt;""),$U$24:U320),$B$11))))</f>
        <v>6.36134124642586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0.800244906041508</v>
      </c>
      <c r="J321" s="16" t="n">
        <f aca="false">IF(D321="","",$B$12)</f>
        <v>0.25</v>
      </c>
      <c r="K321" s="16" t="n">
        <f aca="false">IF(J321="","",J321*$B$15)</f>
        <v>0.648</v>
      </c>
      <c r="L321" s="16" t="n">
        <f aca="false">IF(D321="","",H321+E321-K321-G321*I321)</f>
        <v>5.66294136386293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0.759504912892004</v>
      </c>
      <c r="N321" s="16" t="n">
        <f aca="false">IF(D321="","",(I321+M321)/2)</f>
        <v>0.779874909466756</v>
      </c>
      <c r="O321" s="16" t="n">
        <f aca="false">IF(D321="","",G321*N321)</f>
        <v>0.183972491143208</v>
      </c>
      <c r="P321" s="16" t="n">
        <f aca="false">IF(D321="","",H321+E321-K321-O321)</f>
        <v>5.66774664605491</v>
      </c>
      <c r="Q321" s="16" t="n">
        <f aca="false">IF(D321="","",IF(P321&gt;=0,K321,MAX(0,K321+P321)))</f>
        <v>0.648</v>
      </c>
      <c r="R321" s="16" t="n">
        <f aca="false">IF(D321="","",Q321/$B$15)</f>
        <v>0.25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5.66774664605491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26.6091391833564</v>
      </c>
      <c r="Z321" s="18" t="n">
        <f aca="false">IF(D321="","",MAX(0,IF(P321&gt;=0,P321,IF(K321+P321&gt;=0,0,P321+K321))))</f>
        <v>5.66774664605491</v>
      </c>
      <c r="AA321" s="18" t="n">
        <f aca="false">IF(D321="","",IF(H321&lt;=$B$16,1,IF(H321&gt;=$B$17,$B$21,MATCH(H321,Aux_CAV!$A$2:$A$121,1))))</f>
        <v>4</v>
      </c>
      <c r="AB321" s="18" t="n">
        <f aca="false">IF(D321="","",IF(L321&lt;=$B$16,1,IF(L321&gt;=$B$17,$B$21,MATCH(L321,Aux_CAV!$A$2:$A$121,1))))</f>
        <v>4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0.0336667978241512</v>
      </c>
      <c r="E322" s="16" t="n">
        <f aca="false">IF(D322="","",D322*$B$15)</f>
        <v>0.0872643399601999</v>
      </c>
      <c r="F322" s="16" t="n">
        <f aca="false" t="array" ref="F322:F322">IF(D322="","",IFERROR(INDEX(Dados_Evap!$C$2:$N$15,MATCH($B$9,Dados_Evap!$A$2:$A$15,0),C322),0))</f>
        <v>225.9</v>
      </c>
      <c r="G322" s="16" t="n">
        <f aca="false">IF(F322="","",F322/1000)</f>
        <v>0.2259</v>
      </c>
      <c r="H322" s="16" t="n">
        <f aca="false">IF(D322="","",MAX(0,MIN($B$8,IFERROR(LOOKUP(2,1/($U$24:U321&lt;&gt;""),$U$24:U321),$B$11))))</f>
        <v>5.66774664605491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0.75978522101987</v>
      </c>
      <c r="J322" s="16" t="n">
        <f aca="false">IF(D322="","",$B$12)</f>
        <v>0.25</v>
      </c>
      <c r="K322" s="16" t="n">
        <f aca="false">IF(J322="","",J322*$B$15)</f>
        <v>0.648</v>
      </c>
      <c r="L322" s="16" t="n">
        <f aca="false">IF(D322="","",H322+E322-K322-G322*I322)</f>
        <v>4.93537550458672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0.717063571100892</v>
      </c>
      <c r="N322" s="16" t="n">
        <f aca="false">IF(D322="","",(I322+M322)/2)</f>
        <v>0.738424396060381</v>
      </c>
      <c r="O322" s="16" t="n">
        <f aca="false">IF(D322="","",G322*N322)</f>
        <v>0.16681007107004</v>
      </c>
      <c r="P322" s="16" t="n">
        <f aca="false">IF(D322="","",H322+E322-K322-O322)</f>
        <v>4.94020091494507</v>
      </c>
      <c r="Q322" s="16" t="n">
        <f aca="false">IF(D322="","",IF(P322&gt;=0,K322,MAX(0,K322+P322)))</f>
        <v>0.648</v>
      </c>
      <c r="R322" s="16" t="n">
        <f aca="false">IF(D322="","",Q322/$B$15)</f>
        <v>0.25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4.94020091494507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23.1934315255637</v>
      </c>
      <c r="Z322" s="18" t="n">
        <f aca="false">IF(D322="","",MAX(0,IF(P322&gt;=0,P322,IF(K322+P322&gt;=0,0,P322+K322))))</f>
        <v>4.94020091494507</v>
      </c>
      <c r="AA322" s="18" t="n">
        <f aca="false">IF(D322="","",IF(H322&lt;=$B$16,1,IF(H322&gt;=$B$17,$B$21,MATCH(H322,Aux_CAV!$A$2:$A$121,1))))</f>
        <v>4</v>
      </c>
      <c r="AB322" s="18" t="n">
        <f aca="false">IF(D322="","",IF(L322&lt;=$B$16,1,IF(L322&gt;=$B$17,$B$21,MATCH(L322,Aux_CAV!$A$2:$A$121,1))))</f>
        <v>4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0.0796075050039869</v>
      </c>
      <c r="E323" s="16" t="n">
        <f aca="false">IF(D323="","",D323*$B$15)</f>
        <v>0.206342652970334</v>
      </c>
      <c r="F323" s="16" t="n">
        <f aca="false" t="array" ref="F323:F323">IF(D323="","",IFERROR(INDEX(Dados_Evap!$C$2:$N$15,MATCH($B$9,Dados_Evap!$A$2:$A$15,0),C323),0))</f>
        <v>206</v>
      </c>
      <c r="G323" s="16" t="n">
        <f aca="false">IF(F323="","",F323/1000)</f>
        <v>0.206</v>
      </c>
      <c r="H323" s="16" t="n">
        <f aca="false">IF(D323="","",MAX(0,MIN($B$8,IFERROR(LOOKUP(2,1/($U$24:U322&lt;&gt;""),$U$24:U322),$B$11))))</f>
        <v>4.94020091494507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0.717345053371796</v>
      </c>
      <c r="J323" s="16" t="n">
        <f aca="false">IF(D323="","",$B$12)</f>
        <v>0.25</v>
      </c>
      <c r="K323" s="16" t="n">
        <f aca="false">IF(J323="","",J323*$B$15)</f>
        <v>0.648</v>
      </c>
      <c r="L323" s="16" t="n">
        <f aca="false">IF(D323="","",H323+E323-K323-G323*I323)</f>
        <v>4.35077048692081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0.682961611737047</v>
      </c>
      <c r="N323" s="16" t="n">
        <f aca="false">IF(D323="","",(I323+M323)/2)</f>
        <v>0.700153332554422</v>
      </c>
      <c r="O323" s="16" t="n">
        <f aca="false">IF(D323="","",G323*N323)</f>
        <v>0.144231586506211</v>
      </c>
      <c r="P323" s="16" t="n">
        <f aca="false">IF(D323="","",H323+E323-K323-O323)</f>
        <v>4.35431198140919</v>
      </c>
      <c r="Q323" s="16" t="n">
        <f aca="false">IF(D323="","",IF(P323&gt;=0,K323,MAX(0,K323+P323)))</f>
        <v>0.648</v>
      </c>
      <c r="R323" s="16" t="n">
        <f aca="false">IF(D323="","",Q323/$B$15)</f>
        <v>0.25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4.35431198140919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20.4427792554422</v>
      </c>
      <c r="Z323" s="18" t="n">
        <f aca="false">IF(D323="","",MAX(0,IF(P323&gt;=0,P323,IF(K323+P323&gt;=0,0,P323+K323))))</f>
        <v>4.35431198140919</v>
      </c>
      <c r="AA323" s="18" t="n">
        <f aca="false">IF(D323="","",IF(H323&lt;=$B$16,1,IF(H323&gt;=$B$17,$B$21,MATCH(H323,Aux_CAV!$A$2:$A$121,1))))</f>
        <v>4</v>
      </c>
      <c r="AB323" s="18" t="n">
        <f aca="false">IF(D323="","",IF(L323&lt;=$B$16,1,IF(L323&gt;=$B$17,$B$21,MATCH(L323,Aux_CAV!$A$2:$A$121,1))))</f>
        <v>4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0.212104917287796</v>
      </c>
      <c r="E324" s="16" t="n">
        <f aca="false">IF(D324="","",D324*$B$15)</f>
        <v>0.549775945609967</v>
      </c>
      <c r="F324" s="16" t="n">
        <f aca="false" t="array" ref="F324:F324">IF(D324="","",IFERROR(INDEX(Dados_Evap!$C$2:$N$15,MATCH($B$9,Dados_Evap!$A$2:$A$15,0),C324),0))</f>
        <v>165.6</v>
      </c>
      <c r="G324" s="16" t="n">
        <f aca="false">IF(F324="","",F324/1000)</f>
        <v>0.1656</v>
      </c>
      <c r="H324" s="16" t="n">
        <f aca="false">IF(D324="","",MAX(0,MIN($B$8,IFERROR(LOOKUP(2,1/($U$24:U323&lt;&gt;""),$U$24:U323),$B$11))))</f>
        <v>4.35431198140919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0.683168198915536</v>
      </c>
      <c r="J324" s="16" t="n">
        <f aca="false">IF(D324="","",$B$12)</f>
        <v>0.25</v>
      </c>
      <c r="K324" s="16" t="n">
        <f aca="false">IF(J324="","",J324*$B$15)</f>
        <v>0.648</v>
      </c>
      <c r="L324" s="16" t="n">
        <f aca="false">IF(D324="","",H324+E324-K324-G324*I324)</f>
        <v>4.14295527327875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0.670839057607927</v>
      </c>
      <c r="N324" s="16" t="n">
        <f aca="false">IF(D324="","",(I324+M324)/2)</f>
        <v>0.677003628261732</v>
      </c>
      <c r="O324" s="16" t="n">
        <f aca="false">IF(D324="","",G324*N324)</f>
        <v>0.112111800840143</v>
      </c>
      <c r="P324" s="16" t="n">
        <f aca="false">IF(D324="","",H324+E324-K324-O324)</f>
        <v>4.14397612617902</v>
      </c>
      <c r="Q324" s="16" t="n">
        <f aca="false">IF(D324="","",IF(P324&gt;=0,K324,MAX(0,K324+P324)))</f>
        <v>0.648</v>
      </c>
      <c r="R324" s="16" t="n">
        <f aca="false">IF(D324="","",Q324/$B$15)</f>
        <v>0.25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4.14397612617902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19.4552869773663</v>
      </c>
      <c r="Z324" s="18" t="n">
        <f aca="false">IF(D324="","",MAX(0,IF(P324&gt;=0,P324,IF(K324+P324&gt;=0,0,P324+K324))))</f>
        <v>4.14397612617902</v>
      </c>
      <c r="AA324" s="18" t="n">
        <f aca="false">IF(D324="","",IF(H324&lt;=$B$16,1,IF(H324&gt;=$B$17,$B$21,MATCH(H324,Aux_CAV!$A$2:$A$121,1))))</f>
        <v>4</v>
      </c>
      <c r="AB324" s="18" t="n">
        <f aca="false">IF(D324="","",IF(L324&lt;=$B$16,1,IF(L324&gt;=$B$17,$B$21,MATCH(L324,Aux_CAV!$A$2:$A$121,1))))</f>
        <v>4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0.58335232441209</v>
      </c>
      <c r="E325" s="16" t="n">
        <f aca="false">IF(D325="","",D325*$B$15)</f>
        <v>1.51204922487614</v>
      </c>
      <c r="F325" s="16" t="n">
        <f aca="false" t="array" ref="F325:F325">IF(D325="","",IFERROR(INDEX(Dados_Evap!$C$2:$N$15,MATCH($B$9,Dados_Evap!$A$2:$A$15,0),C325),0))</f>
        <v>124.9</v>
      </c>
      <c r="G325" s="16" t="n">
        <f aca="false">IF(F325="","",F325/1000)</f>
        <v>0.1249</v>
      </c>
      <c r="H325" s="16" t="n">
        <f aca="false">IF(D325="","",MAX(0,MIN($B$8,IFERROR(LOOKUP(2,1/($U$24:U324&lt;&gt;""),$U$24:U324),$B$11))))</f>
        <v>4.14397612617902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0.670898607360443</v>
      </c>
      <c r="J325" s="16" t="n">
        <f aca="false">IF(D325="","",$B$12)</f>
        <v>0.25</v>
      </c>
      <c r="K325" s="16" t="n">
        <f aca="false">IF(J325="","",J325*$B$15)</f>
        <v>0.648</v>
      </c>
      <c r="L325" s="16" t="n">
        <f aca="false">IF(D325="","",H325+E325-K325-G325*I325)</f>
        <v>4.92423011499584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0.716413423374757</v>
      </c>
      <c r="N325" s="16" t="n">
        <f aca="false">IF(D325="","",(I325+M325)/2)</f>
        <v>0.6936560153676</v>
      </c>
      <c r="O325" s="16" t="n">
        <f aca="false">IF(D325="","",G325*N325)</f>
        <v>0.0866376363194132</v>
      </c>
      <c r="P325" s="16" t="n">
        <f aca="false">IF(D325="","",H325+E325-K325-O325)</f>
        <v>4.92138771473574</v>
      </c>
      <c r="Q325" s="16" t="n">
        <f aca="false">IF(D325="","",IF(P325&gt;=0,K325,MAX(0,K325+P325)))</f>
        <v>0.648</v>
      </c>
      <c r="R325" s="16" t="n">
        <f aca="false">IF(D325="","",Q325/$B$15)</f>
        <v>0.25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4.92138771473574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23.1051066419518</v>
      </c>
      <c r="Z325" s="18" t="n">
        <f aca="false">IF(D325="","",MAX(0,IF(P325&gt;=0,P325,IF(K325+P325&gt;=0,0,P325+K325))))</f>
        <v>4.92138771473574</v>
      </c>
      <c r="AA325" s="18" t="n">
        <f aca="false">IF(D325="","",IF(H325&lt;=$B$16,1,IF(H325&gt;=$B$17,$B$21,MATCH(H325,Aux_CAV!$A$2:$A$121,1))))</f>
        <v>4</v>
      </c>
      <c r="AB325" s="18" t="n">
        <f aca="false">IF(D325="","",IF(L325&lt;=$B$16,1,IF(L325&gt;=$B$17,$B$21,MATCH(L325,Aux_CAV!$A$2:$A$121,1))))</f>
        <v>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1.35049742761605</v>
      </c>
      <c r="E326" s="16" t="n">
        <f aca="false">IF(D326="","",D326*$B$15)</f>
        <v>3.5004893323808</v>
      </c>
      <c r="F326" s="16" t="n">
        <f aca="false" t="array" ref="F326:F326">IF(D326="","",IFERROR(INDEX(Dados_Evap!$C$2:$N$15,MATCH($B$9,Dados_Evap!$A$2:$A$15,0),C326),0))</f>
        <v>88.2</v>
      </c>
      <c r="G326" s="16" t="n">
        <f aca="false">IF(F326="","",F326/1000)</f>
        <v>0.0882</v>
      </c>
      <c r="H326" s="16" t="n">
        <f aca="false">IF(D326="","",MAX(0,MIN($B$8,IFERROR(LOOKUP(2,1/($U$24:U325&lt;&gt;""),$U$24:U325),$B$11))))</f>
        <v>4.92138771473574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0.716247616692918</v>
      </c>
      <c r="J326" s="16" t="n">
        <f aca="false">IF(D326="","",$B$12)</f>
        <v>0.25</v>
      </c>
      <c r="K326" s="16" t="n">
        <f aca="false">IF(J326="","",J326*$B$15)</f>
        <v>0.648</v>
      </c>
      <c r="L326" s="16" t="n">
        <f aca="false">IF(D326="","",H326+E326-K326-G326*I326)</f>
        <v>7.71070400732423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0.853541062189963</v>
      </c>
      <c r="N326" s="16" t="n">
        <f aca="false">IF(D326="","",(I326+M326)/2)</f>
        <v>0.784894339441441</v>
      </c>
      <c r="O326" s="16" t="n">
        <f aca="false">IF(D326="","",G326*N326)</f>
        <v>0.0692276807387351</v>
      </c>
      <c r="P326" s="16" t="n">
        <f aca="false">IF(D326="","",H326+E326-K326-O326)</f>
        <v>7.70464936637781</v>
      </c>
      <c r="Q326" s="16" t="n">
        <f aca="false">IF(D326="","",IF(P326&gt;=0,K326,MAX(0,K326+P326)))</f>
        <v>0.648</v>
      </c>
      <c r="R326" s="16" t="n">
        <f aca="false">IF(D326="","",Q326/$B$15)</f>
        <v>0.25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7.70464936637781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36.1720627529475</v>
      </c>
      <c r="Z326" s="18" t="n">
        <f aca="false">IF(D326="","",MAX(0,IF(P326&gt;=0,P326,IF(K326+P326&gt;=0,0,P326+K326))))</f>
        <v>7.70464936637781</v>
      </c>
      <c r="AA326" s="18" t="n">
        <f aca="false">IF(D326="","",IF(H326&lt;=$B$16,1,IF(H326&gt;=$B$17,$B$21,MATCH(H326,Aux_CAV!$A$2:$A$121,1))))</f>
        <v>4</v>
      </c>
      <c r="AB326" s="18" t="n">
        <f aca="false">IF(D326="","",IF(L326&lt;=$B$16,1,IF(L326&gt;=$B$17,$B$21,MATCH(L326,Aux_CAV!$A$2:$A$121,1))))</f>
        <v>5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1.89728518796667</v>
      </c>
      <c r="E327" s="16" t="n">
        <f aca="false">IF(D327="","",D327*$B$15)</f>
        <v>4.91776320720961</v>
      </c>
      <c r="F327" s="16" t="n">
        <f aca="false" t="array" ref="F327:F327">IF(D327="","",IFERROR(INDEX(Dados_Evap!$C$2:$N$15,MATCH($B$9,Dados_Evap!$A$2:$A$15,0),C327),0))</f>
        <v>88.2</v>
      </c>
      <c r="G327" s="16" t="n">
        <f aca="false">IF(F327="","",F327/1000)</f>
        <v>0.0882</v>
      </c>
      <c r="H327" s="16" t="n">
        <f aca="false">IF(D327="","",MAX(0,MIN($B$8,IFERROR(LOOKUP(2,1/($U$24:U326&lt;&gt;""),$U$24:U326),$B$11))))</f>
        <v>7.70464936637781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0.853340133839972</v>
      </c>
      <c r="J327" s="16" t="n">
        <f aca="false">IF(D327="","",$B$12)</f>
        <v>0.25</v>
      </c>
      <c r="K327" s="16" t="n">
        <f aca="false">IF(J327="","",J327*$B$15)</f>
        <v>0.648</v>
      </c>
      <c r="L327" s="16" t="n">
        <f aca="false">IF(D327="","",H327+E327-K327-G327*I327)</f>
        <v>11.8991479737827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0.991825171180163</v>
      </c>
      <c r="N327" s="16" t="n">
        <f aca="false">IF(D327="","",(I327+M327)/2)</f>
        <v>0.922582652510068</v>
      </c>
      <c r="O327" s="16" t="n">
        <f aca="false">IF(D327="","",G327*N327)</f>
        <v>0.081371789951388</v>
      </c>
      <c r="P327" s="16" t="n">
        <f aca="false">IF(D327="","",H327+E327-K327-O327)</f>
        <v>11.893040783636</v>
      </c>
      <c r="Q327" s="16" t="n">
        <f aca="false">IF(D327="","",IF(P327&gt;=0,K327,MAX(0,K327+P327)))</f>
        <v>0.648</v>
      </c>
      <c r="R327" s="16" t="n">
        <f aca="false">IF(D327="","",Q327/$B$15)</f>
        <v>0.25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11.893040783636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55.8358722236433</v>
      </c>
      <c r="Z327" s="18" t="n">
        <f aca="false">IF(D327="","",MAX(0,IF(P327&gt;=0,P327,IF(K327+P327&gt;=0,0,P327+K327))))</f>
        <v>11.893040783636</v>
      </c>
      <c r="AA327" s="18" t="n">
        <f aca="false">IF(D327="","",IF(H327&lt;=$B$16,1,IF(H327&gt;=$B$17,$B$21,MATCH(H327,Aux_CAV!$A$2:$A$121,1))))</f>
        <v>5</v>
      </c>
      <c r="AB327" s="18" t="n">
        <f aca="false">IF(D327="","",IF(L327&lt;=$B$16,1,IF(L327&gt;=$B$17,$B$21,MATCH(L327,Aux_CAV!$A$2:$A$121,1))))</f>
        <v>6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1.53985688485375</v>
      </c>
      <c r="E328" s="16" t="n">
        <f aca="false">IF(D328="","",D328*$B$15)</f>
        <v>3.99130904554092</v>
      </c>
      <c r="F328" s="16" t="n">
        <f aca="false" t="array" ref="F328:F328">IF(D328="","",IFERROR(INDEX(Dados_Evap!$C$2:$N$15,MATCH($B$9,Dados_Evap!$A$2:$A$15,0),C328),0))</f>
        <v>83.9</v>
      </c>
      <c r="G328" s="16" t="n">
        <f aca="false">IF(F328="","",F328/1000)</f>
        <v>0.0839</v>
      </c>
      <c r="H328" s="16" t="n">
        <f aca="false">IF(D328="","",MAX(0,MIN($B$8,IFERROR(LOOKUP(2,1/($U$24:U327&lt;&gt;""),$U$24:U327),$B$11))))</f>
        <v>11.893040783636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0.991628909871101</v>
      </c>
      <c r="J328" s="16" t="n">
        <f aca="false">IF(D328="","",$B$12)</f>
        <v>0.25</v>
      </c>
      <c r="K328" s="16" t="n">
        <f aca="false">IF(J328="","",J328*$B$15)</f>
        <v>0.648</v>
      </c>
      <c r="L328" s="16" t="n">
        <f aca="false">IF(D328="","",H328+E328-K328-G328*I328)</f>
        <v>15.1531521636388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1.09639619429463</v>
      </c>
      <c r="N328" s="16" t="n">
        <f aca="false">IF(D328="","",(I328+M328)/2)</f>
        <v>1.04401255208287</v>
      </c>
      <c r="O328" s="16" t="n">
        <f aca="false">IF(D328="","",G328*N328)</f>
        <v>0.0875926531197524</v>
      </c>
      <c r="P328" s="16" t="n">
        <f aca="false">IF(D328="","",H328+E328-K328-O328)</f>
        <v>15.1487571760572</v>
      </c>
      <c r="Q328" s="16" t="n">
        <f aca="false">IF(D328="","",IF(P328&gt;=0,K328,MAX(0,K328+P328)))</f>
        <v>0.648</v>
      </c>
      <c r="R328" s="16" t="n">
        <f aca="false">IF(D328="","",Q328/$B$15)</f>
        <v>0.25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15.1487571760572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71.1209257091887</v>
      </c>
      <c r="Z328" s="18" t="n">
        <f aca="false">IF(D328="","",MAX(0,IF(P328&gt;=0,P328,IF(K328+P328&gt;=0,0,P328+K328))))</f>
        <v>15.1487571760572</v>
      </c>
      <c r="AA328" s="18" t="n">
        <f aca="false">IF(D328="","",IF(H328&lt;=$B$16,1,IF(H328&gt;=$B$17,$B$21,MATCH(H328,Aux_CAV!$A$2:$A$121,1))))</f>
        <v>6</v>
      </c>
      <c r="AB328" s="18" t="n">
        <f aca="false">IF(D328="","",IF(L328&lt;=$B$16,1,IF(L328&gt;=$B$17,$B$21,MATCH(L328,Aux_CAV!$A$2:$A$121,1))))</f>
        <v>6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0.580985337669925</v>
      </c>
      <c r="E329" s="16" t="n">
        <f aca="false">IF(D329="","",D329*$B$15)</f>
        <v>1.50591399524045</v>
      </c>
      <c r="F329" s="16" t="n">
        <f aca="false" t="array" ref="F329:F329">IF(D329="","",IFERROR(INDEX(Dados_Evap!$C$2:$N$15,MATCH($B$9,Dados_Evap!$A$2:$A$15,0),C329),0))</f>
        <v>104.7</v>
      </c>
      <c r="G329" s="16" t="n">
        <f aca="false">IF(F329="","",F329/1000)</f>
        <v>0.1047</v>
      </c>
      <c r="H329" s="16" t="n">
        <f aca="false">IF(D329="","",MAX(0,MIN($B$8,IFERROR(LOOKUP(2,1/($U$24:U328&lt;&gt;""),$U$24:U328),$B$11))))</f>
        <v>15.1487571760572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1.09625495650845</v>
      </c>
      <c r="J329" s="16" t="n">
        <f aca="false">IF(D329="","",$B$12)</f>
        <v>0.25</v>
      </c>
      <c r="K329" s="16" t="n">
        <f aca="false">IF(J329="","",J329*$B$15)</f>
        <v>0.648</v>
      </c>
      <c r="L329" s="16" t="n">
        <f aca="false">IF(D329="","",H329+E329-K329-G329*I329)</f>
        <v>15.8918932773512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1.12013645692811</v>
      </c>
      <c r="N329" s="16" t="n">
        <f aca="false">IF(D329="","",(I329+M329)/2)</f>
        <v>1.10819570671828</v>
      </c>
      <c r="O329" s="16" t="n">
        <f aca="false">IF(D329="","",G329*N329)</f>
        <v>0.116028090493404</v>
      </c>
      <c r="P329" s="16" t="n">
        <f aca="false">IF(D329="","",H329+E329-K329-O329)</f>
        <v>15.8906430808042</v>
      </c>
      <c r="Q329" s="16" t="n">
        <f aca="false">IF(D329="","",IF(P329&gt;=0,K329,MAX(0,K329+P329)))</f>
        <v>0.648</v>
      </c>
      <c r="R329" s="16" t="n">
        <f aca="false">IF(D329="","",Q329/$B$15)</f>
        <v>0.25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15.8906430808042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74.6039581258415</v>
      </c>
      <c r="Z329" s="18" t="n">
        <f aca="false">IF(D329="","",MAX(0,IF(P329&gt;=0,P329,IF(K329+P329&gt;=0,0,P329+K329))))</f>
        <v>15.8906430808042</v>
      </c>
      <c r="AA329" s="18" t="n">
        <f aca="false">IF(D329="","",IF(H329&lt;=$B$16,1,IF(H329&gt;=$B$17,$B$21,MATCH(H329,Aux_CAV!$A$2:$A$121,1))))</f>
        <v>6</v>
      </c>
      <c r="AB329" s="18" t="n">
        <f aca="false">IF(D329="","",IF(L329&lt;=$B$16,1,IF(L329&gt;=$B$17,$B$21,MATCH(L329,Aux_CAV!$A$2:$A$121,1))))</f>
        <v>6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0.243896722549683</v>
      </c>
      <c r="E330" s="16" t="n">
        <f aca="false">IF(D330="","",D330*$B$15)</f>
        <v>0.632180304848778</v>
      </c>
      <c r="F330" s="16" t="n">
        <f aca="false" t="array" ref="F330:F330">IF(D330="","",IFERROR(INDEX(Dados_Evap!$C$2:$N$15,MATCH($B$9,Dados_Evap!$A$2:$A$15,0),C330),0))</f>
        <v>145.2</v>
      </c>
      <c r="G330" s="16" t="n">
        <f aca="false">IF(F330="","",F330/1000)</f>
        <v>0.1452</v>
      </c>
      <c r="H330" s="16" t="n">
        <f aca="false">IF(D330="","",MAX(0,MIN($B$8,IFERROR(LOOKUP(2,1/($U$24:U329&lt;&gt;""),$U$24:U329),$B$11))))</f>
        <v>15.8906430808042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1.12009628047953</v>
      </c>
      <c r="J330" s="16" t="n">
        <f aca="false">IF(D330="","",$B$12)</f>
        <v>0.25</v>
      </c>
      <c r="K330" s="16" t="n">
        <f aca="false">IF(J330="","",J330*$B$15)</f>
        <v>0.648</v>
      </c>
      <c r="L330" s="16" t="n">
        <f aca="false">IF(D330="","",H330+E330-K330-G330*I330)</f>
        <v>15.7121854057274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1.11436134574171</v>
      </c>
      <c r="N330" s="16" t="n">
        <f aca="false">IF(D330="","",(I330+M330)/2)</f>
        <v>1.11722881311062</v>
      </c>
      <c r="O330" s="16" t="n">
        <f aca="false">IF(D330="","",G330*N330)</f>
        <v>0.162221623663662</v>
      </c>
      <c r="P330" s="16" t="n">
        <f aca="false">IF(D330="","",H330+E330-K330-O330)</f>
        <v>15.7126017619894</v>
      </c>
      <c r="Q330" s="16" t="n">
        <f aca="false">IF(D330="","",IF(P330&gt;=0,K330,MAX(0,K330+P330)))</f>
        <v>0.648</v>
      </c>
      <c r="R330" s="16" t="n">
        <f aca="false">IF(D330="","",Q330/$B$15)</f>
        <v>0.25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15.7126017619894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73.7680833896214</v>
      </c>
      <c r="Z330" s="18" t="n">
        <f aca="false">IF(D330="","",MAX(0,IF(P330&gt;=0,P330,IF(K330+P330&gt;=0,0,P330+K330))))</f>
        <v>15.7126017619894</v>
      </c>
      <c r="AA330" s="18" t="n">
        <f aca="false">IF(D330="","",IF(H330&lt;=$B$16,1,IF(H330&gt;=$B$17,$B$21,MATCH(H330,Aux_CAV!$A$2:$A$121,1))))</f>
        <v>6</v>
      </c>
      <c r="AB330" s="18" t="n">
        <f aca="false">IF(D330="","",IF(L330&lt;=$B$16,1,IF(L330&gt;=$B$17,$B$21,MATCH(L330,Aux_CAV!$A$2:$A$121,1))))</f>
        <v>6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0.167432974811569</v>
      </c>
      <c r="E331" s="16" t="n">
        <f aca="false">IF(D331="","",D331*$B$15)</f>
        <v>0.433986270711587</v>
      </c>
      <c r="F331" s="16" t="n">
        <f aca="false" t="array" ref="F331:F331">IF(D331="","",IFERROR(INDEX(Dados_Evap!$C$2:$N$15,MATCH($B$9,Dados_Evap!$A$2:$A$15,0),C331),0))</f>
        <v>180.9</v>
      </c>
      <c r="G331" s="16" t="n">
        <f aca="false">IF(F331="","",F331/1000)</f>
        <v>0.1809</v>
      </c>
      <c r="H331" s="16" t="n">
        <f aca="false">IF(D331="","",MAX(0,MIN($B$8,IFERROR(LOOKUP(2,1/($U$24:U330&lt;&gt;""),$U$24:U330),$B$11))))</f>
        <v>15.7126017619894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1.11437472581062</v>
      </c>
      <c r="J331" s="16" t="n">
        <f aca="false">IF(D331="","",$B$12)</f>
        <v>0.25</v>
      </c>
      <c r="K331" s="16" t="n">
        <f aca="false">IF(J331="","",J331*$B$15)</f>
        <v>0.648</v>
      </c>
      <c r="L331" s="16" t="n">
        <f aca="false">IF(D331="","",H331+E331-K331-G331*I331)</f>
        <v>15.2969976448018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1.10101882790478</v>
      </c>
      <c r="N331" s="16" t="n">
        <f aca="false">IF(D331="","",(I331+M331)/2)</f>
        <v>1.1076967768577</v>
      </c>
      <c r="O331" s="16" t="n">
        <f aca="false">IF(D331="","",G331*N331)</f>
        <v>0.200382346933558</v>
      </c>
      <c r="P331" s="16" t="n">
        <f aca="false">IF(D331="","",H331+E331-K331-O331)</f>
        <v>15.2982056857674</v>
      </c>
      <c r="Q331" s="16" t="n">
        <f aca="false">IF(D331="","",IF(P331&gt;=0,K331,MAX(0,K331+P331)))</f>
        <v>0.648</v>
      </c>
      <c r="R331" s="16" t="n">
        <f aca="false">IF(D331="","",Q331/$B$15)</f>
        <v>0.25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15.2982056857674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71.8225619050112</v>
      </c>
      <c r="Z331" s="18" t="n">
        <f aca="false">IF(D331="","",MAX(0,IF(P331&gt;=0,P331,IF(K331+P331&gt;=0,0,P331+K331))))</f>
        <v>15.2982056857674</v>
      </c>
      <c r="AA331" s="18" t="n">
        <f aca="false">IF(D331="","",IF(H331&lt;=$B$16,1,IF(H331&gt;=$B$17,$B$21,MATCH(H331,Aux_CAV!$A$2:$A$121,1))))</f>
        <v>6</v>
      </c>
      <c r="AB331" s="18" t="n">
        <f aca="false">IF(D331="","",IF(L331&lt;=$B$16,1,IF(L331&gt;=$B$17,$B$21,MATCH(L331,Aux_CAV!$A$2:$A$121,1))))</f>
        <v>6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0.106309626062958</v>
      </c>
      <c r="E332" s="16" t="n">
        <f aca="false">IF(D332="","",D332*$B$15)</f>
        <v>0.275554550755187</v>
      </c>
      <c r="F332" s="16" t="n">
        <f aca="false" t="array" ref="F332:F332">IF(D332="","",IFERROR(INDEX(Dados_Evap!$C$2:$N$15,MATCH($B$9,Dados_Evap!$A$2:$A$15,0),C332),0))</f>
        <v>208.9</v>
      </c>
      <c r="G332" s="16" t="n">
        <f aca="false">IF(F332="","",F332/1000)</f>
        <v>0.2089</v>
      </c>
      <c r="H332" s="16" t="n">
        <f aca="false">IF(D332="","",MAX(0,MIN($B$8,IFERROR(LOOKUP(2,1/($U$24:U331&lt;&gt;""),$U$24:U331),$B$11))))</f>
        <v>15.2982056857674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1.10105764963714</v>
      </c>
      <c r="J332" s="16" t="n">
        <f aca="false">IF(D332="","",$B$12)</f>
        <v>0.25</v>
      </c>
      <c r="K332" s="16" t="n">
        <f aca="false">IF(J332="","",J332*$B$15)</f>
        <v>0.648</v>
      </c>
      <c r="L332" s="16" t="n">
        <f aca="false">IF(D332="","",H332+E332-K332-G332*I332)</f>
        <v>14.6957492935134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1.08169704723956</v>
      </c>
      <c r="N332" s="16" t="n">
        <f aca="false">IF(D332="","",(I332+M332)/2)</f>
        <v>1.09137734843835</v>
      </c>
      <c r="O332" s="16" t="n">
        <f aca="false">IF(D332="","",G332*N332)</f>
        <v>0.227988728088771</v>
      </c>
      <c r="P332" s="16" t="n">
        <f aca="false">IF(D332="","",H332+E332-K332-O332)</f>
        <v>14.6977715084338</v>
      </c>
      <c r="Q332" s="16" t="n">
        <f aca="false">IF(D332="","",IF(P332&gt;=0,K332,MAX(0,K332+P332)))</f>
        <v>0.648</v>
      </c>
      <c r="R332" s="16" t="n">
        <f aca="false">IF(D332="","",Q332/$B$15)</f>
        <v>0.25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14.6977715084338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69.003622105323</v>
      </c>
      <c r="Z332" s="18" t="n">
        <f aca="false">IF(D332="","",MAX(0,IF(P332&gt;=0,P332,IF(K332+P332&gt;=0,0,P332+K332))))</f>
        <v>14.6977715084338</v>
      </c>
      <c r="AA332" s="18" t="n">
        <f aca="false">IF(D332="","",IF(H332&lt;=$B$16,1,IF(H332&gt;=$B$17,$B$21,MATCH(H332,Aux_CAV!$A$2:$A$121,1))))</f>
        <v>6</v>
      </c>
      <c r="AB332" s="18" t="n">
        <f aca="false">IF(D332="","",IF(L332&lt;=$B$16,1,IF(L332&gt;=$B$17,$B$21,MATCH(L332,Aux_CAV!$A$2:$A$121,1))))</f>
        <v>6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0.0619499456632531</v>
      </c>
      <c r="E333" s="16" t="n">
        <f aca="false">IF(D333="","",D333*$B$15)</f>
        <v>0.160574259159152</v>
      </c>
      <c r="F333" s="16" t="n">
        <f aca="false" t="array" ref="F333:F333">IF(D333="","",IFERROR(INDEX(Dados_Evap!$C$2:$N$15,MATCH($B$9,Dados_Evap!$A$2:$A$15,0),C333),0))</f>
        <v>235.9</v>
      </c>
      <c r="G333" s="16" t="n">
        <f aca="false">IF(F333="","",F333/1000)</f>
        <v>0.2359</v>
      </c>
      <c r="H333" s="16" t="n">
        <f aca="false">IF(D333="","",MAX(0,MIN($B$8,IFERROR(LOOKUP(2,1/($U$24:U332&lt;&gt;""),$U$24:U332),$B$11))))</f>
        <v>14.6977715084338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1.08176203335231</v>
      </c>
      <c r="J333" s="16" t="n">
        <f aca="false">IF(D333="","",$B$12)</f>
        <v>0.25</v>
      </c>
      <c r="K333" s="16" t="n">
        <f aca="false">IF(J333="","",J333*$B$15)</f>
        <v>0.648</v>
      </c>
      <c r="L333" s="16" t="n">
        <f aca="false">IF(D333="","",H333+E333-K333-G333*I333)</f>
        <v>13.9551581039251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1.05789733037189</v>
      </c>
      <c r="N333" s="16" t="n">
        <f aca="false">IF(D333="","",(I333+M333)/2)</f>
        <v>1.0698296818621</v>
      </c>
      <c r="O333" s="16" t="n">
        <f aca="false">IF(D333="","",G333*N333)</f>
        <v>0.252372821951269</v>
      </c>
      <c r="P333" s="16" t="n">
        <f aca="false">IF(D333="","",H333+E333-K333-O333)</f>
        <v>13.9579729456417</v>
      </c>
      <c r="Q333" s="16" t="n">
        <f aca="false">IF(D333="","",IF(P333&gt;=0,K333,MAX(0,K333+P333)))</f>
        <v>0.648</v>
      </c>
      <c r="R333" s="16" t="n">
        <f aca="false">IF(D333="","",Q333/$B$15)</f>
        <v>0.25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13.9579729456417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65.5303894161581</v>
      </c>
      <c r="Z333" s="18" t="n">
        <f aca="false">IF(D333="","",MAX(0,IF(P333&gt;=0,P333,IF(K333+P333&gt;=0,0,P333+K333))))</f>
        <v>13.9579729456417</v>
      </c>
      <c r="AA333" s="18" t="n">
        <f aca="false">IF(D333="","",IF(H333&lt;=$B$16,1,IF(H333&gt;=$B$17,$B$21,MATCH(H333,Aux_CAV!$A$2:$A$121,1))))</f>
        <v>6</v>
      </c>
      <c r="AB333" s="18" t="n">
        <f aca="false">IF(D333="","",IF(L333&lt;=$B$16,1,IF(L333&gt;=$B$17,$B$21,MATCH(L333,Aux_CAV!$A$2:$A$121,1))))</f>
        <v>6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0.0335011451520821</v>
      </c>
      <c r="E334" s="16" t="n">
        <f aca="false">IF(D334="","",D334*$B$15)</f>
        <v>0.0868349682341968</v>
      </c>
      <c r="F334" s="16" t="n">
        <f aca="false" t="array" ref="F334:F334">IF(D334="","",IFERROR(INDEX(Dados_Evap!$C$2:$N$15,MATCH($B$9,Dados_Evap!$A$2:$A$15,0),C334),0))</f>
        <v>225.9</v>
      </c>
      <c r="G334" s="16" t="n">
        <f aca="false">IF(F334="","",F334/1000)</f>
        <v>0.2259</v>
      </c>
      <c r="H334" s="16" t="n">
        <f aca="false">IF(D334="","",MAX(0,MIN($B$8,IFERROR(LOOKUP(2,1/($U$24:U333&lt;&gt;""),$U$24:U333),$B$11))))</f>
        <v>13.9579729456417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1.05798778842327</v>
      </c>
      <c r="J334" s="16" t="n">
        <f aca="false">IF(D334="","",$B$12)</f>
        <v>0.25</v>
      </c>
      <c r="K334" s="16" t="n">
        <f aca="false">IF(J334="","",J334*$B$15)</f>
        <v>0.648</v>
      </c>
      <c r="L334" s="16" t="n">
        <f aca="false">IF(D334="","",H334+E334-K334-G334*I334)</f>
        <v>13.1578084724711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1.03227361820795</v>
      </c>
      <c r="N334" s="16" t="n">
        <f aca="false">IF(D334="","",(I334+M334)/2)</f>
        <v>1.04513070331561</v>
      </c>
      <c r="O334" s="16" t="n">
        <f aca="false">IF(D334="","",G334*N334)</f>
        <v>0.236095025878997</v>
      </c>
      <c r="P334" s="16" t="n">
        <f aca="false">IF(D334="","",H334+E334-K334-O334)</f>
        <v>13.1607128879969</v>
      </c>
      <c r="Q334" s="16" t="n">
        <f aca="false">IF(D334="","",IF(P334&gt;=0,K334,MAX(0,K334+P334)))</f>
        <v>0.648</v>
      </c>
      <c r="R334" s="16" t="n">
        <f aca="false">IF(D334="","",Q334/$B$15)</f>
        <v>0.25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13.1607128879969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61.7873844506896</v>
      </c>
      <c r="Z334" s="18" t="n">
        <f aca="false">IF(D334="","",MAX(0,IF(P334&gt;=0,P334,IF(K334+P334&gt;=0,0,P334+K334))))</f>
        <v>13.1607128879969</v>
      </c>
      <c r="AA334" s="18" t="n">
        <f aca="false">IF(D334="","",IF(H334&lt;=$B$16,1,IF(H334&gt;=$B$17,$B$21,MATCH(H334,Aux_CAV!$A$2:$A$121,1))))</f>
        <v>6</v>
      </c>
      <c r="AB334" s="18" t="n">
        <f aca="false">IF(D334="","",IF(L334&lt;=$B$16,1,IF(L334&gt;=$B$17,$B$21,MATCH(L334,Aux_CAV!$A$2:$A$121,1))))</f>
        <v>6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0.0207735078570473</v>
      </c>
      <c r="E335" s="16" t="n">
        <f aca="false">IF(D335="","",D335*$B$15)</f>
        <v>0.0538449323654666</v>
      </c>
      <c r="F335" s="16" t="n">
        <f aca="false" t="array" ref="F335:F335">IF(D335="","",IFERROR(INDEX(Dados_Evap!$C$2:$N$15,MATCH($B$9,Dados_Evap!$A$2:$A$15,0),C335),0))</f>
        <v>206</v>
      </c>
      <c r="G335" s="16" t="n">
        <f aca="false">IF(F335="","",F335/1000)</f>
        <v>0.206</v>
      </c>
      <c r="H335" s="16" t="n">
        <f aca="false">IF(D335="","",MAX(0,MIN($B$8,IFERROR(LOOKUP(2,1/($U$24:U334&lt;&gt;""),$U$24:U334),$B$11))))</f>
        <v>13.1607128879969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1.03236695481275</v>
      </c>
      <c r="J335" s="16" t="n">
        <f aca="false">IF(D335="","",$B$12)</f>
        <v>0.25</v>
      </c>
      <c r="K335" s="16" t="n">
        <f aca="false">IF(J335="","",J335*$B$15)</f>
        <v>0.648</v>
      </c>
      <c r="L335" s="16" t="n">
        <f aca="false">IF(D335="","",H335+E335-K335-G335*I335)</f>
        <v>12.3538902276709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1.00643881639018</v>
      </c>
      <c r="N335" s="16" t="n">
        <f aca="false">IF(D335="","",(I335+M335)/2)</f>
        <v>1.01940288560147</v>
      </c>
      <c r="O335" s="16" t="n">
        <f aca="false">IF(D335="","",G335*N335)</f>
        <v>0.209996994433902</v>
      </c>
      <c r="P335" s="16" t="n">
        <f aca="false">IF(D335="","",H335+E335-K335-O335)</f>
        <v>12.3565608259284</v>
      </c>
      <c r="Q335" s="16" t="n">
        <f aca="false">IF(D335="","",IF(P335&gt;=0,K335,MAX(0,K335+P335)))</f>
        <v>0.648</v>
      </c>
      <c r="R335" s="16" t="n">
        <f aca="false">IF(D335="","",Q335/$B$15)</f>
        <v>0.25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12.3565608259284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58.0120226569411</v>
      </c>
      <c r="Z335" s="18" t="n">
        <f aca="false">IF(D335="","",MAX(0,IF(P335&gt;=0,P335,IF(K335+P335&gt;=0,0,P335+K335))))</f>
        <v>12.3565608259284</v>
      </c>
      <c r="AA335" s="18" t="n">
        <f aca="false">IF(D335="","",IF(H335&lt;=$B$16,1,IF(H335&gt;=$B$17,$B$21,MATCH(H335,Aux_CAV!$A$2:$A$121,1))))</f>
        <v>6</v>
      </c>
      <c r="AB335" s="18" t="n">
        <f aca="false">IF(D335="","",IF(L335&lt;=$B$16,1,IF(L335&gt;=$B$17,$B$21,MATCH(L335,Aux_CAV!$A$2:$A$121,1))))</f>
        <v>6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0.0220587976093044</v>
      </c>
      <c r="E336" s="16" t="n">
        <f aca="false">IF(D336="","",D336*$B$15)</f>
        <v>0.057176403403317</v>
      </c>
      <c r="F336" s="16" t="n">
        <f aca="false" t="array" ref="F336:F336">IF(D336="","",IFERROR(INDEX(Dados_Evap!$C$2:$N$15,MATCH($B$9,Dados_Evap!$A$2:$A$15,0),C336),0))</f>
        <v>165.6</v>
      </c>
      <c r="G336" s="16" t="n">
        <f aca="false">IF(F336="","",F336/1000)</f>
        <v>0.1656</v>
      </c>
      <c r="H336" s="16" t="n">
        <f aca="false">IF(D336="","",MAX(0,MIN($B$8,IFERROR(LOOKUP(2,1/($U$24:U335&lt;&gt;""),$U$24:U335),$B$11))))</f>
        <v>12.3565608259284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1.00652463901849</v>
      </c>
      <c r="J336" s="16" t="n">
        <f aca="false">IF(D336="","",$B$12)</f>
        <v>0.25</v>
      </c>
      <c r="K336" s="16" t="n">
        <f aca="false">IF(J336="","",J336*$B$15)</f>
        <v>0.648</v>
      </c>
      <c r="L336" s="16" t="n">
        <f aca="false">IF(D336="","",H336+E336-K336-G336*I336)</f>
        <v>11.5990567491103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0.982181407816399</v>
      </c>
      <c r="N336" s="16" t="n">
        <f aca="false">IF(D336="","",(I336+M336)/2)</f>
        <v>0.994353023417447</v>
      </c>
      <c r="O336" s="16" t="n">
        <f aca="false">IF(D336="","",G336*N336)</f>
        <v>0.164664860677929</v>
      </c>
      <c r="P336" s="16" t="n">
        <f aca="false">IF(D336="","",H336+E336-K336-O336)</f>
        <v>11.6010723686538</v>
      </c>
      <c r="Q336" s="16" t="n">
        <f aca="false">IF(D336="","",IF(P336&gt;=0,K336,MAX(0,K336+P336)))</f>
        <v>0.648</v>
      </c>
      <c r="R336" s="16" t="n">
        <f aca="false">IF(D336="","",Q336/$B$15)</f>
        <v>0.25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11.6010723686538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54.4651284913325</v>
      </c>
      <c r="Z336" s="18" t="n">
        <f aca="false">IF(D336="","",MAX(0,IF(P336&gt;=0,P336,IF(K336+P336&gt;=0,0,P336+K336))))</f>
        <v>11.6010723686538</v>
      </c>
      <c r="AA336" s="18" t="n">
        <f aca="false">IF(D336="","",IF(H336&lt;=$B$16,1,IF(H336&gt;=$B$17,$B$21,MATCH(H336,Aux_CAV!$A$2:$A$121,1))))</f>
        <v>6</v>
      </c>
      <c r="AB336" s="18" t="n">
        <f aca="false">IF(D336="","",IF(L336&lt;=$B$16,1,IF(L336&gt;=$B$17,$B$21,MATCH(L336,Aux_CAV!$A$2:$A$121,1))))</f>
        <v>6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0.237690105637851</v>
      </c>
      <c r="E337" s="16" t="n">
        <f aca="false">IF(D337="","",D337*$B$15)</f>
        <v>0.61609275381331</v>
      </c>
      <c r="F337" s="16" t="n">
        <f aca="false" t="array" ref="F337:F337">IF(D337="","",IFERROR(INDEX(Dados_Evap!$C$2:$N$15,MATCH($B$9,Dados_Evap!$A$2:$A$15,0),C337),0))</f>
        <v>124.9</v>
      </c>
      <c r="G337" s="16" t="n">
        <f aca="false">IF(F337="","",F337/1000)</f>
        <v>0.1249</v>
      </c>
      <c r="H337" s="16" t="n">
        <f aca="false">IF(D337="","",MAX(0,MIN($B$8,IFERROR(LOOKUP(2,1/($U$24:U336&lt;&gt;""),$U$24:U336),$B$11))))</f>
        <v>11.6010723686538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0.982246181979424</v>
      </c>
      <c r="J337" s="16" t="n">
        <f aca="false">IF(D337="","",$B$12)</f>
        <v>0.25</v>
      </c>
      <c r="K337" s="16" t="n">
        <f aca="false">IF(J337="","",J337*$B$15)</f>
        <v>0.648</v>
      </c>
      <c r="L337" s="16" t="n">
        <f aca="false">IF(D337="","",H337+E337-K337-G337*I337)</f>
        <v>11.4464825743379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0.977278267984394</v>
      </c>
      <c r="N337" s="16" t="n">
        <f aca="false">IF(D337="","",(I337+M337)/2)</f>
        <v>0.979762224981909</v>
      </c>
      <c r="O337" s="16" t="n">
        <f aca="false">IF(D337="","",G337*N337)</f>
        <v>0.12237230190024</v>
      </c>
      <c r="P337" s="16" t="n">
        <f aca="false">IF(D337="","",H337+E337-K337-O337)</f>
        <v>11.4467928205669</v>
      </c>
      <c r="Q337" s="16" t="n">
        <f aca="false">IF(D337="","",IF(P337&gt;=0,K337,MAX(0,K337+P337)))</f>
        <v>0.648</v>
      </c>
      <c r="R337" s="16" t="n">
        <f aca="false">IF(D337="","",Q337/$B$15)</f>
        <v>0.25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11.4467928205669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53.7408113641639</v>
      </c>
      <c r="Z337" s="18" t="n">
        <f aca="false">IF(D337="","",MAX(0,IF(P337&gt;=0,P337,IF(K337+P337&gt;=0,0,P337+K337))))</f>
        <v>11.4467928205669</v>
      </c>
      <c r="AA337" s="18" t="n">
        <f aca="false">IF(D337="","",IF(H337&lt;=$B$16,1,IF(H337&gt;=$B$17,$B$21,MATCH(H337,Aux_CAV!$A$2:$A$121,1))))</f>
        <v>6</v>
      </c>
      <c r="AB337" s="18" t="n">
        <f aca="false">IF(D337="","",IF(L337&lt;=$B$16,1,IF(L337&gt;=$B$17,$B$21,MATCH(L337,Aux_CAV!$A$2:$A$121,1))))</f>
        <v>6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0.0846997304849537</v>
      </c>
      <c r="E338" s="16" t="n">
        <f aca="false">IF(D338="","",D338*$B$15)</f>
        <v>0.219541701417</v>
      </c>
      <c r="F338" s="16" t="n">
        <f aca="false" t="array" ref="F338:F338">IF(D338="","",IFERROR(INDEX(Dados_Evap!$C$2:$N$15,MATCH($B$9,Dados_Evap!$A$2:$A$15,0),C338),0))</f>
        <v>88.2</v>
      </c>
      <c r="G338" s="16" t="n">
        <f aca="false">IF(F338="","",F338/1000)</f>
        <v>0.0882</v>
      </c>
      <c r="H338" s="16" t="n">
        <f aca="false">IF(D338="","",MAX(0,MIN($B$8,IFERROR(LOOKUP(2,1/($U$24:U337&lt;&gt;""),$U$24:U337),$B$11))))</f>
        <v>11.4467928205669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0.977288238090052</v>
      </c>
      <c r="J338" s="16" t="n">
        <f aca="false">IF(D338="","",$B$12)</f>
        <v>0.25</v>
      </c>
      <c r="K338" s="16" t="n">
        <f aca="false">IF(J338="","",J338*$B$15)</f>
        <v>0.648</v>
      </c>
      <c r="L338" s="16" t="n">
        <f aca="false">IF(D338="","",H338+E338-K338-G338*I338)</f>
        <v>10.9321376993844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0.960447047545941</v>
      </c>
      <c r="N338" s="16" t="n">
        <f aca="false">IF(D338="","",(I338+M338)/2)</f>
        <v>0.968867642817996</v>
      </c>
      <c r="O338" s="16" t="n">
        <f aca="false">IF(D338="","",G338*N338)</f>
        <v>0.0854541260965473</v>
      </c>
      <c r="P338" s="16" t="n">
        <f aca="false">IF(D338="","",H338+E338-K338-O338)</f>
        <v>10.9328803958874</v>
      </c>
      <c r="Q338" s="16" t="n">
        <f aca="false">IF(D338="","",IF(P338&gt;=0,K338,MAX(0,K338+P338)))</f>
        <v>0.648</v>
      </c>
      <c r="R338" s="16" t="n">
        <f aca="false">IF(D338="","",Q338/$B$15)</f>
        <v>0.25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10.9328803958874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51.328076975997</v>
      </c>
      <c r="Z338" s="18" t="n">
        <f aca="false">IF(D338="","",MAX(0,IF(P338&gt;=0,P338,IF(K338+P338&gt;=0,0,P338+K338))))</f>
        <v>10.9328803958874</v>
      </c>
      <c r="AA338" s="18" t="n">
        <f aca="false">IF(D338="","",IF(H338&lt;=$B$16,1,IF(H338&gt;=$B$17,$B$21,MATCH(H338,Aux_CAV!$A$2:$A$121,1))))</f>
        <v>6</v>
      </c>
      <c r="AB338" s="18" t="n">
        <f aca="false">IF(D338="","",IF(L338&lt;=$B$16,1,IF(L338&gt;=$B$17,$B$21,MATCH(L338,Aux_CAV!$A$2:$A$121,1))))</f>
        <v>5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0.113432520113213</v>
      </c>
      <c r="E339" s="16" t="n">
        <f aca="false">IF(D339="","",D339*$B$15)</f>
        <v>0.294017092133448</v>
      </c>
      <c r="F339" s="16" t="n">
        <f aca="false" t="array" ref="F339:F339">IF(D339="","",IFERROR(INDEX(Dados_Evap!$C$2:$N$15,MATCH($B$9,Dados_Evap!$A$2:$A$15,0),C339),0))</f>
        <v>88.2</v>
      </c>
      <c r="G339" s="16" t="n">
        <f aca="false">IF(F339="","",F339/1000)</f>
        <v>0.0882</v>
      </c>
      <c r="H339" s="16" t="n">
        <f aca="false">IF(D339="","",MAX(0,MIN($B$8,IFERROR(LOOKUP(2,1/($U$24:U338&lt;&gt;""),$U$24:U338),$B$11))))</f>
        <v>10.9328803958874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0.960471694553784</v>
      </c>
      <c r="J339" s="16" t="n">
        <f aca="false">IF(D339="","",$B$12)</f>
        <v>0.25</v>
      </c>
      <c r="K339" s="16" t="n">
        <f aca="false">IF(J339="","",J339*$B$15)</f>
        <v>0.648</v>
      </c>
      <c r="L339" s="16" t="n">
        <f aca="false">IF(D339="","",H339+E339-K339-G339*I339)</f>
        <v>10.4941838845612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0.945913182009773</v>
      </c>
      <c r="N339" s="16" t="n">
        <f aca="false">IF(D339="","",(I339+M339)/2)</f>
        <v>0.953192438281779</v>
      </c>
      <c r="O339" s="16" t="n">
        <f aca="false">IF(D339="","",G339*N339)</f>
        <v>0.0840715730564529</v>
      </c>
      <c r="P339" s="16" t="n">
        <f aca="false">IF(D339="","",H339+E339-K339-O339)</f>
        <v>10.4948259149644</v>
      </c>
      <c r="Q339" s="16" t="n">
        <f aca="false">IF(D339="","",IF(P339&gt;=0,K339,MAX(0,K339+P339)))</f>
        <v>0.648</v>
      </c>
      <c r="R339" s="16" t="n">
        <f aca="false">IF(D339="","",Q339/$B$15)</f>
        <v>0.25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10.4948259149644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49.2714831688467</v>
      </c>
      <c r="Z339" s="18" t="n">
        <f aca="false">IF(D339="","",MAX(0,IF(P339&gt;=0,P339,IF(K339+P339&gt;=0,0,P339+K339))))</f>
        <v>10.4948259149644</v>
      </c>
      <c r="AA339" s="18" t="n">
        <f aca="false">IF(D339="","",IF(H339&lt;=$B$16,1,IF(H339&gt;=$B$17,$B$21,MATCH(H339,Aux_CAV!$A$2:$A$121,1))))</f>
        <v>5</v>
      </c>
      <c r="AB339" s="18" t="n">
        <f aca="false">IF(D339="","",IF(L339&lt;=$B$16,1,IF(L339&gt;=$B$17,$B$21,MATCH(L339,Aux_CAV!$A$2:$A$121,1))))</f>
        <v>5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0.177831665483383</v>
      </c>
      <c r="E340" s="16" t="n">
        <f aca="false">IF(D340="","",D340*$B$15)</f>
        <v>0.460939676932929</v>
      </c>
      <c r="F340" s="16" t="n">
        <f aca="false" t="array" ref="F340:F340">IF(D340="","",IFERROR(INDEX(Dados_Evap!$C$2:$N$15,MATCH($B$9,Dados_Evap!$A$2:$A$15,0),C340),0))</f>
        <v>83.9</v>
      </c>
      <c r="G340" s="16" t="n">
        <f aca="false">IF(F340="","",F340/1000)</f>
        <v>0.0839</v>
      </c>
      <c r="H340" s="16" t="n">
        <f aca="false">IF(D340="","",MAX(0,MIN($B$8,IFERROR(LOOKUP(2,1/($U$24:U339&lt;&gt;""),$U$24:U339),$B$11))))</f>
        <v>10.4948259149644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0.945934488328463</v>
      </c>
      <c r="J340" s="16" t="n">
        <f aca="false">IF(D340="","",$B$12)</f>
        <v>0.25</v>
      </c>
      <c r="K340" s="16" t="n">
        <f aca="false">IF(J340="","",J340*$B$15)</f>
        <v>0.648</v>
      </c>
      <c r="L340" s="16" t="n">
        <f aca="false">IF(D340="","",H340+E340-K340-G340*I340)</f>
        <v>10.2284016883265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0.937092976382517</v>
      </c>
      <c r="N340" s="16" t="n">
        <f aca="false">IF(D340="","",(I340+M340)/2)</f>
        <v>0.94151373235549</v>
      </c>
      <c r="O340" s="16" t="n">
        <f aca="false">IF(D340="","",G340*N340)</f>
        <v>0.0789930021446256</v>
      </c>
      <c r="P340" s="16" t="n">
        <f aca="false">IF(D340="","",H340+E340-K340-O340)</f>
        <v>10.2287725897527</v>
      </c>
      <c r="Q340" s="16" t="n">
        <f aca="false">IF(D340="","",IF(P340&gt;=0,K340,MAX(0,K340+P340)))</f>
        <v>0.648</v>
      </c>
      <c r="R340" s="16" t="n">
        <f aca="false">IF(D340="","",Q340/$B$15)</f>
        <v>0.25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10.2287725897527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48.0224065246603</v>
      </c>
      <c r="Z340" s="18" t="n">
        <f aca="false">IF(D340="","",MAX(0,IF(P340&gt;=0,P340,IF(K340+P340&gt;=0,0,P340+K340))))</f>
        <v>10.2287725897527</v>
      </c>
      <c r="AA340" s="18" t="n">
        <f aca="false">IF(D340="","",IF(H340&lt;=$B$16,1,IF(H340&gt;=$B$17,$B$21,MATCH(H340,Aux_CAV!$A$2:$A$121,1))))</f>
        <v>5</v>
      </c>
      <c r="AB340" s="18" t="n">
        <f aca="false">IF(D340="","",IF(L340&lt;=$B$16,1,IF(L340&gt;=$B$17,$B$21,MATCH(L340,Aux_CAV!$A$2:$A$121,1))))</f>
        <v>5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0.101277359187338</v>
      </c>
      <c r="E341" s="16" t="n">
        <f aca="false">IF(D341="","",D341*$B$15)</f>
        <v>0.26251091501358</v>
      </c>
      <c r="F341" s="16" t="n">
        <f aca="false" t="array" ref="F341:F341">IF(D341="","",IFERROR(INDEX(Dados_Evap!$C$2:$N$15,MATCH($B$9,Dados_Evap!$A$2:$A$15,0),C341),0))</f>
        <v>104.7</v>
      </c>
      <c r="G341" s="16" t="n">
        <f aca="false">IF(F341="","",F341/1000)</f>
        <v>0.1047</v>
      </c>
      <c r="H341" s="16" t="n">
        <f aca="false">IF(D341="","",MAX(0,MIN($B$8,IFERROR(LOOKUP(2,1/($U$24:U340&lt;&gt;""),$U$24:U340),$B$11))))</f>
        <v>10.2287725897527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0.937105285058163</v>
      </c>
      <c r="J341" s="16" t="n">
        <f aca="false">IF(D341="","",$B$12)</f>
        <v>0.25</v>
      </c>
      <c r="K341" s="16" t="n">
        <f aca="false">IF(J341="","",J341*$B$15)</f>
        <v>0.648</v>
      </c>
      <c r="L341" s="16" t="n">
        <f aca="false">IF(D341="","",H341+E341-K341-G341*I341)</f>
        <v>9.74516858142065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0.921056479471924</v>
      </c>
      <c r="N341" s="16" t="n">
        <f aca="false">IF(D341="","",(I341+M341)/2)</f>
        <v>0.929080882265044</v>
      </c>
      <c r="O341" s="16" t="n">
        <f aca="false">IF(D341="","",G341*N341)</f>
        <v>0.0972747683731501</v>
      </c>
      <c r="P341" s="16" t="n">
        <f aca="false">IF(D341="","",H341+E341-K341-O341)</f>
        <v>9.74600873639308</v>
      </c>
      <c r="Q341" s="16" t="n">
        <f aca="false">IF(D341="","",IF(P341&gt;=0,K341,MAX(0,K341+P341)))</f>
        <v>0.648</v>
      </c>
      <c r="R341" s="16" t="n">
        <f aca="false">IF(D341="","",Q341/$B$15)</f>
        <v>0.25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9.74600873639308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45.7559095605309</v>
      </c>
      <c r="Z341" s="18" t="n">
        <f aca="false">IF(D341="","",MAX(0,IF(P341&gt;=0,P341,IF(K341+P341&gt;=0,0,P341+K341))))</f>
        <v>9.74600873639308</v>
      </c>
      <c r="AA341" s="18" t="n">
        <f aca="false">IF(D341="","",IF(H341&lt;=$B$16,1,IF(H341&gt;=$B$17,$B$21,MATCH(H341,Aux_CAV!$A$2:$A$121,1))))</f>
        <v>5</v>
      </c>
      <c r="AB341" s="18" t="n">
        <f aca="false">IF(D341="","",IF(L341&lt;=$B$16,1,IF(L341&gt;=$B$17,$B$21,MATCH(L341,Aux_CAV!$A$2:$A$121,1))))</f>
        <v>5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0.0127172994295887</v>
      </c>
      <c r="E342" s="16" t="n">
        <f aca="false">IF(D342="","",D342*$B$15)</f>
        <v>0.0329632401214939</v>
      </c>
      <c r="F342" s="16" t="n">
        <f aca="false" t="array" ref="F342:F342">IF(D342="","",IFERROR(INDEX(Dados_Evap!$C$2:$N$15,MATCH($B$9,Dados_Evap!$A$2:$A$15,0),C342),0))</f>
        <v>145.2</v>
      </c>
      <c r="G342" s="16" t="n">
        <f aca="false">IF(F342="","",F342/1000)</f>
        <v>0.1452</v>
      </c>
      <c r="H342" s="16" t="n">
        <f aca="false">IF(D342="","",MAX(0,MIN($B$8,IFERROR(LOOKUP(2,1/($U$24:U341&lt;&gt;""),$U$24:U341),$B$11))))</f>
        <v>9.74600873639308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0.921084360721009</v>
      </c>
      <c r="J342" s="16" t="n">
        <f aca="false">IF(D342="","",$B$12)</f>
        <v>0.25</v>
      </c>
      <c r="K342" s="16" t="n">
        <f aca="false">IF(J342="","",J342*$B$15)</f>
        <v>0.648</v>
      </c>
      <c r="L342" s="16" t="n">
        <f aca="false">IF(D342="","",H342+E342-K342-G342*I342)</f>
        <v>8.99723052733789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0.896235526349709</v>
      </c>
      <c r="N342" s="16" t="n">
        <f aca="false">IF(D342="","",(I342+M342)/2)</f>
        <v>0.908659943535359</v>
      </c>
      <c r="O342" s="16" t="n">
        <f aca="false">IF(D342="","",G342*N342)</f>
        <v>0.131937423801334</v>
      </c>
      <c r="P342" s="16" t="n">
        <f aca="false">IF(D342="","",H342+E342-K342-O342)</f>
        <v>8.99903455271324</v>
      </c>
      <c r="Q342" s="16" t="n">
        <f aca="false">IF(D342="","",IF(P342&gt;=0,K342,MAX(0,K342+P342)))</f>
        <v>0.648</v>
      </c>
      <c r="R342" s="16" t="n">
        <f aca="false">IF(D342="","",Q342/$B$15)</f>
        <v>0.25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8.99903455271324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42.2489885103908</v>
      </c>
      <c r="Z342" s="18" t="n">
        <f aca="false">IF(D342="","",MAX(0,IF(P342&gt;=0,P342,IF(K342+P342&gt;=0,0,P342+K342))))</f>
        <v>8.99903455271324</v>
      </c>
      <c r="AA342" s="18" t="n">
        <f aca="false">IF(D342="","",IF(H342&lt;=$B$16,1,IF(H342&gt;=$B$17,$B$21,MATCH(H342,Aux_CAV!$A$2:$A$121,1))))</f>
        <v>5</v>
      </c>
      <c r="AB342" s="18" t="n">
        <f aca="false">IF(D342="","",IF(L342&lt;=$B$16,1,IF(L342&gt;=$B$17,$B$21,MATCH(L342,Aux_CAV!$A$2:$A$121,1))))</f>
        <v>5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0.0087812171616965</v>
      </c>
      <c r="E343" s="16" t="n">
        <f aca="false">IF(D343="","",D343*$B$15)</f>
        <v>0.0227609148831173</v>
      </c>
      <c r="F343" s="16" t="n">
        <f aca="false" t="array" ref="F343:F343">IF(D343="","",IFERROR(INDEX(Dados_Evap!$C$2:$N$15,MATCH($B$9,Dados_Evap!$A$2:$A$15,0),C343),0))</f>
        <v>180.9</v>
      </c>
      <c r="G343" s="16" t="n">
        <f aca="false">IF(F343="","",F343/1000)</f>
        <v>0.1809</v>
      </c>
      <c r="H343" s="16" t="n">
        <f aca="false">IF(D343="","",MAX(0,MIN($B$8,IFERROR(LOOKUP(2,1/($U$24:U342&lt;&gt;""),$U$24:U342),$B$11))))</f>
        <v>8.99903455271324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0.896295394448448</v>
      </c>
      <c r="J343" s="16" t="n">
        <f aca="false">IF(D343="","",$B$12)</f>
        <v>0.25</v>
      </c>
      <c r="K343" s="16" t="n">
        <f aca="false">IF(J343="","",J343*$B$15)</f>
        <v>0.648</v>
      </c>
      <c r="L343" s="16" t="n">
        <f aca="false">IF(D343="","",H343+E343-K343-G343*I343)</f>
        <v>8.21165563074064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0.870165562967057</v>
      </c>
      <c r="N343" s="16" t="n">
        <f aca="false">IF(D343="","",(I343+M343)/2)</f>
        <v>0.883230478707752</v>
      </c>
      <c r="O343" s="16" t="n">
        <f aca="false">IF(D343="","",G343*N343)</f>
        <v>0.159776393598232</v>
      </c>
      <c r="P343" s="16" t="n">
        <f aca="false">IF(D343="","",H343+E343-K343-O343)</f>
        <v>8.21401907399813</v>
      </c>
      <c r="Q343" s="16" t="n">
        <f aca="false">IF(D343="","",IF(P343&gt;=0,K343,MAX(0,K343+P343)))</f>
        <v>0.648</v>
      </c>
      <c r="R343" s="16" t="n">
        <f aca="false">IF(D343="","",Q343/$B$15)</f>
        <v>0.25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8.21401907399813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38.5634698309771</v>
      </c>
      <c r="Z343" s="18" t="n">
        <f aca="false">IF(D343="","",MAX(0,IF(P343&gt;=0,P343,IF(K343+P343&gt;=0,0,P343+K343))))</f>
        <v>8.21401907399813</v>
      </c>
      <c r="AA343" s="18" t="n">
        <f aca="false">IF(D343="","",IF(H343&lt;=$B$16,1,IF(H343&gt;=$B$17,$B$21,MATCH(H343,Aux_CAV!$A$2:$A$121,1))))</f>
        <v>5</v>
      </c>
      <c r="AB343" s="18" t="n">
        <f aca="false">IF(D343="","",IF(L343&lt;=$B$16,1,IF(L343&gt;=$B$17,$B$21,MATCH(L343,Aux_CAV!$A$2:$A$121,1))))</f>
        <v>5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0.00652984470245296</v>
      </c>
      <c r="E344" s="16" t="n">
        <f aca="false">IF(D344="","",D344*$B$15)</f>
        <v>0.0169253574687581</v>
      </c>
      <c r="F344" s="16" t="n">
        <f aca="false" t="array" ref="F344:F344">IF(D344="","",IFERROR(INDEX(Dados_Evap!$C$2:$N$15,MATCH($B$9,Dados_Evap!$A$2:$A$15,0),C344),0))</f>
        <v>208.9</v>
      </c>
      <c r="G344" s="16" t="n">
        <f aca="false">IF(F344="","",F344/1000)</f>
        <v>0.2089</v>
      </c>
      <c r="H344" s="16" t="n">
        <f aca="false">IF(D344="","",MAX(0,MIN($B$8,IFERROR(LOOKUP(2,1/($U$24:U343&lt;&gt;""),$U$24:U343),$B$11))))</f>
        <v>8.21401907399813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0.870243995818522</v>
      </c>
      <c r="J344" s="16" t="n">
        <f aca="false">IF(D344="","",$B$12)</f>
        <v>0.25</v>
      </c>
      <c r="K344" s="16" t="n">
        <f aca="false">IF(J344="","",J344*$B$15)</f>
        <v>0.648</v>
      </c>
      <c r="L344" s="16" t="n">
        <f aca="false">IF(D344="","",H344+E344-K344-G344*I344)</f>
        <v>7.4011504607404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0.843268267502447</v>
      </c>
      <c r="N344" s="16" t="n">
        <f aca="false">IF(D344="","",(I344+M344)/2)</f>
        <v>0.856756131660484</v>
      </c>
      <c r="O344" s="16" t="n">
        <f aca="false">IF(D344="","",G344*N344)</f>
        <v>0.178976355903875</v>
      </c>
      <c r="P344" s="16" t="n">
        <f aca="false">IF(D344="","",H344+E344-K344-O344)</f>
        <v>7.40396807556301</v>
      </c>
      <c r="Q344" s="16" t="n">
        <f aca="false">IF(D344="","",IF(P344&gt;=0,K344,MAX(0,K344+P344)))</f>
        <v>0.648</v>
      </c>
      <c r="R344" s="16" t="n">
        <f aca="false">IF(D344="","",Q344/$B$15)</f>
        <v>0.25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7.40396807556301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34.7604135002958</v>
      </c>
      <c r="Z344" s="18" t="n">
        <f aca="false">IF(D344="","",MAX(0,IF(P344&gt;=0,P344,IF(K344+P344&gt;=0,0,P344+K344))))</f>
        <v>7.40396807556301</v>
      </c>
      <c r="AA344" s="18" t="n">
        <f aca="false">IF(D344="","",IF(H344&lt;=$B$16,1,IF(H344&gt;=$B$17,$B$21,MATCH(H344,Aux_CAV!$A$2:$A$121,1))))</f>
        <v>5</v>
      </c>
      <c r="AB344" s="18" t="n">
        <f aca="false">IF(D344="","",IF(L344&lt;=$B$16,1,IF(L344&gt;=$B$17,$B$21,MATCH(L344,Aux_CAV!$A$2:$A$121,1))))</f>
        <v>5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0.0037514068777508</v>
      </c>
      <c r="E345" s="16" t="n">
        <f aca="false">IF(D345="","",D345*$B$15)</f>
        <v>0.00972364662713007</v>
      </c>
      <c r="F345" s="16" t="n">
        <f aca="false" t="array" ref="F345:F345">IF(D345="","",IFERROR(INDEX(Dados_Evap!$C$2:$N$15,MATCH($B$9,Dados_Evap!$A$2:$A$15,0),C345),0))</f>
        <v>235.9</v>
      </c>
      <c r="G345" s="16" t="n">
        <f aca="false">IF(F345="","",F345/1000)</f>
        <v>0.2359</v>
      </c>
      <c r="H345" s="16" t="n">
        <f aca="false">IF(D345="","",MAX(0,MIN($B$8,IFERROR(LOOKUP(2,1/($U$24:U344&lt;&gt;""),$U$24:U344),$B$11))))</f>
        <v>7.40396807556301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0.843361772419127</v>
      </c>
      <c r="J345" s="16" t="n">
        <f aca="false">IF(D345="","",$B$12)</f>
        <v>0.25</v>
      </c>
      <c r="K345" s="16" t="n">
        <f aca="false">IF(J345="","",J345*$B$15)</f>
        <v>0.648</v>
      </c>
      <c r="L345" s="16" t="n">
        <f aca="false">IF(D345="","",H345+E345-K345-G345*I345)</f>
        <v>6.56674268007647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0.812226656337794</v>
      </c>
      <c r="N345" s="16" t="n">
        <f aca="false">IF(D345="","",(I345+M345)/2)</f>
        <v>0.82779421437846</v>
      </c>
      <c r="O345" s="16" t="n">
        <f aca="false">IF(D345="","",G345*N345)</f>
        <v>0.195276655171879</v>
      </c>
      <c r="P345" s="16" t="n">
        <f aca="false">IF(D345="","",H345+E345-K345-O345)</f>
        <v>6.57041506701826</v>
      </c>
      <c r="Q345" s="16" t="n">
        <f aca="false">IF(D345="","",IF(P345&gt;=0,K345,MAX(0,K345+P345)))</f>
        <v>0.648</v>
      </c>
      <c r="R345" s="16" t="n">
        <f aca="false">IF(D345="","",Q345/$B$15)</f>
        <v>0.25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6.57041506701826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30.8470190939825</v>
      </c>
      <c r="Z345" s="18" t="n">
        <f aca="false">IF(D345="","",MAX(0,IF(P345&gt;=0,P345,IF(K345+P345&gt;=0,0,P345+K345))))</f>
        <v>6.57041506701826</v>
      </c>
      <c r="AA345" s="18" t="n">
        <f aca="false">IF(D345="","",IF(H345&lt;=$B$16,1,IF(H345&gt;=$B$17,$B$21,MATCH(H345,Aux_CAV!$A$2:$A$121,1))))</f>
        <v>5</v>
      </c>
      <c r="AB345" s="18" t="n">
        <f aca="false">IF(D345="","",IF(L345&lt;=$B$16,1,IF(L345&gt;=$B$17,$B$21,MATCH(L345,Aux_CAV!$A$2:$A$121,1))))</f>
        <v>4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0.00202787265965579</v>
      </c>
      <c r="E346" s="16" t="n">
        <f aca="false">IF(D346="","",D346*$B$15)</f>
        <v>0.00525624593382781</v>
      </c>
      <c r="F346" s="16" t="n">
        <f aca="false" t="array" ref="F346:F346">IF(D346="","",IFERROR(INDEX(Dados_Evap!$C$2:$N$15,MATCH($B$9,Dados_Evap!$A$2:$A$15,0),C346),0))</f>
        <v>225.9</v>
      </c>
      <c r="G346" s="16" t="n">
        <f aca="false">IF(F346="","",F346/1000)</f>
        <v>0.2259</v>
      </c>
      <c r="H346" s="16" t="n">
        <f aca="false">IF(D346="","",MAX(0,MIN($B$8,IFERROR(LOOKUP(2,1/($U$24:U345&lt;&gt;""),$U$24:U345),$B$11))))</f>
        <v>6.57041506701826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0.812440878909399</v>
      </c>
      <c r="J346" s="16" t="n">
        <f aca="false">IF(D346="","",$B$12)</f>
        <v>0.25</v>
      </c>
      <c r="K346" s="16" t="n">
        <f aca="false">IF(J346="","",J346*$B$15)</f>
        <v>0.648</v>
      </c>
      <c r="L346" s="16" t="n">
        <f aca="false">IF(D346="","",H346+E346-K346-G346*I346)</f>
        <v>5.74414091840646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0.76424155357371</v>
      </c>
      <c r="N346" s="16" t="n">
        <f aca="false">IF(D346="","",(I346+M346)/2)</f>
        <v>0.788341216241554</v>
      </c>
      <c r="O346" s="16" t="n">
        <f aca="false">IF(D346="","",G346*N346)</f>
        <v>0.178086280748967</v>
      </c>
      <c r="P346" s="16" t="n">
        <f aca="false">IF(D346="","",H346+E346-K346-O346)</f>
        <v>5.74958503220313</v>
      </c>
      <c r="Q346" s="16" t="n">
        <f aca="false">IF(D346="","",IF(P346&gt;=0,K346,MAX(0,K346+P346)))</f>
        <v>0.648</v>
      </c>
      <c r="R346" s="16" t="n">
        <f aca="false">IF(D346="","",Q346/$B$15)</f>
        <v>0.25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5.74958503220313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26.9933569587001</v>
      </c>
      <c r="Z346" s="18" t="n">
        <f aca="false">IF(D346="","",MAX(0,IF(P346&gt;=0,P346,IF(K346+P346&gt;=0,0,P346+K346))))</f>
        <v>5.74958503220313</v>
      </c>
      <c r="AA346" s="18" t="n">
        <f aca="false">IF(D346="","",IF(H346&lt;=$B$16,1,IF(H346&gt;=$B$17,$B$21,MATCH(H346,Aux_CAV!$A$2:$A$121,1))))</f>
        <v>4</v>
      </c>
      <c r="AB346" s="18" t="n">
        <f aca="false">IF(D346="","",IF(L346&lt;=$B$16,1,IF(L346&gt;=$B$17,$B$21,MATCH(L346,Aux_CAV!$A$2:$A$121,1))))</f>
        <v>4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0.00131114645175257</v>
      </c>
      <c r="E347" s="16" t="n">
        <f aca="false">IF(D347="","",D347*$B$15)</f>
        <v>0.00339849160294266</v>
      </c>
      <c r="F347" s="16" t="n">
        <f aca="false" t="array" ref="F347:F347">IF(D347="","",IFERROR(INDEX(Dados_Evap!$C$2:$N$15,MATCH($B$9,Dados_Evap!$A$2:$A$15,0),C347),0))</f>
        <v>206</v>
      </c>
      <c r="G347" s="16" t="n">
        <f aca="false">IF(F347="","",F347/1000)</f>
        <v>0.206</v>
      </c>
      <c r="H347" s="16" t="n">
        <f aca="false">IF(D347="","",MAX(0,MIN($B$8,IFERROR(LOOKUP(2,1/($U$24:U346&lt;&gt;""),$U$24:U346),$B$11))))</f>
        <v>5.74958503220313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0.764559126878516</v>
      </c>
      <c r="J347" s="16" t="n">
        <f aca="false">IF(D347="","",$B$12)</f>
        <v>0.25</v>
      </c>
      <c r="K347" s="16" t="n">
        <f aca="false">IF(J347="","",J347*$B$15)</f>
        <v>0.648</v>
      </c>
      <c r="L347" s="16" t="n">
        <f aca="false">IF(D347="","",H347+E347-K347-G347*I347)</f>
        <v>4.94748434366909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0.717769920047364</v>
      </c>
      <c r="N347" s="16" t="n">
        <f aca="false">IF(D347="","",(I347+M347)/2)</f>
        <v>0.74116452346294</v>
      </c>
      <c r="O347" s="16" t="n">
        <f aca="false">IF(D347="","",G347*N347)</f>
        <v>0.152679891833366</v>
      </c>
      <c r="P347" s="16" t="n">
        <f aca="false">IF(D347="","",H347+E347-K347-O347)</f>
        <v>4.9523036319727</v>
      </c>
      <c r="Q347" s="16" t="n">
        <f aca="false">IF(D347="","",IF(P347&gt;=0,K347,MAX(0,K347+P347)))</f>
        <v>0.648</v>
      </c>
      <c r="R347" s="16" t="n">
        <f aca="false">IF(D347="","",Q347/$B$15)</f>
        <v>0.25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4.9523036319727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23.2502517932991</v>
      </c>
      <c r="Z347" s="18" t="n">
        <f aca="false">IF(D347="","",MAX(0,IF(P347&gt;=0,P347,IF(K347+P347&gt;=0,0,P347+K347))))</f>
        <v>4.9523036319727</v>
      </c>
      <c r="AA347" s="18" t="n">
        <f aca="false">IF(D347="","",IF(H347&lt;=$B$16,1,IF(H347&gt;=$B$17,$B$21,MATCH(H347,Aux_CAV!$A$2:$A$121,1))))</f>
        <v>4</v>
      </c>
      <c r="AB347" s="18" t="n">
        <f aca="false">IF(D347="","",IF(L347&lt;=$B$16,1,IF(L347&gt;=$B$17,$B$21,MATCH(L347,Aux_CAV!$A$2:$A$121,1))))</f>
        <v>4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0.00434039436748648</v>
      </c>
      <c r="E348" s="16" t="n">
        <f aca="false">IF(D348="","",D348*$B$15)</f>
        <v>0.011250302200525</v>
      </c>
      <c r="F348" s="16" t="n">
        <f aca="false" t="array" ref="F348:F348">IF(D348="","",IFERROR(INDEX(Dados_Evap!$C$2:$N$15,MATCH($B$9,Dados_Evap!$A$2:$A$15,0),C348),0))</f>
        <v>165.6</v>
      </c>
      <c r="G348" s="16" t="n">
        <f aca="false">IF(F348="","",F348/1000)</f>
        <v>0.1656</v>
      </c>
      <c r="H348" s="16" t="n">
        <f aca="false">IF(D348="","",MAX(0,MIN($B$8,IFERROR(LOOKUP(2,1/($U$24:U347&lt;&gt;""),$U$24:U347),$B$11))))</f>
        <v>4.9523036319727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0.718051045198408</v>
      </c>
      <c r="J348" s="16" t="n">
        <f aca="false">IF(D348="","",$B$12)</f>
        <v>0.25</v>
      </c>
      <c r="K348" s="16" t="n">
        <f aca="false">IF(J348="","",J348*$B$15)</f>
        <v>0.648</v>
      </c>
      <c r="L348" s="16" t="n">
        <f aca="false">IF(D348="","",H348+E348-K348-G348*I348)</f>
        <v>4.19664468108837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0.673970939730155</v>
      </c>
      <c r="N348" s="16" t="n">
        <f aca="false">IF(D348="","",(I348+M348)/2)</f>
        <v>0.696010992464281</v>
      </c>
      <c r="O348" s="16" t="n">
        <f aca="false">IF(D348="","",G348*N348)</f>
        <v>0.115259420352085</v>
      </c>
      <c r="P348" s="16" t="n">
        <f aca="false">IF(D348="","",H348+E348-K348-O348)</f>
        <v>4.20029451382114</v>
      </c>
      <c r="Q348" s="16" t="n">
        <f aca="false">IF(D348="","",IF(P348&gt;=0,K348,MAX(0,K348+P348)))</f>
        <v>0.648</v>
      </c>
      <c r="R348" s="16" t="n">
        <f aca="false">IF(D348="","",Q348/$B$15)</f>
        <v>0.25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4.20029451382114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19.7196925531509</v>
      </c>
      <c r="Z348" s="18" t="n">
        <f aca="false">IF(D348="","",MAX(0,IF(P348&gt;=0,P348,IF(K348+P348&gt;=0,0,P348+K348))))</f>
        <v>4.20029451382114</v>
      </c>
      <c r="AA348" s="18" t="n">
        <f aca="false">IF(D348="","",IF(H348&lt;=$B$16,1,IF(H348&gt;=$B$17,$B$21,MATCH(H348,Aux_CAV!$A$2:$A$121,1))))</f>
        <v>4</v>
      </c>
      <c r="AB348" s="18" t="n">
        <f aca="false">IF(D348="","",IF(L348&lt;=$B$16,1,IF(L348&gt;=$B$17,$B$21,MATCH(L348,Aux_CAV!$A$2:$A$121,1))))</f>
        <v>4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0.083548503211728</v>
      </c>
      <c r="E349" s="16" t="n">
        <f aca="false">IF(D349="","",D349*$B$15)</f>
        <v>0.216557720324799</v>
      </c>
      <c r="F349" s="16" t="n">
        <f aca="false" t="array" ref="F349:F349">IF(D349="","",IFERROR(INDEX(Dados_Evap!$C$2:$N$15,MATCH($B$9,Dados_Evap!$A$2:$A$15,0),C349),0))</f>
        <v>124.9</v>
      </c>
      <c r="G349" s="16" t="n">
        <f aca="false">IF(F349="","",F349/1000)</f>
        <v>0.1249</v>
      </c>
      <c r="H349" s="16" t="n">
        <f aca="false">IF(D349="","",MAX(0,MIN($B$8,IFERROR(LOOKUP(2,1/($U$24:U348&lt;&gt;""),$U$24:U348),$B$11))))</f>
        <v>4.20029451382114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0.674183846639567</v>
      </c>
      <c r="J349" s="16" t="n">
        <f aca="false">IF(D349="","",$B$12)</f>
        <v>0.25</v>
      </c>
      <c r="K349" s="16" t="n">
        <f aca="false">IF(J349="","",J349*$B$15)</f>
        <v>0.648</v>
      </c>
      <c r="L349" s="16" t="n">
        <f aca="false">IF(D349="","",H349+E349-K349-G349*I349)</f>
        <v>3.68464667170066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0.644104389182539</v>
      </c>
      <c r="N349" s="16" t="n">
        <f aca="false">IF(D349="","",(I349+M349)/2)</f>
        <v>0.659144117911053</v>
      </c>
      <c r="O349" s="16" t="n">
        <f aca="false">IF(D349="","",G349*N349)</f>
        <v>0.0823271003270905</v>
      </c>
      <c r="P349" s="16" t="n">
        <f aca="false">IF(D349="","",H349+E349-K349-O349)</f>
        <v>3.68652513381885</v>
      </c>
      <c r="Q349" s="16" t="n">
        <f aca="false">IF(D349="","",IF(P349&gt;=0,K349,MAX(0,K349+P349)))</f>
        <v>0.648</v>
      </c>
      <c r="R349" s="16" t="n">
        <f aca="false">IF(D349="","",Q349/$B$15)</f>
        <v>0.25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3.68652513381885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17.3076297362387</v>
      </c>
      <c r="Z349" s="18" t="n">
        <f aca="false">IF(D349="","",MAX(0,IF(P349&gt;=0,P349,IF(K349+P349&gt;=0,0,P349+K349))))</f>
        <v>3.68652513381885</v>
      </c>
      <c r="AA349" s="18" t="n">
        <f aca="false">IF(D349="","",IF(H349&lt;=$B$16,1,IF(H349&gt;=$B$17,$B$21,MATCH(H349,Aux_CAV!$A$2:$A$121,1))))</f>
        <v>4</v>
      </c>
      <c r="AB349" s="18" t="n">
        <f aca="false">IF(D349="","",IF(L349&lt;=$B$16,1,IF(L349&gt;=$B$17,$B$21,MATCH(L349,Aux_CAV!$A$2:$A$121,1))))</f>
        <v>4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0.174575760701674</v>
      </c>
      <c r="E350" s="16" t="n">
        <f aca="false">IF(D350="","",D350*$B$15)</f>
        <v>0.452500371738739</v>
      </c>
      <c r="F350" s="16" t="n">
        <f aca="false" t="array" ref="F350:F350">IF(D350="","",IFERROR(INDEX(Dados_Evap!$C$2:$N$15,MATCH($B$9,Dados_Evap!$A$2:$A$15,0),C350),0))</f>
        <v>88.2</v>
      </c>
      <c r="G350" s="16" t="n">
        <f aca="false">IF(F350="","",F350/1000)</f>
        <v>0.0882</v>
      </c>
      <c r="H350" s="16" t="n">
        <f aca="false">IF(D350="","",MAX(0,MIN($B$8,IFERROR(LOOKUP(2,1/($U$24:U349&lt;&gt;""),$U$24:U349),$B$11))))</f>
        <v>3.68652513381885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0.644213966139433</v>
      </c>
      <c r="J350" s="16" t="n">
        <f aca="false">IF(D350="","",$B$12)</f>
        <v>0.25</v>
      </c>
      <c r="K350" s="16" t="n">
        <f aca="false">IF(J350="","",J350*$B$15)</f>
        <v>0.648</v>
      </c>
      <c r="L350" s="16" t="n">
        <f aca="false">IF(D350="","",H350+E350-K350-G350*I350)</f>
        <v>3.43420583374409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0.629495340301739</v>
      </c>
      <c r="N350" s="16" t="n">
        <f aca="false">IF(D350="","",(I350+M350)/2)</f>
        <v>0.636854653220586</v>
      </c>
      <c r="O350" s="16" t="n">
        <f aca="false">IF(D350="","",G350*N350)</f>
        <v>0.0561705804140557</v>
      </c>
      <c r="P350" s="16" t="n">
        <f aca="false">IF(D350="","",H350+E350-K350-O350)</f>
        <v>3.43485492514353</v>
      </c>
      <c r="Q350" s="16" t="n">
        <f aca="false">IF(D350="","",IF(P350&gt;=0,K350,MAX(0,K350+P350)))</f>
        <v>0.648</v>
      </c>
      <c r="R350" s="16" t="n">
        <f aca="false">IF(D350="","",Q350/$B$15)</f>
        <v>0.25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3.43485492514353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16.1260794607678</v>
      </c>
      <c r="Z350" s="18" t="n">
        <f aca="false">IF(D350="","",MAX(0,IF(P350&gt;=0,P350,IF(K350+P350&gt;=0,0,P350+K350))))</f>
        <v>3.43485492514353</v>
      </c>
      <c r="AA350" s="18" t="n">
        <f aca="false">IF(D350="","",IF(H350&lt;=$B$16,1,IF(H350&gt;=$B$17,$B$21,MATCH(H350,Aux_CAV!$A$2:$A$121,1))))</f>
        <v>4</v>
      </c>
      <c r="AB350" s="18" t="n">
        <f aca="false">IF(D350="","",IF(L350&lt;=$B$16,1,IF(L350&gt;=$B$17,$B$21,MATCH(L350,Aux_CAV!$A$2:$A$121,1))))</f>
        <v>4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0.501823933767176</v>
      </c>
      <c r="E351" s="16" t="n">
        <f aca="false">IF(D351="","",D351*$B$15)</f>
        <v>1.30072763632452</v>
      </c>
      <c r="F351" s="16" t="n">
        <f aca="false" t="array" ref="F351:F351">IF(D351="","",IFERROR(INDEX(Dados_Evap!$C$2:$N$15,MATCH($B$9,Dados_Evap!$A$2:$A$15,0),C351),0))</f>
        <v>88.2</v>
      </c>
      <c r="G351" s="16" t="n">
        <f aca="false">IF(F351="","",F351/1000)</f>
        <v>0.0882</v>
      </c>
      <c r="H351" s="16" t="n">
        <f aca="false">IF(D351="","",MAX(0,MIN($B$8,IFERROR(LOOKUP(2,1/($U$24:U350&lt;&gt;""),$U$24:U350),$B$11))))</f>
        <v>3.43485492514353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0.629533203966706</v>
      </c>
      <c r="J351" s="16" t="n">
        <f aca="false">IF(D351="","",$B$12)</f>
        <v>0.25</v>
      </c>
      <c r="K351" s="16" t="n">
        <f aca="false">IF(J351="","",J351*$B$15)</f>
        <v>0.648</v>
      </c>
      <c r="L351" s="16" t="n">
        <f aca="false">IF(D351="","",H351+E351-K351-G351*I351)</f>
        <v>4.03205773287819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0.664370034417894</v>
      </c>
      <c r="N351" s="16" t="n">
        <f aca="false">IF(D351="","",(I351+M351)/2)</f>
        <v>0.6469516191923</v>
      </c>
      <c r="O351" s="16" t="n">
        <f aca="false">IF(D351="","",G351*N351)</f>
        <v>0.0570611328127609</v>
      </c>
      <c r="P351" s="16" t="n">
        <f aca="false">IF(D351="","",H351+E351-K351-O351)</f>
        <v>4.0305214286553</v>
      </c>
      <c r="Q351" s="16" t="n">
        <f aca="false">IF(D351="","",IF(P351&gt;=0,K351,MAX(0,K351+P351)))</f>
        <v>0.648</v>
      </c>
      <c r="R351" s="16" t="n">
        <f aca="false">IF(D351="","",Q351/$B$15)</f>
        <v>0.25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4.0305214286553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18.9226358152831</v>
      </c>
      <c r="Z351" s="18" t="n">
        <f aca="false">IF(D351="","",MAX(0,IF(P351&gt;=0,P351,IF(K351+P351&gt;=0,0,P351+K351))))</f>
        <v>4.0305214286553</v>
      </c>
      <c r="AA351" s="18" t="n">
        <f aca="false">IF(D351="","",IF(H351&lt;=$B$16,1,IF(H351&gt;=$B$17,$B$21,MATCH(H351,Aux_CAV!$A$2:$A$121,1))))</f>
        <v>4</v>
      </c>
      <c r="AB351" s="18" t="n">
        <f aca="false">IF(D351="","",IF(L351&lt;=$B$16,1,IF(L351&gt;=$B$17,$B$21,MATCH(L351,Aux_CAV!$A$2:$A$121,1))))</f>
        <v>4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0.444221412119923</v>
      </c>
      <c r="E352" s="16" t="n">
        <f aca="false">IF(D352="","",D352*$B$15)</f>
        <v>1.15142190021484</v>
      </c>
      <c r="F352" s="16" t="n">
        <f aca="false" t="array" ref="F352:F352">IF(D352="","",IFERROR(INDEX(Dados_Evap!$C$2:$N$15,MATCH($B$9,Dados_Evap!$A$2:$A$15,0),C352),0))</f>
        <v>83.9</v>
      </c>
      <c r="G352" s="16" t="n">
        <f aca="false">IF(F352="","",F352/1000)</f>
        <v>0.0839</v>
      </c>
      <c r="H352" s="16" t="n">
        <f aca="false">IF(D352="","",MAX(0,MIN($B$8,IFERROR(LOOKUP(2,1/($U$24:U351&lt;&gt;""),$U$24:U351),$B$11))))</f>
        <v>4.0305214286553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0.664280416671559</v>
      </c>
      <c r="J352" s="16" t="n">
        <f aca="false">IF(D352="","",$B$12)</f>
        <v>0.25</v>
      </c>
      <c r="K352" s="16" t="n">
        <f aca="false">IF(J352="","",J352*$B$15)</f>
        <v>0.648</v>
      </c>
      <c r="L352" s="16" t="n">
        <f aca="false">IF(D352="","",H352+E352-K352-G352*I352)</f>
        <v>4.47821020191139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0.690395595111498</v>
      </c>
      <c r="N352" s="16" t="n">
        <f aca="false">IF(D352="","",(I352+M352)/2)</f>
        <v>0.677338005891528</v>
      </c>
      <c r="O352" s="16" t="n">
        <f aca="false">IF(D352="","",G352*N352)</f>
        <v>0.0568286586942992</v>
      </c>
      <c r="P352" s="16" t="n">
        <f aca="false">IF(D352="","",H352+E352-K352-O352)</f>
        <v>4.47711467017584</v>
      </c>
      <c r="Q352" s="16" t="n">
        <f aca="false">IF(D352="","",IF(P352&gt;=0,K352,MAX(0,K352+P352)))</f>
        <v>0.648</v>
      </c>
      <c r="R352" s="16" t="n">
        <f aca="false">IF(D352="","",Q352/$B$15)</f>
        <v>0.25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4.47711467017584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21.019317700356</v>
      </c>
      <c r="Z352" s="18" t="n">
        <f aca="false">IF(D352="","",MAX(0,IF(P352&gt;=0,P352,IF(K352+P352&gt;=0,0,P352+K352))))</f>
        <v>4.47711467017584</v>
      </c>
      <c r="AA352" s="18" t="n">
        <f aca="false">IF(D352="","",IF(H352&lt;=$B$16,1,IF(H352&gt;=$B$17,$B$21,MATCH(H352,Aux_CAV!$A$2:$A$121,1))))</f>
        <v>4</v>
      </c>
      <c r="AB352" s="18" t="n">
        <f aca="false">IF(D352="","",IF(L352&lt;=$B$16,1,IF(L352&gt;=$B$17,$B$21,MATCH(L352,Aux_CAV!$A$2:$A$121,1))))</f>
        <v>4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0.461803275572963</v>
      </c>
      <c r="E353" s="16" t="n">
        <f aca="false">IF(D353="","",D353*$B$15)</f>
        <v>1.19699409028512</v>
      </c>
      <c r="F353" s="16" t="n">
        <f aca="false" t="array" ref="F353:F353">IF(D353="","",IFERROR(INDEX(Dados_Evap!$C$2:$N$15,MATCH($B$9,Dados_Evap!$A$2:$A$15,0),C353),0))</f>
        <v>104.7</v>
      </c>
      <c r="G353" s="16" t="n">
        <f aca="false">IF(F353="","",F353/1000)</f>
        <v>0.1047</v>
      </c>
      <c r="H353" s="16" t="n">
        <f aca="false">IF(D353="","",MAX(0,MIN($B$8,IFERROR(LOOKUP(2,1/($U$24:U352&lt;&gt;""),$U$24:U352),$B$11))))</f>
        <v>4.47711467017584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0.69033168909359</v>
      </c>
      <c r="J353" s="16" t="n">
        <f aca="false">IF(D353="","",$B$12)</f>
        <v>0.25</v>
      </c>
      <c r="K353" s="16" t="n">
        <f aca="false">IF(J353="","",J353*$B$15)</f>
        <v>0.648</v>
      </c>
      <c r="L353" s="16" t="n">
        <f aca="false">IF(D353="","",H353+E353-K353-G353*I353)</f>
        <v>4.95383103261286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0.718140143569083</v>
      </c>
      <c r="N353" s="16" t="n">
        <f aca="false">IF(D353="","",(I353+M353)/2)</f>
        <v>0.704235916331337</v>
      </c>
      <c r="O353" s="16" t="n">
        <f aca="false">IF(D353="","",G353*N353)</f>
        <v>0.073733500439891</v>
      </c>
      <c r="P353" s="16" t="n">
        <f aca="false">IF(D353="","",H353+E353-K353-O353)</f>
        <v>4.95237526002107</v>
      </c>
      <c r="Q353" s="16" t="n">
        <f aca="false">IF(D353="","",IF(P353&gt;=0,K353,MAX(0,K353+P353)))</f>
        <v>0.648</v>
      </c>
      <c r="R353" s="16" t="n">
        <f aca="false">IF(D353="","",Q353/$B$15)</f>
        <v>0.25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4.95237526002107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23.2505880752163</v>
      </c>
      <c r="Z353" s="18" t="n">
        <f aca="false">IF(D353="","",MAX(0,IF(P353&gt;=0,P353,IF(K353+P353&gt;=0,0,P353+K353))))</f>
        <v>4.95237526002107</v>
      </c>
      <c r="AA353" s="18" t="n">
        <f aca="false">IF(D353="","",IF(H353&lt;=$B$16,1,IF(H353&gt;=$B$17,$B$21,MATCH(H353,Aux_CAV!$A$2:$A$121,1))))</f>
        <v>4</v>
      </c>
      <c r="AB353" s="18" t="n">
        <f aca="false">IF(D353="","",IF(L353&lt;=$B$16,1,IF(L353&gt;=$B$17,$B$21,MATCH(L353,Aux_CAV!$A$2:$A$121,1))))</f>
        <v>4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0.0735494432996878</v>
      </c>
      <c r="E354" s="16" t="n">
        <f aca="false">IF(D354="","",D354*$B$15)</f>
        <v>0.190640157032791</v>
      </c>
      <c r="F354" s="16" t="n">
        <f aca="false" t="array" ref="F354:F354">IF(D354="","",IFERROR(INDEX(Dados_Evap!$C$2:$N$15,MATCH($B$9,Dados_Evap!$A$2:$A$15,0),C354),0))</f>
        <v>145.2</v>
      </c>
      <c r="G354" s="16" t="n">
        <f aca="false">IF(F354="","",F354/1000)</f>
        <v>0.1452</v>
      </c>
      <c r="H354" s="16" t="n">
        <f aca="false">IF(D354="","",MAX(0,MIN($B$8,IFERROR(LOOKUP(2,1/($U$24:U353&lt;&gt;""),$U$24:U353),$B$11))))</f>
        <v>4.95237526002107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0.718055223501229</v>
      </c>
      <c r="J354" s="16" t="n">
        <f aca="false">IF(D354="","",$B$12)</f>
        <v>0.25</v>
      </c>
      <c r="K354" s="16" t="n">
        <f aca="false">IF(J354="","",J354*$B$15)</f>
        <v>0.648</v>
      </c>
      <c r="L354" s="16" t="n">
        <f aca="false">IF(D354="","",H354+E354-K354-G354*I354)</f>
        <v>4.39075379860148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0.685293971585086</v>
      </c>
      <c r="N354" s="16" t="n">
        <f aca="false">IF(D354="","",(I354+M354)/2)</f>
        <v>0.701674597543158</v>
      </c>
      <c r="O354" s="16" t="n">
        <f aca="false">IF(D354="","",G354*N354)</f>
        <v>0.101883151563266</v>
      </c>
      <c r="P354" s="16" t="n">
        <f aca="false">IF(D354="","",H354+E354-K354-O354)</f>
        <v>4.39313226549059</v>
      </c>
      <c r="Q354" s="16" t="n">
        <f aca="false">IF(D354="","",IF(P354&gt;=0,K354,MAX(0,K354+P354)))</f>
        <v>0.648</v>
      </c>
      <c r="R354" s="16" t="n">
        <f aca="false">IF(D354="","",Q354/$B$15)</f>
        <v>0.25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4.39313226549059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20.6250341102845</v>
      </c>
      <c r="Z354" s="18" t="n">
        <f aca="false">IF(D354="","",MAX(0,IF(P354&gt;=0,P354,IF(K354+P354&gt;=0,0,P354+K354))))</f>
        <v>4.39313226549059</v>
      </c>
      <c r="AA354" s="18" t="n">
        <f aca="false">IF(D354="","",IF(H354&lt;=$B$16,1,IF(H354&gt;=$B$17,$B$21,MATCH(H354,Aux_CAV!$A$2:$A$121,1))))</f>
        <v>4</v>
      </c>
      <c r="AB354" s="18" t="n">
        <f aca="false">IF(D354="","",IF(L354&lt;=$B$16,1,IF(L354&gt;=$B$17,$B$21,MATCH(L354,Aux_CAV!$A$2:$A$121,1))))</f>
        <v>4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0.0473599626332779</v>
      </c>
      <c r="E355" s="16" t="n">
        <f aca="false">IF(D355="","",D355*$B$15)</f>
        <v>0.122757023145456</v>
      </c>
      <c r="F355" s="16" t="n">
        <f aca="false" t="array" ref="F355:F355">IF(D355="","",IFERROR(INDEX(Dados_Evap!$C$2:$N$15,MATCH($B$9,Dados_Evap!$A$2:$A$15,0),C355),0))</f>
        <v>180.9</v>
      </c>
      <c r="G355" s="16" t="n">
        <f aca="false">IF(F355="","",F355/1000)</f>
        <v>0.1809</v>
      </c>
      <c r="H355" s="16" t="n">
        <f aca="false">IF(D355="","",MAX(0,MIN($B$8,IFERROR(LOOKUP(2,1/($U$24:U354&lt;&gt;""),$U$24:U354),$B$11))))</f>
        <v>4.39313226549059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0.685432715486951</v>
      </c>
      <c r="J355" s="16" t="n">
        <f aca="false">IF(D355="","",$B$12)</f>
        <v>0.25</v>
      </c>
      <c r="K355" s="16" t="n">
        <f aca="false">IF(J355="","",J355*$B$15)</f>
        <v>0.648</v>
      </c>
      <c r="L355" s="16" t="n">
        <f aca="false">IF(D355="","",H355+E355-K355-G355*I355)</f>
        <v>3.74389451040446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0.647560513106927</v>
      </c>
      <c r="N355" s="16" t="n">
        <f aca="false">IF(D355="","",(I355+M355)/2)</f>
        <v>0.666496614296939</v>
      </c>
      <c r="O355" s="16" t="n">
        <f aca="false">IF(D355="","",G355*N355)</f>
        <v>0.120569237526316</v>
      </c>
      <c r="P355" s="16" t="n">
        <f aca="false">IF(D355="","",H355+E355-K355-O355)</f>
        <v>3.74732005110973</v>
      </c>
      <c r="Q355" s="16" t="n">
        <f aca="false">IF(D355="","",IF(P355&gt;=0,K355,MAX(0,K355+P355)))</f>
        <v>0.648</v>
      </c>
      <c r="R355" s="16" t="n">
        <f aca="false">IF(D355="","",Q355/$B$15)</f>
        <v>0.25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3.74732005110973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17.5930518831443</v>
      </c>
      <c r="Z355" s="18" t="n">
        <f aca="false">IF(D355="","",MAX(0,IF(P355&gt;=0,P355,IF(K355+P355&gt;=0,0,P355+K355))))</f>
        <v>3.74732005110973</v>
      </c>
      <c r="AA355" s="18" t="n">
        <f aca="false">IF(D355="","",IF(H355&lt;=$B$16,1,IF(H355&gt;=$B$17,$B$21,MATCH(H355,Aux_CAV!$A$2:$A$121,1))))</f>
        <v>4</v>
      </c>
      <c r="AB355" s="18" t="n">
        <f aca="false">IF(D355="","",IF(L355&lt;=$B$16,1,IF(L355&gt;=$B$17,$B$21,MATCH(L355,Aux_CAV!$A$2:$A$121,1))))</f>
        <v>4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0.0366020947603269</v>
      </c>
      <c r="E356" s="16" t="n">
        <f aca="false">IF(D356="","",D356*$B$15)</f>
        <v>0.0948726296187673</v>
      </c>
      <c r="F356" s="16" t="n">
        <f aca="false" t="array" ref="F356:F356">IF(D356="","",IFERROR(INDEX(Dados_Evap!$C$2:$N$15,MATCH($B$9,Dados_Evap!$A$2:$A$15,0),C356),0))</f>
        <v>208.9</v>
      </c>
      <c r="G356" s="16" t="n">
        <f aca="false">IF(F356="","",F356/1000)</f>
        <v>0.2089</v>
      </c>
      <c r="H356" s="16" t="n">
        <f aca="false">IF(D356="","",MAX(0,MIN($B$8,IFERROR(LOOKUP(2,1/($U$24:U355&lt;&gt;""),$U$24:U355),$B$11))))</f>
        <v>3.74732005110973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0.647760336314734</v>
      </c>
      <c r="J356" s="16" t="n">
        <f aca="false">IF(D356="","",$B$12)</f>
        <v>0.25</v>
      </c>
      <c r="K356" s="16" t="n">
        <f aca="false">IF(J356="","",J356*$B$15)</f>
        <v>0.648</v>
      </c>
      <c r="L356" s="16" t="n">
        <f aca="false">IF(D356="","",H356+E356-K356-G356*I356)</f>
        <v>3.05887554647235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0.604177068527058</v>
      </c>
      <c r="N356" s="16" t="n">
        <f aca="false">IF(D356="","",(I356+M356)/2)</f>
        <v>0.625968702420896</v>
      </c>
      <c r="O356" s="16" t="n">
        <f aca="false">IF(D356="","",G356*N356)</f>
        <v>0.130764861935725</v>
      </c>
      <c r="P356" s="16" t="n">
        <f aca="false">IF(D356="","",H356+E356-K356-O356)</f>
        <v>3.06342781879277</v>
      </c>
      <c r="Q356" s="16" t="n">
        <f aca="false">IF(D356="","",IF(P356&gt;=0,K356,MAX(0,K356+P356)))</f>
        <v>0.648</v>
      </c>
      <c r="R356" s="16" t="n">
        <f aca="false">IF(D356="","",Q356/$B$15)</f>
        <v>0.25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3.06342781879277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14.382290229074</v>
      </c>
      <c r="Z356" s="18" t="n">
        <f aca="false">IF(D356="","",MAX(0,IF(P356&gt;=0,P356,IF(K356+P356&gt;=0,0,P356+K356))))</f>
        <v>3.06342781879277</v>
      </c>
      <c r="AA356" s="18" t="n">
        <f aca="false">IF(D356="","",IF(H356&lt;=$B$16,1,IF(H356&gt;=$B$17,$B$21,MATCH(H356,Aux_CAV!$A$2:$A$121,1))))</f>
        <v>4</v>
      </c>
      <c r="AB356" s="18" t="n">
        <f aca="false">IF(D356="","",IF(L356&lt;=$B$16,1,IF(L356&gt;=$B$17,$B$21,MATCH(L356,Aux_CAV!$A$2:$A$121,1))))</f>
        <v>3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0.021101834459172</v>
      </c>
      <c r="E357" s="16" t="n">
        <f aca="false">IF(D357="","",D357*$B$15)</f>
        <v>0.0546959549181738</v>
      </c>
      <c r="F357" s="16" t="n">
        <f aca="false" t="array" ref="F357:F357">IF(D357="","",IFERROR(INDEX(Dados_Evap!$C$2:$N$15,MATCH($B$9,Dados_Evap!$A$2:$A$15,0),C357),0))</f>
        <v>235.9</v>
      </c>
      <c r="G357" s="16" t="n">
        <f aca="false">IF(F357="","",F357/1000)</f>
        <v>0.2359</v>
      </c>
      <c r="H357" s="16" t="n">
        <f aca="false">IF(D357="","",MAX(0,MIN($B$8,IFERROR(LOOKUP(2,1/($U$24:U356&lt;&gt;""),$U$24:U356),$B$11))))</f>
        <v>3.06342781879277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0.604821638059154</v>
      </c>
      <c r="J357" s="16" t="n">
        <f aca="false">IF(D357="","",$B$12)</f>
        <v>0.25</v>
      </c>
      <c r="K357" s="16" t="n">
        <f aca="false">IF(J357="","",J357*$B$15)</f>
        <v>0.648</v>
      </c>
      <c r="L357" s="16" t="n">
        <f aca="false">IF(D357="","",H357+E357-K357-G357*I357)</f>
        <v>2.32744634929279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0.500611872466236</v>
      </c>
      <c r="N357" s="16" t="n">
        <f aca="false">IF(D357="","",(I357+M357)/2)</f>
        <v>0.552716755262695</v>
      </c>
      <c r="O357" s="16" t="n">
        <f aca="false">IF(D357="","",G357*N357)</f>
        <v>0.13038588256647</v>
      </c>
      <c r="P357" s="16" t="n">
        <f aca="false">IF(D357="","",H357+E357-K357-O357)</f>
        <v>2.33973789114448</v>
      </c>
      <c r="Q357" s="16" t="n">
        <f aca="false">IF(D357="","",IF(P357&gt;=0,K357,MAX(0,K357+P357)))</f>
        <v>0.648</v>
      </c>
      <c r="R357" s="16" t="n">
        <f aca="false">IF(D357="","",Q357/$B$15)</f>
        <v>0.25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2.33973789114448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10.9846849349506</v>
      </c>
      <c r="Z357" s="18" t="n">
        <f aca="false">IF(D357="","",MAX(0,IF(P357&gt;=0,P357,IF(K357+P357&gt;=0,0,P357+K357))))</f>
        <v>2.33973789114448</v>
      </c>
      <c r="AA357" s="18" t="n">
        <f aca="false">IF(D357="","",IF(H357&lt;=$B$16,1,IF(H357&gt;=$B$17,$B$21,MATCH(H357,Aux_CAV!$A$2:$A$121,1))))</f>
        <v>3</v>
      </c>
      <c r="AB357" s="18" t="n">
        <f aca="false">IF(D357="","",IF(L357&lt;=$B$16,1,IF(L357&gt;=$B$17,$B$21,MATCH(L357,Aux_CAV!$A$2:$A$121,1))))</f>
        <v>3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0.0118280434944056</v>
      </c>
      <c r="E358" s="16" t="n">
        <f aca="false">IF(D358="","",D358*$B$15)</f>
        <v>0.0306582887374993</v>
      </c>
      <c r="F358" s="16" t="n">
        <f aca="false" t="array" ref="F358:F358">IF(D358="","",IFERROR(INDEX(Dados_Evap!$C$2:$N$15,MATCH($B$9,Dados_Evap!$A$2:$A$15,0),C358),0))</f>
        <v>225.9</v>
      </c>
      <c r="G358" s="16" t="n">
        <f aca="false">IF(F358="","",F358/1000)</f>
        <v>0.2259</v>
      </c>
      <c r="H358" s="16" t="n">
        <f aca="false">IF(D358="","",MAX(0,MIN($B$8,IFERROR(LOOKUP(2,1/($U$24:U357&lt;&gt;""),$U$24:U357),$B$11))))</f>
        <v>2.33973789114448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0.502352267772669</v>
      </c>
      <c r="J358" s="16" t="n">
        <f aca="false">IF(D358="","",$B$12)</f>
        <v>0.25</v>
      </c>
      <c r="K358" s="16" t="n">
        <f aca="false">IF(J358="","",J358*$B$15)</f>
        <v>0.648</v>
      </c>
      <c r="L358" s="16" t="n">
        <f aca="false">IF(D358="","",H358+E358-K358-G358*I358)</f>
        <v>1.60891480259213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0.398872892402425</v>
      </c>
      <c r="N358" s="16" t="n">
        <f aca="false">IF(D358="","",(I358+M358)/2)</f>
        <v>0.450612580087547</v>
      </c>
      <c r="O358" s="16" t="n">
        <f aca="false">IF(D358="","",G358*N358)</f>
        <v>0.101793381841777</v>
      </c>
      <c r="P358" s="16" t="n">
        <f aca="false">IF(D358="","",H358+E358-K358-O358)</f>
        <v>1.6206027980402</v>
      </c>
      <c r="Q358" s="16" t="n">
        <f aca="false">IF(D358="","",IF(P358&gt;=0,K358,MAX(0,K358+P358)))</f>
        <v>0.648</v>
      </c>
      <c r="R358" s="16" t="n">
        <f aca="false">IF(D358="","",Q358/$B$15)</f>
        <v>0.25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1.6206027980402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7.60846384056431</v>
      </c>
      <c r="Z358" s="18" t="n">
        <f aca="false">IF(D358="","",MAX(0,IF(P358&gt;=0,P358,IF(K358+P358&gt;=0,0,P358+K358))))</f>
        <v>1.6206027980402</v>
      </c>
      <c r="AA358" s="18" t="n">
        <f aca="false">IF(D358="","",IF(H358&lt;=$B$16,1,IF(H358&gt;=$B$17,$B$21,MATCH(H358,Aux_CAV!$A$2:$A$121,1))))</f>
        <v>3</v>
      </c>
      <c r="AB358" s="18" t="n">
        <f aca="false">IF(D358="","",IF(L358&lt;=$B$16,1,IF(L358&gt;=$B$17,$B$21,MATCH(L358,Aux_CAV!$A$2:$A$121,1))))</f>
        <v>3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0.00845151944185767</v>
      </c>
      <c r="E359" s="16" t="n">
        <f aca="false">IF(D359="","",D359*$B$15)</f>
        <v>0.0219063383932951</v>
      </c>
      <c r="F359" s="16" t="n">
        <f aca="false" t="array" ref="F359:F359">IF(D359="","",IFERROR(INDEX(Dados_Evap!$C$2:$N$15,MATCH($B$9,Dados_Evap!$A$2:$A$15,0),C359),0))</f>
        <v>206</v>
      </c>
      <c r="G359" s="16" t="n">
        <f aca="false">IF(F359="","",F359/1000)</f>
        <v>0.206</v>
      </c>
      <c r="H359" s="16" t="n">
        <f aca="false">IF(D359="","",MAX(0,MIN($B$8,IFERROR(LOOKUP(2,1/($U$24:U358&lt;&gt;""),$U$24:U358),$B$11))))</f>
        <v>1.6206027980402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0.400527829811001</v>
      </c>
      <c r="J359" s="16" t="n">
        <f aca="false">IF(D359="","",$B$12)</f>
        <v>0.25</v>
      </c>
      <c r="K359" s="16" t="n">
        <f aca="false">IF(J359="","",J359*$B$15)</f>
        <v>0.648</v>
      </c>
      <c r="L359" s="16" t="n">
        <f aca="false">IF(D359="","",H359+E359-K359-G359*I359)</f>
        <v>0.912000403492426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0.300194747397158</v>
      </c>
      <c r="N359" s="16" t="n">
        <f aca="false">IF(D359="","",(I359+M359)/2)</f>
        <v>0.35036128860408</v>
      </c>
      <c r="O359" s="16" t="n">
        <f aca="false">IF(D359="","",G359*N359)</f>
        <v>0.0721744254524404</v>
      </c>
      <c r="P359" s="16" t="n">
        <f aca="false">IF(D359="","",H359+E359-K359-O359)</f>
        <v>0.922334710981052</v>
      </c>
      <c r="Q359" s="16" t="n">
        <f aca="false">IF(D359="","",IF(P359&gt;=0,K359,MAX(0,K359+P359)))</f>
        <v>0.648</v>
      </c>
      <c r="R359" s="16" t="n">
        <f aca="false">IF(D359="","",Q359/$B$15)</f>
        <v>0.25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0.922334710981052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4.33020991070917</v>
      </c>
      <c r="Z359" s="18" t="n">
        <f aca="false">IF(D359="","",MAX(0,IF(P359&gt;=0,P359,IF(K359+P359&gt;=0,0,P359+K359))))</f>
        <v>0.922334710981052</v>
      </c>
      <c r="AA359" s="18" t="n">
        <f aca="false">IF(D359="","",IF(H359&lt;=$B$16,1,IF(H359&gt;=$B$17,$B$21,MATCH(H359,Aux_CAV!$A$2:$A$121,1))))</f>
        <v>3</v>
      </c>
      <c r="AB359" s="18" t="n">
        <f aca="false">IF(D359="","",IF(L359&lt;=$B$16,1,IF(L359&gt;=$B$17,$B$21,MATCH(L359,Aux_CAV!$A$2:$A$121,1))))</f>
        <v>3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0.0632877007768015</v>
      </c>
      <c r="E360" s="16" t="n">
        <f aca="false">IF(D360="","",D360*$B$15)</f>
        <v>0.164041720413469</v>
      </c>
      <c r="F360" s="16" t="n">
        <f aca="false" t="array" ref="F360:F360">IF(D360="","",IFERROR(INDEX(Dados_Evap!$C$2:$N$15,MATCH($B$9,Dados_Evap!$A$2:$A$15,0),C360),0))</f>
        <v>165.6</v>
      </c>
      <c r="G360" s="16" t="n">
        <f aca="false">IF(F360="","",F360/1000)</f>
        <v>0.1656</v>
      </c>
      <c r="H360" s="16" t="n">
        <f aca="false">IF(D360="","",MAX(0,MIN($B$8,IFERROR(LOOKUP(2,1/($U$24:U359&lt;&gt;""),$U$24:U359),$B$11))))</f>
        <v>0.922334710981052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0.301658012174308</v>
      </c>
      <c r="J360" s="16" t="n">
        <f aca="false">IF(D360="","",$B$12)</f>
        <v>0.25</v>
      </c>
      <c r="K360" s="16" t="n">
        <f aca="false">IF(J360="","",J360*$B$15)</f>
        <v>0.648</v>
      </c>
      <c r="L360" s="16" t="n">
        <f aca="false">IF(D360="","",H360+E360-K360-G360*I360)</f>
        <v>0.388421864578456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0.135663168906561</v>
      </c>
      <c r="N360" s="16" t="n">
        <f aca="false">IF(D360="","",(I360+M360)/2)</f>
        <v>0.218660590540435</v>
      </c>
      <c r="O360" s="16" t="n">
        <f aca="false">IF(D360="","",G360*N360)</f>
        <v>0.036210193793496</v>
      </c>
      <c r="P360" s="16" t="n">
        <f aca="false">IF(D360="","",H360+E360-K360-O360)</f>
        <v>0.402166237601026</v>
      </c>
      <c r="Q360" s="16" t="n">
        <f aca="false">IF(D360="","",IF(P360&gt;=0,K360,MAX(0,K360+P360)))</f>
        <v>0.648</v>
      </c>
      <c r="R360" s="16" t="n">
        <f aca="false">IF(D360="","",Q360/$B$15)</f>
        <v>0.25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0.402166237601026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1.88810440188275</v>
      </c>
      <c r="Z360" s="18" t="n">
        <f aca="false">IF(D360="","",MAX(0,IF(P360&gt;=0,P360,IF(K360+P360&gt;=0,0,P360+K360))))</f>
        <v>0.402166237601026</v>
      </c>
      <c r="AA360" s="18" t="n">
        <f aca="false">IF(D360="","",IF(H360&lt;=$B$16,1,IF(H360&gt;=$B$17,$B$21,MATCH(H360,Aux_CAV!$A$2:$A$121,1))))</f>
        <v>3</v>
      </c>
      <c r="AB360" s="18" t="n">
        <f aca="false">IF(D360="","",IF(L360&lt;=$B$16,1,IF(L360&gt;=$B$17,$B$21,MATCH(L360,Aux_CAV!$A$2:$A$121,1))))</f>
        <v>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0.039695252603618</v>
      </c>
      <c r="E361" s="16" t="n">
        <f aca="false">IF(D361="","",D361*$B$15)</f>
        <v>0.102890094748578</v>
      </c>
      <c r="F361" s="16" t="n">
        <f aca="false" t="array" ref="F361:F361">IF(D361="","",IFERROR(INDEX(Dados_Evap!$C$2:$N$15,MATCH($B$9,Dados_Evap!$A$2:$A$15,0),C361),0))</f>
        <v>124.9</v>
      </c>
      <c r="G361" s="16" t="n">
        <f aca="false">IF(F361="","",F361/1000)</f>
        <v>0.1249</v>
      </c>
      <c r="H361" s="16" t="n">
        <f aca="false">IF(D361="","",MAX(0,MIN($B$8,IFERROR(LOOKUP(2,1/($U$24:U360&lt;&gt;""),$U$24:U360),$B$11))))</f>
        <v>0.402166237601026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0.140360612850984</v>
      </c>
      <c r="J361" s="16" t="n">
        <f aca="false">IF(D361="","",$B$12)</f>
        <v>0.25</v>
      </c>
      <c r="K361" s="16" t="n">
        <f aca="false">IF(J361="","",J361*$B$15)</f>
        <v>0.648</v>
      </c>
      <c r="L361" s="16" t="n">
        <f aca="false">IF(D361="","",H361+E361-K361-G361*I361)</f>
        <v>-0.160474708195484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0.0701803064254918</v>
      </c>
      <c r="O361" s="16" t="n">
        <f aca="false">IF(D361="","",G361*N361)</f>
        <v>0.00876552027254392</v>
      </c>
      <c r="P361" s="16" t="n">
        <f aca="false">IF(D361="","",H361+E361-K361-O361)</f>
        <v>-0.15170918792294</v>
      </c>
      <c r="Q361" s="16" t="n">
        <f aca="false">IF(D361="","",IF(P361&gt;=0,K361,MAX(0,K361+P361)))</f>
        <v>0.49629081207706</v>
      </c>
      <c r="R361" s="16" t="n">
        <f aca="false">IF(D361="","",Q361/$B$15)</f>
        <v>0.191470220708742</v>
      </c>
      <c r="S361" s="16" t="n">
        <f aca="false">IF(D361="","",MAX(0,J361-R361))</f>
        <v>0.0585297792912578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-3.6429192995513E-017</v>
      </c>
      <c r="X361" s="16" t="n">
        <f aca="false">IF(W361="","",ABS(W361))</f>
        <v>3.6429192995513E-017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2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0.49375641965819</v>
      </c>
      <c r="E362" s="16" t="n">
        <f aca="false">IF(D362="","",D362*$B$15)</f>
        <v>1.27981663975403</v>
      </c>
      <c r="F362" s="16" t="n">
        <f aca="false" t="array" ref="F362:F362">IF(D362="","",IFERROR(INDEX(Dados_Evap!$C$2:$N$15,MATCH($B$9,Dados_Evap!$A$2:$A$15,0),C362),0))</f>
        <v>88.2</v>
      </c>
      <c r="G362" s="16" t="n">
        <f aca="false">IF(F362="","",F362/1000)</f>
        <v>0.0882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0.25</v>
      </c>
      <c r="K362" s="16" t="n">
        <f aca="false">IF(J362="","",J362*$B$15)</f>
        <v>0.648</v>
      </c>
      <c r="L362" s="16" t="n">
        <f aca="false">IF(D362="","",H362+E362-K362-G362*I362)</f>
        <v>0.631816639754029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0.218848724979225</v>
      </c>
      <c r="N362" s="16" t="n">
        <f aca="false">IF(D362="","",(I362+M362)/2)</f>
        <v>0.109424362489612</v>
      </c>
      <c r="O362" s="16" t="n">
        <f aca="false">IF(D362="","",G362*N362)</f>
        <v>0.00965122877158382</v>
      </c>
      <c r="P362" s="16" t="n">
        <f aca="false">IF(D362="","",H362+E362-K362-O362)</f>
        <v>0.622165410982445</v>
      </c>
      <c r="Q362" s="16" t="n">
        <f aca="false">IF(D362="","",IF(P362&gt;=0,K362,MAX(0,K362+P362)))</f>
        <v>0.648</v>
      </c>
      <c r="R362" s="16" t="n">
        <f aca="false">IF(D362="","",Q362/$B$15)</f>
        <v>0.25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0.622165410982445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2.9209643708096</v>
      </c>
      <c r="Z362" s="18" t="n">
        <f aca="false">IF(D362="","",MAX(0,IF(P362&gt;=0,P362,IF(K362+P362&gt;=0,0,P362+K362))))</f>
        <v>0.622165410982445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1.05182521133813</v>
      </c>
      <c r="E363" s="16" t="n">
        <f aca="false">IF(D363="","",D363*$B$15)</f>
        <v>2.72633094778843</v>
      </c>
      <c r="F363" s="16" t="n">
        <f aca="false" t="array" ref="F363:F363">IF(D363="","",IFERROR(INDEX(Dados_Evap!$C$2:$N$15,MATCH($B$9,Dados_Evap!$A$2:$A$15,0),C363),0))</f>
        <v>88.2</v>
      </c>
      <c r="G363" s="16" t="n">
        <f aca="false">IF(F363="","",F363/1000)</f>
        <v>0.0882</v>
      </c>
      <c r="H363" s="16" t="n">
        <f aca="false">IF(D363="","",MAX(0,MIN($B$8,IFERROR(LOOKUP(2,1/($U$24:U362&lt;&gt;""),$U$24:U362),$B$11))))</f>
        <v>0.622165410982445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0.215550203753494</v>
      </c>
      <c r="J363" s="16" t="n">
        <f aca="false">IF(D363="","",$B$12)</f>
        <v>0.25</v>
      </c>
      <c r="K363" s="16" t="n">
        <f aca="false">IF(J363="","",J363*$B$15)</f>
        <v>0.648</v>
      </c>
      <c r="L363" s="16" t="n">
        <f aca="false">IF(D363="","",H363+E363-K363-G363*I363)</f>
        <v>2.68148483079982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0.550741214980505</v>
      </c>
      <c r="N363" s="16" t="n">
        <f aca="false">IF(D363="","",(I363+M363)/2)</f>
        <v>0.383145709367</v>
      </c>
      <c r="O363" s="16" t="n">
        <f aca="false">IF(D363="","",G363*N363)</f>
        <v>0.0337934515661694</v>
      </c>
      <c r="P363" s="16" t="n">
        <f aca="false">IF(D363="","",H363+E363-K363-O363)</f>
        <v>2.66670290720471</v>
      </c>
      <c r="Q363" s="16" t="n">
        <f aca="false">IF(D363="","",IF(P363&gt;=0,K363,MAX(0,K363+P363)))</f>
        <v>0.648</v>
      </c>
      <c r="R363" s="16" t="n">
        <f aca="false">IF(D363="","",Q363/$B$15)</f>
        <v>0.25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2.66670290720471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12.5197319587076</v>
      </c>
      <c r="Z363" s="18" t="n">
        <f aca="false">IF(D363="","",MAX(0,IF(P363&gt;=0,P363,IF(K363+P363&gt;=0,0,P363+K363))))</f>
        <v>2.66670290720471</v>
      </c>
      <c r="AA363" s="18" t="n">
        <f aca="false">IF(D363="","",IF(H363&lt;=$B$16,1,IF(H363&gt;=$B$17,$B$21,MATCH(H363,Aux_CAV!$A$2:$A$121,1))))</f>
        <v>2</v>
      </c>
      <c r="AB363" s="18" t="n">
        <f aca="false">IF(D363="","",IF(L363&lt;=$B$16,1,IF(L363&gt;=$B$17,$B$21,MATCH(L363,Aux_CAV!$A$2:$A$121,1))))</f>
        <v>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0.444028950337507</v>
      </c>
      <c r="E364" s="16" t="n">
        <f aca="false">IF(D364="","",D364*$B$15)</f>
        <v>1.15092303927482</v>
      </c>
      <c r="F364" s="16" t="n">
        <f aca="false" t="array" ref="F364:F364">IF(D364="","",IFERROR(INDEX(Dados_Evap!$C$2:$N$15,MATCH($B$9,Dados_Evap!$A$2:$A$15,0),C364),0))</f>
        <v>83.9</v>
      </c>
      <c r="G364" s="16" t="n">
        <f aca="false">IF(F364="","",F364/1000)</f>
        <v>0.0839</v>
      </c>
      <c r="H364" s="16" t="n">
        <f aca="false">IF(D364="","",MAX(0,MIN($B$8,IFERROR(LOOKUP(2,1/($U$24:U363&lt;&gt;""),$U$24:U363),$B$11))))</f>
        <v>2.66670290720471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0.548648199250224</v>
      </c>
      <c r="J364" s="16" t="n">
        <f aca="false">IF(D364="","",$B$12)</f>
        <v>0.25</v>
      </c>
      <c r="K364" s="16" t="n">
        <f aca="false">IF(J364="","",J364*$B$15)</f>
        <v>0.648</v>
      </c>
      <c r="L364" s="16" t="n">
        <f aca="false">IF(D364="","",H364+E364-K364-G364*I364)</f>
        <v>3.12359436256243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0.611376337816142</v>
      </c>
      <c r="N364" s="16" t="n">
        <f aca="false">IF(D364="","",(I364+M364)/2)</f>
        <v>0.580012268533183</v>
      </c>
      <c r="O364" s="16" t="n">
        <f aca="false">IF(D364="","",G364*N364)</f>
        <v>0.0486630293299341</v>
      </c>
      <c r="P364" s="16" t="n">
        <f aca="false">IF(D364="","",H364+E364-K364-O364)</f>
        <v>3.12096291714959</v>
      </c>
      <c r="Q364" s="16" t="n">
        <f aca="false">IF(D364="","",IF(P364&gt;=0,K364,MAX(0,K364+P364)))</f>
        <v>0.648</v>
      </c>
      <c r="R364" s="16" t="n">
        <f aca="false">IF(D364="","",Q364/$B$15)</f>
        <v>0.25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3.12096291714959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14.6524080617352</v>
      </c>
      <c r="Z364" s="18" t="n">
        <f aca="false">IF(D364="","",MAX(0,IF(P364&gt;=0,P364,IF(K364+P364&gt;=0,0,P364+K364))))</f>
        <v>3.12096291714959</v>
      </c>
      <c r="AA364" s="18" t="n">
        <f aca="false">IF(D364="","",IF(H364&lt;=$B$16,1,IF(H364&gt;=$B$17,$B$21,MATCH(H364,Aux_CAV!$A$2:$A$121,1))))</f>
        <v>3</v>
      </c>
      <c r="AB364" s="18" t="n">
        <f aca="false">IF(D364="","",IF(L364&lt;=$B$16,1,IF(L364&gt;=$B$17,$B$21,MATCH(L364,Aux_CAV!$A$2:$A$121,1))))</f>
        <v>4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0.126096142765666</v>
      </c>
      <c r="E365" s="16" t="n">
        <f aca="false">IF(D365="","",D365*$B$15)</f>
        <v>0.326841202048606</v>
      </c>
      <c r="F365" s="16" t="n">
        <f aca="false" t="array" ref="F365:F365">IF(D365="","",IFERROR(INDEX(Dados_Evap!$C$2:$N$15,MATCH($B$9,Dados_Evap!$A$2:$A$15,0),C365),0))</f>
        <v>104.7</v>
      </c>
      <c r="G365" s="16" t="n">
        <f aca="false">IF(F365="","",F365/1000)</f>
        <v>0.1047</v>
      </c>
      <c r="H365" s="16" t="n">
        <f aca="false">IF(D365="","",MAX(0,MIN($B$8,IFERROR(LOOKUP(2,1/($U$24:U364&lt;&gt;""),$U$24:U364),$B$11))))</f>
        <v>3.12096291714959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0.611222836833726</v>
      </c>
      <c r="J365" s="16" t="n">
        <f aca="false">IF(D365="","",$B$12)</f>
        <v>0.25</v>
      </c>
      <c r="K365" s="16" t="n">
        <f aca="false">IF(J365="","",J365*$B$15)</f>
        <v>0.648</v>
      </c>
      <c r="L365" s="16" t="n">
        <f aca="false">IF(D365="","",H365+E365-K365-G365*I365)</f>
        <v>2.73580908818171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0.558433145229268</v>
      </c>
      <c r="N365" s="16" t="n">
        <f aca="false">IF(D365="","",(I365+M365)/2)</f>
        <v>0.584827991031497</v>
      </c>
      <c r="O365" s="16" t="n">
        <f aca="false">IF(D365="","",G365*N365)</f>
        <v>0.0612314906609978</v>
      </c>
      <c r="P365" s="16" t="n">
        <f aca="false">IF(D365="","",H365+E365-K365-O365)</f>
        <v>2.7385726285372</v>
      </c>
      <c r="Q365" s="16" t="n">
        <f aca="false">IF(D365="","",IF(P365&gt;=0,K365,MAX(0,K365+P365)))</f>
        <v>0.648</v>
      </c>
      <c r="R365" s="16" t="n">
        <f aca="false">IF(D365="","",Q365/$B$15)</f>
        <v>0.25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2.7385726285372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12.857148490785</v>
      </c>
      <c r="Z365" s="18" t="n">
        <f aca="false">IF(D365="","",MAX(0,IF(P365&gt;=0,P365,IF(K365+P365&gt;=0,0,P365+K365))))</f>
        <v>2.7385726285372</v>
      </c>
      <c r="AA365" s="18" t="n">
        <f aca="false">IF(D365="","",IF(H365&lt;=$B$16,1,IF(H365&gt;=$B$17,$B$21,MATCH(H365,Aux_CAV!$A$2:$A$121,1))))</f>
        <v>4</v>
      </c>
      <c r="AB365" s="18" t="n">
        <f aca="false">IF(D365="","",IF(L365&lt;=$B$16,1,IF(L365&gt;=$B$17,$B$21,MATCH(L365,Aux_CAV!$A$2:$A$121,1))))</f>
        <v>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0.0715751273362245</v>
      </c>
      <c r="E366" s="16" t="n">
        <f aca="false">IF(D366="","",D366*$B$15)</f>
        <v>0.185522730055494</v>
      </c>
      <c r="F366" s="16" t="n">
        <f aca="false" t="array" ref="F366:F366">IF(D366="","",IFERROR(INDEX(Dados_Evap!$C$2:$N$15,MATCH($B$9,Dados_Evap!$A$2:$A$15,0),C366),0))</f>
        <v>145.2</v>
      </c>
      <c r="G366" s="16" t="n">
        <f aca="false">IF(F366="","",F366/1000)</f>
        <v>0.1452</v>
      </c>
      <c r="H366" s="16" t="n">
        <f aca="false">IF(D366="","",MAX(0,MIN($B$8,IFERROR(LOOKUP(2,1/($U$24:U365&lt;&gt;""),$U$24:U365),$B$11))))</f>
        <v>2.7385726285372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0.558824442978719</v>
      </c>
      <c r="J366" s="16" t="n">
        <f aca="false">IF(D366="","",$B$12)</f>
        <v>0.25</v>
      </c>
      <c r="K366" s="16" t="n">
        <f aca="false">IF(J366="","",J366*$B$15)</f>
        <v>0.648</v>
      </c>
      <c r="L366" s="16" t="n">
        <f aca="false">IF(D366="","",H366+E366-K366-G366*I366)</f>
        <v>2.19495404947218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0.481851900810221</v>
      </c>
      <c r="N366" s="16" t="n">
        <f aca="false">IF(D366="","",(I366+M366)/2)</f>
        <v>0.52033817189447</v>
      </c>
      <c r="O366" s="16" t="n">
        <f aca="false">IF(D366="","",G366*N366)</f>
        <v>0.075553102559077</v>
      </c>
      <c r="P366" s="16" t="n">
        <f aca="false">IF(D366="","",H366+E366-K366-O366)</f>
        <v>2.20054225603362</v>
      </c>
      <c r="Q366" s="16" t="n">
        <f aca="false">IF(D366="","",IF(P366&gt;=0,K366,MAX(0,K366+P366)))</f>
        <v>0.648</v>
      </c>
      <c r="R366" s="16" t="n">
        <f aca="false">IF(D366="","",Q366/$B$15)</f>
        <v>0.25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2.20054225603362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10.3311843006273</v>
      </c>
      <c r="Z366" s="18" t="n">
        <f aca="false">IF(D366="","",MAX(0,IF(P366&gt;=0,P366,IF(K366+P366&gt;=0,0,P366+K366))))</f>
        <v>2.20054225603362</v>
      </c>
      <c r="AA366" s="18" t="n">
        <f aca="false">IF(D366="","",IF(H366&lt;=$B$16,1,IF(H366&gt;=$B$17,$B$21,MATCH(H366,Aux_CAV!$A$2:$A$121,1))))</f>
        <v>3</v>
      </c>
      <c r="AB366" s="18" t="n">
        <f aca="false">IF(D366="","",IF(L366&lt;=$B$16,1,IF(L366&gt;=$B$17,$B$21,MATCH(L366,Aux_CAV!$A$2:$A$121,1))))</f>
        <v>3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0.0605124457116428</v>
      </c>
      <c r="E367" s="16" t="n">
        <f aca="false">IF(D367="","",D367*$B$15)</f>
        <v>0.156848259284578</v>
      </c>
      <c r="F367" s="16" t="n">
        <f aca="false" t="array" ref="F367:F367">IF(D367="","",IFERROR(INDEX(Dados_Evap!$C$2:$N$15,MATCH($B$9,Dados_Evap!$A$2:$A$15,0),C367),0))</f>
        <v>180.9</v>
      </c>
      <c r="G367" s="16" t="n">
        <f aca="false">IF(F367="","",F367/1000)</f>
        <v>0.1809</v>
      </c>
      <c r="H367" s="16" t="n">
        <f aca="false">IF(D367="","",MAX(0,MIN($B$8,IFERROR(LOOKUP(2,1/($U$24:U366&lt;&gt;""),$U$24:U366),$B$11))))</f>
        <v>2.20054225603362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0.482643151296795</v>
      </c>
      <c r="J367" s="16" t="n">
        <f aca="false">IF(D367="","",$B$12)</f>
        <v>0.25</v>
      </c>
      <c r="K367" s="16" t="n">
        <f aca="false">IF(J367="","",J367*$B$15)</f>
        <v>0.648</v>
      </c>
      <c r="L367" s="16" t="n">
        <f aca="false">IF(D367="","",H367+E367-K367-G367*I367)</f>
        <v>1.62208036924861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0.400737043433431</v>
      </c>
      <c r="N367" s="16" t="n">
        <f aca="false">IF(D367="","",(I367+M367)/2)</f>
        <v>0.441690097365113</v>
      </c>
      <c r="O367" s="16" t="n">
        <f aca="false">IF(D367="","",G367*N367)</f>
        <v>0.079901738613349</v>
      </c>
      <c r="P367" s="16" t="n">
        <f aca="false">IF(D367="","",H367+E367-K367-O367)</f>
        <v>1.62948877670485</v>
      </c>
      <c r="Q367" s="16" t="n">
        <f aca="false">IF(D367="","",IF(P367&gt;=0,K367,MAX(0,K367+P367)))</f>
        <v>0.648</v>
      </c>
      <c r="R367" s="16" t="n">
        <f aca="false">IF(D367="","",Q367/$B$15)</f>
        <v>0.25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1.62948877670485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7.6501820502575</v>
      </c>
      <c r="Z367" s="18" t="n">
        <f aca="false">IF(D367="","",MAX(0,IF(P367&gt;=0,P367,IF(K367+P367&gt;=0,0,P367+K367))))</f>
        <v>1.62948877670485</v>
      </c>
      <c r="AA367" s="18" t="n">
        <f aca="false">IF(D367="","",IF(H367&lt;=$B$16,1,IF(H367&gt;=$B$17,$B$21,MATCH(H367,Aux_CAV!$A$2:$A$121,1))))</f>
        <v>3</v>
      </c>
      <c r="AB367" s="18" t="n">
        <f aca="false">IF(D367="","",IF(L367&lt;=$B$16,1,IF(L367&gt;=$B$17,$B$21,MATCH(L367,Aux_CAV!$A$2:$A$121,1))))</f>
        <v>3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0.0330032447517866</v>
      </c>
      <c r="E368" s="16" t="n">
        <f aca="false">IF(D368="","",D368*$B$15)</f>
        <v>0.0855444103966309</v>
      </c>
      <c r="F368" s="16" t="n">
        <f aca="false" t="array" ref="F368:F368">IF(D368="","",IFERROR(INDEX(Dados_Evap!$C$2:$N$15,MATCH($B$9,Dados_Evap!$A$2:$A$15,0),C368),0))</f>
        <v>208.9</v>
      </c>
      <c r="G368" s="16" t="n">
        <f aca="false">IF(F368="","",F368/1000)</f>
        <v>0.2089</v>
      </c>
      <c r="H368" s="16" t="n">
        <f aca="false">IF(D368="","",MAX(0,MIN($B$8,IFERROR(LOOKUP(2,1/($U$24:U367&lt;&gt;""),$U$24:U367),$B$11))))</f>
        <v>1.62948877670485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0.401786021480332</v>
      </c>
      <c r="J368" s="16" t="n">
        <f aca="false">IF(D368="","",$B$12)</f>
        <v>0.25</v>
      </c>
      <c r="K368" s="16" t="n">
        <f aca="false">IF(J368="","",J368*$B$15)</f>
        <v>0.648</v>
      </c>
      <c r="L368" s="16" t="n">
        <f aca="false">IF(D368="","",H368+E368-K368-G368*I368)</f>
        <v>0.983100087214236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0.310261959251573</v>
      </c>
      <c r="N368" s="16" t="n">
        <f aca="false">IF(D368="","",(I368+M368)/2)</f>
        <v>0.356023990365953</v>
      </c>
      <c r="O368" s="16" t="n">
        <f aca="false">IF(D368="","",G368*N368)</f>
        <v>0.0743734115874475</v>
      </c>
      <c r="P368" s="16" t="n">
        <f aca="false">IF(D368="","",H368+E368-K368-O368)</f>
        <v>0.99265977551403</v>
      </c>
      <c r="Q368" s="16" t="n">
        <f aca="false">IF(D368="","",IF(P368&gt;=0,K368,MAX(0,K368+P368)))</f>
        <v>0.648</v>
      </c>
      <c r="R368" s="16" t="n">
        <f aca="false">IF(D368="","",Q368/$B$15)</f>
        <v>0.25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0.99265977551403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4.66037453292972</v>
      </c>
      <c r="Z368" s="18" t="n">
        <f aca="false">IF(D368="","",MAX(0,IF(P368&gt;=0,P368,IF(K368+P368&gt;=0,0,P368+K368))))</f>
        <v>0.99265977551403</v>
      </c>
      <c r="AA368" s="18" t="n">
        <f aca="false">IF(D368="","",IF(H368&lt;=$B$16,1,IF(H368&gt;=$B$17,$B$21,MATCH(H368,Aux_CAV!$A$2:$A$121,1))))</f>
        <v>3</v>
      </c>
      <c r="AB368" s="18" t="n">
        <f aca="false">IF(D368="","",IF(L368&lt;=$B$16,1,IF(L368&gt;=$B$17,$B$21,MATCH(L368,Aux_CAV!$A$2:$A$121,1))))</f>
        <v>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0.0193475955448115</v>
      </c>
      <c r="E369" s="16" t="n">
        <f aca="false">IF(D369="","",D369*$B$15)</f>
        <v>0.0501489676521514</v>
      </c>
      <c r="F369" s="16" t="n">
        <f aca="false" t="array" ref="F369:F369">IF(D369="","",IFERROR(INDEX(Dados_Evap!$C$2:$N$15,MATCH($B$9,Dados_Evap!$A$2:$A$15,0),C369),0))</f>
        <v>235.9</v>
      </c>
      <c r="G369" s="16" t="n">
        <f aca="false">IF(F369="","",F369/1000)</f>
        <v>0.2359</v>
      </c>
      <c r="H369" s="16" t="n">
        <f aca="false">IF(D369="","",MAX(0,MIN($B$8,IFERROR(LOOKUP(2,1/($U$24:U368&lt;&gt;""),$U$24:U368),$B$11))))</f>
        <v>0.99265977551403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0.311615543435615</v>
      </c>
      <c r="J369" s="16" t="n">
        <f aca="false">IF(D369="","",$B$12)</f>
        <v>0.25</v>
      </c>
      <c r="K369" s="16" t="n">
        <f aca="false">IF(J369="","",J369*$B$15)</f>
        <v>0.648</v>
      </c>
      <c r="L369" s="16" t="n">
        <f aca="false">IF(D369="","",H369+E369-K369-G369*I369)</f>
        <v>0.32129863646972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0.112722318793449</v>
      </c>
      <c r="N369" s="16" t="n">
        <f aca="false">IF(D369="","",(I369+M369)/2)</f>
        <v>0.212168931114532</v>
      </c>
      <c r="O369" s="16" t="n">
        <f aca="false">IF(D369="","",G369*N369)</f>
        <v>0.0500506508499181</v>
      </c>
      <c r="P369" s="16" t="n">
        <f aca="false">IF(D369="","",H369+E369-K369-O369)</f>
        <v>0.344758092316264</v>
      </c>
      <c r="Q369" s="16" t="n">
        <f aca="false">IF(D369="","",IF(P369&gt;=0,K369,MAX(0,K369+P369)))</f>
        <v>0.648</v>
      </c>
      <c r="R369" s="16" t="n">
        <f aca="false">IF(D369="","",Q369/$B$15)</f>
        <v>0.25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0.344758092316264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1.6185825930341</v>
      </c>
      <c r="Z369" s="18" t="n">
        <f aca="false">IF(D369="","",MAX(0,IF(P369&gt;=0,P369,IF(K369+P369&gt;=0,0,P369+K369))))</f>
        <v>0.344758092316264</v>
      </c>
      <c r="AA369" s="18" t="n">
        <f aca="false">IF(D369="","",IF(H369&lt;=$B$16,1,IF(H369&gt;=$B$17,$B$21,MATCH(H369,Aux_CAV!$A$2:$A$121,1))))</f>
        <v>3</v>
      </c>
      <c r="AB369" s="18" t="n">
        <f aca="false">IF(D369="","",IF(L369&lt;=$B$16,1,IF(L369&gt;=$B$17,$B$21,MATCH(L369,Aux_CAV!$A$2:$A$121,1))))</f>
        <v>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0.0114293795114329</v>
      </c>
      <c r="E370" s="16" t="n">
        <f aca="false">IF(D370="","",D370*$B$15)</f>
        <v>0.0296249516936341</v>
      </c>
      <c r="F370" s="16" t="n">
        <f aca="false" t="array" ref="F370:F370">IF(D370="","",IFERROR(INDEX(Dados_Evap!$C$2:$N$15,MATCH($B$9,Dados_Evap!$A$2:$A$15,0),C370),0))</f>
        <v>225.9</v>
      </c>
      <c r="G370" s="16" t="n">
        <f aca="false">IF(F370="","",F370/1000)</f>
        <v>0.2259</v>
      </c>
      <c r="H370" s="16" t="n">
        <f aca="false">IF(D370="","",MAX(0,MIN($B$8,IFERROR(LOOKUP(2,1/($U$24:U369&lt;&gt;""),$U$24:U369),$B$11))))</f>
        <v>0.344758092316264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0.120740107500495</v>
      </c>
      <c r="J370" s="16" t="n">
        <f aca="false">IF(D370="","",$B$12)</f>
        <v>0.25</v>
      </c>
      <c r="K370" s="16" t="n">
        <f aca="false">IF(J370="","",J370*$B$15)</f>
        <v>0.648</v>
      </c>
      <c r="L370" s="16" t="n">
        <f aca="false">IF(D370="","",H370+E370-K370-G370*I370)</f>
        <v>-0.300892146274464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0.0603700537502476</v>
      </c>
      <c r="O370" s="16" t="n">
        <f aca="false">IF(D370="","",G370*N370)</f>
        <v>0.0136375951421809</v>
      </c>
      <c r="P370" s="16" t="n">
        <f aca="false">IF(D370="","",H370+E370-K370-O370)</f>
        <v>-0.287254551132283</v>
      </c>
      <c r="Q370" s="16" t="n">
        <f aca="false">IF(D370="","",IF(P370&gt;=0,K370,MAX(0,K370+P370)))</f>
        <v>0.360745448867717</v>
      </c>
      <c r="R370" s="16" t="n">
        <f aca="false">IF(D370="","",Q370/$B$15)</f>
        <v>0.139176484902668</v>
      </c>
      <c r="S370" s="16" t="n">
        <f aca="false">IF(D370="","",MAX(0,J370-R370))</f>
        <v>0.110823515097332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2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0.00678692798275119</v>
      </c>
      <c r="E371" s="16" t="n">
        <f aca="false">IF(D371="","",D371*$B$15)</f>
        <v>0.0175917173312911</v>
      </c>
      <c r="F371" s="16" t="n">
        <f aca="false" t="array" ref="F371:F371">IF(D371="","",IFERROR(INDEX(Dados_Evap!$C$2:$N$15,MATCH($B$9,Dados_Evap!$A$2:$A$15,0),C371),0))</f>
        <v>206</v>
      </c>
      <c r="G371" s="16" t="n">
        <f aca="false">IF(F371="","",F371/1000)</f>
        <v>0.206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0.25</v>
      </c>
      <c r="K371" s="16" t="n">
        <f aca="false">IF(J371="","",J371*$B$15)</f>
        <v>0.648</v>
      </c>
      <c r="L371" s="16" t="n">
        <f aca="false">IF(D371="","",H371+E371-K371-G371*I371)</f>
        <v>-0.630408282668709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-0.630408282668709</v>
      </c>
      <c r="Q371" s="16" t="n">
        <f aca="false">IF(D371="","",IF(P371&gt;=0,K371,MAX(0,K371+P371)))</f>
        <v>0.0175917173312911</v>
      </c>
      <c r="R371" s="16" t="n">
        <f aca="false">IF(D371="","",Q371/$B$15)</f>
        <v>0.00678692798275118</v>
      </c>
      <c r="S371" s="16" t="n">
        <f aca="false">IF(D371="","",MAX(0,J371-R371))</f>
        <v>0.243213072017249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0.0301453707216114</v>
      </c>
      <c r="E372" s="16" t="n">
        <f aca="false">IF(D372="","",D372*$B$15)</f>
        <v>0.0781368009104168</v>
      </c>
      <c r="F372" s="16" t="n">
        <f aca="false" t="array" ref="F372:F372">IF(D372="","",IFERROR(INDEX(Dados_Evap!$C$2:$N$15,MATCH($B$9,Dados_Evap!$A$2:$A$15,0),C372),0))</f>
        <v>165.6</v>
      </c>
      <c r="G372" s="16" t="n">
        <f aca="false">IF(F372="","",F372/1000)</f>
        <v>0.1656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0.25</v>
      </c>
      <c r="K372" s="16" t="n">
        <f aca="false">IF(J372="","",J372*$B$15)</f>
        <v>0.648</v>
      </c>
      <c r="L372" s="16" t="n">
        <f aca="false">IF(D372="","",H372+E372-K372-G372*I372)</f>
        <v>-0.569863199089583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-0.569863199089583</v>
      </c>
      <c r="Q372" s="16" t="n">
        <f aca="false">IF(D372="","",IF(P372&gt;=0,K372,MAX(0,K372+P372)))</f>
        <v>0.0781368009104168</v>
      </c>
      <c r="R372" s="16" t="n">
        <f aca="false">IF(D372="","",Q372/$B$15)</f>
        <v>0.0301453707216114</v>
      </c>
      <c r="S372" s="16" t="n">
        <f aca="false">IF(D372="","",MAX(0,J372-R372))</f>
        <v>0.219854629278389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0.508718084900159</v>
      </c>
      <c r="E373" s="16" t="n">
        <f aca="false">IF(D373="","",D373*$B$15)</f>
        <v>1.31859727606121</v>
      </c>
      <c r="F373" s="16" t="n">
        <f aca="false" t="array" ref="F373:F373">IF(D373="","",IFERROR(INDEX(Dados_Evap!$C$2:$N$15,MATCH($B$9,Dados_Evap!$A$2:$A$15,0),C373),0))</f>
        <v>124.9</v>
      </c>
      <c r="G373" s="16" t="n">
        <f aca="false">IF(F373="","",F373/1000)</f>
        <v>0.1249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0.25</v>
      </c>
      <c r="K373" s="16" t="n">
        <f aca="false">IF(J373="","",J373*$B$15)</f>
        <v>0.648</v>
      </c>
      <c r="L373" s="16" t="n">
        <f aca="false">IF(D373="","",H373+E373-K373-G373*I373)</f>
        <v>0.670597276061212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0.232102866501933</v>
      </c>
      <c r="N373" s="16" t="n">
        <f aca="false">IF(D373="","",(I373+M373)/2)</f>
        <v>0.116051433250967</v>
      </c>
      <c r="O373" s="16" t="n">
        <f aca="false">IF(D373="","",G373*N373)</f>
        <v>0.0144948240130457</v>
      </c>
      <c r="P373" s="16" t="n">
        <f aca="false">IF(D373="","",H373+E373-K373-O373)</f>
        <v>0.656102452048166</v>
      </c>
      <c r="Q373" s="16" t="n">
        <f aca="false">IF(D373="","",IF(P373&gt;=0,K373,MAX(0,K373+P373)))</f>
        <v>0.648</v>
      </c>
      <c r="R373" s="16" t="n">
        <f aca="false">IF(D373="","",Q373/$B$15)</f>
        <v>0.25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0.656102452048166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3.08029320210407</v>
      </c>
      <c r="Z373" s="18" t="n">
        <f aca="false">IF(D373="","",MAX(0,IF(P373&gt;=0,P373,IF(K373+P373&gt;=0,0,P373+K373))))</f>
        <v>0.656102452048166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1.29219640671983</v>
      </c>
      <c r="E374" s="16" t="n">
        <f aca="false">IF(D374="","",D374*$B$15)</f>
        <v>3.3493730862178</v>
      </c>
      <c r="F374" s="16" t="n">
        <f aca="false" t="array" ref="F374:F374">IF(D374="","",IFERROR(INDEX(Dados_Evap!$C$2:$N$15,MATCH($B$9,Dados_Evap!$A$2:$A$15,0),C374),0))</f>
        <v>88.2</v>
      </c>
      <c r="G374" s="16" t="n">
        <f aca="false">IF(F374="","",F374/1000)</f>
        <v>0.0882</v>
      </c>
      <c r="H374" s="16" t="n">
        <f aca="false">IF(D374="","",MAX(0,MIN($B$8,IFERROR(LOOKUP(2,1/($U$24:U373&lt;&gt;""),$U$24:U373),$B$11))))</f>
        <v>0.656102452048166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0.227148939307601</v>
      </c>
      <c r="J374" s="16" t="n">
        <f aca="false">IF(D374="","",$B$12)</f>
        <v>0.25</v>
      </c>
      <c r="K374" s="16" t="n">
        <f aca="false">IF(J374="","",J374*$B$15)</f>
        <v>0.648</v>
      </c>
      <c r="L374" s="16" t="n">
        <f aca="false">IF(D374="","",H374+E374-K374-G374*I374)</f>
        <v>3.33744100181904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0.62385072510611</v>
      </c>
      <c r="N374" s="16" t="n">
        <f aca="false">IF(D374="","",(I374+M374)/2)</f>
        <v>0.425499832206856</v>
      </c>
      <c r="O374" s="16" t="n">
        <f aca="false">IF(D374="","",G374*N374)</f>
        <v>0.0375290852006447</v>
      </c>
      <c r="P374" s="16" t="n">
        <f aca="false">IF(D374="","",H374+E374-K374-O374)</f>
        <v>3.31994645306532</v>
      </c>
      <c r="Q374" s="16" t="n">
        <f aca="false">IF(D374="","",IF(P374&gt;=0,K374,MAX(0,K374+P374)))</f>
        <v>0.648</v>
      </c>
      <c r="R374" s="16" t="n">
        <f aca="false">IF(D374="","",Q374/$B$15)</f>
        <v>0.25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3.31994645306532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15.5866030660344</v>
      </c>
      <c r="Z374" s="18" t="n">
        <f aca="false">IF(D374="","",MAX(0,IF(P374&gt;=0,P374,IF(K374+P374&gt;=0,0,P374+K374))))</f>
        <v>3.31994645306532</v>
      </c>
      <c r="AA374" s="18" t="n">
        <f aca="false">IF(D374="","",IF(H374&lt;=$B$16,1,IF(H374&gt;=$B$17,$B$21,MATCH(H374,Aux_CAV!$A$2:$A$121,1))))</f>
        <v>2</v>
      </c>
      <c r="AB374" s="18" t="n">
        <f aca="false">IF(D374="","",IF(L374&lt;=$B$16,1,IF(L374&gt;=$B$17,$B$21,MATCH(L374,Aux_CAV!$A$2:$A$121,1))))</f>
        <v>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0.550295658809428</v>
      </c>
      <c r="E375" s="16" t="n">
        <f aca="false">IF(D375="","",D375*$B$15)</f>
        <v>1.42636634763404</v>
      </c>
      <c r="F375" s="16" t="n">
        <f aca="false" t="array" ref="F375:F375">IF(D375="","",IFERROR(INDEX(Dados_Evap!$C$2:$N$15,MATCH($B$9,Dados_Evap!$A$2:$A$15,0),C375),0))</f>
        <v>88.2</v>
      </c>
      <c r="G375" s="16" t="n">
        <f aca="false">IF(F375="","",F375/1000)</f>
        <v>0.0882</v>
      </c>
      <c r="H375" s="16" t="n">
        <f aca="false">IF(D375="","",MAX(0,MIN($B$8,IFERROR(LOOKUP(2,1/($U$24:U374&lt;&gt;""),$U$24:U374),$B$11))))</f>
        <v>3.31994645306532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0.622830209762144</v>
      </c>
      <c r="J375" s="16" t="n">
        <f aca="false">IF(D375="","",$B$12)</f>
        <v>0.25</v>
      </c>
      <c r="K375" s="16" t="n">
        <f aca="false">IF(J375="","",J375*$B$15)</f>
        <v>0.648</v>
      </c>
      <c r="L375" s="16" t="n">
        <f aca="false">IF(D375="","",H375+E375-K375-G375*I375)</f>
        <v>4.04337917619834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0.665030451944903</v>
      </c>
      <c r="N375" s="16" t="n">
        <f aca="false">IF(D375="","",(I375+M375)/2)</f>
        <v>0.643930330853523</v>
      </c>
      <c r="O375" s="16" t="n">
        <f aca="false">IF(D375="","",G375*N375)</f>
        <v>0.0567946551812808</v>
      </c>
      <c r="P375" s="16" t="n">
        <f aca="false">IF(D375="","",H375+E375-K375-O375)</f>
        <v>4.04151814551808</v>
      </c>
      <c r="Q375" s="16" t="n">
        <f aca="false">IF(D375="","",IF(P375&gt;=0,K375,MAX(0,K375+P375)))</f>
        <v>0.648</v>
      </c>
      <c r="R375" s="16" t="n">
        <f aca="false">IF(D375="","",Q375/$B$15)</f>
        <v>0.25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4.04151814551808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18.9742635939816</v>
      </c>
      <c r="Z375" s="18" t="n">
        <f aca="false">IF(D375="","",MAX(0,IF(P375&gt;=0,P375,IF(K375+P375&gt;=0,0,P375+K375))))</f>
        <v>4.04151814551808</v>
      </c>
      <c r="AA375" s="18" t="n">
        <f aca="false">IF(D375="","",IF(H375&lt;=$B$16,1,IF(H375&gt;=$B$17,$B$21,MATCH(H375,Aux_CAV!$A$2:$A$121,1))))</f>
        <v>4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0.36995681473273</v>
      </c>
      <c r="E376" s="16" t="n">
        <f aca="false">IF(D376="","",D376*$B$15)</f>
        <v>0.958928063787236</v>
      </c>
      <c r="F376" s="16" t="n">
        <f aca="false" t="array" ref="F376:F376">IF(D376="","",IFERROR(INDEX(Dados_Evap!$C$2:$N$15,MATCH($B$9,Dados_Evap!$A$2:$A$15,0),C376),0))</f>
        <v>83.9</v>
      </c>
      <c r="G376" s="16" t="n">
        <f aca="false">IF(F376="","",F376/1000)</f>
        <v>0.0839</v>
      </c>
      <c r="H376" s="16" t="n">
        <f aca="false">IF(D376="","",MAX(0,MIN($B$8,IFERROR(LOOKUP(2,1/($U$24:U375&lt;&gt;""),$U$24:U375),$B$11))))</f>
        <v>4.04151814551808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0.664921891821888</v>
      </c>
      <c r="J376" s="16" t="n">
        <f aca="false">IF(D376="","",$B$12)</f>
        <v>0.25</v>
      </c>
      <c r="K376" s="16" t="n">
        <f aca="false">IF(J376="","",J376*$B$15)</f>
        <v>0.648</v>
      </c>
      <c r="L376" s="16" t="n">
        <f aca="false">IF(D376="","",H376+E376-K376-G376*I376)</f>
        <v>4.29665926258146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0.679805123650585</v>
      </c>
      <c r="N376" s="16" t="n">
        <f aca="false">IF(D376="","",(I376+M376)/2)</f>
        <v>0.672363507736236</v>
      </c>
      <c r="O376" s="16" t="n">
        <f aca="false">IF(D376="","",G376*N376)</f>
        <v>0.0564112982990702</v>
      </c>
      <c r="P376" s="16" t="n">
        <f aca="false">IF(D376="","",H376+E376-K376-O376)</f>
        <v>4.29603491100624</v>
      </c>
      <c r="Q376" s="16" t="n">
        <f aca="false">IF(D376="","",IF(P376&gt;=0,K376,MAX(0,K376+P376)))</f>
        <v>0.648</v>
      </c>
      <c r="R376" s="16" t="n">
        <f aca="false">IF(D376="","",Q376/$B$15)</f>
        <v>0.25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4.29603491100624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20.1691779859448</v>
      </c>
      <c r="Z376" s="18" t="n">
        <f aca="false">IF(D376="","",MAX(0,IF(P376&gt;=0,P376,IF(K376+P376&gt;=0,0,P376+K376))))</f>
        <v>4.29603491100624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4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0.141397313776282</v>
      </c>
      <c r="E377" s="16" t="n">
        <f aca="false">IF(D377="","",D377*$B$15)</f>
        <v>0.366501837308123</v>
      </c>
      <c r="F377" s="16" t="n">
        <f aca="false" t="array" ref="F377:F377">IF(D377="","",IFERROR(INDEX(Dados_Evap!$C$2:$N$15,MATCH($B$9,Dados_Evap!$A$2:$A$15,0),C377),0))</f>
        <v>104.7</v>
      </c>
      <c r="G377" s="16" t="n">
        <f aca="false">IF(F377="","",F377/1000)</f>
        <v>0.1047</v>
      </c>
      <c r="H377" s="16" t="n">
        <f aca="false">IF(D377="","",MAX(0,MIN($B$8,IFERROR(LOOKUP(2,1/($U$24:U376&lt;&gt;""),$U$24:U376),$B$11))))</f>
        <v>4.29603491100624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0.679768703142031</v>
      </c>
      <c r="J377" s="16" t="n">
        <f aca="false">IF(D377="","",$B$12)</f>
        <v>0.25</v>
      </c>
      <c r="K377" s="16" t="n">
        <f aca="false">IF(J377="","",J377*$B$15)</f>
        <v>0.648</v>
      </c>
      <c r="L377" s="16" t="n">
        <f aca="false">IF(D377="","",H377+E377-K377-G377*I377)</f>
        <v>3.9433649650954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0.659196289630565</v>
      </c>
      <c r="N377" s="16" t="n">
        <f aca="false">IF(D377="","",(I377+M377)/2)</f>
        <v>0.669482496386298</v>
      </c>
      <c r="O377" s="16" t="n">
        <f aca="false">IF(D377="","",G377*N377)</f>
        <v>0.0700948173716454</v>
      </c>
      <c r="P377" s="16" t="n">
        <f aca="false">IF(D377="","",H377+E377-K377-O377)</f>
        <v>3.94444193094272</v>
      </c>
      <c r="Q377" s="16" t="n">
        <f aca="false">IF(D377="","",IF(P377&gt;=0,K377,MAX(0,K377+P377)))</f>
        <v>0.648</v>
      </c>
      <c r="R377" s="16" t="n">
        <f aca="false">IF(D377="","",Q377/$B$15)</f>
        <v>0.25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3.94444193094272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18.5185067180409</v>
      </c>
      <c r="Z377" s="18" t="n">
        <f aca="false">IF(D377="","",MAX(0,IF(P377&gt;=0,P377,IF(K377+P377&gt;=0,0,P377+K377))))</f>
        <v>3.94444193094272</v>
      </c>
      <c r="AA377" s="18" t="n">
        <f aca="false">IF(D377="","",IF(H377&lt;=$B$16,1,IF(H377&gt;=$B$17,$B$21,MATCH(H377,Aux_CAV!$A$2:$A$121,1))))</f>
        <v>4</v>
      </c>
      <c r="AB377" s="18" t="n">
        <f aca="false">IF(D377="","",IF(L377&lt;=$B$16,1,IF(L377&gt;=$B$17,$B$21,MATCH(L377,Aux_CAV!$A$2:$A$121,1))))</f>
        <v>4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0.168487600078034</v>
      </c>
      <c r="E378" s="16" t="n">
        <f aca="false">IF(D378="","",D378*$B$15)</f>
        <v>0.436719859402264</v>
      </c>
      <c r="F378" s="16" t="n">
        <f aca="false" t="array" ref="F378:F378">IF(D378="","",IFERROR(INDEX(Dados_Evap!$C$2:$N$15,MATCH($B$9,Dados_Evap!$A$2:$A$15,0),C378),0))</f>
        <v>145.2</v>
      </c>
      <c r="G378" s="16" t="n">
        <f aca="false">IF(F378="","",F378/1000)</f>
        <v>0.1452</v>
      </c>
      <c r="H378" s="16" t="n">
        <f aca="false">IF(D378="","",MAX(0,MIN($B$8,IFERROR(LOOKUP(2,1/($U$24:U377&lt;&gt;""),$U$24:U377),$B$11))))</f>
        <v>3.94444193094272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0.659259112638325</v>
      </c>
      <c r="J378" s="16" t="n">
        <f aca="false">IF(D378="","",$B$12)</f>
        <v>0.25</v>
      </c>
      <c r="K378" s="16" t="n">
        <f aca="false">IF(J378="","",J378*$B$15)</f>
        <v>0.648</v>
      </c>
      <c r="L378" s="16" t="n">
        <f aca="false">IF(D378="","",H378+E378-K378-G378*I378)</f>
        <v>3.6374373671899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0.641350513086078</v>
      </c>
      <c r="N378" s="16" t="n">
        <f aca="false">IF(D378="","",(I378+M378)/2)</f>
        <v>0.650304812862202</v>
      </c>
      <c r="O378" s="16" t="n">
        <f aca="false">IF(D378="","",G378*N378)</f>
        <v>0.0944242588275917</v>
      </c>
      <c r="P378" s="16" t="n">
        <f aca="false">IF(D378="","",H378+E378-K378-O378)</f>
        <v>3.63873753151739</v>
      </c>
      <c r="Q378" s="16" t="n">
        <f aca="false">IF(D378="","",IF(P378&gt;=0,K378,MAX(0,K378+P378)))</f>
        <v>0.648</v>
      </c>
      <c r="R378" s="16" t="n">
        <f aca="false">IF(D378="","",Q378/$B$15)</f>
        <v>0.25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3.63873753151739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17.0832747958563</v>
      </c>
      <c r="Z378" s="18" t="n">
        <f aca="false">IF(D378="","",MAX(0,IF(P378&gt;=0,P378,IF(K378+P378&gt;=0,0,P378+K378))))</f>
        <v>3.63873753151739</v>
      </c>
      <c r="AA378" s="18" t="n">
        <f aca="false">IF(D378="","",IF(H378&lt;=$B$16,1,IF(H378&gt;=$B$17,$B$21,MATCH(H378,Aux_CAV!$A$2:$A$121,1))))</f>
        <v>4</v>
      </c>
      <c r="AB378" s="18" t="n">
        <f aca="false">IF(D378="","",IF(L378&lt;=$B$16,1,IF(L378&gt;=$B$17,$B$21,MATCH(L378,Aux_CAV!$A$2:$A$121,1))))</f>
        <v>4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0.0616091418965868</v>
      </c>
      <c r="E379" s="16" t="n">
        <f aca="false">IF(D379="","",D379*$B$15)</f>
        <v>0.159690895795953</v>
      </c>
      <c r="F379" s="16" t="n">
        <f aca="false" t="array" ref="F379:F379">IF(D379="","",IFERROR(INDEX(Dados_Evap!$C$2:$N$15,MATCH($B$9,Dados_Evap!$A$2:$A$15,0),C379),0))</f>
        <v>180.9</v>
      </c>
      <c r="G379" s="16" t="n">
        <f aca="false">IF(F379="","",F379/1000)</f>
        <v>0.1809</v>
      </c>
      <c r="H379" s="16" t="n">
        <f aca="false">IF(D379="","",MAX(0,MIN($B$8,IFERROR(LOOKUP(2,1/($U$24:U378&lt;&gt;""),$U$24:U378),$B$11))))</f>
        <v>3.63873753151739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0.641426356005181</v>
      </c>
      <c r="J379" s="16" t="n">
        <f aca="false">IF(D379="","",$B$12)</f>
        <v>0.25</v>
      </c>
      <c r="K379" s="16" t="n">
        <f aca="false">IF(J379="","",J379*$B$15)</f>
        <v>0.648</v>
      </c>
      <c r="L379" s="16" t="n">
        <f aca="false">IF(D379="","",H379+E379-K379-G379*I379)</f>
        <v>3.03439439951201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0.600710711435329</v>
      </c>
      <c r="N379" s="16" t="n">
        <f aca="false">IF(D379="","",(I379+M379)/2)</f>
        <v>0.621068533720255</v>
      </c>
      <c r="O379" s="16" t="n">
        <f aca="false">IF(D379="","",G379*N379)</f>
        <v>0.112351297749994</v>
      </c>
      <c r="P379" s="16" t="n">
        <f aca="false">IF(D379="","",H379+E379-K379-O379)</f>
        <v>3.03807712956335</v>
      </c>
      <c r="Q379" s="16" t="n">
        <f aca="false">IF(D379="","",IF(P379&gt;=0,K379,MAX(0,K379+P379)))</f>
        <v>0.648</v>
      </c>
      <c r="R379" s="16" t="n">
        <f aca="false">IF(D379="","",Q379/$B$15)</f>
        <v>0.25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3.03807712956335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14.2632729087481</v>
      </c>
      <c r="Z379" s="18" t="n">
        <f aca="false">IF(D379="","",MAX(0,IF(P379&gt;=0,P379,IF(K379+P379&gt;=0,0,P379+K379))))</f>
        <v>3.03807712956335</v>
      </c>
      <c r="AA379" s="18" t="n">
        <f aca="false">IF(D379="","",IF(H379&lt;=$B$16,1,IF(H379&gt;=$B$17,$B$21,MATCH(H379,Aux_CAV!$A$2:$A$121,1))))</f>
        <v>4</v>
      </c>
      <c r="AB379" s="18" t="n">
        <f aca="false">IF(D379="","",IF(L379&lt;=$B$16,1,IF(L379&gt;=$B$17,$B$21,MATCH(L379,Aux_CAV!$A$2:$A$121,1))))</f>
        <v>3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0.0547070110034982</v>
      </c>
      <c r="E380" s="16" t="n">
        <f aca="false">IF(D380="","",D380*$B$15)</f>
        <v>0.141800572521067</v>
      </c>
      <c r="F380" s="16" t="n">
        <f aca="false" t="array" ref="F380:F380">IF(D380="","",IFERROR(INDEX(Dados_Evap!$C$2:$N$15,MATCH($B$9,Dados_Evap!$A$2:$A$15,0),C380),0))</f>
        <v>208.9</v>
      </c>
      <c r="G380" s="16" t="n">
        <f aca="false">IF(F380="","",F380/1000)</f>
        <v>0.2089</v>
      </c>
      <c r="H380" s="16" t="n">
        <f aca="false">IF(D380="","",MAX(0,MIN($B$8,IFERROR(LOOKUP(2,1/($U$24:U379&lt;&gt;""),$U$24:U379),$B$11))))</f>
        <v>3.03807712956335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0.601232159938174</v>
      </c>
      <c r="J380" s="16" t="n">
        <f aca="false">IF(D380="","",$B$12)</f>
        <v>0.25</v>
      </c>
      <c r="K380" s="16" t="n">
        <f aca="false">IF(J380="","",J380*$B$15)</f>
        <v>0.648</v>
      </c>
      <c r="L380" s="16" t="n">
        <f aca="false">IF(D380="","",H380+E380-K380-G380*I380)</f>
        <v>2.40628030387334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0.511774202318348</v>
      </c>
      <c r="N380" s="16" t="n">
        <f aca="false">IF(D380="","",(I380+M380)/2)</f>
        <v>0.556503181128261</v>
      </c>
      <c r="O380" s="16" t="n">
        <f aca="false">IF(D380="","",G380*N380)</f>
        <v>0.116253514537694</v>
      </c>
      <c r="P380" s="16" t="n">
        <f aca="false">IF(D380="","",H380+E380-K380-O380)</f>
        <v>2.41562418754673</v>
      </c>
      <c r="Q380" s="16" t="n">
        <f aca="false">IF(D380="","",IF(P380&gt;=0,K380,MAX(0,K380+P380)))</f>
        <v>0.648</v>
      </c>
      <c r="R380" s="16" t="n">
        <f aca="false">IF(D380="","",Q380/$B$15)</f>
        <v>0.25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2.41562418754673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11.3409586269799</v>
      </c>
      <c r="Z380" s="18" t="n">
        <f aca="false">IF(D380="","",MAX(0,IF(P380&gt;=0,P380,IF(K380+P380&gt;=0,0,P380+K380))))</f>
        <v>2.41562418754673</v>
      </c>
      <c r="AA380" s="18" t="n">
        <f aca="false">IF(D380="","",IF(H380&lt;=$B$16,1,IF(H380&gt;=$B$17,$B$21,MATCH(H380,Aux_CAV!$A$2:$A$121,1))))</f>
        <v>3</v>
      </c>
      <c r="AB380" s="18" t="n">
        <f aca="false">IF(D380="","",IF(L380&lt;=$B$16,1,IF(L380&gt;=$B$17,$B$21,MATCH(L380,Aux_CAV!$A$2:$A$121,1))))</f>
        <v>3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0.0363790717926107</v>
      </c>
      <c r="E381" s="16" t="n">
        <f aca="false">IF(D381="","",D381*$B$15)</f>
        <v>0.0942945540864469</v>
      </c>
      <c r="F381" s="16" t="n">
        <f aca="false" t="array" ref="F381:F381">IF(D381="","",IFERROR(INDEX(Dados_Evap!$C$2:$N$15,MATCH($B$9,Dados_Evap!$A$2:$A$15,0),C381),0))</f>
        <v>235.9</v>
      </c>
      <c r="G381" s="16" t="n">
        <f aca="false">IF(F381="","",F381/1000)</f>
        <v>0.2359</v>
      </c>
      <c r="H381" s="16" t="n">
        <f aca="false">IF(D381="","",MAX(0,MIN($B$8,IFERROR(LOOKUP(2,1/($U$24:U380&lt;&gt;""),$U$24:U380),$B$11))))</f>
        <v>2.41562418754673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0.513097230095112</v>
      </c>
      <c r="J381" s="16" t="n">
        <f aca="false">IF(D381="","",$B$12)</f>
        <v>0.25</v>
      </c>
      <c r="K381" s="16" t="n">
        <f aca="false">IF(J381="","",J381*$B$15)</f>
        <v>0.648</v>
      </c>
      <c r="L381" s="16" t="n">
        <f aca="false">IF(D381="","",H381+E381-K381-G381*I381)</f>
        <v>1.74087910505374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0.417558103370441</v>
      </c>
      <c r="N381" s="16" t="n">
        <f aca="false">IF(D381="","",(I381+M381)/2)</f>
        <v>0.465327666732776</v>
      </c>
      <c r="O381" s="16" t="n">
        <f aca="false">IF(D381="","",G381*N381)</f>
        <v>0.109770796582262</v>
      </c>
      <c r="P381" s="16" t="n">
        <f aca="false">IF(D381="","",H381+E381-K381-O381)</f>
        <v>1.75214794505091</v>
      </c>
      <c r="Q381" s="16" t="n">
        <f aca="false">IF(D381="","",IF(P381&gt;=0,K381,MAX(0,K381+P381)))</f>
        <v>0.648</v>
      </c>
      <c r="R381" s="16" t="n">
        <f aca="false">IF(D381="","",Q381/$B$15)</f>
        <v>0.25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1.75214794505091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8.22604669037987</v>
      </c>
      <c r="Z381" s="18" t="n">
        <f aca="false">IF(D381="","",MAX(0,IF(P381&gt;=0,P381,IF(K381+P381&gt;=0,0,P381+K381))))</f>
        <v>1.75214794505091</v>
      </c>
      <c r="AA381" s="18" t="n">
        <f aca="false">IF(D381="","",IF(H381&lt;=$B$16,1,IF(H381&gt;=$B$17,$B$21,MATCH(H381,Aux_CAV!$A$2:$A$121,1))))</f>
        <v>3</v>
      </c>
      <c r="AB381" s="18" t="n">
        <f aca="false">IF(D381="","",IF(L381&lt;=$B$16,1,IF(L381&gt;=$B$17,$B$21,MATCH(L381,Aux_CAV!$A$2:$A$121,1))))</f>
        <v>3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0.016040822636854</v>
      </c>
      <c r="E382" s="16" t="n">
        <f aca="false">IF(D382="","",D382*$B$15)</f>
        <v>0.0415778122747256</v>
      </c>
      <c r="F382" s="16" t="n">
        <f aca="false" t="array" ref="F382:F382">IF(D382="","",IFERROR(INDEX(Dados_Evap!$C$2:$N$15,MATCH($B$9,Dados_Evap!$A$2:$A$15,0),C382),0))</f>
        <v>225.9</v>
      </c>
      <c r="G382" s="16" t="n">
        <f aca="false">IF(F382="","",F382/1000)</f>
        <v>0.2259</v>
      </c>
      <c r="H382" s="16" t="n">
        <f aca="false">IF(D382="","",MAX(0,MIN($B$8,IFERROR(LOOKUP(2,1/($U$24:U381&lt;&gt;""),$U$24:U381),$B$11))))</f>
        <v>1.75214794505091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0.419153691334642</v>
      </c>
      <c r="J382" s="16" t="n">
        <f aca="false">IF(D382="","",$B$12)</f>
        <v>0.25</v>
      </c>
      <c r="K382" s="16" t="n">
        <f aca="false">IF(J382="","",J382*$B$15)</f>
        <v>0.648</v>
      </c>
      <c r="L382" s="16" t="n">
        <f aca="false">IF(D382="","",H382+E382-K382-G382*I382)</f>
        <v>1.05103893845314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0.319881619603985</v>
      </c>
      <c r="N382" s="16" t="n">
        <f aca="false">IF(D382="","",(I382+M382)/2)</f>
        <v>0.369517655469314</v>
      </c>
      <c r="O382" s="16" t="n">
        <f aca="false">IF(D382="","",G382*N382)</f>
        <v>0.0834740383705179</v>
      </c>
      <c r="P382" s="16" t="n">
        <f aca="false">IF(D382="","",H382+E382-K382-O382)</f>
        <v>1.06225171895512</v>
      </c>
      <c r="Q382" s="16" t="n">
        <f aca="false">IF(D382="","",IF(P382&gt;=0,K382,MAX(0,K382+P382)))</f>
        <v>0.648</v>
      </c>
      <c r="R382" s="16" t="n">
        <f aca="false">IF(D382="","",Q382/$B$15)</f>
        <v>0.25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1.06225171895512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4.98709727208976</v>
      </c>
      <c r="Z382" s="18" t="n">
        <f aca="false">IF(D382="","",MAX(0,IF(P382&gt;=0,P382,IF(K382+P382&gt;=0,0,P382+K382))))</f>
        <v>1.06225171895512</v>
      </c>
      <c r="AA382" s="18" t="n">
        <f aca="false">IF(D382="","",IF(H382&lt;=$B$16,1,IF(H382&gt;=$B$17,$B$21,MATCH(H382,Aux_CAV!$A$2:$A$121,1))))</f>
        <v>3</v>
      </c>
      <c r="AB382" s="18" t="n">
        <f aca="false">IF(D382="","",IF(L382&lt;=$B$16,1,IF(L382&gt;=$B$17,$B$21,MATCH(L382,Aux_CAV!$A$2:$A$121,1))))</f>
        <v>3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0.00978747721548636</v>
      </c>
      <c r="E383" s="16" t="n">
        <f aca="false">IF(D383="","",D383*$B$15)</f>
        <v>0.0253691409425406</v>
      </c>
      <c r="F383" s="16" t="n">
        <f aca="false" t="array" ref="F383:F383">IF(D383="","",IFERROR(INDEX(Dados_Evap!$C$2:$N$15,MATCH($B$9,Dados_Evap!$A$2:$A$15,0),C383),0))</f>
        <v>206</v>
      </c>
      <c r="G383" s="16" t="n">
        <f aca="false">IF(F383="","",F383/1000)</f>
        <v>0.206</v>
      </c>
      <c r="H383" s="16" t="n">
        <f aca="false">IF(D383="","",MAX(0,MIN($B$8,IFERROR(LOOKUP(2,1/($U$24:U382&lt;&gt;""),$U$24:U382),$B$11))))</f>
        <v>1.06225171895512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0.321469269940548</v>
      </c>
      <c r="J383" s="16" t="n">
        <f aca="false">IF(D383="","",$B$12)</f>
        <v>0.25</v>
      </c>
      <c r="K383" s="16" t="n">
        <f aca="false">IF(J383="","",J383*$B$15)</f>
        <v>0.648</v>
      </c>
      <c r="L383" s="16" t="n">
        <f aca="false">IF(D383="","",H383+E383-K383-G383*I383)</f>
        <v>0.373398190289907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0.130528495415538</v>
      </c>
      <c r="N383" s="16" t="n">
        <f aca="false">IF(D383="","",(I383+M383)/2)</f>
        <v>0.225998882678043</v>
      </c>
      <c r="O383" s="16" t="n">
        <f aca="false">IF(D383="","",G383*N383)</f>
        <v>0.0465557698316768</v>
      </c>
      <c r="P383" s="16" t="n">
        <f aca="false">IF(D383="","",H383+E383-K383-O383)</f>
        <v>0.393065090065983</v>
      </c>
      <c r="Q383" s="16" t="n">
        <f aca="false">IF(D383="","",IF(P383&gt;=0,K383,MAX(0,K383+P383)))</f>
        <v>0.648</v>
      </c>
      <c r="R383" s="16" t="n">
        <f aca="false">IF(D383="","",Q383/$B$15)</f>
        <v>0.25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0.393065090065983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1.84537600969945</v>
      </c>
      <c r="Z383" s="18" t="n">
        <f aca="false">IF(D383="","",MAX(0,IF(P383&gt;=0,P383,IF(K383+P383&gt;=0,0,P383+K383))))</f>
        <v>0.393065090065983</v>
      </c>
      <c r="AA383" s="18" t="n">
        <f aca="false">IF(D383="","",IF(H383&lt;=$B$16,1,IF(H383&gt;=$B$17,$B$21,MATCH(H383,Aux_CAV!$A$2:$A$121,1))))</f>
        <v>3</v>
      </c>
      <c r="AB383" s="18" t="n">
        <f aca="false">IF(D383="","",IF(L383&lt;=$B$16,1,IF(L383&gt;=$B$17,$B$21,MATCH(L383,Aux_CAV!$A$2:$A$121,1))))</f>
        <v>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0.081487451428794</v>
      </c>
      <c r="E384" s="16" t="n">
        <f aca="false">IF(D384="","",D384*$B$15)</f>
        <v>0.211215474103434</v>
      </c>
      <c r="F384" s="16" t="n">
        <f aca="false" t="array" ref="F384:F384">IF(D384="","",IFERROR(INDEX(Dados_Evap!$C$2:$N$15,MATCH($B$9,Dados_Evap!$A$2:$A$15,0),C384),0))</f>
        <v>165.6</v>
      </c>
      <c r="G384" s="16" t="n">
        <f aca="false">IF(F384="","",F384/1000)</f>
        <v>0.1656</v>
      </c>
      <c r="H384" s="16" t="n">
        <f aca="false">IF(D384="","",MAX(0,MIN($B$8,IFERROR(LOOKUP(2,1/($U$24:U383&lt;&gt;""),$U$24:U383),$B$11))))</f>
        <v>0.393065090065983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0.137250094073184</v>
      </c>
      <c r="J384" s="16" t="n">
        <f aca="false">IF(D384="","",$B$12)</f>
        <v>0.25</v>
      </c>
      <c r="K384" s="16" t="n">
        <f aca="false">IF(J384="","",J384*$B$15)</f>
        <v>0.648</v>
      </c>
      <c r="L384" s="16" t="n">
        <f aca="false">IF(D384="","",H384+E384-K384-G384*I384)</f>
        <v>-0.0664480514091023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0.068625047036592</v>
      </c>
      <c r="O384" s="16" t="n">
        <f aca="false">IF(D384="","",G384*N384)</f>
        <v>0.0113643077892596</v>
      </c>
      <c r="P384" s="16" t="n">
        <f aca="false">IF(D384="","",H384+E384-K384-O384)</f>
        <v>-0.0550837436198427</v>
      </c>
      <c r="Q384" s="16" t="n">
        <f aca="false">IF(D384="","",IF(P384&gt;=0,K384,MAX(0,K384+P384)))</f>
        <v>0.592916256380157</v>
      </c>
      <c r="R384" s="16" t="n">
        <f aca="false">IF(D384="","",Q384/$B$15)</f>
        <v>0.228748555702221</v>
      </c>
      <c r="S384" s="16" t="n">
        <f aca="false">IF(D384="","",MAX(0,J384-R384))</f>
        <v>0.0212514442977788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2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0.182793152685936</v>
      </c>
      <c r="E385" s="16" t="n">
        <f aca="false">IF(D385="","",D385*$B$15)</f>
        <v>0.473799851761946</v>
      </c>
      <c r="F385" s="16" t="n">
        <f aca="false" t="array" ref="F385:F385">IF(D385="","",IFERROR(INDEX(Dados_Evap!$C$2:$N$15,MATCH($B$9,Dados_Evap!$A$2:$A$15,0),C385),0))</f>
        <v>124.9</v>
      </c>
      <c r="G385" s="16" t="n">
        <f aca="false">IF(F385="","",F385/1000)</f>
        <v>0.1249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0.25</v>
      </c>
      <c r="K385" s="16" t="n">
        <f aca="false">IF(J385="","",J385*$B$15)</f>
        <v>0.648</v>
      </c>
      <c r="L385" s="16" t="n">
        <f aca="false">IF(D385="","",H385+E385-K385-G385*I385)</f>
        <v>-0.174200148238054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-0.174200148238054</v>
      </c>
      <c r="Q385" s="16" t="n">
        <f aca="false">IF(D385="","",IF(P385&gt;=0,K385,MAX(0,K385+P385)))</f>
        <v>0.473799851761946</v>
      </c>
      <c r="R385" s="16" t="n">
        <f aca="false">IF(D385="","",Q385/$B$15)</f>
        <v>0.182793152685936</v>
      </c>
      <c r="S385" s="16" t="n">
        <f aca="false">IF(D385="","",MAX(0,J385-R385))</f>
        <v>0.067206847314064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0.560169768600286</v>
      </c>
      <c r="E386" s="16" t="n">
        <f aca="false">IF(D386="","",D386*$B$15)</f>
        <v>1.45196004021194</v>
      </c>
      <c r="F386" s="16" t="n">
        <f aca="false" t="array" ref="F386:F386">IF(D386="","",IFERROR(INDEX(Dados_Evap!$C$2:$N$15,MATCH($B$9,Dados_Evap!$A$2:$A$15,0),C386),0))</f>
        <v>88.2</v>
      </c>
      <c r="G386" s="16" t="n">
        <f aca="false">IF(F386="","",F386/1000)</f>
        <v>0.0882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0.25</v>
      </c>
      <c r="K386" s="16" t="n">
        <f aca="false">IF(J386="","",J386*$B$15)</f>
        <v>0.648</v>
      </c>
      <c r="L386" s="16" t="n">
        <f aca="false">IF(D386="","",H386+E386-K386-G386*I386)</f>
        <v>0.803960040211941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0.277682545388891</v>
      </c>
      <c r="N386" s="16" t="n">
        <f aca="false">IF(D386="","",(I386+M386)/2)</f>
        <v>0.138841272694446</v>
      </c>
      <c r="O386" s="16" t="n">
        <f aca="false">IF(D386="","",G386*N386)</f>
        <v>0.0122458002516501</v>
      </c>
      <c r="P386" s="16" t="n">
        <f aca="false">IF(D386="","",H386+E386-K386-O386)</f>
        <v>0.791714239960291</v>
      </c>
      <c r="Q386" s="16" t="n">
        <f aca="false">IF(D386="","",IF(P386&gt;=0,K386,MAX(0,K386+P386)))</f>
        <v>0.648</v>
      </c>
      <c r="R386" s="16" t="n">
        <f aca="false">IF(D386="","",Q386/$B$15)</f>
        <v>0.25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0.791714239960291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3.71696826272437</v>
      </c>
      <c r="Z386" s="18" t="n">
        <f aca="false">IF(D386="","",MAX(0,IF(P386&gt;=0,P386,IF(K386+P386&gt;=0,0,P386+K386))))</f>
        <v>0.791714239960291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1.38415381913681</v>
      </c>
      <c r="E387" s="16" t="n">
        <f aca="false">IF(D387="","",D387*$B$15)</f>
        <v>3.58772669920261</v>
      </c>
      <c r="F387" s="16" t="n">
        <f aca="false" t="array" ref="F387:F387">IF(D387="","",IFERROR(INDEX(Dados_Evap!$C$2:$N$15,MATCH($B$9,Dados_Evap!$A$2:$A$15,0),C387),0))</f>
        <v>88.2</v>
      </c>
      <c r="G387" s="16" t="n">
        <f aca="false">IF(F387="","",F387/1000)</f>
        <v>0.0882</v>
      </c>
      <c r="H387" s="16" t="n">
        <f aca="false">IF(D387="","",MAX(0,MIN($B$8,IFERROR(LOOKUP(2,1/($U$24:U386&lt;&gt;""),$U$24:U386),$B$11))))</f>
        <v>0.791714239960291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0.273497271885163</v>
      </c>
      <c r="J387" s="16" t="n">
        <f aca="false">IF(D387="","",$B$12)</f>
        <v>0.25</v>
      </c>
      <c r="K387" s="16" t="n">
        <f aca="false">IF(J387="","",J387*$B$15)</f>
        <v>0.648</v>
      </c>
      <c r="L387" s="16" t="n">
        <f aca="false">IF(D387="","",H387+E387-K387-G387*I387)</f>
        <v>3.70731847978263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0.645426911320653</v>
      </c>
      <c r="N387" s="16" t="n">
        <f aca="false">IF(D387="","",(I387+M387)/2)</f>
        <v>0.459462091602908</v>
      </c>
      <c r="O387" s="16" t="n">
        <f aca="false">IF(D387="","",G387*N387)</f>
        <v>0.0405245564793765</v>
      </c>
      <c r="P387" s="16" t="n">
        <f aca="false">IF(D387="","",H387+E387-K387-O387)</f>
        <v>3.69091638268353</v>
      </c>
      <c r="Q387" s="16" t="n">
        <f aca="false">IF(D387="","",IF(P387&gt;=0,K387,MAX(0,K387+P387)))</f>
        <v>0.648</v>
      </c>
      <c r="R387" s="16" t="n">
        <f aca="false">IF(D387="","",Q387/$B$15)</f>
        <v>0.25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3.69091638268353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17.3282459280917</v>
      </c>
      <c r="Z387" s="18" t="n">
        <f aca="false">IF(D387="","",MAX(0,IF(P387&gt;=0,P387,IF(K387+P387&gt;=0,0,P387+K387))))</f>
        <v>3.69091638268353</v>
      </c>
      <c r="AA387" s="18" t="n">
        <f aca="false">IF(D387="","",IF(H387&lt;=$B$16,1,IF(H387&gt;=$B$17,$B$21,MATCH(H387,Aux_CAV!$A$2:$A$121,1))))</f>
        <v>2</v>
      </c>
      <c r="AB387" s="18" t="n">
        <f aca="false">IF(D387="","",IF(L387&lt;=$B$16,1,IF(L387&gt;=$B$17,$B$21,MATCH(L387,Aux_CAV!$A$2:$A$121,1))))</f>
        <v>4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0.734648968658409</v>
      </c>
      <c r="E388" s="16" t="n">
        <f aca="false">IF(D388="","",D388*$B$15)</f>
        <v>1.9042101267626</v>
      </c>
      <c r="F388" s="16" t="n">
        <f aca="false" t="array" ref="F388:F388">IF(D388="","",IFERROR(INDEX(Dados_Evap!$C$2:$N$15,MATCH($B$9,Dados_Evap!$A$2:$A$15,0),C388),0))</f>
        <v>83.9</v>
      </c>
      <c r="G388" s="16" t="n">
        <f aca="false">IF(F388="","",F388/1000)</f>
        <v>0.0839</v>
      </c>
      <c r="H388" s="16" t="n">
        <f aca="false">IF(D388="","",MAX(0,MIN($B$8,IFERROR(LOOKUP(2,1/($U$24:U387&lt;&gt;""),$U$24:U387),$B$11))))</f>
        <v>3.69091638268353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0.644470122323206</v>
      </c>
      <c r="J388" s="16" t="n">
        <f aca="false">IF(D388="","",$B$12)</f>
        <v>0.25</v>
      </c>
      <c r="K388" s="16" t="n">
        <f aca="false">IF(J388="","",J388*$B$15)</f>
        <v>0.648</v>
      </c>
      <c r="L388" s="16" t="n">
        <f aca="false">IF(D388="","",H388+E388-K388-G388*I388)</f>
        <v>4.89305546618321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0.71459490219402</v>
      </c>
      <c r="N388" s="16" t="n">
        <f aca="false">IF(D388="","",(I388+M388)/2)</f>
        <v>0.679532512258613</v>
      </c>
      <c r="O388" s="16" t="n">
        <f aca="false">IF(D388="","",G388*N388)</f>
        <v>0.0570127777784976</v>
      </c>
      <c r="P388" s="16" t="n">
        <f aca="false">IF(D388="","",H388+E388-K388-O388)</f>
        <v>4.89011373166763</v>
      </c>
      <c r="Q388" s="16" t="n">
        <f aca="false">IF(D388="","",IF(P388&gt;=0,K388,MAX(0,K388+P388)))</f>
        <v>0.648</v>
      </c>
      <c r="R388" s="16" t="n">
        <f aca="false">IF(D388="","",Q388/$B$15)</f>
        <v>0.25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4.89011373166763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22.9582804303644</v>
      </c>
      <c r="Z388" s="18" t="n">
        <f aca="false">IF(D388="","",MAX(0,IF(P388&gt;=0,P388,IF(K388+P388&gt;=0,0,P388+K388))))</f>
        <v>4.89011373166763</v>
      </c>
      <c r="AA388" s="18" t="n">
        <f aca="false">IF(D388="","",IF(H388&lt;=$B$16,1,IF(H388&gt;=$B$17,$B$21,MATCH(H388,Aux_CAV!$A$2:$A$121,1))))</f>
        <v>4</v>
      </c>
      <c r="AB388" s="18" t="n">
        <f aca="false">IF(D388="","",IF(L388&lt;=$B$16,1,IF(L388&gt;=$B$17,$B$21,MATCH(L388,Aux_CAV!$A$2:$A$121,1))))</f>
        <v>4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0.551051219135388</v>
      </c>
      <c r="E389" s="16" t="n">
        <f aca="false">IF(D389="","",D389*$B$15)</f>
        <v>1.42832475999893</v>
      </c>
      <c r="F389" s="16" t="n">
        <f aca="false" t="array" ref="F389:F389">IF(D389="","",IFERROR(INDEX(Dados_Evap!$C$2:$N$15,MATCH($B$9,Dados_Evap!$A$2:$A$15,0),C389),0))</f>
        <v>104.7</v>
      </c>
      <c r="G389" s="16" t="n">
        <f aca="false">IF(F389="","",F389/1000)</f>
        <v>0.1047</v>
      </c>
      <c r="H389" s="16" t="n">
        <f aca="false">IF(D389="","",MAX(0,MIN($B$8,IFERROR(LOOKUP(2,1/($U$24:U388&lt;&gt;""),$U$24:U388),$B$11))))</f>
        <v>4.89011373166763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0.714423301013945</v>
      </c>
      <c r="J389" s="16" t="n">
        <f aca="false">IF(D389="","",$B$12)</f>
        <v>0.25</v>
      </c>
      <c r="K389" s="16" t="n">
        <f aca="false">IF(J389="","",J389*$B$15)</f>
        <v>0.648</v>
      </c>
      <c r="L389" s="16" t="n">
        <f aca="false">IF(D389="","",H389+E389-K389-G389*I389)</f>
        <v>5.59563837205039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0.755578905036273</v>
      </c>
      <c r="N389" s="16" t="n">
        <f aca="false">IF(D389="","",(I389+M389)/2)</f>
        <v>0.735001103025109</v>
      </c>
      <c r="O389" s="16" t="n">
        <f aca="false">IF(D389="","",G389*N389)</f>
        <v>0.0769546154867289</v>
      </c>
      <c r="P389" s="16" t="n">
        <f aca="false">IF(D389="","",H389+E389-K389-O389)</f>
        <v>5.59348387617982</v>
      </c>
      <c r="Q389" s="16" t="n">
        <f aca="false">IF(D389="","",IF(P389&gt;=0,K389,MAX(0,K389+P389)))</f>
        <v>0.648</v>
      </c>
      <c r="R389" s="16" t="n">
        <f aca="false">IF(D389="","",Q389/$B$15)</f>
        <v>0.25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5.59348387617982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26.2604876815954</v>
      </c>
      <c r="Z389" s="18" t="n">
        <f aca="false">IF(D389="","",MAX(0,IF(P389&gt;=0,P389,IF(K389+P389&gt;=0,0,P389+K389))))</f>
        <v>5.59348387617982</v>
      </c>
      <c r="AA389" s="18" t="n">
        <f aca="false">IF(D389="","",IF(H389&lt;=$B$16,1,IF(H389&gt;=$B$17,$B$21,MATCH(H389,Aux_CAV!$A$2:$A$121,1))))</f>
        <v>4</v>
      </c>
      <c r="AB389" s="18" t="n">
        <f aca="false">IF(D389="","",IF(L389&lt;=$B$16,1,IF(L389&gt;=$B$17,$B$21,MATCH(L389,Aux_CAV!$A$2:$A$121,1))))</f>
        <v>4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0.290469147519484</v>
      </c>
      <c r="E390" s="16" t="n">
        <f aca="false">IF(D390="","",D390*$B$15)</f>
        <v>0.752896030370503</v>
      </c>
      <c r="F390" s="16" t="n">
        <f aca="false" t="array" ref="F390:F390">IF(D390="","",IFERROR(INDEX(Dados_Evap!$C$2:$N$15,MATCH($B$9,Dados_Evap!$A$2:$A$15,0),C390),0))</f>
        <v>145.2</v>
      </c>
      <c r="G390" s="16" t="n">
        <f aca="false">IF(F390="","",F390/1000)</f>
        <v>0.1452</v>
      </c>
      <c r="H390" s="16" t="n">
        <f aca="false">IF(D390="","",MAX(0,MIN($B$8,IFERROR(LOOKUP(2,1/($U$24:U389&lt;&gt;""),$U$24:U389),$B$11))))</f>
        <v>5.59348387617982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0.75545322611049</v>
      </c>
      <c r="J390" s="16" t="n">
        <f aca="false">IF(D390="","",$B$12)</f>
        <v>0.25</v>
      </c>
      <c r="K390" s="16" t="n">
        <f aca="false">IF(J390="","",J390*$B$15)</f>
        <v>0.648</v>
      </c>
      <c r="L390" s="16" t="n">
        <f aca="false">IF(D390="","",H390+E390-K390-G390*I390)</f>
        <v>5.58868809811908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0.75517347239028</v>
      </c>
      <c r="N390" s="16" t="n">
        <f aca="false">IF(D390="","",(I390+M390)/2)</f>
        <v>0.755313349250385</v>
      </c>
      <c r="O390" s="16" t="n">
        <f aca="false">IF(D390="","",G390*N390)</f>
        <v>0.109671498311156</v>
      </c>
      <c r="P390" s="16" t="n">
        <f aca="false">IF(D390="","",H390+E390-K390-O390)</f>
        <v>5.58870840823917</v>
      </c>
      <c r="Q390" s="16" t="n">
        <f aca="false">IF(D390="","",IF(P390&gt;=0,K390,MAX(0,K390+P390)))</f>
        <v>0.648</v>
      </c>
      <c r="R390" s="16" t="n">
        <f aca="false">IF(D390="","",Q390/$B$15)</f>
        <v>0.25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5.58870840823917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26.2380676443154</v>
      </c>
      <c r="Z390" s="18" t="n">
        <f aca="false">IF(D390="","",MAX(0,IF(P390&gt;=0,P390,IF(K390+P390&gt;=0,0,P390+K390))))</f>
        <v>5.58870840823917</v>
      </c>
      <c r="AA390" s="18" t="n">
        <f aca="false">IF(D390="","",IF(H390&lt;=$B$16,1,IF(H390&gt;=$B$17,$B$21,MATCH(H390,Aux_CAV!$A$2:$A$121,1))))</f>
        <v>4</v>
      </c>
      <c r="AB390" s="18" t="n">
        <f aca="false">IF(D390="","",IF(L390&lt;=$B$16,1,IF(L390&gt;=$B$17,$B$21,MATCH(L390,Aux_CAV!$A$2:$A$121,1))))</f>
        <v>4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0.143172351563998</v>
      </c>
      <c r="E391" s="16" t="n">
        <f aca="false">IF(D391="","",D391*$B$15)</f>
        <v>0.371102735253883</v>
      </c>
      <c r="F391" s="16" t="n">
        <f aca="false" t="array" ref="F391:F391">IF(D391="","",IFERROR(INDEX(Dados_Evap!$C$2:$N$15,MATCH($B$9,Dados_Evap!$A$2:$A$15,0),C391),0))</f>
        <v>180.9</v>
      </c>
      <c r="G391" s="16" t="n">
        <f aca="false">IF(F391="","",F391/1000)</f>
        <v>0.1809</v>
      </c>
      <c r="H391" s="16" t="n">
        <f aca="false">IF(D391="","",MAX(0,MIN($B$8,IFERROR(LOOKUP(2,1/($U$24:U390&lt;&gt;""),$U$24:U390),$B$11))))</f>
        <v>5.58870840823917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0.755174657147285</v>
      </c>
      <c r="J391" s="16" t="n">
        <f aca="false">IF(D391="","",$B$12)</f>
        <v>0.25</v>
      </c>
      <c r="K391" s="16" t="n">
        <f aca="false">IF(J391="","",J391*$B$15)</f>
        <v>0.648</v>
      </c>
      <c r="L391" s="16" t="n">
        <f aca="false">IF(D391="","",H391+E391-K391-G391*I391)</f>
        <v>5.17520004801511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0.731053336134215</v>
      </c>
      <c r="N391" s="16" t="n">
        <f aca="false">IF(D391="","",(I391+M391)/2)</f>
        <v>0.74311399664075</v>
      </c>
      <c r="O391" s="16" t="n">
        <f aca="false">IF(D391="","",G391*N391)</f>
        <v>0.134429321992312</v>
      </c>
      <c r="P391" s="16" t="n">
        <f aca="false">IF(D391="","",H391+E391-K391-O391)</f>
        <v>5.17738182150074</v>
      </c>
      <c r="Q391" s="16" t="n">
        <f aca="false">IF(D391="","",IF(P391&gt;=0,K391,MAX(0,K391+P391)))</f>
        <v>0.648</v>
      </c>
      <c r="R391" s="16" t="n">
        <f aca="false">IF(D391="","",Q391/$B$15)</f>
        <v>0.25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5.17738182150074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24.3069569084542</v>
      </c>
      <c r="Z391" s="18" t="n">
        <f aca="false">IF(D391="","",MAX(0,IF(P391&gt;=0,P391,IF(K391+P391&gt;=0,0,P391+K391))))</f>
        <v>5.17738182150074</v>
      </c>
      <c r="AA391" s="18" t="n">
        <f aca="false">IF(D391="","",IF(H391&lt;=$B$16,1,IF(H391&gt;=$B$17,$B$21,MATCH(H391,Aux_CAV!$A$2:$A$121,1))))</f>
        <v>4</v>
      </c>
      <c r="AB391" s="18" t="n">
        <f aca="false">IF(D391="","",IF(L391&lt;=$B$16,1,IF(L391&gt;=$B$17,$B$21,MATCH(L391,Aux_CAV!$A$2:$A$121,1))))</f>
        <v>4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0.0751355411918548</v>
      </c>
      <c r="E392" s="16" t="n">
        <f aca="false">IF(D392="","",D392*$B$15)</f>
        <v>0.194751322769288</v>
      </c>
      <c r="F392" s="16" t="n">
        <f aca="false" t="array" ref="F392:F392">IF(D392="","",IFERROR(INDEX(Dados_Evap!$C$2:$N$15,MATCH($B$9,Dados_Evap!$A$2:$A$15,0),C392),0))</f>
        <v>208.9</v>
      </c>
      <c r="G392" s="16" t="n">
        <f aca="false">IF(F392="","",F392/1000)</f>
        <v>0.2089</v>
      </c>
      <c r="H392" s="16" t="n">
        <f aca="false">IF(D392="","",MAX(0,MIN($B$8,IFERROR(LOOKUP(2,1/($U$24:U391&lt;&gt;""),$U$24:U391),$B$11))))</f>
        <v>5.17738182150074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0.73118060625421</v>
      </c>
      <c r="J392" s="16" t="n">
        <f aca="false">IF(D392="","",$B$12)</f>
        <v>0.25</v>
      </c>
      <c r="K392" s="16" t="n">
        <f aca="false">IF(J392="","",J392*$B$15)</f>
        <v>0.648</v>
      </c>
      <c r="L392" s="16" t="n">
        <f aca="false">IF(D392="","",H392+E392-K392-G392*I392)</f>
        <v>4.57138951562352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0.695831055078039</v>
      </c>
      <c r="N392" s="16" t="n">
        <f aca="false">IF(D392="","",(I392+M392)/2)</f>
        <v>0.713505830666124</v>
      </c>
      <c r="O392" s="16" t="n">
        <f aca="false">IF(D392="","",G392*N392)</f>
        <v>0.149051368026153</v>
      </c>
      <c r="P392" s="16" t="n">
        <f aca="false">IF(D392="","",H392+E392-K392-O392)</f>
        <v>4.57508177624388</v>
      </c>
      <c r="Q392" s="16" t="n">
        <f aca="false">IF(D392="","",IF(P392&gt;=0,K392,MAX(0,K392+P392)))</f>
        <v>0.648</v>
      </c>
      <c r="R392" s="16" t="n">
        <f aca="false">IF(D392="","",Q392/$B$15)</f>
        <v>0.25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4.57508177624388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21.4792571654642</v>
      </c>
      <c r="Z392" s="18" t="n">
        <f aca="false">IF(D392="","",MAX(0,IF(P392&gt;=0,P392,IF(K392+P392&gt;=0,0,P392+K392))))</f>
        <v>4.57508177624388</v>
      </c>
      <c r="AA392" s="18" t="n">
        <f aca="false">IF(D392="","",IF(H392&lt;=$B$16,1,IF(H392&gt;=$B$17,$B$21,MATCH(H392,Aux_CAV!$A$2:$A$121,1))))</f>
        <v>4</v>
      </c>
      <c r="AB392" s="18" t="n">
        <f aca="false">IF(D392="","",IF(L392&lt;=$B$16,1,IF(L392&gt;=$B$17,$B$21,MATCH(L392,Aux_CAV!$A$2:$A$121,1))))</f>
        <v>4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0.0454550165586317</v>
      </c>
      <c r="E393" s="16" t="n">
        <f aca="false">IF(D393="","",D393*$B$15)</f>
        <v>0.117819402919973</v>
      </c>
      <c r="F393" s="16" t="n">
        <f aca="false" t="array" ref="F393:F393">IF(D393="","",IFERROR(INDEX(Dados_Evap!$C$2:$N$15,MATCH($B$9,Dados_Evap!$A$2:$A$15,0),C393),0))</f>
        <v>235.9</v>
      </c>
      <c r="G393" s="16" t="n">
        <f aca="false">IF(F393="","",F393/1000)</f>
        <v>0.2359</v>
      </c>
      <c r="H393" s="16" t="n">
        <f aca="false">IF(D393="","",MAX(0,MIN($B$8,IFERROR(LOOKUP(2,1/($U$24:U392&lt;&gt;""),$U$24:U392),$B$11))))</f>
        <v>4.57508177624388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0.696046436947559</v>
      </c>
      <c r="J393" s="16" t="n">
        <f aca="false">IF(D393="","",$B$12)</f>
        <v>0.25</v>
      </c>
      <c r="K393" s="16" t="n">
        <f aca="false">IF(J393="","",J393*$B$15)</f>
        <v>0.648</v>
      </c>
      <c r="L393" s="16" t="n">
        <f aca="false">IF(D393="","",H393+E393-K393-G393*I393)</f>
        <v>3.88070382468792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0.655541056440129</v>
      </c>
      <c r="N393" s="16" t="n">
        <f aca="false">IF(D393="","",(I393+M393)/2)</f>
        <v>0.675793746693844</v>
      </c>
      <c r="O393" s="16" t="n">
        <f aca="false">IF(D393="","",G393*N393)</f>
        <v>0.159419744845078</v>
      </c>
      <c r="P393" s="16" t="n">
        <f aca="false">IF(D393="","",H393+E393-K393-O393)</f>
        <v>3.88548143431877</v>
      </c>
      <c r="Q393" s="16" t="n">
        <f aca="false">IF(D393="","",IF(P393&gt;=0,K393,MAX(0,K393+P393)))</f>
        <v>0.648</v>
      </c>
      <c r="R393" s="16" t="n">
        <f aca="false">IF(D393="","",Q393/$B$15)</f>
        <v>0.25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3.88548143431877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18.241696874736</v>
      </c>
      <c r="Z393" s="18" t="n">
        <f aca="false">IF(D393="","",MAX(0,IF(P393&gt;=0,P393,IF(K393+P393&gt;=0,0,P393+K393))))</f>
        <v>3.88548143431877</v>
      </c>
      <c r="AA393" s="18" t="n">
        <f aca="false">IF(D393="","",IF(H393&lt;=$B$16,1,IF(H393&gt;=$B$17,$B$21,MATCH(H393,Aux_CAV!$A$2:$A$121,1))))</f>
        <v>4</v>
      </c>
      <c r="AB393" s="18" t="n">
        <f aca="false">IF(D393="","",IF(L393&lt;=$B$16,1,IF(L393&gt;=$B$17,$B$21,MATCH(L393,Aux_CAV!$A$2:$A$121,1))))</f>
        <v>4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0.0246974950403637</v>
      </c>
      <c r="E394" s="16" t="n">
        <f aca="false">IF(D394="","",D394*$B$15)</f>
        <v>0.0640159071446227</v>
      </c>
      <c r="F394" s="16" t="n">
        <f aca="false" t="array" ref="F394:F394">IF(D394="","",IFERROR(INDEX(Dados_Evap!$C$2:$N$15,MATCH($B$9,Dados_Evap!$A$2:$A$15,0),C394),0))</f>
        <v>225.9</v>
      </c>
      <c r="G394" s="16" t="n">
        <f aca="false">IF(F394="","",F394/1000)</f>
        <v>0.2259</v>
      </c>
      <c r="H394" s="16" t="n">
        <f aca="false">IF(D394="","",MAX(0,MIN($B$8,IFERROR(LOOKUP(2,1/($U$24:U393&lt;&gt;""),$U$24:U393),$B$11))))</f>
        <v>3.88548143431877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0.655819750335262</v>
      </c>
      <c r="J394" s="16" t="n">
        <f aca="false">IF(D394="","",$B$12)</f>
        <v>0.25</v>
      </c>
      <c r="K394" s="16" t="n">
        <f aca="false">IF(J394="","",J394*$B$15)</f>
        <v>0.648</v>
      </c>
      <c r="L394" s="16" t="n">
        <f aca="false">IF(D394="","",H394+E394-K394-G394*I394)</f>
        <v>3.15334765986266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0.613111946825322</v>
      </c>
      <c r="N394" s="16" t="n">
        <f aca="false">IF(D394="","",(I394+M394)/2)</f>
        <v>0.634465848580292</v>
      </c>
      <c r="O394" s="16" t="n">
        <f aca="false">IF(D394="","",G394*N394)</f>
        <v>0.143325835194288</v>
      </c>
      <c r="P394" s="16" t="n">
        <f aca="false">IF(D394="","",H394+E394-K394-O394)</f>
        <v>3.15817150626911</v>
      </c>
      <c r="Q394" s="16" t="n">
        <f aca="false">IF(D394="","",IF(P394&gt;=0,K394,MAX(0,K394+P394)))</f>
        <v>0.648</v>
      </c>
      <c r="R394" s="16" t="n">
        <f aca="false">IF(D394="","",Q394/$B$15)</f>
        <v>0.25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3.15817150626911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14.8270962735639</v>
      </c>
      <c r="Z394" s="18" t="n">
        <f aca="false">IF(D394="","",MAX(0,IF(P394&gt;=0,P394,IF(K394+P394&gt;=0,0,P394+K394))))</f>
        <v>3.15817150626911</v>
      </c>
      <c r="AA394" s="18" t="n">
        <f aca="false">IF(D394="","",IF(H394&lt;=$B$16,1,IF(H394&gt;=$B$17,$B$21,MATCH(H394,Aux_CAV!$A$2:$A$121,1))))</f>
        <v>4</v>
      </c>
      <c r="AB394" s="18" t="n">
        <f aca="false">IF(D394="","",IF(L394&lt;=$B$16,1,IF(L394&gt;=$B$17,$B$21,MATCH(L394,Aux_CAV!$A$2:$A$121,1))))</f>
        <v>4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0.0222025660309227</v>
      </c>
      <c r="E395" s="16" t="n">
        <f aca="false">IF(D395="","",D395*$B$15)</f>
        <v>0.0575490511521516</v>
      </c>
      <c r="F395" s="16" t="n">
        <f aca="false" t="array" ref="F395:F395">IF(D395="","",IFERROR(INDEX(Dados_Evap!$C$2:$N$15,MATCH($B$9,Dados_Evap!$A$2:$A$15,0),C395),0))</f>
        <v>206</v>
      </c>
      <c r="G395" s="16" t="n">
        <f aca="false">IF(F395="","",F395/1000)</f>
        <v>0.206</v>
      </c>
      <c r="H395" s="16" t="n">
        <f aca="false">IF(D395="","",MAX(0,MIN($B$8,IFERROR(LOOKUP(2,1/($U$24:U394&lt;&gt;""),$U$24:U394),$B$11))))</f>
        <v>3.15817150626911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0.613393337865698</v>
      </c>
      <c r="J395" s="16" t="n">
        <f aca="false">IF(D395="","",$B$12)</f>
        <v>0.25</v>
      </c>
      <c r="K395" s="16" t="n">
        <f aca="false">IF(J395="","",J395*$B$15)</f>
        <v>0.648</v>
      </c>
      <c r="L395" s="16" t="n">
        <f aca="false">IF(D395="","",H395+E395-K395-G395*I395)</f>
        <v>2.44136152982092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0.516741455549865</v>
      </c>
      <c r="N395" s="16" t="n">
        <f aca="false">IF(D395="","",(I395+M395)/2)</f>
        <v>0.565067396707782</v>
      </c>
      <c r="O395" s="16" t="n">
        <f aca="false">IF(D395="","",G395*N395)</f>
        <v>0.116403883721803</v>
      </c>
      <c r="P395" s="16" t="n">
        <f aca="false">IF(D395="","",H395+E395-K395-O395)</f>
        <v>2.45131667369946</v>
      </c>
      <c r="Q395" s="16" t="n">
        <f aca="false">IF(D395="","",IF(P395&gt;=0,K395,MAX(0,K395+P395)))</f>
        <v>0.648</v>
      </c>
      <c r="R395" s="16" t="n">
        <f aca="false">IF(D395="","",Q395/$B$15)</f>
        <v>0.25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2.45131667369946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11.5085289845045</v>
      </c>
      <c r="Z395" s="18" t="n">
        <f aca="false">IF(D395="","",MAX(0,IF(P395&gt;=0,P395,IF(K395+P395&gt;=0,0,P395+K395))))</f>
        <v>2.45131667369946</v>
      </c>
      <c r="AA395" s="18" t="n">
        <f aca="false">IF(D395="","",IF(H395&lt;=$B$16,1,IF(H395&gt;=$B$17,$B$21,MATCH(H395,Aux_CAV!$A$2:$A$121,1))))</f>
        <v>4</v>
      </c>
      <c r="AB395" s="18" t="n">
        <f aca="false">IF(D395="","",IF(L395&lt;=$B$16,1,IF(L395&gt;=$B$17,$B$21,MATCH(L395,Aux_CAV!$A$2:$A$121,1))))</f>
        <v>3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0.0156409440763439</v>
      </c>
      <c r="E396" s="16" t="n">
        <f aca="false">IF(D396="","",D396*$B$15)</f>
        <v>0.0405413270458834</v>
      </c>
      <c r="F396" s="16" t="n">
        <f aca="false" t="array" ref="F396:F396">IF(D396="","",IFERROR(INDEX(Dados_Evap!$C$2:$N$15,MATCH($B$9,Dados_Evap!$A$2:$A$15,0),C396),0))</f>
        <v>165.6</v>
      </c>
      <c r="G396" s="16" t="n">
        <f aca="false">IF(F396="","",F396/1000)</f>
        <v>0.1656</v>
      </c>
      <c r="H396" s="16" t="n">
        <f aca="false">IF(D396="","",MAX(0,MIN($B$8,IFERROR(LOOKUP(2,1/($U$24:U395&lt;&gt;""),$U$24:U395),$B$11))))</f>
        <v>2.45131667369946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0.518151033444171</v>
      </c>
      <c r="J396" s="16" t="n">
        <f aca="false">IF(D396="","",$B$12)</f>
        <v>0.25</v>
      </c>
      <c r="K396" s="16" t="n">
        <f aca="false">IF(J396="","",J396*$B$15)</f>
        <v>0.648</v>
      </c>
      <c r="L396" s="16" t="n">
        <f aca="false">IF(D396="","",H396+E396-K396-G396*I396)</f>
        <v>1.75805218960698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0.419989690563821</v>
      </c>
      <c r="N396" s="16" t="n">
        <f aca="false">IF(D396="","",(I396+M396)/2)</f>
        <v>0.469070362003996</v>
      </c>
      <c r="O396" s="16" t="n">
        <f aca="false">IF(D396="","",G396*N396)</f>
        <v>0.0776780519478617</v>
      </c>
      <c r="P396" s="16" t="n">
        <f aca="false">IF(D396="","",H396+E396-K396-O396)</f>
        <v>1.76617994879748</v>
      </c>
      <c r="Q396" s="16" t="n">
        <f aca="false">IF(D396="","",IF(P396&gt;=0,K396,MAX(0,K396+P396)))</f>
        <v>0.648</v>
      </c>
      <c r="R396" s="16" t="n">
        <f aca="false">IF(D396="","",Q396/$B$15)</f>
        <v>0.25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1.76617994879748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8.29192464224168</v>
      </c>
      <c r="Z396" s="18" t="n">
        <f aca="false">IF(D396="","",MAX(0,IF(P396&gt;=0,P396,IF(K396+P396&gt;=0,0,P396+K396))))</f>
        <v>1.76617994879748</v>
      </c>
      <c r="AA396" s="18" t="n">
        <f aca="false">IF(D396="","",IF(H396&lt;=$B$16,1,IF(H396&gt;=$B$17,$B$21,MATCH(H396,Aux_CAV!$A$2:$A$121,1))))</f>
        <v>3</v>
      </c>
      <c r="AB396" s="18" t="n">
        <f aca="false">IF(D396="","",IF(L396&lt;=$B$16,1,IF(L396&gt;=$B$17,$B$21,MATCH(L396,Aux_CAV!$A$2:$A$121,1))))</f>
        <v>3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0.0792234884928906</v>
      </c>
      <c r="E397" s="16" t="n">
        <f aca="false">IF(D397="","",D397*$B$15)</f>
        <v>0.205347282173572</v>
      </c>
      <c r="F397" s="16" t="n">
        <f aca="false" t="array" ref="F397:F397">IF(D397="","",IFERROR(INDEX(Dados_Evap!$C$2:$N$15,MATCH($B$9,Dados_Evap!$A$2:$A$15,0),C397),0))</f>
        <v>124.9</v>
      </c>
      <c r="G397" s="16" t="n">
        <f aca="false">IF(F397="","",F397/1000)</f>
        <v>0.1249</v>
      </c>
      <c r="H397" s="16" t="n">
        <f aca="false">IF(D397="","",MAX(0,MIN($B$8,IFERROR(LOOKUP(2,1/($U$24:U396&lt;&gt;""),$U$24:U396),$B$11))))</f>
        <v>1.76617994879748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0.421140523723537</v>
      </c>
      <c r="J397" s="16" t="n">
        <f aca="false">IF(D397="","",$B$12)</f>
        <v>0.25</v>
      </c>
      <c r="K397" s="16" t="n">
        <f aca="false">IF(J397="","",J397*$B$15)</f>
        <v>0.648</v>
      </c>
      <c r="L397" s="16" t="n">
        <f aca="false">IF(D397="","",H397+E397-K397-G397*I397)</f>
        <v>1.27092677955798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0.351016181176351</v>
      </c>
      <c r="N397" s="16" t="n">
        <f aca="false">IF(D397="","",(I397+M397)/2)</f>
        <v>0.386078352449944</v>
      </c>
      <c r="O397" s="16" t="n">
        <f aca="false">IF(D397="","",G397*N397)</f>
        <v>0.048221186220998</v>
      </c>
      <c r="P397" s="16" t="n">
        <f aca="false">IF(D397="","",H397+E397-K397-O397)</f>
        <v>1.27530604475005</v>
      </c>
      <c r="Q397" s="16" t="n">
        <f aca="false">IF(D397="","",IF(P397&gt;=0,K397,MAX(0,K397+P397)))</f>
        <v>0.648</v>
      </c>
      <c r="R397" s="16" t="n">
        <f aca="false">IF(D397="","",Q397/$B$15)</f>
        <v>0.25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1.27530604475005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5.98735232277019</v>
      </c>
      <c r="Z397" s="18" t="n">
        <f aca="false">IF(D397="","",MAX(0,IF(P397&gt;=0,P397,IF(K397+P397&gt;=0,0,P397+K397))))</f>
        <v>1.27530604475005</v>
      </c>
      <c r="AA397" s="18" t="n">
        <f aca="false">IF(D397="","",IF(H397&lt;=$B$16,1,IF(H397&gt;=$B$17,$B$21,MATCH(H397,Aux_CAV!$A$2:$A$121,1))))</f>
        <v>3</v>
      </c>
      <c r="AB397" s="18" t="n">
        <f aca="false">IF(D397="","",IF(L397&lt;=$B$16,1,IF(L397&gt;=$B$17,$B$21,MATCH(L397,Aux_CAV!$A$2:$A$121,1))))</f>
        <v>3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0.660596227224411</v>
      </c>
      <c r="E398" s="16" t="n">
        <f aca="false">IF(D398="","",D398*$B$15)</f>
        <v>1.71226542096567</v>
      </c>
      <c r="F398" s="16" t="n">
        <f aca="false" t="array" ref="F398:F398">IF(D398="","",IFERROR(INDEX(Dados_Evap!$C$2:$N$15,MATCH($B$9,Dados_Evap!$A$2:$A$15,0),C398),0))</f>
        <v>88.2</v>
      </c>
      <c r="G398" s="16" t="n">
        <f aca="false">IF(F398="","",F398/1000)</f>
        <v>0.0882</v>
      </c>
      <c r="H398" s="16" t="n">
        <f aca="false">IF(D398="","",MAX(0,MIN($B$8,IFERROR(LOOKUP(2,1/($U$24:U397&lt;&gt;""),$U$24:U397),$B$11))))</f>
        <v>1.27530604475005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0.351636254123901</v>
      </c>
      <c r="J398" s="16" t="n">
        <f aca="false">IF(D398="","",$B$12)</f>
        <v>0.25</v>
      </c>
      <c r="K398" s="16" t="n">
        <f aca="false">IF(J398="","",J398*$B$15)</f>
        <v>0.648</v>
      </c>
      <c r="L398" s="16" t="n">
        <f aca="false">IF(D398="","",H398+E398-K398-G398*I398)</f>
        <v>2.308557148102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0.497937295306477</v>
      </c>
      <c r="N398" s="16" t="n">
        <f aca="false">IF(D398="","",(I398+M398)/2)</f>
        <v>0.424786774715189</v>
      </c>
      <c r="O398" s="16" t="n">
        <f aca="false">IF(D398="","",G398*N398)</f>
        <v>0.0374661935298797</v>
      </c>
      <c r="P398" s="16" t="n">
        <f aca="false">IF(D398="","",H398+E398-K398-O398)</f>
        <v>2.30210527218584</v>
      </c>
      <c r="Q398" s="16" t="n">
        <f aca="false">IF(D398="","",IF(P398&gt;=0,K398,MAX(0,K398+P398)))</f>
        <v>0.648</v>
      </c>
      <c r="R398" s="16" t="n">
        <f aca="false">IF(D398="","",Q398/$B$15)</f>
        <v>0.25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2.30210527218584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10.8080059727035</v>
      </c>
      <c r="Z398" s="18" t="n">
        <f aca="false">IF(D398="","",MAX(0,IF(P398&gt;=0,P398,IF(K398+P398&gt;=0,0,P398+K398))))</f>
        <v>2.30210527218584</v>
      </c>
      <c r="AA398" s="18" t="n">
        <f aca="false">IF(D398="","",IF(H398&lt;=$B$16,1,IF(H398&gt;=$B$17,$B$21,MATCH(H398,Aux_CAV!$A$2:$A$121,1))))</f>
        <v>3</v>
      </c>
      <c r="AB398" s="18" t="n">
        <f aca="false">IF(D398="","",IF(L398&lt;=$B$16,1,IF(L398&gt;=$B$17,$B$21,MATCH(L398,Aux_CAV!$A$2:$A$121,1))))</f>
        <v>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0.764781088532817</v>
      </c>
      <c r="E399" s="16" t="n">
        <f aca="false">IF(D399="","",D399*$B$15)</f>
        <v>1.98231258147706</v>
      </c>
      <c r="F399" s="16" t="n">
        <f aca="false" t="array" ref="F399:F399">IF(D399="","",IFERROR(INDEX(Dados_Evap!$C$2:$N$15,MATCH($B$9,Dados_Evap!$A$2:$A$15,0),C399),0))</f>
        <v>88.2</v>
      </c>
      <c r="G399" s="16" t="n">
        <f aca="false">IF(F399="","",F399/1000)</f>
        <v>0.0882</v>
      </c>
      <c r="H399" s="16" t="n">
        <f aca="false">IF(D399="","",MAX(0,MIN($B$8,IFERROR(LOOKUP(2,1/($U$24:U398&lt;&gt;""),$U$24:U398),$B$11))))</f>
        <v>2.30210527218584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0.497023755353748</v>
      </c>
      <c r="J399" s="16" t="n">
        <f aca="false">IF(D399="","",$B$12)</f>
        <v>0.25</v>
      </c>
      <c r="K399" s="16" t="n">
        <f aca="false">IF(J399="","",J399*$B$15)</f>
        <v>0.648</v>
      </c>
      <c r="L399" s="16" t="n">
        <f aca="false">IF(D399="","",H399+E399-K399-G399*I399)</f>
        <v>3.59258035844071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0.638733854242375</v>
      </c>
      <c r="N399" s="16" t="n">
        <f aca="false">IF(D399="","",(I399+M399)/2)</f>
        <v>0.567878804798061</v>
      </c>
      <c r="O399" s="16" t="n">
        <f aca="false">IF(D399="","",G399*N399)</f>
        <v>0.050086910583189</v>
      </c>
      <c r="P399" s="16" t="n">
        <f aca="false">IF(D399="","",H399+E399-K399-O399)</f>
        <v>3.58633094307972</v>
      </c>
      <c r="Q399" s="16" t="n">
        <f aca="false">IF(D399="","",IF(P399&gt;=0,K399,MAX(0,K399+P399)))</f>
        <v>0.648</v>
      </c>
      <c r="R399" s="16" t="n">
        <f aca="false">IF(D399="","",Q399/$B$15)</f>
        <v>0.25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3.58633094307972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16.8372344745527</v>
      </c>
      <c r="Z399" s="18" t="n">
        <f aca="false">IF(D399="","",MAX(0,IF(P399&gt;=0,P399,IF(K399+P399&gt;=0,0,P399+K399))))</f>
        <v>3.58633094307972</v>
      </c>
      <c r="AA399" s="18" t="n">
        <f aca="false">IF(D399="","",IF(H399&lt;=$B$16,1,IF(H399&gt;=$B$17,$B$21,MATCH(H399,Aux_CAV!$A$2:$A$121,1))))</f>
        <v>3</v>
      </c>
      <c r="AB399" s="18" t="n">
        <f aca="false">IF(D399="","",IF(L399&lt;=$B$16,1,IF(L399&gt;=$B$17,$B$21,MATCH(L399,Aux_CAV!$A$2:$A$121,1))))</f>
        <v>4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0.260834510151729</v>
      </c>
      <c r="E400" s="16" t="n">
        <f aca="false">IF(D400="","",D400*$B$15)</f>
        <v>0.676083050313282</v>
      </c>
      <c r="F400" s="16" t="n">
        <f aca="false" t="array" ref="F400:F400">IF(D400="","",IFERROR(INDEX(Dados_Evap!$C$2:$N$15,MATCH($B$9,Dados_Evap!$A$2:$A$15,0),C400),0))</f>
        <v>83.9</v>
      </c>
      <c r="G400" s="16" t="n">
        <f aca="false">IF(F400="","",F400/1000)</f>
        <v>0.0839</v>
      </c>
      <c r="H400" s="16" t="n">
        <f aca="false">IF(D400="","",MAX(0,MIN($B$8,IFERROR(LOOKUP(2,1/($U$24:U399&lt;&gt;""),$U$24:U399),$B$11))))</f>
        <v>3.58633094307972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0.638369305012984</v>
      </c>
      <c r="J400" s="16" t="n">
        <f aca="false">IF(D400="","",$B$12)</f>
        <v>0.25</v>
      </c>
      <c r="K400" s="16" t="n">
        <f aca="false">IF(J400="","",J400*$B$15)</f>
        <v>0.648</v>
      </c>
      <c r="L400" s="16" t="n">
        <f aca="false">IF(D400="","",H400+E400-K400-G400*I400)</f>
        <v>3.56085480870241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0.636883197174307</v>
      </c>
      <c r="N400" s="16" t="n">
        <f aca="false">IF(D400="","",(I400+M400)/2)</f>
        <v>0.637626251093645</v>
      </c>
      <c r="O400" s="16" t="n">
        <f aca="false">IF(D400="","",G400*N400)</f>
        <v>0.0534968424667568</v>
      </c>
      <c r="P400" s="16" t="n">
        <f aca="false">IF(D400="","",H400+E400-K400-O400)</f>
        <v>3.56091715092624</v>
      </c>
      <c r="Q400" s="16" t="n">
        <f aca="false">IF(D400="","",IF(P400&gt;=0,K400,MAX(0,K400+P400)))</f>
        <v>0.648</v>
      </c>
      <c r="R400" s="16" t="n">
        <f aca="false">IF(D400="","",Q400/$B$15)</f>
        <v>0.25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3.56091715092624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16.7179208963673</v>
      </c>
      <c r="Z400" s="18" t="n">
        <f aca="false">IF(D400="","",MAX(0,IF(P400&gt;=0,P400,IF(K400+P400&gt;=0,0,P400+K400))))</f>
        <v>3.56091715092624</v>
      </c>
      <c r="AA400" s="18" t="n">
        <f aca="false">IF(D400="","",IF(H400&lt;=$B$16,1,IF(H400&gt;=$B$17,$B$21,MATCH(H400,Aux_CAV!$A$2:$A$121,1))))</f>
        <v>4</v>
      </c>
      <c r="AB400" s="18" t="n">
        <f aca="false">IF(D400="","",IF(L400&lt;=$B$16,1,IF(L400&gt;=$B$17,$B$21,MATCH(L400,Aux_CAV!$A$2:$A$121,1))))</f>
        <v>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0.119355486490127</v>
      </c>
      <c r="E401" s="16" t="n">
        <f aca="false">IF(D401="","",D401*$B$15)</f>
        <v>0.309369420982409</v>
      </c>
      <c r="F401" s="16" t="n">
        <f aca="false" t="array" ref="F401:F401">IF(D401="","",IFERROR(INDEX(Dados_Evap!$C$2:$N$15,MATCH($B$9,Dados_Evap!$A$2:$A$15,0),C401),0))</f>
        <v>104.7</v>
      </c>
      <c r="G401" s="16" t="n">
        <f aca="false">IF(F401="","",F401/1000)</f>
        <v>0.1047</v>
      </c>
      <c r="H401" s="16" t="n">
        <f aca="false">IF(D401="","",MAX(0,MIN($B$8,IFERROR(LOOKUP(2,1/($U$24:U400&lt;&gt;""),$U$24:U400),$B$11))))</f>
        <v>3.56091715092624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0.636886833804031</v>
      </c>
      <c r="J401" s="16" t="n">
        <f aca="false">IF(D401="","",$B$12)</f>
        <v>0.25</v>
      </c>
      <c r="K401" s="16" t="n">
        <f aca="false">IF(J401="","",J401*$B$15)</f>
        <v>0.648</v>
      </c>
      <c r="L401" s="16" t="n">
        <f aca="false">IF(D401="","",H401+E401-K401-G401*I401)</f>
        <v>3.15560452040937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0.61324359702388</v>
      </c>
      <c r="N401" s="16" t="n">
        <f aca="false">IF(D401="","",(I401+M401)/2)</f>
        <v>0.625065215413955</v>
      </c>
      <c r="O401" s="16" t="n">
        <f aca="false">IF(D401="","",G401*N401)</f>
        <v>0.0654443280538411</v>
      </c>
      <c r="P401" s="16" t="n">
        <f aca="false">IF(D401="","",H401+E401-K401-O401)</f>
        <v>3.15684224385481</v>
      </c>
      <c r="Q401" s="16" t="n">
        <f aca="false">IF(D401="","",IF(P401&gt;=0,K401,MAX(0,K401+P401)))</f>
        <v>0.648</v>
      </c>
      <c r="R401" s="16" t="n">
        <f aca="false">IF(D401="","",Q401/$B$15)</f>
        <v>0.25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3.15684224385481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14.8208556049522</v>
      </c>
      <c r="Z401" s="18" t="n">
        <f aca="false">IF(D401="","",MAX(0,IF(P401&gt;=0,P401,IF(K401+P401&gt;=0,0,P401+K401))))</f>
        <v>3.15684224385481</v>
      </c>
      <c r="AA401" s="18" t="n">
        <f aca="false">IF(D401="","",IF(H401&lt;=$B$16,1,IF(H401&gt;=$B$17,$B$21,MATCH(H401,Aux_CAV!$A$2:$A$121,1))))</f>
        <v>4</v>
      </c>
      <c r="AB401" s="18" t="n">
        <f aca="false">IF(D401="","",IF(L401&lt;=$B$16,1,IF(L401&gt;=$B$17,$B$21,MATCH(L401,Aux_CAV!$A$2:$A$121,1))))</f>
        <v>4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0.059292054470103</v>
      </c>
      <c r="E402" s="16" t="n">
        <f aca="false">IF(D402="","",D402*$B$15)</f>
        <v>0.153685005186507</v>
      </c>
      <c r="F402" s="16" t="n">
        <f aca="false" t="array" ref="F402:F402">IF(D402="","",IFERROR(INDEX(Dados_Evap!$C$2:$N$15,MATCH($B$9,Dados_Evap!$A$2:$A$15,0),C402),0))</f>
        <v>145.2</v>
      </c>
      <c r="G402" s="16" t="n">
        <f aca="false">IF(F402="","",F402/1000)</f>
        <v>0.1452</v>
      </c>
      <c r="H402" s="16" t="n">
        <f aca="false">IF(D402="","",MAX(0,MIN($B$8,IFERROR(LOOKUP(2,1/($U$24:U401&lt;&gt;""),$U$24:U401),$B$11))))</f>
        <v>3.15684224385481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0.613315797558197</v>
      </c>
      <c r="J402" s="16" t="n">
        <f aca="false">IF(D402="","",$B$12)</f>
        <v>0.25</v>
      </c>
      <c r="K402" s="16" t="n">
        <f aca="false">IF(J402="","",J402*$B$15)</f>
        <v>0.648</v>
      </c>
      <c r="L402" s="16" t="n">
        <f aca="false">IF(D402="","",H402+E402-K402-G402*I402)</f>
        <v>2.57347379523587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0.535447617024547</v>
      </c>
      <c r="N402" s="16" t="n">
        <f aca="false">IF(D402="","",(I402+M402)/2)</f>
        <v>0.574381707291372</v>
      </c>
      <c r="O402" s="16" t="n">
        <f aca="false">IF(D402="","",G402*N402)</f>
        <v>0.0834002238987073</v>
      </c>
      <c r="P402" s="16" t="n">
        <f aca="false">IF(D402="","",H402+E402-K402-O402)</f>
        <v>2.57912702514261</v>
      </c>
      <c r="Q402" s="16" t="n">
        <f aca="false">IF(D402="","",IF(P402&gt;=0,K402,MAX(0,K402+P402)))</f>
        <v>0.648</v>
      </c>
      <c r="R402" s="16" t="n">
        <f aca="false">IF(D402="","",Q402/$B$15)</f>
        <v>0.25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2.57912702514261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12.1085775828291</v>
      </c>
      <c r="Z402" s="18" t="n">
        <f aca="false">IF(D402="","",MAX(0,IF(P402&gt;=0,P402,IF(K402+P402&gt;=0,0,P402+K402))))</f>
        <v>2.57912702514261</v>
      </c>
      <c r="AA402" s="18" t="n">
        <f aca="false">IF(D402="","",IF(H402&lt;=$B$16,1,IF(H402&gt;=$B$17,$B$21,MATCH(H402,Aux_CAV!$A$2:$A$121,1))))</f>
        <v>4</v>
      </c>
      <c r="AB402" s="18" t="n">
        <f aca="false">IF(D402="","",IF(L402&lt;=$B$16,1,IF(L402&gt;=$B$17,$B$21,MATCH(L402,Aux_CAV!$A$2:$A$121,1))))</f>
        <v>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0.0527423925852639</v>
      </c>
      <c r="E403" s="16" t="n">
        <f aca="false">IF(D403="","",D403*$B$15)</f>
        <v>0.136708281581004</v>
      </c>
      <c r="F403" s="16" t="n">
        <f aca="false" t="array" ref="F403:F403">IF(D403="","",IFERROR(INDEX(Dados_Evap!$C$2:$N$15,MATCH($B$9,Dados_Evap!$A$2:$A$15,0),C403),0))</f>
        <v>180.9</v>
      </c>
      <c r="G403" s="16" t="n">
        <f aca="false">IF(F403="","",F403/1000)</f>
        <v>0.1809</v>
      </c>
      <c r="H403" s="16" t="n">
        <f aca="false">IF(D403="","",MAX(0,MIN($B$8,IFERROR(LOOKUP(2,1/($U$24:U402&lt;&gt;""),$U$24:U402),$B$11))))</f>
        <v>2.57912702514261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0.536248074356476</v>
      </c>
      <c r="J403" s="16" t="n">
        <f aca="false">IF(D403="","",$B$12)</f>
        <v>0.25</v>
      </c>
      <c r="K403" s="16" t="n">
        <f aca="false">IF(J403="","",J403*$B$15)</f>
        <v>0.648</v>
      </c>
      <c r="L403" s="16" t="n">
        <f aca="false">IF(D403="","",H403+E403-K403-G403*I403)</f>
        <v>1.97082803007253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0.45011724319611</v>
      </c>
      <c r="N403" s="16" t="n">
        <f aca="false">IF(D403="","",(I403+M403)/2)</f>
        <v>0.493182658776293</v>
      </c>
      <c r="O403" s="16" t="n">
        <f aca="false">IF(D403="","",G403*N403)</f>
        <v>0.0892167429726314</v>
      </c>
      <c r="P403" s="16" t="n">
        <f aca="false">IF(D403="","",H403+E403-K403-O403)</f>
        <v>1.97861856375098</v>
      </c>
      <c r="Q403" s="16" t="n">
        <f aca="false">IF(D403="","",IF(P403&gt;=0,K403,MAX(0,K403+P403)))</f>
        <v>0.648</v>
      </c>
      <c r="R403" s="16" t="n">
        <f aca="false">IF(D403="","",Q403/$B$15)</f>
        <v>0.25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1.97861856375098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9.28928903169475</v>
      </c>
      <c r="Z403" s="18" t="n">
        <f aca="false">IF(D403="","",MAX(0,IF(P403&gt;=0,P403,IF(K403+P403&gt;=0,0,P403+K403))))</f>
        <v>1.97861856375098</v>
      </c>
      <c r="AA403" s="18" t="n">
        <f aca="false">IF(D403="","",IF(H403&lt;=$B$16,1,IF(H403&gt;=$B$17,$B$21,MATCH(H403,Aux_CAV!$A$2:$A$121,1))))</f>
        <v>3</v>
      </c>
      <c r="AB403" s="18" t="n">
        <f aca="false">IF(D403="","",IF(L403&lt;=$B$16,1,IF(L403&gt;=$B$17,$B$21,MATCH(L403,Aux_CAV!$A$2:$A$121,1))))</f>
        <v>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0.0326904374099719</v>
      </c>
      <c r="E404" s="16" t="n">
        <f aca="false">IF(D404="","",D404*$B$15)</f>
        <v>0.0847336137666472</v>
      </c>
      <c r="F404" s="16" t="n">
        <f aca="false" t="array" ref="F404:F404">IF(D404="","",IFERROR(INDEX(Dados_Evap!$C$2:$N$15,MATCH($B$9,Dados_Evap!$A$2:$A$15,0),C404),0))</f>
        <v>208.9</v>
      </c>
      <c r="G404" s="16" t="n">
        <f aca="false">IF(F404="","",F404/1000)</f>
        <v>0.2089</v>
      </c>
      <c r="H404" s="16" t="n">
        <f aca="false">IF(D404="","",MAX(0,MIN($B$8,IFERROR(LOOKUP(2,1/($U$24:U403&lt;&gt;""),$U$24:U403),$B$11))))</f>
        <v>1.97861856375098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0.451220327610758</v>
      </c>
      <c r="J404" s="16" t="n">
        <f aca="false">IF(D404="","",$B$12)</f>
        <v>0.25</v>
      </c>
      <c r="K404" s="16" t="n">
        <f aca="false">IF(J404="","",J404*$B$15)</f>
        <v>0.648</v>
      </c>
      <c r="L404" s="16" t="n">
        <f aca="false">IF(D404="","",H404+E404-K404-G404*I404)</f>
        <v>1.32109225107974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0.358119256790052</v>
      </c>
      <c r="N404" s="16" t="n">
        <f aca="false">IF(D404="","",(I404+M404)/2)</f>
        <v>0.404669792200405</v>
      </c>
      <c r="O404" s="16" t="n">
        <f aca="false">IF(D404="","",G404*N404)</f>
        <v>0.0845355195906646</v>
      </c>
      <c r="P404" s="16" t="n">
        <f aca="false">IF(D404="","",H404+E404-K404-O404)</f>
        <v>1.33081665792696</v>
      </c>
      <c r="Q404" s="16" t="n">
        <f aca="false">IF(D404="","",IF(P404&gt;=0,K404,MAX(0,K404+P404)))</f>
        <v>0.648</v>
      </c>
      <c r="R404" s="16" t="n">
        <f aca="false">IF(D404="","",Q404/$B$15)</f>
        <v>0.25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1.33081665792696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6.24796553017354</v>
      </c>
      <c r="Z404" s="18" t="n">
        <f aca="false">IF(D404="","",MAX(0,IF(P404&gt;=0,P404,IF(K404+P404&gt;=0,0,P404+K404))))</f>
        <v>1.33081665792696</v>
      </c>
      <c r="AA404" s="18" t="n">
        <f aca="false">IF(D404="","",IF(H404&lt;=$B$16,1,IF(H404&gt;=$B$17,$B$21,MATCH(H404,Aux_CAV!$A$2:$A$121,1))))</f>
        <v>3</v>
      </c>
      <c r="AB404" s="18" t="n">
        <f aca="false">IF(D404="","",IF(L404&lt;=$B$16,1,IF(L404&gt;=$B$17,$B$21,MATCH(L404,Aux_CAV!$A$2:$A$121,1))))</f>
        <v>3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0.0149812419403511</v>
      </c>
      <c r="E405" s="16" t="n">
        <f aca="false">IF(D405="","",D405*$B$15)</f>
        <v>0.0388313791093901</v>
      </c>
      <c r="F405" s="16" t="n">
        <f aca="false" t="array" ref="F405:F405">IF(D405="","",IFERROR(INDEX(Dados_Evap!$C$2:$N$15,MATCH($B$9,Dados_Evap!$A$2:$A$15,0),C405),0))</f>
        <v>235.9</v>
      </c>
      <c r="G405" s="16" t="n">
        <f aca="false">IF(F405="","",F405/1000)</f>
        <v>0.2359</v>
      </c>
      <c r="H405" s="16" t="n">
        <f aca="false">IF(D405="","",MAX(0,MIN($B$8,IFERROR(LOOKUP(2,1/($U$24:U404&lt;&gt;""),$U$24:U404),$B$11))))</f>
        <v>1.33081665792696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0.35949616395426</v>
      </c>
      <c r="J405" s="16" t="n">
        <f aca="false">IF(D405="","",$B$12)</f>
        <v>0.25</v>
      </c>
      <c r="K405" s="16" t="n">
        <f aca="false">IF(J405="","",J405*$B$15)</f>
        <v>0.648</v>
      </c>
      <c r="L405" s="16" t="n">
        <f aca="false">IF(D405="","",H405+E405-K405-G405*I405)</f>
        <v>0.636842891959544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0.22056655801149</v>
      </c>
      <c r="N405" s="16" t="n">
        <f aca="false">IF(D405="","",(I405+M405)/2)</f>
        <v>0.290031360982875</v>
      </c>
      <c r="O405" s="16" t="n">
        <f aca="false">IF(D405="","",G405*N405)</f>
        <v>0.0684183980558602</v>
      </c>
      <c r="P405" s="16" t="n">
        <f aca="false">IF(D405="","",H405+E405-K405-O405)</f>
        <v>0.653229638980494</v>
      </c>
      <c r="Q405" s="16" t="n">
        <f aca="false">IF(D405="","",IF(P405&gt;=0,K405,MAX(0,K405+P405)))</f>
        <v>0.648</v>
      </c>
      <c r="R405" s="16" t="n">
        <f aca="false">IF(D405="","",Q405/$B$15)</f>
        <v>0.25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0.653229638980494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3.06680581680983</v>
      </c>
      <c r="Z405" s="18" t="n">
        <f aca="false">IF(D405="","",MAX(0,IF(P405&gt;=0,P405,IF(K405+P405&gt;=0,0,P405+K405))))</f>
        <v>0.653229638980494</v>
      </c>
      <c r="AA405" s="18" t="n">
        <f aca="false">IF(D405="","",IF(H405&lt;=$B$16,1,IF(H405&gt;=$B$17,$B$21,MATCH(H405,Aux_CAV!$A$2:$A$121,1))))</f>
        <v>3</v>
      </c>
      <c r="AB405" s="18" t="n">
        <f aca="false">IF(D405="","",IF(L405&lt;=$B$16,1,IF(L405&gt;=$B$17,$B$21,MATCH(L405,Aux_CAV!$A$2:$A$121,1))))</f>
        <v>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0.00975878895421721</v>
      </c>
      <c r="E406" s="16" t="n">
        <f aca="false">IF(D406="","",D406*$B$15)</f>
        <v>0.025294780969331</v>
      </c>
      <c r="F406" s="16" t="n">
        <f aca="false" t="array" ref="F406:F406">IF(D406="","",IFERROR(INDEX(Dados_Evap!$C$2:$N$15,MATCH($B$9,Dados_Evap!$A$2:$A$15,0),C406),0))</f>
        <v>225.9</v>
      </c>
      <c r="G406" s="16" t="n">
        <f aca="false">IF(F406="","",F406/1000)</f>
        <v>0.2259</v>
      </c>
      <c r="H406" s="16" t="n">
        <f aca="false">IF(D406="","",MAX(0,MIN($B$8,IFERROR(LOOKUP(2,1/($U$24:U405&lt;&gt;""),$U$24:U405),$B$11))))</f>
        <v>0.653229638980494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0.22616709180346</v>
      </c>
      <c r="J406" s="16" t="n">
        <f aca="false">IF(D406="","",$B$12)</f>
        <v>0.25</v>
      </c>
      <c r="K406" s="16" t="n">
        <f aca="false">IF(J406="","",J406*$B$15)</f>
        <v>0.648</v>
      </c>
      <c r="L406" s="16" t="n">
        <f aca="false">IF(D406="","",H406+E406-K406-G406*I406)</f>
        <v>-0.0205667260885767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0</v>
      </c>
      <c r="N406" s="16" t="n">
        <f aca="false">IF(D406="","",(I406+M406)/2)</f>
        <v>0.11308354590173</v>
      </c>
      <c r="O406" s="16" t="n">
        <f aca="false">IF(D406="","",G406*N406)</f>
        <v>0.0255455730192008</v>
      </c>
      <c r="P406" s="16" t="n">
        <f aca="false">IF(D406="","",H406+E406-K406-O406)</f>
        <v>0.00497884693062411</v>
      </c>
      <c r="Q406" s="16" t="n">
        <f aca="false">IF(D406="","",IF(P406&gt;=0,K406,MAX(0,K406+P406)))</f>
        <v>0.648</v>
      </c>
      <c r="R406" s="16" t="n">
        <f aca="false">IF(D406="","",Q406/$B$15)</f>
        <v>0.25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0.00497884693062411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0.0233748682188925</v>
      </c>
      <c r="Z406" s="18" t="n">
        <f aca="false">IF(D406="","",MAX(0,IF(P406&gt;=0,P406,IF(K406+P406&gt;=0,0,P406+K406))))</f>
        <v>0.00497884693062411</v>
      </c>
      <c r="AA406" s="18" t="n">
        <f aca="false">IF(D406="","",IF(H406&lt;=$B$16,1,IF(H406&gt;=$B$17,$B$21,MATCH(H406,Aux_CAV!$A$2:$A$121,1))))</f>
        <v>2</v>
      </c>
      <c r="AB406" s="18" t="n">
        <f aca="false">IF(D406="","",IF(L406&lt;=$B$16,1,IF(L406&gt;=$B$17,$B$21,MATCH(L406,Aux_CAV!$A$2:$A$121,1))))</f>
        <v>1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0.00687052938761157</v>
      </c>
      <c r="E407" s="16" t="n">
        <f aca="false">IF(D407="","",D407*$B$15)</f>
        <v>0.0178084121726892</v>
      </c>
      <c r="F407" s="16" t="n">
        <f aca="false" t="array" ref="F407:F407">IF(D407="","",IFERROR(INDEX(Dados_Evap!$C$2:$N$15,MATCH($B$9,Dados_Evap!$A$2:$A$15,0),C407),0))</f>
        <v>206</v>
      </c>
      <c r="G407" s="16" t="n">
        <f aca="false">IF(F407="","",F407/1000)</f>
        <v>0.206</v>
      </c>
      <c r="H407" s="16" t="n">
        <f aca="false">IF(D407="","",MAX(0,MIN($B$8,IFERROR(LOOKUP(2,1/($U$24:U406&lt;&gt;""),$U$24:U406),$B$11))))</f>
        <v>0.00497884693062411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0.00199153877224964</v>
      </c>
      <c r="J407" s="16" t="n">
        <f aca="false">IF(D407="","",$B$12)</f>
        <v>0.25</v>
      </c>
      <c r="K407" s="16" t="n">
        <f aca="false">IF(J407="","",J407*$B$15)</f>
        <v>0.648</v>
      </c>
      <c r="L407" s="16" t="n">
        <f aca="false">IF(D407="","",H407+E407-K407-G407*I407)</f>
        <v>-0.62562299788377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</v>
      </c>
      <c r="N407" s="16" t="n">
        <f aca="false">IF(D407="","",(I407+M407)/2)</f>
        <v>0.000995769386124822</v>
      </c>
      <c r="O407" s="16" t="n">
        <f aca="false">IF(D407="","",G407*N407)</f>
        <v>0.000205128493541713</v>
      </c>
      <c r="P407" s="16" t="n">
        <f aca="false">IF(D407="","",H407+E407-K407-O407)</f>
        <v>-0.625417869390229</v>
      </c>
      <c r="Q407" s="16" t="n">
        <f aca="false">IF(D407="","",IF(P407&gt;=0,K407,MAX(0,K407+P407)))</f>
        <v>0.0225821306097715</v>
      </c>
      <c r="R407" s="16" t="n">
        <f aca="false">IF(D407="","",Q407/$B$15)</f>
        <v>0.00871224174759705</v>
      </c>
      <c r="S407" s="16" t="n">
        <f aca="false">IF(D407="","",MAX(0,J407-R407))</f>
        <v>0.241287758252403</v>
      </c>
      <c r="T407" s="16" t="n">
        <f aca="false">IF(D407="","",MAX(0,Z407-$B$8))</f>
        <v>0</v>
      </c>
      <c r="U407" s="16" t="n">
        <f aca="false">IF(D407="","",MAX(0,MIN($B$8,Z407)))</f>
        <v>0</v>
      </c>
      <c r="V407" s="16" t="str">
        <f aca="false">IF(D407="","",IF(S407&gt;0.0000001,"Sim","Não"))</f>
        <v>Sim</v>
      </c>
      <c r="W407" s="16" t="n">
        <f aca="false">IF(D407="","",U407-(H407+E407-Q407-O407-T407))</f>
        <v>-4.16062583691312E-017</v>
      </c>
      <c r="X407" s="16" t="n">
        <f aca="false">IF(W407="","",ABS(W407))</f>
        <v>4.16062583691312E-017</v>
      </c>
      <c r="Y407" s="16" t="n">
        <f aca="false">IF(U407="","",IF($B$8=0,0,U407/$B$8*100))</f>
        <v>0</v>
      </c>
      <c r="Z407" s="18" t="n">
        <f aca="false">IF(D407="","",MAX(0,IF(P407&gt;=0,P407,IF(K407+P407&gt;=0,0,P407+K407))))</f>
        <v>0</v>
      </c>
      <c r="AA407" s="18" t="n">
        <f aca="false">IF(D407="","",IF(H407&lt;=$B$16,1,IF(H407&gt;=$B$17,$B$21,MATCH(H407,Aux_CAV!$A$2:$A$121,1))))</f>
        <v>1</v>
      </c>
      <c r="AB407" s="18" t="n">
        <f aca="false">IF(D407="","",IF(L407&lt;=$B$16,1,IF(L407&gt;=$B$17,$B$21,MATCH(L407,Aux_CAV!$A$2:$A$121,1))))</f>
        <v>1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0.0220182123979862</v>
      </c>
      <c r="E408" s="16" t="n">
        <f aca="false">IF(D408="","",D408*$B$15)</f>
        <v>0.0570712065355802</v>
      </c>
      <c r="F408" s="16" t="n">
        <f aca="false" t="array" ref="F408:F408">IF(D408="","",IFERROR(INDEX(Dados_Evap!$C$2:$N$15,MATCH($B$9,Dados_Evap!$A$2:$A$15,0),C408),0))</f>
        <v>165.6</v>
      </c>
      <c r="G408" s="16" t="n">
        <f aca="false">IF(F408="","",F408/1000)</f>
        <v>0.1656</v>
      </c>
      <c r="H408" s="16" t="n">
        <f aca="false">IF(D408="","",MAX(0,MIN($B$8,IFERROR(LOOKUP(2,1/($U$24:U407&lt;&gt;""),$U$24:U407),$B$11))))</f>
        <v>0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</v>
      </c>
      <c r="J408" s="16" t="n">
        <f aca="false">IF(D408="","",$B$12)</f>
        <v>0.25</v>
      </c>
      <c r="K408" s="16" t="n">
        <f aca="false">IF(J408="","",J408*$B$15)</f>
        <v>0.648</v>
      </c>
      <c r="L408" s="16" t="n">
        <f aca="false">IF(D408="","",H408+E408-K408-G408*I408)</f>
        <v>-0.59092879346442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</v>
      </c>
      <c r="N408" s="16" t="n">
        <f aca="false">IF(D408="","",(I408+M408)/2)</f>
        <v>0</v>
      </c>
      <c r="O408" s="16" t="n">
        <f aca="false">IF(D408="","",G408*N408)</f>
        <v>0</v>
      </c>
      <c r="P408" s="16" t="n">
        <f aca="false">IF(D408="","",H408+E408-K408-O408)</f>
        <v>-0.59092879346442</v>
      </c>
      <c r="Q408" s="16" t="n">
        <f aca="false">IF(D408="","",IF(P408&gt;=0,K408,MAX(0,K408+P408)))</f>
        <v>0.0570712065355802</v>
      </c>
      <c r="R408" s="16" t="n">
        <f aca="false">IF(D408="","",Q408/$B$15)</f>
        <v>0.0220182123979862</v>
      </c>
      <c r="S408" s="16" t="n">
        <f aca="false">IF(D408="","",MAX(0,J408-R408))</f>
        <v>0.227981787602014</v>
      </c>
      <c r="T408" s="16" t="n">
        <f aca="false">IF(D408="","",MAX(0,Z408-$B$8))</f>
        <v>0</v>
      </c>
      <c r="U408" s="16" t="n">
        <f aca="false">IF(D408="","",MAX(0,MIN($B$8,Z408)))</f>
        <v>0</v>
      </c>
      <c r="V408" s="16" t="str">
        <f aca="false">IF(D408="","",IF(S408&gt;0.0000001,"Sim","Não"))</f>
        <v>Sim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0</v>
      </c>
      <c r="Z408" s="18" t="n">
        <f aca="false">IF(D408="","",MAX(0,IF(P408&gt;=0,P408,IF(K408+P408&gt;=0,0,P408+K408))))</f>
        <v>0</v>
      </c>
      <c r="AA408" s="18" t="n">
        <f aca="false">IF(D408="","",IF(H408&lt;=$B$16,1,IF(H408&gt;=$B$17,$B$21,MATCH(H408,Aux_CAV!$A$2:$A$121,1))))</f>
        <v>1</v>
      </c>
      <c r="AB408" s="18" t="n">
        <f aca="false">IF(D408="","",IF(L408&lt;=$B$16,1,IF(L408&gt;=$B$17,$B$21,MATCH(L408,Aux_CAV!$A$2:$A$121,1))))</f>
        <v>1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0.0309864116434907</v>
      </c>
      <c r="E409" s="16" t="n">
        <f aca="false">IF(D409="","",D409*$B$15)</f>
        <v>0.0803167789799279</v>
      </c>
      <c r="F409" s="16" t="n">
        <f aca="false" t="array" ref="F409:F409">IF(D409="","",IFERROR(INDEX(Dados_Evap!$C$2:$N$15,MATCH($B$9,Dados_Evap!$A$2:$A$15,0),C409),0))</f>
        <v>124.9</v>
      </c>
      <c r="G409" s="16" t="n">
        <f aca="false">IF(F409="","",F409/1000)</f>
        <v>0.1249</v>
      </c>
      <c r="H409" s="16" t="n">
        <f aca="false">IF(D409="","",MAX(0,MIN($B$8,IFERROR(LOOKUP(2,1/($U$24:U408&lt;&gt;""),$U$24:U408),$B$11))))</f>
        <v>0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</v>
      </c>
      <c r="J409" s="16" t="n">
        <f aca="false">IF(D409="","",$B$12)</f>
        <v>0.25</v>
      </c>
      <c r="K409" s="16" t="n">
        <f aca="false">IF(J409="","",J409*$B$15)</f>
        <v>0.648</v>
      </c>
      <c r="L409" s="16" t="n">
        <f aca="false">IF(D409="","",H409+E409-K409-G409*I409)</f>
        <v>-0.567683221020072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</v>
      </c>
      <c r="N409" s="16" t="n">
        <f aca="false">IF(D409="","",(I409+M409)/2)</f>
        <v>0</v>
      </c>
      <c r="O409" s="16" t="n">
        <f aca="false">IF(D409="","",G409*N409)</f>
        <v>0</v>
      </c>
      <c r="P409" s="16" t="n">
        <f aca="false">IF(D409="","",H409+E409-K409-O409)</f>
        <v>-0.567683221020072</v>
      </c>
      <c r="Q409" s="16" t="n">
        <f aca="false">IF(D409="","",IF(P409&gt;=0,K409,MAX(0,K409+P409)))</f>
        <v>0.0803167789799278</v>
      </c>
      <c r="R409" s="16" t="n">
        <f aca="false">IF(D409="","",Q409/$B$15)</f>
        <v>0.0309864116434907</v>
      </c>
      <c r="S409" s="16" t="n">
        <f aca="false">IF(D409="","",MAX(0,J409-R409))</f>
        <v>0.219013588356509</v>
      </c>
      <c r="T409" s="16" t="n">
        <f aca="false">IF(D409="","",MAX(0,Z409-$B$8))</f>
        <v>0</v>
      </c>
      <c r="U409" s="16" t="n">
        <f aca="false">IF(D409="","",MAX(0,MIN($B$8,Z409)))</f>
        <v>0</v>
      </c>
      <c r="V409" s="16" t="str">
        <f aca="false">IF(D409="","",IF(S409&gt;0.0000001,"Sim","Não"))</f>
        <v>Sim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</v>
      </c>
      <c r="Z409" s="18" t="n">
        <f aca="false">IF(D409="","",MAX(0,IF(P409&gt;=0,P409,IF(K409+P409&gt;=0,0,P409+K409))))</f>
        <v>0</v>
      </c>
      <c r="AA409" s="18" t="n">
        <f aca="false">IF(D409="","",IF(H409&lt;=$B$16,1,IF(H409&gt;=$B$17,$B$21,MATCH(H409,Aux_CAV!$A$2:$A$121,1))))</f>
        <v>1</v>
      </c>
      <c r="AB409" s="18" t="n">
        <f aca="false">IF(D409="","",IF(L409&lt;=$B$16,1,IF(L409&gt;=$B$17,$B$21,MATCH(L409,Aux_CAV!$A$2:$A$121,1))))</f>
        <v>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0.358850044564822</v>
      </c>
      <c r="E410" s="16" t="n">
        <f aca="false">IF(D410="","",D410*$B$15)</f>
        <v>0.930139315512019</v>
      </c>
      <c r="F410" s="16" t="n">
        <f aca="false" t="array" ref="F410:F410">IF(D410="","",IFERROR(INDEX(Dados_Evap!$C$2:$N$15,MATCH($B$9,Dados_Evap!$A$2:$A$15,0),C410),0))</f>
        <v>88.2</v>
      </c>
      <c r="G410" s="16" t="n">
        <f aca="false">IF(F410="","",F410/1000)</f>
        <v>0.0882</v>
      </c>
      <c r="H410" s="16" t="n">
        <f aca="false">IF(D410="","",MAX(0,MIN($B$8,IFERROR(LOOKUP(2,1/($U$24:U409&lt;&gt;""),$U$24:U409),$B$11))))</f>
        <v>0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</v>
      </c>
      <c r="J410" s="16" t="n">
        <f aca="false">IF(D410="","",$B$12)</f>
        <v>0.25</v>
      </c>
      <c r="K410" s="16" t="n">
        <f aca="false">IF(J410="","",J410*$B$15)</f>
        <v>0.648</v>
      </c>
      <c r="L410" s="16" t="n">
        <f aca="false">IF(D410="","",H410+E410-K410-G410*I410)</f>
        <v>0.282139315512019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0.0993387534028418</v>
      </c>
      <c r="N410" s="16" t="n">
        <f aca="false">IF(D410="","",(I410+M410)/2)</f>
        <v>0.0496693767014209</v>
      </c>
      <c r="O410" s="16" t="n">
        <f aca="false">IF(D410="","",G410*N410)</f>
        <v>0.00438083902506533</v>
      </c>
      <c r="P410" s="16" t="n">
        <f aca="false">IF(D410="","",H410+E410-K410-O410)</f>
        <v>0.277758476486953</v>
      </c>
      <c r="Q410" s="16" t="n">
        <f aca="false">IF(D410="","",IF(P410&gt;=0,K410,MAX(0,K410+P410)))</f>
        <v>0.648</v>
      </c>
      <c r="R410" s="16" t="n">
        <f aca="false">IF(D410="","",Q410/$B$15)</f>
        <v>0.25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0.277758476486953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1.30403040604203</v>
      </c>
      <c r="Z410" s="18" t="n">
        <f aca="false">IF(D410="","",MAX(0,IF(P410&gt;=0,P410,IF(K410+P410&gt;=0,0,P410+K410))))</f>
        <v>0.277758476486953</v>
      </c>
      <c r="AA410" s="18" t="n">
        <f aca="false">IF(D410="","",IF(H410&lt;=$B$16,1,IF(H410&gt;=$B$17,$B$21,MATCH(H410,Aux_CAV!$A$2:$A$121,1))))</f>
        <v>1</v>
      </c>
      <c r="AB410" s="18" t="n">
        <f aca="false">IF(D410="","",IF(L410&lt;=$B$16,1,IF(L410&gt;=$B$17,$B$21,MATCH(L410,Aux_CAV!$A$2:$A$121,1))))</f>
        <v>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0.693031987856745</v>
      </c>
      <c r="E411" s="16" t="n">
        <f aca="false">IF(D411="","",D411*$B$15)</f>
        <v>1.79633891252468</v>
      </c>
      <c r="F411" s="16" t="n">
        <f aca="false" t="array" ref="F411:F411">IF(D411="","",IFERROR(INDEX(Dados_Evap!$C$2:$N$15,MATCH($B$9,Dados_Evap!$A$2:$A$15,0),C411),0))</f>
        <v>88.2</v>
      </c>
      <c r="G411" s="16" t="n">
        <f aca="false">IF(F411="","",F411/1000)</f>
        <v>0.0882</v>
      </c>
      <c r="H411" s="16" t="n">
        <f aca="false">IF(D411="","",MAX(0,MIN($B$8,IFERROR(LOOKUP(2,1/($U$24:U410&lt;&gt;""),$U$24:U410),$B$11))))</f>
        <v>0.277758476486953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0.0978415046221233</v>
      </c>
      <c r="J411" s="16" t="n">
        <f aca="false">IF(D411="","",$B$12)</f>
        <v>0.25</v>
      </c>
      <c r="K411" s="16" t="n">
        <f aca="false">IF(J411="","",J411*$B$15)</f>
        <v>0.648</v>
      </c>
      <c r="L411" s="16" t="n">
        <f aca="false">IF(D411="","",H411+E411-K411-G411*I411)</f>
        <v>1.41746776830397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0.371765347724455</v>
      </c>
      <c r="N411" s="16" t="n">
        <f aca="false">IF(D411="","",(I411+M411)/2)</f>
        <v>0.234803426173289</v>
      </c>
      <c r="O411" s="16" t="n">
        <f aca="false">IF(D411="","",G411*N411)</f>
        <v>0.0207096621884841</v>
      </c>
      <c r="P411" s="16" t="n">
        <f aca="false">IF(D411="","",H411+E411-K411-O411)</f>
        <v>1.40538772682315</v>
      </c>
      <c r="Q411" s="16" t="n">
        <f aca="false">IF(D411="","",IF(P411&gt;=0,K411,MAX(0,K411+P411)))</f>
        <v>0.648</v>
      </c>
      <c r="R411" s="16" t="n">
        <f aca="false">IF(D411="","",Q411/$B$15)</f>
        <v>0.25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1.40538772682315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6.59806444517912</v>
      </c>
      <c r="Z411" s="18" t="n">
        <f aca="false">IF(D411="","",MAX(0,IF(P411&gt;=0,P411,IF(K411+P411&gt;=0,0,P411+K411))))</f>
        <v>1.40538772682315</v>
      </c>
      <c r="AA411" s="18" t="n">
        <f aca="false">IF(D411="","",IF(H411&lt;=$B$16,1,IF(H411&gt;=$B$17,$B$21,MATCH(H411,Aux_CAV!$A$2:$A$121,1))))</f>
        <v>2</v>
      </c>
      <c r="AB411" s="18" t="n">
        <f aca="false">IF(D411="","",IF(L411&lt;=$B$16,1,IF(L411&gt;=$B$17,$B$21,MATCH(L411,Aux_CAV!$A$2:$A$121,1))))</f>
        <v>3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0.522234820856529</v>
      </c>
      <c r="E412" s="16" t="n">
        <f aca="false">IF(D412="","",D412*$B$15)</f>
        <v>1.35363265566012</v>
      </c>
      <c r="F412" s="16" t="n">
        <f aca="false" t="array" ref="F412:F412">IF(D412="","",IFERROR(INDEX(Dados_Evap!$C$2:$N$15,MATCH($B$9,Dados_Evap!$A$2:$A$15,0),C412),0))</f>
        <v>83.9</v>
      </c>
      <c r="G412" s="16" t="n">
        <f aca="false">IF(F412="","",F412/1000)</f>
        <v>0.0839</v>
      </c>
      <c r="H412" s="16" t="n">
        <f aca="false">IF(D412="","",MAX(0,MIN($B$8,IFERROR(LOOKUP(2,1/($U$24:U411&lt;&gt;""),$U$24:U411),$B$11))))</f>
        <v>1.40538772682315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0.37005489937319</v>
      </c>
      <c r="J412" s="16" t="n">
        <f aca="false">IF(D412="","",$B$12)</f>
        <v>0.25</v>
      </c>
      <c r="K412" s="16" t="n">
        <f aca="false">IF(J412="","",J412*$B$15)</f>
        <v>0.648</v>
      </c>
      <c r="L412" s="16" t="n">
        <f aca="false">IF(D412="","",H412+E412-K412-G412*I412)</f>
        <v>2.07997277642586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0.465571366573574</v>
      </c>
      <c r="N412" s="16" t="n">
        <f aca="false">IF(D412="","",(I412+M412)/2)</f>
        <v>0.417813132973382</v>
      </c>
      <c r="O412" s="16" t="n">
        <f aca="false">IF(D412="","",G412*N412)</f>
        <v>0.0350545218564667</v>
      </c>
      <c r="P412" s="16" t="n">
        <f aca="false">IF(D412="","",H412+E412-K412-O412)</f>
        <v>2.07596586062681</v>
      </c>
      <c r="Q412" s="16" t="n">
        <f aca="false">IF(D412="","",IF(P412&gt;=0,K412,MAX(0,K412+P412)))</f>
        <v>0.648</v>
      </c>
      <c r="R412" s="16" t="n">
        <f aca="false">IF(D412="","",Q412/$B$15)</f>
        <v>0.25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2.07596586062681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9.74631859449206</v>
      </c>
      <c r="Z412" s="18" t="n">
        <f aca="false">IF(D412="","",MAX(0,IF(P412&gt;=0,P412,IF(K412+P412&gt;=0,0,P412+K412))))</f>
        <v>2.07596586062681</v>
      </c>
      <c r="AA412" s="18" t="n">
        <f aca="false">IF(D412="","",IF(H412&lt;=$B$16,1,IF(H412&gt;=$B$17,$B$21,MATCH(H412,Aux_CAV!$A$2:$A$121,1))))</f>
        <v>3</v>
      </c>
      <c r="AB412" s="18" t="n">
        <f aca="false">IF(D412="","",IF(L412&lt;=$B$16,1,IF(L412&gt;=$B$17,$B$21,MATCH(L412,Aux_CAV!$A$2:$A$121,1))))</f>
        <v>3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0.0751855338940375</v>
      </c>
      <c r="E413" s="16" t="n">
        <f aca="false">IF(D413="","",D413*$B$15)</f>
        <v>0.194880903853345</v>
      </c>
      <c r="F413" s="16" t="n">
        <f aca="false" t="array" ref="F413:F413">IF(D413="","",IFERROR(INDEX(Dados_Evap!$C$2:$N$15,MATCH($B$9,Dados_Evap!$A$2:$A$15,0),C413),0))</f>
        <v>104.7</v>
      </c>
      <c r="G413" s="16" t="n">
        <f aca="false">IF(F413="","",F413/1000)</f>
        <v>0.1047</v>
      </c>
      <c r="H413" s="16" t="n">
        <f aca="false">IF(D413="","",MAX(0,MIN($B$8,IFERROR(LOOKUP(2,1/($U$24:U412&lt;&gt;""),$U$24:U412),$B$11))))</f>
        <v>2.07596586062681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0.465004015663973</v>
      </c>
      <c r="J413" s="16" t="n">
        <f aca="false">IF(D413="","",$B$12)</f>
        <v>0.25</v>
      </c>
      <c r="K413" s="16" t="n">
        <f aca="false">IF(J413="","",J413*$B$15)</f>
        <v>0.648</v>
      </c>
      <c r="L413" s="16" t="n">
        <f aca="false">IF(D413="","",H413+E413-K413-G413*I413)</f>
        <v>1.57416084404014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0.393951977917187</v>
      </c>
      <c r="N413" s="16" t="n">
        <f aca="false">IF(D413="","",(I413+M413)/2)</f>
        <v>0.42947799679058</v>
      </c>
      <c r="O413" s="16" t="n">
        <f aca="false">IF(D413="","",G413*N413)</f>
        <v>0.0449663462639737</v>
      </c>
      <c r="P413" s="16" t="n">
        <f aca="false">IF(D413="","",H413+E413-K413-O413)</f>
        <v>1.57788041821618</v>
      </c>
      <c r="Q413" s="16" t="n">
        <f aca="false">IF(D413="","",IF(P413&gt;=0,K413,MAX(0,K413+P413)))</f>
        <v>0.648</v>
      </c>
      <c r="R413" s="16" t="n">
        <f aca="false">IF(D413="","",Q413/$B$15)</f>
        <v>0.25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1.57788041821618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7.4078892873999</v>
      </c>
      <c r="Z413" s="18" t="n">
        <f aca="false">IF(D413="","",MAX(0,IF(P413&gt;=0,P413,IF(K413+P413&gt;=0,0,P413+K413))))</f>
        <v>1.57788041821618</v>
      </c>
      <c r="AA413" s="18" t="n">
        <f aca="false">IF(D413="","",IF(H413&lt;=$B$16,1,IF(H413&gt;=$B$17,$B$21,MATCH(H413,Aux_CAV!$A$2:$A$121,1))))</f>
        <v>3</v>
      </c>
      <c r="AB413" s="18" t="n">
        <f aca="false">IF(D413="","",IF(L413&lt;=$B$16,1,IF(L413&gt;=$B$17,$B$21,MATCH(L413,Aux_CAV!$A$2:$A$121,1))))</f>
        <v>3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0.0501108802791307</v>
      </c>
      <c r="E414" s="16" t="n">
        <f aca="false">IF(D414="","",D414*$B$15)</f>
        <v>0.129887401683507</v>
      </c>
      <c r="F414" s="16" t="n">
        <f aca="false" t="array" ref="F414:F414">IF(D414="","",IFERROR(INDEX(Dados_Evap!$C$2:$N$15,MATCH($B$9,Dados_Evap!$A$2:$A$15,0),C414),0))</f>
        <v>145.2</v>
      </c>
      <c r="G414" s="16" t="n">
        <f aca="false">IF(F414="","",F414/1000)</f>
        <v>0.1452</v>
      </c>
      <c r="H414" s="16" t="n">
        <f aca="false">IF(D414="","",MAX(0,MIN($B$8,IFERROR(LOOKUP(2,1/($U$24:U413&lt;&gt;""),$U$24:U413),$B$11))))</f>
        <v>1.57788041821618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0.394478643287247</v>
      </c>
      <c r="J414" s="16" t="n">
        <f aca="false">IF(D414="","",$B$12)</f>
        <v>0.25</v>
      </c>
      <c r="K414" s="16" t="n">
        <f aca="false">IF(J414="","",J414*$B$15)</f>
        <v>0.648</v>
      </c>
      <c r="L414" s="16" t="n">
        <f aca="false">IF(D414="","",H414+E414-K414-G414*I414)</f>
        <v>1.00248952089438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0.313007365790354</v>
      </c>
      <c r="N414" s="16" t="n">
        <f aca="false">IF(D414="","",(I414+M414)/2)</f>
        <v>0.353743004538801</v>
      </c>
      <c r="O414" s="16" t="n">
        <f aca="false">IF(D414="","",G414*N414)</f>
        <v>0.0513634842590338</v>
      </c>
      <c r="P414" s="16" t="n">
        <f aca="false">IF(D414="","",H414+E414-K414-O414)</f>
        <v>1.00840433564065</v>
      </c>
      <c r="Q414" s="16" t="n">
        <f aca="false">IF(D414="","",IF(P414&gt;=0,K414,MAX(0,K414+P414)))</f>
        <v>0.648</v>
      </c>
      <c r="R414" s="16" t="n">
        <f aca="false">IF(D414="","",Q414/$B$15)</f>
        <v>0.25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1.00840433564065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4.73429265558992</v>
      </c>
      <c r="Z414" s="18" t="n">
        <f aca="false">IF(D414="","",MAX(0,IF(P414&gt;=0,P414,IF(K414+P414&gt;=0,0,P414+K414))))</f>
        <v>1.00840433564065</v>
      </c>
      <c r="AA414" s="18" t="n">
        <f aca="false">IF(D414="","",IF(H414&lt;=$B$16,1,IF(H414&gt;=$B$17,$B$21,MATCH(H414,Aux_CAV!$A$2:$A$121,1))))</f>
        <v>3</v>
      </c>
      <c r="AB414" s="18" t="n">
        <f aca="false">IF(D414="","",IF(L414&lt;=$B$16,1,IF(L414&gt;=$B$17,$B$21,MATCH(L414,Aux_CAV!$A$2:$A$121,1))))</f>
        <v>3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0.039102198121937</v>
      </c>
      <c r="E415" s="16" t="n">
        <f aca="false">IF(D415="","",D415*$B$15)</f>
        <v>0.101352897532061</v>
      </c>
      <c r="F415" s="16" t="n">
        <f aca="false" t="array" ref="F415:F415">IF(D415="","",IFERROR(INDEX(Dados_Evap!$C$2:$N$15,MATCH($B$9,Dados_Evap!$A$2:$A$15,0),C415),0))</f>
        <v>180.9</v>
      </c>
      <c r="G415" s="16" t="n">
        <f aca="false">IF(F415="","",F415/1000)</f>
        <v>0.1809</v>
      </c>
      <c r="H415" s="16" t="n">
        <f aca="false">IF(D415="","",MAX(0,MIN($B$8,IFERROR(LOOKUP(2,1/($U$24:U414&lt;&gt;""),$U$24:U414),$B$11))))</f>
        <v>1.00840433564065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0.313844861683632</v>
      </c>
      <c r="J415" s="16" t="n">
        <f aca="false">IF(D415="","",$B$12)</f>
        <v>0.25</v>
      </c>
      <c r="K415" s="16" t="n">
        <f aca="false">IF(J415="","",J415*$B$15)</f>
        <v>0.648</v>
      </c>
      <c r="L415" s="16" t="n">
        <f aca="false">IF(D415="","",H415+E415-K415-G415*I415)</f>
        <v>0.404982697694144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0.141323200477745</v>
      </c>
      <c r="N415" s="16" t="n">
        <f aca="false">IF(D415="","",(I415+M415)/2)</f>
        <v>0.227584031080689</v>
      </c>
      <c r="O415" s="16" t="n">
        <f aca="false">IF(D415="","",G415*N415)</f>
        <v>0.0411699512224966</v>
      </c>
      <c r="P415" s="16" t="n">
        <f aca="false">IF(D415="","",H415+E415-K415-O415)</f>
        <v>0.420587281950216</v>
      </c>
      <c r="Q415" s="16" t="n">
        <f aca="false">IF(D415="","",IF(P415&gt;=0,K415,MAX(0,K415+P415)))</f>
        <v>0.648</v>
      </c>
      <c r="R415" s="16" t="n">
        <f aca="false">IF(D415="","",Q415/$B$15)</f>
        <v>0.25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0.420587281950216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1.97458817817003</v>
      </c>
      <c r="Z415" s="18" t="n">
        <f aca="false">IF(D415="","",MAX(0,IF(P415&gt;=0,P415,IF(K415+P415&gt;=0,0,P415+K415))))</f>
        <v>0.420587281950216</v>
      </c>
      <c r="AA415" s="18" t="n">
        <f aca="false">IF(D415="","",IF(H415&lt;=$B$16,1,IF(H415&gt;=$B$17,$B$21,MATCH(H415,Aux_CAV!$A$2:$A$121,1))))</f>
        <v>3</v>
      </c>
      <c r="AB415" s="18" t="n">
        <f aca="false">IF(D415="","",IF(L415&lt;=$B$16,1,IF(L415&gt;=$B$17,$B$21,MATCH(L415,Aux_CAV!$A$2:$A$121,1))))</f>
        <v>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0.0237729587325712</v>
      </c>
      <c r="E416" s="16" t="n">
        <f aca="false">IF(D416="","",D416*$B$15)</f>
        <v>0.0616195090348246</v>
      </c>
      <c r="F416" s="16" t="n">
        <f aca="false" t="array" ref="F416:F416">IF(D416="","",IFERROR(INDEX(Dados_Evap!$C$2:$N$15,MATCH($B$9,Dados_Evap!$A$2:$A$15,0),C416),0))</f>
        <v>208.9</v>
      </c>
      <c r="G416" s="16" t="n">
        <f aca="false">IF(F416="","",F416/1000)</f>
        <v>0.2089</v>
      </c>
      <c r="H416" s="16" t="n">
        <f aca="false">IF(D416="","",MAX(0,MIN($B$8,IFERROR(LOOKUP(2,1/($U$24:U415&lt;&gt;""),$U$24:U415),$B$11))))</f>
        <v>0.420587281950216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0.146656412818428</v>
      </c>
      <c r="J416" s="16" t="n">
        <f aca="false">IF(D416="","",$B$12)</f>
        <v>0.25</v>
      </c>
      <c r="K416" s="16" t="n">
        <f aca="false">IF(J416="","",J416*$B$15)</f>
        <v>0.648</v>
      </c>
      <c r="L416" s="16" t="n">
        <f aca="false">IF(D416="","",H416+E416-K416-G416*I416)</f>
        <v>-0.196429733652729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0.0733282064092141</v>
      </c>
      <c r="O416" s="16" t="n">
        <f aca="false">IF(D416="","",G416*N416)</f>
        <v>0.0153182623188848</v>
      </c>
      <c r="P416" s="16" t="n">
        <f aca="false">IF(D416="","",H416+E416-K416-O416)</f>
        <v>-0.181111471333844</v>
      </c>
      <c r="Q416" s="16" t="n">
        <f aca="false">IF(D416="","",IF(P416&gt;=0,K416,MAX(0,K416+P416)))</f>
        <v>0.466888528666156</v>
      </c>
      <c r="R416" s="16" t="n">
        <f aca="false">IF(D416="","",Q416/$B$15)</f>
        <v>0.180126747170585</v>
      </c>
      <c r="S416" s="16" t="n">
        <f aca="false">IF(D416="","",MAX(0,J416-R416))</f>
        <v>0.0698732528294152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2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0.0161663505668718</v>
      </c>
      <c r="E417" s="16" t="n">
        <f aca="false">IF(D417="","",D417*$B$15)</f>
        <v>0.0419031806693317</v>
      </c>
      <c r="F417" s="16" t="n">
        <f aca="false" t="array" ref="F417:F417">IF(D417="","",IFERROR(INDEX(Dados_Evap!$C$2:$N$15,MATCH($B$9,Dados_Evap!$A$2:$A$15,0),C417),0))</f>
        <v>235.9</v>
      </c>
      <c r="G417" s="16" t="n">
        <f aca="false">IF(F417="","",F417/1000)</f>
        <v>0.2359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0.25</v>
      </c>
      <c r="K417" s="16" t="n">
        <f aca="false">IF(J417="","",J417*$B$15)</f>
        <v>0.648</v>
      </c>
      <c r="L417" s="16" t="n">
        <f aca="false">IF(D417="","",H417+E417-K417-G417*I417)</f>
        <v>-0.606096819330668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-0.606096819330668</v>
      </c>
      <c r="Q417" s="16" t="n">
        <f aca="false">IF(D417="","",IF(P417&gt;=0,K417,MAX(0,K417+P417)))</f>
        <v>0.0419031806693317</v>
      </c>
      <c r="R417" s="16" t="n">
        <f aca="false">IF(D417="","",Q417/$B$15)</f>
        <v>0.0161663505668718</v>
      </c>
      <c r="S417" s="16" t="n">
        <f aca="false">IF(D417="","",MAX(0,J417-R417))</f>
        <v>0.233833649433128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0.00869261781573047</v>
      </c>
      <c r="E418" s="16" t="n">
        <f aca="false">IF(D418="","",D418*$B$15)</f>
        <v>0.0225312653783734</v>
      </c>
      <c r="F418" s="16" t="n">
        <f aca="false" t="array" ref="F418:F418">IF(D418="","",IFERROR(INDEX(Dados_Evap!$C$2:$N$15,MATCH($B$9,Dados_Evap!$A$2:$A$15,0),C418),0))</f>
        <v>225.9</v>
      </c>
      <c r="G418" s="16" t="n">
        <f aca="false">IF(F418="","",F418/1000)</f>
        <v>0.2259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0.25</v>
      </c>
      <c r="K418" s="16" t="n">
        <f aca="false">IF(J418="","",J418*$B$15)</f>
        <v>0.648</v>
      </c>
      <c r="L418" s="16" t="n">
        <f aca="false">IF(D418="","",H418+E418-K418-G418*I418)</f>
        <v>-0.625468734621627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-0.625468734621627</v>
      </c>
      <c r="Q418" s="16" t="n">
        <f aca="false">IF(D418="","",IF(P418&gt;=0,K418,MAX(0,K418+P418)))</f>
        <v>0.0225312653783734</v>
      </c>
      <c r="R418" s="16" t="n">
        <f aca="false">IF(D418="","",Q418/$B$15)</f>
        <v>0.00869261781573046</v>
      </c>
      <c r="S418" s="16" t="n">
        <f aca="false">IF(D418="","",MAX(0,J418-R418))</f>
        <v>0.24130738218427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0.0388080228494483</v>
      </c>
      <c r="E419" s="16" t="n">
        <f aca="false">IF(D419="","",D419*$B$15)</f>
        <v>0.10059039522577</v>
      </c>
      <c r="F419" s="16" t="n">
        <f aca="false" t="array" ref="F419:F419">IF(D419="","",IFERROR(INDEX(Dados_Evap!$C$2:$N$15,MATCH($B$9,Dados_Evap!$A$2:$A$15,0),C419),0))</f>
        <v>206</v>
      </c>
      <c r="G419" s="16" t="n">
        <f aca="false">IF(F419="","",F419/1000)</f>
        <v>0.206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0.25</v>
      </c>
      <c r="K419" s="16" t="n">
        <f aca="false">IF(J419="","",J419*$B$15)</f>
        <v>0.648</v>
      </c>
      <c r="L419" s="16" t="n">
        <f aca="false">IF(D419="","",H419+E419-K419-G419*I419)</f>
        <v>-0.54740960477423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-0.54740960477423</v>
      </c>
      <c r="Q419" s="16" t="n">
        <f aca="false">IF(D419="","",IF(P419&gt;=0,K419,MAX(0,K419+P419)))</f>
        <v>0.10059039522577</v>
      </c>
      <c r="R419" s="16" t="n">
        <f aca="false">IF(D419="","",Q419/$B$15)</f>
        <v>0.0388080228494483</v>
      </c>
      <c r="S419" s="16" t="n">
        <f aca="false">IF(D419="","",MAX(0,J419-R419))</f>
        <v>0.211191977150552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0.117066381481426</v>
      </c>
      <c r="E420" s="16" t="n">
        <f aca="false">IF(D420="","",D420*$B$15)</f>
        <v>0.303436060799856</v>
      </c>
      <c r="F420" s="16" t="n">
        <f aca="false" t="array" ref="F420:F420">IF(D420="","",IFERROR(INDEX(Dados_Evap!$C$2:$N$15,MATCH($B$9,Dados_Evap!$A$2:$A$15,0),C420),0))</f>
        <v>165.6</v>
      </c>
      <c r="G420" s="16" t="n">
        <f aca="false">IF(F420="","",F420/1000)</f>
        <v>0.1656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0.25</v>
      </c>
      <c r="K420" s="16" t="n">
        <f aca="false">IF(J420="","",J420*$B$15)</f>
        <v>0.648</v>
      </c>
      <c r="L420" s="16" t="n">
        <f aca="false">IF(D420="","",H420+E420-K420-G420*I420)</f>
        <v>-0.344563939200144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-0.344563939200144</v>
      </c>
      <c r="Q420" s="16" t="n">
        <f aca="false">IF(D420="","",IF(P420&gt;=0,K420,MAX(0,K420+P420)))</f>
        <v>0.303436060799856</v>
      </c>
      <c r="R420" s="16" t="n">
        <f aca="false">IF(D420="","",Q420/$B$15)</f>
        <v>0.117066381481426</v>
      </c>
      <c r="S420" s="16" t="n">
        <f aca="false">IF(D420="","",MAX(0,J420-R420))</f>
        <v>0.132933618518574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0.195626356827666</v>
      </c>
      <c r="E421" s="16" t="n">
        <f aca="false">IF(D421="","",D421*$B$15)</f>
        <v>0.50706351689731</v>
      </c>
      <c r="F421" s="16" t="n">
        <f aca="false" t="array" ref="F421:F421">IF(D421="","",IFERROR(INDEX(Dados_Evap!$C$2:$N$15,MATCH($B$9,Dados_Evap!$A$2:$A$15,0),C421),0))</f>
        <v>124.9</v>
      </c>
      <c r="G421" s="16" t="n">
        <f aca="false">IF(F421="","",F421/1000)</f>
        <v>0.1249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0.25</v>
      </c>
      <c r="K421" s="16" t="n">
        <f aca="false">IF(J421="","",J421*$B$15)</f>
        <v>0.648</v>
      </c>
      <c r="L421" s="16" t="n">
        <f aca="false">IF(D421="","",H421+E421-K421-G421*I421)</f>
        <v>-0.14093648310269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-0.14093648310269</v>
      </c>
      <c r="Q421" s="16" t="n">
        <f aca="false">IF(D421="","",IF(P421&gt;=0,K421,MAX(0,K421+P421)))</f>
        <v>0.50706351689731</v>
      </c>
      <c r="R421" s="16" t="n">
        <f aca="false">IF(D421="","",Q421/$B$15)</f>
        <v>0.195626356827666</v>
      </c>
      <c r="S421" s="16" t="n">
        <f aca="false">IF(D421="","",MAX(0,J421-R421))</f>
        <v>0.054373643172334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0.610189641394621</v>
      </c>
      <c r="E422" s="16" t="n">
        <f aca="false">IF(D422="","",D422*$B$15)</f>
        <v>1.58161155049486</v>
      </c>
      <c r="F422" s="16" t="n">
        <f aca="false" t="array" ref="F422:F422">IF(D422="","",IFERROR(INDEX(Dados_Evap!$C$2:$N$15,MATCH($B$9,Dados_Evap!$A$2:$A$15,0),C422),0))</f>
        <v>88.2</v>
      </c>
      <c r="G422" s="16" t="n">
        <f aca="false">IF(F422="","",F422/1000)</f>
        <v>0.0882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0.25</v>
      </c>
      <c r="K422" s="16" t="n">
        <f aca="false">IF(J422="","",J422*$B$15)</f>
        <v>0.648</v>
      </c>
      <c r="L422" s="16" t="n">
        <f aca="false">IF(D422="","",H422+E422-K422-G422*I422)</f>
        <v>0.933611550494858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0.303254732813431</v>
      </c>
      <c r="N422" s="16" t="n">
        <f aca="false">IF(D422="","",(I422+M422)/2)</f>
        <v>0.151627366406716</v>
      </c>
      <c r="O422" s="16" t="n">
        <f aca="false">IF(D422="","",G422*N422)</f>
        <v>0.0133735337170723</v>
      </c>
      <c r="P422" s="16" t="n">
        <f aca="false">IF(D422="","",H422+E422-K422-O422)</f>
        <v>0.920238016777785</v>
      </c>
      <c r="Q422" s="16" t="n">
        <f aca="false">IF(D422="","",IF(P422&gt;=0,K422,MAX(0,K422+P422)))</f>
        <v>0.648</v>
      </c>
      <c r="R422" s="16" t="n">
        <f aca="false">IF(D422="","",Q422/$B$15)</f>
        <v>0.25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0.920238016777785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4.32036627595204</v>
      </c>
      <c r="Z422" s="18" t="n">
        <f aca="false">IF(D422="","",MAX(0,IF(P422&gt;=0,P422,IF(K422+P422&gt;=0,0,P422+K422))))</f>
        <v>0.920238016777785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3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0.671682539802785</v>
      </c>
      <c r="E423" s="16" t="n">
        <f aca="false">IF(D423="","",D423*$B$15)</f>
        <v>1.74100114316882</v>
      </c>
      <c r="F423" s="16" t="n">
        <f aca="false" t="array" ref="F423:F423">IF(D423="","",IFERROR(INDEX(Dados_Evap!$C$2:$N$15,MATCH($B$9,Dados_Evap!$A$2:$A$15,0),C423),0))</f>
        <v>88.2</v>
      </c>
      <c r="G423" s="16" t="n">
        <f aca="false">IF(F423="","",F423/1000)</f>
        <v>0.0882</v>
      </c>
      <c r="H423" s="16" t="n">
        <f aca="false">IF(D423="","",MAX(0,MIN($B$8,IFERROR(LOOKUP(2,1/($U$24:U422&lt;&gt;""),$U$24:U422),$B$11))))</f>
        <v>0.920238016777785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0.301361135118978</v>
      </c>
      <c r="J423" s="16" t="n">
        <f aca="false">IF(D423="","",$B$12)</f>
        <v>0.25</v>
      </c>
      <c r="K423" s="16" t="n">
        <f aca="false">IF(J423="","",J423*$B$15)</f>
        <v>0.648</v>
      </c>
      <c r="L423" s="16" t="n">
        <f aca="false">IF(D423="","",H423+E423-K423-G423*I423)</f>
        <v>1.98665910782911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0.452358811728016</v>
      </c>
      <c r="N423" s="16" t="n">
        <f aca="false">IF(D423="","",(I423+M423)/2)</f>
        <v>0.376859973423497</v>
      </c>
      <c r="O423" s="16" t="n">
        <f aca="false">IF(D423="","",G423*N423)</f>
        <v>0.0332390496559524</v>
      </c>
      <c r="P423" s="16" t="n">
        <f aca="false">IF(D423="","",H423+E423-K423-O423)</f>
        <v>1.98000011029065</v>
      </c>
      <c r="Q423" s="16" t="n">
        <f aca="false">IF(D423="","",IF(P423&gt;=0,K423,MAX(0,K423+P423)))</f>
        <v>0.648</v>
      </c>
      <c r="R423" s="16" t="n">
        <f aca="false">IF(D423="","",Q423/$B$15)</f>
        <v>0.25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1.98000011029065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9.29577516568381</v>
      </c>
      <c r="Z423" s="18" t="n">
        <f aca="false">IF(D423="","",MAX(0,IF(P423&gt;=0,P423,IF(K423+P423&gt;=0,0,P423+K423))))</f>
        <v>1.98000011029065</v>
      </c>
      <c r="AA423" s="18" t="n">
        <f aca="false">IF(D423="","",IF(H423&lt;=$B$16,1,IF(H423&gt;=$B$17,$B$21,MATCH(H423,Aux_CAV!$A$2:$A$121,1))))</f>
        <v>3</v>
      </c>
      <c r="AB423" s="18" t="n">
        <f aca="false">IF(D423="","",IF(L423&lt;=$B$16,1,IF(L423&gt;=$B$17,$B$21,MATCH(L423,Aux_CAV!$A$2:$A$121,1))))</f>
        <v>3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0.241869871629241</v>
      </c>
      <c r="E424" s="16" t="n">
        <f aca="false">IF(D424="","",D424*$B$15)</f>
        <v>0.626926707262993</v>
      </c>
      <c r="F424" s="16" t="n">
        <f aca="false" t="array" ref="F424:F424">IF(D424="","",IFERROR(INDEX(Dados_Evap!$C$2:$N$15,MATCH($B$9,Dados_Evap!$A$2:$A$15,0),C424),0))</f>
        <v>83.9</v>
      </c>
      <c r="G424" s="16" t="n">
        <f aca="false">IF(F424="","",F424/1000)</f>
        <v>0.0839</v>
      </c>
      <c r="H424" s="16" t="n">
        <f aca="false">IF(D424="","",MAX(0,MIN($B$8,IFERROR(LOOKUP(2,1/($U$24:U423&lt;&gt;""),$U$24:U423),$B$11))))</f>
        <v>1.98000011029065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0.451415944819915</v>
      </c>
      <c r="J424" s="16" t="n">
        <f aca="false">IF(D424="","",$B$12)</f>
        <v>0.25</v>
      </c>
      <c r="K424" s="16" t="n">
        <f aca="false">IF(J424="","",J424*$B$15)</f>
        <v>0.648</v>
      </c>
      <c r="L424" s="16" t="n">
        <f aca="false">IF(D424="","",H424+E424-K424-G424*I424)</f>
        <v>1.92105301978325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0.443069454128602</v>
      </c>
      <c r="N424" s="16" t="n">
        <f aca="false">IF(D424="","",(I424+M424)/2)</f>
        <v>0.447242699474259</v>
      </c>
      <c r="O424" s="16" t="n">
        <f aca="false">IF(D424="","",G424*N424)</f>
        <v>0.0375236624858903</v>
      </c>
      <c r="P424" s="16" t="n">
        <f aca="false">IF(D424="","",H424+E424-K424-O424)</f>
        <v>1.92140315506775</v>
      </c>
      <c r="Q424" s="16" t="n">
        <f aca="false">IF(D424="","",IF(P424&gt;=0,K424,MAX(0,K424+P424)))</f>
        <v>0.648</v>
      </c>
      <c r="R424" s="16" t="n">
        <f aca="false">IF(D424="","",Q424/$B$15)</f>
        <v>0.25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1.92140315506775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9.02067208951997</v>
      </c>
      <c r="Z424" s="18" t="n">
        <f aca="false">IF(D424="","",MAX(0,IF(P424&gt;=0,P424,IF(K424+P424&gt;=0,0,P424+K424))))</f>
        <v>1.92140315506775</v>
      </c>
      <c r="AA424" s="18" t="n">
        <f aca="false">IF(D424="","",IF(H424&lt;=$B$16,1,IF(H424&gt;=$B$17,$B$21,MATCH(H424,Aux_CAV!$A$2:$A$121,1))))</f>
        <v>3</v>
      </c>
      <c r="AB424" s="18" t="n">
        <f aca="false">IF(D424="","",IF(L424&lt;=$B$16,1,IF(L424&gt;=$B$17,$B$21,MATCH(L424,Aux_CAV!$A$2:$A$121,1))))</f>
        <v>3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0.0815415745038523</v>
      </c>
      <c r="E425" s="16" t="n">
        <f aca="false">IF(D425="","",D425*$B$15)</f>
        <v>0.211355761113985</v>
      </c>
      <c r="F425" s="16" t="n">
        <f aca="false" t="array" ref="F425:F425">IF(D425="","",IFERROR(INDEX(Dados_Evap!$C$2:$N$15,MATCH($B$9,Dados_Evap!$A$2:$A$15,0),C425),0))</f>
        <v>104.7</v>
      </c>
      <c r="G425" s="16" t="n">
        <f aca="false">IF(F425="","",F425/1000)</f>
        <v>0.1047</v>
      </c>
      <c r="H425" s="16" t="n">
        <f aca="false">IF(D425="","",MAX(0,MIN($B$8,IFERROR(LOOKUP(2,1/($U$24:U424&lt;&gt;""),$U$24:U424),$B$11))))</f>
        <v>1.92140315506775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0.443119030806054</v>
      </c>
      <c r="J425" s="16" t="n">
        <f aca="false">IF(D425="","",$B$12)</f>
        <v>0.25</v>
      </c>
      <c r="K425" s="16" t="n">
        <f aca="false">IF(J425="","",J425*$B$15)</f>
        <v>0.648</v>
      </c>
      <c r="L425" s="16" t="n">
        <f aca="false">IF(D425="","",H425+E425-K425-G425*I425)</f>
        <v>1.43836435365634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0.374724156269925</v>
      </c>
      <c r="N425" s="16" t="n">
        <f aca="false">IF(D425="","",(I425+M425)/2)</f>
        <v>0.408921593537989</v>
      </c>
      <c r="O425" s="16" t="n">
        <f aca="false">IF(D425="","",G425*N425)</f>
        <v>0.0428140908434275</v>
      </c>
      <c r="P425" s="16" t="n">
        <f aca="false">IF(D425="","",H425+E425-K425-O425)</f>
        <v>1.44194482533831</v>
      </c>
      <c r="Q425" s="16" t="n">
        <f aca="false">IF(D425="","",IF(P425&gt;=0,K425,MAX(0,K425+P425)))</f>
        <v>0.648</v>
      </c>
      <c r="R425" s="16" t="n">
        <f aca="false">IF(D425="","",Q425/$B$15)</f>
        <v>0.25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1.44194482533831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6.76969401567282</v>
      </c>
      <c r="Z425" s="18" t="n">
        <f aca="false">IF(D425="","",MAX(0,IF(P425&gt;=0,P425,IF(K425+P425&gt;=0,0,P425+K425))))</f>
        <v>1.44194482533831</v>
      </c>
      <c r="AA425" s="18" t="n">
        <f aca="false">IF(D425="","",IF(H425&lt;=$B$16,1,IF(H425&gt;=$B$17,$B$21,MATCH(H425,Aux_CAV!$A$2:$A$121,1))))</f>
        <v>3</v>
      </c>
      <c r="AB425" s="18" t="n">
        <f aca="false">IF(D425="","",IF(L425&lt;=$B$16,1,IF(L425&gt;=$B$17,$B$21,MATCH(L425,Aux_CAV!$A$2:$A$121,1))))</f>
        <v>3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0.116109258000489</v>
      </c>
      <c r="E426" s="16" t="n">
        <f aca="false">IF(D426="","",D426*$B$15)</f>
        <v>0.300955196737268</v>
      </c>
      <c r="F426" s="16" t="n">
        <f aca="false" t="array" ref="F426:F426">IF(D426="","",IFERROR(INDEX(Dados_Evap!$C$2:$N$15,MATCH($B$9,Dados_Evap!$A$2:$A$15,0),C426),0))</f>
        <v>145.2</v>
      </c>
      <c r="G426" s="16" t="n">
        <f aca="false">IF(F426="","",F426/1000)</f>
        <v>0.1452</v>
      </c>
      <c r="H426" s="16" t="n">
        <f aca="false">IF(D426="","",MAX(0,MIN($B$8,IFERROR(LOOKUP(2,1/($U$24:U425&lt;&gt;""),$U$24:U425),$B$11))))</f>
        <v>1.44194482533831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0.375231125711619</v>
      </c>
      <c r="J426" s="16" t="n">
        <f aca="false">IF(D426="","",$B$12)</f>
        <v>0.25</v>
      </c>
      <c r="K426" s="16" t="n">
        <f aca="false">IF(J426="","",J426*$B$15)</f>
        <v>0.648</v>
      </c>
      <c r="L426" s="16" t="n">
        <f aca="false">IF(D426="","",H426+E426-K426-G426*I426)</f>
        <v>1.04041646262225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0.318377552229699</v>
      </c>
      <c r="N426" s="16" t="n">
        <f aca="false">IF(D426="","",(I426+M426)/2)</f>
        <v>0.346804338970659</v>
      </c>
      <c r="O426" s="16" t="n">
        <f aca="false">IF(D426="","",G426*N426)</f>
        <v>0.0503559900185397</v>
      </c>
      <c r="P426" s="16" t="n">
        <f aca="false">IF(D426="","",H426+E426-K426-O426)</f>
        <v>1.04454403205704</v>
      </c>
      <c r="Q426" s="16" t="n">
        <f aca="false">IF(D426="","",IF(P426&gt;=0,K426,MAX(0,K426+P426)))</f>
        <v>0.648</v>
      </c>
      <c r="R426" s="16" t="n">
        <f aca="false">IF(D426="","",Q426/$B$15)</f>
        <v>0.25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1.04454403205704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4.90396259181708</v>
      </c>
      <c r="Z426" s="18" t="n">
        <f aca="false">IF(D426="","",MAX(0,IF(P426&gt;=0,P426,IF(K426+P426&gt;=0,0,P426+K426))))</f>
        <v>1.04454403205704</v>
      </c>
      <c r="AA426" s="18" t="n">
        <f aca="false">IF(D426="","",IF(H426&lt;=$B$16,1,IF(H426&gt;=$B$17,$B$21,MATCH(H426,Aux_CAV!$A$2:$A$121,1))))</f>
        <v>3</v>
      </c>
      <c r="AB426" s="18" t="n">
        <f aca="false">IF(D426="","",IF(L426&lt;=$B$16,1,IF(L426&gt;=$B$17,$B$21,MATCH(L426,Aux_CAV!$A$2:$A$121,1))))</f>
        <v>3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0.0388103780474903</v>
      </c>
      <c r="E427" s="16" t="n">
        <f aca="false">IF(D427="","",D427*$B$15)</f>
        <v>0.100596499899095</v>
      </c>
      <c r="F427" s="16" t="n">
        <f aca="false" t="array" ref="F427:F427">IF(D427="","",IFERROR(INDEX(Dados_Evap!$C$2:$N$15,MATCH($B$9,Dados_Evap!$A$2:$A$15,0),C427),0))</f>
        <v>180.9</v>
      </c>
      <c r="G427" s="16" t="n">
        <f aca="false">IF(F427="","",F427/1000)</f>
        <v>0.1809</v>
      </c>
      <c r="H427" s="16" t="n">
        <f aca="false">IF(D427="","",MAX(0,MIN($B$8,IFERROR(LOOKUP(2,1/($U$24:U426&lt;&gt;""),$U$24:U426),$B$11))))</f>
        <v>1.04454403205704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0.318961986839935</v>
      </c>
      <c r="J427" s="16" t="n">
        <f aca="false">IF(D427="","",$B$12)</f>
        <v>0.25</v>
      </c>
      <c r="K427" s="16" t="n">
        <f aca="false">IF(J427="","",J427*$B$15)</f>
        <v>0.648</v>
      </c>
      <c r="L427" s="16" t="n">
        <f aca="false">IF(D427="","",H427+E427-K427-G427*I427)</f>
        <v>0.43944030853679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0.153099852284726</v>
      </c>
      <c r="N427" s="16" t="n">
        <f aca="false">IF(D427="","",(I427+M427)/2)</f>
        <v>0.23603091956233</v>
      </c>
      <c r="O427" s="16" t="n">
        <f aca="false">IF(D427="","",G427*N427)</f>
        <v>0.0426979933488255</v>
      </c>
      <c r="P427" s="16" t="n">
        <f aca="false">IF(D427="","",H427+E427-K427-O427)</f>
        <v>0.454442538607308</v>
      </c>
      <c r="Q427" s="16" t="n">
        <f aca="false">IF(D427="","",IF(P427&gt;=0,K427,MAX(0,K427+P427)))</f>
        <v>0.648</v>
      </c>
      <c r="R427" s="16" t="n">
        <f aca="false">IF(D427="","",Q427/$B$15)</f>
        <v>0.25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0.454442538607308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2.13353304510473</v>
      </c>
      <c r="Z427" s="18" t="n">
        <f aca="false">IF(D427="","",MAX(0,IF(P427&gt;=0,P427,IF(K427+P427&gt;=0,0,P427+K427))))</f>
        <v>0.454442538607308</v>
      </c>
      <c r="AA427" s="18" t="n">
        <f aca="false">IF(D427="","",IF(H427&lt;=$B$16,1,IF(H427&gt;=$B$17,$B$21,MATCH(H427,Aux_CAV!$A$2:$A$121,1))))</f>
        <v>3</v>
      </c>
      <c r="AB427" s="18" t="n">
        <f aca="false">IF(D427="","",IF(L427&lt;=$B$16,1,IF(L427&gt;=$B$17,$B$21,MATCH(L427,Aux_CAV!$A$2:$A$121,1))))</f>
        <v>2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0.0244249617537916</v>
      </c>
      <c r="E428" s="16" t="n">
        <f aca="false">IF(D428="","",D428*$B$15)</f>
        <v>0.0633095008658278</v>
      </c>
      <c r="F428" s="16" t="n">
        <f aca="false" t="array" ref="F428:F428">IF(D428="","",IFERROR(INDEX(Dados_Evap!$C$2:$N$15,MATCH($B$9,Dados_Evap!$A$2:$A$15,0),C428),0))</f>
        <v>208.9</v>
      </c>
      <c r="G428" s="16" t="n">
        <f aca="false">IF(F428="","",F428/1000)</f>
        <v>0.2089</v>
      </c>
      <c r="H428" s="16" t="n">
        <f aca="false">IF(D428="","",MAX(0,MIN($B$8,IFERROR(LOOKUP(2,1/($U$24:U427&lt;&gt;""),$U$24:U427),$B$11))))</f>
        <v>0.454442538607308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0.158227196739207</v>
      </c>
      <c r="J428" s="16" t="n">
        <f aca="false">IF(D428="","",$B$12)</f>
        <v>0.25</v>
      </c>
      <c r="K428" s="16" t="n">
        <f aca="false">IF(J428="","",J428*$B$15)</f>
        <v>0.648</v>
      </c>
      <c r="L428" s="16" t="n">
        <f aca="false">IF(D428="","",H428+E428-K428-G428*I428)</f>
        <v>-0.163301621925684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0.0791135983696033</v>
      </c>
      <c r="O428" s="16" t="n">
        <f aca="false">IF(D428="","",G428*N428)</f>
        <v>0.0165268306994101</v>
      </c>
      <c r="P428" s="16" t="n">
        <f aca="false">IF(D428="","",H428+E428-K428-O428)</f>
        <v>-0.146774791226274</v>
      </c>
      <c r="Q428" s="16" t="n">
        <f aca="false">IF(D428="","",IF(P428&gt;=0,K428,MAX(0,K428+P428)))</f>
        <v>0.501225208773726</v>
      </c>
      <c r="R428" s="16" t="n">
        <f aca="false">IF(D428="","",Q428/$B$15)</f>
        <v>0.193373923138012</v>
      </c>
      <c r="S428" s="16" t="n">
        <f aca="false">IF(D428="","",MAX(0,J428-R428))</f>
        <v>0.0566260768619884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2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0.013930835259425</v>
      </c>
      <c r="E429" s="16" t="n">
        <f aca="false">IF(D429="","",D429*$B$15)</f>
        <v>0.0361087249924296</v>
      </c>
      <c r="F429" s="16" t="n">
        <f aca="false" t="array" ref="F429:F429">IF(D429="","",IFERROR(INDEX(Dados_Evap!$C$2:$N$15,MATCH($B$9,Dados_Evap!$A$2:$A$15,0),C429),0))</f>
        <v>235.9</v>
      </c>
      <c r="G429" s="16" t="n">
        <f aca="false">IF(F429="","",F429/1000)</f>
        <v>0.2359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0.25</v>
      </c>
      <c r="K429" s="16" t="n">
        <f aca="false">IF(J429="","",J429*$B$15)</f>
        <v>0.648</v>
      </c>
      <c r="L429" s="16" t="n">
        <f aca="false">IF(D429="","",H429+E429-K429-G429*I429)</f>
        <v>-0.611891275007571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-0.611891275007571</v>
      </c>
      <c r="Q429" s="16" t="n">
        <f aca="false">IF(D429="","",IF(P429&gt;=0,K429,MAX(0,K429+P429)))</f>
        <v>0.0361087249924296</v>
      </c>
      <c r="R429" s="16" t="n">
        <f aca="false">IF(D429="","",Q429/$B$15)</f>
        <v>0.013930835259425</v>
      </c>
      <c r="S429" s="16" t="n">
        <f aca="false">IF(D429="","",MAX(0,J429-R429))</f>
        <v>0.236069164740575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0.00976527915516125</v>
      </c>
      <c r="E430" s="16" t="n">
        <f aca="false">IF(D430="","",D430*$B$15)</f>
        <v>0.025311603570178</v>
      </c>
      <c r="F430" s="16" t="n">
        <f aca="false" t="array" ref="F430:F430">IF(D430="","",IFERROR(INDEX(Dados_Evap!$C$2:$N$15,MATCH($B$9,Dados_Evap!$A$2:$A$15,0),C430),0))</f>
        <v>225.9</v>
      </c>
      <c r="G430" s="16" t="n">
        <f aca="false">IF(F430="","",F430/1000)</f>
        <v>0.2259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0.25</v>
      </c>
      <c r="K430" s="16" t="n">
        <f aca="false">IF(J430="","",J430*$B$15)</f>
        <v>0.648</v>
      </c>
      <c r="L430" s="16" t="n">
        <f aca="false">IF(D430="","",H430+E430-K430-G430*I430)</f>
        <v>-0.622688396429822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-0.622688396429822</v>
      </c>
      <c r="Q430" s="16" t="n">
        <f aca="false">IF(D430="","",IF(P430&gt;=0,K430,MAX(0,K430+P430)))</f>
        <v>0.0253116035701779</v>
      </c>
      <c r="R430" s="16" t="n">
        <f aca="false">IF(D430="","",Q430/$B$15)</f>
        <v>0.00976527915516124</v>
      </c>
      <c r="S430" s="16" t="n">
        <f aca="false">IF(D430="","",MAX(0,J430-R430))</f>
        <v>0.240234720844839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0.0227663173010727</v>
      </c>
      <c r="E431" s="16" t="n">
        <f aca="false">IF(D431="","",D431*$B$15)</f>
        <v>0.0590102944443804</v>
      </c>
      <c r="F431" s="16" t="n">
        <f aca="false" t="array" ref="F431:F431">IF(D431="","",IFERROR(INDEX(Dados_Evap!$C$2:$N$15,MATCH($B$9,Dados_Evap!$A$2:$A$15,0),C431),0))</f>
        <v>206</v>
      </c>
      <c r="G431" s="16" t="n">
        <f aca="false">IF(F431="","",F431/1000)</f>
        <v>0.206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0.25</v>
      </c>
      <c r="K431" s="16" t="n">
        <f aca="false">IF(J431="","",J431*$B$15)</f>
        <v>0.648</v>
      </c>
      <c r="L431" s="16" t="n">
        <f aca="false">IF(D431="","",H431+E431-K431-G431*I431)</f>
        <v>-0.58898970555562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-0.58898970555562</v>
      </c>
      <c r="Q431" s="16" t="n">
        <f aca="false">IF(D431="","",IF(P431&gt;=0,K431,MAX(0,K431+P431)))</f>
        <v>0.0590102944443804</v>
      </c>
      <c r="R431" s="16" t="n">
        <f aca="false">IF(D431="","",Q431/$B$15)</f>
        <v>0.0227663173010727</v>
      </c>
      <c r="S431" s="16" t="n">
        <f aca="false">IF(D431="","",MAX(0,J431-R431))</f>
        <v>0.227233682698927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0.0490141714850153</v>
      </c>
      <c r="E432" s="16" t="n">
        <f aca="false">IF(D432="","",D432*$B$15)</f>
        <v>0.12704473248916</v>
      </c>
      <c r="F432" s="16" t="n">
        <f aca="false" t="array" ref="F432:F432">IF(D432="","",IFERROR(INDEX(Dados_Evap!$C$2:$N$15,MATCH($B$9,Dados_Evap!$A$2:$A$15,0),C432),0))</f>
        <v>165.6</v>
      </c>
      <c r="G432" s="16" t="n">
        <f aca="false">IF(F432="","",F432/1000)</f>
        <v>0.1656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0.25</v>
      </c>
      <c r="K432" s="16" t="n">
        <f aca="false">IF(J432="","",J432*$B$15)</f>
        <v>0.648</v>
      </c>
      <c r="L432" s="16" t="n">
        <f aca="false">IF(D432="","",H432+E432-K432-G432*I432)</f>
        <v>-0.52095526751084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-0.52095526751084</v>
      </c>
      <c r="Q432" s="16" t="n">
        <f aca="false">IF(D432="","",IF(P432&gt;=0,K432,MAX(0,K432+P432)))</f>
        <v>0.12704473248916</v>
      </c>
      <c r="R432" s="16" t="n">
        <f aca="false">IF(D432="","",Q432/$B$15)</f>
        <v>0.0490141714850153</v>
      </c>
      <c r="S432" s="16" t="n">
        <f aca="false">IF(D432="","",MAX(0,J432-R432))</f>
        <v>0.200985828514985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0.020871187604786</v>
      </c>
      <c r="E433" s="16" t="n">
        <f aca="false">IF(D433="","",D433*$B$15)</f>
        <v>0.0540981182716053</v>
      </c>
      <c r="F433" s="16" t="n">
        <f aca="false" t="array" ref="F433:F433">IF(D433="","",IFERROR(INDEX(Dados_Evap!$C$2:$N$15,MATCH($B$9,Dados_Evap!$A$2:$A$15,0),C433),0))</f>
        <v>124.9</v>
      </c>
      <c r="G433" s="16" t="n">
        <f aca="false">IF(F433="","",F433/1000)</f>
        <v>0.1249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0.25</v>
      </c>
      <c r="K433" s="16" t="n">
        <f aca="false">IF(J433="","",J433*$B$15)</f>
        <v>0.648</v>
      </c>
      <c r="L433" s="16" t="n">
        <f aca="false">IF(D433="","",H433+E433-K433-G433*I433)</f>
        <v>-0.593901881728395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-0.593901881728395</v>
      </c>
      <c r="Q433" s="16" t="n">
        <f aca="false">IF(D433="","",IF(P433&gt;=0,K433,MAX(0,K433+P433)))</f>
        <v>0.0540981182716053</v>
      </c>
      <c r="R433" s="16" t="n">
        <f aca="false">IF(D433="","",Q433/$B$15)</f>
        <v>0.020871187604786</v>
      </c>
      <c r="S433" s="16" t="n">
        <f aca="false">IF(D433="","",MAX(0,J433-R433))</f>
        <v>0.229128812395214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0.615730598896853</v>
      </c>
      <c r="E434" s="16" t="n">
        <f aca="false">IF(D434="","",D434*$B$15)</f>
        <v>1.59597371234064</v>
      </c>
      <c r="F434" s="16" t="n">
        <f aca="false" t="array" ref="F434:F434">IF(D434="","",IFERROR(INDEX(Dados_Evap!$C$2:$N$15,MATCH($B$9,Dados_Evap!$A$2:$A$15,0),C434),0))</f>
        <v>88.2</v>
      </c>
      <c r="G434" s="16" t="n">
        <f aca="false">IF(F434="","",F434/1000)</f>
        <v>0.0882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0.25</v>
      </c>
      <c r="K434" s="16" t="n">
        <f aca="false">IF(J434="","",J434*$B$15)</f>
        <v>0.648</v>
      </c>
      <c r="L434" s="16" t="n">
        <f aca="false">IF(D434="","",H434+E434-K434-G434*I434)</f>
        <v>0.947973712340643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0.305288313251772</v>
      </c>
      <c r="N434" s="16" t="n">
        <f aca="false">IF(D434="","",(I434+M434)/2)</f>
        <v>0.152644156625886</v>
      </c>
      <c r="O434" s="16" t="n">
        <f aca="false">IF(D434="","",G434*N434)</f>
        <v>0.0134632146144032</v>
      </c>
      <c r="P434" s="16" t="n">
        <f aca="false">IF(D434="","",H434+E434-K434-O434)</f>
        <v>0.93451049772624</v>
      </c>
      <c r="Q434" s="16" t="n">
        <f aca="false">IF(D434="","",IF(P434&gt;=0,K434,MAX(0,K434+P434)))</f>
        <v>0.648</v>
      </c>
      <c r="R434" s="16" t="n">
        <f aca="false">IF(D434="","",Q434/$B$15)</f>
        <v>0.25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0.93451049772624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4.38737322876169</v>
      </c>
      <c r="Z434" s="18" t="n">
        <f aca="false">IF(D434="","",MAX(0,IF(P434&gt;=0,P434,IF(K434+P434&gt;=0,0,P434+K434))))</f>
        <v>0.93451049772624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3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0.967122357788593</v>
      </c>
      <c r="E435" s="16" t="n">
        <f aca="false">IF(D435="","",D435*$B$15)</f>
        <v>2.50678115138803</v>
      </c>
      <c r="F435" s="16" t="n">
        <f aca="false" t="array" ref="F435:F435">IF(D435="","",IFERROR(INDEX(Dados_Evap!$C$2:$N$15,MATCH($B$9,Dados_Evap!$A$2:$A$15,0),C435),0))</f>
        <v>88.2</v>
      </c>
      <c r="G435" s="16" t="n">
        <f aca="false">IF(F435="","",F435/1000)</f>
        <v>0.0882</v>
      </c>
      <c r="H435" s="16" t="n">
        <f aca="false">IF(D435="","",MAX(0,MIN($B$8,IFERROR(LOOKUP(2,1/($U$24:U434&lt;&gt;""),$U$24:U434),$B$11))))</f>
        <v>0.93451049772624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0.303382017377167</v>
      </c>
      <c r="J435" s="16" t="n">
        <f aca="false">IF(D435="","",$B$12)</f>
        <v>0.25</v>
      </c>
      <c r="K435" s="16" t="n">
        <f aca="false">IF(J435="","",J435*$B$15)</f>
        <v>0.648</v>
      </c>
      <c r="L435" s="16" t="n">
        <f aca="false">IF(D435="","",H435+E435-K435-G435*I435)</f>
        <v>2.76653335518161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0.56278348391952</v>
      </c>
      <c r="N435" s="16" t="n">
        <f aca="false">IF(D435="","",(I435+M435)/2)</f>
        <v>0.433082750648343</v>
      </c>
      <c r="O435" s="16" t="n">
        <f aca="false">IF(D435="","",G435*N435)</f>
        <v>0.0381978986071839</v>
      </c>
      <c r="P435" s="16" t="n">
        <f aca="false">IF(D435="","",H435+E435-K435-O435)</f>
        <v>2.75509375050709</v>
      </c>
      <c r="Q435" s="16" t="n">
        <f aca="false">IF(D435="","",IF(P435&gt;=0,K435,MAX(0,K435+P435)))</f>
        <v>0.648</v>
      </c>
      <c r="R435" s="16" t="n">
        <f aca="false">IF(D435="","",Q435/$B$15)</f>
        <v>0.25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2.75509375050709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12.9347124436953</v>
      </c>
      <c r="Z435" s="18" t="n">
        <f aca="false">IF(D435="","",MAX(0,IF(P435&gt;=0,P435,IF(K435+P435&gt;=0,0,P435+K435))))</f>
        <v>2.75509375050709</v>
      </c>
      <c r="AA435" s="18" t="n">
        <f aca="false">IF(D435="","",IF(H435&lt;=$B$16,1,IF(H435&gt;=$B$17,$B$21,MATCH(H435,Aux_CAV!$A$2:$A$121,1))))</f>
        <v>3</v>
      </c>
      <c r="AB435" s="18" t="n">
        <f aca="false">IF(D435="","",IF(L435&lt;=$B$16,1,IF(L435&gt;=$B$17,$B$21,MATCH(L435,Aux_CAV!$A$2:$A$121,1))))</f>
        <v>3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0.890793794606431</v>
      </c>
      <c r="E436" s="16" t="n">
        <f aca="false">IF(D436="","",D436*$B$15)</f>
        <v>2.30893751561987</v>
      </c>
      <c r="F436" s="16" t="n">
        <f aca="false" t="array" ref="F436:F436">IF(D436="","",IFERROR(INDEX(Dados_Evap!$C$2:$N$15,MATCH($B$9,Dados_Evap!$A$2:$A$15,0),C436),0))</f>
        <v>83.9</v>
      </c>
      <c r="G436" s="16" t="n">
        <f aca="false">IF(F436="","",F436/1000)</f>
        <v>0.0839</v>
      </c>
      <c r="H436" s="16" t="n">
        <f aca="false">IF(D436="","",MAX(0,MIN($B$8,IFERROR(LOOKUP(2,1/($U$24:U435&lt;&gt;""),$U$24:U435),$B$11))))</f>
        <v>2.75509375050709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0.56116371688596</v>
      </c>
      <c r="J436" s="16" t="n">
        <f aca="false">IF(D436="","",$B$12)</f>
        <v>0.25</v>
      </c>
      <c r="K436" s="16" t="n">
        <f aca="false">IF(J436="","",J436*$B$15)</f>
        <v>0.648</v>
      </c>
      <c r="L436" s="16" t="n">
        <f aca="false">IF(D436="","",H436+E436-K436-G436*I436)</f>
        <v>4.36894963028023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0.684022061766347</v>
      </c>
      <c r="N436" s="16" t="n">
        <f aca="false">IF(D436="","",(I436+M436)/2)</f>
        <v>0.622592889326153</v>
      </c>
      <c r="O436" s="16" t="n">
        <f aca="false">IF(D436="","",G436*N436)</f>
        <v>0.0522355434144642</v>
      </c>
      <c r="P436" s="16" t="n">
        <f aca="false">IF(D436="","",H436+E436-K436-O436)</f>
        <v>4.3637957227125</v>
      </c>
      <c r="Q436" s="16" t="n">
        <f aca="false">IF(D436="","",IF(P436&gt;=0,K436,MAX(0,K436+P436)))</f>
        <v>0.648</v>
      </c>
      <c r="R436" s="16" t="n">
        <f aca="false">IF(D436="","",Q436/$B$15)</f>
        <v>0.25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4.3637957227125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20.4873038625</v>
      </c>
      <c r="Z436" s="18" t="n">
        <f aca="false">IF(D436="","",MAX(0,IF(P436&gt;=0,P436,IF(K436+P436&gt;=0,0,P436+K436))))</f>
        <v>4.3637957227125</v>
      </c>
      <c r="AA436" s="18" t="n">
        <f aca="false">IF(D436="","",IF(H436&lt;=$B$16,1,IF(H436&gt;=$B$17,$B$21,MATCH(H436,Aux_CAV!$A$2:$A$121,1))))</f>
        <v>3</v>
      </c>
      <c r="AB436" s="18" t="n">
        <f aca="false">IF(D436="","",IF(L436&lt;=$B$16,1,IF(L436&gt;=$B$17,$B$21,MATCH(L436,Aux_CAV!$A$2:$A$121,1))))</f>
        <v>4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0.141400260824725</v>
      </c>
      <c r="E437" s="16" t="n">
        <f aca="false">IF(D437="","",D437*$B$15)</f>
        <v>0.366509476057687</v>
      </c>
      <c r="F437" s="16" t="n">
        <f aca="false" t="array" ref="F437:F437">IF(D437="","",IFERROR(INDEX(Dados_Evap!$C$2:$N$15,MATCH($B$9,Dados_Evap!$A$2:$A$15,0),C437),0))</f>
        <v>104.7</v>
      </c>
      <c r="G437" s="16" t="n">
        <f aca="false">IF(F437="","",F437/1000)</f>
        <v>0.1047</v>
      </c>
      <c r="H437" s="16" t="n">
        <f aca="false">IF(D437="","",MAX(0,MIN($B$8,IFERROR(LOOKUP(2,1/($U$24:U436&lt;&gt;""),$U$24:U436),$B$11))))</f>
        <v>4.3637957227125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0.683721417158229</v>
      </c>
      <c r="J437" s="16" t="n">
        <f aca="false">IF(D437="","",$B$12)</f>
        <v>0.25</v>
      </c>
      <c r="K437" s="16" t="n">
        <f aca="false">IF(J437="","",J437*$B$15)</f>
        <v>0.648</v>
      </c>
      <c r="L437" s="16" t="n">
        <f aca="false">IF(D437="","",H437+E437-K437-G437*I437)</f>
        <v>4.01071956639372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0.663125308039633</v>
      </c>
      <c r="N437" s="16" t="n">
        <f aca="false">IF(D437="","",(I437+M437)/2)</f>
        <v>0.673423362598931</v>
      </c>
      <c r="O437" s="16" t="n">
        <f aca="false">IF(D437="","",G437*N437)</f>
        <v>0.0705074260641081</v>
      </c>
      <c r="P437" s="16" t="n">
        <f aca="false">IF(D437="","",H437+E437-K437-O437)</f>
        <v>4.01179777270608</v>
      </c>
      <c r="Q437" s="16" t="n">
        <f aca="false">IF(D437="","",IF(P437&gt;=0,K437,MAX(0,K437+P437)))</f>
        <v>0.648</v>
      </c>
      <c r="R437" s="16" t="n">
        <f aca="false">IF(D437="","",Q437/$B$15)</f>
        <v>0.25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4.01179777270608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18.8347313272586</v>
      </c>
      <c r="Z437" s="18" t="n">
        <f aca="false">IF(D437="","",MAX(0,IF(P437&gt;=0,P437,IF(K437+P437&gt;=0,0,P437+K437))))</f>
        <v>4.01179777270608</v>
      </c>
      <c r="AA437" s="18" t="n">
        <f aca="false">IF(D437="","",IF(H437&lt;=$B$16,1,IF(H437&gt;=$B$17,$B$21,MATCH(H437,Aux_CAV!$A$2:$A$121,1))))</f>
        <v>4</v>
      </c>
      <c r="AB437" s="18" t="n">
        <f aca="false">IF(D437="","",IF(L437&lt;=$B$16,1,IF(L437&gt;=$B$17,$B$21,MATCH(L437,Aux_CAV!$A$2:$A$121,1))))</f>
        <v>4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0.0984199769134646</v>
      </c>
      <c r="E438" s="16" t="n">
        <f aca="false">IF(D438="","",D438*$B$15)</f>
        <v>0.2551045801597</v>
      </c>
      <c r="F438" s="16" t="n">
        <f aca="false" t="array" ref="F438:F438">IF(D438="","",IFERROR(INDEX(Dados_Evap!$C$2:$N$15,MATCH($B$9,Dados_Evap!$A$2:$A$15,0),C438),0))</f>
        <v>145.2</v>
      </c>
      <c r="G438" s="16" t="n">
        <f aca="false">IF(F438="","",F438/1000)</f>
        <v>0.1452</v>
      </c>
      <c r="H438" s="16" t="n">
        <f aca="false">IF(D438="","",MAX(0,MIN($B$8,IFERROR(LOOKUP(2,1/($U$24:U437&lt;&gt;""),$U$24:U437),$B$11))))</f>
        <v>4.01179777270608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0.663188203407854</v>
      </c>
      <c r="J438" s="16" t="n">
        <f aca="false">IF(D438="","",$B$12)</f>
        <v>0.25</v>
      </c>
      <c r="K438" s="16" t="n">
        <f aca="false">IF(J438="","",J438*$B$15)</f>
        <v>0.648</v>
      </c>
      <c r="L438" s="16" t="n">
        <f aca="false">IF(D438="","",H438+E438-K438-G438*I438)</f>
        <v>3.52260742573095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0.634652099834306</v>
      </c>
      <c r="N438" s="16" t="n">
        <f aca="false">IF(D438="","",(I438+M438)/2)</f>
        <v>0.64892015162108</v>
      </c>
      <c r="O438" s="16" t="n">
        <f aca="false">IF(D438="","",G438*N438)</f>
        <v>0.0942232060153808</v>
      </c>
      <c r="P438" s="16" t="n">
        <f aca="false">IF(D438="","",H438+E438-K438-O438)</f>
        <v>3.52467914685039</v>
      </c>
      <c r="Q438" s="16" t="n">
        <f aca="false">IF(D438="","",IF(P438&gt;=0,K438,MAX(0,K438+P438)))</f>
        <v>0.648</v>
      </c>
      <c r="R438" s="16" t="n">
        <f aca="false">IF(D438="","",Q438/$B$15)</f>
        <v>0.25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3.52467914685039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16.5477894218328</v>
      </c>
      <c r="Z438" s="18" t="n">
        <f aca="false">IF(D438="","",MAX(0,IF(P438&gt;=0,P438,IF(K438+P438&gt;=0,0,P438+K438))))</f>
        <v>3.52467914685039</v>
      </c>
      <c r="AA438" s="18" t="n">
        <f aca="false">IF(D438="","",IF(H438&lt;=$B$16,1,IF(H438&gt;=$B$17,$B$21,MATCH(H438,Aux_CAV!$A$2:$A$121,1))))</f>
        <v>4</v>
      </c>
      <c r="AB438" s="18" t="n">
        <f aca="false">IF(D438="","",IF(L438&lt;=$B$16,1,IF(L438&gt;=$B$17,$B$21,MATCH(L438,Aux_CAV!$A$2:$A$121,1))))</f>
        <v>4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0.0685815850409333</v>
      </c>
      <c r="E439" s="16" t="n">
        <f aca="false">IF(D439="","",D439*$B$15)</f>
        <v>0.177763468426099</v>
      </c>
      <c r="F439" s="16" t="n">
        <f aca="false" t="array" ref="F439:F439">IF(D439="","",IFERROR(INDEX(Dados_Evap!$C$2:$N$15,MATCH($B$9,Dados_Evap!$A$2:$A$15,0),C439),0))</f>
        <v>180.9</v>
      </c>
      <c r="G439" s="16" t="n">
        <f aca="false">IF(F439="","",F439/1000)</f>
        <v>0.1809</v>
      </c>
      <c r="H439" s="16" t="n">
        <f aca="false">IF(D439="","",MAX(0,MIN($B$8,IFERROR(LOOKUP(2,1/($U$24:U438&lt;&gt;""),$U$24:U438),$B$11))))</f>
        <v>3.52467914685039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0.63477295023294</v>
      </c>
      <c r="J439" s="16" t="n">
        <f aca="false">IF(D439="","",$B$12)</f>
        <v>0.25</v>
      </c>
      <c r="K439" s="16" t="n">
        <f aca="false">IF(J439="","",J439*$B$15)</f>
        <v>0.648</v>
      </c>
      <c r="L439" s="16" t="n">
        <f aca="false">IF(D439="","",H439+E439-K439-G439*I439)</f>
        <v>2.93961218857935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0.587290221391767</v>
      </c>
      <c r="N439" s="16" t="n">
        <f aca="false">IF(D439="","",(I439+M439)/2)</f>
        <v>0.611031585812353</v>
      </c>
      <c r="O439" s="16" t="n">
        <f aca="false">IF(D439="","",G439*N439)</f>
        <v>0.110535613873455</v>
      </c>
      <c r="P439" s="16" t="n">
        <f aca="false">IF(D439="","",H439+E439-K439-O439)</f>
        <v>2.94390700140304</v>
      </c>
      <c r="Q439" s="16" t="n">
        <f aca="false">IF(D439="","",IF(P439&gt;=0,K439,MAX(0,K439+P439)))</f>
        <v>0.648</v>
      </c>
      <c r="R439" s="16" t="n">
        <f aca="false">IF(D439="","",Q439/$B$15)</f>
        <v>0.25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2.94390700140304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13.8211596310002</v>
      </c>
      <c r="Z439" s="18" t="n">
        <f aca="false">IF(D439="","",MAX(0,IF(P439&gt;=0,P439,IF(K439+P439&gt;=0,0,P439+K439))))</f>
        <v>2.94390700140304</v>
      </c>
      <c r="AA439" s="18" t="n">
        <f aca="false">IF(D439="","",IF(H439&lt;=$B$16,1,IF(H439&gt;=$B$17,$B$21,MATCH(H439,Aux_CAV!$A$2:$A$121,1))))</f>
        <v>4</v>
      </c>
      <c r="AB439" s="18" t="n">
        <f aca="false">IF(D439="","",IF(L439&lt;=$B$16,1,IF(L439&gt;=$B$17,$B$21,MATCH(L439,Aux_CAV!$A$2:$A$121,1))))</f>
        <v>3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0.0448352762220441</v>
      </c>
      <c r="E440" s="16" t="n">
        <f aca="false">IF(D440="","",D440*$B$15)</f>
        <v>0.116213035967538</v>
      </c>
      <c r="F440" s="16" t="n">
        <f aca="false" t="array" ref="F440:F440">IF(D440="","",IFERROR(INDEX(Dados_Evap!$C$2:$N$15,MATCH($B$9,Dados_Evap!$A$2:$A$15,0),C440),0))</f>
        <v>208.9</v>
      </c>
      <c r="G440" s="16" t="n">
        <f aca="false">IF(F440="","",F440/1000)</f>
        <v>0.2089</v>
      </c>
      <c r="H440" s="16" t="n">
        <f aca="false">IF(D440="","",MAX(0,MIN($B$8,IFERROR(LOOKUP(2,1/($U$24:U439&lt;&gt;""),$U$24:U439),$B$11))))</f>
        <v>2.94390700140304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0.587898336481846</v>
      </c>
      <c r="J440" s="16" t="n">
        <f aca="false">IF(D440="","",$B$12)</f>
        <v>0.25</v>
      </c>
      <c r="K440" s="16" t="n">
        <f aca="false">IF(J440="","",J440*$B$15)</f>
        <v>0.648</v>
      </c>
      <c r="L440" s="16" t="n">
        <f aca="false">IF(D440="","",H440+E440-K440-G440*I440)</f>
        <v>2.28930807487952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0.495211762814799</v>
      </c>
      <c r="N440" s="16" t="n">
        <f aca="false">IF(D440="","",(I440+M440)/2)</f>
        <v>0.541555049648323</v>
      </c>
      <c r="O440" s="16" t="n">
        <f aca="false">IF(D440="","",G440*N440)</f>
        <v>0.113130849871535</v>
      </c>
      <c r="P440" s="16" t="n">
        <f aca="false">IF(D440="","",H440+E440-K440-O440)</f>
        <v>2.29898918749904</v>
      </c>
      <c r="Q440" s="16" t="n">
        <f aca="false">IF(D440="","",IF(P440&gt;=0,K440,MAX(0,K440+P440)))</f>
        <v>0.648</v>
      </c>
      <c r="R440" s="16" t="n">
        <f aca="false">IF(D440="","",Q440/$B$15)</f>
        <v>0.25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2.29898918749904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10.7933764671317</v>
      </c>
      <c r="Z440" s="18" t="n">
        <f aca="false">IF(D440="","",MAX(0,IF(P440&gt;=0,P440,IF(K440+P440&gt;=0,0,P440+K440))))</f>
        <v>2.29898918749904</v>
      </c>
      <c r="AA440" s="18" t="n">
        <f aca="false">IF(D440="","",IF(H440&lt;=$B$16,1,IF(H440&gt;=$B$17,$B$21,MATCH(H440,Aux_CAV!$A$2:$A$121,1))))</f>
        <v>3</v>
      </c>
      <c r="AB440" s="18" t="n">
        <f aca="false">IF(D440="","",IF(L440&lt;=$B$16,1,IF(L440&gt;=$B$17,$B$21,MATCH(L440,Aux_CAV!$A$2:$A$121,1))))</f>
        <v>3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0.0262768220041078</v>
      </c>
      <c r="E441" s="16" t="n">
        <f aca="false">IF(D441="","",D441*$B$15)</f>
        <v>0.0681095226346474</v>
      </c>
      <c r="F441" s="16" t="n">
        <f aca="false" t="array" ref="F441:F441">IF(D441="","",IFERROR(INDEX(Dados_Evap!$C$2:$N$15,MATCH($B$9,Dados_Evap!$A$2:$A$15,0),C441),0))</f>
        <v>235.9</v>
      </c>
      <c r="G441" s="16" t="n">
        <f aca="false">IF(F441="","",F441/1000)</f>
        <v>0.2359</v>
      </c>
      <c r="H441" s="16" t="n">
        <f aca="false">IF(D441="","",MAX(0,MIN($B$8,IFERROR(LOOKUP(2,1/($U$24:U440&lt;&gt;""),$U$24:U440),$B$11))))</f>
        <v>2.29898918749904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0.496582539822873</v>
      </c>
      <c r="J441" s="16" t="n">
        <f aca="false">IF(D441="","",$B$12)</f>
        <v>0.25</v>
      </c>
      <c r="K441" s="16" t="n">
        <f aca="false">IF(J441="","",J441*$B$15)</f>
        <v>0.648</v>
      </c>
      <c r="L441" s="16" t="n">
        <f aca="false">IF(D441="","",H441+E441-K441-G441*I441)</f>
        <v>1.60195488898947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0.397887417910014</v>
      </c>
      <c r="N441" s="16" t="n">
        <f aca="false">IF(D441="","",(I441+M441)/2)</f>
        <v>0.447234978866444</v>
      </c>
      <c r="O441" s="16" t="n">
        <f aca="false">IF(D441="","",G441*N441)</f>
        <v>0.105502731514594</v>
      </c>
      <c r="P441" s="16" t="n">
        <f aca="false">IF(D441="","",H441+E441-K441-O441)</f>
        <v>1.6135959786191</v>
      </c>
      <c r="Q441" s="16" t="n">
        <f aca="false">IF(D441="","",IF(P441&gt;=0,K441,MAX(0,K441+P441)))</f>
        <v>0.648</v>
      </c>
      <c r="R441" s="16" t="n">
        <f aca="false">IF(D441="","",Q441/$B$15)</f>
        <v>0.25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1.6135959786191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7.57556797473754</v>
      </c>
      <c r="Z441" s="18" t="n">
        <f aca="false">IF(D441="","",MAX(0,IF(P441&gt;=0,P441,IF(K441+P441&gt;=0,0,P441+K441))))</f>
        <v>1.6135959786191</v>
      </c>
      <c r="AA441" s="18" t="n">
        <f aca="false">IF(D441="","",IF(H441&lt;=$B$16,1,IF(H441&gt;=$B$17,$B$21,MATCH(H441,Aux_CAV!$A$2:$A$121,1))))</f>
        <v>3</v>
      </c>
      <c r="AB441" s="18" t="n">
        <f aca="false">IF(D441="","",IF(L441&lt;=$B$16,1,IF(L441&gt;=$B$17,$B$21,MATCH(L441,Aux_CAV!$A$2:$A$121,1))))</f>
        <v>3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0.0141842274464042</v>
      </c>
      <c r="E442" s="16" t="n">
        <f aca="false">IF(D442="","",D442*$B$15)</f>
        <v>0.0367655175410797</v>
      </c>
      <c r="F442" s="16" t="n">
        <f aca="false" t="array" ref="F442:F442">IF(D442="","",IFERROR(INDEX(Dados_Evap!$C$2:$N$15,MATCH($B$9,Dados_Evap!$A$2:$A$15,0),C442),0))</f>
        <v>225.9</v>
      </c>
      <c r="G442" s="16" t="n">
        <f aca="false">IF(F442="","",F442/1000)</f>
        <v>0.2259</v>
      </c>
      <c r="H442" s="16" t="n">
        <f aca="false">IF(D442="","",MAX(0,MIN($B$8,IFERROR(LOOKUP(2,1/($U$24:U441&lt;&gt;""),$U$24:U441),$B$11))))</f>
        <v>1.6135959786191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0.399535713786775</v>
      </c>
      <c r="J442" s="16" t="n">
        <f aca="false">IF(D442="","",$B$12)</f>
        <v>0.25</v>
      </c>
      <c r="K442" s="16" t="n">
        <f aca="false">IF(J442="","",J442*$B$15)</f>
        <v>0.648</v>
      </c>
      <c r="L442" s="16" t="n">
        <f aca="false">IF(D442="","",H442+E442-K442-G442*I442)</f>
        <v>0.912106378415742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0.300209752696034</v>
      </c>
      <c r="N442" s="16" t="n">
        <f aca="false">IF(D442="","",(I442+M442)/2)</f>
        <v>0.349872733241404</v>
      </c>
      <c r="O442" s="16" t="n">
        <f aca="false">IF(D442="","",G442*N442)</f>
        <v>0.0790362504392333</v>
      </c>
      <c r="P442" s="16" t="n">
        <f aca="false">IF(D442="","",H442+E442-K442-O442)</f>
        <v>0.923325245720942</v>
      </c>
      <c r="Q442" s="16" t="n">
        <f aca="false">IF(D442="","",IF(P442&gt;=0,K442,MAX(0,K442+P442)))</f>
        <v>0.648</v>
      </c>
      <c r="R442" s="16" t="n">
        <f aca="false">IF(D442="","",Q442/$B$15)</f>
        <v>0.25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0.923325245720942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4.33486030854902</v>
      </c>
      <c r="Z442" s="18" t="n">
        <f aca="false">IF(D442="","",MAX(0,IF(P442&gt;=0,P442,IF(K442+P442&gt;=0,0,P442+K442))))</f>
        <v>0.923325245720942</v>
      </c>
      <c r="AA442" s="18" t="n">
        <f aca="false">IF(D442="","",IF(H442&lt;=$B$16,1,IF(H442&gt;=$B$17,$B$21,MATCH(H442,Aux_CAV!$A$2:$A$121,1))))</f>
        <v>3</v>
      </c>
      <c r="AB442" s="18" t="n">
        <f aca="false">IF(D442="","",IF(L442&lt;=$B$16,1,IF(L442&gt;=$B$17,$B$21,MATCH(L442,Aux_CAV!$A$2:$A$121,1))))</f>
        <v>3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0.0693463088854221</v>
      </c>
      <c r="E443" s="16" t="n">
        <f aca="false">IF(D443="","",D443*$B$15)</f>
        <v>0.179745632631014</v>
      </c>
      <c r="F443" s="16" t="n">
        <f aca="false" t="array" ref="F443:F443">IF(D443="","",IFERROR(INDEX(Dados_Evap!$C$2:$N$15,MATCH($B$9,Dados_Evap!$A$2:$A$15,0),C443),0))</f>
        <v>206</v>
      </c>
      <c r="G443" s="16" t="n">
        <f aca="false">IF(F443="","",F443/1000)</f>
        <v>0.206</v>
      </c>
      <c r="H443" s="16" t="n">
        <f aca="false">IF(D443="","",MAX(0,MIN($B$8,IFERROR(LOOKUP(2,1/($U$24:U442&lt;&gt;""),$U$24:U442),$B$11))))</f>
        <v>0.923325245720942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0.301798264880841</v>
      </c>
      <c r="J443" s="16" t="n">
        <f aca="false">IF(D443="","",$B$12)</f>
        <v>0.25</v>
      </c>
      <c r="K443" s="16" t="n">
        <f aca="false">IF(J443="","",J443*$B$15)</f>
        <v>0.648</v>
      </c>
      <c r="L443" s="16" t="n">
        <f aca="false">IF(D443="","",H443+E443-K443-G443*I443)</f>
        <v>0.392900435786502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0.137193819825767</v>
      </c>
      <c r="N443" s="16" t="n">
        <f aca="false">IF(D443="","",(I443+M443)/2)</f>
        <v>0.219496042353304</v>
      </c>
      <c r="O443" s="16" t="n">
        <f aca="false">IF(D443="","",G443*N443)</f>
        <v>0.0452161847247806</v>
      </c>
      <c r="P443" s="16" t="n">
        <f aca="false">IF(D443="","",H443+E443-K443-O443)</f>
        <v>0.409854693627175</v>
      </c>
      <c r="Q443" s="16" t="n">
        <f aca="false">IF(D443="","",IF(P443&gt;=0,K443,MAX(0,K443+P443)))</f>
        <v>0.648</v>
      </c>
      <c r="R443" s="16" t="n">
        <f aca="false">IF(D443="","",Q443/$B$15)</f>
        <v>0.25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0.409854693627175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1.9242004395642</v>
      </c>
      <c r="Z443" s="18" t="n">
        <f aca="false">IF(D443="","",MAX(0,IF(P443&gt;=0,P443,IF(K443+P443&gt;=0,0,P443+K443))))</f>
        <v>0.409854693627175</v>
      </c>
      <c r="AA443" s="18" t="n">
        <f aca="false">IF(D443="","",IF(H443&lt;=$B$16,1,IF(H443&gt;=$B$17,$B$21,MATCH(H443,Aux_CAV!$A$2:$A$121,1))))</f>
        <v>3</v>
      </c>
      <c r="AB443" s="18" t="n">
        <f aca="false">IF(D443="","",IF(L443&lt;=$B$16,1,IF(L443&gt;=$B$17,$B$21,MATCH(L443,Aux_CAV!$A$2:$A$121,1))))</f>
        <v>2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0.0526378918716708</v>
      </c>
      <c r="E444" s="16" t="n">
        <f aca="false">IF(D444="","",D444*$B$15)</f>
        <v>0.136437415731371</v>
      </c>
      <c r="F444" s="16" t="n">
        <f aca="false" t="array" ref="F444:F444">IF(D444="","",IFERROR(INDEX(Dados_Evap!$C$2:$N$15,MATCH($B$9,Dados_Evap!$A$2:$A$15,0),C444),0))</f>
        <v>165.6</v>
      </c>
      <c r="G444" s="16" t="n">
        <f aca="false">IF(F444="","",F444/1000)</f>
        <v>0.1656</v>
      </c>
      <c r="H444" s="16" t="n">
        <f aca="false">IF(D444="","",MAX(0,MIN($B$8,IFERROR(LOOKUP(2,1/($U$24:U443&lt;&gt;""),$U$24:U443),$B$11))))</f>
        <v>0.409854693627175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0.142988313011819</v>
      </c>
      <c r="J444" s="16" t="n">
        <f aca="false">IF(D444="","",$B$12)</f>
        <v>0.25</v>
      </c>
      <c r="K444" s="16" t="n">
        <f aca="false">IF(J444="","",J444*$B$15)</f>
        <v>0.648</v>
      </c>
      <c r="L444" s="16" t="n">
        <f aca="false">IF(D444="","",H444+E444-K444-G444*I444)</f>
        <v>-0.125386755276212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0.0714941565059096</v>
      </c>
      <c r="O444" s="16" t="n">
        <f aca="false">IF(D444="","",G444*N444)</f>
        <v>0.0118394323173786</v>
      </c>
      <c r="P444" s="16" t="n">
        <f aca="false">IF(D444="","",H444+E444-K444-O444)</f>
        <v>-0.113547322958833</v>
      </c>
      <c r="Q444" s="16" t="n">
        <f aca="false">IF(D444="","",IF(P444&gt;=0,K444,MAX(0,K444+P444)))</f>
        <v>0.534452677041167</v>
      </c>
      <c r="R444" s="16" t="n">
        <f aca="false">IF(D444="","",Q444/$B$15)</f>
        <v>0.206193162438722</v>
      </c>
      <c r="S444" s="16" t="n">
        <f aca="false">IF(D444="","",MAX(0,J444-R444))</f>
        <v>0.0438068375612782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2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0.155982032005278</v>
      </c>
      <c r="E445" s="16" t="n">
        <f aca="false">IF(D445="","",D445*$B$15)</f>
        <v>0.404305426957681</v>
      </c>
      <c r="F445" s="16" t="n">
        <f aca="false" t="array" ref="F445:F445">IF(D445="","",IFERROR(INDEX(Dados_Evap!$C$2:$N$15,MATCH($B$9,Dados_Evap!$A$2:$A$15,0),C445),0))</f>
        <v>124.9</v>
      </c>
      <c r="G445" s="16" t="n">
        <f aca="false">IF(F445="","",F445/1000)</f>
        <v>0.1249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0.25</v>
      </c>
      <c r="K445" s="16" t="n">
        <f aca="false">IF(J445="","",J445*$B$15)</f>
        <v>0.648</v>
      </c>
      <c r="L445" s="16" t="n">
        <f aca="false">IF(D445="","",H445+E445-K445-G445*I445)</f>
        <v>-0.243694573042319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</v>
      </c>
      <c r="N445" s="16" t="n">
        <f aca="false">IF(D445="","",(I445+M445)/2)</f>
        <v>0</v>
      </c>
      <c r="O445" s="16" t="n">
        <f aca="false">IF(D445="","",G445*N445)</f>
        <v>0</v>
      </c>
      <c r="P445" s="16" t="n">
        <f aca="false">IF(D445="","",H445+E445-K445-O445)</f>
        <v>-0.243694573042319</v>
      </c>
      <c r="Q445" s="16" t="n">
        <f aca="false">IF(D445="","",IF(P445&gt;=0,K445,MAX(0,K445+P445)))</f>
        <v>0.404305426957681</v>
      </c>
      <c r="R445" s="16" t="n">
        <f aca="false">IF(D445="","",Q445/$B$15)</f>
        <v>0.155982032005278</v>
      </c>
      <c r="S445" s="16" t="n">
        <f aca="false">IF(D445="","",MAX(0,J445-R445))</f>
        <v>0.094017967994722</v>
      </c>
      <c r="T445" s="16" t="n">
        <f aca="false">IF(D445="","",MAX(0,Z445-$B$8))</f>
        <v>0</v>
      </c>
      <c r="U445" s="16" t="n">
        <f aca="false">IF(D445="","",MAX(0,MIN($B$8,Z445)))</f>
        <v>0</v>
      </c>
      <c r="V445" s="16" t="str">
        <f aca="false">IF(D445="","",IF(S445&gt;0.0000001,"Sim","Não"))</f>
        <v>Sim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</v>
      </c>
      <c r="Z445" s="18" t="n">
        <f aca="false">IF(D445="","",MAX(0,IF(P445&gt;=0,P445,IF(K445+P445&gt;=0,0,P445+K445))))</f>
        <v>0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0.142107654215625</v>
      </c>
      <c r="E446" s="16" t="n">
        <f aca="false">IF(D446="","",D446*$B$15)</f>
        <v>0.3683430397269</v>
      </c>
      <c r="F446" s="16" t="n">
        <f aca="false" t="array" ref="F446:F446">IF(D446="","",IFERROR(INDEX(Dados_Evap!$C$2:$N$15,MATCH($B$9,Dados_Evap!$A$2:$A$15,0),C446),0))</f>
        <v>88.2</v>
      </c>
      <c r="G446" s="16" t="n">
        <f aca="false">IF(F446="","",F446/1000)</f>
        <v>0.0882</v>
      </c>
      <c r="H446" s="16" t="n">
        <f aca="false">IF(D446="","",MAX(0,MIN($B$8,IFERROR(LOOKUP(2,1/($U$24:U445&lt;&gt;""),$U$24:U445),$B$11))))</f>
        <v>0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</v>
      </c>
      <c r="J446" s="16" t="n">
        <f aca="false">IF(D446="","",$B$12)</f>
        <v>0.25</v>
      </c>
      <c r="K446" s="16" t="n">
        <f aca="false">IF(J446="","",J446*$B$15)</f>
        <v>0.648</v>
      </c>
      <c r="L446" s="16" t="n">
        <f aca="false">IF(D446="","",H446+E446-K446-G446*I446)</f>
        <v>-0.2796569602731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</v>
      </c>
      <c r="N446" s="16" t="n">
        <f aca="false">IF(D446="","",(I446+M446)/2)</f>
        <v>0</v>
      </c>
      <c r="O446" s="16" t="n">
        <f aca="false">IF(D446="","",G446*N446)</f>
        <v>0</v>
      </c>
      <c r="P446" s="16" t="n">
        <f aca="false">IF(D446="","",H446+E446-K446-O446)</f>
        <v>-0.2796569602731</v>
      </c>
      <c r="Q446" s="16" t="n">
        <f aca="false">IF(D446="","",IF(P446&gt;=0,K446,MAX(0,K446+P446)))</f>
        <v>0.3683430397269</v>
      </c>
      <c r="R446" s="16" t="n">
        <f aca="false">IF(D446="","",Q446/$B$15)</f>
        <v>0.142107654215625</v>
      </c>
      <c r="S446" s="16" t="n">
        <f aca="false">IF(D446="","",MAX(0,J446-R446))</f>
        <v>0.107892345784375</v>
      </c>
      <c r="T446" s="16" t="n">
        <f aca="false">IF(D446="","",MAX(0,Z446-$B$8))</f>
        <v>0</v>
      </c>
      <c r="U446" s="16" t="n">
        <f aca="false">IF(D446="","",MAX(0,MIN($B$8,Z446)))</f>
        <v>0</v>
      </c>
      <c r="V446" s="16" t="str">
        <f aca="false">IF(D446="","",IF(S446&gt;0.0000001,"Sim","Não"))</f>
        <v>Sim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0</v>
      </c>
      <c r="Z446" s="18" t="n">
        <f aca="false">IF(D446="","",MAX(0,IF(P446&gt;=0,P446,IF(K446+P446&gt;=0,0,P446+K446))))</f>
        <v>0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0.150173404484465</v>
      </c>
      <c r="E447" s="16" t="n">
        <f aca="false">IF(D447="","",D447*$B$15)</f>
        <v>0.389249464423733</v>
      </c>
      <c r="F447" s="16" t="n">
        <f aca="false" t="array" ref="F447:F447">IF(D447="","",IFERROR(INDEX(Dados_Evap!$C$2:$N$15,MATCH($B$9,Dados_Evap!$A$2:$A$15,0),C447),0))</f>
        <v>88.2</v>
      </c>
      <c r="G447" s="16" t="n">
        <f aca="false">IF(F447="","",F447/1000)</f>
        <v>0.0882</v>
      </c>
      <c r="H447" s="16" t="n">
        <f aca="false">IF(D447="","",MAX(0,MIN($B$8,IFERROR(LOOKUP(2,1/($U$24:U446&lt;&gt;""),$U$24:U446),$B$11))))</f>
        <v>0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</v>
      </c>
      <c r="J447" s="16" t="n">
        <f aca="false">IF(D447="","",$B$12)</f>
        <v>0.25</v>
      </c>
      <c r="K447" s="16" t="n">
        <f aca="false">IF(J447="","",J447*$B$15)</f>
        <v>0.648</v>
      </c>
      <c r="L447" s="16" t="n">
        <f aca="false">IF(D447="","",H447+E447-K447-G447*I447)</f>
        <v>-0.258750535576267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</v>
      </c>
      <c r="N447" s="16" t="n">
        <f aca="false">IF(D447="","",(I447+M447)/2)</f>
        <v>0</v>
      </c>
      <c r="O447" s="16" t="n">
        <f aca="false">IF(D447="","",G447*N447)</f>
        <v>0</v>
      </c>
      <c r="P447" s="16" t="n">
        <f aca="false">IF(D447="","",H447+E447-K447-O447)</f>
        <v>-0.258750535576267</v>
      </c>
      <c r="Q447" s="16" t="n">
        <f aca="false">IF(D447="","",IF(P447&gt;=0,K447,MAX(0,K447+P447)))</f>
        <v>0.389249464423733</v>
      </c>
      <c r="R447" s="16" t="n">
        <f aca="false">IF(D447="","",Q447/$B$15)</f>
        <v>0.150173404484465</v>
      </c>
      <c r="S447" s="16" t="n">
        <f aca="false">IF(D447="","",MAX(0,J447-R447))</f>
        <v>0.099826595515535</v>
      </c>
      <c r="T447" s="16" t="n">
        <f aca="false">IF(D447="","",MAX(0,Z447-$B$8))</f>
        <v>0</v>
      </c>
      <c r="U447" s="16" t="n">
        <f aca="false">IF(D447="","",MAX(0,MIN($B$8,Z447)))</f>
        <v>0</v>
      </c>
      <c r="V447" s="16" t="str">
        <f aca="false">IF(D447="","",IF(S447&gt;0.0000001,"Sim","Não"))</f>
        <v>Sim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0</v>
      </c>
      <c r="Z447" s="18" t="n">
        <f aca="false">IF(D447="","",MAX(0,IF(P447&gt;=0,P447,IF(K447+P447&gt;=0,0,P447+K447))))</f>
        <v>0</v>
      </c>
      <c r="AA447" s="18" t="n">
        <f aca="false">IF(D447="","",IF(H447&lt;=$B$16,1,IF(H447&gt;=$B$17,$B$21,MATCH(H447,Aux_CAV!$A$2:$A$121,1))))</f>
        <v>1</v>
      </c>
      <c r="AB447" s="18" t="n">
        <f aca="false">IF(D447="","",IF(L447&lt;=$B$16,1,IF(L447&gt;=$B$17,$B$21,MATCH(L447,Aux_CAV!$A$2:$A$121,1))))</f>
        <v>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0.142416570786362</v>
      </c>
      <c r="E448" s="16" t="n">
        <f aca="false">IF(D448="","",D448*$B$15)</f>
        <v>0.36914375147825</v>
      </c>
      <c r="F448" s="16" t="n">
        <f aca="false" t="array" ref="F448:F448">IF(D448="","",IFERROR(INDEX(Dados_Evap!$C$2:$N$15,MATCH($B$9,Dados_Evap!$A$2:$A$15,0),C448),0))</f>
        <v>83.9</v>
      </c>
      <c r="G448" s="16" t="n">
        <f aca="false">IF(F448="","",F448/1000)</f>
        <v>0.0839</v>
      </c>
      <c r="H448" s="16" t="n">
        <f aca="false">IF(D448="","",MAX(0,MIN($B$8,IFERROR(LOOKUP(2,1/($U$24:U447&lt;&gt;""),$U$24:U447),$B$11))))</f>
        <v>0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</v>
      </c>
      <c r="J448" s="16" t="n">
        <f aca="false">IF(D448="","",$B$12)</f>
        <v>0.25</v>
      </c>
      <c r="K448" s="16" t="n">
        <f aca="false">IF(J448="","",J448*$B$15)</f>
        <v>0.648</v>
      </c>
      <c r="L448" s="16" t="n">
        <f aca="false">IF(D448="","",H448+E448-K448-G448*I448)</f>
        <v>-0.27885624852175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0</v>
      </c>
      <c r="N448" s="16" t="n">
        <f aca="false">IF(D448="","",(I448+M448)/2)</f>
        <v>0</v>
      </c>
      <c r="O448" s="16" t="n">
        <f aca="false">IF(D448="","",G448*N448)</f>
        <v>0</v>
      </c>
      <c r="P448" s="16" t="n">
        <f aca="false">IF(D448="","",H448+E448-K448-O448)</f>
        <v>-0.27885624852175</v>
      </c>
      <c r="Q448" s="16" t="n">
        <f aca="false">IF(D448="","",IF(P448&gt;=0,K448,MAX(0,K448+P448)))</f>
        <v>0.36914375147825</v>
      </c>
      <c r="R448" s="16" t="n">
        <f aca="false">IF(D448="","",Q448/$B$15)</f>
        <v>0.142416570786362</v>
      </c>
      <c r="S448" s="16" t="n">
        <f aca="false">IF(D448="","",MAX(0,J448-R448))</f>
        <v>0.107583429213638</v>
      </c>
      <c r="T448" s="16" t="n">
        <f aca="false">IF(D448="","",MAX(0,Z448-$B$8))</f>
        <v>0</v>
      </c>
      <c r="U448" s="16" t="n">
        <f aca="false">IF(D448="","",MAX(0,MIN($B$8,Z448)))</f>
        <v>0</v>
      </c>
      <c r="V448" s="16" t="str">
        <f aca="false">IF(D448="","",IF(S448&gt;0.0000001,"Sim","Não"))</f>
        <v>Sim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0</v>
      </c>
      <c r="Z448" s="18" t="n">
        <f aca="false">IF(D448="","",MAX(0,IF(P448&gt;=0,P448,IF(K448+P448&gt;=0,0,P448+K448))))</f>
        <v>0</v>
      </c>
      <c r="AA448" s="18" t="n">
        <f aca="false">IF(D448="","",IF(H448&lt;=$B$16,1,IF(H448&gt;=$B$17,$B$21,MATCH(H448,Aux_CAV!$A$2:$A$121,1))))</f>
        <v>1</v>
      </c>
      <c r="AB448" s="18" t="n">
        <f aca="false">IF(D448="","",IF(L448&lt;=$B$16,1,IF(L448&gt;=$B$17,$B$21,MATCH(L448,Aux_CAV!$A$2:$A$121,1))))</f>
        <v>1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0.0587602405390488</v>
      </c>
      <c r="E449" s="16" t="n">
        <f aca="false">IF(D449="","",D449*$B$15)</f>
        <v>0.152306543477214</v>
      </c>
      <c r="F449" s="16" t="n">
        <f aca="false" t="array" ref="F449:F449">IF(D449="","",IFERROR(INDEX(Dados_Evap!$C$2:$N$15,MATCH($B$9,Dados_Evap!$A$2:$A$15,0),C449),0))</f>
        <v>104.7</v>
      </c>
      <c r="G449" s="16" t="n">
        <f aca="false">IF(F449="","",F449/1000)</f>
        <v>0.1047</v>
      </c>
      <c r="H449" s="16" t="n">
        <f aca="false">IF(D449="","",MAX(0,MIN($B$8,IFERROR(LOOKUP(2,1/($U$24:U448&lt;&gt;""),$U$24:U448),$B$11))))</f>
        <v>0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0</v>
      </c>
      <c r="J449" s="16" t="n">
        <f aca="false">IF(D449="","",$B$12)</f>
        <v>0.25</v>
      </c>
      <c r="K449" s="16" t="n">
        <f aca="false">IF(J449="","",J449*$B$15)</f>
        <v>0.648</v>
      </c>
      <c r="L449" s="16" t="n">
        <f aca="false">IF(D449="","",H449+E449-K449-G449*I449)</f>
        <v>-0.495693456522786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0</v>
      </c>
      <c r="N449" s="16" t="n">
        <f aca="false">IF(D449="","",(I449+M449)/2)</f>
        <v>0</v>
      </c>
      <c r="O449" s="16" t="n">
        <f aca="false">IF(D449="","",G449*N449)</f>
        <v>0</v>
      </c>
      <c r="P449" s="16" t="n">
        <f aca="false">IF(D449="","",H449+E449-K449-O449)</f>
        <v>-0.495693456522786</v>
      </c>
      <c r="Q449" s="16" t="n">
        <f aca="false">IF(D449="","",IF(P449&gt;=0,K449,MAX(0,K449+P449)))</f>
        <v>0.152306543477215</v>
      </c>
      <c r="R449" s="16" t="n">
        <f aca="false">IF(D449="","",Q449/$B$15)</f>
        <v>0.0587602405390488</v>
      </c>
      <c r="S449" s="16" t="n">
        <f aca="false">IF(D449="","",MAX(0,J449-R449))</f>
        <v>0.191239759460951</v>
      </c>
      <c r="T449" s="16" t="n">
        <f aca="false">IF(D449="","",MAX(0,Z449-$B$8))</f>
        <v>0</v>
      </c>
      <c r="U449" s="16" t="n">
        <f aca="false">IF(D449="","",MAX(0,MIN($B$8,Z449)))</f>
        <v>0</v>
      </c>
      <c r="V449" s="16" t="str">
        <f aca="false">IF(D449="","",IF(S449&gt;0.0000001,"Sim","Não"))</f>
        <v>Sim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0</v>
      </c>
      <c r="Z449" s="18" t="n">
        <f aca="false">IF(D449="","",MAX(0,IF(P449&gt;=0,P449,IF(K449+P449&gt;=0,0,P449+K449))))</f>
        <v>0</v>
      </c>
      <c r="AA449" s="18" t="n">
        <f aca="false">IF(D449="","",IF(H449&lt;=$B$16,1,IF(H449&gt;=$B$17,$B$21,MATCH(H449,Aux_CAV!$A$2:$A$121,1))))</f>
        <v>1</v>
      </c>
      <c r="AB449" s="18" t="n">
        <f aca="false">IF(D449="","",IF(L449&lt;=$B$16,1,IF(L449&gt;=$B$17,$B$21,MATCH(L449,Aux_CAV!$A$2:$A$121,1))))</f>
        <v>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0.0251463226311092</v>
      </c>
      <c r="E450" s="16" t="n">
        <f aca="false">IF(D450="","",D450*$B$15)</f>
        <v>0.065179268259835</v>
      </c>
      <c r="F450" s="16" t="n">
        <f aca="false" t="array" ref="F450:F450">IF(D450="","",IFERROR(INDEX(Dados_Evap!$C$2:$N$15,MATCH($B$9,Dados_Evap!$A$2:$A$15,0),C450),0))</f>
        <v>145.2</v>
      </c>
      <c r="G450" s="16" t="n">
        <f aca="false">IF(F450="","",F450/1000)</f>
        <v>0.1452</v>
      </c>
      <c r="H450" s="16" t="n">
        <f aca="false">IF(D450="","",MAX(0,MIN($B$8,IFERROR(LOOKUP(2,1/($U$24:U449&lt;&gt;""),$U$24:U449),$B$11))))</f>
        <v>0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0</v>
      </c>
      <c r="J450" s="16" t="n">
        <f aca="false">IF(D450="","",$B$12)</f>
        <v>0.25</v>
      </c>
      <c r="K450" s="16" t="n">
        <f aca="false">IF(J450="","",J450*$B$15)</f>
        <v>0.648</v>
      </c>
      <c r="L450" s="16" t="n">
        <f aca="false">IF(D450="","",H450+E450-K450-G450*I450)</f>
        <v>-0.582820731740165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0</v>
      </c>
      <c r="N450" s="16" t="n">
        <f aca="false">IF(D450="","",(I450+M450)/2)</f>
        <v>0</v>
      </c>
      <c r="O450" s="16" t="n">
        <f aca="false">IF(D450="","",G450*N450)</f>
        <v>0</v>
      </c>
      <c r="P450" s="16" t="n">
        <f aca="false">IF(D450="","",H450+E450-K450-O450)</f>
        <v>-0.582820731740165</v>
      </c>
      <c r="Q450" s="16" t="n">
        <f aca="false">IF(D450="","",IF(P450&gt;=0,K450,MAX(0,K450+P450)))</f>
        <v>0.065179268259835</v>
      </c>
      <c r="R450" s="16" t="n">
        <f aca="false">IF(D450="","",Q450/$B$15)</f>
        <v>0.0251463226311092</v>
      </c>
      <c r="S450" s="16" t="n">
        <f aca="false">IF(D450="","",MAX(0,J450-R450))</f>
        <v>0.224853677368891</v>
      </c>
      <c r="T450" s="16" t="n">
        <f aca="false">IF(D450="","",MAX(0,Z450-$B$8))</f>
        <v>0</v>
      </c>
      <c r="U450" s="16" t="n">
        <f aca="false">IF(D450="","",MAX(0,MIN($B$8,Z450)))</f>
        <v>0</v>
      </c>
      <c r="V450" s="16" t="str">
        <f aca="false">IF(D450="","",IF(S450&gt;0.0000001,"Sim","Não"))</f>
        <v>Sim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0</v>
      </c>
      <c r="Z450" s="18" t="n">
        <f aca="false">IF(D450="","",MAX(0,IF(P450&gt;=0,P450,IF(K450+P450&gt;=0,0,P450+K450))))</f>
        <v>0</v>
      </c>
      <c r="AA450" s="18" t="n">
        <f aca="false">IF(D450="","",IF(H450&lt;=$B$16,1,IF(H450&gt;=$B$17,$B$21,MATCH(H450,Aux_CAV!$A$2:$A$121,1))))</f>
        <v>1</v>
      </c>
      <c r="AB450" s="18" t="n">
        <f aca="false">IF(D450="","",IF(L450&lt;=$B$16,1,IF(L450&gt;=$B$17,$B$21,MATCH(L450,Aux_CAV!$A$2:$A$121,1))))</f>
        <v>1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0.00999106757470571</v>
      </c>
      <c r="E451" s="16" t="n">
        <f aca="false">IF(D451="","",D451*$B$15)</f>
        <v>0.0258968471536372</v>
      </c>
      <c r="F451" s="16" t="n">
        <f aca="false" t="array" ref="F451:F451">IF(D451="","",IFERROR(INDEX(Dados_Evap!$C$2:$N$15,MATCH($B$9,Dados_Evap!$A$2:$A$15,0),C451),0))</f>
        <v>180.9</v>
      </c>
      <c r="G451" s="16" t="n">
        <f aca="false">IF(F451="","",F451/1000)</f>
        <v>0.1809</v>
      </c>
      <c r="H451" s="16" t="n">
        <f aca="false">IF(D451="","",MAX(0,MIN($B$8,IFERROR(LOOKUP(2,1/($U$24:U450&lt;&gt;""),$U$24:U450),$B$11))))</f>
        <v>0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0</v>
      </c>
      <c r="J451" s="16" t="n">
        <f aca="false">IF(D451="","",$B$12)</f>
        <v>0.25</v>
      </c>
      <c r="K451" s="16" t="n">
        <f aca="false">IF(J451="","",J451*$B$15)</f>
        <v>0.648</v>
      </c>
      <c r="L451" s="16" t="n">
        <f aca="false">IF(D451="","",H451+E451-K451-G451*I451)</f>
        <v>-0.622103152846363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0</v>
      </c>
      <c r="N451" s="16" t="n">
        <f aca="false">IF(D451="","",(I451+M451)/2)</f>
        <v>0</v>
      </c>
      <c r="O451" s="16" t="n">
        <f aca="false">IF(D451="","",G451*N451)</f>
        <v>0</v>
      </c>
      <c r="P451" s="16" t="n">
        <f aca="false">IF(D451="","",H451+E451-K451-O451)</f>
        <v>-0.622103152846363</v>
      </c>
      <c r="Q451" s="16" t="n">
        <f aca="false">IF(D451="","",IF(P451&gt;=0,K451,MAX(0,K451+P451)))</f>
        <v>0.0258968471536372</v>
      </c>
      <c r="R451" s="16" t="n">
        <f aca="false">IF(D451="","",Q451/$B$15)</f>
        <v>0.00999106757470569</v>
      </c>
      <c r="S451" s="16" t="n">
        <f aca="false">IF(D451="","",MAX(0,J451-R451))</f>
        <v>0.240008932425294</v>
      </c>
      <c r="T451" s="16" t="n">
        <f aca="false">IF(D451="","",MAX(0,Z451-$B$8))</f>
        <v>0</v>
      </c>
      <c r="U451" s="16" t="n">
        <f aca="false">IF(D451="","",MAX(0,MIN($B$8,Z451)))</f>
        <v>0</v>
      </c>
      <c r="V451" s="16" t="str">
        <f aca="false">IF(D451="","",IF(S451&gt;0.0000001,"Sim","Não"))</f>
        <v>Sim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0</v>
      </c>
      <c r="Z451" s="18" t="n">
        <f aca="false">IF(D451="","",MAX(0,IF(P451&gt;=0,P451,IF(K451+P451&gt;=0,0,P451+K451))))</f>
        <v>0</v>
      </c>
      <c r="AA451" s="18" t="n">
        <f aca="false">IF(D451="","",IF(H451&lt;=$B$16,1,IF(H451&gt;=$B$17,$B$21,MATCH(H451,Aux_CAV!$A$2:$A$121,1))))</f>
        <v>1</v>
      </c>
      <c r="AB451" s="18" t="n">
        <f aca="false">IF(D451="","",IF(L451&lt;=$B$16,1,IF(L451&gt;=$B$17,$B$21,MATCH(L451,Aux_CAV!$A$2:$A$121,1))))</f>
        <v>1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0.00592465723796421</v>
      </c>
      <c r="E452" s="16" t="n">
        <f aca="false">IF(D452="","",D452*$B$15)</f>
        <v>0.0153567115608032</v>
      </c>
      <c r="F452" s="16" t="n">
        <f aca="false" t="array" ref="F452:F452">IF(D452="","",IFERROR(INDEX(Dados_Evap!$C$2:$N$15,MATCH($B$9,Dados_Evap!$A$2:$A$15,0),C452),0))</f>
        <v>208.9</v>
      </c>
      <c r="G452" s="16" t="n">
        <f aca="false">IF(F452="","",F452/1000)</f>
        <v>0.2089</v>
      </c>
      <c r="H452" s="16" t="n">
        <f aca="false">IF(D452="","",MAX(0,MIN($B$8,IFERROR(LOOKUP(2,1/($U$24:U451&lt;&gt;""),$U$24:U451),$B$11))))</f>
        <v>0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0</v>
      </c>
      <c r="J452" s="16" t="n">
        <f aca="false">IF(D452="","",$B$12)</f>
        <v>0.25</v>
      </c>
      <c r="K452" s="16" t="n">
        <f aca="false">IF(J452="","",J452*$B$15)</f>
        <v>0.648</v>
      </c>
      <c r="L452" s="16" t="n">
        <f aca="false">IF(D452="","",H452+E452-K452-G452*I452)</f>
        <v>-0.632643288439197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0</v>
      </c>
      <c r="N452" s="16" t="n">
        <f aca="false">IF(D452="","",(I452+M452)/2)</f>
        <v>0</v>
      </c>
      <c r="O452" s="16" t="n">
        <f aca="false">IF(D452="","",G452*N452)</f>
        <v>0</v>
      </c>
      <c r="P452" s="16" t="n">
        <f aca="false">IF(D452="","",H452+E452-K452-O452)</f>
        <v>-0.632643288439197</v>
      </c>
      <c r="Q452" s="16" t="n">
        <f aca="false">IF(D452="","",IF(P452&gt;=0,K452,MAX(0,K452+P452)))</f>
        <v>0.0153567115608032</v>
      </c>
      <c r="R452" s="16" t="n">
        <f aca="false">IF(D452="","",Q452/$B$15)</f>
        <v>0.0059246572379642</v>
      </c>
      <c r="S452" s="16" t="n">
        <f aca="false">IF(D452="","",MAX(0,J452-R452))</f>
        <v>0.244075342762036</v>
      </c>
      <c r="T452" s="16" t="n">
        <f aca="false">IF(D452="","",MAX(0,Z452-$B$8))</f>
        <v>0</v>
      </c>
      <c r="U452" s="16" t="n">
        <f aca="false">IF(D452="","",MAX(0,MIN($B$8,Z452)))</f>
        <v>0</v>
      </c>
      <c r="V452" s="16" t="str">
        <f aca="false">IF(D452="","",IF(S452&gt;0.0000001,"Sim","Não"))</f>
        <v>Sim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0</v>
      </c>
      <c r="Z452" s="18" t="n">
        <f aca="false">IF(D452="","",MAX(0,IF(P452&gt;=0,P452,IF(K452+P452&gt;=0,0,P452+K452))))</f>
        <v>0</v>
      </c>
      <c r="AA452" s="18" t="n">
        <f aca="false">IF(D452="","",IF(H452&lt;=$B$16,1,IF(H452&gt;=$B$17,$B$21,MATCH(H452,Aux_CAV!$A$2:$A$121,1))))</f>
        <v>1</v>
      </c>
      <c r="AB452" s="18" t="n">
        <f aca="false">IF(D452="","",IF(L452&lt;=$B$16,1,IF(L452&gt;=$B$17,$B$21,MATCH(L452,Aux_CAV!$A$2:$A$121,1))))</f>
        <v>1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0.00467032237145408</v>
      </c>
      <c r="E453" s="16" t="n">
        <f aca="false">IF(D453="","",D453*$B$15)</f>
        <v>0.012105475586809</v>
      </c>
      <c r="F453" s="16" t="n">
        <f aca="false" t="array" ref="F453:F453">IF(D453="","",IFERROR(INDEX(Dados_Evap!$C$2:$N$15,MATCH($B$9,Dados_Evap!$A$2:$A$15,0),C453),0))</f>
        <v>235.9</v>
      </c>
      <c r="G453" s="16" t="n">
        <f aca="false">IF(F453="","",F453/1000)</f>
        <v>0.2359</v>
      </c>
      <c r="H453" s="16" t="n">
        <f aca="false">IF(D453="","",MAX(0,MIN($B$8,IFERROR(LOOKUP(2,1/($U$24:U452&lt;&gt;""),$U$24:U452),$B$11))))</f>
        <v>0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0</v>
      </c>
      <c r="J453" s="16" t="n">
        <f aca="false">IF(D453="","",$B$12)</f>
        <v>0.25</v>
      </c>
      <c r="K453" s="16" t="n">
        <f aca="false">IF(J453="","",J453*$B$15)</f>
        <v>0.648</v>
      </c>
      <c r="L453" s="16" t="n">
        <f aca="false">IF(D453="","",H453+E453-K453-G453*I453)</f>
        <v>-0.635894524413191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</v>
      </c>
      <c r="N453" s="16" t="n">
        <f aca="false">IF(D453="","",(I453+M453)/2)</f>
        <v>0</v>
      </c>
      <c r="O453" s="16" t="n">
        <f aca="false">IF(D453="","",G453*N453)</f>
        <v>0</v>
      </c>
      <c r="P453" s="16" t="n">
        <f aca="false">IF(D453="","",H453+E453-K453-O453)</f>
        <v>-0.635894524413191</v>
      </c>
      <c r="Q453" s="16" t="n">
        <f aca="false">IF(D453="","",IF(P453&gt;=0,K453,MAX(0,K453+P453)))</f>
        <v>0.012105475586809</v>
      </c>
      <c r="R453" s="16" t="n">
        <f aca="false">IF(D453="","",Q453/$B$15)</f>
        <v>0.00467032237145408</v>
      </c>
      <c r="S453" s="16" t="n">
        <f aca="false">IF(D453="","",MAX(0,J453-R453))</f>
        <v>0.245329677628546</v>
      </c>
      <c r="T453" s="16" t="n">
        <f aca="false">IF(D453="","",MAX(0,Z453-$B$8))</f>
        <v>0</v>
      </c>
      <c r="U453" s="16" t="n">
        <f aca="false">IF(D453="","",MAX(0,MIN($B$8,Z453)))</f>
        <v>0</v>
      </c>
      <c r="V453" s="16" t="str">
        <f aca="false">IF(D453="","",IF(S453&gt;0.0000001,"Sim","Não"))</f>
        <v>Sim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0</v>
      </c>
      <c r="Z453" s="18" t="n">
        <f aca="false">IF(D453="","",MAX(0,IF(P453&gt;=0,P453,IF(K453+P453&gt;=0,0,P453+K453))))</f>
        <v>0</v>
      </c>
      <c r="AA453" s="18" t="n">
        <f aca="false">IF(D453="","",IF(H453&lt;=$B$16,1,IF(H453&gt;=$B$17,$B$21,MATCH(H453,Aux_CAV!$A$2:$A$121,1))))</f>
        <v>1</v>
      </c>
      <c r="AB453" s="18" t="n">
        <f aca="false">IF(D453="","",IF(L453&lt;=$B$16,1,IF(L453&gt;=$B$17,$B$21,MATCH(L453,Aux_CAV!$A$2:$A$121,1))))</f>
        <v>1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0.00311820368285991</v>
      </c>
      <c r="E454" s="16" t="n">
        <f aca="false">IF(D454="","",D454*$B$15)</f>
        <v>0.00808238394597289</v>
      </c>
      <c r="F454" s="16" t="n">
        <f aca="false" t="array" ref="F454:F454">IF(D454="","",IFERROR(INDEX(Dados_Evap!$C$2:$N$15,MATCH($B$9,Dados_Evap!$A$2:$A$15,0),C454),0))</f>
        <v>225.9</v>
      </c>
      <c r="G454" s="16" t="n">
        <f aca="false">IF(F454="","",F454/1000)</f>
        <v>0.2259</v>
      </c>
      <c r="H454" s="16" t="n">
        <f aca="false">IF(D454="","",MAX(0,MIN($B$8,IFERROR(LOOKUP(2,1/($U$24:U453&lt;&gt;""),$U$24:U453),$B$11))))</f>
        <v>0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</v>
      </c>
      <c r="J454" s="16" t="n">
        <f aca="false">IF(D454="","",$B$12)</f>
        <v>0.25</v>
      </c>
      <c r="K454" s="16" t="n">
        <f aca="false">IF(J454="","",J454*$B$15)</f>
        <v>0.648</v>
      </c>
      <c r="L454" s="16" t="n">
        <f aca="false">IF(D454="","",H454+E454-K454-G454*I454)</f>
        <v>-0.639917616054027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</v>
      </c>
      <c r="N454" s="16" t="n">
        <f aca="false">IF(D454="","",(I454+M454)/2)</f>
        <v>0</v>
      </c>
      <c r="O454" s="16" t="n">
        <f aca="false">IF(D454="","",G454*N454)</f>
        <v>0</v>
      </c>
      <c r="P454" s="16" t="n">
        <f aca="false">IF(D454="","",H454+E454-K454-O454)</f>
        <v>-0.639917616054027</v>
      </c>
      <c r="Q454" s="16" t="n">
        <f aca="false">IF(D454="","",IF(P454&gt;=0,K454,MAX(0,K454+P454)))</f>
        <v>0.00808238394597294</v>
      </c>
      <c r="R454" s="16" t="n">
        <f aca="false">IF(D454="","",Q454/$B$15)</f>
        <v>0.00311820368285993</v>
      </c>
      <c r="S454" s="16" t="n">
        <f aca="false">IF(D454="","",MAX(0,J454-R454))</f>
        <v>0.24688179631714</v>
      </c>
      <c r="T454" s="16" t="n">
        <f aca="false">IF(D454="","",MAX(0,Z454-$B$8))</f>
        <v>0</v>
      </c>
      <c r="U454" s="16" t="n">
        <f aca="false">IF(D454="","",MAX(0,MIN($B$8,Z454)))</f>
        <v>0</v>
      </c>
      <c r="V454" s="16" t="str">
        <f aca="false">IF(D454="","",IF(S454&gt;0.0000001,"Sim","Não"))</f>
        <v>Sim</v>
      </c>
      <c r="W454" s="16" t="n">
        <f aca="false">IF(D454="","",U454-(H454+E454-Q454-O454-T454))</f>
        <v>5.03069808033274E-017</v>
      </c>
      <c r="X454" s="16" t="n">
        <f aca="false">IF(W454="","",ABS(W454))</f>
        <v>5.03069808033274E-017</v>
      </c>
      <c r="Y454" s="16" t="n">
        <f aca="false">IF(U454="","",IF($B$8=0,0,U454/$B$8*100))</f>
        <v>0</v>
      </c>
      <c r="Z454" s="18" t="n">
        <f aca="false">IF(D454="","",MAX(0,IF(P454&gt;=0,P454,IF(K454+P454&gt;=0,0,P454+K454))))</f>
        <v>0</v>
      </c>
      <c r="AA454" s="18" t="n">
        <f aca="false">IF(D454="","",IF(H454&lt;=$B$16,1,IF(H454&gt;=$B$17,$B$21,MATCH(H454,Aux_CAV!$A$2:$A$121,1))))</f>
        <v>1</v>
      </c>
      <c r="AB454" s="18" t="n">
        <f aca="false">IF(D454="","",IF(L454&lt;=$B$16,1,IF(L454&gt;=$B$17,$B$21,MATCH(L454,Aux_CAV!$A$2:$A$121,1))))</f>
        <v>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0.00300819897268308</v>
      </c>
      <c r="E455" s="16" t="n">
        <f aca="false">IF(D455="","",D455*$B$15)</f>
        <v>0.00779725173719454</v>
      </c>
      <c r="F455" s="16" t="n">
        <f aca="false" t="array" ref="F455:F455">IF(D455="","",IFERROR(INDEX(Dados_Evap!$C$2:$N$15,MATCH($B$9,Dados_Evap!$A$2:$A$15,0),C455),0))</f>
        <v>206</v>
      </c>
      <c r="G455" s="16" t="n">
        <f aca="false">IF(F455="","",F455/1000)</f>
        <v>0.206</v>
      </c>
      <c r="H455" s="16" t="n">
        <f aca="false">IF(D455="","",MAX(0,MIN($B$8,IFERROR(LOOKUP(2,1/($U$24:U454&lt;&gt;""),$U$24:U454),$B$11))))</f>
        <v>0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</v>
      </c>
      <c r="J455" s="16" t="n">
        <f aca="false">IF(D455="","",$B$12)</f>
        <v>0.25</v>
      </c>
      <c r="K455" s="16" t="n">
        <f aca="false">IF(J455="","",J455*$B$15)</f>
        <v>0.648</v>
      </c>
      <c r="L455" s="16" t="n">
        <f aca="false">IF(D455="","",H455+E455-K455-G455*I455)</f>
        <v>-0.640202748262805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</v>
      </c>
      <c r="N455" s="16" t="n">
        <f aca="false">IF(D455="","",(I455+M455)/2)</f>
        <v>0</v>
      </c>
      <c r="O455" s="16" t="n">
        <f aca="false">IF(D455="","",G455*N455)</f>
        <v>0</v>
      </c>
      <c r="P455" s="16" t="n">
        <f aca="false">IF(D455="","",H455+E455-K455-O455)</f>
        <v>-0.640202748262805</v>
      </c>
      <c r="Q455" s="16" t="n">
        <f aca="false">IF(D455="","",IF(P455&gt;=0,K455,MAX(0,K455+P455)))</f>
        <v>0.00779725173719459</v>
      </c>
      <c r="R455" s="16" t="n">
        <f aca="false">IF(D455="","",Q455/$B$15)</f>
        <v>0.0030081989726831</v>
      </c>
      <c r="S455" s="16" t="n">
        <f aca="false">IF(D455="","",MAX(0,J455-R455))</f>
        <v>0.246991801027317</v>
      </c>
      <c r="T455" s="16" t="n">
        <f aca="false">IF(D455="","",MAX(0,Z455-$B$8))</f>
        <v>0</v>
      </c>
      <c r="U455" s="16" t="n">
        <f aca="false">IF(D455="","",MAX(0,MIN($B$8,Z455)))</f>
        <v>0</v>
      </c>
      <c r="V455" s="16" t="str">
        <f aca="false">IF(D455="","",IF(S455&gt;0.0000001,"Sim","Não"))</f>
        <v>Sim</v>
      </c>
      <c r="W455" s="16" t="n">
        <f aca="false">IF(D455="","",U455-(H455+E455-Q455-O455-T455))</f>
        <v>4.42354486374086E-017</v>
      </c>
      <c r="X455" s="16" t="n">
        <f aca="false">IF(W455="","",ABS(W455))</f>
        <v>4.42354486374086E-017</v>
      </c>
      <c r="Y455" s="16" t="n">
        <f aca="false">IF(U455="","",IF($B$8=0,0,U455/$B$8*100))</f>
        <v>0</v>
      </c>
      <c r="Z455" s="18" t="n">
        <f aca="false">IF(D455="","",MAX(0,IF(P455&gt;=0,P455,IF(K455+P455&gt;=0,0,P455+K455))))</f>
        <v>0</v>
      </c>
      <c r="AA455" s="18" t="n">
        <f aca="false">IF(D455="","",IF(H455&lt;=$B$16,1,IF(H455&gt;=$B$17,$B$21,MATCH(H455,Aux_CAV!$A$2:$A$121,1))))</f>
        <v>1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0.0846486835284589</v>
      </c>
      <c r="E456" s="16" t="n">
        <f aca="false">IF(D456="","",D456*$B$15)</f>
        <v>0.219409387705765</v>
      </c>
      <c r="F456" s="16" t="n">
        <f aca="false" t="array" ref="F456:F456">IF(D456="","",IFERROR(INDEX(Dados_Evap!$C$2:$N$15,MATCH($B$9,Dados_Evap!$A$2:$A$15,0),C456),0))</f>
        <v>165.6</v>
      </c>
      <c r="G456" s="16" t="n">
        <f aca="false">IF(F456="","",F456/1000)</f>
        <v>0.1656</v>
      </c>
      <c r="H456" s="16" t="n">
        <f aca="false">IF(D456="","",MAX(0,MIN($B$8,IFERROR(LOOKUP(2,1/($U$24:U455&lt;&gt;""),$U$24:U455),$B$11))))</f>
        <v>0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</v>
      </c>
      <c r="J456" s="16" t="n">
        <f aca="false">IF(D456="","",$B$12)</f>
        <v>0.25</v>
      </c>
      <c r="K456" s="16" t="n">
        <f aca="false">IF(J456="","",J456*$B$15)</f>
        <v>0.648</v>
      </c>
      <c r="L456" s="16" t="n">
        <f aca="false">IF(D456="","",H456+E456-K456-G456*I456)</f>
        <v>-0.428590612294235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</v>
      </c>
      <c r="N456" s="16" t="n">
        <f aca="false">IF(D456="","",(I456+M456)/2)</f>
        <v>0</v>
      </c>
      <c r="O456" s="16" t="n">
        <f aca="false">IF(D456="","",G456*N456)</f>
        <v>0</v>
      </c>
      <c r="P456" s="16" t="n">
        <f aca="false">IF(D456="","",H456+E456-K456-O456)</f>
        <v>-0.428590612294235</v>
      </c>
      <c r="Q456" s="16" t="n">
        <f aca="false">IF(D456="","",IF(P456&gt;=0,K456,MAX(0,K456+P456)))</f>
        <v>0.219409387705765</v>
      </c>
      <c r="R456" s="16" t="n">
        <f aca="false">IF(D456="","",Q456/$B$15)</f>
        <v>0.0846486835284589</v>
      </c>
      <c r="S456" s="16" t="n">
        <f aca="false">IF(D456="","",MAX(0,J456-R456))</f>
        <v>0.165351316471541</v>
      </c>
      <c r="T456" s="16" t="n">
        <f aca="false">IF(D456="","",MAX(0,Z456-$B$8))</f>
        <v>0</v>
      </c>
      <c r="U456" s="16" t="n">
        <f aca="false">IF(D456="","",MAX(0,MIN($B$8,Z456)))</f>
        <v>0</v>
      </c>
      <c r="V456" s="16" t="str">
        <f aca="false">IF(D456="","",IF(S456&gt;0.0000001,"Sim","Não"))</f>
        <v>Sim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0</v>
      </c>
      <c r="Z456" s="18" t="n">
        <f aca="false">IF(D456="","",MAX(0,IF(P456&gt;=0,P456,IF(K456+P456&gt;=0,0,P456+K456))))</f>
        <v>0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0.104044892165985</v>
      </c>
      <c r="E457" s="16" t="n">
        <f aca="false">IF(D457="","",D457*$B$15)</f>
        <v>0.269684360494233</v>
      </c>
      <c r="F457" s="16" t="n">
        <f aca="false" t="array" ref="F457:F457">IF(D457="","",IFERROR(INDEX(Dados_Evap!$C$2:$N$15,MATCH($B$9,Dados_Evap!$A$2:$A$15,0),C457),0))</f>
        <v>124.9</v>
      </c>
      <c r="G457" s="16" t="n">
        <f aca="false">IF(F457="","",F457/1000)</f>
        <v>0.1249</v>
      </c>
      <c r="H457" s="16" t="n">
        <f aca="false">IF(D457="","",MAX(0,MIN($B$8,IFERROR(LOOKUP(2,1/($U$24:U456&lt;&gt;""),$U$24:U456),$B$11))))</f>
        <v>0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</v>
      </c>
      <c r="J457" s="16" t="n">
        <f aca="false">IF(D457="","",$B$12)</f>
        <v>0.25</v>
      </c>
      <c r="K457" s="16" t="n">
        <f aca="false">IF(J457="","",J457*$B$15)</f>
        <v>0.648</v>
      </c>
      <c r="L457" s="16" t="n">
        <f aca="false">IF(D457="","",H457+E457-K457-G457*I457)</f>
        <v>-0.378315639505767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</v>
      </c>
      <c r="N457" s="16" t="n">
        <f aca="false">IF(D457="","",(I457+M457)/2)</f>
        <v>0</v>
      </c>
      <c r="O457" s="16" t="n">
        <f aca="false">IF(D457="","",G457*N457)</f>
        <v>0</v>
      </c>
      <c r="P457" s="16" t="n">
        <f aca="false">IF(D457="","",H457+E457-K457-O457)</f>
        <v>-0.378315639505767</v>
      </c>
      <c r="Q457" s="16" t="n">
        <f aca="false">IF(D457="","",IF(P457&gt;=0,K457,MAX(0,K457+P457)))</f>
        <v>0.269684360494233</v>
      </c>
      <c r="R457" s="16" t="n">
        <f aca="false">IF(D457="","",Q457/$B$15)</f>
        <v>0.104044892165985</v>
      </c>
      <c r="S457" s="16" t="n">
        <f aca="false">IF(D457="","",MAX(0,J457-R457))</f>
        <v>0.145955107834015</v>
      </c>
      <c r="T457" s="16" t="n">
        <f aca="false">IF(D457="","",MAX(0,Z457-$B$8))</f>
        <v>0</v>
      </c>
      <c r="U457" s="16" t="n">
        <f aca="false">IF(D457="","",MAX(0,MIN($B$8,Z457)))</f>
        <v>0</v>
      </c>
      <c r="V457" s="16" t="str">
        <f aca="false">IF(D457="","",IF(S457&gt;0.0000001,"Sim","Não"))</f>
        <v>Sim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0</v>
      </c>
      <c r="Z457" s="18" t="n">
        <f aca="false">IF(D457="","",MAX(0,IF(P457&gt;=0,P457,IF(K457+P457&gt;=0,0,P457+K457))))</f>
        <v>0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0.315793091538332</v>
      </c>
      <c r="E458" s="16" t="n">
        <f aca="false">IF(D458="","",D458*$B$15)</f>
        <v>0.818535693267357</v>
      </c>
      <c r="F458" s="16" t="n">
        <f aca="false" t="array" ref="F458:F458">IF(D458="","",IFERROR(INDEX(Dados_Evap!$C$2:$N$15,MATCH($B$9,Dados_Evap!$A$2:$A$15,0),C458),0))</f>
        <v>88.2</v>
      </c>
      <c r="G458" s="16" t="n">
        <f aca="false">IF(F458="","",F458/1000)</f>
        <v>0.0882</v>
      </c>
      <c r="H458" s="16" t="n">
        <f aca="false">IF(D458="","",MAX(0,MIN($B$8,IFERROR(LOOKUP(2,1/($U$24:U457&lt;&gt;""),$U$24:U457),$B$11))))</f>
        <v>0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</v>
      </c>
      <c r="J458" s="16" t="n">
        <f aca="false">IF(D458="","",$B$12)</f>
        <v>0.25</v>
      </c>
      <c r="K458" s="16" t="n">
        <f aca="false">IF(J458="","",J458*$B$15)</f>
        <v>0.648</v>
      </c>
      <c r="L458" s="16" t="n">
        <f aca="false">IF(D458="","",H458+E458-K458-G458*I458)</f>
        <v>0.170535693267357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0.0611957432685902</v>
      </c>
      <c r="N458" s="16" t="n">
        <f aca="false">IF(D458="","",(I458+M458)/2)</f>
        <v>0.0305978716342951</v>
      </c>
      <c r="O458" s="16" t="n">
        <f aca="false">IF(D458="","",G458*N458)</f>
        <v>0.00269873227814483</v>
      </c>
      <c r="P458" s="16" t="n">
        <f aca="false">IF(D458="","",H458+E458-K458-O458)</f>
        <v>0.167836960989212</v>
      </c>
      <c r="Q458" s="16" t="n">
        <f aca="false">IF(D458="","",IF(P458&gt;=0,K458,MAX(0,K458+P458)))</f>
        <v>0.648</v>
      </c>
      <c r="R458" s="16" t="n">
        <f aca="false">IF(D458="","",Q458/$B$15)</f>
        <v>0.25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0.167836960989212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0.787966953000994</v>
      </c>
      <c r="Z458" s="18" t="n">
        <f aca="false">IF(D458="","",MAX(0,IF(P458&gt;=0,P458,IF(K458+P458&gt;=0,0,P458+K458))))</f>
        <v>0.167836960989212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0.505410939900873</v>
      </c>
      <c r="E459" s="16" t="n">
        <f aca="false">IF(D459="","",D459*$B$15)</f>
        <v>1.31002515622306</v>
      </c>
      <c r="F459" s="16" t="n">
        <f aca="false" t="array" ref="F459:F459">IF(D459="","",IFERROR(INDEX(Dados_Evap!$C$2:$N$15,MATCH($B$9,Dados_Evap!$A$2:$A$15,0),C459),0))</f>
        <v>88.2</v>
      </c>
      <c r="G459" s="16" t="n">
        <f aca="false">IF(F459="","",F459/1000)</f>
        <v>0.0882</v>
      </c>
      <c r="H459" s="16" t="n">
        <f aca="false">IF(D459="","",MAX(0,MIN($B$8,IFERROR(LOOKUP(2,1/($U$24:U458&lt;&gt;""),$U$24:U458),$B$11))))</f>
        <v>0.167836960989212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0.0602733917304901</v>
      </c>
      <c r="J459" s="16" t="n">
        <f aca="false">IF(D459="","",$B$12)</f>
        <v>0.25</v>
      </c>
      <c r="K459" s="16" t="n">
        <f aca="false">IF(J459="","",J459*$B$15)</f>
        <v>0.648</v>
      </c>
      <c r="L459" s="16" t="n">
        <f aca="false">IF(D459="","",H459+E459-K459-G459*I459)</f>
        <v>0.824546004061646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0.284718254552714</v>
      </c>
      <c r="N459" s="16" t="n">
        <f aca="false">IF(D459="","",(I459+M459)/2)</f>
        <v>0.172495823141602</v>
      </c>
      <c r="O459" s="16" t="n">
        <f aca="false">IF(D459="","",G459*N459)</f>
        <v>0.0152141316010893</v>
      </c>
      <c r="P459" s="16" t="n">
        <f aca="false">IF(D459="","",H459+E459-K459-O459)</f>
        <v>0.814647985611186</v>
      </c>
      <c r="Q459" s="16" t="n">
        <f aca="false">IF(D459="","",IF(P459&gt;=0,K459,MAX(0,K459+P459)))</f>
        <v>0.648</v>
      </c>
      <c r="R459" s="16" t="n">
        <f aca="false">IF(D459="","",Q459/$B$15)</f>
        <v>0.25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0.814647985611186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3.82463843009946</v>
      </c>
      <c r="Z459" s="18" t="n">
        <f aca="false">IF(D459="","",MAX(0,IF(P459&gt;=0,P459,IF(K459+P459&gt;=0,0,P459+K459))))</f>
        <v>0.814647985611186</v>
      </c>
      <c r="AA459" s="18" t="n">
        <f aca="false">IF(D459="","",IF(H459&lt;=$B$16,1,IF(H459&gt;=$B$17,$B$21,MATCH(H459,Aux_CAV!$A$2:$A$121,1))))</f>
        <v>2</v>
      </c>
      <c r="AB459" s="18" t="n">
        <f aca="false">IF(D459="","",IF(L459&lt;=$B$16,1,IF(L459&gt;=$B$17,$B$21,MATCH(L459,Aux_CAV!$A$2:$A$121,1))))</f>
        <v>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0.143101854315995</v>
      </c>
      <c r="E460" s="16" t="n">
        <f aca="false">IF(D460="","",D460*$B$15)</f>
        <v>0.370920006387059</v>
      </c>
      <c r="F460" s="16" t="n">
        <f aca="false" t="array" ref="F460:F460">IF(D460="","",IFERROR(INDEX(Dados_Evap!$C$2:$N$15,MATCH($B$9,Dados_Evap!$A$2:$A$15,0),C460),0))</f>
        <v>83.9</v>
      </c>
      <c r="G460" s="16" t="n">
        <f aca="false">IF(F460="","",F460/1000)</f>
        <v>0.0839</v>
      </c>
      <c r="H460" s="16" t="n">
        <f aca="false">IF(D460="","",MAX(0,MIN($B$8,IFERROR(LOOKUP(2,1/($U$24:U459&lt;&gt;""),$U$24:U459),$B$11))))</f>
        <v>0.814647985611186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0.281335387487367</v>
      </c>
      <c r="J460" s="16" t="n">
        <f aca="false">IF(D460="","",$B$12)</f>
        <v>0.25</v>
      </c>
      <c r="K460" s="16" t="n">
        <f aca="false">IF(J460="","",J460*$B$15)</f>
        <v>0.648</v>
      </c>
      <c r="L460" s="16" t="n">
        <f aca="false">IF(D460="","",H460+E460-K460-G460*I460)</f>
        <v>0.513963952988054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0.17856995861617</v>
      </c>
      <c r="N460" s="16" t="n">
        <f aca="false">IF(D460="","",(I460+M460)/2)</f>
        <v>0.229952673051769</v>
      </c>
      <c r="O460" s="16" t="n">
        <f aca="false">IF(D460="","",G460*N460)</f>
        <v>0.0192930292690434</v>
      </c>
      <c r="P460" s="16" t="n">
        <f aca="false">IF(D460="","",H460+E460-K460-O460)</f>
        <v>0.518274962729201</v>
      </c>
      <c r="Q460" s="16" t="n">
        <f aca="false">IF(D460="","",IF(P460&gt;=0,K460,MAX(0,K460+P460)))</f>
        <v>0.648</v>
      </c>
      <c r="R460" s="16" t="n">
        <f aca="false">IF(D460="","",Q460/$B$15)</f>
        <v>0.25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0.518274962729201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2.43321578746104</v>
      </c>
      <c r="Z460" s="18" t="n">
        <f aca="false">IF(D460="","",MAX(0,IF(P460&gt;=0,P460,IF(K460+P460&gt;=0,0,P460+K460))))</f>
        <v>0.518274962729201</v>
      </c>
      <c r="AA460" s="18" t="n">
        <f aca="false">IF(D460="","",IF(H460&lt;=$B$16,1,IF(H460&gt;=$B$17,$B$21,MATCH(H460,Aux_CAV!$A$2:$A$121,1))))</f>
        <v>2</v>
      </c>
      <c r="AB460" s="18" t="n">
        <f aca="false">IF(D460="","",IF(L460&lt;=$B$16,1,IF(L460&gt;=$B$17,$B$21,MATCH(L460,Aux_CAV!$A$2:$A$121,1))))</f>
        <v>2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0.147729615828844</v>
      </c>
      <c r="E461" s="16" t="n">
        <f aca="false">IF(D461="","",D461*$B$15)</f>
        <v>0.382915164228364</v>
      </c>
      <c r="F461" s="16" t="n">
        <f aca="false" t="array" ref="F461:F461">IF(D461="","",IFERROR(INDEX(Dados_Evap!$C$2:$N$15,MATCH($B$9,Dados_Evap!$A$2:$A$15,0),C461),0))</f>
        <v>104.7</v>
      </c>
      <c r="G461" s="16" t="n">
        <f aca="false">IF(F461="","",F461/1000)</f>
        <v>0.1047</v>
      </c>
      <c r="H461" s="16" t="n">
        <f aca="false">IF(D461="","",MAX(0,MIN($B$8,IFERROR(LOOKUP(2,1/($U$24:U460&lt;&gt;""),$U$24:U460),$B$11))))</f>
        <v>0.518274962729201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0.180043341692259</v>
      </c>
      <c r="J461" s="16" t="n">
        <f aca="false">IF(D461="","",$B$12)</f>
        <v>0.25</v>
      </c>
      <c r="K461" s="16" t="n">
        <f aca="false">IF(J461="","",J461*$B$15)</f>
        <v>0.648</v>
      </c>
      <c r="L461" s="16" t="n">
        <f aca="false">IF(D461="","",H461+E461-K461-G461*I461)</f>
        <v>0.234339589082385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0.0830021380408152</v>
      </c>
      <c r="N461" s="16" t="n">
        <f aca="false">IF(D461="","",(I461+M461)/2)</f>
        <v>0.131522739866537</v>
      </c>
      <c r="O461" s="16" t="n">
        <f aca="false">IF(D461="","",G461*N461)</f>
        <v>0.0137704308640264</v>
      </c>
      <c r="P461" s="16" t="n">
        <f aca="false">IF(D461="","",H461+E461-K461-O461)</f>
        <v>0.239419696093538</v>
      </c>
      <c r="Q461" s="16" t="n">
        <f aca="false">IF(D461="","",IF(P461&gt;=0,K461,MAX(0,K461+P461)))</f>
        <v>0.648</v>
      </c>
      <c r="R461" s="16" t="n">
        <f aca="false">IF(D461="","",Q461/$B$15)</f>
        <v>0.25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0.239419696093538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1.12403613189455</v>
      </c>
      <c r="Z461" s="18" t="n">
        <f aca="false">IF(D461="","",MAX(0,IF(P461&gt;=0,P461,IF(K461+P461&gt;=0,0,P461+K461))))</f>
        <v>0.239419696093538</v>
      </c>
      <c r="AA461" s="18" t="n">
        <f aca="false">IF(D461="","",IF(H461&lt;=$B$16,1,IF(H461&gt;=$B$17,$B$21,MATCH(H461,Aux_CAV!$A$2:$A$121,1))))</f>
        <v>2</v>
      </c>
      <c r="AB461" s="18" t="n">
        <f aca="false">IF(D461="","",IF(L461&lt;=$B$16,1,IF(L461&gt;=$B$17,$B$21,MATCH(L461,Aux_CAV!$A$2:$A$121,1))))</f>
        <v>2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0.0268884950064084</v>
      </c>
      <c r="E462" s="16" t="n">
        <f aca="false">IF(D462="","",D462*$B$15)</f>
        <v>0.0696949790566106</v>
      </c>
      <c r="F462" s="16" t="n">
        <f aca="false" t="array" ref="F462:F462">IF(D462="","",IFERROR(INDEX(Dados_Evap!$C$2:$N$15,MATCH($B$9,Dados_Evap!$A$2:$A$15,0),C462),0))</f>
        <v>145.2</v>
      </c>
      <c r="G462" s="16" t="n">
        <f aca="false">IF(F462="","",F462/1000)</f>
        <v>0.1452</v>
      </c>
      <c r="H462" s="16" t="n">
        <f aca="false">IF(D462="","",MAX(0,MIN($B$8,IFERROR(LOOKUP(2,1/($U$24:U461&lt;&gt;""),$U$24:U461),$B$11))))</f>
        <v>0.239419696093538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0.0847383771458928</v>
      </c>
      <c r="J462" s="16" t="n">
        <f aca="false">IF(D462="","",$B$12)</f>
        <v>0.25</v>
      </c>
      <c r="K462" s="16" t="n">
        <f aca="false">IF(J462="","",J462*$B$15)</f>
        <v>0.648</v>
      </c>
      <c r="L462" s="16" t="n">
        <f aca="false">IF(D462="","",H462+E462-K462-G462*I462)</f>
        <v>-0.351189337211435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0</v>
      </c>
      <c r="N462" s="16" t="n">
        <f aca="false">IF(D462="","",(I462+M462)/2)</f>
        <v>0.0423691885729464</v>
      </c>
      <c r="O462" s="16" t="n">
        <f aca="false">IF(D462="","",G462*N462)</f>
        <v>0.00615200618079182</v>
      </c>
      <c r="P462" s="16" t="n">
        <f aca="false">IF(D462="","",H462+E462-K462-O462)</f>
        <v>-0.345037331030643</v>
      </c>
      <c r="Q462" s="16" t="n">
        <f aca="false">IF(D462="","",IF(P462&gt;=0,K462,MAX(0,K462+P462)))</f>
        <v>0.302962668969357</v>
      </c>
      <c r="R462" s="16" t="n">
        <f aca="false">IF(D462="","",Q462/$B$15)</f>
        <v>0.116883745744351</v>
      </c>
      <c r="S462" s="16" t="n">
        <f aca="false">IF(D462="","",MAX(0,J462-R462))</f>
        <v>0.133116254255649</v>
      </c>
      <c r="T462" s="16" t="n">
        <f aca="false">IF(D462="","",MAX(0,Z462-$B$8))</f>
        <v>0</v>
      </c>
      <c r="U462" s="16" t="n">
        <f aca="false">IF(D462="","",MAX(0,MIN($B$8,Z462)))</f>
        <v>0</v>
      </c>
      <c r="V462" s="16" t="str">
        <f aca="false">IF(D462="","",IF(S462&gt;0.0000001,"Sim","Não"))</f>
        <v>Sim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0</v>
      </c>
      <c r="Z462" s="18" t="n">
        <f aca="false">IF(D462="","",MAX(0,IF(P462&gt;=0,P462,IF(K462+P462&gt;=0,0,P462+K462))))</f>
        <v>0</v>
      </c>
      <c r="AA462" s="18" t="n">
        <f aca="false">IF(D462="","",IF(H462&lt;=$B$16,1,IF(H462&gt;=$B$17,$B$21,MATCH(H462,Aux_CAV!$A$2:$A$121,1))))</f>
        <v>2</v>
      </c>
      <c r="AB462" s="18" t="n">
        <f aca="false">IF(D462="","",IF(L462&lt;=$B$16,1,IF(L462&gt;=$B$17,$B$21,MATCH(L462,Aux_CAV!$A$2:$A$121,1))))</f>
        <v>1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0.0211272613162624</v>
      </c>
      <c r="E463" s="16" t="n">
        <f aca="false">IF(D463="","",D463*$B$15)</f>
        <v>0.0547618613317521</v>
      </c>
      <c r="F463" s="16" t="n">
        <f aca="false" t="array" ref="F463:F463">IF(D463="","",IFERROR(INDEX(Dados_Evap!$C$2:$N$15,MATCH($B$9,Dados_Evap!$A$2:$A$15,0),C463),0))</f>
        <v>180.9</v>
      </c>
      <c r="G463" s="16" t="n">
        <f aca="false">IF(F463="","",F463/1000)</f>
        <v>0.1809</v>
      </c>
      <c r="H463" s="16" t="n">
        <f aca="false">IF(D463="","",MAX(0,MIN($B$8,IFERROR(LOOKUP(2,1/($U$24:U462&lt;&gt;""),$U$24:U462),$B$11))))</f>
        <v>0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0</v>
      </c>
      <c r="J463" s="16" t="n">
        <f aca="false">IF(D463="","",$B$12)</f>
        <v>0.25</v>
      </c>
      <c r="K463" s="16" t="n">
        <f aca="false">IF(J463="","",J463*$B$15)</f>
        <v>0.648</v>
      </c>
      <c r="L463" s="16" t="n">
        <f aca="false">IF(D463="","",H463+E463-K463-G463*I463)</f>
        <v>-0.593238138668248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0</v>
      </c>
      <c r="N463" s="16" t="n">
        <f aca="false">IF(D463="","",(I463+M463)/2)</f>
        <v>0</v>
      </c>
      <c r="O463" s="16" t="n">
        <f aca="false">IF(D463="","",G463*N463)</f>
        <v>0</v>
      </c>
      <c r="P463" s="16" t="n">
        <f aca="false">IF(D463="","",H463+E463-K463-O463)</f>
        <v>-0.593238138668248</v>
      </c>
      <c r="Q463" s="16" t="n">
        <f aca="false">IF(D463="","",IF(P463&gt;=0,K463,MAX(0,K463+P463)))</f>
        <v>0.0547618613317521</v>
      </c>
      <c r="R463" s="16" t="n">
        <f aca="false">IF(D463="","",Q463/$B$15)</f>
        <v>0.0211272613162624</v>
      </c>
      <c r="S463" s="16" t="n">
        <f aca="false">IF(D463="","",MAX(0,J463-R463))</f>
        <v>0.228872738683738</v>
      </c>
      <c r="T463" s="16" t="n">
        <f aca="false">IF(D463="","",MAX(0,Z463-$B$8))</f>
        <v>0</v>
      </c>
      <c r="U463" s="16" t="n">
        <f aca="false">IF(D463="","",MAX(0,MIN($B$8,Z463)))</f>
        <v>0</v>
      </c>
      <c r="V463" s="16" t="str">
        <f aca="false">IF(D463="","",IF(S463&gt;0.0000001,"Sim","Não"))</f>
        <v>Sim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0</v>
      </c>
      <c r="Z463" s="18" t="n">
        <f aca="false">IF(D463="","",MAX(0,IF(P463&gt;=0,P463,IF(K463+P463&gt;=0,0,P463+K463))))</f>
        <v>0</v>
      </c>
      <c r="AA463" s="18" t="n">
        <f aca="false">IF(D463="","",IF(H463&lt;=$B$16,1,IF(H463&gt;=$B$17,$B$21,MATCH(H463,Aux_CAV!$A$2:$A$121,1))))</f>
        <v>1</v>
      </c>
      <c r="AB463" s="18" t="n">
        <f aca="false">IF(D463="","",IF(L463&lt;=$B$16,1,IF(L463&gt;=$B$17,$B$21,MATCH(L463,Aux_CAV!$A$2:$A$121,1))))</f>
        <v>1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0.0142998036486091</v>
      </c>
      <c r="E464" s="16" t="n">
        <f aca="false">IF(D464="","",D464*$B$15)</f>
        <v>0.0370650910571948</v>
      </c>
      <c r="F464" s="16" t="n">
        <f aca="false" t="array" ref="F464:F464">IF(D464="","",IFERROR(INDEX(Dados_Evap!$C$2:$N$15,MATCH($B$9,Dados_Evap!$A$2:$A$15,0),C464),0))</f>
        <v>208.9</v>
      </c>
      <c r="G464" s="16" t="n">
        <f aca="false">IF(F464="","",F464/1000)</f>
        <v>0.2089</v>
      </c>
      <c r="H464" s="16" t="n">
        <f aca="false">IF(D464="","",MAX(0,MIN($B$8,IFERROR(LOOKUP(2,1/($U$24:U463&lt;&gt;""),$U$24:U463),$B$11))))</f>
        <v>0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0</v>
      </c>
      <c r="J464" s="16" t="n">
        <f aca="false">IF(D464="","",$B$12)</f>
        <v>0.25</v>
      </c>
      <c r="K464" s="16" t="n">
        <f aca="false">IF(J464="","",J464*$B$15)</f>
        <v>0.648</v>
      </c>
      <c r="L464" s="16" t="n">
        <f aca="false">IF(D464="","",H464+E464-K464-G464*I464)</f>
        <v>-0.610934908942805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0</v>
      </c>
      <c r="N464" s="16" t="n">
        <f aca="false">IF(D464="","",(I464+M464)/2)</f>
        <v>0</v>
      </c>
      <c r="O464" s="16" t="n">
        <f aca="false">IF(D464="","",G464*N464)</f>
        <v>0</v>
      </c>
      <c r="P464" s="16" t="n">
        <f aca="false">IF(D464="","",H464+E464-K464-O464)</f>
        <v>-0.610934908942805</v>
      </c>
      <c r="Q464" s="16" t="n">
        <f aca="false">IF(D464="","",IF(P464&gt;=0,K464,MAX(0,K464+P464)))</f>
        <v>0.0370650910571948</v>
      </c>
      <c r="R464" s="16" t="n">
        <f aca="false">IF(D464="","",Q464/$B$15)</f>
        <v>0.0142998036486091</v>
      </c>
      <c r="S464" s="16" t="n">
        <f aca="false">IF(D464="","",MAX(0,J464-R464))</f>
        <v>0.235700196351391</v>
      </c>
      <c r="T464" s="16" t="n">
        <f aca="false">IF(D464="","",MAX(0,Z464-$B$8))</f>
        <v>0</v>
      </c>
      <c r="U464" s="16" t="n">
        <f aca="false">IF(D464="","",MAX(0,MIN($B$8,Z464)))</f>
        <v>0</v>
      </c>
      <c r="V464" s="16" t="str">
        <f aca="false">IF(D464="","",IF(S464&gt;0.0000001,"Sim","Não"))</f>
        <v>Sim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0</v>
      </c>
      <c r="Z464" s="18" t="n">
        <f aca="false">IF(D464="","",MAX(0,IF(P464&gt;=0,P464,IF(K464+P464&gt;=0,0,P464+K464))))</f>
        <v>0</v>
      </c>
      <c r="AA464" s="18" t="n">
        <f aca="false">IF(D464="","",IF(H464&lt;=$B$16,1,IF(H464&gt;=$B$17,$B$21,MATCH(H464,Aux_CAV!$A$2:$A$121,1))))</f>
        <v>1</v>
      </c>
      <c r="AB464" s="18" t="n">
        <f aca="false">IF(D464="","",IF(L464&lt;=$B$16,1,IF(L464&gt;=$B$17,$B$21,MATCH(L464,Aux_CAV!$A$2:$A$121,1))))</f>
        <v>1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0.00856534890259456</v>
      </c>
      <c r="E465" s="16" t="n">
        <f aca="false">IF(D465="","",D465*$B$15)</f>
        <v>0.0222013843555251</v>
      </c>
      <c r="F465" s="16" t="n">
        <f aca="false" t="array" ref="F465:F465">IF(D465="","",IFERROR(INDEX(Dados_Evap!$C$2:$N$15,MATCH($B$9,Dados_Evap!$A$2:$A$15,0),C465),0))</f>
        <v>235.9</v>
      </c>
      <c r="G465" s="16" t="n">
        <f aca="false">IF(F465="","",F465/1000)</f>
        <v>0.2359</v>
      </c>
      <c r="H465" s="16" t="n">
        <f aca="false">IF(D465="","",MAX(0,MIN($B$8,IFERROR(LOOKUP(2,1/($U$24:U464&lt;&gt;""),$U$24:U464),$B$11))))</f>
        <v>0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0</v>
      </c>
      <c r="J465" s="16" t="n">
        <f aca="false">IF(D465="","",$B$12)</f>
        <v>0.25</v>
      </c>
      <c r="K465" s="16" t="n">
        <f aca="false">IF(J465="","",J465*$B$15)</f>
        <v>0.648</v>
      </c>
      <c r="L465" s="16" t="n">
        <f aca="false">IF(D465="","",H465+E465-K465-G465*I465)</f>
        <v>-0.625798615644475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</v>
      </c>
      <c r="N465" s="16" t="n">
        <f aca="false">IF(D465="","",(I465+M465)/2)</f>
        <v>0</v>
      </c>
      <c r="O465" s="16" t="n">
        <f aca="false">IF(D465="","",G465*N465)</f>
        <v>0</v>
      </c>
      <c r="P465" s="16" t="n">
        <f aca="false">IF(D465="","",H465+E465-K465-O465)</f>
        <v>-0.625798615644475</v>
      </c>
      <c r="Q465" s="16" t="n">
        <f aca="false">IF(D465="","",IF(P465&gt;=0,K465,MAX(0,K465+P465)))</f>
        <v>0.0222013843555251</v>
      </c>
      <c r="R465" s="16" t="n">
        <f aca="false">IF(D465="","",Q465/$B$15)</f>
        <v>0.00856534890259456</v>
      </c>
      <c r="S465" s="16" t="n">
        <f aca="false">IF(D465="","",MAX(0,J465-R465))</f>
        <v>0.241434651097405</v>
      </c>
      <c r="T465" s="16" t="n">
        <f aca="false">IF(D465="","",MAX(0,Z465-$B$8))</f>
        <v>0</v>
      </c>
      <c r="U465" s="16" t="n">
        <f aca="false">IF(D465="","",MAX(0,MIN($B$8,Z465)))</f>
        <v>0</v>
      </c>
      <c r="V465" s="16" t="str">
        <f aca="false">IF(D465="","",IF(S465&gt;0.0000001,"Sim","Não"))</f>
        <v>Sim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0</v>
      </c>
      <c r="Z465" s="18" t="n">
        <f aca="false">IF(D465="","",MAX(0,IF(P465&gt;=0,P465,IF(K465+P465&gt;=0,0,P465+K465))))</f>
        <v>0</v>
      </c>
      <c r="AA465" s="18" t="n">
        <f aca="false">IF(D465="","",IF(H465&lt;=$B$16,1,IF(H465&gt;=$B$17,$B$21,MATCH(H465,Aux_CAV!$A$2:$A$121,1))))</f>
        <v>1</v>
      </c>
      <c r="AB465" s="18" t="n">
        <f aca="false">IF(D465="","",IF(L465&lt;=$B$16,1,IF(L465&gt;=$B$17,$B$21,MATCH(L465,Aux_CAV!$A$2:$A$121,1))))</f>
        <v>1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0.00527519359317234</v>
      </c>
      <c r="E466" s="16" t="n">
        <f aca="false">IF(D466="","",D466*$B$15)</f>
        <v>0.0136733017935027</v>
      </c>
      <c r="F466" s="16" t="n">
        <f aca="false" t="array" ref="F466:F466">IF(D466="","",IFERROR(INDEX(Dados_Evap!$C$2:$N$15,MATCH($B$9,Dados_Evap!$A$2:$A$15,0),C466),0))</f>
        <v>225.9</v>
      </c>
      <c r="G466" s="16" t="n">
        <f aca="false">IF(F466="","",F466/1000)</f>
        <v>0.2259</v>
      </c>
      <c r="H466" s="16" t="n">
        <f aca="false">IF(D466="","",MAX(0,MIN($B$8,IFERROR(LOOKUP(2,1/($U$24:U465&lt;&gt;""),$U$24:U465),$B$11))))</f>
        <v>0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</v>
      </c>
      <c r="J466" s="16" t="n">
        <f aca="false">IF(D466="","",$B$12)</f>
        <v>0.25</v>
      </c>
      <c r="K466" s="16" t="n">
        <f aca="false">IF(J466="","",J466*$B$15)</f>
        <v>0.648</v>
      </c>
      <c r="L466" s="16" t="n">
        <f aca="false">IF(D466="","",H466+E466-K466-G466*I466)</f>
        <v>-0.634326698206497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</v>
      </c>
      <c r="N466" s="16" t="n">
        <f aca="false">IF(D466="","",(I466+M466)/2)</f>
        <v>0</v>
      </c>
      <c r="O466" s="16" t="n">
        <f aca="false">IF(D466="","",G466*N466)</f>
        <v>0</v>
      </c>
      <c r="P466" s="16" t="n">
        <f aca="false">IF(D466="","",H466+E466-K466-O466)</f>
        <v>-0.634326698206497</v>
      </c>
      <c r="Q466" s="16" t="n">
        <f aca="false">IF(D466="","",IF(P466&gt;=0,K466,MAX(0,K466+P466)))</f>
        <v>0.0136733017935027</v>
      </c>
      <c r="R466" s="16" t="n">
        <f aca="false">IF(D466="","",Q466/$B$15)</f>
        <v>0.00527519359317233</v>
      </c>
      <c r="S466" s="16" t="n">
        <f aca="false">IF(D466="","",MAX(0,J466-R466))</f>
        <v>0.244724806406828</v>
      </c>
      <c r="T466" s="16" t="n">
        <f aca="false">IF(D466="","",MAX(0,Z466-$B$8))</f>
        <v>0</v>
      </c>
      <c r="U466" s="16" t="n">
        <f aca="false">IF(D466="","",MAX(0,MIN($B$8,Z466)))</f>
        <v>0</v>
      </c>
      <c r="V466" s="16" t="str">
        <f aca="false">IF(D466="","",IF(S466&gt;0.0000001,"Sim","Não"))</f>
        <v>Sim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0</v>
      </c>
      <c r="Z466" s="18" t="n">
        <f aca="false">IF(D466="","",MAX(0,IF(P466&gt;=0,P466,IF(K466+P466&gt;=0,0,P466+K466))))</f>
        <v>0</v>
      </c>
      <c r="AA466" s="18" t="n">
        <f aca="false">IF(D466="","",IF(H466&lt;=$B$16,1,IF(H466&gt;=$B$17,$B$21,MATCH(H466,Aux_CAV!$A$2:$A$121,1))))</f>
        <v>1</v>
      </c>
      <c r="AB466" s="18" t="n">
        <f aca="false">IF(D466="","",IF(L466&lt;=$B$16,1,IF(L466&gt;=$B$17,$B$21,MATCH(L466,Aux_CAV!$A$2:$A$121,1))))</f>
        <v>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0.00794046559318789</v>
      </c>
      <c r="E467" s="16" t="n">
        <f aca="false">IF(D467="","",D467*$B$15)</f>
        <v>0.020581686817543</v>
      </c>
      <c r="F467" s="16" t="n">
        <f aca="false" t="array" ref="F467:F467">IF(D467="","",IFERROR(INDEX(Dados_Evap!$C$2:$N$15,MATCH($B$9,Dados_Evap!$A$2:$A$15,0),C467),0))</f>
        <v>206</v>
      </c>
      <c r="G467" s="16" t="n">
        <f aca="false">IF(F467="","",F467/1000)</f>
        <v>0.206</v>
      </c>
      <c r="H467" s="16" t="n">
        <f aca="false">IF(D467="","",MAX(0,MIN($B$8,IFERROR(LOOKUP(2,1/($U$24:U466&lt;&gt;""),$U$24:U466),$B$11))))</f>
        <v>0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</v>
      </c>
      <c r="J467" s="16" t="n">
        <f aca="false">IF(D467="","",$B$12)</f>
        <v>0.25</v>
      </c>
      <c r="K467" s="16" t="n">
        <f aca="false">IF(J467="","",J467*$B$15)</f>
        <v>0.648</v>
      </c>
      <c r="L467" s="16" t="n">
        <f aca="false">IF(D467="","",H467+E467-K467-G467*I467)</f>
        <v>-0.627418313182457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</v>
      </c>
      <c r="N467" s="16" t="n">
        <f aca="false">IF(D467="","",(I467+M467)/2)</f>
        <v>0</v>
      </c>
      <c r="O467" s="16" t="n">
        <f aca="false">IF(D467="","",G467*N467)</f>
        <v>0</v>
      </c>
      <c r="P467" s="16" t="n">
        <f aca="false">IF(D467="","",H467+E467-K467-O467)</f>
        <v>-0.627418313182457</v>
      </c>
      <c r="Q467" s="16" t="n">
        <f aca="false">IF(D467="","",IF(P467&gt;=0,K467,MAX(0,K467+P467)))</f>
        <v>0.020581686817543</v>
      </c>
      <c r="R467" s="16" t="n">
        <f aca="false">IF(D467="","",Q467/$B$15)</f>
        <v>0.00794046559318789</v>
      </c>
      <c r="S467" s="16" t="n">
        <f aca="false">IF(D467="","",MAX(0,J467-R467))</f>
        <v>0.242059534406812</v>
      </c>
      <c r="T467" s="16" t="n">
        <f aca="false">IF(D467="","",MAX(0,Z467-$B$8))</f>
        <v>0</v>
      </c>
      <c r="U467" s="16" t="n">
        <f aca="false">IF(D467="","",MAX(0,MIN($B$8,Z467)))</f>
        <v>0</v>
      </c>
      <c r="V467" s="16" t="str">
        <f aca="false">IF(D467="","",IF(S467&gt;0.0000001,"Sim","Não"))</f>
        <v>Sim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0</v>
      </c>
      <c r="Z467" s="18" t="n">
        <f aca="false">IF(D467="","",MAX(0,IF(P467&gt;=0,P467,IF(K467+P467&gt;=0,0,P467+K467))))</f>
        <v>0</v>
      </c>
      <c r="AA467" s="18" t="n">
        <f aca="false">IF(D467="","",IF(H467&lt;=$B$16,1,IF(H467&gt;=$B$17,$B$21,MATCH(H467,Aux_CAV!$A$2:$A$121,1))))</f>
        <v>1</v>
      </c>
      <c r="AB467" s="18" t="n">
        <f aca="false">IF(D467="","",IF(L467&lt;=$B$16,1,IF(L467&gt;=$B$17,$B$21,MATCH(L467,Aux_CAV!$A$2:$A$121,1))))</f>
        <v>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0.0116729292674424</v>
      </c>
      <c r="E468" s="16" t="n">
        <f aca="false">IF(D468="","",D468*$B$15)</f>
        <v>0.0302562326612107</v>
      </c>
      <c r="F468" s="16" t="n">
        <f aca="false" t="array" ref="F468:F468">IF(D468="","",IFERROR(INDEX(Dados_Evap!$C$2:$N$15,MATCH($B$9,Dados_Evap!$A$2:$A$15,0),C468),0))</f>
        <v>165.6</v>
      </c>
      <c r="G468" s="16" t="n">
        <f aca="false">IF(F468="","",F468/1000)</f>
        <v>0.1656</v>
      </c>
      <c r="H468" s="16" t="n">
        <f aca="false">IF(D468="","",MAX(0,MIN($B$8,IFERROR(LOOKUP(2,1/($U$24:U467&lt;&gt;""),$U$24:U467),$B$11))))</f>
        <v>0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</v>
      </c>
      <c r="J468" s="16" t="n">
        <f aca="false">IF(D468="","",$B$12)</f>
        <v>0.25</v>
      </c>
      <c r="K468" s="16" t="n">
        <f aca="false">IF(J468="","",J468*$B$15)</f>
        <v>0.648</v>
      </c>
      <c r="L468" s="16" t="n">
        <f aca="false">IF(D468="","",H468+E468-K468-G468*I468)</f>
        <v>-0.617743767338789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</v>
      </c>
      <c r="N468" s="16" t="n">
        <f aca="false">IF(D468="","",(I468+M468)/2)</f>
        <v>0</v>
      </c>
      <c r="O468" s="16" t="n">
        <f aca="false">IF(D468="","",G468*N468)</f>
        <v>0</v>
      </c>
      <c r="P468" s="16" t="n">
        <f aca="false">IF(D468="","",H468+E468-K468-O468)</f>
        <v>-0.617743767338789</v>
      </c>
      <c r="Q468" s="16" t="n">
        <f aca="false">IF(D468="","",IF(P468&gt;=0,K468,MAX(0,K468+P468)))</f>
        <v>0.0302562326612107</v>
      </c>
      <c r="R468" s="16" t="n">
        <f aca="false">IF(D468="","",Q468/$B$15)</f>
        <v>0.0116729292674424</v>
      </c>
      <c r="S468" s="16" t="n">
        <f aca="false">IF(D468="","",MAX(0,J468-R468))</f>
        <v>0.238327070732558</v>
      </c>
      <c r="T468" s="16" t="n">
        <f aca="false">IF(D468="","",MAX(0,Z468-$B$8))</f>
        <v>0</v>
      </c>
      <c r="U468" s="16" t="n">
        <f aca="false">IF(D468="","",MAX(0,MIN($B$8,Z468)))</f>
        <v>0</v>
      </c>
      <c r="V468" s="16" t="str">
        <f aca="false">IF(D468="","",IF(S468&gt;0.0000001,"Sim","Não"))</f>
        <v>Sim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0</v>
      </c>
      <c r="Z468" s="18" t="n">
        <f aca="false">IF(D468="","",MAX(0,IF(P468&gt;=0,P468,IF(K468+P468&gt;=0,0,P468+K468))))</f>
        <v>0</v>
      </c>
      <c r="AA468" s="18" t="n">
        <f aca="false">IF(D468="","",IF(H468&lt;=$B$16,1,IF(H468&gt;=$B$17,$B$21,MATCH(H468,Aux_CAV!$A$2:$A$121,1))))</f>
        <v>1</v>
      </c>
      <c r="AB468" s="18" t="n">
        <f aca="false">IF(D468="","",IF(L468&lt;=$B$16,1,IF(L468&gt;=$B$17,$B$21,MATCH(L468,Aux_CAV!$A$2:$A$121,1))))</f>
        <v>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0.171151464218455</v>
      </c>
      <c r="E469" s="16" t="n">
        <f aca="false">IF(D469="","",D469*$B$15)</f>
        <v>0.443624595254235</v>
      </c>
      <c r="F469" s="16" t="n">
        <f aca="false" t="array" ref="F469:F469">IF(D469="","",IFERROR(INDEX(Dados_Evap!$C$2:$N$15,MATCH($B$9,Dados_Evap!$A$2:$A$15,0),C469),0))</f>
        <v>124.9</v>
      </c>
      <c r="G469" s="16" t="n">
        <f aca="false">IF(F469="","",F469/1000)</f>
        <v>0.1249</v>
      </c>
      <c r="H469" s="16" t="n">
        <f aca="false">IF(D469="","",MAX(0,MIN($B$8,IFERROR(LOOKUP(2,1/($U$24:U468&lt;&gt;""),$U$24:U468),$B$11))))</f>
        <v>0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</v>
      </c>
      <c r="J469" s="16" t="n">
        <f aca="false">IF(D469="","",$B$12)</f>
        <v>0.25</v>
      </c>
      <c r="K469" s="16" t="n">
        <f aca="false">IF(J469="","",J469*$B$15)</f>
        <v>0.648</v>
      </c>
      <c r="L469" s="16" t="n">
        <f aca="false">IF(D469="","",H469+E469-K469-G469*I469)</f>
        <v>-0.204375404745765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</v>
      </c>
      <c r="N469" s="16" t="n">
        <f aca="false">IF(D469="","",(I469+M469)/2)</f>
        <v>0</v>
      </c>
      <c r="O469" s="16" t="n">
        <f aca="false">IF(D469="","",G469*N469)</f>
        <v>0</v>
      </c>
      <c r="P469" s="16" t="n">
        <f aca="false">IF(D469="","",H469+E469-K469-O469)</f>
        <v>-0.204375404745765</v>
      </c>
      <c r="Q469" s="16" t="n">
        <f aca="false">IF(D469="","",IF(P469&gt;=0,K469,MAX(0,K469+P469)))</f>
        <v>0.443624595254235</v>
      </c>
      <c r="R469" s="16" t="n">
        <f aca="false">IF(D469="","",Q469/$B$15)</f>
        <v>0.171151464218455</v>
      </c>
      <c r="S469" s="16" t="n">
        <f aca="false">IF(D469="","",MAX(0,J469-R469))</f>
        <v>0.078848535781545</v>
      </c>
      <c r="T469" s="16" t="n">
        <f aca="false">IF(D469="","",MAX(0,Z469-$B$8))</f>
        <v>0</v>
      </c>
      <c r="U469" s="16" t="n">
        <f aca="false">IF(D469="","",MAX(0,MIN($B$8,Z469)))</f>
        <v>0</v>
      </c>
      <c r="V469" s="16" t="str">
        <f aca="false">IF(D469="","",IF(S469&gt;0.0000001,"Sim","Não"))</f>
        <v>Sim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0</v>
      </c>
      <c r="Z469" s="18" t="n">
        <f aca="false">IF(D469="","",MAX(0,IF(P469&gt;=0,P469,IF(K469+P469&gt;=0,0,P469+K469))))</f>
        <v>0</v>
      </c>
      <c r="AA469" s="18" t="n">
        <f aca="false">IF(D469="","",IF(H469&lt;=$B$16,1,IF(H469&gt;=$B$17,$B$21,MATCH(H469,Aux_CAV!$A$2:$A$121,1))))</f>
        <v>1</v>
      </c>
      <c r="AB469" s="18" t="n">
        <f aca="false">IF(D469="","",IF(L469&lt;=$B$16,1,IF(L469&gt;=$B$17,$B$21,MATCH(L469,Aux_CAV!$A$2:$A$121,1))))</f>
        <v>1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0.438729478166225</v>
      </c>
      <c r="E470" s="16" t="n">
        <f aca="false">IF(D470="","",D470*$B$15)</f>
        <v>1.13718680740686</v>
      </c>
      <c r="F470" s="16" t="n">
        <f aca="false" t="array" ref="F470:F470">IF(D470="","",IFERROR(INDEX(Dados_Evap!$C$2:$N$15,MATCH($B$9,Dados_Evap!$A$2:$A$15,0),C470),0))</f>
        <v>88.2</v>
      </c>
      <c r="G470" s="16" t="n">
        <f aca="false">IF(F470="","",F470/1000)</f>
        <v>0.0882</v>
      </c>
      <c r="H470" s="16" t="n">
        <f aca="false">IF(D470="","",MAX(0,MIN($B$8,IFERROR(LOOKUP(2,1/($U$24:U469&lt;&gt;""),$U$24:U469),$B$11))))</f>
        <v>0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</v>
      </c>
      <c r="J470" s="16" t="n">
        <f aca="false">IF(D470="","",$B$12)</f>
        <v>0.25</v>
      </c>
      <c r="K470" s="16" t="n">
        <f aca="false">IF(J470="","",J470*$B$15)</f>
        <v>0.648</v>
      </c>
      <c r="L470" s="16" t="n">
        <f aca="false">IF(D470="","",H470+E470-K470-G470*I470)</f>
        <v>0.489186807406855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0.170101820252976</v>
      </c>
      <c r="N470" s="16" t="n">
        <f aca="false">IF(D470="","",(I470+M470)/2)</f>
        <v>0.0850509101264879</v>
      </c>
      <c r="O470" s="16" t="n">
        <f aca="false">IF(D470="","",G470*N470)</f>
        <v>0.00750149027315623</v>
      </c>
      <c r="P470" s="16" t="n">
        <f aca="false">IF(D470="","",H470+E470-K470-O470)</f>
        <v>0.481685317133699</v>
      </c>
      <c r="Q470" s="16" t="n">
        <f aca="false">IF(D470="","",IF(P470&gt;=0,K470,MAX(0,K470+P470)))</f>
        <v>0.648</v>
      </c>
      <c r="R470" s="16" t="n">
        <f aca="false">IF(D470="","",Q470/$B$15)</f>
        <v>0.25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0.481685317133699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2.26143341377323</v>
      </c>
      <c r="Z470" s="18" t="n">
        <f aca="false">IF(D470="","",MAX(0,IF(P470&gt;=0,P470,IF(K470+P470&gt;=0,0,P470+K470))))</f>
        <v>0.481685317133699</v>
      </c>
      <c r="AA470" s="18" t="n">
        <f aca="false">IF(D470="","",IF(H470&lt;=$B$16,1,IF(H470&gt;=$B$17,$B$21,MATCH(H470,Aux_CAV!$A$2:$A$121,1))))</f>
        <v>1</v>
      </c>
      <c r="AB470" s="18" t="n">
        <f aca="false">IF(D470="","",IF(L470&lt;=$B$16,1,IF(L470&gt;=$B$17,$B$21,MATCH(L470,Aux_CAV!$A$2:$A$121,1))))</f>
        <v>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0.715571032104034</v>
      </c>
      <c r="E471" s="16" t="n">
        <f aca="false">IF(D471="","",D471*$B$15)</f>
        <v>1.85476011521366</v>
      </c>
      <c r="F471" s="16" t="n">
        <f aca="false" t="array" ref="F471:F471">IF(D471="","",IFERROR(INDEX(Dados_Evap!$C$2:$N$15,MATCH($B$9,Dados_Evap!$A$2:$A$15,0),C471),0))</f>
        <v>88.2</v>
      </c>
      <c r="G471" s="16" t="n">
        <f aca="false">IF(F471="","",F471/1000)</f>
        <v>0.0882</v>
      </c>
      <c r="H471" s="16" t="n">
        <f aca="false">IF(D471="","",MAX(0,MIN($B$8,IFERROR(LOOKUP(2,1/($U$24:U470&lt;&gt;""),$U$24:U470),$B$11))))</f>
        <v>0.481685317133699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0.167538019779872</v>
      </c>
      <c r="J471" s="16" t="n">
        <f aca="false">IF(D471="","",$B$12)</f>
        <v>0.25</v>
      </c>
      <c r="K471" s="16" t="n">
        <f aca="false">IF(J471="","",J471*$B$15)</f>
        <v>0.648</v>
      </c>
      <c r="L471" s="16" t="n">
        <f aca="false">IF(D471="","",H471+E471-K471-G471*I471)</f>
        <v>1.67366857900277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0.408041568708357</v>
      </c>
      <c r="N471" s="16" t="n">
        <f aca="false">IF(D471="","",(I471+M471)/2)</f>
        <v>0.287789794244114</v>
      </c>
      <c r="O471" s="16" t="n">
        <f aca="false">IF(D471="","",G471*N471)</f>
        <v>0.0253830598523309</v>
      </c>
      <c r="P471" s="16" t="n">
        <f aca="false">IF(D471="","",H471+E471-K471-O471)</f>
        <v>1.66306237249502</v>
      </c>
      <c r="Q471" s="16" t="n">
        <f aca="false">IF(D471="","",IF(P471&gt;=0,K471,MAX(0,K471+P471)))</f>
        <v>0.648</v>
      </c>
      <c r="R471" s="16" t="n">
        <f aca="false">IF(D471="","",Q471/$B$15)</f>
        <v>0.25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1.66306237249502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7.80780456570434</v>
      </c>
      <c r="Z471" s="18" t="n">
        <f aca="false">IF(D471="","",MAX(0,IF(P471&gt;=0,P471,IF(K471+P471&gt;=0,0,P471+K471))))</f>
        <v>1.66306237249502</v>
      </c>
      <c r="AA471" s="18" t="n">
        <f aca="false">IF(D471="","",IF(H471&lt;=$B$16,1,IF(H471&gt;=$B$17,$B$21,MATCH(H471,Aux_CAV!$A$2:$A$121,1))))</f>
        <v>2</v>
      </c>
      <c r="AB471" s="18" t="n">
        <f aca="false">IF(D471="","",IF(L471&lt;=$B$16,1,IF(L471&gt;=$B$17,$B$21,MATCH(L471,Aux_CAV!$A$2:$A$121,1))))</f>
        <v>3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0.485880554178244</v>
      </c>
      <c r="E472" s="16" t="n">
        <f aca="false">IF(D472="","",D472*$B$15)</f>
        <v>1.25940239643001</v>
      </c>
      <c r="F472" s="16" t="n">
        <f aca="false" t="array" ref="F472:F472">IF(D472="","",IFERROR(INDEX(Dados_Evap!$C$2:$N$15,MATCH($B$9,Dados_Evap!$A$2:$A$15,0),C472),0))</f>
        <v>83.9</v>
      </c>
      <c r="G472" s="16" t="n">
        <f aca="false">IF(F472="","",F472/1000)</f>
        <v>0.0839</v>
      </c>
      <c r="H472" s="16" t="n">
        <f aca="false">IF(D472="","",MAX(0,MIN($B$8,IFERROR(LOOKUP(2,1/($U$24:U471&lt;&gt;""),$U$24:U471),$B$11))))</f>
        <v>1.66306237249502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0.406539804955048</v>
      </c>
      <c r="J472" s="16" t="n">
        <f aca="false">IF(D472="","",$B$12)</f>
        <v>0.25</v>
      </c>
      <c r="K472" s="16" t="n">
        <f aca="false">IF(J472="","",J472*$B$15)</f>
        <v>0.648</v>
      </c>
      <c r="L472" s="16" t="n">
        <f aca="false">IF(D472="","",H472+E472-K472-G472*I472)</f>
        <v>2.2403560792893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0.488280506802025</v>
      </c>
      <c r="N472" s="16" t="n">
        <f aca="false">IF(D472="","",(I472+M472)/2)</f>
        <v>0.447410155878537</v>
      </c>
      <c r="O472" s="16" t="n">
        <f aca="false">IF(D472="","",G472*N472)</f>
        <v>0.0375377120782092</v>
      </c>
      <c r="P472" s="16" t="n">
        <f aca="false">IF(D472="","",H472+E472-K472-O472)</f>
        <v>2.23692705684682</v>
      </c>
      <c r="Q472" s="16" t="n">
        <f aca="false">IF(D472="","",IF(P472&gt;=0,K472,MAX(0,K472+P472)))</f>
        <v>0.648</v>
      </c>
      <c r="R472" s="16" t="n">
        <f aca="false">IF(D472="","",Q472/$B$15)</f>
        <v>0.25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2.23692705684682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10.5020049617222</v>
      </c>
      <c r="Z472" s="18" t="n">
        <f aca="false">IF(D472="","",MAX(0,IF(P472&gt;=0,P472,IF(K472+P472&gt;=0,0,P472+K472))))</f>
        <v>2.23692705684682</v>
      </c>
      <c r="AA472" s="18" t="n">
        <f aca="false">IF(D472="","",IF(H472&lt;=$B$16,1,IF(H472&gt;=$B$17,$B$21,MATCH(H472,Aux_CAV!$A$2:$A$121,1))))</f>
        <v>3</v>
      </c>
      <c r="AB472" s="18" t="n">
        <f aca="false">IF(D472="","",IF(L472&lt;=$B$16,1,IF(L472&gt;=$B$17,$B$21,MATCH(L472,Aux_CAV!$A$2:$A$121,1))))</f>
        <v>3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0.116179157599924</v>
      </c>
      <c r="E473" s="16" t="n">
        <f aca="false">IF(D473="","",D473*$B$15)</f>
        <v>0.301136376499003</v>
      </c>
      <c r="F473" s="16" t="n">
        <f aca="false" t="array" ref="F473:F473">IF(D473="","",IFERROR(INDEX(Dados_Evap!$C$2:$N$15,MATCH($B$9,Dados_Evap!$A$2:$A$15,0),C473),0))</f>
        <v>104.7</v>
      </c>
      <c r="G473" s="16" t="n">
        <f aca="false">IF(F473="","",F473/1000)</f>
        <v>0.1047</v>
      </c>
      <c r="H473" s="16" t="n">
        <f aca="false">IF(D473="","",MAX(0,MIN($B$8,IFERROR(LOOKUP(2,1/($U$24:U472&lt;&gt;""),$U$24:U472),$B$11))))</f>
        <v>2.23692705684682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0.487794981500435</v>
      </c>
      <c r="J473" s="16" t="n">
        <f aca="false">IF(D473="","",$B$12)</f>
        <v>0.25</v>
      </c>
      <c r="K473" s="16" t="n">
        <f aca="false">IF(J473="","",J473*$B$15)</f>
        <v>0.648</v>
      </c>
      <c r="L473" s="16" t="n">
        <f aca="false">IF(D473="","",H473+E473-K473-G473*I473)</f>
        <v>1.83899129878273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0.431450095402865</v>
      </c>
      <c r="N473" s="16" t="n">
        <f aca="false">IF(D473="","",(I473+M473)/2)</f>
        <v>0.45962253845165</v>
      </c>
      <c r="O473" s="16" t="n">
        <f aca="false">IF(D473="","",G473*N473)</f>
        <v>0.0481224797758877</v>
      </c>
      <c r="P473" s="16" t="n">
        <f aca="false">IF(D473="","",H473+E473-K473-O473)</f>
        <v>1.84194095356994</v>
      </c>
      <c r="Q473" s="16" t="n">
        <f aca="false">IF(D473="","",IF(P473&gt;=0,K473,MAX(0,K473+P473)))</f>
        <v>0.648</v>
      </c>
      <c r="R473" s="16" t="n">
        <f aca="false">IF(D473="","",Q473/$B$15)</f>
        <v>0.25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1.84194095356994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8.64761011065699</v>
      </c>
      <c r="Z473" s="18" t="n">
        <f aca="false">IF(D473="","",MAX(0,IF(P473&gt;=0,P473,IF(K473+P473&gt;=0,0,P473+K473))))</f>
        <v>1.84194095356994</v>
      </c>
      <c r="AA473" s="18" t="n">
        <f aca="false">IF(D473="","",IF(H473&lt;=$B$16,1,IF(H473&gt;=$B$17,$B$21,MATCH(H473,Aux_CAV!$A$2:$A$121,1))))</f>
        <v>3</v>
      </c>
      <c r="AB473" s="18" t="n">
        <f aca="false">IF(D473="","",IF(L473&lt;=$B$16,1,IF(L473&gt;=$B$17,$B$21,MATCH(L473,Aux_CAV!$A$2:$A$121,1))))</f>
        <v>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0.0660914847116093</v>
      </c>
      <c r="E474" s="16" t="n">
        <f aca="false">IF(D474="","",D474*$B$15)</f>
        <v>0.171309128372491</v>
      </c>
      <c r="F474" s="16" t="n">
        <f aca="false" t="array" ref="F474:F474">IF(D474="","",IFERROR(INDEX(Dados_Evap!$C$2:$N$15,MATCH($B$9,Dados_Evap!$A$2:$A$15,0),C474),0))</f>
        <v>145.2</v>
      </c>
      <c r="G474" s="16" t="n">
        <f aca="false">IF(F474="","",F474/1000)</f>
        <v>0.1452</v>
      </c>
      <c r="H474" s="16" t="n">
        <f aca="false">IF(D474="","",MAX(0,MIN($B$8,IFERROR(LOOKUP(2,1/($U$24:U473&lt;&gt;""),$U$24:U473),$B$11))))</f>
        <v>1.84194095356994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0.431867745638221</v>
      </c>
      <c r="J474" s="16" t="n">
        <f aca="false">IF(D474="","",$B$12)</f>
        <v>0.25</v>
      </c>
      <c r="K474" s="16" t="n">
        <f aca="false">IF(J474="","",J474*$B$15)</f>
        <v>0.648</v>
      </c>
      <c r="L474" s="16" t="n">
        <f aca="false">IF(D474="","",H474+E474-K474-G474*I474)</f>
        <v>1.30254288527576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0.355492797915152</v>
      </c>
      <c r="N474" s="16" t="n">
        <f aca="false">IF(D474="","",(I474+M474)/2)</f>
        <v>0.393680271776687</v>
      </c>
      <c r="O474" s="16" t="n">
        <f aca="false">IF(D474="","",G474*N474)</f>
        <v>0.0571623754619749</v>
      </c>
      <c r="P474" s="16" t="n">
        <f aca="false">IF(D474="","",H474+E474-K474-O474)</f>
        <v>1.30808770648045</v>
      </c>
      <c r="Q474" s="16" t="n">
        <f aca="false">IF(D474="","",IF(P474&gt;=0,K474,MAX(0,K474+P474)))</f>
        <v>0.648</v>
      </c>
      <c r="R474" s="16" t="n">
        <f aca="false">IF(D474="","",Q474/$B$15)</f>
        <v>0.25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1.30808770648045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6.14125683793641</v>
      </c>
      <c r="Z474" s="18" t="n">
        <f aca="false">IF(D474="","",MAX(0,IF(P474&gt;=0,P474,IF(K474+P474&gt;=0,0,P474+K474))))</f>
        <v>1.30808770648045</v>
      </c>
      <c r="AA474" s="18" t="n">
        <f aca="false">IF(D474="","",IF(H474&lt;=$B$16,1,IF(H474&gt;=$B$17,$B$21,MATCH(H474,Aux_CAV!$A$2:$A$121,1))))</f>
        <v>3</v>
      </c>
      <c r="AB474" s="18" t="n">
        <f aca="false">IF(D474="","",IF(L474&lt;=$B$16,1,IF(L474&gt;=$B$17,$B$21,MATCH(L474,Aux_CAV!$A$2:$A$121,1))))</f>
        <v>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0.0418081905953677</v>
      </c>
      <c r="E475" s="16" t="n">
        <f aca="false">IF(D475="","",D475*$B$15)</f>
        <v>0.108366830023193</v>
      </c>
      <c r="F475" s="16" t="n">
        <f aca="false" t="array" ref="F475:F475">IF(D475="","",IFERROR(INDEX(Dados_Evap!$C$2:$N$15,MATCH($B$9,Dados_Evap!$A$2:$A$15,0),C475),0))</f>
        <v>180.9</v>
      </c>
      <c r="G475" s="16" t="n">
        <f aca="false">IF(F475="","",F475/1000)</f>
        <v>0.1809</v>
      </c>
      <c r="H475" s="16" t="n">
        <f aca="false">IF(D475="","",MAX(0,MIN($B$8,IFERROR(LOOKUP(2,1/($U$24:U474&lt;&gt;""),$U$24:U474),$B$11))))</f>
        <v>1.30808770648045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0.356277905342365</v>
      </c>
      <c r="J475" s="16" t="n">
        <f aca="false">IF(D475="","",$B$12)</f>
        <v>0.25</v>
      </c>
      <c r="K475" s="16" t="n">
        <f aca="false">IF(J475="","",J475*$B$15)</f>
        <v>0.648</v>
      </c>
      <c r="L475" s="16" t="n">
        <f aca="false">IF(D475="","",H475+E475-K475-G475*I475)</f>
        <v>0.704003863427214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0.243520307753605</v>
      </c>
      <c r="N475" s="16" t="n">
        <f aca="false">IF(D475="","",(I475+M475)/2)</f>
        <v>0.299899106547985</v>
      </c>
      <c r="O475" s="16" t="n">
        <f aca="false">IF(D475="","",G475*N475)</f>
        <v>0.0542517483745305</v>
      </c>
      <c r="P475" s="16" t="n">
        <f aca="false">IF(D475="","",H475+E475-K475-O475)</f>
        <v>0.714202788129117</v>
      </c>
      <c r="Q475" s="16" t="n">
        <f aca="false">IF(D475="","",IF(P475&gt;=0,K475,MAX(0,K475+P475)))</f>
        <v>0.648</v>
      </c>
      <c r="R475" s="16" t="n">
        <f aca="false">IF(D475="","",Q475/$B$15)</f>
        <v>0.25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0.714202788129117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3.35306473300055</v>
      </c>
      <c r="Z475" s="18" t="n">
        <f aca="false">IF(D475="","",MAX(0,IF(P475&gt;=0,P475,IF(K475+P475&gt;=0,0,P475+K475))))</f>
        <v>0.714202788129117</v>
      </c>
      <c r="AA475" s="18" t="n">
        <f aca="false">IF(D475="","",IF(H475&lt;=$B$16,1,IF(H475&gt;=$B$17,$B$21,MATCH(H475,Aux_CAV!$A$2:$A$121,1))))</f>
        <v>3</v>
      </c>
      <c r="AB475" s="18" t="n">
        <f aca="false">IF(D475="","",IF(L475&lt;=$B$16,1,IF(L475&gt;=$B$17,$B$21,MATCH(L475,Aux_CAV!$A$2:$A$121,1))))</f>
        <v>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0.0276353441718134</v>
      </c>
      <c r="E476" s="16" t="n">
        <f aca="false">IF(D476="","",D476*$B$15)</f>
        <v>0.0716308120933403</v>
      </c>
      <c r="F476" s="16" t="n">
        <f aca="false" t="array" ref="F476:F476">IF(D476="","",IFERROR(INDEX(Dados_Evap!$C$2:$N$15,MATCH($B$9,Dados_Evap!$A$2:$A$15,0),C476),0))</f>
        <v>208.9</v>
      </c>
      <c r="G476" s="16" t="n">
        <f aca="false">IF(F476="","",F476/1000)</f>
        <v>0.2089</v>
      </c>
      <c r="H476" s="16" t="n">
        <f aca="false">IF(D476="","",MAX(0,MIN($B$8,IFERROR(LOOKUP(2,1/($U$24:U475&lt;&gt;""),$U$24:U475),$B$11))))</f>
        <v>0.714202788129117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0.247006016196027</v>
      </c>
      <c r="J476" s="16" t="n">
        <f aca="false">IF(D476="","",$B$12)</f>
        <v>0.25</v>
      </c>
      <c r="K476" s="16" t="n">
        <f aca="false">IF(J476="","",J476*$B$15)</f>
        <v>0.648</v>
      </c>
      <c r="L476" s="16" t="n">
        <f aca="false">IF(D476="","",H476+E476-K476-G476*I476)</f>
        <v>0.0862340434391075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0.032383786998176</v>
      </c>
      <c r="N476" s="16" t="n">
        <f aca="false">IF(D476="","",(I476+M476)/2)</f>
        <v>0.139694901597102</v>
      </c>
      <c r="O476" s="16" t="n">
        <f aca="false">IF(D476="","",G476*N476)</f>
        <v>0.0291822649436345</v>
      </c>
      <c r="P476" s="16" t="n">
        <f aca="false">IF(D476="","",H476+E476-K476-O476)</f>
        <v>0.108651335278823</v>
      </c>
      <c r="Q476" s="16" t="n">
        <f aca="false">IF(D476="","",IF(P476&gt;=0,K476,MAX(0,K476+P476)))</f>
        <v>0.648</v>
      </c>
      <c r="R476" s="16" t="n">
        <f aca="false">IF(D476="","",Q476/$B$15)</f>
        <v>0.25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0.108651335278823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0.510100165628277</v>
      </c>
      <c r="Z476" s="18" t="n">
        <f aca="false">IF(D476="","",MAX(0,IF(P476&gt;=0,P476,IF(K476+P476&gt;=0,0,P476+K476))))</f>
        <v>0.108651335278823</v>
      </c>
      <c r="AA476" s="18" t="n">
        <f aca="false">IF(D476="","",IF(H476&lt;=$B$16,1,IF(H476&gt;=$B$17,$B$21,MATCH(H476,Aux_CAV!$A$2:$A$121,1))))</f>
        <v>2</v>
      </c>
      <c r="AB476" s="18" t="n">
        <f aca="false">IF(D476="","",IF(L476&lt;=$B$16,1,IF(L476&gt;=$B$17,$B$21,MATCH(L476,Aux_CAV!$A$2:$A$121,1))))</f>
        <v>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0.0160608386057285</v>
      </c>
      <c r="E477" s="16" t="n">
        <f aca="false">IF(D477="","",D477*$B$15)</f>
        <v>0.0416296936660483</v>
      </c>
      <c r="F477" s="16" t="n">
        <f aca="false" t="array" ref="F477:F477">IF(D477="","",IFERROR(INDEX(Dados_Evap!$C$2:$N$15,MATCH($B$9,Dados_Evap!$A$2:$A$15,0),C477),0))</f>
        <v>235.9</v>
      </c>
      <c r="G477" s="16" t="n">
        <f aca="false">IF(F477="","",F477/1000)</f>
        <v>0.2359</v>
      </c>
      <c r="H477" s="16" t="n">
        <f aca="false">IF(D477="","",MAX(0,MIN($B$8,IFERROR(LOOKUP(2,1/($U$24:U476&lt;&gt;""),$U$24:U476),$B$11))))</f>
        <v>0.108651335278823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0.0400453930699775</v>
      </c>
      <c r="J477" s="16" t="n">
        <f aca="false">IF(D477="","",$B$12)</f>
        <v>0.25</v>
      </c>
      <c r="K477" s="16" t="n">
        <f aca="false">IF(J477="","",J477*$B$15)</f>
        <v>0.648</v>
      </c>
      <c r="L477" s="16" t="n">
        <f aca="false">IF(D477="","",H477+E477-K477-G477*I477)</f>
        <v>-0.507165679280336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</v>
      </c>
      <c r="N477" s="16" t="n">
        <f aca="false">IF(D477="","",(I477+M477)/2)</f>
        <v>0.0200226965349888</v>
      </c>
      <c r="O477" s="16" t="n">
        <f aca="false">IF(D477="","",G477*N477)</f>
        <v>0.00472335411260385</v>
      </c>
      <c r="P477" s="16" t="n">
        <f aca="false">IF(D477="","",H477+E477-K477-O477)</f>
        <v>-0.502442325167733</v>
      </c>
      <c r="Q477" s="16" t="n">
        <f aca="false">IF(D477="","",IF(P477&gt;=0,K477,MAX(0,K477+P477)))</f>
        <v>0.145557674832267</v>
      </c>
      <c r="R477" s="16" t="n">
        <f aca="false">IF(D477="","",Q477/$B$15)</f>
        <v>0.056156510351955</v>
      </c>
      <c r="S477" s="16" t="n">
        <f aca="false">IF(D477="","",MAX(0,J477-R477))</f>
        <v>0.193843489648045</v>
      </c>
      <c r="T477" s="16" t="n">
        <f aca="false">IF(D477="","",MAX(0,Z477-$B$8))</f>
        <v>0</v>
      </c>
      <c r="U477" s="16" t="n">
        <f aca="false">IF(D477="","",MAX(0,MIN($B$8,Z477)))</f>
        <v>0</v>
      </c>
      <c r="V477" s="16" t="str">
        <f aca="false">IF(D477="","",IF(S477&gt;0.0000001,"Sim","Não"))</f>
        <v>Sim</v>
      </c>
      <c r="W477" s="16" t="n">
        <f aca="false">IF(D477="","",U477-(H477+E477-Q477-O477-T477))</f>
        <v>-3.72965547335014E-017</v>
      </c>
      <c r="X477" s="16" t="n">
        <f aca="false">IF(W477="","",ABS(W477))</f>
        <v>3.72965547335014E-017</v>
      </c>
      <c r="Y477" s="16" t="n">
        <f aca="false">IF(U477="","",IF($B$8=0,0,U477/$B$8*100))</f>
        <v>0</v>
      </c>
      <c r="Z477" s="18" t="n">
        <f aca="false">IF(D477="","",MAX(0,IF(P477&gt;=0,P477,IF(K477+P477&gt;=0,0,P477+K477))))</f>
        <v>0</v>
      </c>
      <c r="AA477" s="18" t="n">
        <f aca="false">IF(D477="","",IF(H477&lt;=$B$16,1,IF(H477&gt;=$B$17,$B$21,MATCH(H477,Aux_CAV!$A$2:$A$121,1))))</f>
        <v>2</v>
      </c>
      <c r="AB477" s="18" t="n">
        <f aca="false">IF(D477="","",IF(L477&lt;=$B$16,1,IF(L477&gt;=$B$17,$B$21,MATCH(L477,Aux_CAV!$A$2:$A$121,1))))</f>
        <v>1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0.0367130110524013</v>
      </c>
      <c r="E478" s="16" t="n">
        <f aca="false">IF(D478="","",D478*$B$15)</f>
        <v>0.0951601246478242</v>
      </c>
      <c r="F478" s="16" t="n">
        <f aca="false" t="array" ref="F478:F478">IF(D478="","",IFERROR(INDEX(Dados_Evap!$C$2:$N$15,MATCH($B$9,Dados_Evap!$A$2:$A$15,0),C478),0))</f>
        <v>225.9</v>
      </c>
      <c r="G478" s="16" t="n">
        <f aca="false">IF(F478="","",F478/1000)</f>
        <v>0.2259</v>
      </c>
      <c r="H478" s="16" t="n">
        <f aca="false">IF(D478="","",MAX(0,MIN($B$8,IFERROR(LOOKUP(2,1/($U$24:U477&lt;&gt;""),$U$24:U477),$B$11))))</f>
        <v>0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</v>
      </c>
      <c r="J478" s="16" t="n">
        <f aca="false">IF(D478="","",$B$12)</f>
        <v>0.25</v>
      </c>
      <c r="K478" s="16" t="n">
        <f aca="false">IF(J478="","",J478*$B$15)</f>
        <v>0.648</v>
      </c>
      <c r="L478" s="16" t="n">
        <f aca="false">IF(D478="","",H478+E478-K478-G478*I478)</f>
        <v>-0.552839875352176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</v>
      </c>
      <c r="N478" s="16" t="n">
        <f aca="false">IF(D478="","",(I478+M478)/2)</f>
        <v>0</v>
      </c>
      <c r="O478" s="16" t="n">
        <f aca="false">IF(D478="","",G478*N478)</f>
        <v>0</v>
      </c>
      <c r="P478" s="16" t="n">
        <f aca="false">IF(D478="","",H478+E478-K478-O478)</f>
        <v>-0.552839875352176</v>
      </c>
      <c r="Q478" s="16" t="n">
        <f aca="false">IF(D478="","",IF(P478&gt;=0,K478,MAX(0,K478+P478)))</f>
        <v>0.0951601246478242</v>
      </c>
      <c r="R478" s="16" t="n">
        <f aca="false">IF(D478="","",Q478/$B$15)</f>
        <v>0.0367130110524013</v>
      </c>
      <c r="S478" s="16" t="n">
        <f aca="false">IF(D478="","",MAX(0,J478-R478))</f>
        <v>0.213286988947599</v>
      </c>
      <c r="T478" s="16" t="n">
        <f aca="false">IF(D478="","",MAX(0,Z478-$B$8))</f>
        <v>0</v>
      </c>
      <c r="U478" s="16" t="n">
        <f aca="false">IF(D478="","",MAX(0,MIN($B$8,Z478)))</f>
        <v>0</v>
      </c>
      <c r="V478" s="16" t="str">
        <f aca="false">IF(D478="","",IF(S478&gt;0.0000001,"Sim","Não"))</f>
        <v>Sim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0</v>
      </c>
      <c r="Z478" s="18" t="n">
        <f aca="false">IF(D478="","",MAX(0,IF(P478&gt;=0,P478,IF(K478+P478&gt;=0,0,P478+K478))))</f>
        <v>0</v>
      </c>
      <c r="AA478" s="18" t="n">
        <f aca="false">IF(D478="","",IF(H478&lt;=$B$16,1,IF(H478&gt;=$B$17,$B$21,MATCH(H478,Aux_CAV!$A$2:$A$121,1))))</f>
        <v>1</v>
      </c>
      <c r="AB478" s="18" t="n">
        <f aca="false">IF(D478="","",IF(L478&lt;=$B$16,1,IF(L478&gt;=$B$17,$B$21,MATCH(L478,Aux_CAV!$A$2:$A$121,1))))</f>
        <v>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0.026209365519404</v>
      </c>
      <c r="E479" s="16" t="n">
        <f aca="false">IF(D479="","",D479*$B$15)</f>
        <v>0.0679346754262952</v>
      </c>
      <c r="F479" s="16" t="n">
        <f aca="false" t="array" ref="F479:F479">IF(D479="","",IFERROR(INDEX(Dados_Evap!$C$2:$N$15,MATCH($B$9,Dados_Evap!$A$2:$A$15,0),C479),0))</f>
        <v>206</v>
      </c>
      <c r="G479" s="16" t="n">
        <f aca="false">IF(F479="","",F479/1000)</f>
        <v>0.206</v>
      </c>
      <c r="H479" s="16" t="n">
        <f aca="false">IF(D479="","",MAX(0,MIN($B$8,IFERROR(LOOKUP(2,1/($U$24:U478&lt;&gt;""),$U$24:U478),$B$11))))</f>
        <v>0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</v>
      </c>
      <c r="J479" s="16" t="n">
        <f aca="false">IF(D479="","",$B$12)</f>
        <v>0.25</v>
      </c>
      <c r="K479" s="16" t="n">
        <f aca="false">IF(J479="","",J479*$B$15)</f>
        <v>0.648</v>
      </c>
      <c r="L479" s="16" t="n">
        <f aca="false">IF(D479="","",H479+E479-K479-G479*I479)</f>
        <v>-0.580065324573705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</v>
      </c>
      <c r="O479" s="16" t="n">
        <f aca="false">IF(D479="","",G479*N479)</f>
        <v>0</v>
      </c>
      <c r="P479" s="16" t="n">
        <f aca="false">IF(D479="","",H479+E479-K479-O479)</f>
        <v>-0.580065324573705</v>
      </c>
      <c r="Q479" s="16" t="n">
        <f aca="false">IF(D479="","",IF(P479&gt;=0,K479,MAX(0,K479+P479)))</f>
        <v>0.0679346754262952</v>
      </c>
      <c r="R479" s="16" t="n">
        <f aca="false">IF(D479="","",Q479/$B$15)</f>
        <v>0.026209365519404</v>
      </c>
      <c r="S479" s="16" t="n">
        <f aca="false">IF(D479="","",MAX(0,J479-R479))</f>
        <v>0.223790634480596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1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0.0304126232667551</v>
      </c>
      <c r="E480" s="16" t="n">
        <f aca="false">IF(D480="","",D480*$B$15)</f>
        <v>0.0788295195074292</v>
      </c>
      <c r="F480" s="16" t="n">
        <f aca="false" t="array" ref="F480:F480">IF(D480="","",IFERROR(INDEX(Dados_Evap!$C$2:$N$15,MATCH($B$9,Dados_Evap!$A$2:$A$15,0),C480),0))</f>
        <v>165.6</v>
      </c>
      <c r="G480" s="16" t="n">
        <f aca="false">IF(F480="","",F480/1000)</f>
        <v>0.1656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0.25</v>
      </c>
      <c r="K480" s="16" t="n">
        <f aca="false">IF(J480="","",J480*$B$15)</f>
        <v>0.648</v>
      </c>
      <c r="L480" s="16" t="n">
        <f aca="false">IF(D480="","",H480+E480-K480-G480*I480)</f>
        <v>-0.569170480492571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-0.569170480492571</v>
      </c>
      <c r="Q480" s="16" t="n">
        <f aca="false">IF(D480="","",IF(P480&gt;=0,K480,MAX(0,K480+P480)))</f>
        <v>0.0788295195074292</v>
      </c>
      <c r="R480" s="16" t="n">
        <f aca="false">IF(D480="","",Q480/$B$15)</f>
        <v>0.0304126232667551</v>
      </c>
      <c r="S480" s="16" t="n">
        <f aca="false">IF(D480="","",MAX(0,J480-R480))</f>
        <v>0.219587376733245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0.057526787065705</v>
      </c>
      <c r="E481" s="16" t="n">
        <f aca="false">IF(D481="","",D481*$B$15)</f>
        <v>0.149109432074307</v>
      </c>
      <c r="F481" s="16" t="n">
        <f aca="false" t="array" ref="F481:F481">IF(D481="","",IFERROR(INDEX(Dados_Evap!$C$2:$N$15,MATCH($B$9,Dados_Evap!$A$2:$A$15,0),C481),0))</f>
        <v>124.9</v>
      </c>
      <c r="G481" s="16" t="n">
        <f aca="false">IF(F481="","",F481/1000)</f>
        <v>0.1249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0.25</v>
      </c>
      <c r="K481" s="16" t="n">
        <f aca="false">IF(J481="","",J481*$B$15)</f>
        <v>0.648</v>
      </c>
      <c r="L481" s="16" t="n">
        <f aca="false">IF(D481="","",H481+E481-K481-G481*I481)</f>
        <v>-0.498890567925693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-0.498890567925693</v>
      </c>
      <c r="Q481" s="16" t="n">
        <f aca="false">IF(D481="","",IF(P481&gt;=0,K481,MAX(0,K481+P481)))</f>
        <v>0.149109432074307</v>
      </c>
      <c r="R481" s="16" t="n">
        <f aca="false">IF(D481="","",Q481/$B$15)</f>
        <v>0.057526787065705</v>
      </c>
      <c r="S481" s="16" t="n">
        <f aca="false">IF(D481="","",MAX(0,J481-R481))</f>
        <v>0.192473212934295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0.508940463398257</v>
      </c>
      <c r="E482" s="16" t="n">
        <f aca="false">IF(D482="","",D482*$B$15)</f>
        <v>1.31917368112828</v>
      </c>
      <c r="F482" s="16" t="n">
        <f aca="false" t="array" ref="F482:F482">IF(D482="","",IFERROR(INDEX(Dados_Evap!$C$2:$N$15,MATCH($B$9,Dados_Evap!$A$2:$A$15,0),C482),0))</f>
        <v>88.2</v>
      </c>
      <c r="G482" s="16" t="n">
        <f aca="false">IF(F482="","",F482/1000)</f>
        <v>0.0882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0.25</v>
      </c>
      <c r="K482" s="16" t="n">
        <f aca="false">IF(J482="","",J482*$B$15)</f>
        <v>0.648</v>
      </c>
      <c r="L482" s="16" t="n">
        <f aca="false">IF(D482="","",H482+E482-K482-G482*I482)</f>
        <v>0.671173681128282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0.232299865702071</v>
      </c>
      <c r="N482" s="16" t="n">
        <f aca="false">IF(D482="","",(I482+M482)/2)</f>
        <v>0.116149932851036</v>
      </c>
      <c r="O482" s="16" t="n">
        <f aca="false">IF(D482="","",G482*N482)</f>
        <v>0.0102444240774613</v>
      </c>
      <c r="P482" s="16" t="n">
        <f aca="false">IF(D482="","",H482+E482-K482-O482)</f>
        <v>0.660929257050821</v>
      </c>
      <c r="Q482" s="16" t="n">
        <f aca="false">IF(D482="","",IF(P482&gt;=0,K482,MAX(0,K482+P482)))</f>
        <v>0.648</v>
      </c>
      <c r="R482" s="16" t="n">
        <f aca="false">IF(D482="","",Q482/$B$15)</f>
        <v>0.25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0.660929257050821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3.10295425845456</v>
      </c>
      <c r="Z482" s="18" t="n">
        <f aca="false">IF(D482="","",MAX(0,IF(P482&gt;=0,P482,IF(K482+P482&gt;=0,0,P482+K482))))</f>
        <v>0.660929257050821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0.329283035519127</v>
      </c>
      <c r="E483" s="16" t="n">
        <f aca="false">IF(D483="","",D483*$B$15)</f>
        <v>0.853501628065577</v>
      </c>
      <c r="F483" s="16" t="n">
        <f aca="false" t="array" ref="F483:F483">IF(D483="","",IFERROR(INDEX(Dados_Evap!$C$2:$N$15,MATCH($B$9,Dados_Evap!$A$2:$A$15,0),C483),0))</f>
        <v>88.2</v>
      </c>
      <c r="G483" s="16" t="n">
        <f aca="false">IF(F483="","",F483/1000)</f>
        <v>0.0882</v>
      </c>
      <c r="H483" s="16" t="n">
        <f aca="false">IF(D483="","",MAX(0,MIN($B$8,IFERROR(LOOKUP(2,1/($U$24:U482&lt;&gt;""),$U$24:U482),$B$11))))</f>
        <v>0.660929257050821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0.228798606840154</v>
      </c>
      <c r="J483" s="16" t="n">
        <f aca="false">IF(D483="","",$B$12)</f>
        <v>0.25</v>
      </c>
      <c r="K483" s="16" t="n">
        <f aca="false">IF(J483="","",J483*$B$15)</f>
        <v>0.648</v>
      </c>
      <c r="L483" s="16" t="n">
        <f aca="false">IF(D483="","",H483+E483-K483-G483*I483)</f>
        <v>0.846250847993097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0.290885075822031</v>
      </c>
      <c r="N483" s="16" t="n">
        <f aca="false">IF(D483="","",(I483+M483)/2)</f>
        <v>0.259841841331093</v>
      </c>
      <c r="O483" s="16" t="n">
        <f aca="false">IF(D483="","",G483*N483)</f>
        <v>0.0229180504054024</v>
      </c>
      <c r="P483" s="16" t="n">
        <f aca="false">IF(D483="","",H483+E483-K483-O483)</f>
        <v>0.843512834710996</v>
      </c>
      <c r="Q483" s="16" t="n">
        <f aca="false">IF(D483="","",IF(P483&gt;=0,K483,MAX(0,K483+P483)))</f>
        <v>0.648</v>
      </c>
      <c r="R483" s="16" t="n">
        <f aca="false">IF(D483="","",Q483/$B$15)</f>
        <v>0.25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0.843512834710996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3.96015415357275</v>
      </c>
      <c r="Z483" s="18" t="n">
        <f aca="false">IF(D483="","",MAX(0,IF(P483&gt;=0,P483,IF(K483+P483&gt;=0,0,P483+K483))))</f>
        <v>0.843512834710996</v>
      </c>
      <c r="AA483" s="18" t="n">
        <f aca="false">IF(D483="","",IF(H483&lt;=$B$16,1,IF(H483&gt;=$B$17,$B$21,MATCH(H483,Aux_CAV!$A$2:$A$121,1))))</f>
        <v>2</v>
      </c>
      <c r="AB483" s="18" t="n">
        <f aca="false">IF(D483="","",IF(L483&lt;=$B$16,1,IF(L483&gt;=$B$17,$B$21,MATCH(L483,Aux_CAV!$A$2:$A$121,1))))</f>
        <v>3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0.414152910363159</v>
      </c>
      <c r="E484" s="16" t="n">
        <f aca="false">IF(D484="","",D484*$B$15)</f>
        <v>1.07348434366131</v>
      </c>
      <c r="F484" s="16" t="n">
        <f aca="false" t="array" ref="F484:F484">IF(D484="","",IFERROR(INDEX(Dados_Evap!$C$2:$N$15,MATCH($B$9,Dados_Evap!$A$2:$A$15,0),C484),0))</f>
        <v>83.9</v>
      </c>
      <c r="G484" s="16" t="n">
        <f aca="false">IF(F484="","",F484/1000)</f>
        <v>0.0839</v>
      </c>
      <c r="H484" s="16" t="n">
        <f aca="false">IF(D484="","",MAX(0,MIN($B$8,IFERROR(LOOKUP(2,1/($U$24:U483&lt;&gt;""),$U$24:U483),$B$11))))</f>
        <v>0.843512834710996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0.290497392525451</v>
      </c>
      <c r="J484" s="16" t="n">
        <f aca="false">IF(D484="","",$B$12)</f>
        <v>0.25</v>
      </c>
      <c r="K484" s="16" t="n">
        <f aca="false">IF(J484="","",J484*$B$15)</f>
        <v>0.648</v>
      </c>
      <c r="L484" s="16" t="n">
        <f aca="false">IF(D484="","",H484+E484-K484-G484*I484)</f>
        <v>1.24462444713942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0.347291957117086</v>
      </c>
      <c r="N484" s="16" t="n">
        <f aca="false">IF(D484="","",(I484+M484)/2)</f>
        <v>0.318894674821268</v>
      </c>
      <c r="O484" s="16" t="n">
        <f aca="false">IF(D484="","",G484*N484)</f>
        <v>0.0267552632175044</v>
      </c>
      <c r="P484" s="16" t="n">
        <f aca="false">IF(D484="","",H484+E484-K484-O484)</f>
        <v>1.2422419151548</v>
      </c>
      <c r="Q484" s="16" t="n">
        <f aca="false">IF(D484="","",IF(P484&gt;=0,K484,MAX(0,K484+P484)))</f>
        <v>0.648</v>
      </c>
      <c r="R484" s="16" t="n">
        <f aca="false">IF(D484="","",Q484/$B$15)</f>
        <v>0.25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1.2422419151548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5.83212166739343</v>
      </c>
      <c r="Z484" s="18" t="n">
        <f aca="false">IF(D484="","",MAX(0,IF(P484&gt;=0,P484,IF(K484+P484&gt;=0,0,P484+K484))))</f>
        <v>1.2422419151548</v>
      </c>
      <c r="AA484" s="18" t="n">
        <f aca="false">IF(D484="","",IF(H484&lt;=$B$16,1,IF(H484&gt;=$B$17,$B$21,MATCH(H484,Aux_CAV!$A$2:$A$121,1))))</f>
        <v>3</v>
      </c>
      <c r="AB484" s="18" t="n">
        <f aca="false">IF(D484="","",IF(L484&lt;=$B$16,1,IF(L484&gt;=$B$17,$B$21,MATCH(L484,Aux_CAV!$A$2:$A$121,1))))</f>
        <v>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0.224376757234518</v>
      </c>
      <c r="E485" s="16" t="n">
        <f aca="false">IF(D485="","",D485*$B$15)</f>
        <v>0.581584554751871</v>
      </c>
      <c r="F485" s="16" t="n">
        <f aca="false" t="array" ref="F485:F485">IF(D485="","",IFERROR(INDEX(Dados_Evap!$C$2:$N$15,MATCH($B$9,Dados_Evap!$A$2:$A$15,0),C485),0))</f>
        <v>104.7</v>
      </c>
      <c r="G485" s="16" t="n">
        <f aca="false">IF(F485="","",F485/1000)</f>
        <v>0.1047</v>
      </c>
      <c r="H485" s="16" t="n">
        <f aca="false">IF(D485="","",MAX(0,MIN($B$8,IFERROR(LOOKUP(2,1/($U$24:U484&lt;&gt;""),$U$24:U484),$B$11))))</f>
        <v>1.2422419151548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0.346954607455547</v>
      </c>
      <c r="J485" s="16" t="n">
        <f aca="false">IF(D485="","",$B$12)</f>
        <v>0.25</v>
      </c>
      <c r="K485" s="16" t="n">
        <f aca="false">IF(J485="","",J485*$B$15)</f>
        <v>0.648</v>
      </c>
      <c r="L485" s="16" t="n">
        <f aca="false">IF(D485="","",H485+E485-K485-G485*I485)</f>
        <v>1.13950032250607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0.332407125310595</v>
      </c>
      <c r="N485" s="16" t="n">
        <f aca="false">IF(D485="","",(I485+M485)/2)</f>
        <v>0.339680866383071</v>
      </c>
      <c r="O485" s="16" t="n">
        <f aca="false">IF(D485="","",G485*N485)</f>
        <v>0.0355645867103075</v>
      </c>
      <c r="P485" s="16" t="n">
        <f aca="false">IF(D485="","",H485+E485-K485-O485)</f>
        <v>1.14026188319636</v>
      </c>
      <c r="Q485" s="16" t="n">
        <f aca="false">IF(D485="","",IF(P485&gt;=0,K485,MAX(0,K485+P485)))</f>
        <v>0.648</v>
      </c>
      <c r="R485" s="16" t="n">
        <f aca="false">IF(D485="","",Q485/$B$15)</f>
        <v>0.25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1.14026188319636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5.35334217463081</v>
      </c>
      <c r="Z485" s="18" t="n">
        <f aca="false">IF(D485="","",MAX(0,IF(P485&gt;=0,P485,IF(K485+P485&gt;=0,0,P485+K485))))</f>
        <v>1.14026188319636</v>
      </c>
      <c r="AA485" s="18" t="n">
        <f aca="false">IF(D485="","",IF(H485&lt;=$B$16,1,IF(H485&gt;=$B$17,$B$21,MATCH(H485,Aux_CAV!$A$2:$A$121,1))))</f>
        <v>3</v>
      </c>
      <c r="AB485" s="18" t="n">
        <f aca="false">IF(D485="","",IF(L485&lt;=$B$16,1,IF(L485&gt;=$B$17,$B$21,MATCH(L485,Aux_CAV!$A$2:$A$121,1))))</f>
        <v>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0.105389601572708</v>
      </c>
      <c r="E486" s="16" t="n">
        <f aca="false">IF(D486="","",D486*$B$15)</f>
        <v>0.273169847276459</v>
      </c>
      <c r="F486" s="16" t="n">
        <f aca="false" t="array" ref="F486:F486">IF(D486="","",IFERROR(INDEX(Dados_Evap!$C$2:$N$15,MATCH($B$9,Dados_Evap!$A$2:$A$15,0),C486),0))</f>
        <v>145.2</v>
      </c>
      <c r="G486" s="16" t="n">
        <f aca="false">IF(F486="","",F486/1000)</f>
        <v>0.1452</v>
      </c>
      <c r="H486" s="16" t="n">
        <f aca="false">IF(D486="","",MAX(0,MIN($B$8,IFERROR(LOOKUP(2,1/($U$24:U485&lt;&gt;""),$U$24:U485),$B$11))))</f>
        <v>1.14026188319636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0.332514956912759</v>
      </c>
      <c r="J486" s="16" t="n">
        <f aca="false">IF(D486="","",$B$12)</f>
        <v>0.25</v>
      </c>
      <c r="K486" s="16" t="n">
        <f aca="false">IF(J486="","",J486*$B$15)</f>
        <v>0.648</v>
      </c>
      <c r="L486" s="16" t="n">
        <f aca="false">IF(D486="","",H486+E486-K486-G486*I486)</f>
        <v>0.717150558729089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0.248013482097284</v>
      </c>
      <c r="N486" s="16" t="n">
        <f aca="false">IF(D486="","",(I486+M486)/2)</f>
        <v>0.290264219505021</v>
      </c>
      <c r="O486" s="16" t="n">
        <f aca="false">IF(D486="","",G486*N486)</f>
        <v>0.0421463646721291</v>
      </c>
      <c r="P486" s="16" t="n">
        <f aca="false">IF(D486="","",H486+E486-K486-O486)</f>
        <v>0.723285365800693</v>
      </c>
      <c r="Q486" s="16" t="n">
        <f aca="false">IF(D486="","",IF(P486&gt;=0,K486,MAX(0,K486+P486)))</f>
        <v>0.648</v>
      </c>
      <c r="R486" s="16" t="n">
        <f aca="false">IF(D486="","",Q486/$B$15)</f>
        <v>0.25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0.723285365800693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3.39570594272626</v>
      </c>
      <c r="Z486" s="18" t="n">
        <f aca="false">IF(D486="","",MAX(0,IF(P486&gt;=0,P486,IF(K486+P486&gt;=0,0,P486+K486))))</f>
        <v>0.723285365800693</v>
      </c>
      <c r="AA486" s="18" t="n">
        <f aca="false">IF(D486="","",IF(H486&lt;=$B$16,1,IF(H486&gt;=$B$17,$B$21,MATCH(H486,Aux_CAV!$A$2:$A$121,1))))</f>
        <v>3</v>
      </c>
      <c r="AB486" s="18" t="n">
        <f aca="false">IF(D486="","",IF(L486&lt;=$B$16,1,IF(L486&gt;=$B$17,$B$21,MATCH(L486,Aux_CAV!$A$2:$A$121,1))))</f>
        <v>2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0.0367032089658501</v>
      </c>
      <c r="E487" s="16" t="n">
        <f aca="false">IF(D487="","",D487*$B$15)</f>
        <v>0.0951347176394835</v>
      </c>
      <c r="F487" s="16" t="n">
        <f aca="false" t="array" ref="F487:F487">IF(D487="","",IFERROR(INDEX(Dados_Evap!$C$2:$N$15,MATCH($B$9,Dados_Evap!$A$2:$A$15,0),C487),0))</f>
        <v>180.9</v>
      </c>
      <c r="G487" s="16" t="n">
        <f aca="false">IF(F487="","",F487/1000)</f>
        <v>0.1809</v>
      </c>
      <c r="H487" s="16" t="n">
        <f aca="false">IF(D487="","",MAX(0,MIN($B$8,IFERROR(LOOKUP(2,1/($U$24:U486&lt;&gt;""),$U$24:U486),$B$11))))</f>
        <v>0.723285365800693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0.250110188311629</v>
      </c>
      <c r="J487" s="16" t="n">
        <f aca="false">IF(D487="","",$B$12)</f>
        <v>0.25</v>
      </c>
      <c r="K487" s="16" t="n">
        <f aca="false">IF(J487="","",J487*$B$15)</f>
        <v>0.648</v>
      </c>
      <c r="L487" s="16" t="n">
        <f aca="false">IF(D487="","",H487+E487-K487-G487*I487)</f>
        <v>0.125175150374603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0.0456927729128388</v>
      </c>
      <c r="N487" s="16" t="n">
        <f aca="false">IF(D487="","",(I487+M487)/2)</f>
        <v>0.147901480612234</v>
      </c>
      <c r="O487" s="16" t="n">
        <f aca="false">IF(D487="","",G487*N487)</f>
        <v>0.0267553778427531</v>
      </c>
      <c r="P487" s="16" t="n">
        <f aca="false">IF(D487="","",H487+E487-K487-O487)</f>
        <v>0.143664705597423</v>
      </c>
      <c r="Q487" s="16" t="n">
        <f aca="false">IF(D487="","",IF(P487&gt;=0,K487,MAX(0,K487+P487)))</f>
        <v>0.648</v>
      </c>
      <c r="R487" s="16" t="n">
        <f aca="false">IF(D487="","",Q487/$B$15)</f>
        <v>0.25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0.143664705597423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0.674482185903395</v>
      </c>
      <c r="Z487" s="18" t="n">
        <f aca="false">IF(D487="","",MAX(0,IF(P487&gt;=0,P487,IF(K487+P487&gt;=0,0,P487+K487))))</f>
        <v>0.143664705597423</v>
      </c>
      <c r="AA487" s="18" t="n">
        <f aca="false">IF(D487="","",IF(H487&lt;=$B$16,1,IF(H487&gt;=$B$17,$B$21,MATCH(H487,Aux_CAV!$A$2:$A$121,1))))</f>
        <v>2</v>
      </c>
      <c r="AB487" s="18" t="n">
        <f aca="false">IF(D487="","",IF(L487&lt;=$B$16,1,IF(L487&gt;=$B$17,$B$21,MATCH(L487,Aux_CAV!$A$2:$A$121,1))))</f>
        <v>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0.0288155469620959</v>
      </c>
      <c r="E488" s="16" t="n">
        <f aca="false">IF(D488="","",D488*$B$15)</f>
        <v>0.0746898977257526</v>
      </c>
      <c r="F488" s="16" t="n">
        <f aca="false" t="array" ref="F488:F488">IF(D488="","",IFERROR(INDEX(Dados_Evap!$C$2:$N$15,MATCH($B$9,Dados_Evap!$A$2:$A$15,0),C488),0))</f>
        <v>208.9</v>
      </c>
      <c r="G488" s="16" t="n">
        <f aca="false">IF(F488="","",F488/1000)</f>
        <v>0.2089</v>
      </c>
      <c r="H488" s="16" t="n">
        <f aca="false">IF(D488="","",MAX(0,MIN($B$8,IFERROR(LOOKUP(2,1/($U$24:U487&lt;&gt;""),$U$24:U487),$B$11))))</f>
        <v>0.143664705597423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0.0520119879889927</v>
      </c>
      <c r="J488" s="16" t="n">
        <f aca="false">IF(D488="","",$B$12)</f>
        <v>0.25</v>
      </c>
      <c r="K488" s="16" t="n">
        <f aca="false">IF(J488="","",J488*$B$15)</f>
        <v>0.648</v>
      </c>
      <c r="L488" s="16" t="n">
        <f aca="false">IF(D488="","",H488+E488-K488-G488*I488)</f>
        <v>-0.440510700967725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0.0260059939944964</v>
      </c>
      <c r="O488" s="16" t="n">
        <f aca="false">IF(D488="","",G488*N488)</f>
        <v>0.00543265214545029</v>
      </c>
      <c r="P488" s="16" t="n">
        <f aca="false">IF(D488="","",H488+E488-K488-O488)</f>
        <v>-0.435078048822275</v>
      </c>
      <c r="Q488" s="16" t="n">
        <f aca="false">IF(D488="","",IF(P488&gt;=0,K488,MAX(0,K488+P488)))</f>
        <v>0.212921951177725</v>
      </c>
      <c r="R488" s="16" t="n">
        <f aca="false">IF(D488="","",Q488/$B$15)</f>
        <v>0.0821458144975792</v>
      </c>
      <c r="S488" s="16" t="n">
        <f aca="false">IF(D488="","",MAX(0,J488-R488))</f>
        <v>0.167854185502421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2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0.0222965198011551</v>
      </c>
      <c r="E489" s="16" t="n">
        <f aca="false">IF(D489="","",D489*$B$15)</f>
        <v>0.057792579324594</v>
      </c>
      <c r="F489" s="16" t="n">
        <f aca="false" t="array" ref="F489:F489">IF(D489="","",IFERROR(INDEX(Dados_Evap!$C$2:$N$15,MATCH($B$9,Dados_Evap!$A$2:$A$15,0),C489),0))</f>
        <v>235.9</v>
      </c>
      <c r="G489" s="16" t="n">
        <f aca="false">IF(F489="","",F489/1000)</f>
        <v>0.2359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0.25</v>
      </c>
      <c r="K489" s="16" t="n">
        <f aca="false">IF(J489="","",J489*$B$15)</f>
        <v>0.648</v>
      </c>
      <c r="L489" s="16" t="n">
        <f aca="false">IF(D489="","",H489+E489-K489-G489*I489)</f>
        <v>-0.590207420675406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-0.590207420675406</v>
      </c>
      <c r="Q489" s="16" t="n">
        <f aca="false">IF(D489="","",IF(P489&gt;=0,K489,MAX(0,K489+P489)))</f>
        <v>0.057792579324594</v>
      </c>
      <c r="R489" s="16" t="n">
        <f aca="false">IF(D489="","",Q489/$B$15)</f>
        <v>0.0222965198011551</v>
      </c>
      <c r="S489" s="16" t="n">
        <f aca="false">IF(D489="","",MAX(0,J489-R489))</f>
        <v>0.227703480198845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0.00822118700370552</v>
      </c>
      <c r="E490" s="16" t="n">
        <f aca="false">IF(D490="","",D490*$B$15)</f>
        <v>0.0213093167136047</v>
      </c>
      <c r="F490" s="16" t="n">
        <f aca="false" t="array" ref="F490:F490">IF(D490="","",IFERROR(INDEX(Dados_Evap!$C$2:$N$15,MATCH($B$9,Dados_Evap!$A$2:$A$15,0),C490),0))</f>
        <v>225.9</v>
      </c>
      <c r="G490" s="16" t="n">
        <f aca="false">IF(F490="","",F490/1000)</f>
        <v>0.2259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0.25</v>
      </c>
      <c r="K490" s="16" t="n">
        <f aca="false">IF(J490="","",J490*$B$15)</f>
        <v>0.648</v>
      </c>
      <c r="L490" s="16" t="n">
        <f aca="false">IF(D490="","",H490+E490-K490-G490*I490)</f>
        <v>-0.626690683286395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-0.626690683286395</v>
      </c>
      <c r="Q490" s="16" t="n">
        <f aca="false">IF(D490="","",IF(P490&gt;=0,K490,MAX(0,K490+P490)))</f>
        <v>0.0213093167136047</v>
      </c>
      <c r="R490" s="16" t="n">
        <f aca="false">IF(D490="","",Q490/$B$15)</f>
        <v>0.00822118700370552</v>
      </c>
      <c r="S490" s="16" t="n">
        <f aca="false">IF(D490="","",MAX(0,J490-R490))</f>
        <v>0.241778812996294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0.00900918986928428</v>
      </c>
      <c r="E491" s="16" t="n">
        <f aca="false">IF(D491="","",D491*$B$15)</f>
        <v>0.0233518201411849</v>
      </c>
      <c r="F491" s="16" t="n">
        <f aca="false" t="array" ref="F491:F491">IF(D491="","",IFERROR(INDEX(Dados_Evap!$C$2:$N$15,MATCH($B$9,Dados_Evap!$A$2:$A$15,0),C491),0))</f>
        <v>206</v>
      </c>
      <c r="G491" s="16" t="n">
        <f aca="false">IF(F491="","",F491/1000)</f>
        <v>0.206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0.25</v>
      </c>
      <c r="K491" s="16" t="n">
        <f aca="false">IF(J491="","",J491*$B$15)</f>
        <v>0.648</v>
      </c>
      <c r="L491" s="16" t="n">
        <f aca="false">IF(D491="","",H491+E491-K491-G491*I491)</f>
        <v>-0.624648179858815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-0.624648179858815</v>
      </c>
      <c r="Q491" s="16" t="n">
        <f aca="false">IF(D491="","",IF(P491&gt;=0,K491,MAX(0,K491+P491)))</f>
        <v>0.0233518201411849</v>
      </c>
      <c r="R491" s="16" t="n">
        <f aca="false">IF(D491="","",Q491/$B$15)</f>
        <v>0.00900918986928428</v>
      </c>
      <c r="S491" s="16" t="n">
        <f aca="false">IF(D491="","",MAX(0,J491-R491))</f>
        <v>0.240990810130716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0.00916071367408126</v>
      </c>
      <c r="E492" s="16" t="n">
        <f aca="false">IF(D492="","",D492*$B$15)</f>
        <v>0.0237445698432186</v>
      </c>
      <c r="F492" s="16" t="n">
        <f aca="false" t="array" ref="F492:F492">IF(D492="","",IFERROR(INDEX(Dados_Evap!$C$2:$N$15,MATCH($B$9,Dados_Evap!$A$2:$A$15,0),C492),0))</f>
        <v>165.6</v>
      </c>
      <c r="G492" s="16" t="n">
        <f aca="false">IF(F492="","",F492/1000)</f>
        <v>0.1656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0.25</v>
      </c>
      <c r="K492" s="16" t="n">
        <f aca="false">IF(J492="","",J492*$B$15)</f>
        <v>0.648</v>
      </c>
      <c r="L492" s="16" t="n">
        <f aca="false">IF(D492="","",H492+E492-K492-G492*I492)</f>
        <v>-0.624255430156781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-0.624255430156781</v>
      </c>
      <c r="Q492" s="16" t="n">
        <f aca="false">IF(D492="","",IF(P492&gt;=0,K492,MAX(0,K492+P492)))</f>
        <v>0.0237445698432186</v>
      </c>
      <c r="R492" s="16" t="n">
        <f aca="false">IF(D492="","",Q492/$B$15)</f>
        <v>0.00916071367408125</v>
      </c>
      <c r="S492" s="16" t="n">
        <f aca="false">IF(D492="","",MAX(0,J492-R492))</f>
        <v>0.240839286325919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0.0949252322879134</v>
      </c>
      <c r="E493" s="16" t="n">
        <f aca="false">IF(D493="","",D493*$B$15)</f>
        <v>0.246046202090272</v>
      </c>
      <c r="F493" s="16" t="n">
        <f aca="false" t="array" ref="F493:F493">IF(D493="","",IFERROR(INDEX(Dados_Evap!$C$2:$N$15,MATCH($B$9,Dados_Evap!$A$2:$A$15,0),C493),0))</f>
        <v>124.9</v>
      </c>
      <c r="G493" s="16" t="n">
        <f aca="false">IF(F493="","",F493/1000)</f>
        <v>0.1249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0.25</v>
      </c>
      <c r="K493" s="16" t="n">
        <f aca="false">IF(J493="","",J493*$B$15)</f>
        <v>0.648</v>
      </c>
      <c r="L493" s="16" t="n">
        <f aca="false">IF(D493="","",H493+E493-K493-G493*I493)</f>
        <v>-0.401953797909729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-0.401953797909729</v>
      </c>
      <c r="Q493" s="16" t="n">
        <f aca="false">IF(D493="","",IF(P493&gt;=0,K493,MAX(0,K493+P493)))</f>
        <v>0.246046202090272</v>
      </c>
      <c r="R493" s="16" t="n">
        <f aca="false">IF(D493="","",Q493/$B$15)</f>
        <v>0.0949252322879134</v>
      </c>
      <c r="S493" s="16" t="n">
        <f aca="false">IF(D493="","",MAX(0,J493-R493))</f>
        <v>0.155074767712087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0.7714838563002</v>
      </c>
      <c r="E494" s="16" t="n">
        <f aca="false">IF(D494="","",D494*$B$15)</f>
        <v>1.99968615553012</v>
      </c>
      <c r="F494" s="16" t="n">
        <f aca="false" t="array" ref="F494:F494">IF(D494="","",IFERROR(INDEX(Dados_Evap!$C$2:$N$15,MATCH($B$9,Dados_Evap!$A$2:$A$15,0),C494),0))</f>
        <v>88.2</v>
      </c>
      <c r="G494" s="16" t="n">
        <f aca="false">IF(F494="","",F494/1000)</f>
        <v>0.0882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0.25</v>
      </c>
      <c r="K494" s="16" t="n">
        <f aca="false">IF(J494="","",J494*$B$15)</f>
        <v>0.648</v>
      </c>
      <c r="L494" s="16" t="n">
        <f aca="false">IF(D494="","",H494+E494-K494-G494*I494)</f>
        <v>1.35168615553012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0.362451137066211</v>
      </c>
      <c r="N494" s="16" t="n">
        <f aca="false">IF(D494="","",(I494+M494)/2)</f>
        <v>0.181225568533106</v>
      </c>
      <c r="O494" s="16" t="n">
        <f aca="false">IF(D494="","",G494*N494)</f>
        <v>0.0159840951446199</v>
      </c>
      <c r="P494" s="16" t="n">
        <f aca="false">IF(D494="","",H494+E494-K494-O494)</f>
        <v>1.3357020603855</v>
      </c>
      <c r="Q494" s="16" t="n">
        <f aca="false">IF(D494="","",IF(P494&gt;=0,K494,MAX(0,K494+P494)))</f>
        <v>0.648</v>
      </c>
      <c r="R494" s="16" t="n">
        <f aca="false">IF(D494="","",Q494/$B$15)</f>
        <v>0.25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1.3357020603855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6.2709016919507</v>
      </c>
      <c r="Z494" s="18" t="n">
        <f aca="false">IF(D494="","",MAX(0,IF(P494&gt;=0,P494,IF(K494+P494&gt;=0,0,P494+K494))))</f>
        <v>1.3357020603855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3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0.971146276835004</v>
      </c>
      <c r="E495" s="16" t="n">
        <f aca="false">IF(D495="","",D495*$B$15)</f>
        <v>2.51721114955633</v>
      </c>
      <c r="F495" s="16" t="n">
        <f aca="false" t="array" ref="F495:F495">IF(D495="","",IFERROR(INDEX(Dados_Evap!$C$2:$N$15,MATCH($B$9,Dados_Evap!$A$2:$A$15,0),C495),0))</f>
        <v>88.2</v>
      </c>
      <c r="G495" s="16" t="n">
        <f aca="false">IF(F495="","",F495/1000)</f>
        <v>0.0882</v>
      </c>
      <c r="H495" s="16" t="n">
        <f aca="false">IF(D495="","",MAX(0,MIN($B$8,IFERROR(LOOKUP(2,1/($U$24:U494&lt;&gt;""),$U$24:U494),$B$11))))</f>
        <v>1.3357020603855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0.360187902355469</v>
      </c>
      <c r="J495" s="16" t="n">
        <f aca="false">IF(D495="","",$B$12)</f>
        <v>0.25</v>
      </c>
      <c r="K495" s="16" t="n">
        <f aca="false">IF(J495="","",J495*$B$15)</f>
        <v>0.648</v>
      </c>
      <c r="L495" s="16" t="n">
        <f aca="false">IF(D495="","",H495+E495-K495-G495*I495)</f>
        <v>3.17314463695408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0.614266770488988</v>
      </c>
      <c r="N495" s="16" t="n">
        <f aca="false">IF(D495="","",(I495+M495)/2)</f>
        <v>0.487227336422228</v>
      </c>
      <c r="O495" s="16" t="n">
        <f aca="false">IF(D495="","",G495*N495)</f>
        <v>0.0429734510724405</v>
      </c>
      <c r="P495" s="16" t="n">
        <f aca="false">IF(D495="","",H495+E495-K495-O495)</f>
        <v>3.16193975886939</v>
      </c>
      <c r="Q495" s="16" t="n">
        <f aca="false">IF(D495="","",IF(P495&gt;=0,K495,MAX(0,K495+P495)))</f>
        <v>0.648</v>
      </c>
      <c r="R495" s="16" t="n">
        <f aca="false">IF(D495="","",Q495/$B$15)</f>
        <v>0.25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3.16193975886939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14.8447876003258</v>
      </c>
      <c r="Z495" s="18" t="n">
        <f aca="false">IF(D495="","",MAX(0,IF(P495&gt;=0,P495,IF(K495+P495&gt;=0,0,P495+K495))))</f>
        <v>3.16193975886939</v>
      </c>
      <c r="AA495" s="18" t="n">
        <f aca="false">IF(D495="","",IF(H495&lt;=$B$16,1,IF(H495&gt;=$B$17,$B$21,MATCH(H495,Aux_CAV!$A$2:$A$121,1))))</f>
        <v>3</v>
      </c>
      <c r="AB495" s="18" t="n">
        <f aca="false">IF(D495="","",IF(L495&lt;=$B$16,1,IF(L495&gt;=$B$17,$B$21,MATCH(L495,Aux_CAV!$A$2:$A$121,1))))</f>
        <v>4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1.54954443182426</v>
      </c>
      <c r="E496" s="16" t="n">
        <f aca="false">IF(D496="","",D496*$B$15)</f>
        <v>4.01641916728848</v>
      </c>
      <c r="F496" s="16" t="n">
        <f aca="false" t="array" ref="F496:F496">IF(D496="","",IFERROR(INDEX(Dados_Evap!$C$2:$N$15,MATCH($B$9,Dados_Evap!$A$2:$A$15,0),C496),0))</f>
        <v>83.9</v>
      </c>
      <c r="G496" s="16" t="n">
        <f aca="false">IF(F496="","",F496/1000)</f>
        <v>0.0839</v>
      </c>
      <c r="H496" s="16" t="n">
        <f aca="false">IF(D496="","",MAX(0,MIN($B$8,IFERROR(LOOKUP(2,1/($U$24:U495&lt;&gt;""),$U$24:U495),$B$11))))</f>
        <v>3.16193975886939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0.613613152600714</v>
      </c>
      <c r="J496" s="16" t="n">
        <f aca="false">IF(D496="","",$B$12)</f>
        <v>0.25</v>
      </c>
      <c r="K496" s="16" t="n">
        <f aca="false">IF(J496="","",J496*$B$15)</f>
        <v>0.648</v>
      </c>
      <c r="L496" s="16" t="n">
        <f aca="false">IF(D496="","",H496+E496-K496-G496*I496)</f>
        <v>6.47887678265467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0.807101145654856</v>
      </c>
      <c r="N496" s="16" t="n">
        <f aca="false">IF(D496="","",(I496+M496)/2)</f>
        <v>0.710357149127785</v>
      </c>
      <c r="O496" s="16" t="n">
        <f aca="false">IF(D496="","",G496*N496)</f>
        <v>0.0595989648118212</v>
      </c>
      <c r="P496" s="16" t="n">
        <f aca="false">IF(D496="","",H496+E496-K496-O496)</f>
        <v>6.47075996134605</v>
      </c>
      <c r="Q496" s="16" t="n">
        <f aca="false">IF(D496="","",IF(P496&gt;=0,K496,MAX(0,K496+P496)))</f>
        <v>0.648</v>
      </c>
      <c r="R496" s="16" t="n">
        <f aca="false">IF(D496="","",Q496/$B$15)</f>
        <v>0.25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6.47075996134605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30.3791547481035</v>
      </c>
      <c r="Z496" s="18" t="n">
        <f aca="false">IF(D496="","",MAX(0,IF(P496&gt;=0,P496,IF(K496+P496&gt;=0,0,P496+K496))))</f>
        <v>6.47075996134605</v>
      </c>
      <c r="AA496" s="18" t="n">
        <f aca="false">IF(D496="","",IF(H496&lt;=$B$16,1,IF(H496&gt;=$B$17,$B$21,MATCH(H496,Aux_CAV!$A$2:$A$121,1))))</f>
        <v>4</v>
      </c>
      <c r="AB496" s="18" t="n">
        <f aca="false">IF(D496="","",IF(L496&lt;=$B$16,1,IF(L496&gt;=$B$17,$B$21,MATCH(L496,Aux_CAV!$A$2:$A$121,1))))</f>
        <v>4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0.379946551328613</v>
      </c>
      <c r="E497" s="16" t="n">
        <f aca="false">IF(D497="","",D497*$B$15)</f>
        <v>0.984821461043765</v>
      </c>
      <c r="F497" s="16" t="n">
        <f aca="false" t="array" ref="F497:F497">IF(D497="","",IFERROR(INDEX(Dados_Evap!$C$2:$N$15,MATCH($B$9,Dados_Evap!$A$2:$A$15,0),C497),0))</f>
        <v>104.7</v>
      </c>
      <c r="G497" s="16" t="n">
        <f aca="false">IF(F497="","",F497/1000)</f>
        <v>0.1047</v>
      </c>
      <c r="H497" s="16" t="n">
        <f aca="false">IF(D497="","",MAX(0,MIN($B$8,IFERROR(LOOKUP(2,1/($U$24:U496&lt;&gt;""),$U$24:U496),$B$11))))</f>
        <v>6.47075996134605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0.806627664411853</v>
      </c>
      <c r="J497" s="16" t="n">
        <f aca="false">IF(D497="","",$B$12)</f>
        <v>0.25</v>
      </c>
      <c r="K497" s="16" t="n">
        <f aca="false">IF(J497="","",J497*$B$15)</f>
        <v>0.648</v>
      </c>
      <c r="L497" s="16" t="n">
        <f aca="false">IF(D497="","",H497+E497-K497-G497*I497)</f>
        <v>6.72312750592589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0.820767505727629</v>
      </c>
      <c r="N497" s="16" t="n">
        <f aca="false">IF(D497="","",(I497+M497)/2)</f>
        <v>0.813697585069741</v>
      </c>
      <c r="O497" s="16" t="n">
        <f aca="false">IF(D497="","",G497*N497)</f>
        <v>0.0851941371568019</v>
      </c>
      <c r="P497" s="16" t="n">
        <f aca="false">IF(D497="","",H497+E497-K497-O497)</f>
        <v>6.72238728523301</v>
      </c>
      <c r="Q497" s="16" t="n">
        <f aca="false">IF(D497="","",IF(P497&gt;=0,K497,MAX(0,K497+P497)))</f>
        <v>0.648</v>
      </c>
      <c r="R497" s="16" t="n">
        <f aca="false">IF(D497="","",Q497/$B$15)</f>
        <v>0.25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6.72238728523301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31.56050368654</v>
      </c>
      <c r="Z497" s="18" t="n">
        <f aca="false">IF(D497="","",MAX(0,IF(P497&gt;=0,P497,IF(K497+P497&gt;=0,0,P497+K497))))</f>
        <v>6.72238728523301</v>
      </c>
      <c r="AA497" s="18" t="n">
        <f aca="false">IF(D497="","",IF(H497&lt;=$B$16,1,IF(H497&gt;=$B$17,$B$21,MATCH(H497,Aux_CAV!$A$2:$A$121,1))))</f>
        <v>4</v>
      </c>
      <c r="AB497" s="18" t="n">
        <f aca="false">IF(D497="","",IF(L497&lt;=$B$16,1,IF(L497&gt;=$B$17,$B$21,MATCH(L497,Aux_CAV!$A$2:$A$121,1))))</f>
        <v>5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0.150563223569036</v>
      </c>
      <c r="E498" s="16" t="n">
        <f aca="false">IF(D498="","",D498*$B$15)</f>
        <v>0.390259875490941</v>
      </c>
      <c r="F498" s="16" t="n">
        <f aca="false" t="array" ref="F498:F498">IF(D498="","",IFERROR(INDEX(Dados_Evap!$C$2:$N$15,MATCH($B$9,Dados_Evap!$A$2:$A$15,0),C498),0))</f>
        <v>145.2</v>
      </c>
      <c r="G498" s="16" t="n">
        <f aca="false">IF(F498="","",F498/1000)</f>
        <v>0.1452</v>
      </c>
      <c r="H498" s="16" t="n">
        <f aca="false">IF(D498="","",MAX(0,MIN($B$8,IFERROR(LOOKUP(2,1/($U$24:U497&lt;&gt;""),$U$24:U497),$B$11))))</f>
        <v>6.72238728523301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0.820742940881627</v>
      </c>
      <c r="J498" s="16" t="n">
        <f aca="false">IF(D498="","",$B$12)</f>
        <v>0.25</v>
      </c>
      <c r="K498" s="16" t="n">
        <f aca="false">IF(J498="","",J498*$B$15)</f>
        <v>0.648</v>
      </c>
      <c r="L498" s="16" t="n">
        <f aca="false">IF(D498="","",H498+E498-K498-G498*I498)</f>
        <v>6.34547528570794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0.799319391666297</v>
      </c>
      <c r="N498" s="16" t="n">
        <f aca="false">IF(D498="","",(I498+M498)/2)</f>
        <v>0.810031166273962</v>
      </c>
      <c r="O498" s="16" t="n">
        <f aca="false">IF(D498="","",G498*N498)</f>
        <v>0.117616525342979</v>
      </c>
      <c r="P498" s="16" t="n">
        <f aca="false">IF(D498="","",H498+E498-K498-O498)</f>
        <v>6.34703063538098</v>
      </c>
      <c r="Q498" s="16" t="n">
        <f aca="false">IF(D498="","",IF(P498&gt;=0,K498,MAX(0,K498+P498)))</f>
        <v>0.648</v>
      </c>
      <c r="R498" s="16" t="n">
        <f aca="false">IF(D498="","",Q498/$B$15)</f>
        <v>0.25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6.34703063538098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29.7982658938074</v>
      </c>
      <c r="Z498" s="18" t="n">
        <f aca="false">IF(D498="","",MAX(0,IF(P498&gt;=0,P498,IF(K498+P498&gt;=0,0,P498+K498))))</f>
        <v>6.34703063538098</v>
      </c>
      <c r="AA498" s="18" t="n">
        <f aca="false">IF(D498="","",IF(H498&lt;=$B$16,1,IF(H498&gt;=$B$17,$B$21,MATCH(H498,Aux_CAV!$A$2:$A$121,1))))</f>
        <v>5</v>
      </c>
      <c r="AB498" s="18" t="n">
        <f aca="false">IF(D498="","",IF(L498&lt;=$B$16,1,IF(L498&gt;=$B$17,$B$21,MATCH(L498,Aux_CAV!$A$2:$A$121,1))))</f>
        <v>4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0.197652153028766</v>
      </c>
      <c r="E499" s="16" t="n">
        <f aca="false">IF(D499="","",D499*$B$15)</f>
        <v>0.512314380650562</v>
      </c>
      <c r="F499" s="16" t="n">
        <f aca="false" t="array" ref="F499:F499">IF(D499="","",IFERROR(INDEX(Dados_Evap!$C$2:$N$15,MATCH($B$9,Dados_Evap!$A$2:$A$15,0),C499),0))</f>
        <v>180.9</v>
      </c>
      <c r="G499" s="16" t="n">
        <f aca="false">IF(F499="","",F499/1000)</f>
        <v>0.1809</v>
      </c>
      <c r="H499" s="16" t="n">
        <f aca="false">IF(D499="","",MAX(0,MIN($B$8,IFERROR(LOOKUP(2,1/($U$24:U498&lt;&gt;""),$U$24:U498),$B$11))))</f>
        <v>6.34703063538098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0.799410120397224</v>
      </c>
      <c r="J499" s="16" t="n">
        <f aca="false">IF(D499="","",$B$12)</f>
        <v>0.25</v>
      </c>
      <c r="K499" s="16" t="n">
        <f aca="false">IF(J499="","",J499*$B$15)</f>
        <v>0.648</v>
      </c>
      <c r="L499" s="16" t="n">
        <f aca="false">IF(D499="","",H499+E499-K499-G499*I499)</f>
        <v>6.06673172525168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0.783059350639681</v>
      </c>
      <c r="N499" s="16" t="n">
        <f aca="false">IF(D499="","",(I499+M499)/2)</f>
        <v>0.791234735518452</v>
      </c>
      <c r="O499" s="16" t="n">
        <f aca="false">IF(D499="","",G499*N499)</f>
        <v>0.143134363655288</v>
      </c>
      <c r="P499" s="16" t="n">
        <f aca="false">IF(D499="","",H499+E499-K499-O499)</f>
        <v>6.06821065237625</v>
      </c>
      <c r="Q499" s="16" t="n">
        <f aca="false">IF(D499="","",IF(P499&gt;=0,K499,MAX(0,K499+P499)))</f>
        <v>0.648</v>
      </c>
      <c r="R499" s="16" t="n">
        <f aca="false">IF(D499="","",Q499/$B$15)</f>
        <v>0.25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6.06821065237625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28.4892518890904</v>
      </c>
      <c r="Z499" s="18" t="n">
        <f aca="false">IF(D499="","",MAX(0,IF(P499&gt;=0,P499,IF(K499+P499&gt;=0,0,P499+K499))))</f>
        <v>6.06821065237625</v>
      </c>
      <c r="AA499" s="18" t="n">
        <f aca="false">IF(D499="","",IF(H499&lt;=$B$16,1,IF(H499&gt;=$B$17,$B$21,MATCH(H499,Aux_CAV!$A$2:$A$121,1))))</f>
        <v>4</v>
      </c>
      <c r="AB499" s="18" t="n">
        <f aca="false">IF(D499="","",IF(L499&lt;=$B$16,1,IF(L499&gt;=$B$17,$B$21,MATCH(L499,Aux_CAV!$A$2:$A$121,1))))</f>
        <v>4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0.076598616542495</v>
      </c>
      <c r="E500" s="16" t="n">
        <f aca="false">IF(D500="","",D500*$B$15)</f>
        <v>0.198543614078147</v>
      </c>
      <c r="F500" s="16" t="n">
        <f aca="false" t="array" ref="F500:F500">IF(D500="","",IFERROR(INDEX(Dados_Evap!$C$2:$N$15,MATCH($B$9,Dados_Evap!$A$2:$A$15,0),C500),0))</f>
        <v>208.9</v>
      </c>
      <c r="G500" s="16" t="n">
        <f aca="false">IF(F500="","",F500/1000)</f>
        <v>0.2089</v>
      </c>
      <c r="H500" s="16" t="n">
        <f aca="false">IF(D500="","",MAX(0,MIN($B$8,IFERROR(LOOKUP(2,1/($U$24:U499&lt;&gt;""),$U$24:U499),$B$11))))</f>
        <v>6.06821065237625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0.783145621388615</v>
      </c>
      <c r="J500" s="16" t="n">
        <f aca="false">IF(D500="","",$B$12)</f>
        <v>0.25</v>
      </c>
      <c r="K500" s="16" t="n">
        <f aca="false">IF(J500="","",J500*$B$15)</f>
        <v>0.648</v>
      </c>
      <c r="L500" s="16" t="n">
        <f aca="false">IF(D500="","",H500+E500-K500-G500*I500)</f>
        <v>5.45515514614632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0.747384050191868</v>
      </c>
      <c r="N500" s="16" t="n">
        <f aca="false">IF(D500="","",(I500+M500)/2)</f>
        <v>0.765264835790241</v>
      </c>
      <c r="O500" s="16" t="n">
        <f aca="false">IF(D500="","",G500*N500)</f>
        <v>0.159863824196581</v>
      </c>
      <c r="P500" s="16" t="n">
        <f aca="false">IF(D500="","",H500+E500-K500-O500)</f>
        <v>5.45889044225782</v>
      </c>
      <c r="Q500" s="16" t="n">
        <f aca="false">IF(D500="","",IF(P500&gt;=0,K500,MAX(0,K500+P500)))</f>
        <v>0.648</v>
      </c>
      <c r="R500" s="16" t="n">
        <f aca="false">IF(D500="","",Q500/$B$15)</f>
        <v>0.25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5.45889044225782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25.6285936256235</v>
      </c>
      <c r="Z500" s="18" t="n">
        <f aca="false">IF(D500="","",MAX(0,IF(P500&gt;=0,P500,IF(K500+P500&gt;=0,0,P500+K500))))</f>
        <v>5.45889044225782</v>
      </c>
      <c r="AA500" s="18" t="n">
        <f aca="false">IF(D500="","",IF(H500&lt;=$B$16,1,IF(H500&gt;=$B$17,$B$21,MATCH(H500,Aux_CAV!$A$2:$A$121,1))))</f>
        <v>4</v>
      </c>
      <c r="AB500" s="18" t="n">
        <f aca="false">IF(D500="","",IF(L500&lt;=$B$16,1,IF(L500&gt;=$B$17,$B$21,MATCH(L500,Aux_CAV!$A$2:$A$121,1))))</f>
        <v>4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0.0507395898633132</v>
      </c>
      <c r="E501" s="16" t="n">
        <f aca="false">IF(D501="","",D501*$B$15)</f>
        <v>0.131517016925708</v>
      </c>
      <c r="F501" s="16" t="n">
        <f aca="false" t="array" ref="F501:F501">IF(D501="","",IFERROR(INDEX(Dados_Evap!$C$2:$N$15,MATCH($B$9,Dados_Evap!$A$2:$A$15,0),C501),0))</f>
        <v>235.9</v>
      </c>
      <c r="G501" s="16" t="n">
        <f aca="false">IF(F501="","",F501/1000)</f>
        <v>0.2359</v>
      </c>
      <c r="H501" s="16" t="n">
        <f aca="false">IF(D501="","",MAX(0,MIN($B$8,IFERROR(LOOKUP(2,1/($U$24:U500&lt;&gt;""),$U$24:U500),$B$11))))</f>
        <v>5.45889044225782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0.747601942465039</v>
      </c>
      <c r="J501" s="16" t="n">
        <f aca="false">IF(D501="","",$B$12)</f>
        <v>0.25</v>
      </c>
      <c r="K501" s="16" t="n">
        <f aca="false">IF(J501="","",J501*$B$15)</f>
        <v>0.648</v>
      </c>
      <c r="L501" s="16" t="n">
        <f aca="false">IF(D501="","",H501+E501-K501-G501*I501)</f>
        <v>4.76604816095602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0.707186142722435</v>
      </c>
      <c r="N501" s="16" t="n">
        <f aca="false">IF(D501="","",(I501+M501)/2)</f>
        <v>0.727394042593737</v>
      </c>
      <c r="O501" s="16" t="n">
        <f aca="false">IF(D501="","",G501*N501)</f>
        <v>0.171592254647863</v>
      </c>
      <c r="P501" s="16" t="n">
        <f aca="false">IF(D501="","",H501+E501-K501-O501)</f>
        <v>4.77081520453566</v>
      </c>
      <c r="Q501" s="16" t="n">
        <f aca="false">IF(D501="","",IF(P501&gt;=0,K501,MAX(0,K501+P501)))</f>
        <v>0.648</v>
      </c>
      <c r="R501" s="16" t="n">
        <f aca="false">IF(D501="","",Q501/$B$15)</f>
        <v>0.25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4.77081520453566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22.3981934485242</v>
      </c>
      <c r="Z501" s="18" t="n">
        <f aca="false">IF(D501="","",MAX(0,IF(P501&gt;=0,P501,IF(K501+P501&gt;=0,0,P501+K501))))</f>
        <v>4.77081520453566</v>
      </c>
      <c r="AA501" s="18" t="n">
        <f aca="false">IF(D501="","",IF(H501&lt;=$B$16,1,IF(H501&gt;=$B$17,$B$21,MATCH(H501,Aux_CAV!$A$2:$A$121,1))))</f>
        <v>4</v>
      </c>
      <c r="AB501" s="18" t="n">
        <f aca="false">IF(D501="","",IF(L501&lt;=$B$16,1,IF(L501&gt;=$B$17,$B$21,MATCH(L501,Aux_CAV!$A$2:$A$121,1))))</f>
        <v>4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0.0490044667427392</v>
      </c>
      <c r="E502" s="16" t="n">
        <f aca="false">IF(D502="","",D502*$B$15)</f>
        <v>0.12701957779718</v>
      </c>
      <c r="F502" s="16" t="n">
        <f aca="false" t="array" ref="F502:F502">IF(D502="","",IFERROR(INDEX(Dados_Evap!$C$2:$N$15,MATCH($B$9,Dados_Evap!$A$2:$A$15,0),C502),0))</f>
        <v>225.9</v>
      </c>
      <c r="G502" s="16" t="n">
        <f aca="false">IF(F502="","",F502/1000)</f>
        <v>0.2259</v>
      </c>
      <c r="H502" s="16" t="n">
        <f aca="false">IF(D502="","",MAX(0,MIN($B$8,IFERROR(LOOKUP(2,1/($U$24:U501&lt;&gt;""),$U$24:U501),$B$11))))</f>
        <v>4.77081520453566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0.70746422026458</v>
      </c>
      <c r="J502" s="16" t="n">
        <f aca="false">IF(D502="","",$B$12)</f>
        <v>0.25</v>
      </c>
      <c r="K502" s="16" t="n">
        <f aca="false">IF(J502="","",J502*$B$15)</f>
        <v>0.648</v>
      </c>
      <c r="L502" s="16" t="n">
        <f aca="false">IF(D502="","",H502+E502-K502-G502*I502)</f>
        <v>4.09001861497507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0.667751085873546</v>
      </c>
      <c r="N502" s="16" t="n">
        <f aca="false">IF(D502="","",(I502+M502)/2)</f>
        <v>0.687607653069063</v>
      </c>
      <c r="O502" s="16" t="n">
        <f aca="false">IF(D502="","",G502*N502)</f>
        <v>0.155330568828301</v>
      </c>
      <c r="P502" s="16" t="n">
        <f aca="false">IF(D502="","",H502+E502-K502-O502)</f>
        <v>4.09450421350454</v>
      </c>
      <c r="Q502" s="16" t="n">
        <f aca="false">IF(D502="","",IF(P502&gt;=0,K502,MAX(0,K502+P502)))</f>
        <v>0.648</v>
      </c>
      <c r="R502" s="16" t="n">
        <f aca="false">IF(D502="","",Q502/$B$15)</f>
        <v>0.25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4.09450421350454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19.2230244765471</v>
      </c>
      <c r="Z502" s="18" t="n">
        <f aca="false">IF(D502="","",MAX(0,IF(P502&gt;=0,P502,IF(K502+P502&gt;=0,0,P502+K502))))</f>
        <v>4.09450421350454</v>
      </c>
      <c r="AA502" s="18" t="n">
        <f aca="false">IF(D502="","",IF(H502&lt;=$B$16,1,IF(H502&gt;=$B$17,$B$21,MATCH(H502,Aux_CAV!$A$2:$A$121,1))))</f>
        <v>4</v>
      </c>
      <c r="AB502" s="18" t="n">
        <f aca="false">IF(D502="","",IF(L502&lt;=$B$16,1,IF(L502&gt;=$B$17,$B$21,MATCH(L502,Aux_CAV!$A$2:$A$121,1))))</f>
        <v>4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0.0174737070127322</v>
      </c>
      <c r="E503" s="16" t="n">
        <f aca="false">IF(D503="","",D503*$B$15)</f>
        <v>0.0452918485770019</v>
      </c>
      <c r="F503" s="16" t="n">
        <f aca="false" t="array" ref="F503:F503">IF(D503="","",IFERROR(INDEX(Dados_Evap!$C$2:$N$15,MATCH($B$9,Dados_Evap!$A$2:$A$15,0),C503),0))</f>
        <v>206</v>
      </c>
      <c r="G503" s="16" t="n">
        <f aca="false">IF(F503="","",F503/1000)</f>
        <v>0.206</v>
      </c>
      <c r="H503" s="16" t="n">
        <f aca="false">IF(D503="","",MAX(0,MIN($B$8,IFERROR(LOOKUP(2,1/($U$24:U502&lt;&gt;""),$U$24:U502),$B$11))))</f>
        <v>4.09450421350454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0.668012745787765</v>
      </c>
      <c r="J503" s="16" t="n">
        <f aca="false">IF(D503="","",$B$12)</f>
        <v>0.25</v>
      </c>
      <c r="K503" s="16" t="n">
        <f aca="false">IF(J503="","",J503*$B$15)</f>
        <v>0.648</v>
      </c>
      <c r="L503" s="16" t="n">
        <f aca="false">IF(D503="","",H503+E503-K503-G503*I503)</f>
        <v>3.35418543644926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0.624827483792874</v>
      </c>
      <c r="N503" s="16" t="n">
        <f aca="false">IF(D503="","",(I503+M503)/2)</f>
        <v>0.646420114790319</v>
      </c>
      <c r="O503" s="16" t="n">
        <f aca="false">IF(D503="","",G503*N503)</f>
        <v>0.133162543646806</v>
      </c>
      <c r="P503" s="16" t="n">
        <f aca="false">IF(D503="","",H503+E503-K503-O503)</f>
        <v>3.35863351843474</v>
      </c>
      <c r="Q503" s="16" t="n">
        <f aca="false">IF(D503="","",IF(P503&gt;=0,K503,MAX(0,K503+P503)))</f>
        <v>0.648</v>
      </c>
      <c r="R503" s="16" t="n">
        <f aca="false">IF(D503="","",Q503/$B$15)</f>
        <v>0.25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3.35863351843474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15.7682324809143</v>
      </c>
      <c r="Z503" s="18" t="n">
        <f aca="false">IF(D503="","",MAX(0,IF(P503&gt;=0,P503,IF(K503+P503&gt;=0,0,P503+K503))))</f>
        <v>3.35863351843474</v>
      </c>
      <c r="AA503" s="18" t="n">
        <f aca="false">IF(D503="","",IF(H503&lt;=$B$16,1,IF(H503&gt;=$B$17,$B$21,MATCH(H503,Aux_CAV!$A$2:$A$121,1))))</f>
        <v>4</v>
      </c>
      <c r="AB503" s="18" t="n">
        <f aca="false">IF(D503="","",IF(L503&lt;=$B$16,1,IF(L503&gt;=$B$17,$B$21,MATCH(L503,Aux_CAV!$A$2:$A$121,1))))</f>
        <v>4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0.0296274404999196</v>
      </c>
      <c r="E504" s="16" t="n">
        <f aca="false">IF(D504="","",D504*$B$15)</f>
        <v>0.0767943257757916</v>
      </c>
      <c r="F504" s="16" t="n">
        <f aca="false" t="array" ref="F504:F504">IF(D504="","",IFERROR(INDEX(Dados_Evap!$C$2:$N$15,MATCH($B$9,Dados_Evap!$A$2:$A$15,0),C504),0))</f>
        <v>165.6</v>
      </c>
      <c r="G504" s="16" t="n">
        <f aca="false">IF(F504="","",F504/1000)</f>
        <v>0.1656</v>
      </c>
      <c r="H504" s="16" t="n">
        <f aca="false">IF(D504="","",MAX(0,MIN($B$8,IFERROR(LOOKUP(2,1/($U$24:U503&lt;&gt;""),$U$24:U503),$B$11))))</f>
        <v>3.35863351843474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0.625086955242026</v>
      </c>
      <c r="J504" s="16" t="n">
        <f aca="false">IF(D504="","",$B$12)</f>
        <v>0.25</v>
      </c>
      <c r="K504" s="16" t="n">
        <f aca="false">IF(J504="","",J504*$B$15)</f>
        <v>0.648</v>
      </c>
      <c r="L504" s="16" t="n">
        <f aca="false">IF(D504="","",H504+E504-K504-G504*I504)</f>
        <v>2.68391344442245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0.551085089475745</v>
      </c>
      <c r="N504" s="16" t="n">
        <f aca="false">IF(D504="","",(I504+M504)/2)</f>
        <v>0.588086022358886</v>
      </c>
      <c r="O504" s="16" t="n">
        <f aca="false">IF(D504="","",G504*N504)</f>
        <v>0.0973870453026314</v>
      </c>
      <c r="P504" s="16" t="n">
        <f aca="false">IF(D504="","",H504+E504-K504-O504)</f>
        <v>2.6900407989079</v>
      </c>
      <c r="Q504" s="16" t="n">
        <f aca="false">IF(D504="","",IF(P504&gt;=0,K504,MAX(0,K504+P504)))</f>
        <v>0.648</v>
      </c>
      <c r="R504" s="16" t="n">
        <f aca="false">IF(D504="","",Q504/$B$15)</f>
        <v>0.25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2.6900407989079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12.6292995253892</v>
      </c>
      <c r="Z504" s="18" t="n">
        <f aca="false">IF(D504="","",MAX(0,IF(P504&gt;=0,P504,IF(K504+P504&gt;=0,0,P504+K504))))</f>
        <v>2.6900407989079</v>
      </c>
      <c r="AA504" s="18" t="n">
        <f aca="false">IF(D504="","",IF(H504&lt;=$B$16,1,IF(H504&gt;=$B$17,$B$21,MATCH(H504,Aux_CAV!$A$2:$A$121,1))))</f>
        <v>4</v>
      </c>
      <c r="AB504" s="18" t="n">
        <f aca="false">IF(D504="","",IF(L504&lt;=$B$16,1,IF(L504&gt;=$B$17,$B$21,MATCH(L504,Aux_CAV!$A$2:$A$121,1))))</f>
        <v>3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0.0838030924885648</v>
      </c>
      <c r="E505" s="16" t="n">
        <f aca="false">IF(D505="","",D505*$B$15)</f>
        <v>0.21721761573036</v>
      </c>
      <c r="F505" s="16" t="n">
        <f aca="false" t="array" ref="F505:F505">IF(D505="","",IFERROR(INDEX(Dados_Evap!$C$2:$N$15,MATCH($B$9,Dados_Evap!$A$2:$A$15,0),C505),0))</f>
        <v>124.9</v>
      </c>
      <c r="G505" s="16" t="n">
        <f aca="false">IF(F505="","",F505/1000)</f>
        <v>0.1249</v>
      </c>
      <c r="H505" s="16" t="n">
        <f aca="false">IF(D505="","",MAX(0,MIN($B$8,IFERROR(LOOKUP(2,1/($U$24:U504&lt;&gt;""),$U$24:U504),$B$11))))</f>
        <v>2.6900407989079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0.551952679491384</v>
      </c>
      <c r="J505" s="16" t="n">
        <f aca="false">IF(D505="","",$B$12)</f>
        <v>0.25</v>
      </c>
      <c r="K505" s="16" t="n">
        <f aca="false">IF(J505="","",J505*$B$15)</f>
        <v>0.648</v>
      </c>
      <c r="L505" s="16" t="n">
        <f aca="false">IF(D505="","",H505+E505-K505-G505*I505)</f>
        <v>2.19031952496978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0.481195684951474</v>
      </c>
      <c r="N505" s="16" t="n">
        <f aca="false">IF(D505="","",(I505+M505)/2)</f>
        <v>0.516574182221429</v>
      </c>
      <c r="O505" s="16" t="n">
        <f aca="false">IF(D505="","",G505*N505)</f>
        <v>0.0645201153594564</v>
      </c>
      <c r="P505" s="16" t="n">
        <f aca="false">IF(D505="","",H505+E505-K505-O505)</f>
        <v>2.1947382992788</v>
      </c>
      <c r="Q505" s="16" t="n">
        <f aca="false">IF(D505="","",IF(P505&gt;=0,K505,MAX(0,K505+P505)))</f>
        <v>0.648</v>
      </c>
      <c r="R505" s="16" t="n">
        <f aca="false">IF(D505="","",Q505/$B$15)</f>
        <v>0.25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2.1947382992788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10.3039356773653</v>
      </c>
      <c r="Z505" s="18" t="n">
        <f aca="false">IF(D505="","",MAX(0,IF(P505&gt;=0,P505,IF(K505+P505&gt;=0,0,P505+K505))))</f>
        <v>2.1947382992788</v>
      </c>
      <c r="AA505" s="18" t="n">
        <f aca="false">IF(D505="","",IF(H505&lt;=$B$16,1,IF(H505&gt;=$B$17,$B$21,MATCH(H505,Aux_CAV!$A$2:$A$121,1))))</f>
        <v>3</v>
      </c>
      <c r="AB505" s="18" t="n">
        <f aca="false">IF(D505="","",IF(L505&lt;=$B$16,1,IF(L505&gt;=$B$17,$B$21,MATCH(L505,Aux_CAV!$A$2:$A$121,1))))</f>
        <v>3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0.713918329490796</v>
      </c>
      <c r="E506" s="16" t="n">
        <f aca="false">IF(D506="","",D506*$B$15)</f>
        <v>1.85047631004014</v>
      </c>
      <c r="F506" s="16" t="n">
        <f aca="false" t="array" ref="F506:F506">IF(D506="","",IFERROR(INDEX(Dados_Evap!$C$2:$N$15,MATCH($B$9,Dados_Evap!$A$2:$A$15,0),C506),0))</f>
        <v>88.2</v>
      </c>
      <c r="G506" s="16" t="n">
        <f aca="false">IF(F506="","",F506/1000)</f>
        <v>0.0882</v>
      </c>
      <c r="H506" s="16" t="n">
        <f aca="false">IF(D506="","",MAX(0,MIN($B$8,IFERROR(LOOKUP(2,1/($U$24:U505&lt;&gt;""),$U$24:U505),$B$11))))</f>
        <v>2.1947382992788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0.481821352110273</v>
      </c>
      <c r="J506" s="16" t="n">
        <f aca="false">IF(D506="","",$B$12)</f>
        <v>0.25</v>
      </c>
      <c r="K506" s="16" t="n">
        <f aca="false">IF(J506="","",J506*$B$15)</f>
        <v>0.648</v>
      </c>
      <c r="L506" s="16" t="n">
        <f aca="false">IF(D506="","",H506+E506-K506-G506*I506)</f>
        <v>3.35471796606282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0.624858548020331</v>
      </c>
      <c r="N506" s="16" t="n">
        <f aca="false">IF(D506="","",(I506+M506)/2)</f>
        <v>0.553339950065302</v>
      </c>
      <c r="O506" s="16" t="n">
        <f aca="false">IF(D506="","",G506*N506)</f>
        <v>0.0488045835957596</v>
      </c>
      <c r="P506" s="16" t="n">
        <f aca="false">IF(D506="","",H506+E506-K506-O506)</f>
        <v>3.34841002572318</v>
      </c>
      <c r="Q506" s="16" t="n">
        <f aca="false">IF(D506="","",IF(P506&gt;=0,K506,MAX(0,K506+P506)))</f>
        <v>0.648</v>
      </c>
      <c r="R506" s="16" t="n">
        <f aca="false">IF(D506="","",Q506/$B$15)</f>
        <v>0.25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3.34841002572318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15.7202348625502</v>
      </c>
      <c r="Z506" s="18" t="n">
        <f aca="false">IF(D506="","",MAX(0,IF(P506&gt;=0,P506,IF(K506+P506&gt;=0,0,P506+K506))))</f>
        <v>3.34841002572318</v>
      </c>
      <c r="AA506" s="18" t="n">
        <f aca="false">IF(D506="","",IF(H506&lt;=$B$16,1,IF(H506&gt;=$B$17,$B$21,MATCH(H506,Aux_CAV!$A$2:$A$121,1))))</f>
        <v>3</v>
      </c>
      <c r="AB506" s="18" t="n">
        <f aca="false">IF(D506="","",IF(L506&lt;=$B$16,1,IF(L506&gt;=$B$17,$B$21,MATCH(L506,Aux_CAV!$A$2:$A$121,1))))</f>
        <v>4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1.47134749386243</v>
      </c>
      <c r="E507" s="16" t="n">
        <f aca="false">IF(D507="","",D507*$B$15)</f>
        <v>3.81373270409142</v>
      </c>
      <c r="F507" s="16" t="n">
        <f aca="false" t="array" ref="F507:F507">IF(D507="","",IFERROR(INDEX(Dados_Evap!$C$2:$N$15,MATCH($B$9,Dados_Evap!$A$2:$A$15,0),C507),0))</f>
        <v>88.2</v>
      </c>
      <c r="G507" s="16" t="n">
        <f aca="false">IF(F507="","",F507/1000)</f>
        <v>0.0882</v>
      </c>
      <c r="H507" s="16" t="n">
        <f aca="false">IF(D507="","",MAX(0,MIN($B$8,IFERROR(LOOKUP(2,1/($U$24:U506&lt;&gt;""),$U$24:U506),$B$11))))</f>
        <v>3.34841002572318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0.624490584833852</v>
      </c>
      <c r="J507" s="16" t="n">
        <f aca="false">IF(D507="","",$B$12)</f>
        <v>0.25</v>
      </c>
      <c r="K507" s="16" t="n">
        <f aca="false">IF(J507="","",J507*$B$15)</f>
        <v>0.648</v>
      </c>
      <c r="L507" s="16" t="n">
        <f aca="false">IF(D507="","",H507+E507-K507-G507*I507)</f>
        <v>6.45906266023226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0.805945321846882</v>
      </c>
      <c r="N507" s="16" t="n">
        <f aca="false">IF(D507="","",(I507+M507)/2)</f>
        <v>0.715217953340367</v>
      </c>
      <c r="O507" s="16" t="n">
        <f aca="false">IF(D507="","",G507*N507)</f>
        <v>0.0630822234846204</v>
      </c>
      <c r="P507" s="16" t="n">
        <f aca="false">IF(D507="","",H507+E507-K507-O507)</f>
        <v>6.45106050632998</v>
      </c>
      <c r="Q507" s="16" t="n">
        <f aca="false">IF(D507="","",IF(P507&gt;=0,K507,MAX(0,K507+P507)))</f>
        <v>0.648</v>
      </c>
      <c r="R507" s="16" t="n">
        <f aca="false">IF(D507="","",Q507/$B$15)</f>
        <v>0.25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6.45106050632998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30.2866690438027</v>
      </c>
      <c r="Z507" s="18" t="n">
        <f aca="false">IF(D507="","",MAX(0,IF(P507&gt;=0,P507,IF(K507+P507&gt;=0,0,P507+K507))))</f>
        <v>6.45106050632998</v>
      </c>
      <c r="AA507" s="18" t="n">
        <f aca="false">IF(D507="","",IF(H507&lt;=$B$16,1,IF(H507&gt;=$B$17,$B$21,MATCH(H507,Aux_CAV!$A$2:$A$121,1))))</f>
        <v>4</v>
      </c>
      <c r="AB507" s="18" t="n">
        <f aca="false">IF(D507="","",IF(L507&lt;=$B$16,1,IF(L507&gt;=$B$17,$B$21,MATCH(L507,Aux_CAV!$A$2:$A$121,1))))</f>
        <v>4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0.465203280157401</v>
      </c>
      <c r="E508" s="16" t="n">
        <f aca="false">IF(D508="","",D508*$B$15)</f>
        <v>1.20580690216798</v>
      </c>
      <c r="F508" s="16" t="n">
        <f aca="false" t="array" ref="F508:F508">IF(D508="","",IFERROR(INDEX(Dados_Evap!$C$2:$N$15,MATCH($B$9,Dados_Evap!$A$2:$A$15,0),C508),0))</f>
        <v>83.9</v>
      </c>
      <c r="G508" s="16" t="n">
        <f aca="false">IF(F508="","",F508/1000)</f>
        <v>0.0839</v>
      </c>
      <c r="H508" s="16" t="n">
        <f aca="false">IF(D508="","",MAX(0,MIN($B$8,IFERROR(LOOKUP(2,1/($U$24:U507&lt;&gt;""),$U$24:U507),$B$11))))</f>
        <v>6.45106050632998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0.805478529535916</v>
      </c>
      <c r="J508" s="16" t="n">
        <f aca="false">IF(D508="","",$B$12)</f>
        <v>0.25</v>
      </c>
      <c r="K508" s="16" t="n">
        <f aca="false">IF(J508="","",J508*$B$15)</f>
        <v>0.648</v>
      </c>
      <c r="L508" s="16" t="n">
        <f aca="false">IF(D508="","",H508+E508-K508-G508*I508)</f>
        <v>6.9412877598699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0.828007337163824</v>
      </c>
      <c r="N508" s="16" t="n">
        <f aca="false">IF(D508="","",(I508+M508)/2)</f>
        <v>0.81674293334987</v>
      </c>
      <c r="O508" s="16" t="n">
        <f aca="false">IF(D508="","",G508*N508)</f>
        <v>0.0685247321080541</v>
      </c>
      <c r="P508" s="16" t="n">
        <f aca="false">IF(D508="","",H508+E508-K508-O508)</f>
        <v>6.94034267638991</v>
      </c>
      <c r="Q508" s="16" t="n">
        <f aca="false">IF(D508="","",IF(P508&gt;=0,K508,MAX(0,K508+P508)))</f>
        <v>0.648</v>
      </c>
      <c r="R508" s="16" t="n">
        <f aca="false">IF(D508="","",Q508/$B$15)</f>
        <v>0.25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6.94034267638991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32.5837684337555</v>
      </c>
      <c r="Z508" s="18" t="n">
        <f aca="false">IF(D508="","",MAX(0,IF(P508&gt;=0,P508,IF(K508+P508&gt;=0,0,P508+K508))))</f>
        <v>6.94034267638991</v>
      </c>
      <c r="AA508" s="18" t="n">
        <f aca="false">IF(D508="","",IF(H508&lt;=$B$16,1,IF(H508&gt;=$B$17,$B$21,MATCH(H508,Aux_CAV!$A$2:$A$121,1))))</f>
        <v>4</v>
      </c>
      <c r="AB508" s="18" t="n">
        <f aca="false">IF(D508="","",IF(L508&lt;=$B$16,1,IF(L508&gt;=$B$17,$B$21,MATCH(L508,Aux_CAV!$A$2:$A$121,1))))</f>
        <v>5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0.186404140132118</v>
      </c>
      <c r="E509" s="16" t="n">
        <f aca="false">IF(D509="","",D509*$B$15)</f>
        <v>0.48315953122245</v>
      </c>
      <c r="F509" s="16" t="n">
        <f aca="false" t="array" ref="F509:F509">IF(D509="","",IFERROR(INDEX(Dados_Evap!$C$2:$N$15,MATCH($B$9,Dados_Evap!$A$2:$A$15,0),C509),0))</f>
        <v>104.7</v>
      </c>
      <c r="G509" s="16" t="n">
        <f aca="false">IF(F509="","",F509/1000)</f>
        <v>0.1047</v>
      </c>
      <c r="H509" s="16" t="n">
        <f aca="false">IF(D509="","",MAX(0,MIN($B$8,IFERROR(LOOKUP(2,1/($U$24:U508&lt;&gt;""),$U$24:U508),$B$11))))</f>
        <v>6.94034267638991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0.827975973774002</v>
      </c>
      <c r="J509" s="16" t="n">
        <f aca="false">IF(D509="","",$B$12)</f>
        <v>0.25</v>
      </c>
      <c r="K509" s="16" t="n">
        <f aca="false">IF(J509="","",J509*$B$15)</f>
        <v>0.648</v>
      </c>
      <c r="L509" s="16" t="n">
        <f aca="false">IF(D509="","",H509+E509-K509-G509*I509)</f>
        <v>6.68881312315823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0.81934743218423</v>
      </c>
      <c r="N509" s="16" t="n">
        <f aca="false">IF(D509="","",(I509+M509)/2)</f>
        <v>0.823661702979116</v>
      </c>
      <c r="O509" s="16" t="n">
        <f aca="false">IF(D509="","",G509*N509)</f>
        <v>0.0862373803019134</v>
      </c>
      <c r="P509" s="16" t="n">
        <f aca="false">IF(D509="","",H509+E509-K509-O509)</f>
        <v>6.68926482731045</v>
      </c>
      <c r="Q509" s="16" t="n">
        <f aca="false">IF(D509="","",IF(P509&gt;=0,K509,MAX(0,K509+P509)))</f>
        <v>0.648</v>
      </c>
      <c r="R509" s="16" t="n">
        <f aca="false">IF(D509="","",Q509/$B$15)</f>
        <v>0.25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6.68926482731045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31.4049991892509</v>
      </c>
      <c r="Z509" s="18" t="n">
        <f aca="false">IF(D509="","",MAX(0,IF(P509&gt;=0,P509,IF(K509+P509&gt;=0,0,P509+K509))))</f>
        <v>6.68926482731045</v>
      </c>
      <c r="AA509" s="18" t="n">
        <f aca="false">IF(D509="","",IF(H509&lt;=$B$16,1,IF(H509&gt;=$B$17,$B$21,MATCH(H509,Aux_CAV!$A$2:$A$121,1))))</f>
        <v>5</v>
      </c>
      <c r="AB509" s="18" t="n">
        <f aca="false">IF(D509="","",IF(L509&lt;=$B$16,1,IF(L509&gt;=$B$17,$B$21,MATCH(L509,Aux_CAV!$A$2:$A$121,1))))</f>
        <v>4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0.129528888174201</v>
      </c>
      <c r="E510" s="16" t="n">
        <f aca="false">IF(D510="","",D510*$B$15)</f>
        <v>0.335738878147529</v>
      </c>
      <c r="F510" s="16" t="n">
        <f aca="false" t="array" ref="F510:F510">IF(D510="","",IFERROR(INDEX(Dados_Evap!$C$2:$N$15,MATCH($B$9,Dados_Evap!$A$2:$A$15,0),C510),0))</f>
        <v>145.2</v>
      </c>
      <c r="G510" s="16" t="n">
        <f aca="false">IF(F510="","",F510/1000)</f>
        <v>0.1452</v>
      </c>
      <c r="H510" s="16" t="n">
        <f aca="false">IF(D510="","",MAX(0,MIN($B$8,IFERROR(LOOKUP(2,1/($U$24:U509&lt;&gt;""),$U$24:U509),$B$11))))</f>
        <v>6.68926482731045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0.81937378159311</v>
      </c>
      <c r="J510" s="16" t="n">
        <f aca="false">IF(D510="","",$B$12)</f>
        <v>0.25</v>
      </c>
      <c r="K510" s="16" t="n">
        <f aca="false">IF(J510="","",J510*$B$15)</f>
        <v>0.648</v>
      </c>
      <c r="L510" s="16" t="n">
        <f aca="false">IF(D510="","",H510+E510-K510-G510*I510)</f>
        <v>6.25803063237066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0.794218453554955</v>
      </c>
      <c r="N510" s="16" t="n">
        <f aca="false">IF(D510="","",(I510+M510)/2)</f>
        <v>0.806796117574032</v>
      </c>
      <c r="O510" s="16" t="n">
        <f aca="false">IF(D510="","",G510*N510)</f>
        <v>0.117146796271749</v>
      </c>
      <c r="P510" s="16" t="n">
        <f aca="false">IF(D510="","",H510+E510-K510-O510)</f>
        <v>6.25985690918623</v>
      </c>
      <c r="Q510" s="16" t="n">
        <f aca="false">IF(D510="","",IF(P510&gt;=0,K510,MAX(0,K510+P510)))</f>
        <v>0.648</v>
      </c>
      <c r="R510" s="16" t="n">
        <f aca="false">IF(D510="","",Q510/$B$15)</f>
        <v>0.25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6.25985690918623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29.3889995736443</v>
      </c>
      <c r="Z510" s="18" t="n">
        <f aca="false">IF(D510="","",MAX(0,IF(P510&gt;=0,P510,IF(K510+P510&gt;=0,0,P510+K510))))</f>
        <v>6.25985690918623</v>
      </c>
      <c r="AA510" s="18" t="n">
        <f aca="false">IF(D510="","",IF(H510&lt;=$B$16,1,IF(H510&gt;=$B$17,$B$21,MATCH(H510,Aux_CAV!$A$2:$A$121,1))))</f>
        <v>4</v>
      </c>
      <c r="AB510" s="18" t="n">
        <f aca="false">IF(D510="","",IF(L510&lt;=$B$16,1,IF(L510&gt;=$B$17,$B$21,MATCH(L510,Aux_CAV!$A$2:$A$121,1))))</f>
        <v>4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0.0685441587595861</v>
      </c>
      <c r="E511" s="16" t="n">
        <f aca="false">IF(D511="","",D511*$B$15)</f>
        <v>0.177666459504847</v>
      </c>
      <c r="F511" s="16" t="n">
        <f aca="false" t="array" ref="F511:F511">IF(D511="","",IFERROR(INDEX(Dados_Evap!$C$2:$N$15,MATCH($B$9,Dados_Evap!$A$2:$A$15,0),C511),0))</f>
        <v>180.9</v>
      </c>
      <c r="G511" s="16" t="n">
        <f aca="false">IF(F511="","",F511/1000)</f>
        <v>0.1809</v>
      </c>
      <c r="H511" s="16" t="n">
        <f aca="false">IF(D511="","",MAX(0,MIN($B$8,IFERROR(LOOKUP(2,1/($U$24:U510&lt;&gt;""),$U$24:U510),$B$11))))</f>
        <v>6.25985690918623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0.794324986369197</v>
      </c>
      <c r="J511" s="16" t="n">
        <f aca="false">IF(D511="","",$B$12)</f>
        <v>0.25</v>
      </c>
      <c r="K511" s="16" t="n">
        <f aca="false">IF(J511="","",J511*$B$15)</f>
        <v>0.648</v>
      </c>
      <c r="L511" s="16" t="n">
        <f aca="false">IF(D511="","",H511+E511-K511-G511*I511)</f>
        <v>5.64582997865689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0.758506748754985</v>
      </c>
      <c r="N511" s="16" t="n">
        <f aca="false">IF(D511="","",(I511+M511)/2)</f>
        <v>0.776415867562091</v>
      </c>
      <c r="O511" s="16" t="n">
        <f aca="false">IF(D511="","",G511*N511)</f>
        <v>0.140453630441982</v>
      </c>
      <c r="P511" s="16" t="n">
        <f aca="false">IF(D511="","",H511+E511-K511-O511)</f>
        <v>5.64906973824909</v>
      </c>
      <c r="Q511" s="16" t="n">
        <f aca="false">IF(D511="","",IF(P511&gt;=0,K511,MAX(0,K511+P511)))</f>
        <v>0.648</v>
      </c>
      <c r="R511" s="16" t="n">
        <f aca="false">IF(D511="","",Q511/$B$15)</f>
        <v>0.25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5.64906973824909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26.5214541701835</v>
      </c>
      <c r="Z511" s="18" t="n">
        <f aca="false">IF(D511="","",MAX(0,IF(P511&gt;=0,P511,IF(K511+P511&gt;=0,0,P511+K511))))</f>
        <v>5.64906973824909</v>
      </c>
      <c r="AA511" s="18" t="n">
        <f aca="false">IF(D511="","",IF(H511&lt;=$B$16,1,IF(H511&gt;=$B$17,$B$21,MATCH(H511,Aux_CAV!$A$2:$A$121,1))))</f>
        <v>4</v>
      </c>
      <c r="AB511" s="18" t="n">
        <f aca="false">IF(D511="","",IF(L511&lt;=$B$16,1,IF(L511&gt;=$B$17,$B$21,MATCH(L511,Aux_CAV!$A$2:$A$121,1))))</f>
        <v>4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0.0447197607089888</v>
      </c>
      <c r="E512" s="16" t="n">
        <f aca="false">IF(D512="","",D512*$B$15)</f>
        <v>0.115913619757699</v>
      </c>
      <c r="F512" s="16" t="n">
        <f aca="false" t="array" ref="F512:F512">IF(D512="","",IFERROR(INDEX(Dados_Evap!$C$2:$N$15,MATCH($B$9,Dados_Evap!$A$2:$A$15,0),C512),0))</f>
        <v>208.9</v>
      </c>
      <c r="G512" s="16" t="n">
        <f aca="false">IF(F512="","",F512/1000)</f>
        <v>0.2089</v>
      </c>
      <c r="H512" s="16" t="n">
        <f aca="false">IF(D512="","",MAX(0,MIN($B$8,IFERROR(LOOKUP(2,1/($U$24:U511&lt;&gt;""),$U$24:U511),$B$11))))</f>
        <v>5.64906973824909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0.758695734731197</v>
      </c>
      <c r="J512" s="16" t="n">
        <f aca="false">IF(D512="","",$B$12)</f>
        <v>0.25</v>
      </c>
      <c r="K512" s="16" t="n">
        <f aca="false">IF(J512="","",J512*$B$15)</f>
        <v>0.648</v>
      </c>
      <c r="L512" s="16" t="n">
        <f aca="false">IF(D512="","",H512+E512-K512-G512*I512)</f>
        <v>4.95849181902145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0.718412022776251</v>
      </c>
      <c r="N512" s="16" t="n">
        <f aca="false">IF(D512="","",(I512+M512)/2)</f>
        <v>0.738553878753724</v>
      </c>
      <c r="O512" s="16" t="n">
        <f aca="false">IF(D512="","",G512*N512)</f>
        <v>0.154283905271653</v>
      </c>
      <c r="P512" s="16" t="n">
        <f aca="false">IF(D512="","",H512+E512-K512-O512)</f>
        <v>4.96269945273514</v>
      </c>
      <c r="Q512" s="16" t="n">
        <f aca="false">IF(D512="","",IF(P512&gt;=0,K512,MAX(0,K512+P512)))</f>
        <v>0.648</v>
      </c>
      <c r="R512" s="16" t="n">
        <f aca="false">IF(D512="","",Q512/$B$15)</f>
        <v>0.25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4.96269945273514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23.2990584635453</v>
      </c>
      <c r="Z512" s="18" t="n">
        <f aca="false">IF(D512="","",MAX(0,IF(P512&gt;=0,P512,IF(K512+P512&gt;=0,0,P512+K512))))</f>
        <v>4.96269945273514</v>
      </c>
      <c r="AA512" s="18" t="n">
        <f aca="false">IF(D512="","",IF(H512&lt;=$B$16,1,IF(H512&gt;=$B$17,$B$21,MATCH(H512,Aux_CAV!$A$2:$A$121,1))))</f>
        <v>4</v>
      </c>
      <c r="AB512" s="18" t="n">
        <f aca="false">IF(D512="","",IF(L512&lt;=$B$16,1,IF(L512&gt;=$B$17,$B$21,MATCH(L512,Aux_CAV!$A$2:$A$121,1))))</f>
        <v>4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0.0274359788027376</v>
      </c>
      <c r="E513" s="16" t="n">
        <f aca="false">IF(D513="","",D513*$B$15)</f>
        <v>0.0711140570566959</v>
      </c>
      <c r="F513" s="16" t="n">
        <f aca="false" t="array" ref="F513:F513">IF(D513="","",IFERROR(INDEX(Dados_Evap!$C$2:$N$15,MATCH($B$9,Dados_Evap!$A$2:$A$15,0),C513),0))</f>
        <v>235.9</v>
      </c>
      <c r="G513" s="16" t="n">
        <f aca="false">IF(F513="","",F513/1000)</f>
        <v>0.2359</v>
      </c>
      <c r="H513" s="16" t="n">
        <f aca="false">IF(D513="","",MAX(0,MIN($B$8,IFERROR(LOOKUP(2,1/($U$24:U512&lt;&gt;""),$U$24:U512),$B$11))))</f>
        <v>4.96269945273514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0.718657468076217</v>
      </c>
      <c r="J513" s="16" t="n">
        <f aca="false">IF(D513="","",$B$12)</f>
        <v>0.25</v>
      </c>
      <c r="K513" s="16" t="n">
        <f aca="false">IF(J513="","",J513*$B$15)</f>
        <v>0.648</v>
      </c>
      <c r="L513" s="16" t="n">
        <f aca="false">IF(D513="","",H513+E513-K513-G513*I513)</f>
        <v>4.21628221307266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0.675116462429238</v>
      </c>
      <c r="N513" s="16" t="n">
        <f aca="false">IF(D513="","",(I513+M513)/2)</f>
        <v>0.696886965252727</v>
      </c>
      <c r="O513" s="16" t="n">
        <f aca="false">IF(D513="","",G513*N513)</f>
        <v>0.164395635103118</v>
      </c>
      <c r="P513" s="16" t="n">
        <f aca="false">IF(D513="","",H513+E513-K513-O513)</f>
        <v>4.22141787468872</v>
      </c>
      <c r="Q513" s="16" t="n">
        <f aca="false">IF(D513="","",IF(P513&gt;=0,K513,MAX(0,K513+P513)))</f>
        <v>0.648</v>
      </c>
      <c r="R513" s="16" t="n">
        <f aca="false">IF(D513="","",Q513/$B$15)</f>
        <v>0.25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4.22141787468872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19.8188632614494</v>
      </c>
      <c r="Z513" s="18" t="n">
        <f aca="false">IF(D513="","",MAX(0,IF(P513&gt;=0,P513,IF(K513+P513&gt;=0,0,P513+K513))))</f>
        <v>4.22141787468872</v>
      </c>
      <c r="AA513" s="18" t="n">
        <f aca="false">IF(D513="","",IF(H513&lt;=$B$16,1,IF(H513&gt;=$B$17,$B$21,MATCH(H513,Aux_CAV!$A$2:$A$121,1))))</f>
        <v>4</v>
      </c>
      <c r="AB513" s="18" t="n">
        <f aca="false">IF(D513="","",IF(L513&lt;=$B$16,1,IF(L513&gt;=$B$17,$B$21,MATCH(L513,Aux_CAV!$A$2:$A$121,1))))</f>
        <v>4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0.0147772247275318</v>
      </c>
      <c r="E514" s="16" t="n">
        <f aca="false">IF(D514="","",D514*$B$15)</f>
        <v>0.0383025664937624</v>
      </c>
      <c r="F514" s="16" t="n">
        <f aca="false" t="array" ref="F514:F514">IF(D514="","",IFERROR(INDEX(Dados_Evap!$C$2:$N$15,MATCH($B$9,Dados_Evap!$A$2:$A$15,0),C514),0))</f>
        <v>225.9</v>
      </c>
      <c r="G514" s="16" t="n">
        <f aca="false">IF(F514="","",F514/1000)</f>
        <v>0.2259</v>
      </c>
      <c r="H514" s="16" t="n">
        <f aca="false">IF(D514="","",MAX(0,MIN($B$8,IFERROR(LOOKUP(2,1/($U$24:U513&lt;&gt;""),$U$24:U513),$B$11))))</f>
        <v>4.22141787468872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0.675416042690175</v>
      </c>
      <c r="J514" s="16" t="n">
        <f aca="false">IF(D514="","",$B$12)</f>
        <v>0.25</v>
      </c>
      <c r="K514" s="16" t="n">
        <f aca="false">IF(J514="","",J514*$B$15)</f>
        <v>0.648</v>
      </c>
      <c r="L514" s="16" t="n">
        <f aca="false">IF(D514="","",H514+E514-K514-G514*I514)</f>
        <v>3.45914395713877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0.630950064166428</v>
      </c>
      <c r="N514" s="16" t="n">
        <f aca="false">IF(D514="","",(I514+M514)/2)</f>
        <v>0.653183053428302</v>
      </c>
      <c r="O514" s="16" t="n">
        <f aca="false">IF(D514="","",G514*N514)</f>
        <v>0.147554051769453</v>
      </c>
      <c r="P514" s="16" t="n">
        <f aca="false">IF(D514="","",H514+E514-K514-O514)</f>
        <v>3.46416638941303</v>
      </c>
      <c r="Q514" s="16" t="n">
        <f aca="false">IF(D514="","",IF(P514&gt;=0,K514,MAX(0,K514+P514)))</f>
        <v>0.648</v>
      </c>
      <c r="R514" s="16" t="n">
        <f aca="false">IF(D514="","",Q514/$B$15)</f>
        <v>0.25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3.46416638941303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16.2636919690752</v>
      </c>
      <c r="Z514" s="18" t="n">
        <f aca="false">IF(D514="","",MAX(0,IF(P514&gt;=0,P514,IF(K514+P514&gt;=0,0,P514+K514))))</f>
        <v>3.46416638941303</v>
      </c>
      <c r="AA514" s="18" t="n">
        <f aca="false">IF(D514="","",IF(H514&lt;=$B$16,1,IF(H514&gt;=$B$17,$B$21,MATCH(H514,Aux_CAV!$A$2:$A$121,1))))</f>
        <v>4</v>
      </c>
      <c r="AB514" s="18" t="n">
        <f aca="false">IF(D514="","",IF(L514&lt;=$B$16,1,IF(L514&gt;=$B$17,$B$21,MATCH(L514,Aux_CAV!$A$2:$A$121,1))))</f>
        <v>4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0.027460400071405</v>
      </c>
      <c r="E515" s="16" t="n">
        <f aca="false">IF(D515="","",D515*$B$15)</f>
        <v>0.0711773569850818</v>
      </c>
      <c r="F515" s="16" t="n">
        <f aca="false" t="array" ref="F515:F515">IF(D515="","",IFERROR(INDEX(Dados_Evap!$C$2:$N$15,MATCH($B$9,Dados_Evap!$A$2:$A$15,0),C515),0))</f>
        <v>206</v>
      </c>
      <c r="G515" s="16" t="n">
        <f aca="false">IF(F515="","",F515/1000)</f>
        <v>0.206</v>
      </c>
      <c r="H515" s="16" t="n">
        <f aca="false">IF(D515="","",MAX(0,MIN($B$8,IFERROR(LOOKUP(2,1/($U$24:U514&lt;&gt;""),$U$24:U514),$B$11))))</f>
        <v>3.46416638941303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0.631243039382427</v>
      </c>
      <c r="J515" s="16" t="n">
        <f aca="false">IF(D515="","",$B$12)</f>
        <v>0.25</v>
      </c>
      <c r="K515" s="16" t="n">
        <f aca="false">IF(J515="","",J515*$B$15)</f>
        <v>0.648</v>
      </c>
      <c r="L515" s="16" t="n">
        <f aca="false">IF(D515="","",H515+E515-K515-G515*I515)</f>
        <v>2.75730768028533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0.561477193668719</v>
      </c>
      <c r="N515" s="16" t="n">
        <f aca="false">IF(D515="","",(I515+M515)/2)</f>
        <v>0.596360116525573</v>
      </c>
      <c r="O515" s="16" t="n">
        <f aca="false">IF(D515="","",G515*N515)</f>
        <v>0.122850184004268</v>
      </c>
      <c r="P515" s="16" t="n">
        <f aca="false">IF(D515="","",H515+E515-K515-O515)</f>
        <v>2.76449356239384</v>
      </c>
      <c r="Q515" s="16" t="n">
        <f aca="false">IF(D515="","",IF(P515&gt;=0,K515,MAX(0,K515+P515)))</f>
        <v>0.648</v>
      </c>
      <c r="R515" s="16" t="n">
        <f aca="false">IF(D515="","",Q515/$B$15)</f>
        <v>0.25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2.76449356239384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12.9788430159335</v>
      </c>
      <c r="Z515" s="18" t="n">
        <f aca="false">IF(D515="","",MAX(0,IF(P515&gt;=0,P515,IF(K515+P515&gt;=0,0,P515+K515))))</f>
        <v>2.76449356239384</v>
      </c>
      <c r="AA515" s="18" t="n">
        <f aca="false">IF(D515="","",IF(H515&lt;=$B$16,1,IF(H515&gt;=$B$17,$B$21,MATCH(H515,Aux_CAV!$A$2:$A$121,1))))</f>
        <v>4</v>
      </c>
      <c r="AB515" s="18" t="n">
        <f aca="false">IF(D515="","",IF(L515&lt;=$B$16,1,IF(L515&gt;=$B$17,$B$21,MATCH(L515,Aux_CAV!$A$2:$A$121,1))))</f>
        <v>3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0.0160542485615026</v>
      </c>
      <c r="E516" s="16" t="n">
        <f aca="false">IF(D516="","",D516*$B$15)</f>
        <v>0.0416126122714147</v>
      </c>
      <c r="F516" s="16" t="n">
        <f aca="false" t="array" ref="F516:F516">IF(D516="","",IFERROR(INDEX(Dados_Evap!$C$2:$N$15,MATCH($B$9,Dados_Evap!$A$2:$A$15,0),C516),0))</f>
        <v>165.6</v>
      </c>
      <c r="G516" s="16" t="n">
        <f aca="false">IF(F516="","",F516/1000)</f>
        <v>0.1656</v>
      </c>
      <c r="H516" s="16" t="n">
        <f aca="false">IF(D516="","",MAX(0,MIN($B$8,IFERROR(LOOKUP(2,1/($U$24:U515&lt;&gt;""),$U$24:U515),$B$11))))</f>
        <v>2.76449356239384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0.562494663701783</v>
      </c>
      <c r="J516" s="16" t="n">
        <f aca="false">IF(D516="","",$B$12)</f>
        <v>0.25</v>
      </c>
      <c r="K516" s="16" t="n">
        <f aca="false">IF(J516="","",J516*$B$15)</f>
        <v>0.648</v>
      </c>
      <c r="L516" s="16" t="n">
        <f aca="false">IF(D516="","",H516+E516-K516-G516*I516)</f>
        <v>2.06495705835624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0.463445247200884</v>
      </c>
      <c r="N516" s="16" t="n">
        <f aca="false">IF(D516="","",(I516+M516)/2)</f>
        <v>0.512969955451333</v>
      </c>
      <c r="O516" s="16" t="n">
        <f aca="false">IF(D516="","",G516*N516)</f>
        <v>0.0849478246227408</v>
      </c>
      <c r="P516" s="16" t="n">
        <f aca="false">IF(D516="","",H516+E516-K516-O516)</f>
        <v>2.07315835004252</v>
      </c>
      <c r="Q516" s="16" t="n">
        <f aca="false">IF(D516="","",IF(P516&gt;=0,K516,MAX(0,K516+P516)))</f>
        <v>0.648</v>
      </c>
      <c r="R516" s="16" t="n">
        <f aca="false">IF(D516="","",Q516/$B$15)</f>
        <v>0.25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2.07315835004252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9.73313779362683</v>
      </c>
      <c r="Z516" s="18" t="n">
        <f aca="false">IF(D516="","",MAX(0,IF(P516&gt;=0,P516,IF(K516+P516&gt;=0,0,P516+K516))))</f>
        <v>2.07315835004252</v>
      </c>
      <c r="AA516" s="18" t="n">
        <f aca="false">IF(D516="","",IF(H516&lt;=$B$16,1,IF(H516&gt;=$B$17,$B$21,MATCH(H516,Aux_CAV!$A$2:$A$121,1))))</f>
        <v>3</v>
      </c>
      <c r="AB516" s="18" t="n">
        <f aca="false">IF(D516="","",IF(L516&lt;=$B$16,1,IF(L516&gt;=$B$17,$B$21,MATCH(L516,Aux_CAV!$A$2:$A$121,1))))</f>
        <v>3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0.0132507514953641</v>
      </c>
      <c r="E517" s="16" t="n">
        <f aca="false">IF(D517="","",D517*$B$15)</f>
        <v>0.0343459478759838</v>
      </c>
      <c r="F517" s="16" t="n">
        <f aca="false" t="array" ref="F517:F517">IF(D517="","",IFERROR(INDEX(Dados_Evap!$C$2:$N$15,MATCH($B$9,Dados_Evap!$A$2:$A$15,0),C517),0))</f>
        <v>124.9</v>
      </c>
      <c r="G517" s="16" t="n">
        <f aca="false">IF(F517="","",F517/1000)</f>
        <v>0.1249</v>
      </c>
      <c r="H517" s="16" t="n">
        <f aca="false">IF(D517="","",MAX(0,MIN($B$8,IFERROR(LOOKUP(2,1/($U$24:U516&lt;&gt;""),$U$24:U516),$B$11))))</f>
        <v>2.07315835004252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0.464606492041418</v>
      </c>
      <c r="J517" s="16" t="n">
        <f aca="false">IF(D517="","",$B$12)</f>
        <v>0.25</v>
      </c>
      <c r="K517" s="16" t="n">
        <f aca="false">IF(J517="","",J517*$B$15)</f>
        <v>0.648</v>
      </c>
      <c r="L517" s="16" t="n">
        <f aca="false">IF(D517="","",H517+E517-K517-G517*I517)</f>
        <v>1.40147494706253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0.369500877460181</v>
      </c>
      <c r="N517" s="16" t="n">
        <f aca="false">IF(D517="","",(I517+M517)/2)</f>
        <v>0.417053684750799</v>
      </c>
      <c r="O517" s="16" t="n">
        <f aca="false">IF(D517="","",G517*N517)</f>
        <v>0.0520900052253748</v>
      </c>
      <c r="P517" s="16" t="n">
        <f aca="false">IF(D517="","",H517+E517-K517-O517)</f>
        <v>1.40741429269312</v>
      </c>
      <c r="Q517" s="16" t="n">
        <f aca="false">IF(D517="","",IF(P517&gt;=0,K517,MAX(0,K517+P517)))</f>
        <v>0.648</v>
      </c>
      <c r="R517" s="16" t="n">
        <f aca="false">IF(D517="","",Q517/$B$15)</f>
        <v>0.25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1.40741429269312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6.60757883893485</v>
      </c>
      <c r="Z517" s="18" t="n">
        <f aca="false">IF(D517="","",MAX(0,IF(P517&gt;=0,P517,IF(K517+P517&gt;=0,0,P517+K517))))</f>
        <v>1.40741429269312</v>
      </c>
      <c r="AA517" s="18" t="n">
        <f aca="false">IF(D517="","",IF(H517&lt;=$B$16,1,IF(H517&gt;=$B$17,$B$21,MATCH(H517,Aux_CAV!$A$2:$A$121,1))))</f>
        <v>3</v>
      </c>
      <c r="AB517" s="18" t="n">
        <f aca="false">IF(D517="","",IF(L517&lt;=$B$16,1,IF(L517&gt;=$B$17,$B$21,MATCH(L517,Aux_CAV!$A$2:$A$121,1))))</f>
        <v>3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0.0541604458079281</v>
      </c>
      <c r="E518" s="16" t="n">
        <f aca="false">IF(D518="","",D518*$B$15)</f>
        <v>0.14038387553415</v>
      </c>
      <c r="F518" s="16" t="n">
        <f aca="false" t="array" ref="F518:F518">IF(D518="","",IFERROR(INDEX(Dados_Evap!$C$2:$N$15,MATCH($B$9,Dados_Evap!$A$2:$A$15,0),C518),0))</f>
        <v>88.2</v>
      </c>
      <c r="G518" s="16" t="n">
        <f aca="false">IF(F518="","",F518/1000)</f>
        <v>0.0882</v>
      </c>
      <c r="H518" s="16" t="n">
        <f aca="false">IF(D518="","",MAX(0,MIN($B$8,IFERROR(LOOKUP(2,1/($U$24:U517&lt;&gt;""),$U$24:U517),$B$11))))</f>
        <v>1.40741429269312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0.370341846753009</v>
      </c>
      <c r="J518" s="16" t="n">
        <f aca="false">IF(D518="","",$B$12)</f>
        <v>0.25</v>
      </c>
      <c r="K518" s="16" t="n">
        <f aca="false">IF(J518="","",J518*$B$15)</f>
        <v>0.648</v>
      </c>
      <c r="L518" s="16" t="n">
        <f aca="false">IF(D518="","",H518+E518-K518-G518*I518)</f>
        <v>0.867134017343658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0.293841984756624</v>
      </c>
      <c r="N518" s="16" t="n">
        <f aca="false">IF(D518="","",(I518+M518)/2)</f>
        <v>0.332091915754816</v>
      </c>
      <c r="O518" s="16" t="n">
        <f aca="false">IF(D518="","",G518*N518)</f>
        <v>0.0292905069695748</v>
      </c>
      <c r="P518" s="16" t="n">
        <f aca="false">IF(D518="","",H518+E518-K518-O518)</f>
        <v>0.870507661257699</v>
      </c>
      <c r="Q518" s="16" t="n">
        <f aca="false">IF(D518="","",IF(P518&gt;=0,K518,MAX(0,K518+P518)))</f>
        <v>0.648</v>
      </c>
      <c r="R518" s="16" t="n">
        <f aca="false">IF(D518="","",Q518/$B$15)</f>
        <v>0.25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0.870507661257699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4.0868904284399</v>
      </c>
      <c r="Z518" s="18" t="n">
        <f aca="false">IF(D518="","",MAX(0,IF(P518&gt;=0,P518,IF(K518+P518&gt;=0,0,P518+K518))))</f>
        <v>0.870507661257699</v>
      </c>
      <c r="AA518" s="18" t="n">
        <f aca="false">IF(D518="","",IF(H518&lt;=$B$16,1,IF(H518&gt;=$B$17,$B$21,MATCH(H518,Aux_CAV!$A$2:$A$121,1))))</f>
        <v>3</v>
      </c>
      <c r="AB518" s="18" t="n">
        <f aca="false">IF(D518="","",IF(L518&lt;=$B$16,1,IF(L518&gt;=$B$17,$B$21,MATCH(L518,Aux_CAV!$A$2:$A$121,1))))</f>
        <v>3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0.196551804796448</v>
      </c>
      <c r="E519" s="16" t="n">
        <f aca="false">IF(D519="","",D519*$B$15)</f>
        <v>0.509462278032393</v>
      </c>
      <c r="F519" s="16" t="n">
        <f aca="false" t="array" ref="F519:F519">IF(D519="","",IFERROR(INDEX(Dados_Evap!$C$2:$N$15,MATCH($B$9,Dados_Evap!$A$2:$A$15,0),C519),0))</f>
        <v>88.2</v>
      </c>
      <c r="G519" s="16" t="n">
        <f aca="false">IF(F519="","",F519/1000)</f>
        <v>0.0882</v>
      </c>
      <c r="H519" s="16" t="n">
        <f aca="false">IF(D519="","",MAX(0,MIN($B$8,IFERROR(LOOKUP(2,1/($U$24:U518&lt;&gt;""),$U$24:U518),$B$11))))</f>
        <v>0.870507661257699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0.294319668850648</v>
      </c>
      <c r="J519" s="16" t="n">
        <f aca="false">IF(D519="","",$B$12)</f>
        <v>0.25</v>
      </c>
      <c r="K519" s="16" t="n">
        <f aca="false">IF(J519="","",J519*$B$15)</f>
        <v>0.648</v>
      </c>
      <c r="L519" s="16" t="n">
        <f aca="false">IF(D519="","",H519+E519-K519-G519*I519)</f>
        <v>0.706010944497465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0.24420627217002</v>
      </c>
      <c r="N519" s="16" t="n">
        <f aca="false">IF(D519="","",(I519+M519)/2)</f>
        <v>0.269262970510334</v>
      </c>
      <c r="O519" s="16" t="n">
        <f aca="false">IF(D519="","",G519*N519)</f>
        <v>0.0237489939990114</v>
      </c>
      <c r="P519" s="16" t="n">
        <f aca="false">IF(D519="","",H519+E519-K519-O519)</f>
        <v>0.708220945291081</v>
      </c>
      <c r="Q519" s="16" t="n">
        <f aca="false">IF(D519="","",IF(P519&gt;=0,K519,MAX(0,K519+P519)))</f>
        <v>0.648</v>
      </c>
      <c r="R519" s="16" t="n">
        <f aca="false">IF(D519="","",Q519/$B$15)</f>
        <v>0.25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0.708220945291081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3.32498096380789</v>
      </c>
      <c r="Z519" s="18" t="n">
        <f aca="false">IF(D519="","",MAX(0,IF(P519&gt;=0,P519,IF(K519+P519&gt;=0,0,P519+K519))))</f>
        <v>0.708220945291081</v>
      </c>
      <c r="AA519" s="18" t="n">
        <f aca="false">IF(D519="","",IF(H519&lt;=$B$16,1,IF(H519&gt;=$B$17,$B$21,MATCH(H519,Aux_CAV!$A$2:$A$121,1))))</f>
        <v>3</v>
      </c>
      <c r="AB519" s="18" t="n">
        <f aca="false">IF(D519="","",IF(L519&lt;=$B$16,1,IF(L519&gt;=$B$17,$B$21,MATCH(L519,Aux_CAV!$A$2:$A$121,1))))</f>
        <v>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0.118579724317184</v>
      </c>
      <c r="E520" s="16" t="n">
        <f aca="false">IF(D520="","",D520*$B$15)</f>
        <v>0.307358645430141</v>
      </c>
      <c r="F520" s="16" t="n">
        <f aca="false" t="array" ref="F520:F520">IF(D520="","",IFERROR(INDEX(Dados_Evap!$C$2:$N$15,MATCH($B$9,Dados_Evap!$A$2:$A$15,0),C520),0))</f>
        <v>83.9</v>
      </c>
      <c r="G520" s="16" t="n">
        <f aca="false">IF(F520="","",F520/1000)</f>
        <v>0.0839</v>
      </c>
      <c r="H520" s="16" t="n">
        <f aca="false">IF(D520="","",MAX(0,MIN($B$8,IFERROR(LOOKUP(2,1/($U$24:U519&lt;&gt;""),$U$24:U519),$B$11))))</f>
        <v>0.708220945291081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0.244961588896952</v>
      </c>
      <c r="J520" s="16" t="n">
        <f aca="false">IF(D520="","",$B$12)</f>
        <v>0.25</v>
      </c>
      <c r="K520" s="16" t="n">
        <f aca="false">IF(J520="","",J520*$B$15)</f>
        <v>0.648</v>
      </c>
      <c r="L520" s="16" t="n">
        <f aca="false">IF(D520="","",H520+E520-K520-G520*I520)</f>
        <v>0.347027313412767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0.121515664077781</v>
      </c>
      <c r="N520" s="16" t="n">
        <f aca="false">IF(D520="","",(I520+M520)/2)</f>
        <v>0.183238626487366</v>
      </c>
      <c r="O520" s="16" t="n">
        <f aca="false">IF(D520="","",G520*N520)</f>
        <v>0.01537372076229</v>
      </c>
      <c r="P520" s="16" t="n">
        <f aca="false">IF(D520="","",H520+E520-K520-O520)</f>
        <v>0.352205869958931</v>
      </c>
      <c r="Q520" s="16" t="n">
        <f aca="false">IF(D520="","",IF(P520&gt;=0,K520,MAX(0,K520+P520)))</f>
        <v>0.648</v>
      </c>
      <c r="R520" s="16" t="n">
        <f aca="false">IF(D520="","",Q520/$B$15)</f>
        <v>0.25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0.352205869958931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1.6535486852532</v>
      </c>
      <c r="Z520" s="18" t="n">
        <f aca="false">IF(D520="","",MAX(0,IF(P520&gt;=0,P520,IF(K520+P520&gt;=0,0,P520+K520))))</f>
        <v>0.352205869958931</v>
      </c>
      <c r="AA520" s="18" t="n">
        <f aca="false">IF(D520="","",IF(H520&lt;=$B$16,1,IF(H520&gt;=$B$17,$B$21,MATCH(H520,Aux_CAV!$A$2:$A$121,1))))</f>
        <v>2</v>
      </c>
      <c r="AB520" s="18" t="n">
        <f aca="false">IF(D520="","",IF(L520&lt;=$B$16,1,IF(L520&gt;=$B$17,$B$21,MATCH(L520,Aux_CAV!$A$2:$A$121,1))))</f>
        <v>2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0.112241045661461</v>
      </c>
      <c r="E521" s="16" t="n">
        <f aca="false">IF(D521="","",D521*$B$15)</f>
        <v>0.290928790354507</v>
      </c>
      <c r="F521" s="16" t="n">
        <f aca="false" t="array" ref="F521:F521">IF(D521="","",IFERROR(INDEX(Dados_Evap!$C$2:$N$15,MATCH($B$9,Dados_Evap!$A$2:$A$15,0),C521),0))</f>
        <v>104.7</v>
      </c>
      <c r="G521" s="16" t="n">
        <f aca="false">IF(F521="","",F521/1000)</f>
        <v>0.1047</v>
      </c>
      <c r="H521" s="16" t="n">
        <f aca="false">IF(D521="","",MAX(0,MIN($B$8,IFERROR(LOOKUP(2,1/($U$24:U520&lt;&gt;""),$U$24:U520),$B$11))))</f>
        <v>0.352205869958931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0.123285550492293</v>
      </c>
      <c r="J521" s="16" t="n">
        <f aca="false">IF(D521="","",$B$12)</f>
        <v>0.25</v>
      </c>
      <c r="K521" s="16" t="n">
        <f aca="false">IF(J521="","",J521*$B$15)</f>
        <v>0.648</v>
      </c>
      <c r="L521" s="16" t="n">
        <f aca="false">IF(D521="","",H521+E521-K521-G521*I521)</f>
        <v>-0.0177733368231047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</v>
      </c>
      <c r="N521" s="16" t="n">
        <f aca="false">IF(D521="","",(I521+M521)/2)</f>
        <v>0.0616427752461465</v>
      </c>
      <c r="O521" s="16" t="n">
        <f aca="false">IF(D521="","",G521*N521)</f>
        <v>0.00645399856827154</v>
      </c>
      <c r="P521" s="16" t="n">
        <f aca="false">IF(D521="","",H521+E521-K521-O521)</f>
        <v>-0.0113193382548332</v>
      </c>
      <c r="Q521" s="16" t="n">
        <f aca="false">IF(D521="","",IF(P521&gt;=0,K521,MAX(0,K521+P521)))</f>
        <v>0.636680661745167</v>
      </c>
      <c r="R521" s="16" t="n">
        <f aca="false">IF(D521="","",Q521/$B$15)</f>
        <v>0.245632971352302</v>
      </c>
      <c r="S521" s="16" t="n">
        <f aca="false">IF(D521="","",MAX(0,J521-R521))</f>
        <v>0.004367028647698</v>
      </c>
      <c r="T521" s="16" t="n">
        <f aca="false">IF(D521="","",MAX(0,Z521-$B$8))</f>
        <v>0</v>
      </c>
      <c r="U521" s="16" t="n">
        <f aca="false">IF(D521="","",MAX(0,MIN($B$8,Z521)))</f>
        <v>0</v>
      </c>
      <c r="V521" s="16" t="str">
        <f aca="false">IF(D521="","",IF(S521&gt;0.0000001,"Sim","Não"))</f>
        <v>Sim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0</v>
      </c>
      <c r="Z521" s="18" t="n">
        <f aca="false">IF(D521="","",MAX(0,IF(P521&gt;=0,P521,IF(K521+P521&gt;=0,0,P521+K521))))</f>
        <v>0</v>
      </c>
      <c r="AA521" s="18" t="n">
        <f aca="false">IF(D521="","",IF(H521&lt;=$B$16,1,IF(H521&gt;=$B$17,$B$21,MATCH(H521,Aux_CAV!$A$2:$A$121,1))))</f>
        <v>2</v>
      </c>
      <c r="AB521" s="18" t="n">
        <f aca="false">IF(D521="","",IF(L521&lt;=$B$16,1,IF(L521&gt;=$B$17,$B$21,MATCH(L521,Aux_CAV!$A$2:$A$121,1))))</f>
        <v>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0.00858694796622822</v>
      </c>
      <c r="E522" s="16" t="n">
        <f aca="false">IF(D522="","",D522*$B$15)</f>
        <v>0.0222573691284635</v>
      </c>
      <c r="F522" s="16" t="n">
        <f aca="false" t="array" ref="F522:F522">IF(D522="","",IFERROR(INDEX(Dados_Evap!$C$2:$N$15,MATCH($B$9,Dados_Evap!$A$2:$A$15,0),C522),0))</f>
        <v>145.2</v>
      </c>
      <c r="G522" s="16" t="n">
        <f aca="false">IF(F522="","",F522/1000)</f>
        <v>0.1452</v>
      </c>
      <c r="H522" s="16" t="n">
        <f aca="false">IF(D522="","",MAX(0,MIN($B$8,IFERROR(LOOKUP(2,1/($U$24:U521&lt;&gt;""),$U$24:U521),$B$11))))</f>
        <v>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</v>
      </c>
      <c r="J522" s="16" t="n">
        <f aca="false">IF(D522="","",$B$12)</f>
        <v>0.25</v>
      </c>
      <c r="K522" s="16" t="n">
        <f aca="false">IF(J522="","",J522*$B$15)</f>
        <v>0.648</v>
      </c>
      <c r="L522" s="16" t="n">
        <f aca="false">IF(D522="","",H522+E522-K522-G522*I522)</f>
        <v>-0.625742630871537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</v>
      </c>
      <c r="N522" s="16" t="n">
        <f aca="false">IF(D522="","",(I522+M522)/2)</f>
        <v>0</v>
      </c>
      <c r="O522" s="16" t="n">
        <f aca="false">IF(D522="","",G522*N522)</f>
        <v>0</v>
      </c>
      <c r="P522" s="16" t="n">
        <f aca="false">IF(D522="","",H522+E522-K522-O522)</f>
        <v>-0.625742630871537</v>
      </c>
      <c r="Q522" s="16" t="n">
        <f aca="false">IF(D522="","",IF(P522&gt;=0,K522,MAX(0,K522+P522)))</f>
        <v>0.0222573691284635</v>
      </c>
      <c r="R522" s="16" t="n">
        <f aca="false">IF(D522="","",Q522/$B$15)</f>
        <v>0.00858694796622822</v>
      </c>
      <c r="S522" s="16" t="n">
        <f aca="false">IF(D522="","",MAX(0,J522-R522))</f>
        <v>0.241413052033772</v>
      </c>
      <c r="T522" s="16" t="n">
        <f aca="false">IF(D522="","",MAX(0,Z522-$B$8))</f>
        <v>0</v>
      </c>
      <c r="U522" s="16" t="n">
        <f aca="false">IF(D522="","",MAX(0,MIN($B$8,Z522)))</f>
        <v>0</v>
      </c>
      <c r="V522" s="16" t="str">
        <f aca="false">IF(D522="","",IF(S522&gt;0.0000001,"Sim","Não"))</f>
        <v>Sim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0</v>
      </c>
      <c r="Z522" s="18" t="n">
        <f aca="false">IF(D522="","",MAX(0,IF(P522&gt;=0,P522,IF(K522+P522&gt;=0,0,P522+K522))))</f>
        <v>0</v>
      </c>
      <c r="AA522" s="18" t="n">
        <f aca="false">IF(D522="","",IF(H522&lt;=$B$16,1,IF(H522&gt;=$B$17,$B$21,MATCH(H522,Aux_CAV!$A$2:$A$121,1))))</f>
        <v>1</v>
      </c>
      <c r="AB522" s="18" t="n">
        <f aca="false">IF(D522="","",IF(L522&lt;=$B$16,1,IF(L522&gt;=$B$17,$B$21,MATCH(L522,Aux_CAV!$A$2:$A$121,1))))</f>
        <v>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0.00591218319045435</v>
      </c>
      <c r="E523" s="16" t="n">
        <f aca="false">IF(D523="","",D523*$B$15)</f>
        <v>0.0153243788296577</v>
      </c>
      <c r="F523" s="16" t="n">
        <f aca="false" t="array" ref="F523:F523">IF(D523="","",IFERROR(INDEX(Dados_Evap!$C$2:$N$15,MATCH($B$9,Dados_Evap!$A$2:$A$15,0),C523),0))</f>
        <v>180.9</v>
      </c>
      <c r="G523" s="16" t="n">
        <f aca="false">IF(F523="","",F523/1000)</f>
        <v>0.1809</v>
      </c>
      <c r="H523" s="16" t="n">
        <f aca="false">IF(D523="","",MAX(0,MIN($B$8,IFERROR(LOOKUP(2,1/($U$24:U522&lt;&gt;""),$U$24:U522),$B$11))))</f>
        <v>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</v>
      </c>
      <c r="J523" s="16" t="n">
        <f aca="false">IF(D523="","",$B$12)</f>
        <v>0.25</v>
      </c>
      <c r="K523" s="16" t="n">
        <f aca="false">IF(J523="","",J523*$B$15)</f>
        <v>0.648</v>
      </c>
      <c r="L523" s="16" t="n">
        <f aca="false">IF(D523="","",H523+E523-K523-G523*I523)</f>
        <v>-0.632675621170342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</v>
      </c>
      <c r="N523" s="16" t="n">
        <f aca="false">IF(D523="","",(I523+M523)/2)</f>
        <v>0</v>
      </c>
      <c r="O523" s="16" t="n">
        <f aca="false">IF(D523="","",G523*N523)</f>
        <v>0</v>
      </c>
      <c r="P523" s="16" t="n">
        <f aca="false">IF(D523="","",H523+E523-K523-O523)</f>
        <v>-0.632675621170342</v>
      </c>
      <c r="Q523" s="16" t="n">
        <f aca="false">IF(D523="","",IF(P523&gt;=0,K523,MAX(0,K523+P523)))</f>
        <v>0.0153243788296576</v>
      </c>
      <c r="R523" s="16" t="n">
        <f aca="false">IF(D523="","",Q523/$B$15)</f>
        <v>0.00591218319045434</v>
      </c>
      <c r="S523" s="16" t="n">
        <f aca="false">IF(D523="","",MAX(0,J523-R523))</f>
        <v>0.244087816809546</v>
      </c>
      <c r="T523" s="16" t="n">
        <f aca="false">IF(D523="","",MAX(0,Z523-$B$8))</f>
        <v>0</v>
      </c>
      <c r="U523" s="16" t="n">
        <f aca="false">IF(D523="","",MAX(0,MIN($B$8,Z523)))</f>
        <v>0</v>
      </c>
      <c r="V523" s="16" t="str">
        <f aca="false">IF(D523="","",IF(S523&gt;0.0000001,"Sim","Não"))</f>
        <v>Sim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0</v>
      </c>
      <c r="Z523" s="18" t="n">
        <f aca="false">IF(D523="","",MAX(0,IF(P523&gt;=0,P523,IF(K523+P523&gt;=0,0,P523+K523))))</f>
        <v>0</v>
      </c>
      <c r="AA523" s="18" t="n">
        <f aca="false">IF(D523="","",IF(H523&lt;=$B$16,1,IF(H523&gt;=$B$17,$B$21,MATCH(H523,Aux_CAV!$A$2:$A$121,1))))</f>
        <v>1</v>
      </c>
      <c r="AB523" s="18" t="n">
        <f aca="false">IF(D523="","",IF(L523&lt;=$B$16,1,IF(L523&gt;=$B$17,$B$21,MATCH(L523,Aux_CAV!$A$2:$A$121,1))))</f>
        <v>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0.00432484916247841</v>
      </c>
      <c r="E524" s="16" t="n">
        <f aca="false">IF(D524="","",D524*$B$15)</f>
        <v>0.011210009029144</v>
      </c>
      <c r="F524" s="16" t="n">
        <f aca="false" t="array" ref="F524:F524">IF(D524="","",IFERROR(INDEX(Dados_Evap!$C$2:$N$15,MATCH($B$9,Dados_Evap!$A$2:$A$15,0),C524),0))</f>
        <v>208.9</v>
      </c>
      <c r="G524" s="16" t="n">
        <f aca="false">IF(F524="","",F524/1000)</f>
        <v>0.2089</v>
      </c>
      <c r="H524" s="16" t="n">
        <f aca="false">IF(D524="","",MAX(0,MIN($B$8,IFERROR(LOOKUP(2,1/($U$24:U523&lt;&gt;""),$U$24:U523),$B$11))))</f>
        <v>0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</v>
      </c>
      <c r="J524" s="16" t="n">
        <f aca="false">IF(D524="","",$B$12)</f>
        <v>0.25</v>
      </c>
      <c r="K524" s="16" t="n">
        <f aca="false">IF(J524="","",J524*$B$15)</f>
        <v>0.648</v>
      </c>
      <c r="L524" s="16" t="n">
        <f aca="false">IF(D524="","",H524+E524-K524-G524*I524)</f>
        <v>-0.636789990970856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</v>
      </c>
      <c r="N524" s="16" t="n">
        <f aca="false">IF(D524="","",(I524+M524)/2)</f>
        <v>0</v>
      </c>
      <c r="O524" s="16" t="n">
        <f aca="false">IF(D524="","",G524*N524)</f>
        <v>0</v>
      </c>
      <c r="P524" s="16" t="n">
        <f aca="false">IF(D524="","",H524+E524-K524-O524)</f>
        <v>-0.636789990970856</v>
      </c>
      <c r="Q524" s="16" t="n">
        <f aca="false">IF(D524="","",IF(P524&gt;=0,K524,MAX(0,K524+P524)))</f>
        <v>0.011210009029144</v>
      </c>
      <c r="R524" s="16" t="n">
        <f aca="false">IF(D524="","",Q524/$B$15)</f>
        <v>0.00432484916247841</v>
      </c>
      <c r="S524" s="16" t="n">
        <f aca="false">IF(D524="","",MAX(0,J524-R524))</f>
        <v>0.245675150837522</v>
      </c>
      <c r="T524" s="16" t="n">
        <f aca="false">IF(D524="","",MAX(0,Z524-$B$8))</f>
        <v>0</v>
      </c>
      <c r="U524" s="16" t="n">
        <f aca="false">IF(D524="","",MAX(0,MIN($B$8,Z524)))</f>
        <v>0</v>
      </c>
      <c r="V524" s="16" t="str">
        <f aca="false">IF(D524="","",IF(S524&gt;0.0000001,"Sim","Não"))</f>
        <v>Sim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0</v>
      </c>
      <c r="Z524" s="18" t="n">
        <f aca="false">IF(D524="","",MAX(0,IF(P524&gt;=0,P524,IF(K524+P524&gt;=0,0,P524+K524))))</f>
        <v>0</v>
      </c>
      <c r="AA524" s="18" t="n">
        <f aca="false">IF(D524="","",IF(H524&lt;=$B$16,1,IF(H524&gt;=$B$17,$B$21,MATCH(H524,Aux_CAV!$A$2:$A$121,1))))</f>
        <v>1</v>
      </c>
      <c r="AB524" s="18" t="n">
        <f aca="false">IF(D524="","",IF(L524&lt;=$B$16,1,IF(L524&gt;=$B$17,$B$21,MATCH(L524,Aux_CAV!$A$2:$A$121,1))))</f>
        <v>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0.00358190741483924</v>
      </c>
      <c r="E525" s="16" t="n">
        <f aca="false">IF(D525="","",D525*$B$15)</f>
        <v>0.00928430401926331</v>
      </c>
      <c r="F525" s="16" t="n">
        <f aca="false" t="array" ref="F525:F525">IF(D525="","",IFERROR(INDEX(Dados_Evap!$C$2:$N$15,MATCH($B$9,Dados_Evap!$A$2:$A$15,0),C525),0))</f>
        <v>235.9</v>
      </c>
      <c r="G525" s="16" t="n">
        <f aca="false">IF(F525="","",F525/1000)</f>
        <v>0.2359</v>
      </c>
      <c r="H525" s="16" t="n">
        <f aca="false">IF(D525="","",MAX(0,MIN($B$8,IFERROR(LOOKUP(2,1/($U$24:U524&lt;&gt;""),$U$24:U524),$B$11))))</f>
        <v>0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</v>
      </c>
      <c r="J525" s="16" t="n">
        <f aca="false">IF(D525="","",$B$12)</f>
        <v>0.25</v>
      </c>
      <c r="K525" s="16" t="n">
        <f aca="false">IF(J525="","",J525*$B$15)</f>
        <v>0.648</v>
      </c>
      <c r="L525" s="16" t="n">
        <f aca="false">IF(D525="","",H525+E525-K525-G525*I525)</f>
        <v>-0.638715695980737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</v>
      </c>
      <c r="O525" s="16" t="n">
        <f aca="false">IF(D525="","",G525*N525)</f>
        <v>0</v>
      </c>
      <c r="P525" s="16" t="n">
        <f aca="false">IF(D525="","",H525+E525-K525-O525)</f>
        <v>-0.638715695980737</v>
      </c>
      <c r="Q525" s="16" t="n">
        <f aca="false">IF(D525="","",IF(P525&gt;=0,K525,MAX(0,K525+P525)))</f>
        <v>0.00928430401926328</v>
      </c>
      <c r="R525" s="16" t="n">
        <f aca="false">IF(D525="","",Q525/$B$15)</f>
        <v>0.00358190741483923</v>
      </c>
      <c r="S525" s="16" t="n">
        <f aca="false">IF(D525="","",MAX(0,J525-R525))</f>
        <v>0.246418092585161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1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0.00213647806684568</v>
      </c>
      <c r="E526" s="16" t="n">
        <f aca="false">IF(D526="","",D526*$B$15)</f>
        <v>0.005537751149264</v>
      </c>
      <c r="F526" s="16" t="n">
        <f aca="false" t="array" ref="F526:F526">IF(D526="","",IFERROR(INDEX(Dados_Evap!$C$2:$N$15,MATCH($B$9,Dados_Evap!$A$2:$A$15,0),C526),0))</f>
        <v>225.9</v>
      </c>
      <c r="G526" s="16" t="n">
        <f aca="false">IF(F526="","",F526/1000)</f>
        <v>0.2259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0.25</v>
      </c>
      <c r="K526" s="16" t="n">
        <f aca="false">IF(J526="","",J526*$B$15)</f>
        <v>0.648</v>
      </c>
      <c r="L526" s="16" t="n">
        <f aca="false">IF(D526="","",H526+E526-K526-G526*I526)</f>
        <v>-0.642462248850736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-0.642462248850736</v>
      </c>
      <c r="Q526" s="16" t="n">
        <f aca="false">IF(D526="","",IF(P526&gt;=0,K526,MAX(0,K526+P526)))</f>
        <v>0.00553775114926403</v>
      </c>
      <c r="R526" s="16" t="n">
        <f aca="false">IF(D526="","",Q526/$B$15)</f>
        <v>0.00213647806684569</v>
      </c>
      <c r="S526" s="16" t="n">
        <f aca="false">IF(D526="","",MAX(0,J526-R526))</f>
        <v>0.247863521933154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2.25514051876985E-017</v>
      </c>
      <c r="X526" s="16" t="n">
        <f aca="false">IF(W526="","",ABS(W526))</f>
        <v>2.25514051876985E-017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0.0446680622947176</v>
      </c>
      <c r="E527" s="16" t="n">
        <f aca="false">IF(D527="","",D527*$B$15)</f>
        <v>0.115779617467908</v>
      </c>
      <c r="F527" s="16" t="n">
        <f aca="false" t="array" ref="F527:F527">IF(D527="","",IFERROR(INDEX(Dados_Evap!$C$2:$N$15,MATCH($B$9,Dados_Evap!$A$2:$A$15,0),C527),0))</f>
        <v>206</v>
      </c>
      <c r="G527" s="16" t="n">
        <f aca="false">IF(F527="","",F527/1000)</f>
        <v>0.206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0.25</v>
      </c>
      <c r="K527" s="16" t="n">
        <f aca="false">IF(J527="","",J527*$B$15)</f>
        <v>0.648</v>
      </c>
      <c r="L527" s="16" t="n">
        <f aca="false">IF(D527="","",H527+E527-K527-G527*I527)</f>
        <v>-0.532220382532092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-0.532220382532092</v>
      </c>
      <c r="Q527" s="16" t="n">
        <f aca="false">IF(D527="","",IF(P527&gt;=0,K527,MAX(0,K527+P527)))</f>
        <v>0.115779617467908</v>
      </c>
      <c r="R527" s="16" t="n">
        <f aca="false">IF(D527="","",Q527/$B$15)</f>
        <v>0.0446680622947176</v>
      </c>
      <c r="S527" s="16" t="n">
        <f aca="false">IF(D527="","",MAX(0,J527-R527))</f>
        <v>0.205331937705282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0.0234035931179909</v>
      </c>
      <c r="E528" s="16" t="n">
        <f aca="false">IF(D528="","",D528*$B$15)</f>
        <v>0.0606621133618324</v>
      </c>
      <c r="F528" s="16" t="n">
        <f aca="false" t="array" ref="F528:F528">IF(D528="","",IFERROR(INDEX(Dados_Evap!$C$2:$N$15,MATCH($B$9,Dados_Evap!$A$2:$A$15,0),C528),0))</f>
        <v>165.6</v>
      </c>
      <c r="G528" s="16" t="n">
        <f aca="false">IF(F528="","",F528/1000)</f>
        <v>0.1656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0.25</v>
      </c>
      <c r="K528" s="16" t="n">
        <f aca="false">IF(J528="","",J528*$B$15)</f>
        <v>0.648</v>
      </c>
      <c r="L528" s="16" t="n">
        <f aca="false">IF(D528="","",H528+E528-K528-G528*I528)</f>
        <v>-0.587337886638168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-0.587337886638168</v>
      </c>
      <c r="Q528" s="16" t="n">
        <f aca="false">IF(D528="","",IF(P528&gt;=0,K528,MAX(0,K528+P528)))</f>
        <v>0.0606621133618324</v>
      </c>
      <c r="R528" s="16" t="n">
        <f aca="false">IF(D528="","",Q528/$B$15)</f>
        <v>0.0234035931179909</v>
      </c>
      <c r="S528" s="16" t="n">
        <f aca="false">IF(D528="","",MAX(0,J528-R528))</f>
        <v>0.226596406882009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0.123177158964015</v>
      </c>
      <c r="E529" s="16" t="n">
        <f aca="false">IF(D529="","",D529*$B$15)</f>
        <v>0.319275196034727</v>
      </c>
      <c r="F529" s="16" t="n">
        <f aca="false" t="array" ref="F529:F529">IF(D529="","",IFERROR(INDEX(Dados_Evap!$C$2:$N$15,MATCH($B$9,Dados_Evap!$A$2:$A$15,0),C529),0))</f>
        <v>124.9</v>
      </c>
      <c r="G529" s="16" t="n">
        <f aca="false">IF(F529="","",F529/1000)</f>
        <v>0.1249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0.25</v>
      </c>
      <c r="K529" s="16" t="n">
        <f aca="false">IF(J529="","",J529*$B$15)</f>
        <v>0.648</v>
      </c>
      <c r="L529" s="16" t="n">
        <f aca="false">IF(D529="","",H529+E529-K529-G529*I529)</f>
        <v>-0.328724803965273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-0.328724803965273</v>
      </c>
      <c r="Q529" s="16" t="n">
        <f aca="false">IF(D529="","",IF(P529&gt;=0,K529,MAX(0,K529+P529)))</f>
        <v>0.319275196034727</v>
      </c>
      <c r="R529" s="16" t="n">
        <f aca="false">IF(D529="","",Q529/$B$15)</f>
        <v>0.123177158964015</v>
      </c>
      <c r="S529" s="16" t="n">
        <f aca="false">IF(D529="","",MAX(0,J529-R529))</f>
        <v>0.126822841035985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0.422941598687748</v>
      </c>
      <c r="E530" s="16" t="n">
        <f aca="false">IF(D530="","",D530*$B$15)</f>
        <v>1.09626462379864</v>
      </c>
      <c r="F530" s="16" t="n">
        <f aca="false" t="array" ref="F530:F530">IF(D530="","",IFERROR(INDEX(Dados_Evap!$C$2:$N$15,MATCH($B$9,Dados_Evap!$A$2:$A$15,0),C530),0))</f>
        <v>88.2</v>
      </c>
      <c r="G530" s="16" t="n">
        <f aca="false">IF(F530="","",F530/1000)</f>
        <v>0.0882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0.25</v>
      </c>
      <c r="K530" s="16" t="n">
        <f aca="false">IF(J530="","",J530*$B$15)</f>
        <v>0.648</v>
      </c>
      <c r="L530" s="16" t="n">
        <f aca="false">IF(D530="","",H530+E530-K530-G530*I530)</f>
        <v>0.448264623798643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0.156115757500802</v>
      </c>
      <c r="N530" s="16" t="n">
        <f aca="false">IF(D530="","",(I530+M530)/2)</f>
        <v>0.078057878750401</v>
      </c>
      <c r="O530" s="16" t="n">
        <f aca="false">IF(D530="","",G530*N530)</f>
        <v>0.00688470490578537</v>
      </c>
      <c r="P530" s="16" t="n">
        <f aca="false">IF(D530="","",H530+E530-K530-O530)</f>
        <v>0.441379918892858</v>
      </c>
      <c r="Q530" s="16" t="n">
        <f aca="false">IF(D530="","",IF(P530&gt;=0,K530,MAX(0,K530+P530)))</f>
        <v>0.648</v>
      </c>
      <c r="R530" s="16" t="n">
        <f aca="false">IF(D530="","",Q530/$B$15)</f>
        <v>0.25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0.441379918892858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2.07220619198525</v>
      </c>
      <c r="Z530" s="18" t="n">
        <f aca="false">IF(D530="","",MAX(0,IF(P530&gt;=0,P530,IF(K530+P530&gt;=0,0,P530+K530))))</f>
        <v>0.441379918892858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0.613997250626537</v>
      </c>
      <c r="E531" s="16" t="n">
        <f aca="false">IF(D531="","",D531*$B$15)</f>
        <v>1.59148087362398</v>
      </c>
      <c r="F531" s="16" t="n">
        <f aca="false" t="array" ref="F531:F531">IF(D531="","",IFERROR(INDEX(Dados_Evap!$C$2:$N$15,MATCH($B$9,Dados_Evap!$A$2:$A$15,0),C531),0))</f>
        <v>88.2</v>
      </c>
      <c r="G531" s="16" t="n">
        <f aca="false">IF(F531="","",F531/1000)</f>
        <v>0.0882</v>
      </c>
      <c r="H531" s="16" t="n">
        <f aca="false">IF(D531="","",MAX(0,MIN($B$8,IFERROR(LOOKUP(2,1/($U$24:U530&lt;&gt;""),$U$24:U530),$B$11))))</f>
        <v>0.441379918892858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0.153762757089964</v>
      </c>
      <c r="J531" s="16" t="n">
        <f aca="false">IF(D531="","",$B$12)</f>
        <v>0.25</v>
      </c>
      <c r="K531" s="16" t="n">
        <f aca="false">IF(J531="","",J531*$B$15)</f>
        <v>0.648</v>
      </c>
      <c r="L531" s="16" t="n">
        <f aca="false">IF(D531="","",H531+E531-K531-G531*I531)</f>
        <v>1.37129891734151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0.365228165287293</v>
      </c>
      <c r="N531" s="16" t="n">
        <f aca="false">IF(D531="","",(I531+M531)/2)</f>
        <v>0.259495461188628</v>
      </c>
      <c r="O531" s="16" t="n">
        <f aca="false">IF(D531="","",G531*N531)</f>
        <v>0.022887499676837</v>
      </c>
      <c r="P531" s="16" t="n">
        <f aca="false">IF(D531="","",H531+E531-K531-O531)</f>
        <v>1.36197329284</v>
      </c>
      <c r="Q531" s="16" t="n">
        <f aca="false">IF(D531="","",IF(P531&gt;=0,K531,MAX(0,K531+P531)))</f>
        <v>0.648</v>
      </c>
      <c r="R531" s="16" t="n">
        <f aca="false">IF(D531="","",Q531/$B$15)</f>
        <v>0.25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1.36197329284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6.39424081145542</v>
      </c>
      <c r="Z531" s="18" t="n">
        <f aca="false">IF(D531="","",MAX(0,IF(P531&gt;=0,P531,IF(K531+P531&gt;=0,0,P531+K531))))</f>
        <v>1.36197329284</v>
      </c>
      <c r="AA531" s="18" t="n">
        <f aca="false">IF(D531="","",IF(H531&lt;=$B$16,1,IF(H531&gt;=$B$17,$B$21,MATCH(H531,Aux_CAV!$A$2:$A$121,1))))</f>
        <v>2</v>
      </c>
      <c r="AB531" s="18" t="n">
        <f aca="false">IF(D531="","",IF(L531&lt;=$B$16,1,IF(L531&gt;=$B$17,$B$21,MATCH(L531,Aux_CAV!$A$2:$A$121,1))))</f>
        <v>3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0.400776528816105</v>
      </c>
      <c r="E532" s="16" t="n">
        <f aca="false">IF(D532="","",D532*$B$15)</f>
        <v>1.03881276269134</v>
      </c>
      <c r="F532" s="16" t="n">
        <f aca="false" t="array" ref="F532:F532">IF(D532="","",IFERROR(INDEX(Dados_Evap!$C$2:$N$15,MATCH($B$9,Dados_Evap!$A$2:$A$15,0),C532),0))</f>
        <v>83.9</v>
      </c>
      <c r="G532" s="16" t="n">
        <f aca="false">IF(F532="","",F532/1000)</f>
        <v>0.0839</v>
      </c>
      <c r="H532" s="16" t="n">
        <f aca="false">IF(D532="","",MAX(0,MIN($B$8,IFERROR(LOOKUP(2,1/($U$24:U531&lt;&gt;""),$U$24:U531),$B$11))))</f>
        <v>1.36197329284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0.363907722880001</v>
      </c>
      <c r="J532" s="16" t="n">
        <f aca="false">IF(D532="","",$B$12)</f>
        <v>0.25</v>
      </c>
      <c r="K532" s="16" t="n">
        <f aca="false">IF(J532="","",J532*$B$15)</f>
        <v>0.648</v>
      </c>
      <c r="L532" s="16" t="n">
        <f aca="false">IF(D532="","",H532+E532-K532-G532*I532)</f>
        <v>1.72225419758172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0.414920948330154</v>
      </c>
      <c r="N532" s="16" t="n">
        <f aca="false">IF(D532="","",(I532+M532)/2)</f>
        <v>0.389414335605078</v>
      </c>
      <c r="O532" s="16" t="n">
        <f aca="false">IF(D532="","",G532*N532)</f>
        <v>0.032671862757266</v>
      </c>
      <c r="P532" s="16" t="n">
        <f aca="false">IF(D532="","",H532+E532-K532-O532)</f>
        <v>1.72011419277408</v>
      </c>
      <c r="Q532" s="16" t="n">
        <f aca="false">IF(D532="","",IF(P532&gt;=0,K532,MAX(0,K532+P532)))</f>
        <v>0.648</v>
      </c>
      <c r="R532" s="16" t="n">
        <f aca="false">IF(D532="","",Q532/$B$15)</f>
        <v>0.25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1.72011419277408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8.07565348720226</v>
      </c>
      <c r="Z532" s="18" t="n">
        <f aca="false">IF(D532="","",MAX(0,IF(P532&gt;=0,P532,IF(K532+P532&gt;=0,0,P532+K532))))</f>
        <v>1.72011419277408</v>
      </c>
      <c r="AA532" s="18" t="n">
        <f aca="false">IF(D532="","",IF(H532&lt;=$B$16,1,IF(H532&gt;=$B$17,$B$21,MATCH(H532,Aux_CAV!$A$2:$A$121,1))))</f>
        <v>3</v>
      </c>
      <c r="AB532" s="18" t="n">
        <f aca="false">IF(D532="","",IF(L532&lt;=$B$16,1,IF(L532&gt;=$B$17,$B$21,MATCH(L532,Aux_CAV!$A$2:$A$121,1))))</f>
        <v>3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0.0756855480710008</v>
      </c>
      <c r="E533" s="16" t="n">
        <f aca="false">IF(D533="","",D533*$B$15)</f>
        <v>0.196176940600034</v>
      </c>
      <c r="F533" s="16" t="n">
        <f aca="false" t="array" ref="F533:F533">IF(D533="","",IFERROR(INDEX(Dados_Evap!$C$2:$N$15,MATCH($B$9,Dados_Evap!$A$2:$A$15,0),C533),0))</f>
        <v>104.7</v>
      </c>
      <c r="G533" s="16" t="n">
        <f aca="false">IF(F533="","",F533/1000)</f>
        <v>0.1047</v>
      </c>
      <c r="H533" s="16" t="n">
        <f aca="false">IF(D533="","",MAX(0,MIN($B$8,IFERROR(LOOKUP(2,1/($U$24:U532&lt;&gt;""),$U$24:U532),$B$11))))</f>
        <v>1.72011419277408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0.41461793879987</v>
      </c>
      <c r="J533" s="16" t="n">
        <f aca="false">IF(D533="","",$B$12)</f>
        <v>0.25</v>
      </c>
      <c r="K533" s="16" t="n">
        <f aca="false">IF(J533="","",J533*$B$15)</f>
        <v>0.648</v>
      </c>
      <c r="L533" s="16" t="n">
        <f aca="false">IF(D533="","",H533+E533-K533-G533*I533)</f>
        <v>1.22488063518177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0.344496373123082</v>
      </c>
      <c r="N533" s="16" t="n">
        <f aca="false">IF(D533="","",(I533+M533)/2)</f>
        <v>0.379557155961476</v>
      </c>
      <c r="O533" s="16" t="n">
        <f aca="false">IF(D533="","",G533*N533)</f>
        <v>0.0397396342291666</v>
      </c>
      <c r="P533" s="16" t="n">
        <f aca="false">IF(D533="","",H533+E533-K533-O533)</f>
        <v>1.22855149914495</v>
      </c>
      <c r="Q533" s="16" t="n">
        <f aca="false">IF(D533="","",IF(P533&gt;=0,K533,MAX(0,K533+P533)))</f>
        <v>0.648</v>
      </c>
      <c r="R533" s="16" t="n">
        <f aca="false">IF(D533="","",Q533/$B$15)</f>
        <v>0.25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1.22855149914495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5.76784741382606</v>
      </c>
      <c r="Z533" s="18" t="n">
        <f aca="false">IF(D533="","",MAX(0,IF(P533&gt;=0,P533,IF(K533+P533&gt;=0,0,P533+K533))))</f>
        <v>1.22855149914495</v>
      </c>
      <c r="AA533" s="18" t="n">
        <f aca="false">IF(D533="","",IF(H533&lt;=$B$16,1,IF(H533&gt;=$B$17,$B$21,MATCH(H533,Aux_CAV!$A$2:$A$121,1))))</f>
        <v>3</v>
      </c>
      <c r="AB533" s="18" t="n">
        <f aca="false">IF(D533="","",IF(L533&lt;=$B$16,1,IF(L533&gt;=$B$17,$B$21,MATCH(L533,Aux_CAV!$A$2:$A$121,1))))</f>
        <v>3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0.043241668467666</v>
      </c>
      <c r="E534" s="16" t="n">
        <f aca="false">IF(D534="","",D534*$B$15)</f>
        <v>0.11208240466819</v>
      </c>
      <c r="F534" s="16" t="n">
        <f aca="false" t="array" ref="F534:F534">IF(D534="","",IFERROR(INDEX(Dados_Evap!$C$2:$N$15,MATCH($B$9,Dados_Evap!$A$2:$A$15,0),C534),0))</f>
        <v>145.2</v>
      </c>
      <c r="G534" s="16" t="n">
        <f aca="false">IF(F534="","",F534/1000)</f>
        <v>0.1452</v>
      </c>
      <c r="H534" s="16" t="n">
        <f aca="false">IF(D534="","",MAX(0,MIN($B$8,IFERROR(LOOKUP(2,1/($U$24:U533&lt;&gt;""),$U$24:U533),$B$11))))</f>
        <v>1.22855149914495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0.345016141471851</v>
      </c>
      <c r="J534" s="16" t="n">
        <f aca="false">IF(D534="","",$B$12)</f>
        <v>0.25</v>
      </c>
      <c r="K534" s="16" t="n">
        <f aca="false">IF(J534="","",J534*$B$15)</f>
        <v>0.648</v>
      </c>
      <c r="L534" s="16" t="n">
        <f aca="false">IF(D534="","",H534+E534-K534-G534*I534)</f>
        <v>0.642537560071427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0.222512836986437</v>
      </c>
      <c r="N534" s="16" t="n">
        <f aca="false">IF(D534="","",(I534+M534)/2)</f>
        <v>0.283764489229144</v>
      </c>
      <c r="O534" s="16" t="n">
        <f aca="false">IF(D534="","",G534*N534)</f>
        <v>0.0412026038360717</v>
      </c>
      <c r="P534" s="16" t="n">
        <f aca="false">IF(D534="","",H534+E534-K534-O534)</f>
        <v>0.651431299977068</v>
      </c>
      <c r="Q534" s="16" t="n">
        <f aca="false">IF(D534="","",IF(P534&gt;=0,K534,MAX(0,K534+P534)))</f>
        <v>0.648</v>
      </c>
      <c r="R534" s="16" t="n">
        <f aca="false">IF(D534="","",Q534/$B$15)</f>
        <v>0.25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0.651431299977068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3.05836291069046</v>
      </c>
      <c r="Z534" s="18" t="n">
        <f aca="false">IF(D534="","",MAX(0,IF(P534&gt;=0,P534,IF(K534+P534&gt;=0,0,P534+K534))))</f>
        <v>0.651431299977068</v>
      </c>
      <c r="AA534" s="18" t="n">
        <f aca="false">IF(D534="","",IF(H534&lt;=$B$16,1,IF(H534&gt;=$B$17,$B$21,MATCH(H534,Aux_CAV!$A$2:$A$121,1))))</f>
        <v>3</v>
      </c>
      <c r="AB534" s="18" t="n">
        <f aca="false">IF(D534="","",IF(L534&lt;=$B$16,1,IF(L534&gt;=$B$17,$B$21,MATCH(L534,Aux_CAV!$A$2:$A$121,1))))</f>
        <v>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0.0332575370357567</v>
      </c>
      <c r="E535" s="16" t="n">
        <f aca="false">IF(D535="","",D535*$B$15)</f>
        <v>0.0862035359966814</v>
      </c>
      <c r="F535" s="16" t="n">
        <f aca="false" t="array" ref="F535:F535">IF(D535="","",IFERROR(INDEX(Dados_Evap!$C$2:$N$15,MATCH($B$9,Dados_Evap!$A$2:$A$15,0),C535),0))</f>
        <v>180.9</v>
      </c>
      <c r="G535" s="16" t="n">
        <f aca="false">IF(F535="","",F535/1000)</f>
        <v>0.1809</v>
      </c>
      <c r="H535" s="16" t="n">
        <f aca="false">IF(D535="","",MAX(0,MIN($B$8,IFERROR(LOOKUP(2,1/($U$24:U534&lt;&gt;""),$U$24:U534),$B$11))))</f>
        <v>0.651431299977068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0.225552469612416</v>
      </c>
      <c r="J535" s="16" t="n">
        <f aca="false">IF(D535="","",$B$12)</f>
        <v>0.25</v>
      </c>
      <c r="K535" s="16" t="n">
        <f aca="false">IF(J535="","",J535*$B$15)</f>
        <v>0.648</v>
      </c>
      <c r="L535" s="16" t="n">
        <f aca="false">IF(D535="","",H535+E535-K535-G535*I535)</f>
        <v>0.0488323942208637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0.0195329576883455</v>
      </c>
      <c r="N535" s="16" t="n">
        <f aca="false">IF(D535="","",(I535+M535)/2)</f>
        <v>0.122542713650381</v>
      </c>
      <c r="O535" s="16" t="n">
        <f aca="false">IF(D535="","",G535*N535)</f>
        <v>0.0221679768993539</v>
      </c>
      <c r="P535" s="16" t="n">
        <f aca="false">IF(D535="","",H535+E535-K535-O535)</f>
        <v>0.0674668590743958</v>
      </c>
      <c r="Q535" s="16" t="n">
        <f aca="false">IF(D535="","",IF(P535&gt;=0,K535,MAX(0,K535+P535)))</f>
        <v>0.648</v>
      </c>
      <c r="R535" s="16" t="n">
        <f aca="false">IF(D535="","",Q535/$B$15)</f>
        <v>0.25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0.0674668590743958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0.316745817250685</v>
      </c>
      <c r="Z535" s="18" t="n">
        <f aca="false">IF(D535="","",MAX(0,IF(P535&gt;=0,P535,IF(K535+P535&gt;=0,0,P535+K535))))</f>
        <v>0.0674668590743958</v>
      </c>
      <c r="AA535" s="18" t="n">
        <f aca="false">IF(D535="","",IF(H535&lt;=$B$16,1,IF(H535&gt;=$B$17,$B$21,MATCH(H535,Aux_CAV!$A$2:$A$121,1))))</f>
        <v>2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0.021697396685775</v>
      </c>
      <c r="E536" s="16" t="n">
        <f aca="false">IF(D536="","",D536*$B$15)</f>
        <v>0.0562396522095288</v>
      </c>
      <c r="F536" s="16" t="n">
        <f aca="false" t="array" ref="F536:F536">IF(D536="","",IFERROR(INDEX(Dados_Evap!$C$2:$N$15,MATCH($B$9,Dados_Evap!$A$2:$A$15,0),C536),0))</f>
        <v>208.9</v>
      </c>
      <c r="G536" s="16" t="n">
        <f aca="false">IF(F536="","",F536/1000)</f>
        <v>0.2089</v>
      </c>
      <c r="H536" s="16" t="n">
        <f aca="false">IF(D536="","",MAX(0,MIN($B$8,IFERROR(LOOKUP(2,1/($U$24:U535&lt;&gt;""),$U$24:U535),$B$11))))</f>
        <v>0.0674668590743958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0.0259696860127682</v>
      </c>
      <c r="J536" s="16" t="n">
        <f aca="false">IF(D536="","",$B$12)</f>
        <v>0.25</v>
      </c>
      <c r="K536" s="16" t="n">
        <f aca="false">IF(J536="","",J536*$B$15)</f>
        <v>0.648</v>
      </c>
      <c r="L536" s="16" t="n">
        <f aca="false">IF(D536="","",H536+E536-K536-G536*I536)</f>
        <v>-0.529718556124143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0.0129848430063841</v>
      </c>
      <c r="O536" s="16" t="n">
        <f aca="false">IF(D536="","",G536*N536)</f>
        <v>0.00271253370403364</v>
      </c>
      <c r="P536" s="16" t="n">
        <f aca="false">IF(D536="","",H536+E536-K536-O536)</f>
        <v>-0.527006022420109</v>
      </c>
      <c r="Q536" s="16" t="n">
        <f aca="false">IF(D536="","",IF(P536&gt;=0,K536,MAX(0,K536+P536)))</f>
        <v>0.120993977579891</v>
      </c>
      <c r="R536" s="16" t="n">
        <f aca="false">IF(D536="","",Q536/$B$15)</f>
        <v>0.0466797753008839</v>
      </c>
      <c r="S536" s="16" t="n">
        <f aca="false">IF(D536="","",MAX(0,J536-R536))</f>
        <v>0.203320224699116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-4.42354486374086E-017</v>
      </c>
      <c r="X536" s="16" t="n">
        <f aca="false">IF(W536="","",ABS(W536))</f>
        <v>4.42354486374086E-017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2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0.0125348746764759</v>
      </c>
      <c r="E537" s="16" t="n">
        <f aca="false">IF(D537="","",D537*$B$15)</f>
        <v>0.0324903951614255</v>
      </c>
      <c r="F537" s="16" t="n">
        <f aca="false" t="array" ref="F537:F537">IF(D537="","",IFERROR(INDEX(Dados_Evap!$C$2:$N$15,MATCH($B$9,Dados_Evap!$A$2:$A$15,0),C537),0))</f>
        <v>235.9</v>
      </c>
      <c r="G537" s="16" t="n">
        <f aca="false">IF(F537="","",F537/1000)</f>
        <v>0.2359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0.25</v>
      </c>
      <c r="K537" s="16" t="n">
        <f aca="false">IF(J537="","",J537*$B$15)</f>
        <v>0.648</v>
      </c>
      <c r="L537" s="16" t="n">
        <f aca="false">IF(D537="","",H537+E537-K537-G537*I537)</f>
        <v>-0.615509604838575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-0.615509604838575</v>
      </c>
      <c r="Q537" s="16" t="n">
        <f aca="false">IF(D537="","",IF(P537&gt;=0,K537,MAX(0,K537+P537)))</f>
        <v>0.0324903951614255</v>
      </c>
      <c r="R537" s="16" t="n">
        <f aca="false">IF(D537="","",Q537/$B$15)</f>
        <v>0.0125348746764759</v>
      </c>
      <c r="S537" s="16" t="n">
        <f aca="false">IF(D537="","",MAX(0,J537-R537))</f>
        <v>0.237465125323524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0.00698728409199894</v>
      </c>
      <c r="E538" s="16" t="n">
        <f aca="false">IF(D538="","",D538*$B$15)</f>
        <v>0.0181110403664613</v>
      </c>
      <c r="F538" s="16" t="n">
        <f aca="false" t="array" ref="F538:F538">IF(D538="","",IFERROR(INDEX(Dados_Evap!$C$2:$N$15,MATCH($B$9,Dados_Evap!$A$2:$A$15,0),C538),0))</f>
        <v>225.9</v>
      </c>
      <c r="G538" s="16" t="n">
        <f aca="false">IF(F538="","",F538/1000)</f>
        <v>0.2259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0.25</v>
      </c>
      <c r="K538" s="16" t="n">
        <f aca="false">IF(J538="","",J538*$B$15)</f>
        <v>0.648</v>
      </c>
      <c r="L538" s="16" t="n">
        <f aca="false">IF(D538="","",H538+E538-K538-G538*I538)</f>
        <v>-0.629888959633539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-0.629888959633539</v>
      </c>
      <c r="Q538" s="16" t="n">
        <f aca="false">IF(D538="","",IF(P538&gt;=0,K538,MAX(0,K538+P538)))</f>
        <v>0.0181110403664613</v>
      </c>
      <c r="R538" s="16" t="n">
        <f aca="false">IF(D538="","",Q538/$B$15)</f>
        <v>0.00698728409199895</v>
      </c>
      <c r="S538" s="16" t="n">
        <f aca="false">IF(D538="","",MAX(0,J538-R538))</f>
        <v>0.243012715908001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0.0543480611764296</v>
      </c>
      <c r="E539" s="16" t="n">
        <f aca="false">IF(D539="","",D539*$B$15)</f>
        <v>0.140870174569306</v>
      </c>
      <c r="F539" s="16" t="n">
        <f aca="false" t="array" ref="F539:F539">IF(D539="","",IFERROR(INDEX(Dados_Evap!$C$2:$N$15,MATCH($B$9,Dados_Evap!$A$2:$A$15,0),C539),0))</f>
        <v>206</v>
      </c>
      <c r="G539" s="16" t="n">
        <f aca="false">IF(F539="","",F539/1000)</f>
        <v>0.206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0.25</v>
      </c>
      <c r="K539" s="16" t="n">
        <f aca="false">IF(J539="","",J539*$B$15)</f>
        <v>0.648</v>
      </c>
      <c r="L539" s="16" t="n">
        <f aca="false">IF(D539="","",H539+E539-K539-G539*I539)</f>
        <v>-0.507129825430695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-0.507129825430695</v>
      </c>
      <c r="Q539" s="16" t="n">
        <f aca="false">IF(D539="","",IF(P539&gt;=0,K539,MAX(0,K539+P539)))</f>
        <v>0.140870174569306</v>
      </c>
      <c r="R539" s="16" t="n">
        <f aca="false">IF(D539="","",Q539/$B$15)</f>
        <v>0.0543480611764296</v>
      </c>
      <c r="S539" s="16" t="n">
        <f aca="false">IF(D539="","",MAX(0,J539-R539))</f>
        <v>0.19565193882357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0.0117121686653713</v>
      </c>
      <c r="E540" s="16" t="n">
        <f aca="false">IF(D540="","",D540*$B$15)</f>
        <v>0.0303579411806424</v>
      </c>
      <c r="F540" s="16" t="n">
        <f aca="false" t="array" ref="F540:F540">IF(D540="","",IFERROR(INDEX(Dados_Evap!$C$2:$N$15,MATCH($B$9,Dados_Evap!$A$2:$A$15,0),C540),0))</f>
        <v>165.6</v>
      </c>
      <c r="G540" s="16" t="n">
        <f aca="false">IF(F540="","",F540/1000)</f>
        <v>0.1656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0.25</v>
      </c>
      <c r="K540" s="16" t="n">
        <f aca="false">IF(J540="","",J540*$B$15)</f>
        <v>0.648</v>
      </c>
      <c r="L540" s="16" t="n">
        <f aca="false">IF(D540="","",H540+E540-K540-G540*I540)</f>
        <v>-0.617642058819358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-0.617642058819358</v>
      </c>
      <c r="Q540" s="16" t="n">
        <f aca="false">IF(D540="","",IF(P540&gt;=0,K540,MAX(0,K540+P540)))</f>
        <v>0.0303579411806424</v>
      </c>
      <c r="R540" s="16" t="n">
        <f aca="false">IF(D540="","",Q540/$B$15)</f>
        <v>0.0117121686653713</v>
      </c>
      <c r="S540" s="16" t="n">
        <f aca="false">IF(D540="","",MAX(0,J540-R540))</f>
        <v>0.238287831334629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0.0710237286535245</v>
      </c>
      <c r="E541" s="16" t="n">
        <f aca="false">IF(D541="","",D541*$B$15)</f>
        <v>0.184093504669936</v>
      </c>
      <c r="F541" s="16" t="n">
        <f aca="false" t="array" ref="F541:F541">IF(D541="","",IFERROR(INDEX(Dados_Evap!$C$2:$N$15,MATCH($B$9,Dados_Evap!$A$2:$A$15,0),C541),0))</f>
        <v>124.9</v>
      </c>
      <c r="G541" s="16" t="n">
        <f aca="false">IF(F541="","",F541/1000)</f>
        <v>0.1249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0.25</v>
      </c>
      <c r="K541" s="16" t="n">
        <f aca="false">IF(J541="","",J541*$B$15)</f>
        <v>0.648</v>
      </c>
      <c r="L541" s="16" t="n">
        <f aca="false">IF(D541="","",H541+E541-K541-G541*I541)</f>
        <v>-0.463906495330065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-0.463906495330065</v>
      </c>
      <c r="Q541" s="16" t="n">
        <f aca="false">IF(D541="","",IF(P541&gt;=0,K541,MAX(0,K541+P541)))</f>
        <v>0.184093504669936</v>
      </c>
      <c r="R541" s="16" t="n">
        <f aca="false">IF(D541="","",Q541/$B$15)</f>
        <v>0.0710237286535245</v>
      </c>
      <c r="S541" s="16" t="n">
        <f aca="false">IF(D541="","",MAX(0,J541-R541))</f>
        <v>0.178976271346475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0.15680237812781</v>
      </c>
      <c r="E542" s="16" t="n">
        <f aca="false">IF(D542="","",D542*$B$15)</f>
        <v>0.406431764107284</v>
      </c>
      <c r="F542" s="16" t="n">
        <f aca="false" t="array" ref="F542:F542">IF(D542="","",IFERROR(INDEX(Dados_Evap!$C$2:$N$15,MATCH($B$9,Dados_Evap!$A$2:$A$15,0),C542),0))</f>
        <v>88.2</v>
      </c>
      <c r="G542" s="16" t="n">
        <f aca="false">IF(F542="","",F542/1000)</f>
        <v>0.0882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0.25</v>
      </c>
      <c r="K542" s="16" t="n">
        <f aca="false">IF(J542="","",J542*$B$15)</f>
        <v>0.648</v>
      </c>
      <c r="L542" s="16" t="n">
        <f aca="false">IF(D542="","",H542+E542-K542-G542*I542)</f>
        <v>-0.241568235892716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-0.241568235892716</v>
      </c>
      <c r="Q542" s="16" t="n">
        <f aca="false">IF(D542="","",IF(P542&gt;=0,K542,MAX(0,K542+P542)))</f>
        <v>0.406431764107284</v>
      </c>
      <c r="R542" s="16" t="n">
        <f aca="false">IF(D542="","",Q542/$B$15)</f>
        <v>0.15680237812781</v>
      </c>
      <c r="S542" s="16" t="n">
        <f aca="false">IF(D542="","",MAX(0,J542-R542))</f>
        <v>0.09319762187219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0.504213719754918</v>
      </c>
      <c r="E543" s="16" t="n">
        <f aca="false">IF(D543="","",D543*$B$15)</f>
        <v>1.30692196160475</v>
      </c>
      <c r="F543" s="16" t="n">
        <f aca="false" t="array" ref="F543:F543">IF(D543="","",IFERROR(INDEX(Dados_Evap!$C$2:$N$15,MATCH($B$9,Dados_Evap!$A$2:$A$15,0),C543),0))</f>
        <v>88.2</v>
      </c>
      <c r="G543" s="16" t="n">
        <f aca="false">IF(F543="","",F543/1000)</f>
        <v>0.0882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0.25</v>
      </c>
      <c r="K543" s="16" t="n">
        <f aca="false">IF(J543="","",J543*$B$15)</f>
        <v>0.648</v>
      </c>
      <c r="L543" s="16" t="n">
        <f aca="false">IF(D543="","",H543+E543-K543-G543*I543)</f>
        <v>0.658921961604748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0.228112569156053</v>
      </c>
      <c r="N543" s="16" t="n">
        <f aca="false">IF(D543="","",(I543+M543)/2)</f>
        <v>0.114056284578026</v>
      </c>
      <c r="O543" s="16" t="n">
        <f aca="false">IF(D543="","",G543*N543)</f>
        <v>0.0100597642997819</v>
      </c>
      <c r="P543" s="16" t="n">
        <f aca="false">IF(D543="","",H543+E543-K543-O543)</f>
        <v>0.648862197304966</v>
      </c>
      <c r="Q543" s="16" t="n">
        <f aca="false">IF(D543="","",IF(P543&gt;=0,K543,MAX(0,K543+P543)))</f>
        <v>0.648</v>
      </c>
      <c r="R543" s="16" t="n">
        <f aca="false">IF(D543="","",Q543/$B$15)</f>
        <v>0.25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0.648862197304966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3.04630139579796</v>
      </c>
      <c r="Z543" s="18" t="n">
        <f aca="false">IF(D543="","",MAX(0,IF(P543&gt;=0,P543,IF(K543+P543&gt;=0,0,P543+K543))))</f>
        <v>0.648862197304966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2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0.332993254482802</v>
      </c>
      <c r="E544" s="16" t="n">
        <f aca="false">IF(D544="","",D544*$B$15)</f>
        <v>0.863118515619423</v>
      </c>
      <c r="F544" s="16" t="n">
        <f aca="false" t="array" ref="F544:F544">IF(D544="","",IFERROR(INDEX(Dados_Evap!$C$2:$N$15,MATCH($B$9,Dados_Evap!$A$2:$A$15,0),C544),0))</f>
        <v>83.9</v>
      </c>
      <c r="G544" s="16" t="n">
        <f aca="false">IF(F544="","",F544/1000)</f>
        <v>0.0839</v>
      </c>
      <c r="H544" s="16" t="n">
        <f aca="false">IF(D544="","",MAX(0,MIN($B$8,IFERROR(LOOKUP(2,1/($U$24:U543&lt;&gt;""),$U$24:U543),$B$11))))</f>
        <v>0.648862197304966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0.224674421863722</v>
      </c>
      <c r="J544" s="16" t="n">
        <f aca="false">IF(D544="","",$B$12)</f>
        <v>0.25</v>
      </c>
      <c r="K544" s="16" t="n">
        <f aca="false">IF(J544="","",J544*$B$15)</f>
        <v>0.648</v>
      </c>
      <c r="L544" s="16" t="n">
        <f aca="false">IF(D544="","",H544+E544-K544-G544*I544)</f>
        <v>0.845130528930022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0.290726446574162</v>
      </c>
      <c r="N544" s="16" t="n">
        <f aca="false">IF(D544="","",(I544+M544)/2)</f>
        <v>0.257700434218942</v>
      </c>
      <c r="O544" s="16" t="n">
        <f aca="false">IF(D544="","",G544*N544)</f>
        <v>0.0216210664309693</v>
      </c>
      <c r="P544" s="16" t="n">
        <f aca="false">IF(D544="","",H544+E544-K544-O544)</f>
        <v>0.842359646493419</v>
      </c>
      <c r="Q544" s="16" t="n">
        <f aca="false">IF(D544="","",IF(P544&gt;=0,K544,MAX(0,K544+P544)))</f>
        <v>0.648</v>
      </c>
      <c r="R544" s="16" t="n">
        <f aca="false">IF(D544="","",Q544/$B$15)</f>
        <v>0.25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0.842359646493419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3.95474012438225</v>
      </c>
      <c r="Z544" s="18" t="n">
        <f aca="false">IF(D544="","",MAX(0,IF(P544&gt;=0,P544,IF(K544+P544&gt;=0,0,P544+K544))))</f>
        <v>0.842359646493419</v>
      </c>
      <c r="AA544" s="18" t="n">
        <f aca="false">IF(D544="","",IF(H544&lt;=$B$16,1,IF(H544&gt;=$B$17,$B$21,MATCH(H544,Aux_CAV!$A$2:$A$121,1))))</f>
        <v>2</v>
      </c>
      <c r="AB544" s="18" t="n">
        <f aca="false">IF(D544="","",IF(L544&lt;=$B$16,1,IF(L544&gt;=$B$17,$B$21,MATCH(L544,Aux_CAV!$A$2:$A$121,1))))</f>
        <v>3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0.152727099944729</v>
      </c>
      <c r="E545" s="16" t="n">
        <f aca="false">IF(D545="","",D545*$B$15)</f>
        <v>0.395868643056738</v>
      </c>
      <c r="F545" s="16" t="n">
        <f aca="false" t="array" ref="F545:F545">IF(D545="","",IFERROR(INDEX(Dados_Evap!$C$2:$N$15,MATCH($B$9,Dados_Evap!$A$2:$A$15,0),C545),0))</f>
        <v>104.7</v>
      </c>
      <c r="G545" s="16" t="n">
        <f aca="false">IF(F545="","",F545/1000)</f>
        <v>0.1047</v>
      </c>
      <c r="H545" s="16" t="n">
        <f aca="false">IF(D545="","",MAX(0,MIN($B$8,IFERROR(LOOKUP(2,1/($U$24:U544&lt;&gt;""),$U$24:U544),$B$11))))</f>
        <v>0.842359646493419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0.290334109238006</v>
      </c>
      <c r="J545" s="16" t="n">
        <f aca="false">IF(D545="","",$B$12)</f>
        <v>0.25</v>
      </c>
      <c r="K545" s="16" t="n">
        <f aca="false">IF(J545="","",J545*$B$15)</f>
        <v>0.648</v>
      </c>
      <c r="L545" s="16" t="n">
        <f aca="false">IF(D545="","",H545+E545-K545-G545*I545)</f>
        <v>0.559830308312937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0.194245801575308</v>
      </c>
      <c r="N545" s="16" t="n">
        <f aca="false">IF(D545="","",(I545+M545)/2)</f>
        <v>0.242289955406657</v>
      </c>
      <c r="O545" s="16" t="n">
        <f aca="false">IF(D545="","",G545*N545)</f>
        <v>0.025367758331077</v>
      </c>
      <c r="P545" s="16" t="n">
        <f aca="false">IF(D545="","",H545+E545-K545-O545)</f>
        <v>0.56486053121908</v>
      </c>
      <c r="Q545" s="16" t="n">
        <f aca="false">IF(D545="","",IF(P545&gt;=0,K545,MAX(0,K545+P545)))</f>
        <v>0.648</v>
      </c>
      <c r="R545" s="16" t="n">
        <f aca="false">IF(D545="","",Q545/$B$15)</f>
        <v>0.25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0.56486053121908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2.6519273766154</v>
      </c>
      <c r="Z545" s="18" t="n">
        <f aca="false">IF(D545="","",MAX(0,IF(P545&gt;=0,P545,IF(K545+P545&gt;=0,0,P545+K545))))</f>
        <v>0.56486053121908</v>
      </c>
      <c r="AA545" s="18" t="n">
        <f aca="false">IF(D545="","",IF(H545&lt;=$B$16,1,IF(H545&gt;=$B$17,$B$21,MATCH(H545,Aux_CAV!$A$2:$A$121,1))))</f>
        <v>3</v>
      </c>
      <c r="AB545" s="18" t="n">
        <f aca="false">IF(D545="","",IF(L545&lt;=$B$16,1,IF(L545&gt;=$B$17,$B$21,MATCH(L545,Aux_CAV!$A$2:$A$121,1))))</f>
        <v>2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0.0305939337401408</v>
      </c>
      <c r="E546" s="16" t="n">
        <f aca="false">IF(D546="","",D546*$B$15)</f>
        <v>0.079299476254445</v>
      </c>
      <c r="F546" s="16" t="n">
        <f aca="false" t="array" ref="F546:F546">IF(D546="","",IFERROR(INDEX(Dados_Evap!$C$2:$N$15,MATCH($B$9,Dados_Evap!$A$2:$A$15,0),C546),0))</f>
        <v>145.2</v>
      </c>
      <c r="G546" s="16" t="n">
        <f aca="false">IF(F546="","",F546/1000)</f>
        <v>0.1452</v>
      </c>
      <c r="H546" s="16" t="n">
        <f aca="false">IF(D546="","",MAX(0,MIN($B$8,IFERROR(LOOKUP(2,1/($U$24:U545&lt;&gt;""),$U$24:U545),$B$11))))</f>
        <v>0.56486053121908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0.19596499168247</v>
      </c>
      <c r="J546" s="16" t="n">
        <f aca="false">IF(D546="","",$B$12)</f>
        <v>0.25</v>
      </c>
      <c r="K546" s="16" t="n">
        <f aca="false">IF(J546="","",J546*$B$15)</f>
        <v>0.648</v>
      </c>
      <c r="L546" s="16" t="n">
        <f aca="false">IF(D546="","",H546+E546-K546-G546*I546)</f>
        <v>-0.0322941093187701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0.0979824958412351</v>
      </c>
      <c r="O546" s="16" t="n">
        <f aca="false">IF(D546="","",G546*N546)</f>
        <v>0.0142270583961473</v>
      </c>
      <c r="P546" s="16" t="n">
        <f aca="false">IF(D546="","",H546+E546-K546-O546)</f>
        <v>-0.0180670509226227</v>
      </c>
      <c r="Q546" s="16" t="n">
        <f aca="false">IF(D546="","",IF(P546&gt;=0,K546,MAX(0,K546+P546)))</f>
        <v>0.629932949077377</v>
      </c>
      <c r="R546" s="16" t="n">
        <f aca="false">IF(D546="","",Q546/$B$15)</f>
        <v>0.24302968714405</v>
      </c>
      <c r="S546" s="16" t="n">
        <f aca="false">IF(D546="","",MAX(0,J546-R546))</f>
        <v>0.00697031285595012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2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0.0248001342032274</v>
      </c>
      <c r="E547" s="16" t="n">
        <f aca="false">IF(D547="","",D547*$B$15)</f>
        <v>0.0642819478547654</v>
      </c>
      <c r="F547" s="16" t="n">
        <f aca="false" t="array" ref="F547:F547">IF(D547="","",IFERROR(INDEX(Dados_Evap!$C$2:$N$15,MATCH($B$9,Dados_Evap!$A$2:$A$15,0),C547),0))</f>
        <v>180.9</v>
      </c>
      <c r="G547" s="16" t="n">
        <f aca="false">IF(F547="","",F547/1000)</f>
        <v>0.1809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0.25</v>
      </c>
      <c r="K547" s="16" t="n">
        <f aca="false">IF(J547="","",J547*$B$15)</f>
        <v>0.648</v>
      </c>
      <c r="L547" s="16" t="n">
        <f aca="false">IF(D547="","",H547+E547-K547-G547*I547)</f>
        <v>-0.583718052145235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-0.583718052145235</v>
      </c>
      <c r="Q547" s="16" t="n">
        <f aca="false">IF(D547="","",IF(P547&gt;=0,K547,MAX(0,K547+P547)))</f>
        <v>0.0642819478547655</v>
      </c>
      <c r="R547" s="16" t="n">
        <f aca="false">IF(D547="","",Q547/$B$15)</f>
        <v>0.0248001342032274</v>
      </c>
      <c r="S547" s="16" t="n">
        <f aca="false">IF(D547="","",MAX(0,J547-R547))</f>
        <v>0.225199865796773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0.0167123033929581</v>
      </c>
      <c r="E548" s="16" t="n">
        <f aca="false">IF(D548="","",D548*$B$15)</f>
        <v>0.0433182903945474</v>
      </c>
      <c r="F548" s="16" t="n">
        <f aca="false" t="array" ref="F548:F548">IF(D548="","",IFERROR(INDEX(Dados_Evap!$C$2:$N$15,MATCH($B$9,Dados_Evap!$A$2:$A$15,0),C548),0))</f>
        <v>208.9</v>
      </c>
      <c r="G548" s="16" t="n">
        <f aca="false">IF(F548="","",F548/1000)</f>
        <v>0.2089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0.25</v>
      </c>
      <c r="K548" s="16" t="n">
        <f aca="false">IF(J548="","",J548*$B$15)</f>
        <v>0.648</v>
      </c>
      <c r="L548" s="16" t="n">
        <f aca="false">IF(D548="","",H548+E548-K548-G548*I548)</f>
        <v>-0.604681709605453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-0.604681709605453</v>
      </c>
      <c r="Q548" s="16" t="n">
        <f aca="false">IF(D548="","",IF(P548&gt;=0,K548,MAX(0,K548+P548)))</f>
        <v>0.0433182903945474</v>
      </c>
      <c r="R548" s="16" t="n">
        <f aca="false">IF(D548="","",Q548/$B$15)</f>
        <v>0.0167123033929581</v>
      </c>
      <c r="S548" s="16" t="n">
        <f aca="false">IF(D548="","",MAX(0,J548-R548))</f>
        <v>0.233287696607042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0.0101010613709495</v>
      </c>
      <c r="E549" s="16" t="n">
        <f aca="false">IF(D549="","",D549*$B$15)</f>
        <v>0.0261819510735011</v>
      </c>
      <c r="F549" s="16" t="n">
        <f aca="false" t="array" ref="F549:F549">IF(D549="","",IFERROR(INDEX(Dados_Evap!$C$2:$N$15,MATCH($B$9,Dados_Evap!$A$2:$A$15,0),C549),0))</f>
        <v>235.9</v>
      </c>
      <c r="G549" s="16" t="n">
        <f aca="false">IF(F549="","",F549/1000)</f>
        <v>0.2359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0.25</v>
      </c>
      <c r="K549" s="16" t="n">
        <f aca="false">IF(J549="","",J549*$B$15)</f>
        <v>0.648</v>
      </c>
      <c r="L549" s="16" t="n">
        <f aca="false">IF(D549="","",H549+E549-K549-G549*I549)</f>
        <v>-0.621818048926499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-0.621818048926499</v>
      </c>
      <c r="Q549" s="16" t="n">
        <f aca="false">IF(D549="","",IF(P549&gt;=0,K549,MAX(0,K549+P549)))</f>
        <v>0.0261819510735011</v>
      </c>
      <c r="R549" s="16" t="n">
        <f aca="false">IF(D549="","",Q549/$B$15)</f>
        <v>0.0101010613709495</v>
      </c>
      <c r="S549" s="16" t="n">
        <f aca="false">IF(D549="","",MAX(0,J549-R549))</f>
        <v>0.239898938629051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0.00587521353112203</v>
      </c>
      <c r="E550" s="16" t="n">
        <f aca="false">IF(D550="","",D550*$B$15)</f>
        <v>0.0152285534726683</v>
      </c>
      <c r="F550" s="16" t="n">
        <f aca="false" t="array" ref="F550:F550">IF(D550="","",IFERROR(INDEX(Dados_Evap!$C$2:$N$15,MATCH($B$9,Dados_Evap!$A$2:$A$15,0),C550),0))</f>
        <v>225.9</v>
      </c>
      <c r="G550" s="16" t="n">
        <f aca="false">IF(F550="","",F550/1000)</f>
        <v>0.2259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0.25</v>
      </c>
      <c r="K550" s="16" t="n">
        <f aca="false">IF(J550="","",J550*$B$15)</f>
        <v>0.648</v>
      </c>
      <c r="L550" s="16" t="n">
        <f aca="false">IF(D550="","",H550+E550-K550-G550*I550)</f>
        <v>-0.632771446527332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-0.632771446527332</v>
      </c>
      <c r="Q550" s="16" t="n">
        <f aca="false">IF(D550="","",IF(P550&gt;=0,K550,MAX(0,K550+P550)))</f>
        <v>0.0152285534726683</v>
      </c>
      <c r="R550" s="16" t="n">
        <f aca="false">IF(D550="","",Q550/$B$15)</f>
        <v>0.00587521353112202</v>
      </c>
      <c r="S550" s="16" t="n">
        <f aca="false">IF(D550="","",MAX(0,J550-R550))</f>
        <v>0.244124786468878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0.00357000580473912</v>
      </c>
      <c r="E551" s="16" t="n">
        <f aca="false">IF(D551="","",D551*$B$15)</f>
        <v>0.0092534550458838</v>
      </c>
      <c r="F551" s="16" t="n">
        <f aca="false" t="array" ref="F551:F551">IF(D551="","",IFERROR(INDEX(Dados_Evap!$C$2:$N$15,MATCH($B$9,Dados_Evap!$A$2:$A$15,0),C551),0))</f>
        <v>206</v>
      </c>
      <c r="G551" s="16" t="n">
        <f aca="false">IF(F551="","",F551/1000)</f>
        <v>0.206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0.25</v>
      </c>
      <c r="K551" s="16" t="n">
        <f aca="false">IF(J551="","",J551*$B$15)</f>
        <v>0.648</v>
      </c>
      <c r="L551" s="16" t="n">
        <f aca="false">IF(D551="","",H551+E551-K551-G551*I551)</f>
        <v>-0.638746544954116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-0.638746544954116</v>
      </c>
      <c r="Q551" s="16" t="n">
        <f aca="false">IF(D551="","",IF(P551&gt;=0,K551,MAX(0,K551+P551)))</f>
        <v>0.00925345504588382</v>
      </c>
      <c r="R551" s="16" t="n">
        <f aca="false">IF(D551="","",Q551/$B$15)</f>
        <v>0.00357000580473913</v>
      </c>
      <c r="S551" s="16" t="n">
        <f aca="false">IF(D551="","",MAX(0,J551-R551))</f>
        <v>0.246429994195261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0.00704816070617089</v>
      </c>
      <c r="E552" s="16" t="n">
        <f aca="false">IF(D552="","",D552*$B$15)</f>
        <v>0.0182688325503949</v>
      </c>
      <c r="F552" s="16" t="n">
        <f aca="false" t="array" ref="F552:F552">IF(D552="","",IFERROR(INDEX(Dados_Evap!$C$2:$N$15,MATCH($B$9,Dados_Evap!$A$2:$A$15,0),C552),0))</f>
        <v>165.6</v>
      </c>
      <c r="G552" s="16" t="n">
        <f aca="false">IF(F552="","",F552/1000)</f>
        <v>0.1656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0.25</v>
      </c>
      <c r="K552" s="16" t="n">
        <f aca="false">IF(J552="","",J552*$B$15)</f>
        <v>0.648</v>
      </c>
      <c r="L552" s="16" t="n">
        <f aca="false">IF(D552="","",H552+E552-K552-G552*I552)</f>
        <v>-0.629731167449605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-0.629731167449605</v>
      </c>
      <c r="Q552" s="16" t="n">
        <f aca="false">IF(D552="","",IF(P552&gt;=0,K552,MAX(0,K552+P552)))</f>
        <v>0.0182688325503949</v>
      </c>
      <c r="R552" s="16" t="n">
        <f aca="false">IF(D552="","",Q552/$B$15)</f>
        <v>0.00704816070617088</v>
      </c>
      <c r="S552" s="16" t="n">
        <f aca="false">IF(D552="","",MAX(0,J552-R552))</f>
        <v>0.242951839293829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0.139200605861387</v>
      </c>
      <c r="E553" s="16" t="n">
        <f aca="false">IF(D553="","",D553*$B$15)</f>
        <v>0.360807970392715</v>
      </c>
      <c r="F553" s="16" t="n">
        <f aca="false" t="array" ref="F553:F553">IF(D553="","",IFERROR(INDEX(Dados_Evap!$C$2:$N$15,MATCH($B$9,Dados_Evap!$A$2:$A$15,0),C553),0))</f>
        <v>124.9</v>
      </c>
      <c r="G553" s="16" t="n">
        <f aca="false">IF(F553="","",F553/1000)</f>
        <v>0.1249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0.25</v>
      </c>
      <c r="K553" s="16" t="n">
        <f aca="false">IF(J553="","",J553*$B$15)</f>
        <v>0.648</v>
      </c>
      <c r="L553" s="16" t="n">
        <f aca="false">IF(D553="","",H553+E553-K553-G553*I553)</f>
        <v>-0.287192029607285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-0.287192029607285</v>
      </c>
      <c r="Q553" s="16" t="n">
        <f aca="false">IF(D553="","",IF(P553&gt;=0,K553,MAX(0,K553+P553)))</f>
        <v>0.360807970392715</v>
      </c>
      <c r="R553" s="16" t="n">
        <f aca="false">IF(D553="","",Q553/$B$15)</f>
        <v>0.139200605861387</v>
      </c>
      <c r="S553" s="16" t="n">
        <f aca="false">IF(D553="","",MAX(0,J553-R553))</f>
        <v>0.110799394138613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0.270514950934543</v>
      </c>
      <c r="E554" s="16" t="n">
        <f aca="false">IF(D554="","",D554*$B$15)</f>
        <v>0.701174752822335</v>
      </c>
      <c r="F554" s="16" t="n">
        <f aca="false" t="array" ref="F554:F554">IF(D554="","",IFERROR(INDEX(Dados_Evap!$C$2:$N$15,MATCH($B$9,Dados_Evap!$A$2:$A$15,0),C554),0))</f>
        <v>88.2</v>
      </c>
      <c r="G554" s="16" t="n">
        <f aca="false">IF(F554="","",F554/1000)</f>
        <v>0.0882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0.25</v>
      </c>
      <c r="K554" s="16" t="n">
        <f aca="false">IF(J554="","",J554*$B$15)</f>
        <v>0.648</v>
      </c>
      <c r="L554" s="16" t="n">
        <f aca="false">IF(D554="","",H554+E554-K554-G554*I554)</f>
        <v>0.0531747528223354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0.0210850421038362</v>
      </c>
      <c r="N554" s="16" t="n">
        <f aca="false">IF(D554="","",(I554+M554)/2)</f>
        <v>0.0105425210519181</v>
      </c>
      <c r="O554" s="16" t="n">
        <f aca="false">IF(D554="","",G554*N554)</f>
        <v>0.000929850356779174</v>
      </c>
      <c r="P554" s="16" t="n">
        <f aca="false">IF(D554="","",H554+E554-K554-O554)</f>
        <v>0.0522449024655562</v>
      </c>
      <c r="Q554" s="16" t="n">
        <f aca="false">IF(D554="","",IF(P554&gt;=0,K554,MAX(0,K554+P554)))</f>
        <v>0.648</v>
      </c>
      <c r="R554" s="16" t="n">
        <f aca="false">IF(D554="","",Q554/$B$15)</f>
        <v>0.25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0.0522449024655562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0.245281232232658</v>
      </c>
      <c r="Z554" s="18" t="n">
        <f aca="false">IF(D554="","",MAX(0,IF(P554&gt;=0,P554,IF(K554+P554&gt;=0,0,P554+K554))))</f>
        <v>0.0522449024655562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2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0.249660195076825</v>
      </c>
      <c r="E555" s="16" t="n">
        <f aca="false">IF(D555="","",D555*$B$15)</f>
        <v>0.64711922563913</v>
      </c>
      <c r="F555" s="16" t="n">
        <f aca="false" t="array" ref="F555:F555">IF(D555="","",IFERROR(INDEX(Dados_Evap!$C$2:$N$15,MATCH($B$9,Dados_Evap!$A$2:$A$15,0),C555),0))</f>
        <v>88.2</v>
      </c>
      <c r="G555" s="16" t="n">
        <f aca="false">IF(F555="","",F555/1000)</f>
        <v>0.0882</v>
      </c>
      <c r="H555" s="16" t="n">
        <f aca="false">IF(D555="","",MAX(0,MIN($B$8,IFERROR(LOOKUP(2,1/($U$24:U554&lt;&gt;""),$U$24:U554),$B$11))))</f>
        <v>0.0522449024655562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0.0207672451464559</v>
      </c>
      <c r="J555" s="16" t="n">
        <f aca="false">IF(D555="","",$B$12)</f>
        <v>0.25</v>
      </c>
      <c r="K555" s="16" t="n">
        <f aca="false">IF(J555="","",J555*$B$15)</f>
        <v>0.648</v>
      </c>
      <c r="L555" s="16" t="n">
        <f aca="false">IF(D555="","",H555+E555-K555-G555*I555)</f>
        <v>0.0495324570827692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0.0198129828331077</v>
      </c>
      <c r="N555" s="16" t="n">
        <f aca="false">IF(D555="","",(I555+M555)/2)</f>
        <v>0.0202901139897818</v>
      </c>
      <c r="O555" s="16" t="n">
        <f aca="false">IF(D555="","",G555*N555)</f>
        <v>0.00178958805389876</v>
      </c>
      <c r="P555" s="16" t="n">
        <f aca="false">IF(D555="","",H555+E555-K555-O555)</f>
        <v>0.0495745400507878</v>
      </c>
      <c r="Q555" s="16" t="n">
        <f aca="false">IF(D555="","",IF(P555&gt;=0,K555,MAX(0,K555+P555)))</f>
        <v>0.648</v>
      </c>
      <c r="R555" s="16" t="n">
        <f aca="false">IF(D555="","",Q555/$B$15)</f>
        <v>0.25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0.0495745400507878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0.232744319487267</v>
      </c>
      <c r="Z555" s="18" t="n">
        <f aca="false">IF(D555="","",MAX(0,IF(P555&gt;=0,P555,IF(K555+P555&gt;=0,0,P555+K555))))</f>
        <v>0.0495745400507878</v>
      </c>
      <c r="AA555" s="18" t="n">
        <f aca="false">IF(D555="","",IF(H555&lt;=$B$16,1,IF(H555&gt;=$B$17,$B$21,MATCH(H555,Aux_CAV!$A$2:$A$121,1))))</f>
        <v>2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0.342911197659511</v>
      </c>
      <c r="E556" s="16" t="n">
        <f aca="false">IF(D556="","",D556*$B$15)</f>
        <v>0.888825824333453</v>
      </c>
      <c r="F556" s="16" t="n">
        <f aca="false" t="array" ref="F556:F556">IF(D556="","",IFERROR(INDEX(Dados_Evap!$C$2:$N$15,MATCH($B$9,Dados_Evap!$A$2:$A$15,0),C556),0))</f>
        <v>83.9</v>
      </c>
      <c r="G556" s="16" t="n">
        <f aca="false">IF(F556="","",F556/1000)</f>
        <v>0.0839</v>
      </c>
      <c r="H556" s="16" t="n">
        <f aca="false">IF(D556="","",MAX(0,MIN($B$8,IFERROR(LOOKUP(2,1/($U$24:U555&lt;&gt;""),$U$24:U555),$B$11))))</f>
        <v>0.0495745400507878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0.0198298160203151</v>
      </c>
      <c r="J556" s="16" t="n">
        <f aca="false">IF(D556="","",$B$12)</f>
        <v>0.25</v>
      </c>
      <c r="K556" s="16" t="n">
        <f aca="false">IF(J556="","",J556*$B$15)</f>
        <v>0.648</v>
      </c>
      <c r="L556" s="16" t="n">
        <f aca="false">IF(D556="","",H556+E556-K556-G556*I556)</f>
        <v>0.288736642820136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0.101593536153717</v>
      </c>
      <c r="N556" s="16" t="n">
        <f aca="false">IF(D556="","",(I556+M556)/2)</f>
        <v>0.0607116760870163</v>
      </c>
      <c r="O556" s="16" t="n">
        <f aca="false">IF(D556="","",G556*N556)</f>
        <v>0.00509370962370066</v>
      </c>
      <c r="P556" s="16" t="n">
        <f aca="false">IF(D556="","",H556+E556-K556-O556)</f>
        <v>0.28530665476054</v>
      </c>
      <c r="Q556" s="16" t="n">
        <f aca="false">IF(D556="","",IF(P556&gt;=0,K556,MAX(0,K556+P556)))</f>
        <v>0.648</v>
      </c>
      <c r="R556" s="16" t="n">
        <f aca="false">IF(D556="","",Q556/$B$15)</f>
        <v>0.25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0.28530665476054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1.33946786272554</v>
      </c>
      <c r="Z556" s="18" t="n">
        <f aca="false">IF(D556="","",MAX(0,IF(P556&gt;=0,P556,IF(K556+P556&gt;=0,0,P556+K556))))</f>
        <v>0.28530665476054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2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0.166734321894785</v>
      </c>
      <c r="E557" s="16" t="n">
        <f aca="false">IF(D557="","",D557*$B$15)</f>
        <v>0.432175362351283</v>
      </c>
      <c r="F557" s="16" t="n">
        <f aca="false" t="array" ref="F557:F557">IF(D557="","",IFERROR(INDEX(Dados_Evap!$C$2:$N$15,MATCH($B$9,Dados_Evap!$A$2:$A$15,0),C557),0))</f>
        <v>104.7</v>
      </c>
      <c r="G557" s="16" t="n">
        <f aca="false">IF(F557="","",F557/1000)</f>
        <v>0.1047</v>
      </c>
      <c r="H557" s="16" t="n">
        <f aca="false">IF(D557="","",MAX(0,MIN($B$8,IFERROR(LOOKUP(2,1/($U$24:U556&lt;&gt;""),$U$24:U556),$B$11))))</f>
        <v>0.28530665476054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0.100421261753602</v>
      </c>
      <c r="J557" s="16" t="n">
        <f aca="false">IF(D557="","",$B$12)</f>
        <v>0.25</v>
      </c>
      <c r="K557" s="16" t="n">
        <f aca="false">IF(J557="","",J557*$B$15)</f>
        <v>0.648</v>
      </c>
      <c r="L557" s="16" t="n">
        <f aca="false">IF(D557="","",H557+E557-K557-G557*I557)</f>
        <v>0.0589679110062203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0.0230649822426323</v>
      </c>
      <c r="N557" s="16" t="n">
        <f aca="false">IF(D557="","",(I557+M557)/2)</f>
        <v>0.0617431219981172</v>
      </c>
      <c r="O557" s="16" t="n">
        <f aca="false">IF(D557="","",G557*N557)</f>
        <v>0.00646450487320287</v>
      </c>
      <c r="P557" s="16" t="n">
        <f aca="false">IF(D557="","",H557+E557-K557-O557)</f>
        <v>0.0630175122386196</v>
      </c>
      <c r="Q557" s="16" t="n">
        <f aca="false">IF(D557="","",IF(P557&gt;=0,K557,MAX(0,K557+P557)))</f>
        <v>0.648</v>
      </c>
      <c r="R557" s="16" t="n">
        <f aca="false">IF(D557="","",Q557/$B$15)</f>
        <v>0.25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0.0630175122386196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0.295856864970045</v>
      </c>
      <c r="Z557" s="18" t="n">
        <f aca="false">IF(D557="","",MAX(0,IF(P557&gt;=0,P557,IF(K557+P557&gt;=0,0,P557+K557))))</f>
        <v>0.0630175122386196</v>
      </c>
      <c r="AA557" s="18" t="n">
        <f aca="false">IF(D557="","",IF(H557&lt;=$B$16,1,IF(H557&gt;=$B$17,$B$21,MATCH(H557,Aux_CAV!$A$2:$A$121,1))))</f>
        <v>2</v>
      </c>
      <c r="AB557" s="18" t="n">
        <f aca="false">IF(D557="","",IF(L557&lt;=$B$16,1,IF(L557&gt;=$B$17,$B$21,MATCH(L557,Aux_CAV!$A$2:$A$121,1))))</f>
        <v>2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0.0398148118695265</v>
      </c>
      <c r="E558" s="16" t="n">
        <f aca="false">IF(D558="","",D558*$B$15)</f>
        <v>0.103199992365813</v>
      </c>
      <c r="F558" s="16" t="n">
        <f aca="false" t="array" ref="F558:F558">IF(D558="","",IFERROR(INDEX(Dados_Evap!$C$2:$N$15,MATCH($B$9,Dados_Evap!$A$2:$A$15,0),C558),0))</f>
        <v>145.2</v>
      </c>
      <c r="G558" s="16" t="n">
        <f aca="false">IF(F558="","",F558/1000)</f>
        <v>0.1452</v>
      </c>
      <c r="H558" s="16" t="n">
        <f aca="false">IF(D558="","",MAX(0,MIN($B$8,IFERROR(LOOKUP(2,1/($U$24:U557&lt;&gt;""),$U$24:U557),$B$11))))</f>
        <v>0.0630175122386196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0.0244490231701611</v>
      </c>
      <c r="J558" s="16" t="n">
        <f aca="false">IF(D558="","",$B$12)</f>
        <v>0.25</v>
      </c>
      <c r="K558" s="16" t="n">
        <f aca="false">IF(J558="","",J558*$B$15)</f>
        <v>0.648</v>
      </c>
      <c r="L558" s="16" t="n">
        <f aca="false">IF(D558="","",H558+E558-K558-G558*I558)</f>
        <v>-0.485332493559875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0.0122245115850806</v>
      </c>
      <c r="O558" s="16" t="n">
        <f aca="false">IF(D558="","",G558*N558)</f>
        <v>0.0017749990821537</v>
      </c>
      <c r="P558" s="16" t="n">
        <f aca="false">IF(D558="","",H558+E558-K558-O558)</f>
        <v>-0.483557494477721</v>
      </c>
      <c r="Q558" s="16" t="n">
        <f aca="false">IF(D558="","",IF(P558&gt;=0,K558,MAX(0,K558+P558)))</f>
        <v>0.164442505522279</v>
      </c>
      <c r="R558" s="16" t="n">
        <f aca="false">IF(D558="","",Q558/$B$15)</f>
        <v>0.0634423246613729</v>
      </c>
      <c r="S558" s="16" t="n">
        <f aca="false">IF(D558="","",MAX(0,J558-R558))</f>
        <v>0.186557675338627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2.47198095326695E-017</v>
      </c>
      <c r="X558" s="16" t="n">
        <f aca="false">IF(W558="","",ABS(W558))</f>
        <v>2.47198095326695E-017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2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0.0223114070731374</v>
      </c>
      <c r="E559" s="16" t="n">
        <f aca="false">IF(D559="","",D559*$B$15)</f>
        <v>0.0578311671335721</v>
      </c>
      <c r="F559" s="16" t="n">
        <f aca="false" t="array" ref="F559:F559">IF(D559="","",IFERROR(INDEX(Dados_Evap!$C$2:$N$15,MATCH($B$9,Dados_Evap!$A$2:$A$15,0),C559),0))</f>
        <v>180.9</v>
      </c>
      <c r="G559" s="16" t="n">
        <f aca="false">IF(F559="","",F559/1000)</f>
        <v>0.1809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0.25</v>
      </c>
      <c r="K559" s="16" t="n">
        <f aca="false">IF(J559="","",J559*$B$15)</f>
        <v>0.648</v>
      </c>
      <c r="L559" s="16" t="n">
        <f aca="false">IF(D559="","",H559+E559-K559-G559*I559)</f>
        <v>-0.590168832866428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-0.590168832866428</v>
      </c>
      <c r="Q559" s="16" t="n">
        <f aca="false">IF(D559="","",IF(P559&gt;=0,K559,MAX(0,K559+P559)))</f>
        <v>0.0578311671335722</v>
      </c>
      <c r="R559" s="16" t="n">
        <f aca="false">IF(D559="","",Q559/$B$15)</f>
        <v>0.0223114070731374</v>
      </c>
      <c r="S559" s="16" t="n">
        <f aca="false">IF(D559="","",MAX(0,J559-R559))</f>
        <v>0.227688592926863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0.0147543564801546</v>
      </c>
      <c r="E560" s="16" t="n">
        <f aca="false">IF(D560="","",D560*$B$15)</f>
        <v>0.0382432919965607</v>
      </c>
      <c r="F560" s="16" t="n">
        <f aca="false" t="array" ref="F560:F560">IF(D560="","",IFERROR(INDEX(Dados_Evap!$C$2:$N$15,MATCH($B$9,Dados_Evap!$A$2:$A$15,0),C560),0))</f>
        <v>208.9</v>
      </c>
      <c r="G560" s="16" t="n">
        <f aca="false">IF(F560="","",F560/1000)</f>
        <v>0.2089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0.25</v>
      </c>
      <c r="K560" s="16" t="n">
        <f aca="false">IF(J560="","",J560*$B$15)</f>
        <v>0.648</v>
      </c>
      <c r="L560" s="16" t="n">
        <f aca="false">IF(D560="","",H560+E560-K560-G560*I560)</f>
        <v>-0.609756708003439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-0.609756708003439</v>
      </c>
      <c r="Q560" s="16" t="n">
        <f aca="false">IF(D560="","",IF(P560&gt;=0,K560,MAX(0,K560+P560)))</f>
        <v>0.0382432919965607</v>
      </c>
      <c r="R560" s="16" t="n">
        <f aca="false">IF(D560="","",Q560/$B$15)</f>
        <v>0.0147543564801546</v>
      </c>
      <c r="S560" s="16" t="n">
        <f aca="false">IF(D560="","",MAX(0,J560-R560))</f>
        <v>0.235245643519845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0.0088006839180079</v>
      </c>
      <c r="E561" s="16" t="n">
        <f aca="false">IF(D561="","",D561*$B$15)</f>
        <v>0.0228113727154765</v>
      </c>
      <c r="F561" s="16" t="n">
        <f aca="false" t="array" ref="F561:F561">IF(D561="","",IFERROR(INDEX(Dados_Evap!$C$2:$N$15,MATCH($B$9,Dados_Evap!$A$2:$A$15,0),C561),0))</f>
        <v>235.9</v>
      </c>
      <c r="G561" s="16" t="n">
        <f aca="false">IF(F561="","",F561/1000)</f>
        <v>0.2359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0.25</v>
      </c>
      <c r="K561" s="16" t="n">
        <f aca="false">IF(J561="","",J561*$B$15)</f>
        <v>0.648</v>
      </c>
      <c r="L561" s="16" t="n">
        <f aca="false">IF(D561="","",H561+E561-K561-G561*I561)</f>
        <v>-0.625188627284524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-0.625188627284524</v>
      </c>
      <c r="Q561" s="16" t="n">
        <f aca="false">IF(D561="","",IF(P561&gt;=0,K561,MAX(0,K561+P561)))</f>
        <v>0.0228113727154765</v>
      </c>
      <c r="R561" s="16" t="n">
        <f aca="false">IF(D561="","",Q561/$B$15)</f>
        <v>0.00880068391800791</v>
      </c>
      <c r="S561" s="16" t="n">
        <f aca="false">IF(D561="","",MAX(0,J561-R561))</f>
        <v>0.241199316081992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0.00772001721513817</v>
      </c>
      <c r="E562" s="16" t="n">
        <f aca="false">IF(D562="","",D562*$B$15)</f>
        <v>0.0200102846216381</v>
      </c>
      <c r="F562" s="16" t="n">
        <f aca="false" t="array" ref="F562:F562">IF(D562="","",IFERROR(INDEX(Dados_Evap!$C$2:$N$15,MATCH($B$9,Dados_Evap!$A$2:$A$15,0),C562),0))</f>
        <v>225.9</v>
      </c>
      <c r="G562" s="16" t="n">
        <f aca="false">IF(F562="","",F562/1000)</f>
        <v>0.2259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0.25</v>
      </c>
      <c r="K562" s="16" t="n">
        <f aca="false">IF(J562="","",J562*$B$15)</f>
        <v>0.648</v>
      </c>
      <c r="L562" s="16" t="n">
        <f aca="false">IF(D562="","",H562+E562-K562-G562*I562)</f>
        <v>-0.627989715378362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-0.627989715378362</v>
      </c>
      <c r="Q562" s="16" t="n">
        <f aca="false">IF(D562="","",IF(P562&gt;=0,K562,MAX(0,K562+P562)))</f>
        <v>0.0200102846216381</v>
      </c>
      <c r="R562" s="16" t="n">
        <f aca="false">IF(D562="","",Q562/$B$15)</f>
        <v>0.00772001721513816</v>
      </c>
      <c r="S562" s="16" t="n">
        <f aca="false">IF(D562="","",MAX(0,J562-R562))</f>
        <v>0.242279982784862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0.00852522655114372</v>
      </c>
      <c r="E563" s="16" t="n">
        <f aca="false">IF(D563="","",D563*$B$15)</f>
        <v>0.0220973872205645</v>
      </c>
      <c r="F563" s="16" t="n">
        <f aca="false" t="array" ref="F563:F563">IF(D563="","",IFERROR(INDEX(Dados_Evap!$C$2:$N$15,MATCH($B$9,Dados_Evap!$A$2:$A$15,0),C563),0))</f>
        <v>206</v>
      </c>
      <c r="G563" s="16" t="n">
        <f aca="false">IF(F563="","",F563/1000)</f>
        <v>0.206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0.25</v>
      </c>
      <c r="K563" s="16" t="n">
        <f aca="false">IF(J563="","",J563*$B$15)</f>
        <v>0.648</v>
      </c>
      <c r="L563" s="16" t="n">
        <f aca="false">IF(D563="","",H563+E563-K563-G563*I563)</f>
        <v>-0.625902612779436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-0.625902612779436</v>
      </c>
      <c r="Q563" s="16" t="n">
        <f aca="false">IF(D563="","",IF(P563&gt;=0,K563,MAX(0,K563+P563)))</f>
        <v>0.0220973872205645</v>
      </c>
      <c r="R563" s="16" t="n">
        <f aca="false">IF(D563="","",Q563/$B$15)</f>
        <v>0.00852522655114373</v>
      </c>
      <c r="S563" s="16" t="n">
        <f aca="false">IF(D563="","",MAX(0,J563-R563))</f>
        <v>0.241474773448856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0.0465647425682544</v>
      </c>
      <c r="E564" s="16" t="n">
        <f aca="false">IF(D564="","",D564*$B$15)</f>
        <v>0.120695812736915</v>
      </c>
      <c r="F564" s="16" t="n">
        <f aca="false" t="array" ref="F564:F564">IF(D564="","",IFERROR(INDEX(Dados_Evap!$C$2:$N$15,MATCH($B$9,Dados_Evap!$A$2:$A$15,0),C564),0))</f>
        <v>165.6</v>
      </c>
      <c r="G564" s="16" t="n">
        <f aca="false">IF(F564="","",F564/1000)</f>
        <v>0.1656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0.25</v>
      </c>
      <c r="K564" s="16" t="n">
        <f aca="false">IF(J564="","",J564*$B$15)</f>
        <v>0.648</v>
      </c>
      <c r="L564" s="16" t="n">
        <f aca="false">IF(D564="","",H564+E564-K564-G564*I564)</f>
        <v>-0.527304187263085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-0.527304187263085</v>
      </c>
      <c r="Q564" s="16" t="n">
        <f aca="false">IF(D564="","",IF(P564&gt;=0,K564,MAX(0,K564+P564)))</f>
        <v>0.120695812736915</v>
      </c>
      <c r="R564" s="16" t="n">
        <f aca="false">IF(D564="","",Q564/$B$15)</f>
        <v>0.0465647425682544</v>
      </c>
      <c r="S564" s="16" t="n">
        <f aca="false">IF(D564="","",MAX(0,J564-R564))</f>
        <v>0.203435257431746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0.0718597615043906</v>
      </c>
      <c r="E565" s="16" t="n">
        <f aca="false">IF(D565="","",D565*$B$15)</f>
        <v>0.18626050181938</v>
      </c>
      <c r="F565" s="16" t="n">
        <f aca="false" t="array" ref="F565:F565">IF(D565="","",IFERROR(INDEX(Dados_Evap!$C$2:$N$15,MATCH($B$9,Dados_Evap!$A$2:$A$15,0),C565),0))</f>
        <v>124.9</v>
      </c>
      <c r="G565" s="16" t="n">
        <f aca="false">IF(F565="","",F565/1000)</f>
        <v>0.1249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0.25</v>
      </c>
      <c r="K565" s="16" t="n">
        <f aca="false">IF(J565="","",J565*$B$15)</f>
        <v>0.648</v>
      </c>
      <c r="L565" s="16" t="n">
        <f aca="false">IF(D565="","",H565+E565-K565-G565*I565)</f>
        <v>-0.46173949818062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-0.46173949818062</v>
      </c>
      <c r="Q565" s="16" t="n">
        <f aca="false">IF(D565="","",IF(P565&gt;=0,K565,MAX(0,K565+P565)))</f>
        <v>0.18626050181938</v>
      </c>
      <c r="R565" s="16" t="n">
        <f aca="false">IF(D565="","",Q565/$B$15)</f>
        <v>0.0718597615043906</v>
      </c>
      <c r="S565" s="16" t="n">
        <f aca="false">IF(D565="","",MAX(0,J565-R565))</f>
        <v>0.178140238495609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0.289616799382304</v>
      </c>
      <c r="E566" s="16" t="n">
        <f aca="false">IF(D566="","",D566*$B$15)</f>
        <v>0.750686743998932</v>
      </c>
      <c r="F566" s="16" t="n">
        <f aca="false" t="array" ref="F566:F566">IF(D566="","",IFERROR(INDEX(Dados_Evap!$C$2:$N$15,MATCH($B$9,Dados_Evap!$A$2:$A$15,0),C566),0))</f>
        <v>88.2</v>
      </c>
      <c r="G566" s="16" t="n">
        <f aca="false">IF(F566="","",F566/1000)</f>
        <v>0.0882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0.25</v>
      </c>
      <c r="K566" s="16" t="n">
        <f aca="false">IF(J566="","",J566*$B$15)</f>
        <v>0.648</v>
      </c>
      <c r="L566" s="16" t="n">
        <f aca="false">IF(D566="","",H566+E566-K566-G566*I566)</f>
        <v>0.102686743998932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0.0380068618730527</v>
      </c>
      <c r="N566" s="16" t="n">
        <f aca="false">IF(D566="","",(I566+M566)/2)</f>
        <v>0.0190034309365263</v>
      </c>
      <c r="O566" s="16" t="n">
        <f aca="false">IF(D566="","",G566*N566)</f>
        <v>0.00167610260860162</v>
      </c>
      <c r="P566" s="16" t="n">
        <f aca="false">IF(D566="","",H566+E566-K566-O566)</f>
        <v>0.10101064139033</v>
      </c>
      <c r="Q566" s="16" t="n">
        <f aca="false">IF(D566="","",IF(P566&gt;=0,K566,MAX(0,K566+P566)))</f>
        <v>0.648</v>
      </c>
      <c r="R566" s="16" t="n">
        <f aca="false">IF(D566="","",Q566/$B$15)</f>
        <v>0.25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0.10101064139033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0.474228363334884</v>
      </c>
      <c r="Z566" s="18" t="n">
        <f aca="false">IF(D566="","",MAX(0,IF(P566&gt;=0,P566,IF(K566+P566&gt;=0,0,P566+K566))))</f>
        <v>0.10101064139033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2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0.851262693738049</v>
      </c>
      <c r="E567" s="16" t="n">
        <f aca="false">IF(D567="","",D567*$B$15)</f>
        <v>2.20647290216902</v>
      </c>
      <c r="F567" s="16" t="n">
        <f aca="false" t="array" ref="F567:F567">IF(D567="","",IFERROR(INDEX(Dados_Evap!$C$2:$N$15,MATCH($B$9,Dados_Evap!$A$2:$A$15,0),C567),0))</f>
        <v>88.2</v>
      </c>
      <c r="G567" s="16" t="n">
        <f aca="false">IF(F567="","",F567/1000)</f>
        <v>0.0882</v>
      </c>
      <c r="H567" s="16" t="n">
        <f aca="false">IF(D567="","",MAX(0,MIN($B$8,IFERROR(LOOKUP(2,1/($U$24:U566&lt;&gt;""),$U$24:U566),$B$11))))</f>
        <v>0.10101064139033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0.0374340166777078</v>
      </c>
      <c r="J567" s="16" t="n">
        <f aca="false">IF(D567="","",$B$12)</f>
        <v>0.25</v>
      </c>
      <c r="K567" s="16" t="n">
        <f aca="false">IF(J567="","",J567*$B$15)</f>
        <v>0.648</v>
      </c>
      <c r="L567" s="16" t="n">
        <f aca="false">IF(D567="","",H567+E567-K567-G567*I567)</f>
        <v>1.65618186328838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0.405565573562956</v>
      </c>
      <c r="N567" s="16" t="n">
        <f aca="false">IF(D567="","",(I567+M567)/2)</f>
        <v>0.221499795120332</v>
      </c>
      <c r="O567" s="16" t="n">
        <f aca="false">IF(D567="","",G567*N567)</f>
        <v>0.0195362819296133</v>
      </c>
      <c r="P567" s="16" t="n">
        <f aca="false">IF(D567="","",H567+E567-K567-O567)</f>
        <v>1.63994726162974</v>
      </c>
      <c r="Q567" s="16" t="n">
        <f aca="false">IF(D567="","",IF(P567&gt;=0,K567,MAX(0,K567+P567)))</f>
        <v>0.648</v>
      </c>
      <c r="R567" s="16" t="n">
        <f aca="false">IF(D567="","",Q567/$B$15)</f>
        <v>0.25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1.63994726162974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7.69928291844948</v>
      </c>
      <c r="Z567" s="18" t="n">
        <f aca="false">IF(D567="","",MAX(0,IF(P567&gt;=0,P567,IF(K567+P567&gt;=0,0,P567+K567))))</f>
        <v>1.63994726162974</v>
      </c>
      <c r="AA567" s="18" t="n">
        <f aca="false">IF(D567="","",IF(H567&lt;=$B$16,1,IF(H567&gt;=$B$17,$B$21,MATCH(H567,Aux_CAV!$A$2:$A$121,1))))</f>
        <v>2</v>
      </c>
      <c r="AB567" s="18" t="n">
        <f aca="false">IF(D567="","",IF(L567&lt;=$B$16,1,IF(L567&gt;=$B$17,$B$21,MATCH(L567,Aux_CAV!$A$2:$A$121,1))))</f>
        <v>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0.737538337636074</v>
      </c>
      <c r="E568" s="16" t="n">
        <f aca="false">IF(D568="","",D568*$B$15)</f>
        <v>1.9116993711527</v>
      </c>
      <c r="F568" s="16" t="n">
        <f aca="false" t="array" ref="F568:F568">IF(D568="","",IFERROR(INDEX(Dados_Evap!$C$2:$N$15,MATCH($B$9,Dados_Evap!$A$2:$A$15,0),C568),0))</f>
        <v>83.9</v>
      </c>
      <c r="G568" s="16" t="n">
        <f aca="false">IF(F568="","",F568/1000)</f>
        <v>0.0839</v>
      </c>
      <c r="H568" s="16" t="n">
        <f aca="false">IF(D568="","",MAX(0,MIN($B$8,IFERROR(LOOKUP(2,1/($U$24:U567&lt;&gt;""),$U$24:U567),$B$11))))</f>
        <v>1.63994726162974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0.403266868903326</v>
      </c>
      <c r="J568" s="16" t="n">
        <f aca="false">IF(D568="","",$B$12)</f>
        <v>0.25</v>
      </c>
      <c r="K568" s="16" t="n">
        <f aca="false">IF(J568="","",J568*$B$15)</f>
        <v>0.648</v>
      </c>
      <c r="L568" s="16" t="n">
        <f aca="false">IF(D568="","",H568+E568-K568-G568*I568)</f>
        <v>2.86981254248145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0.577407085661091</v>
      </c>
      <c r="N568" s="16" t="n">
        <f aca="false">IF(D568="","",(I568+M568)/2)</f>
        <v>0.490336977282208</v>
      </c>
      <c r="O568" s="16" t="n">
        <f aca="false">IF(D568="","",G568*N568)</f>
        <v>0.0411392723939773</v>
      </c>
      <c r="P568" s="16" t="n">
        <f aca="false">IF(D568="","",H568+E568-K568-O568)</f>
        <v>2.86250736038847</v>
      </c>
      <c r="Q568" s="16" t="n">
        <f aca="false">IF(D568="","",IF(P568&gt;=0,K568,MAX(0,K568+P568)))</f>
        <v>0.648</v>
      </c>
      <c r="R568" s="16" t="n">
        <f aca="false">IF(D568="","",Q568/$B$15)</f>
        <v>0.25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2.86250736038847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13.4390016919646</v>
      </c>
      <c r="Z568" s="18" t="n">
        <f aca="false">IF(D568="","",MAX(0,IF(P568&gt;=0,P568,IF(K568+P568&gt;=0,0,P568+K568))))</f>
        <v>2.86250736038847</v>
      </c>
      <c r="AA568" s="18" t="n">
        <f aca="false">IF(D568="","",IF(H568&lt;=$B$16,1,IF(H568&gt;=$B$17,$B$21,MATCH(H568,Aux_CAV!$A$2:$A$121,1))))</f>
        <v>3</v>
      </c>
      <c r="AB568" s="18" t="n">
        <f aca="false">IF(D568="","",IF(L568&lt;=$B$16,1,IF(L568&gt;=$B$17,$B$21,MATCH(L568,Aux_CAV!$A$2:$A$121,1))))</f>
        <v>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0.113329670571096</v>
      </c>
      <c r="E569" s="16" t="n">
        <f aca="false">IF(D569="","",D569*$B$15)</f>
        <v>0.293750506120281</v>
      </c>
      <c r="F569" s="16" t="n">
        <f aca="false" t="array" ref="F569:F569">IF(D569="","",IFERROR(INDEX(Dados_Evap!$C$2:$N$15,MATCH($B$9,Dados_Evap!$A$2:$A$15,0),C569),0))</f>
        <v>104.7</v>
      </c>
      <c r="G569" s="16" t="n">
        <f aca="false">IF(F569="","",F569/1000)</f>
        <v>0.1047</v>
      </c>
      <c r="H569" s="16" t="n">
        <f aca="false">IF(D569="","",MAX(0,MIN($B$8,IFERROR(LOOKUP(2,1/($U$24:U568&lt;&gt;""),$U$24:U568),$B$11))))</f>
        <v>2.86250736038847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0.576372723594827</v>
      </c>
      <c r="J569" s="16" t="n">
        <f aca="false">IF(D569="","",$B$12)</f>
        <v>0.25</v>
      </c>
      <c r="K569" s="16" t="n">
        <f aca="false">IF(J569="","",J569*$B$15)</f>
        <v>0.648</v>
      </c>
      <c r="L569" s="16" t="n">
        <f aca="false">IF(D569="","",H569+E569-K569-G569*I569)</f>
        <v>2.44791164234837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0.517668905111274</v>
      </c>
      <c r="N569" s="16" t="n">
        <f aca="false">IF(D569="","",(I569+M569)/2)</f>
        <v>0.54702081435305</v>
      </c>
      <c r="O569" s="16" t="n">
        <f aca="false">IF(D569="","",G569*N569)</f>
        <v>0.0572730792627644</v>
      </c>
      <c r="P569" s="16" t="n">
        <f aca="false">IF(D569="","",H569+E569-K569-O569)</f>
        <v>2.45098478724598</v>
      </c>
      <c r="Q569" s="16" t="n">
        <f aca="false">IF(D569="","",IF(P569&gt;=0,K569,MAX(0,K569+P569)))</f>
        <v>0.648</v>
      </c>
      <c r="R569" s="16" t="n">
        <f aca="false">IF(D569="","",Q569/$B$15)</f>
        <v>0.25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2.45098478724598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11.5069708321408</v>
      </c>
      <c r="Z569" s="18" t="n">
        <f aca="false">IF(D569="","",MAX(0,IF(P569&gt;=0,P569,IF(K569+P569&gt;=0,0,P569+K569))))</f>
        <v>2.45098478724598</v>
      </c>
      <c r="AA569" s="18" t="n">
        <f aca="false">IF(D569="","",IF(H569&lt;=$B$16,1,IF(H569&gt;=$B$17,$B$21,MATCH(H569,Aux_CAV!$A$2:$A$121,1))))</f>
        <v>3</v>
      </c>
      <c r="AB569" s="18" t="n">
        <f aca="false">IF(D569="","",IF(L569&lt;=$B$16,1,IF(L569&gt;=$B$17,$B$21,MATCH(L569,Aux_CAV!$A$2:$A$121,1))))</f>
        <v>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0.0820409724056519</v>
      </c>
      <c r="E570" s="16" t="n">
        <f aca="false">IF(D570="","",D570*$B$15)</f>
        <v>0.21265020047545</v>
      </c>
      <c r="F570" s="16" t="n">
        <f aca="false" t="array" ref="F570:F570">IF(D570="","",IFERROR(INDEX(Dados_Evap!$C$2:$N$15,MATCH($B$9,Dados_Evap!$A$2:$A$15,0),C570),0))</f>
        <v>145.2</v>
      </c>
      <c r="G570" s="16" t="n">
        <f aca="false">IF(F570="","",F570/1000)</f>
        <v>0.1452</v>
      </c>
      <c r="H570" s="16" t="n">
        <f aca="false">IF(D570="","",MAX(0,MIN($B$8,IFERROR(LOOKUP(2,1/($U$24:U569&lt;&gt;""),$U$24:U569),$B$11))))</f>
        <v>2.45098478724598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0.518104040671998</v>
      </c>
      <c r="J570" s="16" t="n">
        <f aca="false">IF(D570="","",$B$12)</f>
        <v>0.25</v>
      </c>
      <c r="K570" s="16" t="n">
        <f aca="false">IF(J570="","",J570*$B$15)</f>
        <v>0.648</v>
      </c>
      <c r="L570" s="16" t="n">
        <f aca="false">IF(D570="","",H570+E570-K570-G570*I570)</f>
        <v>1.94040628101586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0.4458097389049</v>
      </c>
      <c r="N570" s="16" t="n">
        <f aca="false">IF(D570="","",(I570+M570)/2)</f>
        <v>0.481956889788449</v>
      </c>
      <c r="O570" s="16" t="n">
        <f aca="false">IF(D570="","",G570*N570)</f>
        <v>0.0699801403972828</v>
      </c>
      <c r="P570" s="16" t="n">
        <f aca="false">IF(D570="","",H570+E570-K570-O570)</f>
        <v>1.94565484732415</v>
      </c>
      <c r="Q570" s="16" t="n">
        <f aca="false">IF(D570="","",IF(P570&gt;=0,K570,MAX(0,K570+P570)))</f>
        <v>0.648</v>
      </c>
      <c r="R570" s="16" t="n">
        <f aca="false">IF(D570="","",Q570/$B$15)</f>
        <v>0.25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1.94565484732415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9.13452979964389</v>
      </c>
      <c r="Z570" s="18" t="n">
        <f aca="false">IF(D570="","",MAX(0,IF(P570&gt;=0,P570,IF(K570+P570&gt;=0,0,P570+K570))))</f>
        <v>1.94565484732415</v>
      </c>
      <c r="AA570" s="18" t="n">
        <f aca="false">IF(D570="","",IF(H570&lt;=$B$16,1,IF(H570&gt;=$B$17,$B$21,MATCH(H570,Aux_CAV!$A$2:$A$121,1))))</f>
        <v>3</v>
      </c>
      <c r="AB570" s="18" t="n">
        <f aca="false">IF(D570="","",IF(L570&lt;=$B$16,1,IF(L570&gt;=$B$17,$B$21,MATCH(L570,Aux_CAV!$A$2:$A$121,1))))</f>
        <v>3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0.0588132659933187</v>
      </c>
      <c r="E571" s="16" t="n">
        <f aca="false">IF(D571="","",D571*$B$15)</f>
        <v>0.152443985454682</v>
      </c>
      <c r="F571" s="16" t="n">
        <f aca="false" t="array" ref="F571:F571">IF(D571="","",IFERROR(INDEX(Dados_Evap!$C$2:$N$15,MATCH($B$9,Dados_Evap!$A$2:$A$15,0),C571),0))</f>
        <v>180.9</v>
      </c>
      <c r="G571" s="16" t="n">
        <f aca="false">IF(F571="","",F571/1000)</f>
        <v>0.1809</v>
      </c>
      <c r="H571" s="16" t="n">
        <f aca="false">IF(D571="","",MAX(0,MIN($B$8,IFERROR(LOOKUP(2,1/($U$24:U570&lt;&gt;""),$U$24:U570),$B$11))))</f>
        <v>1.94565484732415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0.446552898736163</v>
      </c>
      <c r="J571" s="16" t="n">
        <f aca="false">IF(D571="","",$B$12)</f>
        <v>0.25</v>
      </c>
      <c r="K571" s="16" t="n">
        <f aca="false">IF(J571="","",J571*$B$15)</f>
        <v>0.648</v>
      </c>
      <c r="L571" s="16" t="n">
        <f aca="false">IF(D571="","",H571+E571-K571-G571*I571)</f>
        <v>1.36931741339746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0.364947598357162</v>
      </c>
      <c r="N571" s="16" t="n">
        <f aca="false">IF(D571="","",(I571+M571)/2)</f>
        <v>0.405750248546663</v>
      </c>
      <c r="O571" s="16" t="n">
        <f aca="false">IF(D571="","",G571*N571)</f>
        <v>0.0734002199620913</v>
      </c>
      <c r="P571" s="16" t="n">
        <f aca="false">IF(D571="","",H571+E571-K571-O571)</f>
        <v>1.37669861281674</v>
      </c>
      <c r="Q571" s="16" t="n">
        <f aca="false">IF(D571="","",IF(P571&gt;=0,K571,MAX(0,K571+P571)))</f>
        <v>0.648</v>
      </c>
      <c r="R571" s="16" t="n">
        <f aca="false">IF(D571="","",Q571/$B$15)</f>
        <v>0.25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1.37669861281674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6.46337376909268</v>
      </c>
      <c r="Z571" s="18" t="n">
        <f aca="false">IF(D571="","",MAX(0,IF(P571&gt;=0,P571,IF(K571+P571&gt;=0,0,P571+K571))))</f>
        <v>1.37669861281674</v>
      </c>
      <c r="AA571" s="18" t="n">
        <f aca="false">IF(D571="","",IF(H571&lt;=$B$16,1,IF(H571&gt;=$B$17,$B$21,MATCH(H571,Aux_CAV!$A$2:$A$121,1))))</f>
        <v>3</v>
      </c>
      <c r="AB571" s="18" t="n">
        <f aca="false">IF(D571="","",IF(L571&lt;=$B$16,1,IF(L571&gt;=$B$17,$B$21,MATCH(L571,Aux_CAV!$A$2:$A$121,1))))</f>
        <v>3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0.0356549834217831</v>
      </c>
      <c r="E572" s="16" t="n">
        <f aca="false">IF(D572="","",D572*$B$15)</f>
        <v>0.0924177170292618</v>
      </c>
      <c r="F572" s="16" t="n">
        <f aca="false" t="array" ref="F572:F572">IF(D572="","",IFERROR(INDEX(Dados_Evap!$C$2:$N$15,MATCH($B$9,Dados_Evap!$A$2:$A$15,0),C572),0))</f>
        <v>208.9</v>
      </c>
      <c r="G572" s="16" t="n">
        <f aca="false">IF(F572="","",F572/1000)</f>
        <v>0.2089</v>
      </c>
      <c r="H572" s="16" t="n">
        <f aca="false">IF(D572="","",MAX(0,MIN($B$8,IFERROR(LOOKUP(2,1/($U$24:U571&lt;&gt;""),$U$24:U571),$B$11))))</f>
        <v>1.37669861281674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0.365992723938653</v>
      </c>
      <c r="J572" s="16" t="n">
        <f aca="false">IF(D572="","",$B$12)</f>
        <v>0.25</v>
      </c>
      <c r="K572" s="16" t="n">
        <f aca="false">IF(J572="","",J572*$B$15)</f>
        <v>0.648</v>
      </c>
      <c r="L572" s="16" t="n">
        <f aca="false">IF(D572="","",H572+E572-K572-G572*I572)</f>
        <v>0.744660449815217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0.257415596772289</v>
      </c>
      <c r="N572" s="16" t="n">
        <f aca="false">IF(D572="","",(I572+M572)/2)</f>
        <v>0.311704160355471</v>
      </c>
      <c r="O572" s="16" t="n">
        <f aca="false">IF(D572="","",G572*N572)</f>
        <v>0.065114999098258</v>
      </c>
      <c r="P572" s="16" t="n">
        <f aca="false">IF(D572="","",H572+E572-K572-O572)</f>
        <v>0.756001330747744</v>
      </c>
      <c r="Q572" s="16" t="n">
        <f aca="false">IF(D572="","",IF(P572&gt;=0,K572,MAX(0,K572+P572)))</f>
        <v>0.648</v>
      </c>
      <c r="R572" s="16" t="n">
        <f aca="false">IF(D572="","",Q572/$B$15)</f>
        <v>0.25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0.756001330747744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3.54930202228988</v>
      </c>
      <c r="Z572" s="18" t="n">
        <f aca="false">IF(D572="","",MAX(0,IF(P572&gt;=0,P572,IF(K572+P572&gt;=0,0,P572+K572))))</f>
        <v>0.756001330747744</v>
      </c>
      <c r="AA572" s="18" t="n">
        <f aca="false">IF(D572="","",IF(H572&lt;=$B$16,1,IF(H572&gt;=$B$17,$B$21,MATCH(H572,Aux_CAV!$A$2:$A$121,1))))</f>
        <v>3</v>
      </c>
      <c r="AB572" s="18" t="n">
        <f aca="false">IF(D572="","",IF(L572&lt;=$B$16,1,IF(L572&gt;=$B$17,$B$21,MATCH(L572,Aux_CAV!$A$2:$A$121,1))))</f>
        <v>2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0.0260766437685508</v>
      </c>
      <c r="E573" s="16" t="n">
        <f aca="false">IF(D573="","",D573*$B$15)</f>
        <v>0.0675906606480837</v>
      </c>
      <c r="F573" s="16" t="n">
        <f aca="false" t="array" ref="F573:F573">IF(D573="","",IFERROR(INDEX(Dados_Evap!$C$2:$N$15,MATCH($B$9,Dados_Evap!$A$2:$A$15,0),C573),0))</f>
        <v>235.9</v>
      </c>
      <c r="G573" s="16" t="n">
        <f aca="false">IF(F573="","",F573/1000)</f>
        <v>0.2359</v>
      </c>
      <c r="H573" s="16" t="n">
        <f aca="false">IF(D573="","",MAX(0,MIN($B$8,IFERROR(LOOKUP(2,1/($U$24:U572&lt;&gt;""),$U$24:U572),$B$11))))</f>
        <v>0.756001330747744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0.261291594053026</v>
      </c>
      <c r="J573" s="16" t="n">
        <f aca="false">IF(D573="","",$B$12)</f>
        <v>0.25</v>
      </c>
      <c r="K573" s="16" t="n">
        <f aca="false">IF(J573="","",J573*$B$15)</f>
        <v>0.648</v>
      </c>
      <c r="L573" s="16" t="n">
        <f aca="false">IF(D573="","",H573+E573-K573-G573*I573)</f>
        <v>0.113953304358718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0.0418574584517139</v>
      </c>
      <c r="N573" s="16" t="n">
        <f aca="false">IF(D573="","",(I573+M573)/2)</f>
        <v>0.15157452625237</v>
      </c>
      <c r="O573" s="16" t="n">
        <f aca="false">IF(D573="","",G573*N573)</f>
        <v>0.0357564307429341</v>
      </c>
      <c r="P573" s="16" t="n">
        <f aca="false">IF(D573="","",H573+E573-K573-O573)</f>
        <v>0.139835560652893</v>
      </c>
      <c r="Q573" s="16" t="n">
        <f aca="false">IF(D573="","",IF(P573&gt;=0,K573,MAX(0,K573+P573)))</f>
        <v>0.648</v>
      </c>
      <c r="R573" s="16" t="n">
        <f aca="false">IF(D573="","",Q573/$B$15)</f>
        <v>0.25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0.139835560652893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0.656504979591048</v>
      </c>
      <c r="Z573" s="18" t="n">
        <f aca="false">IF(D573="","",MAX(0,IF(P573&gt;=0,P573,IF(K573+P573&gt;=0,0,P573+K573))))</f>
        <v>0.139835560652893</v>
      </c>
      <c r="AA573" s="18" t="n">
        <f aca="false">IF(D573="","",IF(H573&lt;=$B$16,1,IF(H573&gt;=$B$17,$B$21,MATCH(H573,Aux_CAV!$A$2:$A$121,1))))</f>
        <v>2</v>
      </c>
      <c r="AB573" s="18" t="n">
        <f aca="false">IF(D573="","",IF(L573&lt;=$B$16,1,IF(L573&gt;=$B$17,$B$21,MATCH(L573,Aux_CAV!$A$2:$A$121,1))))</f>
        <v>2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0.0139687421622789</v>
      </c>
      <c r="E574" s="16" t="n">
        <f aca="false">IF(D574="","",D574*$B$15)</f>
        <v>0.0362069796846269</v>
      </c>
      <c r="F574" s="16" t="n">
        <f aca="false" t="array" ref="F574:F574">IF(D574="","",IFERROR(INDEX(Dados_Evap!$C$2:$N$15,MATCH($B$9,Dados_Evap!$A$2:$A$15,0),C574),0))</f>
        <v>225.9</v>
      </c>
      <c r="G574" s="16" t="n">
        <f aca="false">IF(F574="","",F574/1000)</f>
        <v>0.2259</v>
      </c>
      <c r="H574" s="16" t="n">
        <f aca="false">IF(D574="","",MAX(0,MIN($B$8,IFERROR(LOOKUP(2,1/($U$24:U573&lt;&gt;""),$U$24:U573),$B$11))))</f>
        <v>0.139835560652893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0.0507032928813686</v>
      </c>
      <c r="J574" s="16" t="n">
        <f aca="false">IF(D574="","",$B$12)</f>
        <v>0.25</v>
      </c>
      <c r="K574" s="16" t="n">
        <f aca="false">IF(J574="","",J574*$B$15)</f>
        <v>0.648</v>
      </c>
      <c r="L574" s="16" t="n">
        <f aca="false">IF(D574="","",H574+E574-K574-G574*I574)</f>
        <v>-0.483411333524381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0.0253516464406843</v>
      </c>
      <c r="O574" s="16" t="n">
        <f aca="false">IF(D574="","",G574*N574)</f>
        <v>0.00572693693095058</v>
      </c>
      <c r="P574" s="16" t="n">
        <f aca="false">IF(D574="","",H574+E574-K574-O574)</f>
        <v>-0.47768439659343</v>
      </c>
      <c r="Q574" s="16" t="n">
        <f aca="false">IF(D574="","",IF(P574&gt;=0,K574,MAX(0,K574+P574)))</f>
        <v>0.17031560340657</v>
      </c>
      <c r="R574" s="16" t="n">
        <f aca="false">IF(D574="","",Q574/$B$15)</f>
        <v>0.0657081803266086</v>
      </c>
      <c r="S574" s="16" t="n">
        <f aca="false">IF(D574="","",MAX(0,J574-R574))</f>
        <v>0.184291819673391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2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0.0410868624178312</v>
      </c>
      <c r="E575" s="16" t="n">
        <f aca="false">IF(D575="","",D575*$B$15)</f>
        <v>0.106497147387018</v>
      </c>
      <c r="F575" s="16" t="n">
        <f aca="false" t="array" ref="F575:F575">IF(D575="","",IFERROR(INDEX(Dados_Evap!$C$2:$N$15,MATCH($B$9,Dados_Evap!$A$2:$A$15,0),C575),0))</f>
        <v>206</v>
      </c>
      <c r="G575" s="16" t="n">
        <f aca="false">IF(F575="","",F575/1000)</f>
        <v>0.206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0.25</v>
      </c>
      <c r="K575" s="16" t="n">
        <f aca="false">IF(J575="","",J575*$B$15)</f>
        <v>0.648</v>
      </c>
      <c r="L575" s="16" t="n">
        <f aca="false">IF(D575="","",H575+E575-K575-G575*I575)</f>
        <v>-0.541502852612982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-0.541502852612982</v>
      </c>
      <c r="Q575" s="16" t="n">
        <f aca="false">IF(D575="","",IF(P575&gt;=0,K575,MAX(0,K575+P575)))</f>
        <v>0.106497147387018</v>
      </c>
      <c r="R575" s="16" t="n">
        <f aca="false">IF(D575="","",Q575/$B$15)</f>
        <v>0.0410868624178312</v>
      </c>
      <c r="S575" s="16" t="n">
        <f aca="false">IF(D575="","",MAX(0,J575-R575))</f>
        <v>0.208913137582169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0.0250574343492362</v>
      </c>
      <c r="E576" s="16" t="n">
        <f aca="false">IF(D576="","",D576*$B$15)</f>
        <v>0.0649488698332202</v>
      </c>
      <c r="F576" s="16" t="n">
        <f aca="false" t="array" ref="F576:F576">IF(D576="","",IFERROR(INDEX(Dados_Evap!$C$2:$N$15,MATCH($B$9,Dados_Evap!$A$2:$A$15,0),C576),0))</f>
        <v>165.6</v>
      </c>
      <c r="G576" s="16" t="n">
        <f aca="false">IF(F576="","",F576/1000)</f>
        <v>0.1656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0.25</v>
      </c>
      <c r="K576" s="16" t="n">
        <f aca="false">IF(J576="","",J576*$B$15)</f>
        <v>0.648</v>
      </c>
      <c r="L576" s="16" t="n">
        <f aca="false">IF(D576="","",H576+E576-K576-G576*I576)</f>
        <v>-0.58305113016678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-0.58305113016678</v>
      </c>
      <c r="Q576" s="16" t="n">
        <f aca="false">IF(D576="","",IF(P576&gt;=0,K576,MAX(0,K576+P576)))</f>
        <v>0.0649488698332202</v>
      </c>
      <c r="R576" s="16" t="n">
        <f aca="false">IF(D576="","",Q576/$B$15)</f>
        <v>0.0250574343492362</v>
      </c>
      <c r="S576" s="16" t="n">
        <f aca="false">IF(D576="","",MAX(0,J576-R576))</f>
        <v>0.224942565650764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0.0916071384497764</v>
      </c>
      <c r="E577" s="16" t="n">
        <f aca="false">IF(D577="","",D577*$B$15)</f>
        <v>0.23744570286182</v>
      </c>
      <c r="F577" s="16" t="n">
        <f aca="false" t="array" ref="F577:F577">IF(D577="","",IFERROR(INDEX(Dados_Evap!$C$2:$N$15,MATCH($B$9,Dados_Evap!$A$2:$A$15,0),C577),0))</f>
        <v>124.9</v>
      </c>
      <c r="G577" s="16" t="n">
        <f aca="false">IF(F577="","",F577/1000)</f>
        <v>0.1249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0.25</v>
      </c>
      <c r="K577" s="16" t="n">
        <f aca="false">IF(J577="","",J577*$B$15)</f>
        <v>0.648</v>
      </c>
      <c r="L577" s="16" t="n">
        <f aca="false">IF(D577="","",H577+E577-K577-G577*I577)</f>
        <v>-0.41055429713818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-0.41055429713818</v>
      </c>
      <c r="Q577" s="16" t="n">
        <f aca="false">IF(D577="","",IF(P577&gt;=0,K577,MAX(0,K577+P577)))</f>
        <v>0.23744570286182</v>
      </c>
      <c r="R577" s="16" t="n">
        <f aca="false">IF(D577="","",Q577/$B$15)</f>
        <v>0.0916071384497764</v>
      </c>
      <c r="S577" s="16" t="n">
        <f aca="false">IF(D577="","",MAX(0,J577-R577))</f>
        <v>0.158392861550224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0.338864225705887</v>
      </c>
      <c r="E578" s="16" t="n">
        <f aca="false">IF(D578="","",D578*$B$15)</f>
        <v>0.878336073029659</v>
      </c>
      <c r="F578" s="16" t="n">
        <f aca="false" t="array" ref="F578:F578">IF(D578="","",IFERROR(INDEX(Dados_Evap!$C$2:$N$15,MATCH($B$9,Dados_Evap!$A$2:$A$15,0),C578),0))</f>
        <v>88.2</v>
      </c>
      <c r="G578" s="16" t="n">
        <f aca="false">IF(F578="","",F578/1000)</f>
        <v>0.0882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0.25</v>
      </c>
      <c r="K578" s="16" t="n">
        <f aca="false">IF(J578="","",J578*$B$15)</f>
        <v>0.648</v>
      </c>
      <c r="L578" s="16" t="n">
        <f aca="false">IF(D578="","",H578+E578-K578-G578*I578)</f>
        <v>0.230336073029659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0.0816338477443139</v>
      </c>
      <c r="N578" s="16" t="n">
        <f aca="false">IF(D578="","",(I578+M578)/2)</f>
        <v>0.0408169238721569</v>
      </c>
      <c r="O578" s="16" t="n">
        <f aca="false">IF(D578="","",G578*N578)</f>
        <v>0.00360005268552424</v>
      </c>
      <c r="P578" s="16" t="n">
        <f aca="false">IF(D578="","",H578+E578-K578-O578)</f>
        <v>0.226736020344135</v>
      </c>
      <c r="Q578" s="16" t="n">
        <f aca="false">IF(D578="","",IF(P578&gt;=0,K578,MAX(0,K578+P578)))</f>
        <v>0.648</v>
      </c>
      <c r="R578" s="16" t="n">
        <f aca="false">IF(D578="","",Q578/$B$15)</f>
        <v>0.25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0.226736020344135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1.06448835842317</v>
      </c>
      <c r="Z578" s="18" t="n">
        <f aca="false">IF(D578="","",MAX(0,IF(P578&gt;=0,P578,IF(K578+P578&gt;=0,0,P578+K578))))</f>
        <v>0.226736020344135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2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0.630842766429643</v>
      </c>
      <c r="E579" s="16" t="n">
        <f aca="false">IF(D579="","",D579*$B$15)</f>
        <v>1.63514445058563</v>
      </c>
      <c r="F579" s="16" t="n">
        <f aca="false" t="array" ref="F579:F579">IF(D579="","",IFERROR(INDEX(Dados_Evap!$C$2:$N$15,MATCH($B$9,Dados_Evap!$A$2:$A$15,0),C579),0))</f>
        <v>88.2</v>
      </c>
      <c r="G579" s="16" t="n">
        <f aca="false">IF(F579="","",F579/1000)</f>
        <v>0.0882</v>
      </c>
      <c r="H579" s="16" t="n">
        <f aca="false">IF(D579="","",MAX(0,MIN($B$8,IFERROR(LOOKUP(2,1/($U$24:U578&lt;&gt;""),$U$24:U578),$B$11))))</f>
        <v>0.226736020344135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0.0804034499910334</v>
      </c>
      <c r="J579" s="16" t="n">
        <f aca="false">IF(D579="","",$B$12)</f>
        <v>0.25</v>
      </c>
      <c r="K579" s="16" t="n">
        <f aca="false">IF(J579="","",J579*$B$15)</f>
        <v>0.648</v>
      </c>
      <c r="L579" s="16" t="n">
        <f aca="false">IF(D579="","",H579+E579-K579-G579*I579)</f>
        <v>1.20678888664056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0.341934709612823</v>
      </c>
      <c r="N579" s="16" t="n">
        <f aca="false">IF(D579="","",(I579+M579)/2)</f>
        <v>0.211169079801928</v>
      </c>
      <c r="O579" s="16" t="n">
        <f aca="false">IF(D579="","",G579*N579)</f>
        <v>0.0186251128385301</v>
      </c>
      <c r="P579" s="16" t="n">
        <f aca="false">IF(D579="","",H579+E579-K579-O579)</f>
        <v>1.19525535809124</v>
      </c>
      <c r="Q579" s="16" t="n">
        <f aca="false">IF(D579="","",IF(P579&gt;=0,K579,MAX(0,K579+P579)))</f>
        <v>0.648</v>
      </c>
      <c r="R579" s="16" t="n">
        <f aca="false">IF(D579="","",Q579/$B$15)</f>
        <v>0.25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1.19525535809124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5.61152750277577</v>
      </c>
      <c r="Z579" s="18" t="n">
        <f aca="false">IF(D579="","",MAX(0,IF(P579&gt;=0,P579,IF(K579+P579&gt;=0,0,P579+K579))))</f>
        <v>1.19525535809124</v>
      </c>
      <c r="AA579" s="18" t="n">
        <f aca="false">IF(D579="","",IF(H579&lt;=$B$16,1,IF(H579&gt;=$B$17,$B$21,MATCH(H579,Aux_CAV!$A$2:$A$121,1))))</f>
        <v>2</v>
      </c>
      <c r="AB579" s="18" t="n">
        <f aca="false">IF(D579="","",IF(L579&lt;=$B$16,1,IF(L579&gt;=$B$17,$B$21,MATCH(L579,Aux_CAV!$A$2:$A$121,1))))</f>
        <v>3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0.276106508552033</v>
      </c>
      <c r="E580" s="16" t="n">
        <f aca="false">IF(D580="","",D580*$B$15)</f>
        <v>0.71566807016687</v>
      </c>
      <c r="F580" s="16" t="n">
        <f aca="false" t="array" ref="F580:F580">IF(D580="","",IFERROR(INDEX(Dados_Evap!$C$2:$N$15,MATCH($B$9,Dados_Evap!$A$2:$A$15,0),C580),0))</f>
        <v>83.9</v>
      </c>
      <c r="G580" s="16" t="n">
        <f aca="false">IF(F580="","",F580/1000)</f>
        <v>0.0839</v>
      </c>
      <c r="H580" s="16" t="n">
        <f aca="false">IF(D580="","",MAX(0,MIN($B$8,IFERROR(LOOKUP(2,1/($U$24:U579&lt;&gt;""),$U$24:U579),$B$11))))</f>
        <v>1.19525535809124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0.340301643623538</v>
      </c>
      <c r="J580" s="16" t="n">
        <f aca="false">IF(D580="","",$B$12)</f>
        <v>0.25</v>
      </c>
      <c r="K580" s="16" t="n">
        <f aca="false">IF(J580="","",J580*$B$15)</f>
        <v>0.648</v>
      </c>
      <c r="L580" s="16" t="n">
        <f aca="false">IF(D580="","",H580+E580-K580-G580*I580)</f>
        <v>1.23437212035809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0.345840300227695</v>
      </c>
      <c r="N580" s="16" t="n">
        <f aca="false">IF(D580="","",(I580+M580)/2)</f>
        <v>0.343070971925617</v>
      </c>
      <c r="O580" s="16" t="n">
        <f aca="false">IF(D580="","",G580*N580)</f>
        <v>0.0287836545445592</v>
      </c>
      <c r="P580" s="16" t="n">
        <f aca="false">IF(D580="","",H580+E580-K580-O580)</f>
        <v>1.23413977371355</v>
      </c>
      <c r="Q580" s="16" t="n">
        <f aca="false">IF(D580="","",IF(P580&gt;=0,K580,MAX(0,K580+P580)))</f>
        <v>0.648</v>
      </c>
      <c r="R580" s="16" t="n">
        <f aca="false">IF(D580="","",Q580/$B$15)</f>
        <v>0.25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1.23413977371355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5.79408344466455</v>
      </c>
      <c r="Z580" s="18" t="n">
        <f aca="false">IF(D580="","",MAX(0,IF(P580&gt;=0,P580,IF(K580+P580&gt;=0,0,P580+K580))))</f>
        <v>1.23413977371355</v>
      </c>
      <c r="AA580" s="18" t="n">
        <f aca="false">IF(D580="","",IF(H580&lt;=$B$16,1,IF(H580&gt;=$B$17,$B$21,MATCH(H580,Aux_CAV!$A$2:$A$121,1))))</f>
        <v>3</v>
      </c>
      <c r="AB580" s="18" t="n">
        <f aca="false">IF(D580="","",IF(L580&lt;=$B$16,1,IF(L580&gt;=$B$17,$B$21,MATCH(L580,Aux_CAV!$A$2:$A$121,1))))</f>
        <v>3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0.108581383126288</v>
      </c>
      <c r="E581" s="16" t="n">
        <f aca="false">IF(D581="","",D581*$B$15)</f>
        <v>0.281442945063339</v>
      </c>
      <c r="F581" s="16" t="n">
        <f aca="false" t="array" ref="F581:F581">IF(D581="","",IFERROR(INDEX(Dados_Evap!$C$2:$N$15,MATCH($B$9,Dados_Evap!$A$2:$A$15,0),C581),0))</f>
        <v>104.7</v>
      </c>
      <c r="G581" s="16" t="n">
        <f aca="false">IF(F581="","",F581/1000)</f>
        <v>0.1047</v>
      </c>
      <c r="H581" s="16" t="n">
        <f aca="false">IF(D581="","",MAX(0,MIN($B$8,IFERROR(LOOKUP(2,1/($U$24:U580&lt;&gt;""),$U$24:U580),$B$11))))</f>
        <v>1.23413977371355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0.345807401587759</v>
      </c>
      <c r="J581" s="16" t="n">
        <f aca="false">IF(D581="","",$B$12)</f>
        <v>0.25</v>
      </c>
      <c r="K581" s="16" t="n">
        <f aca="false">IF(J581="","",J581*$B$15)</f>
        <v>0.648</v>
      </c>
      <c r="L581" s="16" t="n">
        <f aca="false">IF(D581="","",H581+E581-K581-G581*I581)</f>
        <v>0.83137668383065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0.287052790676298</v>
      </c>
      <c r="N581" s="16" t="n">
        <f aca="false">IF(D581="","",(I581+M581)/2)</f>
        <v>0.316430096132029</v>
      </c>
      <c r="O581" s="16" t="n">
        <f aca="false">IF(D581="","",G581*N581)</f>
        <v>0.0331302310650234</v>
      </c>
      <c r="P581" s="16" t="n">
        <f aca="false">IF(D581="","",H581+E581-K581-O581)</f>
        <v>0.834452487711865</v>
      </c>
      <c r="Q581" s="16" t="n">
        <f aca="false">IF(D581="","",IF(P581&gt;=0,K581,MAX(0,K581+P581)))</f>
        <v>0.648</v>
      </c>
      <c r="R581" s="16" t="n">
        <f aca="false">IF(D581="","",Q581/$B$15)</f>
        <v>0.25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0.834452487711865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3.91761731320124</v>
      </c>
      <c r="Z581" s="18" t="n">
        <f aca="false">IF(D581="","",MAX(0,IF(P581&gt;=0,P581,IF(K581+P581&gt;=0,0,P581+K581))))</f>
        <v>0.834452487711865</v>
      </c>
      <c r="AA581" s="18" t="n">
        <f aca="false">IF(D581="","",IF(H581&lt;=$B$16,1,IF(H581&gt;=$B$17,$B$21,MATCH(H581,Aux_CAV!$A$2:$A$121,1))))</f>
        <v>3</v>
      </c>
      <c r="AB581" s="18" t="n">
        <f aca="false">IF(D581="","",IF(L581&lt;=$B$16,1,IF(L581&gt;=$B$17,$B$21,MATCH(L581,Aux_CAV!$A$2:$A$121,1))))</f>
        <v>2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0.0573881725346372</v>
      </c>
      <c r="E582" s="16" t="n">
        <f aca="false">IF(D582="","",D582*$B$15)</f>
        <v>0.14875014320978</v>
      </c>
      <c r="F582" s="16" t="n">
        <f aca="false" t="array" ref="F582:F582">IF(D582="","",IFERROR(INDEX(Dados_Evap!$C$2:$N$15,MATCH($B$9,Dados_Evap!$A$2:$A$15,0),C582),0))</f>
        <v>145.2</v>
      </c>
      <c r="G582" s="16" t="n">
        <f aca="false">IF(F582="","",F582/1000)</f>
        <v>0.1452</v>
      </c>
      <c r="H582" s="16" t="n">
        <f aca="false">IF(D582="","",MAX(0,MIN($B$8,IFERROR(LOOKUP(2,1/($U$24:U581&lt;&gt;""),$U$24:U581),$B$11))))</f>
        <v>0.834452487711865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0.288104014787599</v>
      </c>
      <c r="J582" s="16" t="n">
        <f aca="false">IF(D582="","",$B$12)</f>
        <v>0.25</v>
      </c>
      <c r="K582" s="16" t="n">
        <f aca="false">IF(J582="","",J582*$B$15)</f>
        <v>0.648</v>
      </c>
      <c r="L582" s="16" t="n">
        <f aca="false">IF(D582="","",H582+E582-K582-G582*I582)</f>
        <v>0.293369927974485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0.10317706399128</v>
      </c>
      <c r="N582" s="16" t="n">
        <f aca="false">IF(D582="","",(I582+M582)/2)</f>
        <v>0.19564053938944</v>
      </c>
      <c r="O582" s="16" t="n">
        <f aca="false">IF(D582="","",G582*N582)</f>
        <v>0.0284070063193466</v>
      </c>
      <c r="P582" s="16" t="n">
        <f aca="false">IF(D582="","",H582+E582-K582-O582)</f>
        <v>0.306795624602298</v>
      </c>
      <c r="Q582" s="16" t="n">
        <f aca="false">IF(D582="","",IF(P582&gt;=0,K582,MAX(0,K582+P582)))</f>
        <v>0.648</v>
      </c>
      <c r="R582" s="16" t="n">
        <f aca="false">IF(D582="","",Q582/$B$15)</f>
        <v>0.25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0.306795624602298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1.44035504508121</v>
      </c>
      <c r="Z582" s="18" t="n">
        <f aca="false">IF(D582="","",MAX(0,IF(P582&gt;=0,P582,IF(K582+P582&gt;=0,0,P582+K582))))</f>
        <v>0.306795624602298</v>
      </c>
      <c r="AA582" s="18" t="n">
        <f aca="false">IF(D582="","",IF(H582&lt;=$B$16,1,IF(H582&gt;=$B$17,$B$21,MATCH(H582,Aux_CAV!$A$2:$A$121,1))))</f>
        <v>2</v>
      </c>
      <c r="AB582" s="18" t="n">
        <f aca="false">IF(D582="","",IF(L582&lt;=$B$16,1,IF(L582&gt;=$B$17,$B$21,MATCH(L582,Aux_CAV!$A$2:$A$121,1))))</f>
        <v>2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0.039702210333873</v>
      </c>
      <c r="E583" s="16" t="n">
        <f aca="false">IF(D583="","",D583*$B$15)</f>
        <v>0.102908129185399</v>
      </c>
      <c r="F583" s="16" t="n">
        <f aca="false" t="array" ref="F583:F583">IF(D583="","",IFERROR(INDEX(Dados_Evap!$C$2:$N$15,MATCH($B$9,Dados_Evap!$A$2:$A$15,0),C583),0))</f>
        <v>180.9</v>
      </c>
      <c r="G583" s="16" t="n">
        <f aca="false">IF(F583="","",F583/1000)</f>
        <v>0.1809</v>
      </c>
      <c r="H583" s="16" t="n">
        <f aca="false">IF(D583="","",MAX(0,MIN($B$8,IFERROR(LOOKUP(2,1/($U$24:U582&lt;&gt;""),$U$24:U582),$B$11))))</f>
        <v>0.306795624602298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0.107765593218507</v>
      </c>
      <c r="J583" s="16" t="n">
        <f aca="false">IF(D583="","",$B$12)</f>
        <v>0.25</v>
      </c>
      <c r="K583" s="16" t="n">
        <f aca="false">IF(J583="","",J583*$B$15)</f>
        <v>0.648</v>
      </c>
      <c r="L583" s="16" t="n">
        <f aca="false">IF(D583="","",H583+E583-K583-G583*I583)</f>
        <v>-0.257791042025531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0.0538827966092535</v>
      </c>
      <c r="O583" s="16" t="n">
        <f aca="false">IF(D583="","",G583*N583)</f>
        <v>0.00974739790661395</v>
      </c>
      <c r="P583" s="16" t="n">
        <f aca="false">IF(D583="","",H583+E583-K583-O583)</f>
        <v>-0.248043644118917</v>
      </c>
      <c r="Q583" s="16" t="n">
        <f aca="false">IF(D583="","",IF(P583&gt;=0,K583,MAX(0,K583+P583)))</f>
        <v>0.399956355881083</v>
      </c>
      <c r="R583" s="16" t="n">
        <f aca="false">IF(D583="","",Q583/$B$15)</f>
        <v>0.15430414964548</v>
      </c>
      <c r="S583" s="16" t="n">
        <f aca="false">IF(D583="","",MAX(0,J583-R583))</f>
        <v>0.0956958503545205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2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0.0192505235697519</v>
      </c>
      <c r="E584" s="16" t="n">
        <f aca="false">IF(D584="","",D584*$B$15)</f>
        <v>0.0498973570927969</v>
      </c>
      <c r="F584" s="16" t="n">
        <f aca="false" t="array" ref="F584:F584">IF(D584="","",IFERROR(INDEX(Dados_Evap!$C$2:$N$15,MATCH($B$9,Dados_Evap!$A$2:$A$15,0),C584),0))</f>
        <v>208.9</v>
      </c>
      <c r="G584" s="16" t="n">
        <f aca="false">IF(F584="","",F584/1000)</f>
        <v>0.2089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0.25</v>
      </c>
      <c r="K584" s="16" t="n">
        <f aca="false">IF(J584="","",J584*$B$15)</f>
        <v>0.648</v>
      </c>
      <c r="L584" s="16" t="n">
        <f aca="false">IF(D584="","",H584+E584-K584-G584*I584)</f>
        <v>-0.598102642907203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-0.598102642907203</v>
      </c>
      <c r="Q584" s="16" t="n">
        <f aca="false">IF(D584="","",IF(P584&gt;=0,K584,MAX(0,K584+P584)))</f>
        <v>0.049897357092797</v>
      </c>
      <c r="R584" s="16" t="n">
        <f aca="false">IF(D584="","",Q584/$B$15)</f>
        <v>0.0192505235697519</v>
      </c>
      <c r="S584" s="16" t="n">
        <f aca="false">IF(D584="","",MAX(0,J584-R584))</f>
        <v>0.230749476430248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0.0159853673141132</v>
      </c>
      <c r="E585" s="16" t="n">
        <f aca="false">IF(D585="","",D585*$B$15)</f>
        <v>0.0414340720781814</v>
      </c>
      <c r="F585" s="16" t="n">
        <f aca="false" t="array" ref="F585:F585">IF(D585="","",IFERROR(INDEX(Dados_Evap!$C$2:$N$15,MATCH($B$9,Dados_Evap!$A$2:$A$15,0),C585),0))</f>
        <v>235.9</v>
      </c>
      <c r="G585" s="16" t="n">
        <f aca="false">IF(F585="","",F585/1000)</f>
        <v>0.2359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0.25</v>
      </c>
      <c r="K585" s="16" t="n">
        <f aca="false">IF(J585="","",J585*$B$15)</f>
        <v>0.648</v>
      </c>
      <c r="L585" s="16" t="n">
        <f aca="false">IF(D585="","",H585+E585-K585-G585*I585)</f>
        <v>-0.606565927921819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-0.606565927921819</v>
      </c>
      <c r="Q585" s="16" t="n">
        <f aca="false">IF(D585="","",IF(P585&gt;=0,K585,MAX(0,K585+P585)))</f>
        <v>0.0414340720781814</v>
      </c>
      <c r="R585" s="16" t="n">
        <f aca="false">IF(D585="","",Q585/$B$15)</f>
        <v>0.0159853673141132</v>
      </c>
      <c r="S585" s="16" t="n">
        <f aca="false">IF(D585="","",MAX(0,J585-R585))</f>
        <v>0.234014632685887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0.00667509220987159</v>
      </c>
      <c r="E586" s="16" t="n">
        <f aca="false">IF(D586="","",D586*$B$15)</f>
        <v>0.0173018390079872</v>
      </c>
      <c r="F586" s="16" t="n">
        <f aca="false" t="array" ref="F586:F586">IF(D586="","",IFERROR(INDEX(Dados_Evap!$C$2:$N$15,MATCH($B$9,Dados_Evap!$A$2:$A$15,0),C586),0))</f>
        <v>225.9</v>
      </c>
      <c r="G586" s="16" t="n">
        <f aca="false">IF(F586="","",F586/1000)</f>
        <v>0.2259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0.25</v>
      </c>
      <c r="K586" s="16" t="n">
        <f aca="false">IF(J586="","",J586*$B$15)</f>
        <v>0.648</v>
      </c>
      <c r="L586" s="16" t="n">
        <f aca="false">IF(D586="","",H586+E586-K586-G586*I586)</f>
        <v>-0.630698160992013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-0.630698160992013</v>
      </c>
      <c r="Q586" s="16" t="n">
        <f aca="false">IF(D586="","",IF(P586&gt;=0,K586,MAX(0,K586+P586)))</f>
        <v>0.0173018390079872</v>
      </c>
      <c r="R586" s="16" t="n">
        <f aca="false">IF(D586="","",Q586/$B$15)</f>
        <v>0.00667509220987161</v>
      </c>
      <c r="S586" s="16" t="n">
        <f aca="false">IF(D586="","",MAX(0,J586-R586))</f>
        <v>0.243324907790128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0.00587070704929583</v>
      </c>
      <c r="E587" s="16" t="n">
        <f aca="false">IF(D587="","",D587*$B$15)</f>
        <v>0.0152168726717748</v>
      </c>
      <c r="F587" s="16" t="n">
        <f aca="false" t="array" ref="F587:F587">IF(D587="","",IFERROR(INDEX(Dados_Evap!$C$2:$N$15,MATCH($B$9,Dados_Evap!$A$2:$A$15,0),C587),0))</f>
        <v>206</v>
      </c>
      <c r="G587" s="16" t="n">
        <f aca="false">IF(F587="","",F587/1000)</f>
        <v>0.206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0.25</v>
      </c>
      <c r="K587" s="16" t="n">
        <f aca="false">IF(J587="","",J587*$B$15)</f>
        <v>0.648</v>
      </c>
      <c r="L587" s="16" t="n">
        <f aca="false">IF(D587="","",H587+E587-K587-G587*I587)</f>
        <v>-0.632783127328225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-0.632783127328225</v>
      </c>
      <c r="Q587" s="16" t="n">
        <f aca="false">IF(D587="","",IF(P587&gt;=0,K587,MAX(0,K587+P587)))</f>
        <v>0.0152168726717747</v>
      </c>
      <c r="R587" s="16" t="n">
        <f aca="false">IF(D587="","",Q587/$B$15)</f>
        <v>0.00587070704929581</v>
      </c>
      <c r="S587" s="16" t="n">
        <f aca="false">IF(D587="","",MAX(0,J587-R587))</f>
        <v>0.244129292950704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0.0368314249485555</v>
      </c>
      <c r="E588" s="16" t="n">
        <f aca="false">IF(D588="","",D588*$B$15)</f>
        <v>0.0954670534666559</v>
      </c>
      <c r="F588" s="16" t="n">
        <f aca="false" t="array" ref="F588:F588">IF(D588="","",IFERROR(INDEX(Dados_Evap!$C$2:$N$15,MATCH($B$9,Dados_Evap!$A$2:$A$15,0),C588),0))</f>
        <v>165.6</v>
      </c>
      <c r="G588" s="16" t="n">
        <f aca="false">IF(F588="","",F588/1000)</f>
        <v>0.1656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0.25</v>
      </c>
      <c r="K588" s="16" t="n">
        <f aca="false">IF(J588="","",J588*$B$15)</f>
        <v>0.648</v>
      </c>
      <c r="L588" s="16" t="n">
        <f aca="false">IF(D588="","",H588+E588-K588-G588*I588)</f>
        <v>-0.552532946533344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-0.552532946533344</v>
      </c>
      <c r="Q588" s="16" t="n">
        <f aca="false">IF(D588="","",IF(P588&gt;=0,K588,MAX(0,K588+P588)))</f>
        <v>0.0954670534666559</v>
      </c>
      <c r="R588" s="16" t="n">
        <f aca="false">IF(D588="","",Q588/$B$15)</f>
        <v>0.0368314249485555</v>
      </c>
      <c r="S588" s="16" t="n">
        <f aca="false">IF(D588="","",MAX(0,J588-R588))</f>
        <v>0.213168575051445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0.0316990920809723</v>
      </c>
      <c r="E589" s="16" t="n">
        <f aca="false">IF(D589="","",D589*$B$15)</f>
        <v>0.0821640466738802</v>
      </c>
      <c r="F589" s="16" t="n">
        <f aca="false" t="array" ref="F589:F589">IF(D589="","",IFERROR(INDEX(Dados_Evap!$C$2:$N$15,MATCH($B$9,Dados_Evap!$A$2:$A$15,0),C589),0))</f>
        <v>124.9</v>
      </c>
      <c r="G589" s="16" t="n">
        <f aca="false">IF(F589="","",F589/1000)</f>
        <v>0.1249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0.25</v>
      </c>
      <c r="K589" s="16" t="n">
        <f aca="false">IF(J589="","",J589*$B$15)</f>
        <v>0.648</v>
      </c>
      <c r="L589" s="16" t="n">
        <f aca="false">IF(D589="","",H589+E589-K589-G589*I589)</f>
        <v>-0.56583595332612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-0.56583595332612</v>
      </c>
      <c r="Q589" s="16" t="n">
        <f aca="false">IF(D589="","",IF(P589&gt;=0,K589,MAX(0,K589+P589)))</f>
        <v>0.0821640466738802</v>
      </c>
      <c r="R589" s="16" t="n">
        <f aca="false">IF(D589="","",Q589/$B$15)</f>
        <v>0.0316990920809723</v>
      </c>
      <c r="S589" s="16" t="n">
        <f aca="false">IF(D589="","",MAX(0,J589-R589))</f>
        <v>0.218300907919028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0.729782784248086</v>
      </c>
      <c r="E590" s="16" t="n">
        <f aca="false">IF(D590="","",D590*$B$15)</f>
        <v>1.89159697677104</v>
      </c>
      <c r="F590" s="16" t="n">
        <f aca="false" t="array" ref="F590:F590">IF(D590="","",IFERROR(INDEX(Dados_Evap!$C$2:$N$15,MATCH($B$9,Dados_Evap!$A$2:$A$15,0),C590),0))</f>
        <v>88.2</v>
      </c>
      <c r="G590" s="16" t="n">
        <f aca="false">IF(F590="","",F590/1000)</f>
        <v>0.0882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0.25</v>
      </c>
      <c r="K590" s="16" t="n">
        <f aca="false">IF(J590="","",J590*$B$15)</f>
        <v>0.648</v>
      </c>
      <c r="L590" s="16" t="n">
        <f aca="false">IF(D590="","",H590+E590-K590-G590*I590)</f>
        <v>1.24359697677104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0.34714647458705</v>
      </c>
      <c r="N590" s="16" t="n">
        <f aca="false">IF(D590="","",(I590+M590)/2)</f>
        <v>0.173573237293525</v>
      </c>
      <c r="O590" s="16" t="n">
        <f aca="false">IF(D590="","",G590*N590)</f>
        <v>0.0153091595292889</v>
      </c>
      <c r="P590" s="16" t="n">
        <f aca="false">IF(D590="","",H590+E590-K590-O590)</f>
        <v>1.22828781724175</v>
      </c>
      <c r="Q590" s="16" t="n">
        <f aca="false">IF(D590="","",IF(P590&gt;=0,K590,MAX(0,K590+P590)))</f>
        <v>0.648</v>
      </c>
      <c r="R590" s="16" t="n">
        <f aca="false">IF(D590="","",Q590/$B$15)</f>
        <v>0.25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1.22828781724175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5.76660947061854</v>
      </c>
      <c r="Z590" s="18" t="n">
        <f aca="false">IF(D590="","",MAX(0,IF(P590&gt;=0,P590,IF(K590+P590&gt;=0,0,P590+K590))))</f>
        <v>1.22828781724175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3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1.28373483433778</v>
      </c>
      <c r="E591" s="16" t="n">
        <f aca="false">IF(D591="","",D591*$B$15)</f>
        <v>3.32744069060353</v>
      </c>
      <c r="F591" s="16" t="n">
        <f aca="false" t="array" ref="F591:F591">IF(D591="","",IFERROR(INDEX(Dados_Evap!$C$2:$N$15,MATCH($B$9,Dados_Evap!$A$2:$A$15,0),C591),0))</f>
        <v>88.2</v>
      </c>
      <c r="G591" s="16" t="n">
        <f aca="false">IF(F591="","",F591/1000)</f>
        <v>0.0882</v>
      </c>
      <c r="H591" s="16" t="n">
        <f aca="false">IF(D591="","",MAX(0,MIN($B$8,IFERROR(LOOKUP(2,1/($U$24:U590&lt;&gt;""),$U$24:U590),$B$11))))</f>
        <v>1.22828781724175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0.344978805981133</v>
      </c>
      <c r="J591" s="16" t="n">
        <f aca="false">IF(D591="","",$B$12)</f>
        <v>0.25</v>
      </c>
      <c r="K591" s="16" t="n">
        <f aca="false">IF(J591="","",J591*$B$15)</f>
        <v>0.648</v>
      </c>
      <c r="L591" s="16" t="n">
        <f aca="false">IF(D591="","",H591+E591-K591-G591*I591)</f>
        <v>3.87730137715774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0.655342580334202</v>
      </c>
      <c r="N591" s="16" t="n">
        <f aca="false">IF(D591="","",(I591+M591)/2)</f>
        <v>0.500160693157667</v>
      </c>
      <c r="O591" s="16" t="n">
        <f aca="false">IF(D591="","",G591*N591)</f>
        <v>0.0441141731365062</v>
      </c>
      <c r="P591" s="16" t="n">
        <f aca="false">IF(D591="","",H591+E591-K591-O591)</f>
        <v>3.86361433470877</v>
      </c>
      <c r="Q591" s="16" t="n">
        <f aca="false">IF(D591="","",IF(P591&gt;=0,K591,MAX(0,K591+P591)))</f>
        <v>0.648</v>
      </c>
      <c r="R591" s="16" t="n">
        <f aca="false">IF(D591="","",Q591/$B$15)</f>
        <v>0.25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3.86361433470877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18.1390344352524</v>
      </c>
      <c r="Z591" s="18" t="n">
        <f aca="false">IF(D591="","",MAX(0,IF(P591&gt;=0,P591,IF(K591+P591&gt;=0,0,P591+K591))))</f>
        <v>3.86361433470877</v>
      </c>
      <c r="AA591" s="18" t="n">
        <f aca="false">IF(D591="","",IF(H591&lt;=$B$16,1,IF(H591&gt;=$B$17,$B$21,MATCH(H591,Aux_CAV!$A$2:$A$121,1))))</f>
        <v>3</v>
      </c>
      <c r="AB591" s="18" t="n">
        <f aca="false">IF(D591="","",IF(L591&lt;=$B$16,1,IF(L591&gt;=$B$17,$B$21,MATCH(L591,Aux_CAV!$A$2:$A$121,1))))</f>
        <v>4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0.722334457054535</v>
      </c>
      <c r="E592" s="16" t="n">
        <f aca="false">IF(D592="","",D592*$B$15)</f>
        <v>1.87229091268535</v>
      </c>
      <c r="F592" s="16" t="n">
        <f aca="false" t="array" ref="F592:F592">IF(D592="","",IFERROR(INDEX(Dados_Evap!$C$2:$N$15,MATCH($B$9,Dados_Evap!$A$2:$A$15,0),C592),0))</f>
        <v>83.9</v>
      </c>
      <c r="G592" s="16" t="n">
        <f aca="false">IF(F592="","",F592/1000)</f>
        <v>0.0839</v>
      </c>
      <c r="H592" s="16" t="n">
        <f aca="false">IF(D592="","",MAX(0,MIN($B$8,IFERROR(LOOKUP(2,1/($U$24:U591&lt;&gt;""),$U$24:U591),$B$11))))</f>
        <v>3.86361433470877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0.654544169524678</v>
      </c>
      <c r="J592" s="16" t="n">
        <f aca="false">IF(D592="","",$B$12)</f>
        <v>0.25</v>
      </c>
      <c r="K592" s="16" t="n">
        <f aca="false">IF(J592="","",J592*$B$15)</f>
        <v>0.648</v>
      </c>
      <c r="L592" s="16" t="n">
        <f aca="false">IF(D592="","",H592+E592-K592-G592*I592)</f>
        <v>5.032988991571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0.722757691174975</v>
      </c>
      <c r="N592" s="16" t="n">
        <f aca="false">IF(D592="","",(I592+M592)/2)</f>
        <v>0.688650930349827</v>
      </c>
      <c r="O592" s="16" t="n">
        <f aca="false">IF(D592="","",G592*N592)</f>
        <v>0.0577778130563505</v>
      </c>
      <c r="P592" s="16" t="n">
        <f aca="false">IF(D592="","",H592+E592-K592-O592)</f>
        <v>5.03012743433777</v>
      </c>
      <c r="Q592" s="16" t="n">
        <f aca="false">IF(D592="","",IF(P592&gt;=0,K592,MAX(0,K592+P592)))</f>
        <v>0.648</v>
      </c>
      <c r="R592" s="16" t="n">
        <f aca="false">IF(D592="","",Q592/$B$15)</f>
        <v>0.25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5.03012743433777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23.6156217574543</v>
      </c>
      <c r="Z592" s="18" t="n">
        <f aca="false">IF(D592="","",MAX(0,IF(P592&gt;=0,P592,IF(K592+P592&gt;=0,0,P592+K592))))</f>
        <v>5.03012743433777</v>
      </c>
      <c r="AA592" s="18" t="n">
        <f aca="false">IF(D592="","",IF(H592&lt;=$B$16,1,IF(H592&gt;=$B$17,$B$21,MATCH(H592,Aux_CAV!$A$2:$A$121,1))))</f>
        <v>4</v>
      </c>
      <c r="AB592" s="18" t="n">
        <f aca="false">IF(D592="","",IF(L592&lt;=$B$16,1,IF(L592&gt;=$B$17,$B$21,MATCH(L592,Aux_CAV!$A$2:$A$121,1))))</f>
        <v>4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0.180562352753983</v>
      </c>
      <c r="E593" s="16" t="n">
        <f aca="false">IF(D593="","",D593*$B$15)</f>
        <v>0.468017618338324</v>
      </c>
      <c r="F593" s="16" t="n">
        <f aca="false" t="array" ref="F593:F593">IF(D593="","",IFERROR(INDEX(Dados_Evap!$C$2:$N$15,MATCH($B$9,Dados_Evap!$A$2:$A$15,0),C593),0))</f>
        <v>104.7</v>
      </c>
      <c r="G593" s="16" t="n">
        <f aca="false">IF(F593="","",F593/1000)</f>
        <v>0.1047</v>
      </c>
      <c r="H593" s="16" t="n">
        <f aca="false">IF(D593="","",MAX(0,MIN($B$8,IFERROR(LOOKUP(2,1/($U$24:U592&lt;&gt;""),$U$24:U592),$B$11))))</f>
        <v>5.03012743433777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0.722590767003037</v>
      </c>
      <c r="J593" s="16" t="n">
        <f aca="false">IF(D593="","",$B$12)</f>
        <v>0.25</v>
      </c>
      <c r="K593" s="16" t="n">
        <f aca="false">IF(J593="","",J593*$B$15)</f>
        <v>0.648</v>
      </c>
      <c r="L593" s="16" t="n">
        <f aca="false">IF(D593="","",H593+E593-K593-G593*I593)</f>
        <v>4.77448979937088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0.707678571629968</v>
      </c>
      <c r="N593" s="16" t="n">
        <f aca="false">IF(D593="","",(I593+M593)/2)</f>
        <v>0.715134669316502</v>
      </c>
      <c r="O593" s="16" t="n">
        <f aca="false">IF(D593="","",G593*N593)</f>
        <v>0.0748745998774378</v>
      </c>
      <c r="P593" s="16" t="n">
        <f aca="false">IF(D593="","",H593+E593-K593-O593)</f>
        <v>4.77527045279866</v>
      </c>
      <c r="Q593" s="16" t="n">
        <f aca="false">IF(D593="","",IF(P593&gt;=0,K593,MAX(0,K593+P593)))</f>
        <v>0.648</v>
      </c>
      <c r="R593" s="16" t="n">
        <f aca="false">IF(D593="","",Q593/$B$15)</f>
        <v>0.25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4.77527045279866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22.419110107036</v>
      </c>
      <c r="Z593" s="18" t="n">
        <f aca="false">IF(D593="","",MAX(0,IF(P593&gt;=0,P593,IF(K593+P593&gt;=0,0,P593+K593))))</f>
        <v>4.77527045279866</v>
      </c>
      <c r="AA593" s="18" t="n">
        <f aca="false">IF(D593="","",IF(H593&lt;=$B$16,1,IF(H593&gt;=$B$17,$B$21,MATCH(H593,Aux_CAV!$A$2:$A$121,1))))</f>
        <v>4</v>
      </c>
      <c r="AB593" s="18" t="n">
        <f aca="false">IF(D593="","",IF(L593&lt;=$B$16,1,IF(L593&gt;=$B$17,$B$21,MATCH(L593,Aux_CAV!$A$2:$A$121,1))))</f>
        <v>4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0.103944862928536</v>
      </c>
      <c r="E594" s="16" t="n">
        <f aca="false">IF(D594="","",D594*$B$15)</f>
        <v>0.269425084710765</v>
      </c>
      <c r="F594" s="16" t="n">
        <f aca="false" t="array" ref="F594:F594">IF(D594="","",IFERROR(INDEX(Dados_Evap!$C$2:$N$15,MATCH($B$9,Dados_Evap!$A$2:$A$15,0),C594),0))</f>
        <v>145.2</v>
      </c>
      <c r="G594" s="16" t="n">
        <f aca="false">IF(F594="","",F594/1000)</f>
        <v>0.1452</v>
      </c>
      <c r="H594" s="16" t="n">
        <f aca="false">IF(D594="","",MAX(0,MIN($B$8,IFERROR(LOOKUP(2,1/($U$24:U593&lt;&gt;""),$U$24:U593),$B$11))))</f>
        <v>4.77527045279866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0.707724109746589</v>
      </c>
      <c r="J594" s="16" t="n">
        <f aca="false">IF(D594="","",$B$12)</f>
        <v>0.25</v>
      </c>
      <c r="K594" s="16" t="n">
        <f aca="false">IF(J594="","",J594*$B$15)</f>
        <v>0.648</v>
      </c>
      <c r="L594" s="16" t="n">
        <f aca="false">IF(D594="","",H594+E594-K594-G594*I594)</f>
        <v>4.29393399677422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0.67964614981183</v>
      </c>
      <c r="N594" s="16" t="n">
        <f aca="false">IF(D594="","",(I594+M594)/2)</f>
        <v>0.693685129779209</v>
      </c>
      <c r="O594" s="16" t="n">
        <f aca="false">IF(D594="","",G594*N594)</f>
        <v>0.100723080843941</v>
      </c>
      <c r="P594" s="16" t="n">
        <f aca="false">IF(D594="","",H594+E594-K594-O594)</f>
        <v>4.29597245666549</v>
      </c>
      <c r="Q594" s="16" t="n">
        <f aca="false">IF(D594="","",IF(P594&gt;=0,K594,MAX(0,K594+P594)))</f>
        <v>0.648</v>
      </c>
      <c r="R594" s="16" t="n">
        <f aca="false">IF(D594="","",Q594/$B$15)</f>
        <v>0.25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4.29597245666549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20.1688847730774</v>
      </c>
      <c r="Z594" s="18" t="n">
        <f aca="false">IF(D594="","",MAX(0,IF(P594&gt;=0,P594,IF(K594+P594&gt;=0,0,P594+K594))))</f>
        <v>4.29597245666549</v>
      </c>
      <c r="AA594" s="18" t="n">
        <f aca="false">IF(D594="","",IF(H594&lt;=$B$16,1,IF(H594&gt;=$B$17,$B$21,MATCH(H594,Aux_CAV!$A$2:$A$121,1))))</f>
        <v>4</v>
      </c>
      <c r="AB594" s="18" t="n">
        <f aca="false">IF(D594="","",IF(L594&lt;=$B$16,1,IF(L594&gt;=$B$17,$B$21,MATCH(L594,Aux_CAV!$A$2:$A$121,1))))</f>
        <v>4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0.0805263061457537</v>
      </c>
      <c r="E595" s="16" t="n">
        <f aca="false">IF(D595="","",D595*$B$15)</f>
        <v>0.208724185529794</v>
      </c>
      <c r="F595" s="16" t="n">
        <f aca="false" t="array" ref="F595:F595">IF(D595="","",IFERROR(INDEX(Dados_Evap!$C$2:$N$15,MATCH($B$9,Dados_Evap!$A$2:$A$15,0),C595),0))</f>
        <v>180.9</v>
      </c>
      <c r="G595" s="16" t="n">
        <f aca="false">IF(F595="","",F595/1000)</f>
        <v>0.1809</v>
      </c>
      <c r="H595" s="16" t="n">
        <f aca="false">IF(D595="","",MAX(0,MIN($B$8,IFERROR(LOOKUP(2,1/($U$24:U594&lt;&gt;""),$U$24:U594),$B$11))))</f>
        <v>4.29597245666549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0.679765059972153</v>
      </c>
      <c r="J595" s="16" t="n">
        <f aca="false">IF(D595="","",$B$12)</f>
        <v>0.25</v>
      </c>
      <c r="K595" s="16" t="n">
        <f aca="false">IF(J595="","",J595*$B$15)</f>
        <v>0.648</v>
      </c>
      <c r="L595" s="16" t="n">
        <f aca="false">IF(D595="","",H595+E595-K595-G595*I595)</f>
        <v>3.73372714284632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0.646967416666035</v>
      </c>
      <c r="N595" s="16" t="n">
        <f aca="false">IF(D595="","",(I595+M595)/2)</f>
        <v>0.663366238319094</v>
      </c>
      <c r="O595" s="16" t="n">
        <f aca="false">IF(D595="","",G595*N595)</f>
        <v>0.120002952511924</v>
      </c>
      <c r="P595" s="16" t="n">
        <f aca="false">IF(D595="","",H595+E595-K595-O595)</f>
        <v>3.73669368968335</v>
      </c>
      <c r="Q595" s="16" t="n">
        <f aca="false">IF(D595="","",IF(P595&gt;=0,K595,MAX(0,K595+P595)))</f>
        <v>0.648</v>
      </c>
      <c r="R595" s="16" t="n">
        <f aca="false">IF(D595="","",Q595/$B$15)</f>
        <v>0.25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3.73669368968335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17.5431628623632</v>
      </c>
      <c r="Z595" s="18" t="n">
        <f aca="false">IF(D595="","",MAX(0,IF(P595&gt;=0,P595,IF(K595+P595&gt;=0,0,P595+K595))))</f>
        <v>3.73669368968335</v>
      </c>
      <c r="AA595" s="18" t="n">
        <f aca="false">IF(D595="","",IF(H595&lt;=$B$16,1,IF(H595&gt;=$B$17,$B$21,MATCH(H595,Aux_CAV!$A$2:$A$121,1))))</f>
        <v>4</v>
      </c>
      <c r="AB595" s="18" t="n">
        <f aca="false">IF(D595="","",IF(L595&lt;=$B$16,1,IF(L595&gt;=$B$17,$B$21,MATCH(L595,Aux_CAV!$A$2:$A$121,1))))</f>
        <v>4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0.0487856885151845</v>
      </c>
      <c r="E596" s="16" t="n">
        <f aca="false">IF(D596="","",D596*$B$15)</f>
        <v>0.126452504631358</v>
      </c>
      <c r="F596" s="16" t="n">
        <f aca="false" t="array" ref="F596:F596">IF(D596="","",IFERROR(INDEX(Dados_Evap!$C$2:$N$15,MATCH($B$9,Dados_Evap!$A$2:$A$15,0),C596),0))</f>
        <v>208.9</v>
      </c>
      <c r="G596" s="16" t="n">
        <f aca="false">IF(F596="","",F596/1000)</f>
        <v>0.2089</v>
      </c>
      <c r="H596" s="16" t="n">
        <f aca="false">IF(D596="","",MAX(0,MIN($B$8,IFERROR(LOOKUP(2,1/($U$24:U595&lt;&gt;""),$U$24:U595),$B$11))))</f>
        <v>3.73669368968335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0.647140465231529</v>
      </c>
      <c r="J596" s="16" t="n">
        <f aca="false">IF(D596="","",$B$12)</f>
        <v>0.25</v>
      </c>
      <c r="K596" s="16" t="n">
        <f aca="false">IF(J596="","",J596*$B$15)</f>
        <v>0.648</v>
      </c>
      <c r="L596" s="16" t="n">
        <f aca="false">IF(D596="","",H596+E596-K596-G596*I596)</f>
        <v>3.07995855112785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0.607162272726067</v>
      </c>
      <c r="N596" s="16" t="n">
        <f aca="false">IF(D596="","",(I596+M596)/2)</f>
        <v>0.627151368978798</v>
      </c>
      <c r="O596" s="16" t="n">
        <f aca="false">IF(D596="","",G596*N596)</f>
        <v>0.131011920979671</v>
      </c>
      <c r="P596" s="16" t="n">
        <f aca="false">IF(D596="","",H596+E596-K596-O596)</f>
        <v>3.08413427333504</v>
      </c>
      <c r="Q596" s="16" t="n">
        <f aca="false">IF(D596="","",IF(P596&gt;=0,K596,MAX(0,K596+P596)))</f>
        <v>0.648</v>
      </c>
      <c r="R596" s="16" t="n">
        <f aca="false">IF(D596="","",Q596/$B$15)</f>
        <v>0.25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3.08413427333504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14.4795036306809</v>
      </c>
      <c r="Z596" s="18" t="n">
        <f aca="false">IF(D596="","",MAX(0,IF(P596&gt;=0,P596,IF(K596+P596&gt;=0,0,P596+K596))))</f>
        <v>3.08413427333504</v>
      </c>
      <c r="AA596" s="18" t="n">
        <f aca="false">IF(D596="","",IF(H596&lt;=$B$16,1,IF(H596&gt;=$B$17,$B$21,MATCH(H596,Aux_CAV!$A$2:$A$121,1))))</f>
        <v>4</v>
      </c>
      <c r="AB596" s="18" t="n">
        <f aca="false">IF(D596="","",IF(L596&lt;=$B$16,1,IF(L596&gt;=$B$17,$B$21,MATCH(L596,Aux_CAV!$A$2:$A$121,1))))</f>
        <v>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0.0282012389627744</v>
      </c>
      <c r="E597" s="16" t="n">
        <f aca="false">IF(D597="","",D597*$B$15)</f>
        <v>0.0730976113915113</v>
      </c>
      <c r="F597" s="16" t="n">
        <f aca="false" t="array" ref="F597:F597">IF(D597="","",IFERROR(INDEX(Dados_Evap!$C$2:$N$15,MATCH($B$9,Dados_Evap!$A$2:$A$15,0),C597),0))</f>
        <v>235.9</v>
      </c>
      <c r="G597" s="16" t="n">
        <f aca="false">IF(F597="","",F597/1000)</f>
        <v>0.2359</v>
      </c>
      <c r="H597" s="16" t="n">
        <f aca="false">IF(D597="","",MAX(0,MIN($B$8,IFERROR(LOOKUP(2,1/($U$24:U596&lt;&gt;""),$U$24:U596),$B$11))))</f>
        <v>3.08413427333504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0.607753525427971</v>
      </c>
      <c r="J597" s="16" t="n">
        <f aca="false">IF(D597="","",$B$12)</f>
        <v>0.25</v>
      </c>
      <c r="K597" s="16" t="n">
        <f aca="false">IF(J597="","",J597*$B$15)</f>
        <v>0.648</v>
      </c>
      <c r="L597" s="16" t="n">
        <f aca="false">IF(D597="","",H597+E597-K597-G597*I597)</f>
        <v>2.36586282807809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0.506051373887164</v>
      </c>
      <c r="N597" s="16" t="n">
        <f aca="false">IF(D597="","",(I597+M597)/2)</f>
        <v>0.556902449657567</v>
      </c>
      <c r="O597" s="16" t="n">
        <f aca="false">IF(D597="","",G597*N597)</f>
        <v>0.13137328787422</v>
      </c>
      <c r="P597" s="16" t="n">
        <f aca="false">IF(D597="","",H597+E597-K597-O597)</f>
        <v>2.37785859685233</v>
      </c>
      <c r="Q597" s="16" t="n">
        <f aca="false">IF(D597="","",IF(P597&gt;=0,K597,MAX(0,K597+P597)))</f>
        <v>0.648</v>
      </c>
      <c r="R597" s="16" t="n">
        <f aca="false">IF(D597="","",Q597/$B$15)</f>
        <v>0.25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2.37785859685233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11.1636553842833</v>
      </c>
      <c r="Z597" s="18" t="n">
        <f aca="false">IF(D597="","",MAX(0,IF(P597&gt;=0,P597,IF(K597+P597&gt;=0,0,P597+K597))))</f>
        <v>2.37785859685233</v>
      </c>
      <c r="AA597" s="18" t="n">
        <f aca="false">IF(D597="","",IF(H597&lt;=$B$16,1,IF(H597&gt;=$B$17,$B$21,MATCH(H597,Aux_CAV!$A$2:$A$121,1))))</f>
        <v>3</v>
      </c>
      <c r="AB597" s="18" t="n">
        <f aca="false">IF(D597="","",IF(L597&lt;=$B$16,1,IF(L597&gt;=$B$17,$B$21,MATCH(L597,Aux_CAV!$A$2:$A$121,1))))</f>
        <v>3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0.0183095802693061</v>
      </c>
      <c r="E598" s="16" t="n">
        <f aca="false">IF(D598="","",D598*$B$15)</f>
        <v>0.0474584320580414</v>
      </c>
      <c r="F598" s="16" t="n">
        <f aca="false" t="array" ref="F598:F598">IF(D598="","",IFERROR(INDEX(Dados_Evap!$C$2:$N$15,MATCH($B$9,Dados_Evap!$A$2:$A$15,0),C598),0))</f>
        <v>225.9</v>
      </c>
      <c r="G598" s="16" t="n">
        <f aca="false">IF(F598="","",F598/1000)</f>
        <v>0.2259</v>
      </c>
      <c r="H598" s="16" t="n">
        <f aca="false">IF(D598="","",MAX(0,MIN($B$8,IFERROR(LOOKUP(2,1/($U$24:U597&lt;&gt;""),$U$24:U597),$B$11))))</f>
        <v>2.37785859685233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0.507749889819799</v>
      </c>
      <c r="J598" s="16" t="n">
        <f aca="false">IF(D598="","",$B$12)</f>
        <v>0.25</v>
      </c>
      <c r="K598" s="16" t="n">
        <f aca="false">IF(J598="","",J598*$B$15)</f>
        <v>0.648</v>
      </c>
      <c r="L598" s="16" t="n">
        <f aca="false">IF(D598="","",H598+E598-K598-G598*I598)</f>
        <v>1.66261632880008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0.406476648325675</v>
      </c>
      <c r="N598" s="16" t="n">
        <f aca="false">IF(D598="","",(I598+M598)/2)</f>
        <v>0.457113269072737</v>
      </c>
      <c r="O598" s="16" t="n">
        <f aca="false">IF(D598="","",G598*N598)</f>
        <v>0.103261887483531</v>
      </c>
      <c r="P598" s="16" t="n">
        <f aca="false">IF(D598="","",H598+E598-K598-O598)</f>
        <v>1.67405514142684</v>
      </c>
      <c r="Q598" s="16" t="n">
        <f aca="false">IF(D598="","",IF(P598&gt;=0,K598,MAX(0,K598+P598)))</f>
        <v>0.648</v>
      </c>
      <c r="R598" s="16" t="n">
        <f aca="false">IF(D598="","",Q598/$B$15)</f>
        <v>0.25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1.67405514142684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7.85941380951569</v>
      </c>
      <c r="Z598" s="18" t="n">
        <f aca="false">IF(D598="","",MAX(0,IF(P598&gt;=0,P598,IF(K598+P598&gt;=0,0,P598+K598))))</f>
        <v>1.67405514142684</v>
      </c>
      <c r="AA598" s="18" t="n">
        <f aca="false">IF(D598="","",IF(H598&lt;=$B$16,1,IF(H598&gt;=$B$17,$B$21,MATCH(H598,Aux_CAV!$A$2:$A$121,1))))</f>
        <v>3</v>
      </c>
      <c r="AB598" s="18" t="n">
        <f aca="false">IF(D598="","",IF(L598&lt;=$B$16,1,IF(L598&gt;=$B$17,$B$21,MATCH(L598,Aux_CAV!$A$2:$A$121,1))))</f>
        <v>3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0.0101564155185476</v>
      </c>
      <c r="E599" s="16" t="n">
        <f aca="false">IF(D599="","",D599*$B$15)</f>
        <v>0.0263254290240754</v>
      </c>
      <c r="F599" s="16" t="n">
        <f aca="false" t="array" ref="F599:F599">IF(D599="","",IFERROR(INDEX(Dados_Evap!$C$2:$N$15,MATCH($B$9,Dados_Evap!$A$2:$A$15,0),C599),0))</f>
        <v>206</v>
      </c>
      <c r="G599" s="16" t="n">
        <f aca="false">IF(F599="","",F599/1000)</f>
        <v>0.206</v>
      </c>
      <c r="H599" s="16" t="n">
        <f aca="false">IF(D599="","",MAX(0,MIN($B$8,IFERROR(LOOKUP(2,1/($U$24:U598&lt;&gt;""),$U$24:U598),$B$11))))</f>
        <v>1.67405514142684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0.40809630321088</v>
      </c>
      <c r="J599" s="16" t="n">
        <f aca="false">IF(D599="","",$B$12)</f>
        <v>0.25</v>
      </c>
      <c r="K599" s="16" t="n">
        <f aca="false">IF(J599="","",J599*$B$15)</f>
        <v>0.648</v>
      </c>
      <c r="L599" s="16" t="n">
        <f aca="false">IF(D599="","",H599+E599-K599-G599*I599)</f>
        <v>0.968312731989477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0.308168174440988</v>
      </c>
      <c r="N599" s="16" t="n">
        <f aca="false">IF(D599="","",(I599+M599)/2)</f>
        <v>0.358132238825934</v>
      </c>
      <c r="O599" s="16" t="n">
        <f aca="false">IF(D599="","",G599*N599)</f>
        <v>0.0737752411981424</v>
      </c>
      <c r="P599" s="16" t="n">
        <f aca="false">IF(D599="","",H599+E599-K599-O599)</f>
        <v>0.978605329252776</v>
      </c>
      <c r="Q599" s="16" t="n">
        <f aca="false">IF(D599="","",IF(P599&gt;=0,K599,MAX(0,K599+P599)))</f>
        <v>0.648</v>
      </c>
      <c r="R599" s="16" t="n">
        <f aca="false">IF(D599="","",Q599/$B$15)</f>
        <v>0.25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0.978605329252776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4.59439121714918</v>
      </c>
      <c r="Z599" s="18" t="n">
        <f aca="false">IF(D599="","",MAX(0,IF(P599&gt;=0,P599,IF(K599+P599&gt;=0,0,P599+K599))))</f>
        <v>0.978605329252776</v>
      </c>
      <c r="AA599" s="18" t="n">
        <f aca="false">IF(D599="","",IF(H599&lt;=$B$16,1,IF(H599&gt;=$B$17,$B$21,MATCH(H599,Aux_CAV!$A$2:$A$121,1))))</f>
        <v>3</v>
      </c>
      <c r="AB599" s="18" t="n">
        <f aca="false">IF(D599="","",IF(L599&lt;=$B$16,1,IF(L599&gt;=$B$17,$B$21,MATCH(L599,Aux_CAV!$A$2:$A$121,1))))</f>
        <v>3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0.0348851037949811</v>
      </c>
      <c r="E600" s="16" t="n">
        <f aca="false">IF(D600="","",D600*$B$15)</f>
        <v>0.090422189036591</v>
      </c>
      <c r="F600" s="16" t="n">
        <f aca="false" t="array" ref="F600:F600">IF(D600="","",IFERROR(INDEX(Dados_Evap!$C$2:$N$15,MATCH($B$9,Dados_Evap!$A$2:$A$15,0),C600),0))</f>
        <v>165.6</v>
      </c>
      <c r="G600" s="16" t="n">
        <f aca="false">IF(F600="","",F600/1000)</f>
        <v>0.1656</v>
      </c>
      <c r="H600" s="16" t="n">
        <f aca="false">IF(D600="","",MAX(0,MIN($B$8,IFERROR(LOOKUP(2,1/($U$24:U599&lt;&gt;""),$U$24:U599),$B$11))))</f>
        <v>0.978605329252776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0.309625533345526</v>
      </c>
      <c r="J600" s="16" t="n">
        <f aca="false">IF(D600="","",$B$12)</f>
        <v>0.25</v>
      </c>
      <c r="K600" s="16" t="n">
        <f aca="false">IF(J600="","",J600*$B$15)</f>
        <v>0.648</v>
      </c>
      <c r="L600" s="16" t="n">
        <f aca="false">IF(D600="","",H600+E600-K600-G600*I600)</f>
        <v>0.369753529967347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0.129282852014157</v>
      </c>
      <c r="N600" s="16" t="n">
        <f aca="false">IF(D600="","",(I600+M600)/2)</f>
        <v>0.219454192679841</v>
      </c>
      <c r="O600" s="16" t="n">
        <f aca="false">IF(D600="","",G600*N600)</f>
        <v>0.0363416143077817</v>
      </c>
      <c r="P600" s="16" t="n">
        <f aca="false">IF(D600="","",H600+E600-K600-O600)</f>
        <v>0.384685903981585</v>
      </c>
      <c r="Q600" s="16" t="n">
        <f aca="false">IF(D600="","",IF(P600&gt;=0,K600,MAX(0,K600+P600)))</f>
        <v>0.648</v>
      </c>
      <c r="R600" s="16" t="n">
        <f aca="false">IF(D600="","",Q600/$B$15)</f>
        <v>0.25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0.384685903981585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1.80603710789476</v>
      </c>
      <c r="Z600" s="18" t="n">
        <f aca="false">IF(D600="","",MAX(0,IF(P600&gt;=0,P600,IF(K600+P600&gt;=0,0,P600+K600))))</f>
        <v>0.384685903981585</v>
      </c>
      <c r="AA600" s="18" t="n">
        <f aca="false">IF(D600="","",IF(H600&lt;=$B$16,1,IF(H600&gt;=$B$17,$B$21,MATCH(H600,Aux_CAV!$A$2:$A$121,1))))</f>
        <v>3</v>
      </c>
      <c r="AB600" s="18" t="n">
        <f aca="false">IF(D600="","",IF(L600&lt;=$B$16,1,IF(L600&gt;=$B$17,$B$21,MATCH(L600,Aux_CAV!$A$2:$A$121,1))))</f>
        <v>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0.0125866333605099</v>
      </c>
      <c r="E601" s="16" t="n">
        <f aca="false">IF(D601="","",D601*$B$15)</f>
        <v>0.0326245536704417</v>
      </c>
      <c r="F601" s="16" t="n">
        <f aca="false" t="array" ref="F601:F601">IF(D601="","",IFERROR(INDEX(Dados_Evap!$C$2:$N$15,MATCH($B$9,Dados_Evap!$A$2:$A$15,0),C601),0))</f>
        <v>124.9</v>
      </c>
      <c r="G601" s="16" t="n">
        <f aca="false">IF(F601="","",F601/1000)</f>
        <v>0.1249</v>
      </c>
      <c r="H601" s="16" t="n">
        <f aca="false">IF(D601="","",MAX(0,MIN($B$8,IFERROR(LOOKUP(2,1/($U$24:U600&lt;&gt;""),$U$24:U600),$B$11))))</f>
        <v>0.384685903981585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0.134386321613959</v>
      </c>
      <c r="J601" s="16" t="n">
        <f aca="false">IF(D601="","",$B$12)</f>
        <v>0.25</v>
      </c>
      <c r="K601" s="16" t="n">
        <f aca="false">IF(J601="","",J601*$B$15)</f>
        <v>0.648</v>
      </c>
      <c r="L601" s="16" t="n">
        <f aca="false">IF(D601="","",H601+E601-K601-G601*I601)</f>
        <v>-0.247474393917557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</v>
      </c>
      <c r="N601" s="16" t="n">
        <f aca="false">IF(D601="","",(I601+M601)/2)</f>
        <v>0.0671931608069797</v>
      </c>
      <c r="O601" s="16" t="n">
        <f aca="false">IF(D601="","",G601*N601)</f>
        <v>0.00839242578479176</v>
      </c>
      <c r="P601" s="16" t="n">
        <f aca="false">IF(D601="","",H601+E601-K601-O601)</f>
        <v>-0.239081968132765</v>
      </c>
      <c r="Q601" s="16" t="n">
        <f aca="false">IF(D601="","",IF(P601&gt;=0,K601,MAX(0,K601+P601)))</f>
        <v>0.408918031867235</v>
      </c>
      <c r="R601" s="16" t="n">
        <f aca="false">IF(D601="","",Q601/$B$15)</f>
        <v>0.157761586368532</v>
      </c>
      <c r="S601" s="16" t="n">
        <f aca="false">IF(D601="","",MAX(0,J601-R601))</f>
        <v>0.0922384136314681</v>
      </c>
      <c r="T601" s="16" t="n">
        <f aca="false">IF(D601="","",MAX(0,Z601-$B$8))</f>
        <v>0</v>
      </c>
      <c r="U601" s="16" t="n">
        <f aca="false">IF(D601="","",MAX(0,MIN($B$8,Z601)))</f>
        <v>0</v>
      </c>
      <c r="V601" s="16" t="str">
        <f aca="false">IF(D601="","",IF(S601&gt;0.0000001,"Sim","Não"))</f>
        <v>Sim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0</v>
      </c>
      <c r="Z601" s="18" t="n">
        <f aca="false">IF(D601="","",MAX(0,IF(P601&gt;=0,P601,IF(K601+P601&gt;=0,0,P601+K601))))</f>
        <v>0</v>
      </c>
      <c r="AA601" s="18" t="n">
        <f aca="false">IF(D601="","",IF(H601&lt;=$B$16,1,IF(H601&gt;=$B$17,$B$21,MATCH(H601,Aux_CAV!$A$2:$A$121,1))))</f>
        <v>2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0.054264112586034</v>
      </c>
      <c r="E602" s="16" t="n">
        <f aca="false">IF(D602="","",D602*$B$15)</f>
        <v>0.140652579823</v>
      </c>
      <c r="F602" s="16" t="n">
        <f aca="false" t="array" ref="F602:F602">IF(D602="","",IFERROR(INDEX(Dados_Evap!$C$2:$N$15,MATCH($B$9,Dados_Evap!$A$2:$A$15,0),C602),0))</f>
        <v>88.2</v>
      </c>
      <c r="G602" s="16" t="n">
        <f aca="false">IF(F602="","",F602/1000)</f>
        <v>0.0882</v>
      </c>
      <c r="H602" s="16" t="n">
        <f aca="false">IF(D602="","",MAX(0,MIN($B$8,IFERROR(LOOKUP(2,1/($U$24:U601&lt;&gt;""),$U$24:U601),$B$11))))</f>
        <v>0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</v>
      </c>
      <c r="J602" s="16" t="n">
        <f aca="false">IF(D602="","",$B$12)</f>
        <v>0.25</v>
      </c>
      <c r="K602" s="16" t="n">
        <f aca="false">IF(J602="","",J602*$B$15)</f>
        <v>0.648</v>
      </c>
      <c r="L602" s="16" t="n">
        <f aca="false">IF(D602="","",H602+E602-K602-G602*I602)</f>
        <v>-0.507347420177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</v>
      </c>
      <c r="O602" s="16" t="n">
        <f aca="false">IF(D602="","",G602*N602)</f>
        <v>0</v>
      </c>
      <c r="P602" s="16" t="n">
        <f aca="false">IF(D602="","",H602+E602-K602-O602)</f>
        <v>-0.507347420177</v>
      </c>
      <c r="Q602" s="16" t="n">
        <f aca="false">IF(D602="","",IF(P602&gt;=0,K602,MAX(0,K602+P602)))</f>
        <v>0.140652579823</v>
      </c>
      <c r="R602" s="16" t="n">
        <f aca="false">IF(D602="","",Q602/$B$15)</f>
        <v>0.054264112586034</v>
      </c>
      <c r="S602" s="16" t="n">
        <f aca="false">IF(D602="","",MAX(0,J602-R602))</f>
        <v>0.195735887413966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0.0457917991331851</v>
      </c>
      <c r="E603" s="16" t="n">
        <f aca="false">IF(D603="","",D603*$B$15)</f>
        <v>0.118692343353216</v>
      </c>
      <c r="F603" s="16" t="n">
        <f aca="false" t="array" ref="F603:F603">IF(D603="","",IFERROR(INDEX(Dados_Evap!$C$2:$N$15,MATCH($B$9,Dados_Evap!$A$2:$A$15,0),C603),0))</f>
        <v>88.2</v>
      </c>
      <c r="G603" s="16" t="n">
        <f aca="false">IF(F603="","",F603/1000)</f>
        <v>0.0882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0.25</v>
      </c>
      <c r="K603" s="16" t="n">
        <f aca="false">IF(J603="","",J603*$B$15)</f>
        <v>0.648</v>
      </c>
      <c r="L603" s="16" t="n">
        <f aca="false">IF(D603="","",H603+E603-K603-G603*I603)</f>
        <v>-0.529307656646784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-0.529307656646784</v>
      </c>
      <c r="Q603" s="16" t="n">
        <f aca="false">IF(D603="","",IF(P603&gt;=0,K603,MAX(0,K603+P603)))</f>
        <v>0.118692343353216</v>
      </c>
      <c r="R603" s="16" t="n">
        <f aca="false">IF(D603="","",Q603/$B$15)</f>
        <v>0.0457917991331851</v>
      </c>
      <c r="S603" s="16" t="n">
        <f aca="false">IF(D603="","",MAX(0,J603-R603))</f>
        <v>0.204208200866815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0.117569036060076</v>
      </c>
      <c r="E604" s="16" t="n">
        <f aca="false">IF(D604="","",D604*$B$15)</f>
        <v>0.304738941467717</v>
      </c>
      <c r="F604" s="16" t="n">
        <f aca="false" t="array" ref="F604:F604">IF(D604="","",IFERROR(INDEX(Dados_Evap!$C$2:$N$15,MATCH($B$9,Dados_Evap!$A$2:$A$15,0),C604),0))</f>
        <v>83.9</v>
      </c>
      <c r="G604" s="16" t="n">
        <f aca="false">IF(F604="","",F604/1000)</f>
        <v>0.0839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0.25</v>
      </c>
      <c r="K604" s="16" t="n">
        <f aca="false">IF(J604="","",J604*$B$15)</f>
        <v>0.648</v>
      </c>
      <c r="L604" s="16" t="n">
        <f aca="false">IF(D604="","",H604+E604-K604-G604*I604)</f>
        <v>-0.343261058532283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-0.343261058532283</v>
      </c>
      <c r="Q604" s="16" t="n">
        <f aca="false">IF(D604="","",IF(P604&gt;=0,K604,MAX(0,K604+P604)))</f>
        <v>0.304738941467717</v>
      </c>
      <c r="R604" s="16" t="n">
        <f aca="false">IF(D604="","",Q604/$B$15)</f>
        <v>0.117569036060076</v>
      </c>
      <c r="S604" s="16" t="n">
        <f aca="false">IF(D604="","",MAX(0,J604-R604))</f>
        <v>0.132430963939924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0.0460655260665886</v>
      </c>
      <c r="E605" s="16" t="n">
        <f aca="false">IF(D605="","",D605*$B$15)</f>
        <v>0.119401843564598</v>
      </c>
      <c r="F605" s="16" t="n">
        <f aca="false" t="array" ref="F605:F605">IF(D605="","",IFERROR(INDEX(Dados_Evap!$C$2:$N$15,MATCH($B$9,Dados_Evap!$A$2:$A$15,0),C605),0))</f>
        <v>104.7</v>
      </c>
      <c r="G605" s="16" t="n">
        <f aca="false">IF(F605="","",F605/1000)</f>
        <v>0.1047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0.25</v>
      </c>
      <c r="K605" s="16" t="n">
        <f aca="false">IF(J605="","",J605*$B$15)</f>
        <v>0.648</v>
      </c>
      <c r="L605" s="16" t="n">
        <f aca="false">IF(D605="","",H605+E605-K605-G605*I605)</f>
        <v>-0.528598156435402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-0.528598156435402</v>
      </c>
      <c r="Q605" s="16" t="n">
        <f aca="false">IF(D605="","",IF(P605&gt;=0,K605,MAX(0,K605+P605)))</f>
        <v>0.119401843564598</v>
      </c>
      <c r="R605" s="16" t="n">
        <f aca="false">IF(D605="","",Q605/$B$15)</f>
        <v>0.0460655260665886</v>
      </c>
      <c r="S605" s="16" t="n">
        <f aca="false">IF(D605="","",MAX(0,J605-R605))</f>
        <v>0.203934473933411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0.00930232877062111</v>
      </c>
      <c r="E606" s="16" t="n">
        <f aca="false">IF(D606="","",D606*$B$15)</f>
        <v>0.0241116361734499</v>
      </c>
      <c r="F606" s="16" t="n">
        <f aca="false" t="array" ref="F606:F606">IF(D606="","",IFERROR(INDEX(Dados_Evap!$C$2:$N$15,MATCH($B$9,Dados_Evap!$A$2:$A$15,0),C606),0))</f>
        <v>145.2</v>
      </c>
      <c r="G606" s="16" t="n">
        <f aca="false">IF(F606="","",F606/1000)</f>
        <v>0.1452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0.25</v>
      </c>
      <c r="K606" s="16" t="n">
        <f aca="false">IF(J606="","",J606*$B$15)</f>
        <v>0.648</v>
      </c>
      <c r="L606" s="16" t="n">
        <f aca="false">IF(D606="","",H606+E606-K606-G606*I606)</f>
        <v>-0.62388836382655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-0.62388836382655</v>
      </c>
      <c r="Q606" s="16" t="n">
        <f aca="false">IF(D606="","",IF(P606&gt;=0,K606,MAX(0,K606+P606)))</f>
        <v>0.0241116361734499</v>
      </c>
      <c r="R606" s="16" t="n">
        <f aca="false">IF(D606="","",Q606/$B$15)</f>
        <v>0.00930232877062111</v>
      </c>
      <c r="S606" s="16" t="n">
        <f aca="false">IF(D606="","",MAX(0,J606-R606))</f>
        <v>0.240697671229379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0.00255453964877297</v>
      </c>
      <c r="E607" s="16" t="n">
        <f aca="false">IF(D607="","",D607*$B$15)</f>
        <v>0.00662136676961954</v>
      </c>
      <c r="F607" s="16" t="n">
        <f aca="false" t="array" ref="F607:F607">IF(D607="","",IFERROR(INDEX(Dados_Evap!$C$2:$N$15,MATCH($B$9,Dados_Evap!$A$2:$A$15,0),C607),0))</f>
        <v>180.9</v>
      </c>
      <c r="G607" s="16" t="n">
        <f aca="false">IF(F607="","",F607/1000)</f>
        <v>0.1809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0.25</v>
      </c>
      <c r="K607" s="16" t="n">
        <f aca="false">IF(J607="","",J607*$B$15)</f>
        <v>0.648</v>
      </c>
      <c r="L607" s="16" t="n">
        <f aca="false">IF(D607="","",H607+E607-K607-G607*I607)</f>
        <v>-0.641378633230381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-0.641378633230381</v>
      </c>
      <c r="Q607" s="16" t="n">
        <f aca="false">IF(D607="","",IF(P607&gt;=0,K607,MAX(0,K607+P607)))</f>
        <v>0.00662136676961955</v>
      </c>
      <c r="R607" s="16" t="n">
        <f aca="false">IF(D607="","",Q607/$B$15)</f>
        <v>0.00255453964877298</v>
      </c>
      <c r="S607" s="16" t="n">
        <f aca="false">IF(D607="","",MAX(0,J607-R607))</f>
        <v>0.247445460351227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0.00172866984036659</v>
      </c>
      <c r="E608" s="16" t="n">
        <f aca="false">IF(D608="","",D608*$B$15)</f>
        <v>0.0044807122262302</v>
      </c>
      <c r="F608" s="16" t="n">
        <f aca="false" t="array" ref="F608:F608">IF(D608="","",IFERROR(INDEX(Dados_Evap!$C$2:$N$15,MATCH($B$9,Dados_Evap!$A$2:$A$15,0),C608),0))</f>
        <v>208.9</v>
      </c>
      <c r="G608" s="16" t="n">
        <f aca="false">IF(F608="","",F608/1000)</f>
        <v>0.2089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0.25</v>
      </c>
      <c r="K608" s="16" t="n">
        <f aca="false">IF(J608="","",J608*$B$15)</f>
        <v>0.648</v>
      </c>
      <c r="L608" s="16" t="n">
        <f aca="false">IF(D608="","",H608+E608-K608-G608*I608)</f>
        <v>-0.64351928777377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-0.64351928777377</v>
      </c>
      <c r="Q608" s="16" t="n">
        <f aca="false">IF(D608="","",IF(P608&gt;=0,K608,MAX(0,K608+P608)))</f>
        <v>0.00448071222623025</v>
      </c>
      <c r="R608" s="16" t="n">
        <f aca="false">IF(D608="","",Q608/$B$15)</f>
        <v>0.00172866984036661</v>
      </c>
      <c r="S608" s="16" t="n">
        <f aca="false">IF(D608="","",MAX(0,J608-R608))</f>
        <v>0.248271330159633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5.29090660172926E-017</v>
      </c>
      <c r="X608" s="16" t="n">
        <f aca="false">IF(W608="","",ABS(W608))</f>
        <v>5.29090660172926E-017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0.00135866133453757</v>
      </c>
      <c r="E609" s="16" t="n">
        <f aca="false">IF(D609="","",D609*$B$15)</f>
        <v>0.00352165017912138</v>
      </c>
      <c r="F609" s="16" t="n">
        <f aca="false" t="array" ref="F609:F609">IF(D609="","",IFERROR(INDEX(Dados_Evap!$C$2:$N$15,MATCH($B$9,Dados_Evap!$A$2:$A$15,0),C609),0))</f>
        <v>235.9</v>
      </c>
      <c r="G609" s="16" t="n">
        <f aca="false">IF(F609="","",F609/1000)</f>
        <v>0.2359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0.25</v>
      </c>
      <c r="K609" s="16" t="n">
        <f aca="false">IF(J609="","",J609*$B$15)</f>
        <v>0.648</v>
      </c>
      <c r="L609" s="16" t="n">
        <f aca="false">IF(D609="","",H609+E609-K609-G609*I609)</f>
        <v>-0.644478349820879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-0.644478349820879</v>
      </c>
      <c r="Q609" s="16" t="n">
        <f aca="false">IF(D609="","",IF(P609&gt;=0,K609,MAX(0,K609+P609)))</f>
        <v>0.00352165017912143</v>
      </c>
      <c r="R609" s="16" t="n">
        <f aca="false">IF(D609="","",Q609/$B$15)</f>
        <v>0.00135866133453759</v>
      </c>
      <c r="S609" s="16" t="n">
        <f aca="false">IF(D609="","",MAX(0,J609-R609))</f>
        <v>0.248641338665462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4.59701721133854E-017</v>
      </c>
      <c r="X609" s="16" t="n">
        <f aca="false">IF(W609="","",ABS(W609))</f>
        <v>4.59701721133854E-017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0.000625573430797562</v>
      </c>
      <c r="E610" s="16" t="n">
        <f aca="false">IF(D610="","",D610*$B$15)</f>
        <v>0.00162148633262728</v>
      </c>
      <c r="F610" s="16" t="n">
        <f aca="false" t="array" ref="F610:F610">IF(D610="","",IFERROR(INDEX(Dados_Evap!$C$2:$N$15,MATCH($B$9,Dados_Evap!$A$2:$A$15,0),C610),0))</f>
        <v>225.9</v>
      </c>
      <c r="G610" s="16" t="n">
        <f aca="false">IF(F610="","",F610/1000)</f>
        <v>0.2259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0.25</v>
      </c>
      <c r="K610" s="16" t="n">
        <f aca="false">IF(J610="","",J610*$B$15)</f>
        <v>0.648</v>
      </c>
      <c r="L610" s="16" t="n">
        <f aca="false">IF(D610="","",H610+E610-K610-G610*I610)</f>
        <v>-0.646378513667373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-0.646378513667373</v>
      </c>
      <c r="Q610" s="16" t="n">
        <f aca="false">IF(D610="","",IF(P610&gt;=0,K610,MAX(0,K610+P610)))</f>
        <v>0.00162148633262726</v>
      </c>
      <c r="R610" s="16" t="n">
        <f aca="false">IF(D610="","",Q610/$B$15)</f>
        <v>0.000625573430797556</v>
      </c>
      <c r="S610" s="16" t="n">
        <f aca="false">IF(D610="","",MAX(0,J610-R610))</f>
        <v>0.249374426569202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-1.64798730217797E-017</v>
      </c>
      <c r="X610" s="16" t="n">
        <f aca="false">IF(W610="","",ABS(W610))</f>
        <v>1.64798730217797E-017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0.00167028675775027</v>
      </c>
      <c r="E611" s="16" t="n">
        <f aca="false">IF(D611="","",D611*$B$15)</f>
        <v>0.0043293832760887</v>
      </c>
      <c r="F611" s="16" t="n">
        <f aca="false" t="array" ref="F611:F611">IF(D611="","",IFERROR(INDEX(Dados_Evap!$C$2:$N$15,MATCH($B$9,Dados_Evap!$A$2:$A$15,0),C611),0))</f>
        <v>206</v>
      </c>
      <c r="G611" s="16" t="n">
        <f aca="false">IF(F611="","",F611/1000)</f>
        <v>0.206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0.25</v>
      </c>
      <c r="K611" s="16" t="n">
        <f aca="false">IF(J611="","",J611*$B$15)</f>
        <v>0.648</v>
      </c>
      <c r="L611" s="16" t="n">
        <f aca="false">IF(D611="","",H611+E611-K611-G611*I611)</f>
        <v>-0.643670616723911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-0.643670616723911</v>
      </c>
      <c r="Q611" s="16" t="n">
        <f aca="false">IF(D611="","",IF(P611&gt;=0,K611,MAX(0,K611+P611)))</f>
        <v>0.00432938327608867</v>
      </c>
      <c r="R611" s="16" t="n">
        <f aca="false">IF(D611="","",Q611/$B$15)</f>
        <v>0.00167028675775026</v>
      </c>
      <c r="S611" s="16" t="n">
        <f aca="false">IF(D611="","",MAX(0,J611-R611))</f>
        <v>0.24832971324225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-2.86229373536173E-017</v>
      </c>
      <c r="X611" s="16" t="n">
        <f aca="false">IF(W611="","",ABS(W611))</f>
        <v>2.86229373536173E-017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0.0711902481751102</v>
      </c>
      <c r="E612" s="16" t="n">
        <f aca="false">IF(D612="","",D612*$B$15)</f>
        <v>0.184525123269886</v>
      </c>
      <c r="F612" s="16" t="n">
        <f aca="false" t="array" ref="F612:F612">IF(D612="","",IFERROR(INDEX(Dados_Evap!$C$2:$N$15,MATCH($B$9,Dados_Evap!$A$2:$A$15,0),C612),0))</f>
        <v>165.6</v>
      </c>
      <c r="G612" s="16" t="n">
        <f aca="false">IF(F612="","",F612/1000)</f>
        <v>0.1656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0.25</v>
      </c>
      <c r="K612" s="16" t="n">
        <f aca="false">IF(J612="","",J612*$B$15)</f>
        <v>0.648</v>
      </c>
      <c r="L612" s="16" t="n">
        <f aca="false">IF(D612="","",H612+E612-K612-G612*I612)</f>
        <v>-0.463474876730114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-0.463474876730114</v>
      </c>
      <c r="Q612" s="16" t="n">
        <f aca="false">IF(D612="","",IF(P612&gt;=0,K612,MAX(0,K612+P612)))</f>
        <v>0.184525123269886</v>
      </c>
      <c r="R612" s="16" t="n">
        <f aca="false">IF(D612="","",Q612/$B$15)</f>
        <v>0.0711902481751102</v>
      </c>
      <c r="S612" s="16" t="n">
        <f aca="false">IF(D612="","",MAX(0,J612-R612))</f>
        <v>0.17880975182489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0.286968175431795</v>
      </c>
      <c r="E613" s="16" t="n">
        <f aca="false">IF(D613="","",D613*$B$15)</f>
        <v>0.743821510719213</v>
      </c>
      <c r="F613" s="16" t="n">
        <f aca="false" t="array" ref="F613:F613">IF(D613="","",IFERROR(INDEX(Dados_Evap!$C$2:$N$15,MATCH($B$9,Dados_Evap!$A$2:$A$15,0),C613),0))</f>
        <v>124.9</v>
      </c>
      <c r="G613" s="16" t="n">
        <f aca="false">IF(F613="","",F613/1000)</f>
        <v>0.1249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0.25</v>
      </c>
      <c r="K613" s="16" t="n">
        <f aca="false">IF(J613="","",J613*$B$15)</f>
        <v>0.648</v>
      </c>
      <c r="L613" s="16" t="n">
        <f aca="false">IF(D613="","",H613+E613-K613-G613*I613)</f>
        <v>0.0958215107192126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0.0356605163217562</v>
      </c>
      <c r="N613" s="16" t="n">
        <f aca="false">IF(D613="","",(I613+M613)/2)</f>
        <v>0.0178302581608781</v>
      </c>
      <c r="O613" s="16" t="n">
        <f aca="false">IF(D613="","",G613*N613)</f>
        <v>0.00222699924429368</v>
      </c>
      <c r="P613" s="16" t="n">
        <f aca="false">IF(D613="","",H613+E613-K613-O613)</f>
        <v>0.093594511474919</v>
      </c>
      <c r="Q613" s="16" t="n">
        <f aca="false">IF(D613="","",IF(P613&gt;=0,K613,MAX(0,K613+P613)))</f>
        <v>0.648</v>
      </c>
      <c r="R613" s="16" t="n">
        <f aca="false">IF(D613="","",Q613/$B$15)</f>
        <v>0.25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0.093594511474919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0.439410851994925</v>
      </c>
      <c r="Z613" s="18" t="n">
        <f aca="false">IF(D613="","",MAX(0,IF(P613&gt;=0,P613,IF(K613+P613&gt;=0,0,P613+K613))))</f>
        <v>0.093594511474919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2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1.07112666153277</v>
      </c>
      <c r="E614" s="16" t="n">
        <f aca="false">IF(D614="","",D614*$B$15)</f>
        <v>2.77636030669294</v>
      </c>
      <c r="F614" s="16" t="n">
        <f aca="false" t="array" ref="F614:F614">IF(D614="","",IFERROR(INDEX(Dados_Evap!$C$2:$N$15,MATCH($B$9,Dados_Evap!$A$2:$A$15,0),C614),0))</f>
        <v>88.2</v>
      </c>
      <c r="G614" s="16" t="n">
        <f aca="false">IF(F614="","",F614/1000)</f>
        <v>0.0882</v>
      </c>
      <c r="H614" s="16" t="n">
        <f aca="false">IF(D614="","",MAX(0,MIN($B$8,IFERROR(LOOKUP(2,1/($U$24:U613&lt;&gt;""),$U$24:U613),$B$11))))</f>
        <v>0.093594511474919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0.0348993899977571</v>
      </c>
      <c r="J614" s="16" t="n">
        <f aca="false">IF(D614="","",$B$12)</f>
        <v>0.25</v>
      </c>
      <c r="K614" s="16" t="n">
        <f aca="false">IF(J614="","",J614*$B$15)</f>
        <v>0.648</v>
      </c>
      <c r="L614" s="16" t="n">
        <f aca="false">IF(D614="","",H614+E614-K614-G614*I614)</f>
        <v>2.21887669197006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0.485239177624079</v>
      </c>
      <c r="N614" s="16" t="n">
        <f aca="false">IF(D614="","",(I614+M614)/2)</f>
        <v>0.260069283810918</v>
      </c>
      <c r="O614" s="16" t="n">
        <f aca="false">IF(D614="","",G614*N614)</f>
        <v>0.022938110832123</v>
      </c>
      <c r="P614" s="16" t="n">
        <f aca="false">IF(D614="","",H614+E614-K614-O614)</f>
        <v>2.19901670733574</v>
      </c>
      <c r="Q614" s="16" t="n">
        <f aca="false">IF(D614="","",IF(P614&gt;=0,K614,MAX(0,K614+P614)))</f>
        <v>0.648</v>
      </c>
      <c r="R614" s="16" t="n">
        <f aca="false">IF(D614="","",Q614/$B$15)</f>
        <v>0.25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2.19901670733574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10.3240221001678</v>
      </c>
      <c r="Z614" s="18" t="n">
        <f aca="false">IF(D614="","",MAX(0,IF(P614&gt;=0,P614,IF(K614+P614&gt;=0,0,P614+K614))))</f>
        <v>2.19901670733574</v>
      </c>
      <c r="AA614" s="18" t="n">
        <f aca="false">IF(D614="","",IF(H614&lt;=$B$16,1,IF(H614&gt;=$B$17,$B$21,MATCH(H614,Aux_CAV!$A$2:$A$121,1))))</f>
        <v>2</v>
      </c>
      <c r="AB614" s="18" t="n">
        <f aca="false">IF(D614="","",IF(L614&lt;=$B$16,1,IF(L614&gt;=$B$17,$B$21,MATCH(L614,Aux_CAV!$A$2:$A$121,1))))</f>
        <v>3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0.455837503024827</v>
      </c>
      <c r="E615" s="16" t="n">
        <f aca="false">IF(D615="","",D615*$B$15)</f>
        <v>1.18153080784035</v>
      </c>
      <c r="F615" s="16" t="n">
        <f aca="false" t="array" ref="F615:F615">IF(D615="","",IFERROR(INDEX(Dados_Evap!$C$2:$N$15,MATCH($B$9,Dados_Evap!$A$2:$A$15,0),C615),0))</f>
        <v>88.2</v>
      </c>
      <c r="G615" s="16" t="n">
        <f aca="false">IF(F615="","",F615/1000)</f>
        <v>0.0882</v>
      </c>
      <c r="H615" s="16" t="n">
        <f aca="false">IF(D615="","",MAX(0,MIN($B$8,IFERROR(LOOKUP(2,1/($U$24:U614&lt;&gt;""),$U$24:U614),$B$11))))</f>
        <v>2.19901670733574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0.48242714440152</v>
      </c>
      <c r="J615" s="16" t="n">
        <f aca="false">IF(D615="","",$B$12)</f>
        <v>0.25</v>
      </c>
      <c r="K615" s="16" t="n">
        <f aca="false">IF(J615="","",J615*$B$15)</f>
        <v>0.648</v>
      </c>
      <c r="L615" s="16" t="n">
        <f aca="false">IF(D615="","",H615+E615-K615-G615*I615)</f>
        <v>2.68999744103987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0.55194654032423</v>
      </c>
      <c r="N615" s="16" t="n">
        <f aca="false">IF(D615="","",(I615+M615)/2)</f>
        <v>0.517186842362875</v>
      </c>
      <c r="O615" s="16" t="n">
        <f aca="false">IF(D615="","",G615*N615)</f>
        <v>0.0456158794964056</v>
      </c>
      <c r="P615" s="16" t="n">
        <f aca="false">IF(D615="","",H615+E615-K615-O615)</f>
        <v>2.68693163567968</v>
      </c>
      <c r="Q615" s="16" t="n">
        <f aca="false">IF(D615="","",IF(P615&gt;=0,K615,MAX(0,K615+P615)))</f>
        <v>0.648</v>
      </c>
      <c r="R615" s="16" t="n">
        <f aca="false">IF(D615="","",Q615/$B$15)</f>
        <v>0.25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2.68693163567968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12.6147025149281</v>
      </c>
      <c r="Z615" s="18" t="n">
        <f aca="false">IF(D615="","",MAX(0,IF(P615&gt;=0,P615,IF(K615+P615&gt;=0,0,P615+K615))))</f>
        <v>2.68693163567968</v>
      </c>
      <c r="AA615" s="18" t="n">
        <f aca="false">IF(D615="","",IF(H615&lt;=$B$16,1,IF(H615&gt;=$B$17,$B$21,MATCH(H615,Aux_CAV!$A$2:$A$121,1))))</f>
        <v>3</v>
      </c>
      <c r="AB615" s="18" t="n">
        <f aca="false">IF(D615="","",IF(L615&lt;=$B$16,1,IF(L615&gt;=$B$17,$B$21,MATCH(L615,Aux_CAV!$A$2:$A$121,1))))</f>
        <v>3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1.00332694001585</v>
      </c>
      <c r="E616" s="16" t="n">
        <f aca="false">IF(D616="","",D616*$B$15)</f>
        <v>2.60062342852108</v>
      </c>
      <c r="F616" s="16" t="n">
        <f aca="false" t="array" ref="F616:F616">IF(D616="","",IFERROR(INDEX(Dados_Evap!$C$2:$N$15,MATCH($B$9,Dados_Evap!$A$2:$A$15,0),C616),0))</f>
        <v>83.9</v>
      </c>
      <c r="G616" s="16" t="n">
        <f aca="false">IF(F616="","",F616/1000)</f>
        <v>0.0839</v>
      </c>
      <c r="H616" s="16" t="n">
        <f aca="false">IF(D616="","",MAX(0,MIN($B$8,IFERROR(LOOKUP(2,1/($U$24:U615&lt;&gt;""),$U$24:U615),$B$11))))</f>
        <v>2.68693163567968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0.551512443990043</v>
      </c>
      <c r="J616" s="16" t="n">
        <f aca="false">IF(D616="","",$B$12)</f>
        <v>0.25</v>
      </c>
      <c r="K616" s="16" t="n">
        <f aca="false">IF(J616="","",J616*$B$15)</f>
        <v>0.648</v>
      </c>
      <c r="L616" s="16" t="n">
        <f aca="false">IF(D616="","",H616+E616-K616-G616*I616)</f>
        <v>4.59328317015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0.697108184925417</v>
      </c>
      <c r="N616" s="16" t="n">
        <f aca="false">IF(D616="","",(I616+M616)/2)</f>
        <v>0.62431031445773</v>
      </c>
      <c r="O616" s="16" t="n">
        <f aca="false">IF(D616="","",G616*N616)</f>
        <v>0.0523796353830035</v>
      </c>
      <c r="P616" s="16" t="n">
        <f aca="false">IF(D616="","",H616+E616-K616-O616)</f>
        <v>4.58717542881776</v>
      </c>
      <c r="Q616" s="16" t="n">
        <f aca="false">IF(D616="","",IF(P616&gt;=0,K616,MAX(0,K616+P616)))</f>
        <v>0.648</v>
      </c>
      <c r="R616" s="16" t="n">
        <f aca="false">IF(D616="","",Q616/$B$15)</f>
        <v>0.25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4.58717542881776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21.5360348770787</v>
      </c>
      <c r="Z616" s="18" t="n">
        <f aca="false">IF(D616="","",MAX(0,IF(P616&gt;=0,P616,IF(K616+P616&gt;=0,0,P616+K616))))</f>
        <v>4.58717542881776</v>
      </c>
      <c r="AA616" s="18" t="n">
        <f aca="false">IF(D616="","",IF(H616&lt;=$B$16,1,IF(H616&gt;=$B$17,$B$21,MATCH(H616,Aux_CAV!$A$2:$A$121,1))))</f>
        <v>3</v>
      </c>
      <c r="AB616" s="18" t="n">
        <f aca="false">IF(D616="","",IF(L616&lt;=$B$16,1,IF(L616&gt;=$B$17,$B$21,MATCH(L616,Aux_CAV!$A$2:$A$121,1))))</f>
        <v>4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0.510961115280504</v>
      </c>
      <c r="E617" s="16" t="n">
        <f aca="false">IF(D617="","",D617*$B$15)</f>
        <v>1.32441121080707</v>
      </c>
      <c r="F617" s="16" t="n">
        <f aca="false" t="array" ref="F617:F617">IF(D617="","",IFERROR(INDEX(Dados_Evap!$C$2:$N$15,MATCH($B$9,Dados_Evap!$A$2:$A$15,0),C617),0))</f>
        <v>104.7</v>
      </c>
      <c r="G617" s="16" t="n">
        <f aca="false">IF(F617="","",F617/1000)</f>
        <v>0.1047</v>
      </c>
      <c r="H617" s="16" t="n">
        <f aca="false">IF(D617="","",MAX(0,MIN($B$8,IFERROR(LOOKUP(2,1/($U$24:U616&lt;&gt;""),$U$24:U616),$B$11))))</f>
        <v>4.58717542881776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0.696751900014369</v>
      </c>
      <c r="J617" s="16" t="n">
        <f aca="false">IF(D617="","",$B$12)</f>
        <v>0.25</v>
      </c>
      <c r="K617" s="16" t="n">
        <f aca="false">IF(J617="","",J617*$B$15)</f>
        <v>0.648</v>
      </c>
      <c r="L617" s="16" t="n">
        <f aca="false">IF(D617="","",H617+E617-K617-G617*I617)</f>
        <v>5.19063671569333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0.731953808415444</v>
      </c>
      <c r="N617" s="16" t="n">
        <f aca="false">IF(D617="","",(I617+M617)/2)</f>
        <v>0.714352854214907</v>
      </c>
      <c r="O617" s="16" t="n">
        <f aca="false">IF(D617="","",G617*N617)</f>
        <v>0.0747927438363007</v>
      </c>
      <c r="P617" s="16" t="n">
        <f aca="false">IF(D617="","",H617+E617-K617-O617)</f>
        <v>5.18879389578853</v>
      </c>
      <c r="Q617" s="16" t="n">
        <f aca="false">IF(D617="","",IF(P617&gt;=0,K617,MAX(0,K617+P617)))</f>
        <v>0.648</v>
      </c>
      <c r="R617" s="16" t="n">
        <f aca="false">IF(D617="","",Q617/$B$15)</f>
        <v>0.25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5.18879389578853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24.3605347220119</v>
      </c>
      <c r="Z617" s="18" t="n">
        <f aca="false">IF(D617="","",MAX(0,IF(P617&gt;=0,P617,IF(K617+P617&gt;=0,0,P617+K617))))</f>
        <v>5.18879389578853</v>
      </c>
      <c r="AA617" s="18" t="n">
        <f aca="false">IF(D617="","",IF(H617&lt;=$B$16,1,IF(H617&gt;=$B$17,$B$21,MATCH(H617,Aux_CAV!$A$2:$A$121,1))))</f>
        <v>4</v>
      </c>
      <c r="AB617" s="18" t="n">
        <f aca="false">IF(D617="","",IF(L617&lt;=$B$16,1,IF(L617&gt;=$B$17,$B$21,MATCH(L617,Aux_CAV!$A$2:$A$121,1))))</f>
        <v>4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0.12543738680514</v>
      </c>
      <c r="E618" s="16" t="n">
        <f aca="false">IF(D618="","",D618*$B$15)</f>
        <v>0.325133706598923</v>
      </c>
      <c r="F618" s="16" t="n">
        <f aca="false" t="array" ref="F618:F618">IF(D618="","",IFERROR(INDEX(Dados_Evap!$C$2:$N$15,MATCH($B$9,Dados_Evap!$A$2:$A$15,0),C618),0))</f>
        <v>145.2</v>
      </c>
      <c r="G618" s="16" t="n">
        <f aca="false">IF(F618="","",F618/1000)</f>
        <v>0.1452</v>
      </c>
      <c r="H618" s="16" t="n">
        <f aca="false">IF(D618="","",MAX(0,MIN($B$8,IFERROR(LOOKUP(2,1/($U$24:U617&lt;&gt;""),$U$24:U617),$B$11))))</f>
        <v>5.18879389578853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0.731846310587664</v>
      </c>
      <c r="J618" s="16" t="n">
        <f aca="false">IF(D618="","",$B$12)</f>
        <v>0.25</v>
      </c>
      <c r="K618" s="16" t="n">
        <f aca="false">IF(J618="","",J618*$B$15)</f>
        <v>0.648</v>
      </c>
      <c r="L618" s="16" t="n">
        <f aca="false">IF(D618="","",H618+E618-K618-G618*I618)</f>
        <v>4.75966351809012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0.706813705221924</v>
      </c>
      <c r="N618" s="16" t="n">
        <f aca="false">IF(D618="","",(I618+M618)/2)</f>
        <v>0.719330007904794</v>
      </c>
      <c r="O618" s="16" t="n">
        <f aca="false">IF(D618="","",G618*N618)</f>
        <v>0.104446717147776</v>
      </c>
      <c r="P618" s="16" t="n">
        <f aca="false">IF(D618="","",H618+E618-K618-O618)</f>
        <v>4.76148088523968</v>
      </c>
      <c r="Q618" s="16" t="n">
        <f aca="false">IF(D618="","",IF(P618&gt;=0,K618,MAX(0,K618+P618)))</f>
        <v>0.648</v>
      </c>
      <c r="R618" s="16" t="n">
        <f aca="false">IF(D618="","",Q618/$B$15)</f>
        <v>0.25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4.76148088523968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22.3543703532379</v>
      </c>
      <c r="Z618" s="18" t="n">
        <f aca="false">IF(D618="","",MAX(0,IF(P618&gt;=0,P618,IF(K618+P618&gt;=0,0,P618+K618))))</f>
        <v>4.76148088523968</v>
      </c>
      <c r="AA618" s="18" t="n">
        <f aca="false">IF(D618="","",IF(H618&lt;=$B$16,1,IF(H618&gt;=$B$17,$B$21,MATCH(H618,Aux_CAV!$A$2:$A$121,1))))</f>
        <v>4</v>
      </c>
      <c r="AB618" s="18" t="n">
        <f aca="false">IF(D618="","",IF(L618&lt;=$B$16,1,IF(L618&gt;=$B$17,$B$21,MATCH(L618,Aux_CAV!$A$2:$A$121,1))))</f>
        <v>4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0.113440929828527</v>
      </c>
      <c r="E619" s="16" t="n">
        <f aca="false">IF(D619="","",D619*$B$15)</f>
        <v>0.294038890115542</v>
      </c>
      <c r="F619" s="16" t="n">
        <f aca="false" t="array" ref="F619:F619">IF(D619="","",IFERROR(INDEX(Dados_Evap!$C$2:$N$15,MATCH($B$9,Dados_Evap!$A$2:$A$15,0),C619),0))</f>
        <v>180.9</v>
      </c>
      <c r="G619" s="16" t="n">
        <f aca="false">IF(F619="","",F619/1000)</f>
        <v>0.1809</v>
      </c>
      <c r="H619" s="16" t="n">
        <f aca="false">IF(D619="","",MAX(0,MIN($B$8,IFERROR(LOOKUP(2,1/($U$24:U618&lt;&gt;""),$U$24:U618),$B$11))))</f>
        <v>4.76148088523968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0.706919718305648</v>
      </c>
      <c r="J619" s="16" t="n">
        <f aca="false">IF(D619="","",$B$12)</f>
        <v>0.25</v>
      </c>
      <c r="K619" s="16" t="n">
        <f aca="false">IF(J619="","",J619*$B$15)</f>
        <v>0.648</v>
      </c>
      <c r="L619" s="16" t="n">
        <f aca="false">IF(D619="","",H619+E619-K619-G619*I619)</f>
        <v>4.27963799831373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0.678812216568301</v>
      </c>
      <c r="N619" s="16" t="n">
        <f aca="false">IF(D619="","",(I619+M619)/2)</f>
        <v>0.692865967436974</v>
      </c>
      <c r="O619" s="16" t="n">
        <f aca="false">IF(D619="","",G619*N619)</f>
        <v>0.125339453509349</v>
      </c>
      <c r="P619" s="16" t="n">
        <f aca="false">IF(D619="","",H619+E619-K619-O619)</f>
        <v>4.28218032184587</v>
      </c>
      <c r="Q619" s="16" t="n">
        <f aca="false">IF(D619="","",IF(P619&gt;=0,K619,MAX(0,K619+P619)))</f>
        <v>0.648</v>
      </c>
      <c r="R619" s="16" t="n">
        <f aca="false">IF(D619="","",Q619/$B$15)</f>
        <v>0.25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4.28218032184587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20.1041329664125</v>
      </c>
      <c r="Z619" s="18" t="n">
        <f aca="false">IF(D619="","",MAX(0,IF(P619&gt;=0,P619,IF(K619+P619&gt;=0,0,P619+K619))))</f>
        <v>4.28218032184587</v>
      </c>
      <c r="AA619" s="18" t="n">
        <f aca="false">IF(D619="","",IF(H619&lt;=$B$16,1,IF(H619&gt;=$B$17,$B$21,MATCH(H619,Aux_CAV!$A$2:$A$121,1))))</f>
        <v>4</v>
      </c>
      <c r="AB619" s="18" t="n">
        <f aca="false">IF(D619="","",IF(L619&lt;=$B$16,1,IF(L619&gt;=$B$17,$B$21,MATCH(L619,Aux_CAV!$A$2:$A$121,1))))</f>
        <v>4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0.06009942308777</v>
      </c>
      <c r="E620" s="16" t="n">
        <f aca="false">IF(D620="","",D620*$B$15)</f>
        <v>0.1557777046435</v>
      </c>
      <c r="F620" s="16" t="n">
        <f aca="false" t="array" ref="F620:F620">IF(D620="","",IFERROR(INDEX(Dados_Evap!$C$2:$N$15,MATCH($B$9,Dados_Evap!$A$2:$A$15,0),C620),0))</f>
        <v>208.9</v>
      </c>
      <c r="G620" s="16" t="n">
        <f aca="false">IF(F620="","",F620/1000)</f>
        <v>0.2089</v>
      </c>
      <c r="H620" s="16" t="n">
        <f aca="false">IF(D620="","",MAX(0,MIN($B$8,IFERROR(LOOKUP(2,1/($U$24:U619&lt;&gt;""),$U$24:U619),$B$11))))</f>
        <v>4.28218032184587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0.678960518774342</v>
      </c>
      <c r="J620" s="16" t="n">
        <f aca="false">IF(D620="","",$B$12)</f>
        <v>0.25</v>
      </c>
      <c r="K620" s="16" t="n">
        <f aca="false">IF(J620="","",J620*$B$15)</f>
        <v>0.648</v>
      </c>
      <c r="L620" s="16" t="n">
        <f aca="false">IF(D620="","",H620+E620-K620-G620*I620)</f>
        <v>3.64812317411741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0.641973851823515</v>
      </c>
      <c r="N620" s="16" t="n">
        <f aca="false">IF(D620="","",(I620+M620)/2)</f>
        <v>0.660467185298929</v>
      </c>
      <c r="O620" s="16" t="n">
        <f aca="false">IF(D620="","",G620*N620)</f>
        <v>0.137971595008946</v>
      </c>
      <c r="P620" s="16" t="n">
        <f aca="false">IF(D620="","",H620+E620-K620-O620)</f>
        <v>3.65198643148042</v>
      </c>
      <c r="Q620" s="16" t="n">
        <f aca="false">IF(D620="","",IF(P620&gt;=0,K620,MAX(0,K620+P620)))</f>
        <v>0.648</v>
      </c>
      <c r="R620" s="16" t="n">
        <f aca="false">IF(D620="","",Q620/$B$15)</f>
        <v>0.25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3.65198643148042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17.1454762041334</v>
      </c>
      <c r="Z620" s="18" t="n">
        <f aca="false">IF(D620="","",MAX(0,IF(P620&gt;=0,P620,IF(K620+P620&gt;=0,0,P620+K620))))</f>
        <v>3.65198643148042</v>
      </c>
      <c r="AA620" s="18" t="n">
        <f aca="false">IF(D620="","",IF(H620&lt;=$B$16,1,IF(H620&gt;=$B$17,$B$21,MATCH(H620,Aux_CAV!$A$2:$A$121,1))))</f>
        <v>4</v>
      </c>
      <c r="AB620" s="18" t="n">
        <f aca="false">IF(D620="","",IF(L620&lt;=$B$16,1,IF(L620&gt;=$B$17,$B$21,MATCH(L620,Aux_CAV!$A$2:$A$121,1))))</f>
        <v>4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0.035901785942145</v>
      </c>
      <c r="E621" s="16" t="n">
        <f aca="false">IF(D621="","",D621*$B$15)</f>
        <v>0.0930574291620398</v>
      </c>
      <c r="F621" s="16" t="n">
        <f aca="false" t="array" ref="F621:F621">IF(D621="","",IFERROR(INDEX(Dados_Evap!$C$2:$N$15,MATCH($B$9,Dados_Evap!$A$2:$A$15,0),C621),0))</f>
        <v>235.9</v>
      </c>
      <c r="G621" s="16" t="n">
        <f aca="false">IF(F621="","",F621/1000)</f>
        <v>0.2359</v>
      </c>
      <c r="H621" s="16" t="n">
        <f aca="false">IF(D621="","",MAX(0,MIN($B$8,IFERROR(LOOKUP(2,1/($U$24:U620&lt;&gt;""),$U$24:U620),$B$11))))</f>
        <v>3.65198643148042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0.642199208503025</v>
      </c>
      <c r="J621" s="16" t="n">
        <f aca="false">IF(D621="","",$B$12)</f>
        <v>0.25</v>
      </c>
      <c r="K621" s="16" t="n">
        <f aca="false">IF(J621="","",J621*$B$15)</f>
        <v>0.648</v>
      </c>
      <c r="L621" s="16" t="n">
        <f aca="false">IF(D621="","",H621+E621-K621-G621*I621)</f>
        <v>2.9455490673566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0.588130841395624</v>
      </c>
      <c r="N621" s="16" t="n">
        <f aca="false">IF(D621="","",(I621+M621)/2)</f>
        <v>0.615165024949325</v>
      </c>
      <c r="O621" s="16" t="n">
        <f aca="false">IF(D621="","",G621*N621)</f>
        <v>0.145117429385546</v>
      </c>
      <c r="P621" s="16" t="n">
        <f aca="false">IF(D621="","",H621+E621-K621-O621)</f>
        <v>2.95192643125692</v>
      </c>
      <c r="Q621" s="16" t="n">
        <f aca="false">IF(D621="","",IF(P621&gt;=0,K621,MAX(0,K621+P621)))</f>
        <v>0.648</v>
      </c>
      <c r="R621" s="16" t="n">
        <f aca="false">IF(D621="","",Q621/$B$15)</f>
        <v>0.25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2.95192643125692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13.8588095364174</v>
      </c>
      <c r="Z621" s="18" t="n">
        <f aca="false">IF(D621="","",MAX(0,IF(P621&gt;=0,P621,IF(K621+P621&gt;=0,0,P621+K621))))</f>
        <v>2.95192643125692</v>
      </c>
      <c r="AA621" s="18" t="n">
        <f aca="false">IF(D621="","",IF(H621&lt;=$B$16,1,IF(H621&gt;=$B$17,$B$21,MATCH(H621,Aux_CAV!$A$2:$A$121,1))))</f>
        <v>4</v>
      </c>
      <c r="AB621" s="18" t="n">
        <f aca="false">IF(D621="","",IF(L621&lt;=$B$16,1,IF(L621&gt;=$B$17,$B$21,MATCH(L621,Aux_CAV!$A$2:$A$121,1))))</f>
        <v>3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0.0210470511063853</v>
      </c>
      <c r="E622" s="16" t="n">
        <f aca="false">IF(D622="","",D622*$B$15)</f>
        <v>0.0545539564677507</v>
      </c>
      <c r="F622" s="16" t="n">
        <f aca="false" t="array" ref="F622:F622">IF(D622="","",IFERROR(INDEX(Dados_Evap!$C$2:$N$15,MATCH($B$9,Dados_Evap!$A$2:$A$15,0),C622),0))</f>
        <v>225.9</v>
      </c>
      <c r="G622" s="16" t="n">
        <f aca="false">IF(F622="","",F622/1000)</f>
        <v>0.2259</v>
      </c>
      <c r="H622" s="16" t="n">
        <f aca="false">IF(D622="","",MAX(0,MIN($B$8,IFERROR(LOOKUP(2,1/($U$24:U621&lt;&gt;""),$U$24:U621),$B$11))))</f>
        <v>2.95192643125692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0.589033830974431</v>
      </c>
      <c r="J622" s="16" t="n">
        <f aca="false">IF(D622="","",$B$12)</f>
        <v>0.25</v>
      </c>
      <c r="K622" s="16" t="n">
        <f aca="false">IF(J622="","",J622*$B$15)</f>
        <v>0.648</v>
      </c>
      <c r="L622" s="16" t="n">
        <f aca="false">IF(D622="","",H622+E622-K622-G622*I622)</f>
        <v>2.22541764530754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0.486165330309032</v>
      </c>
      <c r="N622" s="16" t="n">
        <f aca="false">IF(D622="","",(I622+M622)/2)</f>
        <v>0.537599580641732</v>
      </c>
      <c r="O622" s="16" t="n">
        <f aca="false">IF(D622="","",G622*N622)</f>
        <v>0.121443745266967</v>
      </c>
      <c r="P622" s="16" t="n">
        <f aca="false">IF(D622="","",H622+E622-K622-O622)</f>
        <v>2.2370366424577</v>
      </c>
      <c r="Q622" s="16" t="n">
        <f aca="false">IF(D622="","",IF(P622&gt;=0,K622,MAX(0,K622+P622)))</f>
        <v>0.648</v>
      </c>
      <c r="R622" s="16" t="n">
        <f aca="false">IF(D622="","",Q622/$B$15)</f>
        <v>0.25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2.2370366424577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10.5025194481582</v>
      </c>
      <c r="Z622" s="18" t="n">
        <f aca="false">IF(D622="","",MAX(0,IF(P622&gt;=0,P622,IF(K622+P622&gt;=0,0,P622+K622))))</f>
        <v>2.2370366424577</v>
      </c>
      <c r="AA622" s="18" t="n">
        <f aca="false">IF(D622="","",IF(H622&lt;=$B$16,1,IF(H622&gt;=$B$17,$B$21,MATCH(H622,Aux_CAV!$A$2:$A$121,1))))</f>
        <v>3</v>
      </c>
      <c r="AB622" s="18" t="n">
        <f aca="false">IF(D622="","",IF(L622&lt;=$B$16,1,IF(L622&gt;=$B$17,$B$21,MATCH(L622,Aux_CAV!$A$2:$A$121,1))))</f>
        <v>3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0.0265305494533114</v>
      </c>
      <c r="E623" s="16" t="n">
        <f aca="false">IF(D623="","",D623*$B$15)</f>
        <v>0.0687671841829832</v>
      </c>
      <c r="F623" s="16" t="n">
        <f aca="false" t="array" ref="F623:F623">IF(D623="","",IFERROR(INDEX(Dados_Evap!$C$2:$N$15,MATCH($B$9,Dados_Evap!$A$2:$A$15,0),C623),0))</f>
        <v>206</v>
      </c>
      <c r="G623" s="16" t="n">
        <f aca="false">IF(F623="","",F623/1000)</f>
        <v>0.206</v>
      </c>
      <c r="H623" s="16" t="n">
        <f aca="false">IF(D623="","",MAX(0,MIN($B$8,IFERROR(LOOKUP(2,1/($U$24:U622&lt;&gt;""),$U$24:U622),$B$11))))</f>
        <v>2.2370366424577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0.487810498047108</v>
      </c>
      <c r="J623" s="16" t="n">
        <f aca="false">IF(D623="","",$B$12)</f>
        <v>0.25</v>
      </c>
      <c r="K623" s="16" t="n">
        <f aca="false">IF(J623="","",J623*$B$15)</f>
        <v>0.648</v>
      </c>
      <c r="L623" s="16" t="n">
        <f aca="false">IF(D623="","",H623+E623-K623-G623*I623)</f>
        <v>1.55731486404298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0.391566706413165</v>
      </c>
      <c r="N623" s="16" t="n">
        <f aca="false">IF(D623="","",(I623+M623)/2)</f>
        <v>0.439688602230136</v>
      </c>
      <c r="O623" s="16" t="n">
        <f aca="false">IF(D623="","",G623*N623)</f>
        <v>0.0905758520594081</v>
      </c>
      <c r="P623" s="16" t="n">
        <f aca="false">IF(D623="","",H623+E623-K623-O623)</f>
        <v>1.56722797458127</v>
      </c>
      <c r="Q623" s="16" t="n">
        <f aca="false">IF(D623="","",IF(P623&gt;=0,K623,MAX(0,K623+P623)))</f>
        <v>0.648</v>
      </c>
      <c r="R623" s="16" t="n">
        <f aca="false">IF(D623="","",Q623/$B$15)</f>
        <v>0.25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1.56722797458127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7.35787781493556</v>
      </c>
      <c r="Z623" s="18" t="n">
        <f aca="false">IF(D623="","",MAX(0,IF(P623&gt;=0,P623,IF(K623+P623&gt;=0,0,P623+K623))))</f>
        <v>1.56722797458127</v>
      </c>
      <c r="AA623" s="18" t="n">
        <f aca="false">IF(D623="","",IF(H623&lt;=$B$16,1,IF(H623&gt;=$B$17,$B$21,MATCH(H623,Aux_CAV!$A$2:$A$121,1))))</f>
        <v>3</v>
      </c>
      <c r="AB623" s="18" t="n">
        <f aca="false">IF(D623="","",IF(L623&lt;=$B$16,1,IF(L623&gt;=$B$17,$B$21,MATCH(L623,Aux_CAV!$A$2:$A$121,1))))</f>
        <v>3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0.0316498734831071</v>
      </c>
      <c r="E624" s="16" t="n">
        <f aca="false">IF(D624="","",D624*$B$15)</f>
        <v>0.0820364720682136</v>
      </c>
      <c r="F624" s="16" t="n">
        <f aca="false" t="array" ref="F624:F624">IF(D624="","",IFERROR(INDEX(Dados_Evap!$C$2:$N$15,MATCH($B$9,Dados_Evap!$A$2:$A$15,0),C624),0))</f>
        <v>165.6</v>
      </c>
      <c r="G624" s="16" t="n">
        <f aca="false">IF(F624="","",F624/1000)</f>
        <v>0.1656</v>
      </c>
      <c r="H624" s="16" t="n">
        <f aca="false">IF(D624="","",MAX(0,MIN($B$8,IFERROR(LOOKUP(2,1/($U$24:U623&lt;&gt;""),$U$24:U623),$B$11))))</f>
        <v>1.56722797458127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0.392970332684074</v>
      </c>
      <c r="J624" s="16" t="n">
        <f aca="false">IF(D624="","",$B$12)</f>
        <v>0.25</v>
      </c>
      <c r="K624" s="16" t="n">
        <f aca="false">IF(J624="","",J624*$B$15)</f>
        <v>0.648</v>
      </c>
      <c r="L624" s="16" t="n">
        <f aca="false">IF(D624="","",H624+E624-K624-G624*I624)</f>
        <v>0.936188559557005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0.303619619052319</v>
      </c>
      <c r="N624" s="16" t="n">
        <f aca="false">IF(D624="","",(I624+M624)/2)</f>
        <v>0.348294975868197</v>
      </c>
      <c r="O624" s="16" t="n">
        <f aca="false">IF(D624="","",G624*N624)</f>
        <v>0.0576776480037734</v>
      </c>
      <c r="P624" s="16" t="n">
        <f aca="false">IF(D624="","",H624+E624-K624-O624)</f>
        <v>0.943586798645714</v>
      </c>
      <c r="Q624" s="16" t="n">
        <f aca="false">IF(D624="","",IF(P624&gt;=0,K624,MAX(0,K624+P624)))</f>
        <v>0.648</v>
      </c>
      <c r="R624" s="16" t="n">
        <f aca="false">IF(D624="","",Q624/$B$15)</f>
        <v>0.25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0.943586798645714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4.42998497016767</v>
      </c>
      <c r="Z624" s="18" t="n">
        <f aca="false">IF(D624="","",MAX(0,IF(P624&gt;=0,P624,IF(K624+P624&gt;=0,0,P624+K624))))</f>
        <v>0.943586798645714</v>
      </c>
      <c r="AA624" s="18" t="n">
        <f aca="false">IF(D624="","",IF(H624&lt;=$B$16,1,IF(H624&gt;=$B$17,$B$21,MATCH(H624,Aux_CAV!$A$2:$A$121,1))))</f>
        <v>3</v>
      </c>
      <c r="AB624" s="18" t="n">
        <f aca="false">IF(D624="","",IF(L624&lt;=$B$16,1,IF(L624&gt;=$B$17,$B$21,MATCH(L624,Aux_CAV!$A$2:$A$121,1))))</f>
        <v>3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0.038101799447802</v>
      </c>
      <c r="E625" s="16" t="n">
        <f aca="false">IF(D625="","",D625*$B$15)</f>
        <v>0.0987598641687028</v>
      </c>
      <c r="F625" s="16" t="n">
        <f aca="false" t="array" ref="F625:F625">IF(D625="","",IFERROR(INDEX(Dados_Evap!$C$2:$N$15,MATCH($B$9,Dados_Evap!$A$2:$A$15,0),C625),0))</f>
        <v>124.9</v>
      </c>
      <c r="G625" s="16" t="n">
        <f aca="false">IF(F625="","",F625/1000)</f>
        <v>0.1249</v>
      </c>
      <c r="H625" s="16" t="n">
        <f aca="false">IF(D625="","",MAX(0,MIN($B$8,IFERROR(LOOKUP(2,1/($U$24:U624&lt;&gt;""),$U$24:U624),$B$11))))</f>
        <v>0.943586798645714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0.304667157330367</v>
      </c>
      <c r="J625" s="16" t="n">
        <f aca="false">IF(D625="","",$B$12)</f>
        <v>0.25</v>
      </c>
      <c r="K625" s="16" t="n">
        <f aca="false">IF(J625="","",J625*$B$15)</f>
        <v>0.648</v>
      </c>
      <c r="L625" s="16" t="n">
        <f aca="false">IF(D625="","",H625+E625-K625-G625*I625)</f>
        <v>0.356293734863854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0.12468266887752</v>
      </c>
      <c r="N625" s="16" t="n">
        <f aca="false">IF(D625="","",(I625+M625)/2)</f>
        <v>0.214674913103943</v>
      </c>
      <c r="O625" s="16" t="n">
        <f aca="false">IF(D625="","",G625*N625)</f>
        <v>0.0268128966466825</v>
      </c>
      <c r="P625" s="16" t="n">
        <f aca="false">IF(D625="","",H625+E625-K625-O625)</f>
        <v>0.367533766167734</v>
      </c>
      <c r="Q625" s="16" t="n">
        <f aca="false">IF(D625="","",IF(P625&gt;=0,K625,MAX(0,K625+P625)))</f>
        <v>0.648</v>
      </c>
      <c r="R625" s="16" t="n">
        <f aca="false">IF(D625="","",Q625/$B$15)</f>
        <v>0.25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0.367533766167734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1.72551063928514</v>
      </c>
      <c r="Z625" s="18" t="n">
        <f aca="false">IF(D625="","",MAX(0,IF(P625&gt;=0,P625,IF(K625+P625&gt;=0,0,P625+K625))))</f>
        <v>0.367533766167734</v>
      </c>
      <c r="AA625" s="18" t="n">
        <f aca="false">IF(D625="","",IF(H625&lt;=$B$16,1,IF(H625&gt;=$B$17,$B$21,MATCH(H625,Aux_CAV!$A$2:$A$121,1))))</f>
        <v>3</v>
      </c>
      <c r="AB625" s="18" t="n">
        <f aca="false">IF(D625="","",IF(L625&lt;=$B$16,1,IF(L625&gt;=$B$17,$B$21,MATCH(L625,Aux_CAV!$A$2:$A$121,1))))</f>
        <v>2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0.824707925110097</v>
      </c>
      <c r="E626" s="16" t="n">
        <f aca="false">IF(D626="","",D626*$B$15)</f>
        <v>2.13764294188537</v>
      </c>
      <c r="F626" s="16" t="n">
        <f aca="false" t="array" ref="F626:F626">IF(D626="","",IFERROR(INDEX(Dados_Evap!$C$2:$N$15,MATCH($B$9,Dados_Evap!$A$2:$A$15,0),C626),0))</f>
        <v>88.2</v>
      </c>
      <c r="G626" s="16" t="n">
        <f aca="false">IF(F626="","",F626/1000)</f>
        <v>0.0882</v>
      </c>
      <c r="H626" s="16" t="n">
        <f aca="false">IF(D626="","",MAX(0,MIN($B$8,IFERROR(LOOKUP(2,1/($U$24:U625&lt;&gt;""),$U$24:U625),$B$11))))</f>
        <v>0.367533766167734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0.128524198563656</v>
      </c>
      <c r="J626" s="16" t="n">
        <f aca="false">IF(D626="","",$B$12)</f>
        <v>0.25</v>
      </c>
      <c r="K626" s="16" t="n">
        <f aca="false">IF(J626="","",J626*$B$15)</f>
        <v>0.648</v>
      </c>
      <c r="L626" s="16" t="n">
        <f aca="false">IF(D626="","",H626+E626-K626-G626*I626)</f>
        <v>1.84584087373979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0.432419946724218</v>
      </c>
      <c r="N626" s="16" t="n">
        <f aca="false">IF(D626="","",(I626+M626)/2)</f>
        <v>0.280472072643937</v>
      </c>
      <c r="O626" s="16" t="n">
        <f aca="false">IF(D626="","",G626*N626)</f>
        <v>0.0247376368071953</v>
      </c>
      <c r="P626" s="16" t="n">
        <f aca="false">IF(D626="","",H626+E626-K626-O626)</f>
        <v>1.83243907124591</v>
      </c>
      <c r="Q626" s="16" t="n">
        <f aca="false">IF(D626="","",IF(P626&gt;=0,K626,MAX(0,K626+P626)))</f>
        <v>0.648</v>
      </c>
      <c r="R626" s="16" t="n">
        <f aca="false">IF(D626="","",Q626/$B$15)</f>
        <v>0.25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1.83243907124591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8.60300033448784</v>
      </c>
      <c r="Z626" s="18" t="n">
        <f aca="false">IF(D626="","",MAX(0,IF(P626&gt;=0,P626,IF(K626+P626&gt;=0,0,P626+K626))))</f>
        <v>1.83243907124591</v>
      </c>
      <c r="AA626" s="18" t="n">
        <f aca="false">IF(D626="","",IF(H626&lt;=$B$16,1,IF(H626&gt;=$B$17,$B$21,MATCH(H626,Aux_CAV!$A$2:$A$121,1))))</f>
        <v>2</v>
      </c>
      <c r="AB626" s="18" t="n">
        <f aca="false">IF(D626="","",IF(L626&lt;=$B$16,1,IF(L626&gt;=$B$17,$B$21,MATCH(L626,Aux_CAV!$A$2:$A$121,1))))</f>
        <v>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0.729104444423878</v>
      </c>
      <c r="E627" s="16" t="n">
        <f aca="false">IF(D627="","",D627*$B$15)</f>
        <v>1.88983871994669</v>
      </c>
      <c r="F627" s="16" t="n">
        <f aca="false" t="array" ref="F627:F627">IF(D627="","",IFERROR(INDEX(Dados_Evap!$C$2:$N$15,MATCH($B$9,Dados_Evap!$A$2:$A$15,0),C627),0))</f>
        <v>88.2</v>
      </c>
      <c r="G627" s="16" t="n">
        <f aca="false">IF(F627="","",F627/1000)</f>
        <v>0.0882</v>
      </c>
      <c r="H627" s="16" t="n">
        <f aca="false">IF(D627="","",MAX(0,MIN($B$8,IFERROR(LOOKUP(2,1/($U$24:U626&lt;&gt;""),$U$24:U626),$B$11))))</f>
        <v>1.83243907124591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0.430522346371102</v>
      </c>
      <c r="J627" s="16" t="n">
        <f aca="false">IF(D627="","",$B$12)</f>
        <v>0.25</v>
      </c>
      <c r="K627" s="16" t="n">
        <f aca="false">IF(J627="","",J627*$B$15)</f>
        <v>0.648</v>
      </c>
      <c r="L627" s="16" t="n">
        <f aca="false">IF(D627="","",H627+E627-K627-G627*I627)</f>
        <v>3.03630572024267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0.600981340919316</v>
      </c>
      <c r="N627" s="16" t="n">
        <f aca="false">IF(D627="","",(I627+M627)/2)</f>
        <v>0.515751843645209</v>
      </c>
      <c r="O627" s="16" t="n">
        <f aca="false">IF(D627="","",G627*N627)</f>
        <v>0.0454893126095075</v>
      </c>
      <c r="P627" s="16" t="n">
        <f aca="false">IF(D627="","",H627+E627-K627-O627)</f>
        <v>3.0287884785831</v>
      </c>
      <c r="Q627" s="16" t="n">
        <f aca="false">IF(D627="","",IF(P627&gt;=0,K627,MAX(0,K627+P627)))</f>
        <v>0.648</v>
      </c>
      <c r="R627" s="16" t="n">
        <f aca="false">IF(D627="","",Q627/$B$15)</f>
        <v>0.25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3.0287884785831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14.2196642187</v>
      </c>
      <c r="Z627" s="18" t="n">
        <f aca="false">IF(D627="","",MAX(0,IF(P627&gt;=0,P627,IF(K627+P627&gt;=0,0,P627+K627))))</f>
        <v>3.0287884785831</v>
      </c>
      <c r="AA627" s="18" t="n">
        <f aca="false">IF(D627="","",IF(H627&lt;=$B$16,1,IF(H627&gt;=$B$17,$B$21,MATCH(H627,Aux_CAV!$A$2:$A$121,1))))</f>
        <v>3</v>
      </c>
      <c r="AB627" s="18" t="n">
        <f aca="false">IF(D627="","",IF(L627&lt;=$B$16,1,IF(L627&gt;=$B$17,$B$21,MATCH(L627,Aux_CAV!$A$2:$A$121,1))))</f>
        <v>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0.207549768190901</v>
      </c>
      <c r="E628" s="16" t="n">
        <f aca="false">IF(D628="","",D628*$B$15)</f>
        <v>0.537968999150815</v>
      </c>
      <c r="F628" s="16" t="n">
        <f aca="false" t="array" ref="F628:F628">IF(D628="","",IFERROR(INDEX(Dados_Evap!$C$2:$N$15,MATCH($B$9,Dados_Evap!$A$2:$A$15,0),C628),0))</f>
        <v>83.9</v>
      </c>
      <c r="G628" s="16" t="n">
        <f aca="false">IF(F628="","",F628/1000)</f>
        <v>0.0839</v>
      </c>
      <c r="H628" s="16" t="n">
        <f aca="false">IF(D628="","",MAX(0,MIN($B$8,IFERROR(LOOKUP(2,1/($U$24:U627&lt;&gt;""),$U$24:U627),$B$11))))</f>
        <v>3.0287884785831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0.59991695271973</v>
      </c>
      <c r="J628" s="16" t="n">
        <f aca="false">IF(D628="","",$B$12)</f>
        <v>0.25</v>
      </c>
      <c r="K628" s="16" t="n">
        <f aca="false">IF(J628="","",J628*$B$15)</f>
        <v>0.648</v>
      </c>
      <c r="L628" s="16" t="n">
        <f aca="false">IF(D628="","",H628+E628-K628-G628*I628)</f>
        <v>2.86842444540073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0.577210540941696</v>
      </c>
      <c r="N628" s="16" t="n">
        <f aca="false">IF(D628="","",(I628+M628)/2)</f>
        <v>0.588563746830713</v>
      </c>
      <c r="O628" s="16" t="n">
        <f aca="false">IF(D628="","",G628*N628)</f>
        <v>0.0493804983590968</v>
      </c>
      <c r="P628" s="16" t="n">
        <f aca="false">IF(D628="","",H628+E628-K628-O628)</f>
        <v>2.86937697937481</v>
      </c>
      <c r="Q628" s="16" t="n">
        <f aca="false">IF(D628="","",IF(P628&gt;=0,K628,MAX(0,K628+P628)))</f>
        <v>0.648</v>
      </c>
      <c r="R628" s="16" t="n">
        <f aca="false">IF(D628="","",Q628/$B$15)</f>
        <v>0.25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2.86937697937481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13.4712534242949</v>
      </c>
      <c r="Z628" s="18" t="n">
        <f aca="false">IF(D628="","",MAX(0,IF(P628&gt;=0,P628,IF(K628+P628&gt;=0,0,P628+K628))))</f>
        <v>2.86937697937481</v>
      </c>
      <c r="AA628" s="18" t="n">
        <f aca="false">IF(D628="","",IF(H628&lt;=$B$16,1,IF(H628&gt;=$B$17,$B$21,MATCH(H628,Aux_CAV!$A$2:$A$121,1))))</f>
        <v>3</v>
      </c>
      <c r="AB628" s="18" t="n">
        <f aca="false">IF(D628="","",IF(L628&lt;=$B$16,1,IF(L628&gt;=$B$17,$B$21,MATCH(L628,Aux_CAV!$A$2:$A$121,1))))</f>
        <v>3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0.230683159931877</v>
      </c>
      <c r="E629" s="16" t="n">
        <f aca="false">IF(D629="","",D629*$B$15)</f>
        <v>0.597930750543425</v>
      </c>
      <c r="F629" s="16" t="n">
        <f aca="false" t="array" ref="F629:F629">IF(D629="","",IFERROR(INDEX(Dados_Evap!$C$2:$N$15,MATCH($B$9,Dados_Evap!$A$2:$A$15,0),C629),0))</f>
        <v>104.7</v>
      </c>
      <c r="G629" s="16" t="n">
        <f aca="false">IF(F629="","",F629/1000)</f>
        <v>0.1047</v>
      </c>
      <c r="H629" s="16" t="n">
        <f aca="false">IF(D629="","",MAX(0,MIN($B$8,IFERROR(LOOKUP(2,1/($U$24:U628&lt;&gt;""),$U$24:U628),$B$11))))</f>
        <v>2.86937697937481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0.577345413008823</v>
      </c>
      <c r="J629" s="16" t="n">
        <f aca="false">IF(D629="","",$B$12)</f>
        <v>0.25</v>
      </c>
      <c r="K629" s="16" t="n">
        <f aca="false">IF(J629="","",J629*$B$15)</f>
        <v>0.648</v>
      </c>
      <c r="L629" s="16" t="n">
        <f aca="false">IF(D629="","",H629+E629-K629-G629*I629)</f>
        <v>2.75885966517621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0.561696943741765</v>
      </c>
      <c r="N629" s="16" t="n">
        <f aca="false">IF(D629="","",(I629+M629)/2)</f>
        <v>0.569521178375294</v>
      </c>
      <c r="O629" s="16" t="n">
        <f aca="false">IF(D629="","",G629*N629)</f>
        <v>0.0596288673758933</v>
      </c>
      <c r="P629" s="16" t="n">
        <f aca="false">IF(D629="","",H629+E629-K629-O629)</f>
        <v>2.75967886254234</v>
      </c>
      <c r="Q629" s="16" t="n">
        <f aca="false">IF(D629="","",IF(P629&gt;=0,K629,MAX(0,K629+P629)))</f>
        <v>0.648</v>
      </c>
      <c r="R629" s="16" t="n">
        <f aca="false">IF(D629="","",Q629/$B$15)</f>
        <v>0.25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2.75967886254234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12.9562387912786</v>
      </c>
      <c r="Z629" s="18" t="n">
        <f aca="false">IF(D629="","",MAX(0,IF(P629&gt;=0,P629,IF(K629+P629&gt;=0,0,P629+K629))))</f>
        <v>2.75967886254234</v>
      </c>
      <c r="AA629" s="18" t="n">
        <f aca="false">IF(D629="","",IF(H629&lt;=$B$16,1,IF(H629&gt;=$B$17,$B$21,MATCH(H629,Aux_CAV!$A$2:$A$121,1))))</f>
        <v>3</v>
      </c>
      <c r="AB629" s="18" t="n">
        <f aca="false">IF(D629="","",IF(L629&lt;=$B$16,1,IF(L629&gt;=$B$17,$B$21,MATCH(L629,Aux_CAV!$A$2:$A$121,1))))</f>
        <v>3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0.118864892949647</v>
      </c>
      <c r="E630" s="16" t="n">
        <f aca="false">IF(D630="","",D630*$B$15)</f>
        <v>0.308097802525485</v>
      </c>
      <c r="F630" s="16" t="n">
        <f aca="false" t="array" ref="F630:F630">IF(D630="","",IFERROR(INDEX(Dados_Evap!$C$2:$N$15,MATCH($B$9,Dados_Evap!$A$2:$A$15,0),C630),0))</f>
        <v>145.2</v>
      </c>
      <c r="G630" s="16" t="n">
        <f aca="false">IF(F630="","",F630/1000)</f>
        <v>0.1452</v>
      </c>
      <c r="H630" s="16" t="n">
        <f aca="false">IF(D630="","",MAX(0,MIN($B$8,IFERROR(LOOKUP(2,1/($U$24:U629&lt;&gt;""),$U$24:U629),$B$11))))</f>
        <v>2.75967886254234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0.561812936289182</v>
      </c>
      <c r="J630" s="16" t="n">
        <f aca="false">IF(D630="","",$B$12)</f>
        <v>0.25</v>
      </c>
      <c r="K630" s="16" t="n">
        <f aca="false">IF(J630="","",J630*$B$15)</f>
        <v>0.648</v>
      </c>
      <c r="L630" s="16" t="n">
        <f aca="false">IF(D630="","",H630+E630-K630-G630*I630)</f>
        <v>2.33820142671864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0.502134715287595</v>
      </c>
      <c r="N630" s="16" t="n">
        <f aca="false">IF(D630="","",(I630+M630)/2)</f>
        <v>0.531973825788388</v>
      </c>
      <c r="O630" s="16" t="n">
        <f aca="false">IF(D630="","",G630*N630)</f>
        <v>0.077242599504474</v>
      </c>
      <c r="P630" s="16" t="n">
        <f aca="false">IF(D630="","",H630+E630-K630-O630)</f>
        <v>2.34253406556336</v>
      </c>
      <c r="Q630" s="16" t="n">
        <f aca="false">IF(D630="","",IF(P630&gt;=0,K630,MAX(0,K630+P630)))</f>
        <v>0.648</v>
      </c>
      <c r="R630" s="16" t="n">
        <f aca="false">IF(D630="","",Q630/$B$15)</f>
        <v>0.25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2.34253406556336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10.997812514382</v>
      </c>
      <c r="Z630" s="18" t="n">
        <f aca="false">IF(D630="","",MAX(0,IF(P630&gt;=0,P630,IF(K630+P630&gt;=0,0,P630+K630))))</f>
        <v>2.34253406556336</v>
      </c>
      <c r="AA630" s="18" t="n">
        <f aca="false">IF(D630="","",IF(H630&lt;=$B$16,1,IF(H630&gt;=$B$17,$B$21,MATCH(H630,Aux_CAV!$A$2:$A$121,1))))</f>
        <v>3</v>
      </c>
      <c r="AB630" s="18" t="n">
        <f aca="false">IF(D630="","",IF(L630&lt;=$B$16,1,IF(L630&gt;=$B$17,$B$21,MATCH(L630,Aux_CAV!$A$2:$A$121,1))))</f>
        <v>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0.0423352227326971</v>
      </c>
      <c r="E631" s="16" t="n">
        <f aca="false">IF(D631="","",D631*$B$15)</f>
        <v>0.109732897323151</v>
      </c>
      <c r="F631" s="16" t="n">
        <f aca="false" t="array" ref="F631:F631">IF(D631="","",IFERROR(INDEX(Dados_Evap!$C$2:$N$15,MATCH($B$9,Dados_Evap!$A$2:$A$15,0),C631),0))</f>
        <v>180.9</v>
      </c>
      <c r="G631" s="16" t="n">
        <f aca="false">IF(F631="","",F631/1000)</f>
        <v>0.1809</v>
      </c>
      <c r="H631" s="16" t="n">
        <f aca="false">IF(D631="","",MAX(0,MIN($B$8,IFERROR(LOOKUP(2,1/($U$24:U630&lt;&gt;""),$U$24:U630),$B$11))))</f>
        <v>2.34253406556336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0.502748186274457</v>
      </c>
      <c r="J631" s="16" t="n">
        <f aca="false">IF(D631="","",$B$12)</f>
        <v>0.25</v>
      </c>
      <c r="K631" s="16" t="n">
        <f aca="false">IF(J631="","",J631*$B$15)</f>
        <v>0.648</v>
      </c>
      <c r="L631" s="16" t="n">
        <f aca="false">IF(D631="","",H631+E631-K631-G631*I631)</f>
        <v>1.71331981598946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0.41365590314895</v>
      </c>
      <c r="N631" s="16" t="n">
        <f aca="false">IF(D631="","",(I631+M631)/2)</f>
        <v>0.458202044711704</v>
      </c>
      <c r="O631" s="16" t="n">
        <f aca="false">IF(D631="","",G631*N631)</f>
        <v>0.0828887498883472</v>
      </c>
      <c r="P631" s="16" t="n">
        <f aca="false">IF(D631="","",H631+E631-K631-O631)</f>
        <v>1.72137821299816</v>
      </c>
      <c r="Q631" s="16" t="n">
        <f aca="false">IF(D631="","",IF(P631&gt;=0,K631,MAX(0,K631+P631)))</f>
        <v>0.648</v>
      </c>
      <c r="R631" s="16" t="n">
        <f aca="false">IF(D631="","",Q631/$B$15)</f>
        <v>0.25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1.72137821299816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8.08158785445145</v>
      </c>
      <c r="Z631" s="18" t="n">
        <f aca="false">IF(D631="","",MAX(0,IF(P631&gt;=0,P631,IF(K631+P631&gt;=0,0,P631+K631))))</f>
        <v>1.72137821299816</v>
      </c>
      <c r="AA631" s="18" t="n">
        <f aca="false">IF(D631="","",IF(H631&lt;=$B$16,1,IF(H631&gt;=$B$17,$B$21,MATCH(H631,Aux_CAV!$A$2:$A$121,1))))</f>
        <v>3</v>
      </c>
      <c r="AB631" s="18" t="n">
        <f aca="false">IF(D631="","",IF(L631&lt;=$B$16,1,IF(L631&gt;=$B$17,$B$21,MATCH(L631,Aux_CAV!$A$2:$A$121,1))))</f>
        <v>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0.0301610842915771</v>
      </c>
      <c r="E632" s="16" t="n">
        <f aca="false">IF(D632="","",D632*$B$15)</f>
        <v>0.0781775304837678</v>
      </c>
      <c r="F632" s="16" t="n">
        <f aca="false" t="array" ref="F632:F632">IF(D632="","",IFERROR(INDEX(Dados_Evap!$C$2:$N$15,MATCH($B$9,Dados_Evap!$A$2:$A$15,0),C632),0))</f>
        <v>208.9</v>
      </c>
      <c r="G632" s="16" t="n">
        <f aca="false">IF(F632="","",F632/1000)</f>
        <v>0.2089</v>
      </c>
      <c r="H632" s="16" t="n">
        <f aca="false">IF(D632="","",MAX(0,MIN($B$8,IFERROR(LOOKUP(2,1/($U$24:U631&lt;&gt;""),$U$24:U631),$B$11))))</f>
        <v>1.72137821299816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0.414796915114784</v>
      </c>
      <c r="J632" s="16" t="n">
        <f aca="false">IF(D632="","",$B$12)</f>
        <v>0.25</v>
      </c>
      <c r="K632" s="16" t="n">
        <f aca="false">IF(J632="","",J632*$B$15)</f>
        <v>0.648</v>
      </c>
      <c r="L632" s="16" t="n">
        <f aca="false">IF(D632="","",H632+E632-K632-G632*I632)</f>
        <v>1.06490466791445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0.321844908731249</v>
      </c>
      <c r="N632" s="16" t="n">
        <f aca="false">IF(D632="","",(I632+M632)/2)</f>
        <v>0.368320911923016</v>
      </c>
      <c r="O632" s="16" t="n">
        <f aca="false">IF(D632="","",G632*N632)</f>
        <v>0.0769422385007181</v>
      </c>
      <c r="P632" s="16" t="n">
        <f aca="false">IF(D632="","",H632+E632-K632-O632)</f>
        <v>1.07461350498121</v>
      </c>
      <c r="Q632" s="16" t="n">
        <f aca="false">IF(D632="","",IF(P632&gt;=0,K632,MAX(0,K632+P632)))</f>
        <v>0.648</v>
      </c>
      <c r="R632" s="16" t="n">
        <f aca="false">IF(D632="","",Q632/$B$15)</f>
        <v>0.25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1.07461350498121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5.04513382620286</v>
      </c>
      <c r="Z632" s="18" t="n">
        <f aca="false">IF(D632="","",MAX(0,IF(P632&gt;=0,P632,IF(K632+P632&gt;=0,0,P632+K632))))</f>
        <v>1.07461350498121</v>
      </c>
      <c r="AA632" s="18" t="n">
        <f aca="false">IF(D632="","",IF(H632&lt;=$B$16,1,IF(H632&gt;=$B$17,$B$21,MATCH(H632,Aux_CAV!$A$2:$A$121,1))))</f>
        <v>3</v>
      </c>
      <c r="AB632" s="18" t="n">
        <f aca="false">IF(D632="","",IF(L632&lt;=$B$16,1,IF(L632&gt;=$B$17,$B$21,MATCH(L632,Aux_CAV!$A$2:$A$121,1))))</f>
        <v>3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0.0197158936977425</v>
      </c>
      <c r="E633" s="16" t="n">
        <f aca="false">IF(D633="","",D633*$B$15)</f>
        <v>0.0511035964645486</v>
      </c>
      <c r="F633" s="16" t="n">
        <f aca="false" t="array" ref="F633:F633">IF(D633="","",IFERROR(INDEX(Dados_Evap!$C$2:$N$15,MATCH($B$9,Dados_Evap!$A$2:$A$15,0),C633),0))</f>
        <v>235.9</v>
      </c>
      <c r="G633" s="16" t="n">
        <f aca="false">IF(F633="","",F633/1000)</f>
        <v>0.2359</v>
      </c>
      <c r="H633" s="16" t="n">
        <f aca="false">IF(D633="","",MAX(0,MIN($B$8,IFERROR(LOOKUP(2,1/($U$24:U632&lt;&gt;""),$U$24:U632),$B$11))))</f>
        <v>1.07461350498121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0.323219611324773</v>
      </c>
      <c r="J633" s="16" t="n">
        <f aca="false">IF(D633="","",$B$12)</f>
        <v>0.25</v>
      </c>
      <c r="K633" s="16" t="n">
        <f aca="false">IF(J633="","",J633*$B$15)</f>
        <v>0.648</v>
      </c>
      <c r="L633" s="16" t="n">
        <f aca="false">IF(D633="","",H633+E633-K633-G633*I633)</f>
        <v>0.401469595134243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0.140122519856007</v>
      </c>
      <c r="N633" s="16" t="n">
        <f aca="false">IF(D633="","",(I633+M633)/2)</f>
        <v>0.23167106559039</v>
      </c>
      <c r="O633" s="16" t="n">
        <f aca="false">IF(D633="","",G633*N633)</f>
        <v>0.054651204372773</v>
      </c>
      <c r="P633" s="16" t="n">
        <f aca="false">IF(D633="","",H633+E633-K633-O633)</f>
        <v>0.423065897072984</v>
      </c>
      <c r="Q633" s="16" t="n">
        <f aca="false">IF(D633="","",IF(P633&gt;=0,K633,MAX(0,K633+P633)))</f>
        <v>0.648</v>
      </c>
      <c r="R633" s="16" t="n">
        <f aca="false">IF(D633="","",Q633/$B$15)</f>
        <v>0.25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0.423065897072984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1.98622486888725</v>
      </c>
      <c r="Z633" s="18" t="n">
        <f aca="false">IF(D633="","",MAX(0,IF(P633&gt;=0,P633,IF(K633+P633&gt;=0,0,P633+K633))))</f>
        <v>0.423065897072984</v>
      </c>
      <c r="AA633" s="18" t="n">
        <f aca="false">IF(D633="","",IF(H633&lt;=$B$16,1,IF(H633&gt;=$B$17,$B$21,MATCH(H633,Aux_CAV!$A$2:$A$121,1))))</f>
        <v>3</v>
      </c>
      <c r="AB633" s="18" t="n">
        <f aca="false">IF(D633="","",IF(L633&lt;=$B$16,1,IF(L633&gt;=$B$17,$B$21,MATCH(L633,Aux_CAV!$A$2:$A$121,1))))</f>
        <v>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0.00933808290639121</v>
      </c>
      <c r="E634" s="16" t="n">
        <f aca="false">IF(D634="","",D634*$B$15)</f>
        <v>0.024204310893366</v>
      </c>
      <c r="F634" s="16" t="n">
        <f aca="false" t="array" ref="F634:F634">IF(D634="","",IFERROR(INDEX(Dados_Evap!$C$2:$N$15,MATCH($B$9,Dados_Evap!$A$2:$A$15,0),C634),0))</f>
        <v>225.9</v>
      </c>
      <c r="G634" s="16" t="n">
        <f aca="false">IF(F634="","",F634/1000)</f>
        <v>0.2259</v>
      </c>
      <c r="H634" s="16" t="n">
        <f aca="false">IF(D634="","",MAX(0,MIN($B$8,IFERROR(LOOKUP(2,1/($U$24:U633&lt;&gt;""),$U$24:U633),$B$11))))</f>
        <v>0.423065897072984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0.147503534442665</v>
      </c>
      <c r="J634" s="16" t="n">
        <f aca="false">IF(D634="","",$B$12)</f>
        <v>0.25</v>
      </c>
      <c r="K634" s="16" t="n">
        <f aca="false">IF(J634="","",J634*$B$15)</f>
        <v>0.648</v>
      </c>
      <c r="L634" s="16" t="n">
        <f aca="false">IF(D634="","",H634+E634-K634-G634*I634)</f>
        <v>-0.234050840464248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0.0737517672213327</v>
      </c>
      <c r="O634" s="16" t="n">
        <f aca="false">IF(D634="","",G634*N634)</f>
        <v>0.0166605242152991</v>
      </c>
      <c r="P634" s="16" t="n">
        <f aca="false">IF(D634="","",H634+E634-K634-O634)</f>
        <v>-0.217390316248949</v>
      </c>
      <c r="Q634" s="16" t="n">
        <f aca="false">IF(D634="","",IF(P634&gt;=0,K634,MAX(0,K634+P634)))</f>
        <v>0.430609683751051</v>
      </c>
      <c r="R634" s="16" t="n">
        <f aca="false">IF(D634="","",Q634/$B$15)</f>
        <v>0.166130279224943</v>
      </c>
      <c r="S634" s="16" t="n">
        <f aca="false">IF(D634="","",MAX(0,J634-R634))</f>
        <v>0.0838697207750575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2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0.0140699115912518</v>
      </c>
      <c r="E635" s="16" t="n">
        <f aca="false">IF(D635="","",D635*$B$15)</f>
        <v>0.0364692108445247</v>
      </c>
      <c r="F635" s="16" t="n">
        <f aca="false" t="array" ref="F635:F635">IF(D635="","",IFERROR(INDEX(Dados_Evap!$C$2:$N$15,MATCH($B$9,Dados_Evap!$A$2:$A$15,0),C635),0))</f>
        <v>206</v>
      </c>
      <c r="G635" s="16" t="n">
        <f aca="false">IF(F635="","",F635/1000)</f>
        <v>0.206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0.25</v>
      </c>
      <c r="K635" s="16" t="n">
        <f aca="false">IF(J635="","",J635*$B$15)</f>
        <v>0.648</v>
      </c>
      <c r="L635" s="16" t="n">
        <f aca="false">IF(D635="","",H635+E635-K635-G635*I635)</f>
        <v>-0.611530789155475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-0.611530789155475</v>
      </c>
      <c r="Q635" s="16" t="n">
        <f aca="false">IF(D635="","",IF(P635&gt;=0,K635,MAX(0,K635+P635)))</f>
        <v>0.0364692108445247</v>
      </c>
      <c r="R635" s="16" t="n">
        <f aca="false">IF(D635="","",Q635/$B$15)</f>
        <v>0.0140699115912518</v>
      </c>
      <c r="S635" s="16" t="n">
        <f aca="false">IF(D635="","",MAX(0,J635-R635))</f>
        <v>0.235930088408748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0.0829133399813555</v>
      </c>
      <c r="E636" s="16" t="n">
        <f aca="false">IF(D636="","",D636*$B$15)</f>
        <v>0.214911377231673</v>
      </c>
      <c r="F636" s="16" t="n">
        <f aca="false" t="array" ref="F636:F636">IF(D636="","",IFERROR(INDEX(Dados_Evap!$C$2:$N$15,MATCH($B$9,Dados_Evap!$A$2:$A$15,0),C636),0))</f>
        <v>165.6</v>
      </c>
      <c r="G636" s="16" t="n">
        <f aca="false">IF(F636="","",F636/1000)</f>
        <v>0.1656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0.25</v>
      </c>
      <c r="K636" s="16" t="n">
        <f aca="false">IF(J636="","",J636*$B$15)</f>
        <v>0.648</v>
      </c>
      <c r="L636" s="16" t="n">
        <f aca="false">IF(D636="","",H636+E636-K636-G636*I636)</f>
        <v>-0.433088622768327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-0.433088622768327</v>
      </c>
      <c r="Q636" s="16" t="n">
        <f aca="false">IF(D636="","",IF(P636&gt;=0,K636,MAX(0,K636+P636)))</f>
        <v>0.214911377231673</v>
      </c>
      <c r="R636" s="16" t="n">
        <f aca="false">IF(D636="","",Q636/$B$15)</f>
        <v>0.0829133399813555</v>
      </c>
      <c r="S636" s="16" t="n">
        <f aca="false">IF(D636="","",MAX(0,J636-R636))</f>
        <v>0.167086660018645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0.76180122424266</v>
      </c>
      <c r="E637" s="16" t="n">
        <f aca="false">IF(D637="","",D637*$B$15)</f>
        <v>1.97458877323697</v>
      </c>
      <c r="F637" s="16" t="n">
        <f aca="false" t="array" ref="F637:F637">IF(D637="","",IFERROR(INDEX(Dados_Evap!$C$2:$N$15,MATCH($B$9,Dados_Evap!$A$2:$A$15,0),C637),0))</f>
        <v>124.9</v>
      </c>
      <c r="G637" s="16" t="n">
        <f aca="false">IF(F637="","",F637/1000)</f>
        <v>0.1249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0.25</v>
      </c>
      <c r="K637" s="16" t="n">
        <f aca="false">IF(J637="","",J637*$B$15)</f>
        <v>0.648</v>
      </c>
      <c r="L637" s="16" t="n">
        <f aca="false">IF(D637="","",H637+E637-K637-G637*I637)</f>
        <v>1.32658877323697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0.358897525414085</v>
      </c>
      <c r="N637" s="16" t="n">
        <f aca="false">IF(D637="","",(I637+M637)/2)</f>
        <v>0.179448762707042</v>
      </c>
      <c r="O637" s="16" t="n">
        <f aca="false">IF(D637="","",G637*N637)</f>
        <v>0.0224131504621096</v>
      </c>
      <c r="P637" s="16" t="n">
        <f aca="false">IF(D637="","",H637+E637-K637-O637)</f>
        <v>1.30417562277486</v>
      </c>
      <c r="Q637" s="16" t="n">
        <f aca="false">IF(D637="","",IF(P637&gt;=0,K637,MAX(0,K637+P637)))</f>
        <v>0.648</v>
      </c>
      <c r="R637" s="16" t="n">
        <f aca="false">IF(D637="","",Q637/$B$15)</f>
        <v>0.25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1.30417562277486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6.12289024776932</v>
      </c>
      <c r="Z637" s="18" t="n">
        <f aca="false">IF(D637="","",MAX(0,IF(P637&gt;=0,P637,IF(K637+P637&gt;=0,0,P637+K637))))</f>
        <v>1.30417562277486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2.14670699458145</v>
      </c>
      <c r="E638" s="16" t="n">
        <f aca="false">IF(D638="","",D638*$B$15)</f>
        <v>5.56426452995512</v>
      </c>
      <c r="F638" s="16" t="n">
        <f aca="false" t="array" ref="F638:F638">IF(D638="","",IFERROR(INDEX(Dados_Evap!$C$2:$N$15,MATCH($B$9,Dados_Evap!$A$2:$A$15,0),C638),0))</f>
        <v>88.2</v>
      </c>
      <c r="G638" s="16" t="n">
        <f aca="false">IF(F638="","",F638/1000)</f>
        <v>0.0882</v>
      </c>
      <c r="H638" s="16" t="n">
        <f aca="false">IF(D638="","",MAX(0,MIN($B$8,IFERROR(LOOKUP(2,1/($U$24:U637&lt;&gt;""),$U$24:U637),$B$11))))</f>
        <v>1.30417562277486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0.355723981985822</v>
      </c>
      <c r="J638" s="16" t="n">
        <f aca="false">IF(D638="","",$B$12)</f>
        <v>0.25</v>
      </c>
      <c r="K638" s="16" t="n">
        <f aca="false">IF(J638="","",J638*$B$15)</f>
        <v>0.648</v>
      </c>
      <c r="L638" s="16" t="n">
        <f aca="false">IF(D638="","",H638+E638-K638-G638*I638)</f>
        <v>6.18906529751883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0.790195475688599</v>
      </c>
      <c r="N638" s="16" t="n">
        <f aca="false">IF(D638="","",(I638+M638)/2)</f>
        <v>0.57295972883721</v>
      </c>
      <c r="O638" s="16" t="n">
        <f aca="false">IF(D638="","",G638*N638)</f>
        <v>0.0505350480834419</v>
      </c>
      <c r="P638" s="16" t="n">
        <f aca="false">IF(D638="","",H638+E638-K638-O638)</f>
        <v>6.16990510464654</v>
      </c>
      <c r="Q638" s="16" t="n">
        <f aca="false">IF(D638="","",IF(P638&gt;=0,K638,MAX(0,K638+P638)))</f>
        <v>0.648</v>
      </c>
      <c r="R638" s="16" t="n">
        <f aca="false">IF(D638="","",Q638/$B$15)</f>
        <v>0.25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6.16990510464654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28.9666906321434</v>
      </c>
      <c r="Z638" s="18" t="n">
        <f aca="false">IF(D638="","",MAX(0,IF(P638&gt;=0,P638,IF(K638+P638&gt;=0,0,P638+K638))))</f>
        <v>6.16990510464654</v>
      </c>
      <c r="AA638" s="18" t="n">
        <f aca="false">IF(D638="","",IF(H638&lt;=$B$16,1,IF(H638&gt;=$B$17,$B$21,MATCH(H638,Aux_CAV!$A$2:$A$121,1))))</f>
        <v>3</v>
      </c>
      <c r="AB638" s="18" t="n">
        <f aca="false">IF(D638="","",IF(L638&lt;=$B$16,1,IF(L638&gt;=$B$17,$B$21,MATCH(L638,Aux_CAV!$A$2:$A$121,1))))</f>
        <v>4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1.9105388524039</v>
      </c>
      <c r="E639" s="16" t="n">
        <f aca="false">IF(D639="","",D639*$B$15)</f>
        <v>4.95211670543091</v>
      </c>
      <c r="F639" s="16" t="n">
        <f aca="false" t="array" ref="F639:F639">IF(D639="","",IFERROR(INDEX(Dados_Evap!$C$2:$N$15,MATCH($B$9,Dados_Evap!$A$2:$A$15,0),C639),0))</f>
        <v>88.2</v>
      </c>
      <c r="G639" s="16" t="n">
        <f aca="false">IF(F639="","",F639/1000)</f>
        <v>0.0882</v>
      </c>
      <c r="H639" s="16" t="n">
        <f aca="false">IF(D639="","",MAX(0,MIN($B$8,IFERROR(LOOKUP(2,1/($U$24:U638&lt;&gt;""),$U$24:U638),$B$11))))</f>
        <v>6.16990510464654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0.789077797771048</v>
      </c>
      <c r="J639" s="16" t="n">
        <f aca="false">IF(D639="","",$B$12)</f>
        <v>0.25</v>
      </c>
      <c r="K639" s="16" t="n">
        <f aca="false">IF(J639="","",J639*$B$15)</f>
        <v>0.648</v>
      </c>
      <c r="L639" s="16" t="n">
        <f aca="false">IF(D639="","",H639+E639-K639-G639*I639)</f>
        <v>10.404425148314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0.942934462886528</v>
      </c>
      <c r="N639" s="16" t="n">
        <f aca="false">IF(D639="","",(I639+M639)/2)</f>
        <v>0.866006130328788</v>
      </c>
      <c r="O639" s="16" t="n">
        <f aca="false">IF(D639="","",G639*N639)</f>
        <v>0.0763817406949991</v>
      </c>
      <c r="P639" s="16" t="n">
        <f aca="false">IF(D639="","",H639+E639-K639-O639)</f>
        <v>10.3976400693825</v>
      </c>
      <c r="Q639" s="16" t="n">
        <f aca="false">IF(D639="","",IF(P639&gt;=0,K639,MAX(0,K639+P639)))</f>
        <v>0.648</v>
      </c>
      <c r="R639" s="16" t="n">
        <f aca="false">IF(D639="","",Q639/$B$15)</f>
        <v>0.25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10.3976400693825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48.8152115933448</v>
      </c>
      <c r="Z639" s="18" t="n">
        <f aca="false">IF(D639="","",MAX(0,IF(P639&gt;=0,P639,IF(K639+P639&gt;=0,0,P639+K639))))</f>
        <v>10.3976400693825</v>
      </c>
      <c r="AA639" s="18" t="n">
        <f aca="false">IF(D639="","",IF(H639&lt;=$B$16,1,IF(H639&gt;=$B$17,$B$21,MATCH(H639,Aux_CAV!$A$2:$A$121,1))))</f>
        <v>4</v>
      </c>
      <c r="AB639" s="18" t="n">
        <f aca="false">IF(D639="","",IF(L639&lt;=$B$16,1,IF(L639&gt;=$B$17,$B$21,MATCH(L639,Aux_CAV!$A$2:$A$121,1))))</f>
        <v>5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1.15483362117524</v>
      </c>
      <c r="E640" s="16" t="n">
        <f aca="false">IF(D640="","",D640*$B$15)</f>
        <v>2.99332874608622</v>
      </c>
      <c r="F640" s="16" t="n">
        <f aca="false" t="array" ref="F640:F640">IF(D640="","",IFERROR(INDEX(Dados_Evap!$C$2:$N$15,MATCH($B$9,Dados_Evap!$A$2:$A$15,0),C640),0))</f>
        <v>83.9</v>
      </c>
      <c r="G640" s="16" t="n">
        <f aca="false">IF(F640="","",F640/1000)</f>
        <v>0.0839</v>
      </c>
      <c r="H640" s="16" t="n">
        <f aca="false">IF(D640="","",MAX(0,MIN($B$8,IFERROR(LOOKUP(2,1/($U$24:U639&lt;&gt;""),$U$24:U639),$B$11))))</f>
        <v>10.3976400693825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0.942709294337913</v>
      </c>
      <c r="J640" s="16" t="n">
        <f aca="false">IF(D640="","",$B$12)</f>
        <v>0.25</v>
      </c>
      <c r="K640" s="16" t="n">
        <f aca="false">IF(J640="","",J640*$B$15)</f>
        <v>0.648</v>
      </c>
      <c r="L640" s="16" t="n">
        <f aca="false">IF(D640="","",H640+E640-K640-G640*I640)</f>
        <v>12.6638755056737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1.01640053609916</v>
      </c>
      <c r="N640" s="16" t="n">
        <f aca="false">IF(D640="","",(I640+M640)/2)</f>
        <v>0.979554915218534</v>
      </c>
      <c r="O640" s="16" t="n">
        <f aca="false">IF(D640="","",G640*N640)</f>
        <v>0.082184657386835</v>
      </c>
      <c r="P640" s="16" t="n">
        <f aca="false">IF(D640="","",H640+E640-K640-O640)</f>
        <v>12.6607841580818</v>
      </c>
      <c r="Q640" s="16" t="n">
        <f aca="false">IF(D640="","",IF(P640&gt;=0,K640,MAX(0,K640+P640)))</f>
        <v>0.648</v>
      </c>
      <c r="R640" s="16" t="n">
        <f aca="false">IF(D640="","",Q640/$B$15)</f>
        <v>0.25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12.6607841580818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59.4403012116518</v>
      </c>
      <c r="Z640" s="18" t="n">
        <f aca="false">IF(D640="","",MAX(0,IF(P640&gt;=0,P640,IF(K640+P640&gt;=0,0,P640+K640))))</f>
        <v>12.6607841580818</v>
      </c>
      <c r="AA640" s="18" t="n">
        <f aca="false">IF(D640="","",IF(H640&lt;=$B$16,1,IF(H640&gt;=$B$17,$B$21,MATCH(H640,Aux_CAV!$A$2:$A$121,1))))</f>
        <v>5</v>
      </c>
      <c r="AB640" s="18" t="n">
        <f aca="false">IF(D640="","",IF(L640&lt;=$B$16,1,IF(L640&gt;=$B$17,$B$21,MATCH(L640,Aux_CAV!$A$2:$A$121,1))))</f>
        <v>6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0.403956908684475</v>
      </c>
      <c r="E641" s="16" t="n">
        <f aca="false">IF(D641="","",D641*$B$15)</f>
        <v>1.04705630731016</v>
      </c>
      <c r="F641" s="16" t="n">
        <f aca="false" t="array" ref="F641:F641">IF(D641="","",IFERROR(INDEX(Dados_Evap!$C$2:$N$15,MATCH($B$9,Dados_Evap!$A$2:$A$15,0),C641),0))</f>
        <v>104.7</v>
      </c>
      <c r="G641" s="16" t="n">
        <f aca="false">IF(F641="","",F641/1000)</f>
        <v>0.1047</v>
      </c>
      <c r="H641" s="16" t="n">
        <f aca="false">IF(D641="","",MAX(0,MIN($B$8,IFERROR(LOOKUP(2,1/($U$24:U640&lt;&gt;""),$U$24:U640),$B$11))))</f>
        <v>12.6607841580818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1.01630119222569</v>
      </c>
      <c r="J641" s="16" t="n">
        <f aca="false">IF(D641="","",$B$12)</f>
        <v>0.25</v>
      </c>
      <c r="K641" s="16" t="n">
        <f aca="false">IF(J641="","",J641*$B$15)</f>
        <v>0.648</v>
      </c>
      <c r="L641" s="16" t="n">
        <f aca="false">IF(D641="","",H641+E641-K641-G641*I641)</f>
        <v>12.953433730566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1.02570580986696</v>
      </c>
      <c r="N641" s="16" t="n">
        <f aca="false">IF(D641="","",(I641+M641)/2)</f>
        <v>1.02100350104633</v>
      </c>
      <c r="O641" s="16" t="n">
        <f aca="false">IF(D641="","",G641*N641)</f>
        <v>0.10689906655955</v>
      </c>
      <c r="P641" s="16" t="n">
        <f aca="false">IF(D641="","",H641+E641-K641-O641)</f>
        <v>12.9529413988324</v>
      </c>
      <c r="Q641" s="16" t="n">
        <f aca="false">IF(D641="","",IF(P641&gt;=0,K641,MAX(0,K641+P641)))</f>
        <v>0.648</v>
      </c>
      <c r="R641" s="16" t="n">
        <f aca="false">IF(D641="","",Q641/$B$15)</f>
        <v>0.25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12.9529413988324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60.8119314499176</v>
      </c>
      <c r="Z641" s="18" t="n">
        <f aca="false">IF(D641="","",MAX(0,IF(P641&gt;=0,P641,IF(K641+P641&gt;=0,0,P641+K641))))</f>
        <v>12.9529413988324</v>
      </c>
      <c r="AA641" s="18" t="n">
        <f aca="false">IF(D641="","",IF(H641&lt;=$B$16,1,IF(H641&gt;=$B$17,$B$21,MATCH(H641,Aux_CAV!$A$2:$A$121,1))))</f>
        <v>6</v>
      </c>
      <c r="AB641" s="18" t="n">
        <f aca="false">IF(D641="","",IF(L641&lt;=$B$16,1,IF(L641&gt;=$B$17,$B$21,MATCH(L641,Aux_CAV!$A$2:$A$121,1))))</f>
        <v>6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0.277849255158335</v>
      </c>
      <c r="E642" s="16" t="n">
        <f aca="false">IF(D642="","",D642*$B$15)</f>
        <v>0.720185269370404</v>
      </c>
      <c r="F642" s="16" t="n">
        <f aca="false" t="array" ref="F642:F642">IF(D642="","",IFERROR(INDEX(Dados_Evap!$C$2:$N$15,MATCH($B$9,Dados_Evap!$A$2:$A$15,0),C642),0))</f>
        <v>145.2</v>
      </c>
      <c r="G642" s="16" t="n">
        <f aca="false">IF(F642="","",F642/1000)</f>
        <v>0.1452</v>
      </c>
      <c r="H642" s="16" t="n">
        <f aca="false">IF(D642="","",MAX(0,MIN($B$8,IFERROR(LOOKUP(2,1/($U$24:U641&lt;&gt;""),$U$24:U641),$B$11))))</f>
        <v>12.9529413988324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1.02568998824225</v>
      </c>
      <c r="J642" s="16" t="n">
        <f aca="false">IF(D642="","",$B$12)</f>
        <v>0.25</v>
      </c>
      <c r="K642" s="16" t="n">
        <f aca="false">IF(J642="","",J642*$B$15)</f>
        <v>0.648</v>
      </c>
      <c r="L642" s="16" t="n">
        <f aca="false">IF(D642="","",H642+E642-K642-G642*I642)</f>
        <v>12.8761964819101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1.02322370546781</v>
      </c>
      <c r="N642" s="16" t="n">
        <f aca="false">IF(D642="","",(I642+M642)/2)</f>
        <v>1.02445684685503</v>
      </c>
      <c r="O642" s="16" t="n">
        <f aca="false">IF(D642="","",G642*N642)</f>
        <v>0.148751134163351</v>
      </c>
      <c r="P642" s="16" t="n">
        <f aca="false">IF(D642="","",H642+E642-K642-O642)</f>
        <v>12.8763755340395</v>
      </c>
      <c r="Q642" s="16" t="n">
        <f aca="false">IF(D642="","",IF(P642&gt;=0,K642,MAX(0,K642+P642)))</f>
        <v>0.648</v>
      </c>
      <c r="R642" s="16" t="n">
        <f aca="false">IF(D642="","",Q642/$B$15)</f>
        <v>0.25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12.8763755340395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60.4524672959601</v>
      </c>
      <c r="Z642" s="18" t="n">
        <f aca="false">IF(D642="","",MAX(0,IF(P642&gt;=0,P642,IF(K642+P642&gt;=0,0,P642+K642))))</f>
        <v>12.8763755340395</v>
      </c>
      <c r="AA642" s="18" t="n">
        <f aca="false">IF(D642="","",IF(H642&lt;=$B$16,1,IF(H642&gt;=$B$17,$B$21,MATCH(H642,Aux_CAV!$A$2:$A$121,1))))</f>
        <v>6</v>
      </c>
      <c r="AB642" s="18" t="n">
        <f aca="false">IF(D642="","",IF(L642&lt;=$B$16,1,IF(L642&gt;=$B$17,$B$21,MATCH(L642,Aux_CAV!$A$2:$A$121,1))))</f>
        <v>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0.151863602431354</v>
      </c>
      <c r="E643" s="16" t="n">
        <f aca="false">IF(D643="","",D643*$B$15)</f>
        <v>0.39363045750207</v>
      </c>
      <c r="F643" s="16" t="n">
        <f aca="false" t="array" ref="F643:F643">IF(D643="","",IFERROR(INDEX(Dados_Evap!$C$2:$N$15,MATCH($B$9,Dados_Evap!$A$2:$A$15,0),C643),0))</f>
        <v>180.9</v>
      </c>
      <c r="G643" s="16" t="n">
        <f aca="false">IF(F643="","",F643/1000)</f>
        <v>0.1809</v>
      </c>
      <c r="H643" s="16" t="n">
        <f aca="false">IF(D643="","",MAX(0,MIN($B$8,IFERROR(LOOKUP(2,1/($U$24:U642&lt;&gt;""),$U$24:U642),$B$11))))</f>
        <v>12.8763755340395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1.023229459506</v>
      </c>
      <c r="J643" s="16" t="n">
        <f aca="false">IF(D643="","",$B$12)</f>
        <v>0.25</v>
      </c>
      <c r="K643" s="16" t="n">
        <f aca="false">IF(J643="","",J643*$B$15)</f>
        <v>0.648</v>
      </c>
      <c r="L643" s="16" t="n">
        <f aca="false">IF(D643="","",H643+E643-K643-G643*I643)</f>
        <v>12.4369037823169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1.00910654877011</v>
      </c>
      <c r="N643" s="16" t="n">
        <f aca="false">IF(D643="","",(I643+M643)/2)</f>
        <v>1.01616800413805</v>
      </c>
      <c r="O643" s="16" t="n">
        <f aca="false">IF(D643="","",G643*N643)</f>
        <v>0.183824791948574</v>
      </c>
      <c r="P643" s="16" t="n">
        <f aca="false">IF(D643="","",H643+E643-K643-O643)</f>
        <v>12.438181199593</v>
      </c>
      <c r="Q643" s="16" t="n">
        <f aca="false">IF(D643="","",IF(P643&gt;=0,K643,MAX(0,K643+P643)))</f>
        <v>0.648</v>
      </c>
      <c r="R643" s="16" t="n">
        <f aca="false">IF(D643="","",Q643/$B$15)</f>
        <v>0.25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12.438181199593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58.3952168994976</v>
      </c>
      <c r="Z643" s="18" t="n">
        <f aca="false">IF(D643="","",MAX(0,IF(P643&gt;=0,P643,IF(K643+P643&gt;=0,0,P643+K643))))</f>
        <v>12.438181199593</v>
      </c>
      <c r="AA643" s="18" t="n">
        <f aca="false">IF(D643="","",IF(H643&lt;=$B$16,1,IF(H643&gt;=$B$17,$B$21,MATCH(H643,Aux_CAV!$A$2:$A$121,1))))</f>
        <v>6</v>
      </c>
      <c r="AB643" s="18" t="n">
        <f aca="false">IF(D643="","",IF(L643&lt;=$B$16,1,IF(L643&gt;=$B$17,$B$21,MATCH(L643,Aux_CAV!$A$2:$A$121,1))))</f>
        <v>6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0.0964082534707852</v>
      </c>
      <c r="E644" s="16" t="n">
        <f aca="false">IF(D644="","",D644*$B$15)</f>
        <v>0.249890192996275</v>
      </c>
      <c r="F644" s="16" t="n">
        <f aca="false" t="array" ref="F644:F644">IF(D644="","",IFERROR(INDEX(Dados_Evap!$C$2:$N$15,MATCH($B$9,Dados_Evap!$A$2:$A$15,0),C644),0))</f>
        <v>208.9</v>
      </c>
      <c r="G644" s="16" t="n">
        <f aca="false">IF(F644="","",F644/1000)</f>
        <v>0.2089</v>
      </c>
      <c r="H644" s="16" t="n">
        <f aca="false">IF(D644="","",MAX(0,MIN($B$8,IFERROR(LOOKUP(2,1/($U$24:U643&lt;&gt;""),$U$24:U643),$B$11))))</f>
        <v>12.438181199593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1.00914759998692</v>
      </c>
      <c r="J644" s="16" t="n">
        <f aca="false">IF(D644="","",$B$12)</f>
        <v>0.25</v>
      </c>
      <c r="K644" s="16" t="n">
        <f aca="false">IF(J644="","",J644*$B$15)</f>
        <v>0.648</v>
      </c>
      <c r="L644" s="16" t="n">
        <f aca="false">IF(D644="","",H644+E644-K644-G644*I644)</f>
        <v>11.829260458952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0.989579258605263</v>
      </c>
      <c r="N644" s="16" t="n">
        <f aca="false">IF(D644="","",(I644+M644)/2)</f>
        <v>0.999363429296092</v>
      </c>
      <c r="O644" s="16" t="n">
        <f aca="false">IF(D644="","",G644*N644)</f>
        <v>0.208767020379954</v>
      </c>
      <c r="P644" s="16" t="n">
        <f aca="false">IF(D644="","",H644+E644-K644-O644)</f>
        <v>11.8313043722093</v>
      </c>
      <c r="Q644" s="16" t="n">
        <f aca="false">IF(D644="","",IF(P644&gt;=0,K644,MAX(0,K644+P644)))</f>
        <v>0.648</v>
      </c>
      <c r="R644" s="16" t="n">
        <f aca="false">IF(D644="","",Q644/$B$15)</f>
        <v>0.25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11.8313043722093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55.5460299164757</v>
      </c>
      <c r="Z644" s="18" t="n">
        <f aca="false">IF(D644="","",MAX(0,IF(P644&gt;=0,P644,IF(K644+P644&gt;=0,0,P644+K644))))</f>
        <v>11.8313043722093</v>
      </c>
      <c r="AA644" s="18" t="n">
        <f aca="false">IF(D644="","",IF(H644&lt;=$B$16,1,IF(H644&gt;=$B$17,$B$21,MATCH(H644,Aux_CAV!$A$2:$A$121,1))))</f>
        <v>6</v>
      </c>
      <c r="AB644" s="18" t="n">
        <f aca="false">IF(D644="","",IF(L644&lt;=$B$16,1,IF(L644&gt;=$B$17,$B$21,MATCH(L644,Aux_CAV!$A$2:$A$121,1))))</f>
        <v>6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0.0599409262041709</v>
      </c>
      <c r="E645" s="16" t="n">
        <f aca="false">IF(D645="","",D645*$B$15)</f>
        <v>0.155366880721211</v>
      </c>
      <c r="F645" s="16" t="n">
        <f aca="false" t="array" ref="F645:F645">IF(D645="","",IFERROR(INDEX(Dados_Evap!$C$2:$N$15,MATCH($B$9,Dados_Evap!$A$2:$A$15,0),C645),0))</f>
        <v>235.9</v>
      </c>
      <c r="G645" s="16" t="n">
        <f aca="false">IF(F645="","",F645/1000)</f>
        <v>0.2359</v>
      </c>
      <c r="H645" s="16" t="n">
        <f aca="false">IF(D645="","",MAX(0,MIN($B$8,IFERROR(LOOKUP(2,1/($U$24:U644&lt;&gt;""),$U$24:U644),$B$11))))</f>
        <v>11.8313043722093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0.989644942018069</v>
      </c>
      <c r="J645" s="16" t="n">
        <f aca="false">IF(D645="","",$B$12)</f>
        <v>0.25</v>
      </c>
      <c r="K645" s="16" t="n">
        <f aca="false">IF(J645="","",J645*$B$15)</f>
        <v>0.648</v>
      </c>
      <c r="L645" s="16" t="n">
        <f aca="false">IF(D645="","",H645+E645-K645-G645*I645)</f>
        <v>11.1052140111085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0.966190730457139</v>
      </c>
      <c r="N645" s="16" t="n">
        <f aca="false">IF(D645="","",(I645+M645)/2)</f>
        <v>0.977917836237604</v>
      </c>
      <c r="O645" s="16" t="n">
        <f aca="false">IF(D645="","",G645*N645)</f>
        <v>0.230690817568451</v>
      </c>
      <c r="P645" s="16" t="n">
        <f aca="false">IF(D645="","",H645+E645-K645-O645)</f>
        <v>11.1079804353621</v>
      </c>
      <c r="Q645" s="16" t="n">
        <f aca="false">IF(D645="","",IF(P645&gt;=0,K645,MAX(0,K645+P645)))</f>
        <v>0.648</v>
      </c>
      <c r="R645" s="16" t="n">
        <f aca="false">IF(D645="","",Q645/$B$15)</f>
        <v>0.25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11.1079804353621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52.1501428890238</v>
      </c>
      <c r="Z645" s="18" t="n">
        <f aca="false">IF(D645="","",MAX(0,IF(P645&gt;=0,P645,IF(K645+P645&gt;=0,0,P645+K645))))</f>
        <v>11.1079804353621</v>
      </c>
      <c r="AA645" s="18" t="n">
        <f aca="false">IF(D645="","",IF(H645&lt;=$B$16,1,IF(H645&gt;=$B$17,$B$21,MATCH(H645,Aux_CAV!$A$2:$A$121,1))))</f>
        <v>6</v>
      </c>
      <c r="AB645" s="18" t="n">
        <f aca="false">IF(D645="","",IF(L645&lt;=$B$16,1,IF(L645&gt;=$B$17,$B$21,MATCH(L645,Aux_CAV!$A$2:$A$121,1))))</f>
        <v>5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0.0338864909463295</v>
      </c>
      <c r="E646" s="16" t="n">
        <f aca="false">IF(D646="","",D646*$B$15)</f>
        <v>0.0878337845328861</v>
      </c>
      <c r="F646" s="16" t="n">
        <f aca="false" t="array" ref="F646:F646">IF(D646="","",IFERROR(INDEX(Dados_Evap!$C$2:$N$15,MATCH($B$9,Dados_Evap!$A$2:$A$15,0),C646),0))</f>
        <v>225.9</v>
      </c>
      <c r="G646" s="16" t="n">
        <f aca="false">IF(F646="","",F646/1000)</f>
        <v>0.2259</v>
      </c>
      <c r="H646" s="16" t="n">
        <f aca="false">IF(D646="","",MAX(0,MIN($B$8,IFERROR(LOOKUP(2,1/($U$24:U645&lt;&gt;""),$U$24:U645),$B$11))))</f>
        <v>11.1079804353621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0.96628253657175</v>
      </c>
      <c r="J646" s="16" t="n">
        <f aca="false">IF(D646="","",$B$12)</f>
        <v>0.25</v>
      </c>
      <c r="K646" s="16" t="n">
        <f aca="false">IF(J646="","",J646*$B$15)</f>
        <v>0.648</v>
      </c>
      <c r="L646" s="16" t="n">
        <f aca="false">IF(D646="","",H646+E646-K646-G646*I646)</f>
        <v>10.3295309948834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0.940449037440821</v>
      </c>
      <c r="N646" s="16" t="n">
        <f aca="false">IF(D646="","",(I646+M646)/2)</f>
        <v>0.953365787006286</v>
      </c>
      <c r="O646" s="16" t="n">
        <f aca="false">IF(D646="","",G646*N646)</f>
        <v>0.21536533128472</v>
      </c>
      <c r="P646" s="16" t="n">
        <f aca="false">IF(D646="","",H646+E646-K646-O646)</f>
        <v>10.3324488886102</v>
      </c>
      <c r="Q646" s="16" t="n">
        <f aca="false">IF(D646="","",IF(P646&gt;=0,K646,MAX(0,K646+P646)))</f>
        <v>0.648</v>
      </c>
      <c r="R646" s="16" t="n">
        <f aca="false">IF(D646="","",Q646/$B$15)</f>
        <v>0.25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10.3324488886102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48.5091497117852</v>
      </c>
      <c r="Z646" s="18" t="n">
        <f aca="false">IF(D646="","",MAX(0,IF(P646&gt;=0,P646,IF(K646+P646&gt;=0,0,P646+K646))))</f>
        <v>10.3324488886102</v>
      </c>
      <c r="AA646" s="18" t="n">
        <f aca="false">IF(D646="","",IF(H646&lt;=$B$16,1,IF(H646&gt;=$B$17,$B$21,MATCH(H646,Aux_CAV!$A$2:$A$121,1))))</f>
        <v>5</v>
      </c>
      <c r="AB646" s="18" t="n">
        <f aca="false">IF(D646="","",IF(L646&lt;=$B$16,1,IF(L646&gt;=$B$17,$B$21,MATCH(L646,Aux_CAV!$A$2:$A$121,1))))</f>
        <v>5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0.0249768593724361</v>
      </c>
      <c r="E647" s="16" t="n">
        <f aca="false">IF(D647="","",D647*$B$15)</f>
        <v>0.0647400194933544</v>
      </c>
      <c r="F647" s="16" t="n">
        <f aca="false" t="array" ref="F647:F647">IF(D647="","",IFERROR(INDEX(Dados_Evap!$C$2:$N$15,MATCH($B$9,Dados_Evap!$A$2:$A$15,0),C647),0))</f>
        <v>206</v>
      </c>
      <c r="G647" s="16" t="n">
        <f aca="false">IF(F647="","",F647/1000)</f>
        <v>0.206</v>
      </c>
      <c r="H647" s="16" t="n">
        <f aca="false">IF(D647="","",MAX(0,MIN($B$8,IFERROR(LOOKUP(2,1/($U$24:U646&lt;&gt;""),$U$24:U646),$B$11))))</f>
        <v>10.3324488886102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0.940545870197243</v>
      </c>
      <c r="J647" s="16" t="n">
        <f aca="false">IF(D647="","",$B$12)</f>
        <v>0.25</v>
      </c>
      <c r="K647" s="16" t="n">
        <f aca="false">IF(J647="","",J647*$B$15)</f>
        <v>0.648</v>
      </c>
      <c r="L647" s="16" t="n">
        <f aca="false">IF(D647="","",H647+E647-K647-G647*I647)</f>
        <v>9.55543645884297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0.914760059474877</v>
      </c>
      <c r="N647" s="16" t="n">
        <f aca="false">IF(D647="","",(I647+M647)/2)</f>
        <v>0.92765296483606</v>
      </c>
      <c r="O647" s="16" t="n">
        <f aca="false">IF(D647="","",G647*N647)</f>
        <v>0.191096510756228</v>
      </c>
      <c r="P647" s="16" t="n">
        <f aca="false">IF(D647="","",H647+E647-K647-O647)</f>
        <v>9.55809239734737</v>
      </c>
      <c r="Q647" s="16" t="n">
        <f aca="false">IF(D647="","",IF(P647&gt;=0,K647,MAX(0,K647+P647)))</f>
        <v>0.648</v>
      </c>
      <c r="R647" s="16" t="n">
        <f aca="false">IF(D647="","",Q647/$B$15)</f>
        <v>0.25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9.55809239734737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44.873673226983</v>
      </c>
      <c r="Z647" s="18" t="n">
        <f aca="false">IF(D647="","",MAX(0,IF(P647&gt;=0,P647,IF(K647+P647&gt;=0,0,P647+K647))))</f>
        <v>9.55809239734737</v>
      </c>
      <c r="AA647" s="18" t="n">
        <f aca="false">IF(D647="","",IF(H647&lt;=$B$16,1,IF(H647&gt;=$B$17,$B$21,MATCH(H647,Aux_CAV!$A$2:$A$121,1))))</f>
        <v>5</v>
      </c>
      <c r="AB647" s="18" t="n">
        <f aca="false">IF(D647="","",IF(L647&lt;=$B$16,1,IF(L647&gt;=$B$17,$B$21,MATCH(L647,Aux_CAV!$A$2:$A$121,1))))</f>
        <v>5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0.123424996124399</v>
      </c>
      <c r="E648" s="16" t="n">
        <f aca="false">IF(D648="","",D648*$B$15)</f>
        <v>0.319917589954442</v>
      </c>
      <c r="F648" s="16" t="n">
        <f aca="false" t="array" ref="F648:F648">IF(D648="","",IFERROR(INDEX(Dados_Evap!$C$2:$N$15,MATCH($B$9,Dados_Evap!$A$2:$A$15,0),C648),0))</f>
        <v>165.6</v>
      </c>
      <c r="G648" s="16" t="n">
        <f aca="false">IF(F648="","",F648/1000)</f>
        <v>0.1656</v>
      </c>
      <c r="H648" s="16" t="n">
        <f aca="false">IF(D648="","",MAX(0,MIN($B$8,IFERROR(LOOKUP(2,1/($U$24:U647&lt;&gt;""),$U$24:U647),$B$11))))</f>
        <v>9.55809239734737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0.914848199027015</v>
      </c>
      <c r="J648" s="16" t="n">
        <f aca="false">IF(D648="","",$B$12)</f>
        <v>0.25</v>
      </c>
      <c r="K648" s="16" t="n">
        <f aca="false">IF(J648="","",J648*$B$15)</f>
        <v>0.648</v>
      </c>
      <c r="L648" s="16" t="n">
        <f aca="false">IF(D648="","",H648+E648-K648-G648*I648)</f>
        <v>9.07851112554294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0.89893289133439</v>
      </c>
      <c r="N648" s="16" t="n">
        <f aca="false">IF(D648="","",(I648+M648)/2)</f>
        <v>0.906890545180702</v>
      </c>
      <c r="O648" s="16" t="n">
        <f aca="false">IF(D648="","",G648*N648)</f>
        <v>0.150181074281924</v>
      </c>
      <c r="P648" s="16" t="n">
        <f aca="false">IF(D648="","",H648+E648-K648-O648)</f>
        <v>9.07982891301989</v>
      </c>
      <c r="Q648" s="16" t="n">
        <f aca="false">IF(D648="","",IF(P648&gt;=0,K648,MAX(0,K648+P648)))</f>
        <v>0.648</v>
      </c>
      <c r="R648" s="16" t="n">
        <f aca="false">IF(D648="","",Q648/$B$15)</f>
        <v>0.25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9.07982891301989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42.6283047559619</v>
      </c>
      <c r="Z648" s="18" t="n">
        <f aca="false">IF(D648="","",MAX(0,IF(P648&gt;=0,P648,IF(K648+P648&gt;=0,0,P648+K648))))</f>
        <v>9.07982891301989</v>
      </c>
      <c r="AA648" s="18" t="n">
        <f aca="false">IF(D648="","",IF(H648&lt;=$B$16,1,IF(H648&gt;=$B$17,$B$21,MATCH(H648,Aux_CAV!$A$2:$A$121,1))))</f>
        <v>5</v>
      </c>
      <c r="AB648" s="18" t="n">
        <f aca="false">IF(D648="","",IF(L648&lt;=$B$16,1,IF(L648&gt;=$B$17,$B$21,MATCH(L648,Aux_CAV!$A$2:$A$121,1))))</f>
        <v>5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0.298405105254328</v>
      </c>
      <c r="E649" s="16" t="n">
        <f aca="false">IF(D649="","",D649*$B$15)</f>
        <v>0.773466032819218</v>
      </c>
      <c r="F649" s="16" t="n">
        <f aca="false" t="array" ref="F649:F649">IF(D649="","",IFERROR(INDEX(Dados_Evap!$C$2:$N$15,MATCH($B$9,Dados_Evap!$A$2:$A$15,0),C649),0))</f>
        <v>124.9</v>
      </c>
      <c r="G649" s="16" t="n">
        <f aca="false">IF(F649="","",F649/1000)</f>
        <v>0.1249</v>
      </c>
      <c r="H649" s="16" t="n">
        <f aca="false">IF(D649="","",MAX(0,MIN($B$8,IFERROR(LOOKUP(2,1/($U$24:U648&lt;&gt;""),$U$24:U648),$B$11))))</f>
        <v>9.07982891301989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0.898976623219687</v>
      </c>
      <c r="J649" s="16" t="n">
        <f aca="false">IF(D649="","",$B$12)</f>
        <v>0.25</v>
      </c>
      <c r="K649" s="16" t="n">
        <f aca="false">IF(J649="","",J649*$B$15)</f>
        <v>0.648</v>
      </c>
      <c r="L649" s="16" t="n">
        <f aca="false">IF(D649="","",H649+E649-K649-G649*I649)</f>
        <v>9.09301276559897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0.899414140451293</v>
      </c>
      <c r="N649" s="16" t="n">
        <f aca="false">IF(D649="","",(I649+M649)/2)</f>
        <v>0.89919538183549</v>
      </c>
      <c r="O649" s="16" t="n">
        <f aca="false">IF(D649="","",G649*N649)</f>
        <v>0.112309503191253</v>
      </c>
      <c r="P649" s="16" t="n">
        <f aca="false">IF(D649="","",H649+E649-K649-O649)</f>
        <v>9.09298544264786</v>
      </c>
      <c r="Q649" s="16" t="n">
        <f aca="false">IF(D649="","",IF(P649&gt;=0,K649,MAX(0,K649+P649)))</f>
        <v>0.648</v>
      </c>
      <c r="R649" s="16" t="n">
        <f aca="false">IF(D649="","",Q649/$B$15)</f>
        <v>0.25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9.09298544264786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42.6900725006942</v>
      </c>
      <c r="Z649" s="18" t="n">
        <f aca="false">IF(D649="","",MAX(0,IF(P649&gt;=0,P649,IF(K649+P649&gt;=0,0,P649+K649))))</f>
        <v>9.09298544264786</v>
      </c>
      <c r="AA649" s="18" t="n">
        <f aca="false">IF(D649="","",IF(H649&lt;=$B$16,1,IF(H649&gt;=$B$17,$B$21,MATCH(H649,Aux_CAV!$A$2:$A$121,1))))</f>
        <v>5</v>
      </c>
      <c r="AB649" s="18" t="n">
        <f aca="false">IF(D649="","",IF(L649&lt;=$B$16,1,IF(L649&gt;=$B$17,$B$21,MATCH(L649,Aux_CAV!$A$2:$A$121,1))))</f>
        <v>5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0.858798216038001</v>
      </c>
      <c r="E650" s="16" t="n">
        <f aca="false">IF(D650="","",D650*$B$15)</f>
        <v>2.2260049759705</v>
      </c>
      <c r="F650" s="16" t="n">
        <f aca="false" t="array" ref="F650:F650">IF(D650="","",IFERROR(INDEX(Dados_Evap!$C$2:$N$15,MATCH($B$9,Dados_Evap!$A$2:$A$15,0),C650),0))</f>
        <v>88.2</v>
      </c>
      <c r="G650" s="16" t="n">
        <f aca="false">IF(F650="","",F650/1000)</f>
        <v>0.0882</v>
      </c>
      <c r="H650" s="16" t="n">
        <f aca="false">IF(D650="","",MAX(0,MIN($B$8,IFERROR(LOOKUP(2,1/($U$24:U649&lt;&gt;""),$U$24:U649),$B$11))))</f>
        <v>9.09298544264786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0.89941323371619</v>
      </c>
      <c r="J650" s="16" t="n">
        <f aca="false">IF(D650="","",$B$12)</f>
        <v>0.25</v>
      </c>
      <c r="K650" s="16" t="n">
        <f aca="false">IF(J650="","",J650*$B$15)</f>
        <v>0.648</v>
      </c>
      <c r="L650" s="16" t="n">
        <f aca="false">IF(D650="","",H650+E650-K650-G650*I650)</f>
        <v>10.5916621714046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0.949148080909444</v>
      </c>
      <c r="N650" s="16" t="n">
        <f aca="false">IF(D650="","",(I650+M650)/2)</f>
        <v>0.924280657312817</v>
      </c>
      <c r="O650" s="16" t="n">
        <f aca="false">IF(D650="","",G650*N650)</f>
        <v>0.0815215539749905</v>
      </c>
      <c r="P650" s="16" t="n">
        <f aca="false">IF(D650="","",H650+E650-K650-O650)</f>
        <v>10.5894688646434</v>
      </c>
      <c r="Q650" s="16" t="n">
        <f aca="false">IF(D650="","",IF(P650&gt;=0,K650,MAX(0,K650+P650)))</f>
        <v>0.648</v>
      </c>
      <c r="R650" s="16" t="n">
        <f aca="false">IF(D650="","",Q650/$B$15)</f>
        <v>0.25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10.5894688646434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49.7158162659313</v>
      </c>
      <c r="Z650" s="18" t="n">
        <f aca="false">IF(D650="","",MAX(0,IF(P650&gt;=0,P650,IF(K650+P650&gt;=0,0,P650+K650))))</f>
        <v>10.5894688646434</v>
      </c>
      <c r="AA650" s="18" t="n">
        <f aca="false">IF(D650="","",IF(H650&lt;=$B$16,1,IF(H650&gt;=$B$17,$B$21,MATCH(H650,Aux_CAV!$A$2:$A$121,1))))</f>
        <v>5</v>
      </c>
      <c r="AB650" s="18" t="n">
        <f aca="false">IF(D650="","",IF(L650&lt;=$B$16,1,IF(L650&gt;=$B$17,$B$21,MATCH(L650,Aux_CAV!$A$2:$A$121,1))))</f>
        <v>5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1.23155630496624</v>
      </c>
      <c r="E651" s="16" t="n">
        <f aca="false">IF(D651="","",D651*$B$15)</f>
        <v>3.19219394247249</v>
      </c>
      <c r="F651" s="16" t="n">
        <f aca="false" t="array" ref="F651:F651">IF(D651="","",IFERROR(INDEX(Dados_Evap!$C$2:$N$15,MATCH($B$9,Dados_Evap!$A$2:$A$15,0),C651),0))</f>
        <v>88.2</v>
      </c>
      <c r="G651" s="16" t="n">
        <f aca="false">IF(F651="","",F651/1000)</f>
        <v>0.0882</v>
      </c>
      <c r="H651" s="16" t="n">
        <f aca="false">IF(D651="","",MAX(0,MIN($B$8,IFERROR(LOOKUP(2,1/($U$24:U650&lt;&gt;""),$U$24:U650),$B$11))))</f>
        <v>10.5894688646434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0.949075294180643</v>
      </c>
      <c r="J651" s="16" t="n">
        <f aca="false">IF(D651="","",$B$12)</f>
        <v>0.25</v>
      </c>
      <c r="K651" s="16" t="n">
        <f aca="false">IF(J651="","",J651*$B$15)</f>
        <v>0.648</v>
      </c>
      <c r="L651" s="16" t="n">
        <f aca="false">IF(D651="","",H651+E651-K651-G651*I651)</f>
        <v>13.0499543661691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1.02880760723039</v>
      </c>
      <c r="N651" s="16" t="n">
        <f aca="false">IF(D651="","",(I651+M651)/2)</f>
        <v>0.988941450705515</v>
      </c>
      <c r="O651" s="16" t="n">
        <f aca="false">IF(D651="","",G651*N651)</f>
        <v>0.0872246359522265</v>
      </c>
      <c r="P651" s="16" t="n">
        <f aca="false">IF(D651="","",H651+E651-K651-O651)</f>
        <v>13.0464381711636</v>
      </c>
      <c r="Q651" s="16" t="n">
        <f aca="false">IF(D651="","",IF(P651&gt;=0,K651,MAX(0,K651+P651)))</f>
        <v>0.648</v>
      </c>
      <c r="R651" s="16" t="n">
        <f aca="false">IF(D651="","",Q651/$B$15)</f>
        <v>0.25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13.0464381711636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61.2508834326931</v>
      </c>
      <c r="Z651" s="18" t="n">
        <f aca="false">IF(D651="","",MAX(0,IF(P651&gt;=0,P651,IF(K651+P651&gt;=0,0,P651+K651))))</f>
        <v>13.0464381711636</v>
      </c>
      <c r="AA651" s="18" t="n">
        <f aca="false">IF(D651="","",IF(H651&lt;=$B$16,1,IF(H651&gt;=$B$17,$B$21,MATCH(H651,Aux_CAV!$A$2:$A$121,1))))</f>
        <v>5</v>
      </c>
      <c r="AB651" s="18" t="n">
        <f aca="false">IF(D651="","",IF(L651&lt;=$B$16,1,IF(L651&gt;=$B$17,$B$21,MATCH(L651,Aux_CAV!$A$2:$A$121,1))))</f>
        <v>6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0.397275329163964</v>
      </c>
      <c r="E652" s="16" t="n">
        <f aca="false">IF(D652="","",D652*$B$15)</f>
        <v>1.02973765319299</v>
      </c>
      <c r="F652" s="16" t="n">
        <f aca="false" t="array" ref="F652:F652">IF(D652="","",IFERROR(INDEX(Dados_Evap!$C$2:$N$15,MATCH($B$9,Dados_Evap!$A$2:$A$15,0),C652),0))</f>
        <v>83.9</v>
      </c>
      <c r="G652" s="16" t="n">
        <f aca="false">IF(F652="","",F652/1000)</f>
        <v>0.0839</v>
      </c>
      <c r="H652" s="16" t="n">
        <f aca="false">IF(D652="","",MAX(0,MIN($B$8,IFERROR(LOOKUP(2,1/($U$24:U651&lt;&gt;""),$U$24:U651),$B$11))))</f>
        <v>13.0464381711636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1.02869461041547</v>
      </c>
      <c r="J652" s="16" t="n">
        <f aca="false">IF(D652="","",$B$12)</f>
        <v>0.25</v>
      </c>
      <c r="K652" s="16" t="n">
        <f aca="false">IF(J652="","",J652*$B$15)</f>
        <v>0.648</v>
      </c>
      <c r="L652" s="16" t="n">
        <f aca="false">IF(D652="","",H652+E652-K652-G652*I652)</f>
        <v>13.3418683465428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1.03818858580572</v>
      </c>
      <c r="N652" s="16" t="n">
        <f aca="false">IF(D652="","",(I652+M652)/2)</f>
        <v>1.03344159811059</v>
      </c>
      <c r="O652" s="16" t="n">
        <f aca="false">IF(D652="","",G652*N652)</f>
        <v>0.0867057500814789</v>
      </c>
      <c r="P652" s="16" t="n">
        <f aca="false">IF(D652="","",H652+E652-K652-O652)</f>
        <v>13.3414700742752</v>
      </c>
      <c r="Q652" s="16" t="n">
        <f aca="false">IF(D652="","",IF(P652&gt;=0,K652,MAX(0,K652+P652)))</f>
        <v>0.648</v>
      </c>
      <c r="R652" s="16" t="n">
        <f aca="false">IF(D652="","",Q652/$B$15)</f>
        <v>0.25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13.3414700742752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62.636009738381</v>
      </c>
      <c r="Z652" s="18" t="n">
        <f aca="false">IF(D652="","",MAX(0,IF(P652&gt;=0,P652,IF(K652+P652&gt;=0,0,P652+K652))))</f>
        <v>13.3414700742752</v>
      </c>
      <c r="AA652" s="18" t="n">
        <f aca="false">IF(D652="","",IF(H652&lt;=$B$16,1,IF(H652&gt;=$B$17,$B$21,MATCH(H652,Aux_CAV!$A$2:$A$121,1))))</f>
        <v>6</v>
      </c>
      <c r="AB652" s="18" t="n">
        <f aca="false">IF(D652="","",IF(L652&lt;=$B$16,1,IF(L652&gt;=$B$17,$B$21,MATCH(L652,Aux_CAV!$A$2:$A$121,1))))</f>
        <v>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0.191939774121166</v>
      </c>
      <c r="E653" s="16" t="n">
        <f aca="false">IF(D653="","",D653*$B$15)</f>
        <v>0.497507894522062</v>
      </c>
      <c r="F653" s="16" t="n">
        <f aca="false" t="array" ref="F653:F653">IF(D653="","",IFERROR(INDEX(Dados_Evap!$C$2:$N$15,MATCH($B$9,Dados_Evap!$A$2:$A$15,0),C653),0))</f>
        <v>104.7</v>
      </c>
      <c r="G653" s="16" t="n">
        <f aca="false">IF(F653="","",F653/1000)</f>
        <v>0.1047</v>
      </c>
      <c r="H653" s="16" t="n">
        <f aca="false">IF(D653="","",MAX(0,MIN($B$8,IFERROR(LOOKUP(2,1/($U$24:U652&lt;&gt;""),$U$24:U652),$B$11))))</f>
        <v>13.3414700742752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1.03817578688597</v>
      </c>
      <c r="J653" s="16" t="n">
        <f aca="false">IF(D653="","",$B$12)</f>
        <v>0.25</v>
      </c>
      <c r="K653" s="16" t="n">
        <f aca="false">IF(J653="","",J653*$B$15)</f>
        <v>0.648</v>
      </c>
      <c r="L653" s="16" t="n">
        <f aca="false">IF(D653="","",H653+E653-K653-G653*I653)</f>
        <v>13.0822809639103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1.02984645819749</v>
      </c>
      <c r="N653" s="16" t="n">
        <f aca="false">IF(D653="","",(I653+M653)/2)</f>
        <v>1.03401112254173</v>
      </c>
      <c r="O653" s="16" t="n">
        <f aca="false">IF(D653="","",G653*N653)</f>
        <v>0.108260964530119</v>
      </c>
      <c r="P653" s="16" t="n">
        <f aca="false">IF(D653="","",H653+E653-K653-O653)</f>
        <v>13.0827170042671</v>
      </c>
      <c r="Q653" s="16" t="n">
        <f aca="false">IF(D653="","",IF(P653&gt;=0,K653,MAX(0,K653+P653)))</f>
        <v>0.648</v>
      </c>
      <c r="R653" s="16" t="n">
        <f aca="false">IF(D653="","",Q653/$B$15)</f>
        <v>0.25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13.0827170042671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61.4212065928033</v>
      </c>
      <c r="Z653" s="18" t="n">
        <f aca="false">IF(D653="","",MAX(0,IF(P653&gt;=0,P653,IF(K653+P653&gt;=0,0,P653+K653))))</f>
        <v>13.0827170042671</v>
      </c>
      <c r="AA653" s="18" t="n">
        <f aca="false">IF(D653="","",IF(H653&lt;=$B$16,1,IF(H653&gt;=$B$17,$B$21,MATCH(H653,Aux_CAV!$A$2:$A$121,1))))</f>
        <v>6</v>
      </c>
      <c r="AB653" s="18" t="n">
        <f aca="false">IF(D653="","",IF(L653&lt;=$B$16,1,IF(L653&gt;=$B$17,$B$21,MATCH(L653,Aux_CAV!$A$2:$A$121,1))))</f>
        <v>6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0.149742203282004</v>
      </c>
      <c r="E654" s="16" t="n">
        <f aca="false">IF(D654="","",D654*$B$15)</f>
        <v>0.388131790906954</v>
      </c>
      <c r="F654" s="16" t="n">
        <f aca="false" t="array" ref="F654:F654">IF(D654="","",IFERROR(INDEX(Dados_Evap!$C$2:$N$15,MATCH($B$9,Dados_Evap!$A$2:$A$15,0),C654),0))</f>
        <v>145.2</v>
      </c>
      <c r="G654" s="16" t="n">
        <f aca="false">IF(F654="","",F654/1000)</f>
        <v>0.1452</v>
      </c>
      <c r="H654" s="16" t="n">
        <f aca="false">IF(D654="","",MAX(0,MIN($B$8,IFERROR(LOOKUP(2,1/($U$24:U653&lt;&gt;""),$U$24:U653),$B$11))))</f>
        <v>13.0827170042671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1.02986047083656</v>
      </c>
      <c r="J654" s="16" t="n">
        <f aca="false">IF(D654="","",$B$12)</f>
        <v>0.25</v>
      </c>
      <c r="K654" s="16" t="n">
        <f aca="false">IF(J654="","",J654*$B$15)</f>
        <v>0.648</v>
      </c>
      <c r="L654" s="16" t="n">
        <f aca="false">IF(D654="","",H654+E654-K654-G654*I654)</f>
        <v>12.6733130548086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1.01670382217721</v>
      </c>
      <c r="N654" s="16" t="n">
        <f aca="false">IF(D654="","",(I654+M654)/2)</f>
        <v>1.02328214650689</v>
      </c>
      <c r="O654" s="16" t="n">
        <f aca="false">IF(D654="","",G654*N654)</f>
        <v>0.1485805676728</v>
      </c>
      <c r="P654" s="16" t="n">
        <f aca="false">IF(D654="","",H654+E654-K654-O654)</f>
        <v>12.6742682275012</v>
      </c>
      <c r="Q654" s="16" t="n">
        <f aca="false">IF(D654="","",IF(P654&gt;=0,K654,MAX(0,K654+P654)))</f>
        <v>0.648</v>
      </c>
      <c r="R654" s="16" t="n">
        <f aca="false">IF(D654="","",Q654/$B$15)</f>
        <v>0.25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12.6742682275012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59.5036067018838</v>
      </c>
      <c r="Z654" s="18" t="n">
        <f aca="false">IF(D654="","",MAX(0,IF(P654&gt;=0,P654,IF(K654+P654&gt;=0,0,P654+K654))))</f>
        <v>12.6742682275012</v>
      </c>
      <c r="AA654" s="18" t="n">
        <f aca="false">IF(D654="","",IF(H654&lt;=$B$16,1,IF(H654&gt;=$B$17,$B$21,MATCH(H654,Aux_CAV!$A$2:$A$121,1))))</f>
        <v>6</v>
      </c>
      <c r="AB654" s="18" t="n">
        <f aca="false">IF(D654="","",IF(L654&lt;=$B$16,1,IF(L654&gt;=$B$17,$B$21,MATCH(L654,Aux_CAV!$A$2:$A$121,1))))</f>
        <v>6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0.0708608888509615</v>
      </c>
      <c r="E655" s="16" t="n">
        <f aca="false">IF(D655="","",D655*$B$15)</f>
        <v>0.183671423901692</v>
      </c>
      <c r="F655" s="16" t="n">
        <f aca="false" t="array" ref="F655:F655">IF(D655="","",IFERROR(INDEX(Dados_Evap!$C$2:$N$15,MATCH($B$9,Dados_Evap!$A$2:$A$15,0),C655),0))</f>
        <v>180.9</v>
      </c>
      <c r="G655" s="16" t="n">
        <f aca="false">IF(F655="","",F655/1000)</f>
        <v>0.1809</v>
      </c>
      <c r="H655" s="16" t="n">
        <f aca="false">IF(D655="","",MAX(0,MIN($B$8,IFERROR(LOOKUP(2,1/($U$24:U654&lt;&gt;""),$U$24:U654),$B$11))))</f>
        <v>12.6742682275012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1.01673451770798</v>
      </c>
      <c r="J655" s="16" t="n">
        <f aca="false">IF(D655="","",$B$12)</f>
        <v>0.25</v>
      </c>
      <c r="K655" s="16" t="n">
        <f aca="false">IF(J655="","",J655*$B$15)</f>
        <v>0.648</v>
      </c>
      <c r="L655" s="16" t="n">
        <f aca="false">IF(D655="","",H655+E655-K655-G655*I655)</f>
        <v>12.0260123771496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0.99590209907664</v>
      </c>
      <c r="N655" s="16" t="n">
        <f aca="false">IF(D655="","",(I655+M655)/2)</f>
        <v>1.00631830839231</v>
      </c>
      <c r="O655" s="16" t="n">
        <f aca="false">IF(D655="","",G655*N655)</f>
        <v>0.182042981988169</v>
      </c>
      <c r="P655" s="16" t="n">
        <f aca="false">IF(D655="","",H655+E655-K655-O655)</f>
        <v>12.0278966694148</v>
      </c>
      <c r="Q655" s="16" t="n">
        <f aca="false">IF(D655="","",IF(P655&gt;=0,K655,MAX(0,K655+P655)))</f>
        <v>0.648</v>
      </c>
      <c r="R655" s="16" t="n">
        <f aca="false">IF(D655="","",Q655/$B$15)</f>
        <v>0.25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12.0278966694148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56.4689984479567</v>
      </c>
      <c r="Z655" s="18" t="n">
        <f aca="false">IF(D655="","",MAX(0,IF(P655&gt;=0,P655,IF(K655+P655&gt;=0,0,P655+K655))))</f>
        <v>12.0278966694148</v>
      </c>
      <c r="AA655" s="18" t="n">
        <f aca="false">IF(D655="","",IF(H655&lt;=$B$16,1,IF(H655&gt;=$B$17,$B$21,MATCH(H655,Aux_CAV!$A$2:$A$121,1))))</f>
        <v>6</v>
      </c>
      <c r="AB655" s="18" t="n">
        <f aca="false">IF(D655="","",IF(L655&lt;=$B$16,1,IF(L655&gt;=$B$17,$B$21,MATCH(L655,Aux_CAV!$A$2:$A$121,1))))</f>
        <v>6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0.0652673079967941</v>
      </c>
      <c r="E656" s="16" t="n">
        <f aca="false">IF(D656="","",D656*$B$15)</f>
        <v>0.16917286232769</v>
      </c>
      <c r="F656" s="16" t="n">
        <f aca="false" t="array" ref="F656:F656">IF(D656="","",IFERROR(INDEX(Dados_Evap!$C$2:$N$15,MATCH($B$9,Dados_Evap!$A$2:$A$15,0),C656),0))</f>
        <v>208.9</v>
      </c>
      <c r="G656" s="16" t="n">
        <f aca="false">IF(F656="","",F656/1000)</f>
        <v>0.2089</v>
      </c>
      <c r="H656" s="16" t="n">
        <f aca="false">IF(D656="","",MAX(0,MIN($B$8,IFERROR(LOOKUP(2,1/($U$24:U655&lt;&gt;""),$U$24:U655),$B$11))))</f>
        <v>12.0278966694148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0.995962652892346</v>
      </c>
      <c r="J656" s="16" t="n">
        <f aca="false">IF(D656="","",$B$12)</f>
        <v>0.25</v>
      </c>
      <c r="K656" s="16" t="n">
        <f aca="false">IF(J656="","",J656*$B$15)</f>
        <v>0.648</v>
      </c>
      <c r="L656" s="16" t="n">
        <f aca="false">IF(D656="","",H656+E656-K656-G656*I656)</f>
        <v>11.3410129335533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0.97388888444311</v>
      </c>
      <c r="N656" s="16" t="n">
        <f aca="false">IF(D656="","",(I656+M656)/2)</f>
        <v>0.984925768667728</v>
      </c>
      <c r="O656" s="16" t="n">
        <f aca="false">IF(D656="","",G656*N656)</f>
        <v>0.205750993074688</v>
      </c>
      <c r="P656" s="16" t="n">
        <f aca="false">IF(D656="","",H656+E656-K656-O656)</f>
        <v>11.3433185386678</v>
      </c>
      <c r="Q656" s="16" t="n">
        <f aca="false">IF(D656="","",IF(P656&gt;=0,K656,MAX(0,K656+P656)))</f>
        <v>0.648</v>
      </c>
      <c r="R656" s="16" t="n">
        <f aca="false">IF(D656="","",Q656/$B$15)</f>
        <v>0.25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11.3433185386678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53.2550166134637</v>
      </c>
      <c r="Z656" s="18" t="n">
        <f aca="false">IF(D656="","",MAX(0,IF(P656&gt;=0,P656,IF(K656+P656&gt;=0,0,P656+K656))))</f>
        <v>11.3433185386678</v>
      </c>
      <c r="AA656" s="18" t="n">
        <f aca="false">IF(D656="","",IF(H656&lt;=$B$16,1,IF(H656&gt;=$B$17,$B$21,MATCH(H656,Aux_CAV!$A$2:$A$121,1))))</f>
        <v>6</v>
      </c>
      <c r="AB656" s="18" t="n">
        <f aca="false">IF(D656="","",IF(L656&lt;=$B$16,1,IF(L656&gt;=$B$17,$B$21,MATCH(L656,Aux_CAV!$A$2:$A$121,1))))</f>
        <v>6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0.0261259352834887</v>
      </c>
      <c r="E657" s="16" t="n">
        <f aca="false">IF(D657="","",D657*$B$15)</f>
        <v>0.0677184242548027</v>
      </c>
      <c r="F657" s="16" t="n">
        <f aca="false" t="array" ref="F657:F657">IF(D657="","",IFERROR(INDEX(Dados_Evap!$C$2:$N$15,MATCH($B$9,Dados_Evap!$A$2:$A$15,0),C657),0))</f>
        <v>235.9</v>
      </c>
      <c r="G657" s="16" t="n">
        <f aca="false">IF(F657="","",F657/1000)</f>
        <v>0.2359</v>
      </c>
      <c r="H657" s="16" t="n">
        <f aca="false">IF(D657="","",MAX(0,MIN($B$8,IFERROR(LOOKUP(2,1/($U$24:U656&lt;&gt;""),$U$24:U656),$B$11))))</f>
        <v>11.3433185386678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0.973962977613142</v>
      </c>
      <c r="J657" s="16" t="n">
        <f aca="false">IF(D657="","",$B$12)</f>
        <v>0.25</v>
      </c>
      <c r="K657" s="16" t="n">
        <f aca="false">IF(J657="","",J657*$B$15)</f>
        <v>0.648</v>
      </c>
      <c r="L657" s="16" t="n">
        <f aca="false">IF(D657="","",H657+E657-K657-G657*I657)</f>
        <v>10.5332790965036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0.94721058948574</v>
      </c>
      <c r="N657" s="16" t="n">
        <f aca="false">IF(D657="","",(I657+M657)/2)</f>
        <v>0.960586783549441</v>
      </c>
      <c r="O657" s="16" t="n">
        <f aca="false">IF(D657="","",G657*N657)</f>
        <v>0.226602422239313</v>
      </c>
      <c r="P657" s="16" t="n">
        <f aca="false">IF(D657="","",H657+E657-K657-O657)</f>
        <v>10.5364345406833</v>
      </c>
      <c r="Q657" s="16" t="n">
        <f aca="false">IF(D657="","",IF(P657&gt;=0,K657,MAX(0,K657+P657)))</f>
        <v>0.648</v>
      </c>
      <c r="R657" s="16" t="n">
        <f aca="false">IF(D657="","",Q657/$B$15)</f>
        <v>0.25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10.5364345406833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49.4668288294989</v>
      </c>
      <c r="Z657" s="18" t="n">
        <f aca="false">IF(D657="","",MAX(0,IF(P657&gt;=0,P657,IF(K657+P657&gt;=0,0,P657+K657))))</f>
        <v>10.5364345406833</v>
      </c>
      <c r="AA657" s="18" t="n">
        <f aca="false">IF(D657="","",IF(H657&lt;=$B$16,1,IF(H657&gt;=$B$17,$B$21,MATCH(H657,Aux_CAV!$A$2:$A$121,1))))</f>
        <v>6</v>
      </c>
      <c r="AB657" s="18" t="n">
        <f aca="false">IF(D657="","",IF(L657&lt;=$B$16,1,IF(L657&gt;=$B$17,$B$21,MATCH(L657,Aux_CAV!$A$2:$A$121,1))))</f>
        <v>5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0.017340215300935</v>
      </c>
      <c r="E658" s="16" t="n">
        <f aca="false">IF(D658="","",D658*$B$15)</f>
        <v>0.0449458380600235</v>
      </c>
      <c r="F658" s="16" t="n">
        <f aca="false" t="array" ref="F658:F658">IF(D658="","",IFERROR(INDEX(Dados_Evap!$C$2:$N$15,MATCH($B$9,Dados_Evap!$A$2:$A$15,0),C658),0))</f>
        <v>225.9</v>
      </c>
      <c r="G658" s="16" t="n">
        <f aca="false">IF(F658="","",F658/1000)</f>
        <v>0.2259</v>
      </c>
      <c r="H658" s="16" t="n">
        <f aca="false">IF(D658="","",MAX(0,MIN($B$8,IFERROR(LOOKUP(2,1/($U$24:U657&lt;&gt;""),$U$24:U657),$B$11))))</f>
        <v>10.5364345406833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0.947315305553648</v>
      </c>
      <c r="J658" s="16" t="n">
        <f aca="false">IF(D658="","",$B$12)</f>
        <v>0.25</v>
      </c>
      <c r="K658" s="16" t="n">
        <f aca="false">IF(J658="","",J658*$B$15)</f>
        <v>0.648</v>
      </c>
      <c r="L658" s="16" t="n">
        <f aca="false">IF(D658="","",H658+E658-K658-G658*I658)</f>
        <v>9.71938185121872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0.920200725151064</v>
      </c>
      <c r="N658" s="16" t="n">
        <f aca="false">IF(D658="","",(I658+M658)/2)</f>
        <v>0.933758015352356</v>
      </c>
      <c r="O658" s="16" t="n">
        <f aca="false">IF(D658="","",G658*N658)</f>
        <v>0.210935935668097</v>
      </c>
      <c r="P658" s="16" t="n">
        <f aca="false">IF(D658="","",H658+E658-K658-O658)</f>
        <v>9.72244444307519</v>
      </c>
      <c r="Q658" s="16" t="n">
        <f aca="false">IF(D658="","",IF(P658&gt;=0,K658,MAX(0,K658+P658)))</f>
        <v>0.648</v>
      </c>
      <c r="R658" s="16" t="n">
        <f aca="false">IF(D658="","",Q658/$B$15)</f>
        <v>0.25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9.72244444307519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45.6452790754704</v>
      </c>
      <c r="Z658" s="18" t="n">
        <f aca="false">IF(D658="","",MAX(0,IF(P658&gt;=0,P658,IF(K658+P658&gt;=0,0,P658+K658))))</f>
        <v>9.72244444307519</v>
      </c>
      <c r="AA658" s="18" t="n">
        <f aca="false">IF(D658="","",IF(H658&lt;=$B$16,1,IF(H658&gt;=$B$17,$B$21,MATCH(H658,Aux_CAV!$A$2:$A$121,1))))</f>
        <v>5</v>
      </c>
      <c r="AB658" s="18" t="n">
        <f aca="false">IF(D658="","",IF(L658&lt;=$B$16,1,IF(L658&gt;=$B$17,$B$21,MATCH(L658,Aux_CAV!$A$2:$A$121,1))))</f>
        <v>5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0.0221746722255875</v>
      </c>
      <c r="E659" s="16" t="n">
        <f aca="false">IF(D659="","",D659*$B$15)</f>
        <v>0.0574767504087228</v>
      </c>
      <c r="F659" s="16" t="n">
        <f aca="false" t="array" ref="F659:F659">IF(D659="","",IFERROR(INDEX(Dados_Evap!$C$2:$N$15,MATCH($B$9,Dados_Evap!$A$2:$A$15,0),C659),0))</f>
        <v>206</v>
      </c>
      <c r="G659" s="16" t="n">
        <f aca="false">IF(F659="","",F659/1000)</f>
        <v>0.206</v>
      </c>
      <c r="H659" s="16" t="n">
        <f aca="false">IF(D659="","",MAX(0,MIN($B$8,IFERROR(LOOKUP(2,1/($U$24:U658&lt;&gt;""),$U$24:U658),$B$11))))</f>
        <v>9.72244444307519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0.920302359836566</v>
      </c>
      <c r="J659" s="16" t="n">
        <f aca="false">IF(D659="","",$B$12)</f>
        <v>0.25</v>
      </c>
      <c r="K659" s="16" t="n">
        <f aca="false">IF(J659="","",J659*$B$15)</f>
        <v>0.648</v>
      </c>
      <c r="L659" s="16" t="n">
        <f aca="false">IF(D659="","",H659+E659-K659-G659*I659)</f>
        <v>8.94233890735758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0.89441390179284</v>
      </c>
      <c r="N659" s="16" t="n">
        <f aca="false">IF(D659="","",(I659+M659)/2)</f>
        <v>0.907358130814703</v>
      </c>
      <c r="O659" s="16" t="n">
        <f aca="false">IF(D659="","",G659*N659)</f>
        <v>0.186915774947829</v>
      </c>
      <c r="P659" s="16" t="n">
        <f aca="false">IF(D659="","",H659+E659-K659-O659)</f>
        <v>8.94500541853608</v>
      </c>
      <c r="Q659" s="16" t="n">
        <f aca="false">IF(D659="","",IF(P659&gt;=0,K659,MAX(0,K659+P659)))</f>
        <v>0.648</v>
      </c>
      <c r="R659" s="16" t="n">
        <f aca="false">IF(D659="","",Q659/$B$15)</f>
        <v>0.25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8.94500541853608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41.9953306034558</v>
      </c>
      <c r="Z659" s="18" t="n">
        <f aca="false">IF(D659="","",MAX(0,IF(P659&gt;=0,P659,IF(K659+P659&gt;=0,0,P659+K659))))</f>
        <v>8.94500541853608</v>
      </c>
      <c r="AA659" s="18" t="n">
        <f aca="false">IF(D659="","",IF(H659&lt;=$B$16,1,IF(H659&gt;=$B$17,$B$21,MATCH(H659,Aux_CAV!$A$2:$A$121,1))))</f>
        <v>5</v>
      </c>
      <c r="AB659" s="18" t="n">
        <f aca="false">IF(D659="","",IF(L659&lt;=$B$16,1,IF(L659&gt;=$B$17,$B$21,MATCH(L659,Aux_CAV!$A$2:$A$121,1))))</f>
        <v>5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0.224856179985015</v>
      </c>
      <c r="E660" s="16" t="n">
        <f aca="false">IF(D660="","",D660*$B$15)</f>
        <v>0.582827218521159</v>
      </c>
      <c r="F660" s="16" t="n">
        <f aca="false" t="array" ref="F660:F660">IF(D660="","",IFERROR(INDEX(Dados_Evap!$C$2:$N$15,MATCH($B$9,Dados_Evap!$A$2:$A$15,0),C660),0))</f>
        <v>165.6</v>
      </c>
      <c r="G660" s="16" t="n">
        <f aca="false">IF(F660="","",F660/1000)</f>
        <v>0.1656</v>
      </c>
      <c r="H660" s="16" t="n">
        <f aca="false">IF(D660="","",MAX(0,MIN($B$8,IFERROR(LOOKUP(2,1/($U$24:U659&lt;&gt;""),$U$24:U659),$B$11))))</f>
        <v>8.94500541853608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0.894502392208056</v>
      </c>
      <c r="J660" s="16" t="n">
        <f aca="false">IF(D660="","",$B$12)</f>
        <v>0.25</v>
      </c>
      <c r="K660" s="16" t="n">
        <f aca="false">IF(J660="","",J660*$B$15)</f>
        <v>0.648</v>
      </c>
      <c r="L660" s="16" t="n">
        <f aca="false">IF(D660="","",H660+E660-K660-G660*I660)</f>
        <v>8.73170304090759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0.887423773481447</v>
      </c>
      <c r="N660" s="16" t="n">
        <f aca="false">IF(D660="","",(I660+M660)/2)</f>
        <v>0.890963082844751</v>
      </c>
      <c r="O660" s="16" t="n">
        <f aca="false">IF(D660="","",G660*N660)</f>
        <v>0.147543486519091</v>
      </c>
      <c r="P660" s="16" t="n">
        <f aca="false">IF(D660="","",H660+E660-K660-O660)</f>
        <v>8.73228915053815</v>
      </c>
      <c r="Q660" s="16" t="n">
        <f aca="false">IF(D660="","",IF(P660&gt;=0,K660,MAX(0,K660+P660)))</f>
        <v>0.648</v>
      </c>
      <c r="R660" s="16" t="n">
        <f aca="false">IF(D660="","",Q660/$B$15)</f>
        <v>0.25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8.73228915053815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40.9966626785829</v>
      </c>
      <c r="Z660" s="18" t="n">
        <f aca="false">IF(D660="","",MAX(0,IF(P660&gt;=0,P660,IF(K660+P660&gt;=0,0,P660+K660))))</f>
        <v>8.73228915053815</v>
      </c>
      <c r="AA660" s="18" t="n">
        <f aca="false">IF(D660="","",IF(H660&lt;=$B$16,1,IF(H660&gt;=$B$17,$B$21,MATCH(H660,Aux_CAV!$A$2:$A$121,1))))</f>
        <v>5</v>
      </c>
      <c r="AB660" s="18" t="n">
        <f aca="false">IF(D660="","",IF(L660&lt;=$B$16,1,IF(L660&gt;=$B$17,$B$21,MATCH(L660,Aux_CAV!$A$2:$A$121,1))))</f>
        <v>5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0.512424896008325</v>
      </c>
      <c r="E661" s="16" t="n">
        <f aca="false">IF(D661="","",D661*$B$15)</f>
        <v>1.32820533045358</v>
      </c>
      <c r="F661" s="16" t="n">
        <f aca="false" t="array" ref="F661:F661">IF(D661="","",IFERROR(INDEX(Dados_Evap!$C$2:$N$15,MATCH($B$9,Dados_Evap!$A$2:$A$15,0),C661),0))</f>
        <v>124.9</v>
      </c>
      <c r="G661" s="16" t="n">
        <f aca="false">IF(F661="","",F661/1000)</f>
        <v>0.1249</v>
      </c>
      <c r="H661" s="16" t="n">
        <f aca="false">IF(D661="","",MAX(0,MIN($B$8,IFERROR(LOOKUP(2,1/($U$24:U660&lt;&gt;""),$U$24:U660),$B$11))))</f>
        <v>8.73228915053815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0.887443224022284</v>
      </c>
      <c r="J661" s="16" t="n">
        <f aca="false">IF(D661="","",$B$12)</f>
        <v>0.25</v>
      </c>
      <c r="K661" s="16" t="n">
        <f aca="false">IF(J661="","",J661*$B$15)</f>
        <v>0.648</v>
      </c>
      <c r="L661" s="16" t="n">
        <f aca="false">IF(D661="","",H661+E661-K661-G661*I661)</f>
        <v>9.30165282231135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0.906338036138651</v>
      </c>
      <c r="N661" s="16" t="n">
        <f aca="false">IF(D661="","",(I661+M661)/2)</f>
        <v>0.896890630080467</v>
      </c>
      <c r="O661" s="16" t="n">
        <f aca="false">IF(D661="","",G661*N661)</f>
        <v>0.11202163969705</v>
      </c>
      <c r="P661" s="16" t="n">
        <f aca="false">IF(D661="","",H661+E661-K661-O661)</f>
        <v>9.30047284129468</v>
      </c>
      <c r="Q661" s="16" t="n">
        <f aca="false">IF(D661="","",IF(P661&gt;=0,K661,MAX(0,K661+P661)))</f>
        <v>0.648</v>
      </c>
      <c r="R661" s="16" t="n">
        <f aca="false">IF(D661="","",Q661/$B$15)</f>
        <v>0.25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9.30047284129468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43.6641917431675</v>
      </c>
      <c r="Z661" s="18" t="n">
        <f aca="false">IF(D661="","",MAX(0,IF(P661&gt;=0,P661,IF(K661+P661&gt;=0,0,P661+K661))))</f>
        <v>9.30047284129468</v>
      </c>
      <c r="AA661" s="18" t="n">
        <f aca="false">IF(D661="","",IF(H661&lt;=$B$16,1,IF(H661&gt;=$B$17,$B$21,MATCH(H661,Aux_CAV!$A$2:$A$121,1))))</f>
        <v>5</v>
      </c>
      <c r="AB661" s="18" t="n">
        <f aca="false">IF(D661="","",IF(L661&lt;=$B$16,1,IF(L661&gt;=$B$17,$B$21,MATCH(L661,Aux_CAV!$A$2:$A$121,1))))</f>
        <v>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2.32858092976778</v>
      </c>
      <c r="E662" s="16" t="n">
        <f aca="false">IF(D662="","",D662*$B$15)</f>
        <v>6.03568176995809</v>
      </c>
      <c r="F662" s="16" t="n">
        <f aca="false" t="array" ref="F662:F662">IF(D662="","",IFERROR(INDEX(Dados_Evap!$C$2:$N$15,MATCH($B$9,Dados_Evap!$A$2:$A$15,0),C662),0))</f>
        <v>88.2</v>
      </c>
      <c r="G662" s="16" t="n">
        <f aca="false">IF(F662="","",F662/1000)</f>
        <v>0.0882</v>
      </c>
      <c r="H662" s="16" t="n">
        <f aca="false">IF(D662="","",MAX(0,MIN($B$8,IFERROR(LOOKUP(2,1/($U$24:U661&lt;&gt;""),$U$24:U661),$B$11))))</f>
        <v>9.30047284129468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0.906298877476593</v>
      </c>
      <c r="J662" s="16" t="n">
        <f aca="false">IF(D662="","",$B$12)</f>
        <v>0.25</v>
      </c>
      <c r="K662" s="16" t="n">
        <f aca="false">IF(J662="","",J662*$B$15)</f>
        <v>0.648</v>
      </c>
      <c r="L662" s="16" t="n">
        <f aca="false">IF(D662="","",H662+E662-K662-G662*I662)</f>
        <v>14.6082190502593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1.07888416607639</v>
      </c>
      <c r="N662" s="16" t="n">
        <f aca="false">IF(D662="","",(I662+M662)/2)</f>
        <v>0.99259152177649</v>
      </c>
      <c r="O662" s="16" t="n">
        <f aca="false">IF(D662="","",G662*N662)</f>
        <v>0.0875465722206864</v>
      </c>
      <c r="P662" s="16" t="n">
        <f aca="false">IF(D662="","",H662+E662-K662-O662)</f>
        <v>14.6006080390321</v>
      </c>
      <c r="Q662" s="16" t="n">
        <f aca="false">IF(D662="","",IF(P662&gt;=0,K662,MAX(0,K662+P662)))</f>
        <v>0.648</v>
      </c>
      <c r="R662" s="16" t="n">
        <f aca="false">IF(D662="","",Q662/$B$15)</f>
        <v>0.25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14.6006080390321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68.5474555823102</v>
      </c>
      <c r="Z662" s="18" t="n">
        <f aca="false">IF(D662="","",MAX(0,IF(P662&gt;=0,P662,IF(K662+P662&gt;=0,0,P662+K662))))</f>
        <v>14.6006080390321</v>
      </c>
      <c r="AA662" s="18" t="n">
        <f aca="false">IF(D662="","",IF(H662&lt;=$B$16,1,IF(H662&gt;=$B$17,$B$21,MATCH(H662,Aux_CAV!$A$2:$A$121,1))))</f>
        <v>5</v>
      </c>
      <c r="AB662" s="18" t="n">
        <f aca="false">IF(D662="","",IF(L662&lt;=$B$16,1,IF(L662&gt;=$B$17,$B$21,MATCH(L662,Aux_CAV!$A$2:$A$121,1))))</f>
        <v>6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1.98274091968164</v>
      </c>
      <c r="E663" s="16" t="n">
        <f aca="false">IF(D663="","",D663*$B$15)</f>
        <v>5.13926446381481</v>
      </c>
      <c r="F663" s="16" t="n">
        <f aca="false" t="array" ref="F663:F663">IF(D663="","",IFERROR(INDEX(Dados_Evap!$C$2:$N$15,MATCH($B$9,Dados_Evap!$A$2:$A$15,0),C663),0))</f>
        <v>88.2</v>
      </c>
      <c r="G663" s="16" t="n">
        <f aca="false">IF(F663="","",F663/1000)</f>
        <v>0.0882</v>
      </c>
      <c r="H663" s="16" t="n">
        <f aca="false">IF(D663="","",MAX(0,MIN($B$8,IFERROR(LOOKUP(2,1/($U$24:U662&lt;&gt;""),$U$24:U662),$B$11))))</f>
        <v>14.6006080390321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1.07863957781389</v>
      </c>
      <c r="J663" s="16" t="n">
        <f aca="false">IF(D663="","",$B$12)</f>
        <v>0.25</v>
      </c>
      <c r="K663" s="16" t="n">
        <f aca="false">IF(J663="","",J663*$B$15)</f>
        <v>0.648</v>
      </c>
      <c r="L663" s="16" t="n">
        <f aca="false">IF(D663="","",H663+E663-K663-G663*I663)</f>
        <v>18.9967364920837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1.18672365016441</v>
      </c>
      <c r="N663" s="16" t="n">
        <f aca="false">IF(D663="","",(I663+M663)/2)</f>
        <v>1.13268161398915</v>
      </c>
      <c r="O663" s="16" t="n">
        <f aca="false">IF(D663="","",G663*N663)</f>
        <v>0.0999025183538429</v>
      </c>
      <c r="P663" s="16" t="n">
        <f aca="false">IF(D663="","",H663+E663-K663-O663)</f>
        <v>18.991969984493</v>
      </c>
      <c r="Q663" s="16" t="n">
        <f aca="false">IF(D663="","",IF(P663&gt;=0,K663,MAX(0,K663+P663)))</f>
        <v>0.648</v>
      </c>
      <c r="R663" s="16" t="n">
        <f aca="false">IF(D663="","",Q663/$B$15)</f>
        <v>0.25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18.991969984493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89.1641783309533</v>
      </c>
      <c r="Z663" s="18" t="n">
        <f aca="false">IF(D663="","",MAX(0,IF(P663&gt;=0,P663,IF(K663+P663&gt;=0,0,P663+K663))))</f>
        <v>18.991969984493</v>
      </c>
      <c r="AA663" s="18" t="n">
        <f aca="false">IF(D663="","",IF(H663&lt;=$B$16,1,IF(H663&gt;=$B$17,$B$21,MATCH(H663,Aux_CAV!$A$2:$A$121,1))))</f>
        <v>6</v>
      </c>
      <c r="AB663" s="18" t="n">
        <f aca="false">IF(D663="","",IF(L663&lt;=$B$16,1,IF(L663&gt;=$B$17,$B$21,MATCH(L663,Aux_CAV!$A$2:$A$121,1))))</f>
        <v>7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0.631055173057352</v>
      </c>
      <c r="E664" s="16" t="n">
        <f aca="false">IF(D664="","",D664*$B$15)</f>
        <v>1.63569500856466</v>
      </c>
      <c r="F664" s="16" t="n">
        <f aca="false" t="array" ref="F664:F664">IF(D664="","",IFERROR(INDEX(Dados_Evap!$C$2:$N$15,MATCH($B$9,Dados_Evap!$A$2:$A$15,0),C664),0))</f>
        <v>83.9</v>
      </c>
      <c r="G664" s="16" t="n">
        <f aca="false">IF(F664="","",F664/1000)</f>
        <v>0.0839</v>
      </c>
      <c r="H664" s="16" t="n">
        <f aca="false">IF(D664="","",MAX(0,MIN($B$8,IFERROR(LOOKUP(2,1/($U$24:U663&lt;&gt;""),$U$24:U663),$B$11))))</f>
        <v>18.991969984493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1.18663409156668</v>
      </c>
      <c r="J664" s="16" t="n">
        <f aca="false">IF(D664="","",$B$12)</f>
        <v>0.25</v>
      </c>
      <c r="K664" s="16" t="n">
        <f aca="false">IF(J664="","",J664*$B$15)</f>
        <v>0.648</v>
      </c>
      <c r="L664" s="16" t="n">
        <f aca="false">IF(D664="","",H664+E664-K664-G664*I664)</f>
        <v>19.8801063927753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1.20332141447803</v>
      </c>
      <c r="N664" s="16" t="n">
        <f aca="false">IF(D664="","",(I664+M664)/2)</f>
        <v>1.19497775302235</v>
      </c>
      <c r="O664" s="16" t="n">
        <f aca="false">IF(D664="","",G664*N664)</f>
        <v>0.100258633478575</v>
      </c>
      <c r="P664" s="16" t="n">
        <f aca="false">IF(D664="","",H664+E664-K664-O664)</f>
        <v>19.8794063595791</v>
      </c>
      <c r="Q664" s="16" t="n">
        <f aca="false">IF(D664="","",IF(P664&gt;=0,K664,MAX(0,K664+P664)))</f>
        <v>0.648</v>
      </c>
      <c r="R664" s="16" t="n">
        <f aca="false">IF(D664="","",Q664/$B$15)</f>
        <v>0.25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19.8794063595791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93.3305462891039</v>
      </c>
      <c r="Z664" s="18" t="n">
        <f aca="false">IF(D664="","",MAX(0,IF(P664&gt;=0,P664,IF(K664+P664&gt;=0,0,P664+K664))))</f>
        <v>19.8794063595791</v>
      </c>
      <c r="AA664" s="18" t="n">
        <f aca="false">IF(D664="","",IF(H664&lt;=$B$16,1,IF(H664&gt;=$B$17,$B$21,MATCH(H664,Aux_CAV!$A$2:$A$121,1))))</f>
        <v>7</v>
      </c>
      <c r="AB664" s="18" t="n">
        <f aca="false">IF(D664="","",IF(L664&lt;=$B$16,1,IF(L664&gt;=$B$17,$B$21,MATCH(L664,Aux_CAV!$A$2:$A$121,1))))</f>
        <v>7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0.25346280338397</v>
      </c>
      <c r="E665" s="16" t="n">
        <f aca="false">IF(D665="","",D665*$B$15)</f>
        <v>0.65697558637125</v>
      </c>
      <c r="F665" s="16" t="n">
        <f aca="false" t="array" ref="F665:F665">IF(D665="","",IFERROR(INDEX(Dados_Evap!$C$2:$N$15,MATCH($B$9,Dados_Evap!$A$2:$A$15,0),C665),0))</f>
        <v>104.7</v>
      </c>
      <c r="G665" s="16" t="n">
        <f aca="false">IF(F665="","",F665/1000)</f>
        <v>0.1047</v>
      </c>
      <c r="H665" s="16" t="n">
        <f aca="false">IF(D665="","",MAX(0,MIN($B$8,IFERROR(LOOKUP(2,1/($U$24:U664&lt;&gt;""),$U$24:U664),$B$11))))</f>
        <v>19.8794063595791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1.20330826145347</v>
      </c>
      <c r="J665" s="16" t="n">
        <f aca="false">IF(D665="","",$B$12)</f>
        <v>0.25</v>
      </c>
      <c r="K665" s="16" t="n">
        <f aca="false">IF(J665="","",J665*$B$15)</f>
        <v>0.648</v>
      </c>
      <c r="L665" s="16" t="n">
        <f aca="false">IF(D665="","",H665+E665-K665-G665*I665)</f>
        <v>19.7623955709762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1.20110972889099</v>
      </c>
      <c r="N665" s="16" t="n">
        <f aca="false">IF(D665="","",(I665+M665)/2)</f>
        <v>1.20220899517223</v>
      </c>
      <c r="O665" s="16" t="n">
        <f aca="false">IF(D665="","",G665*N665)</f>
        <v>0.125871281794533</v>
      </c>
      <c r="P665" s="16" t="n">
        <f aca="false">IF(D665="","",H665+E665-K665-O665)</f>
        <v>19.7625106641558</v>
      </c>
      <c r="Q665" s="16" t="n">
        <f aca="false">IF(D665="","",IF(P665&gt;=0,K665,MAX(0,K665+P665)))</f>
        <v>0.648</v>
      </c>
      <c r="R665" s="16" t="n">
        <f aca="false">IF(D665="","",Q665/$B$15)</f>
        <v>0.25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19.7625106641558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92.7817402073044</v>
      </c>
      <c r="Z665" s="18" t="n">
        <f aca="false">IF(D665="","",MAX(0,IF(P665&gt;=0,P665,IF(K665+P665&gt;=0,0,P665+K665))))</f>
        <v>19.7625106641558</v>
      </c>
      <c r="AA665" s="18" t="n">
        <f aca="false">IF(D665="","",IF(H665&lt;=$B$16,1,IF(H665&gt;=$B$17,$B$21,MATCH(H665,Aux_CAV!$A$2:$A$121,1))))</f>
        <v>7</v>
      </c>
      <c r="AB665" s="18" t="n">
        <f aca="false">IF(D665="","",IF(L665&lt;=$B$16,1,IF(L665&gt;=$B$17,$B$21,MATCH(L665,Aux_CAV!$A$2:$A$121,1))))</f>
        <v>7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0.238813979821592</v>
      </c>
      <c r="E666" s="16" t="n">
        <f aca="false">IF(D666="","",D666*$B$15)</f>
        <v>0.619005835697567</v>
      </c>
      <c r="F666" s="16" t="n">
        <f aca="false" t="array" ref="F666:F666">IF(D666="","",IFERROR(INDEX(Dados_Evap!$C$2:$N$15,MATCH($B$9,Dados_Evap!$A$2:$A$15,0),C666),0))</f>
        <v>145.2</v>
      </c>
      <c r="G666" s="16" t="n">
        <f aca="false">IF(F666="","",F666/1000)</f>
        <v>0.1452</v>
      </c>
      <c r="H666" s="16" t="n">
        <f aca="false">IF(D666="","",MAX(0,MIN($B$8,IFERROR(LOOKUP(2,1/($U$24:U665&lt;&gt;""),$U$24:U665),$B$11))))</f>
        <v>19.7625106641558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1.20111189139332</v>
      </c>
      <c r="J666" s="16" t="n">
        <f aca="false">IF(D666="","",$B$12)</f>
        <v>0.25</v>
      </c>
      <c r="K666" s="16" t="n">
        <f aca="false">IF(J666="","",J666*$B$15)</f>
        <v>0.648</v>
      </c>
      <c r="L666" s="16" t="n">
        <f aca="false">IF(D666="","",H666+E666-K666-G666*I666)</f>
        <v>19.5591150532231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1.19729026196035</v>
      </c>
      <c r="N666" s="16" t="n">
        <f aca="false">IF(D666="","",(I666+M666)/2)</f>
        <v>1.19920107667684</v>
      </c>
      <c r="O666" s="16" t="n">
        <f aca="false">IF(D666="","",G666*N666)</f>
        <v>0.174123996333477</v>
      </c>
      <c r="P666" s="16" t="n">
        <f aca="false">IF(D666="","",H666+E666-K666-O666)</f>
        <v>19.5593925035199</v>
      </c>
      <c r="Q666" s="16" t="n">
        <f aca="false">IF(D666="","",IF(P666&gt;=0,K666,MAX(0,K666+P666)))</f>
        <v>0.648</v>
      </c>
      <c r="R666" s="16" t="n">
        <f aca="false">IF(D666="","",Q666/$B$15)</f>
        <v>0.25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19.5593925035199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91.8281338193424</v>
      </c>
      <c r="Z666" s="18" t="n">
        <f aca="false">IF(D666="","",MAX(0,IF(P666&gt;=0,P666,IF(K666+P666&gt;=0,0,P666+K666))))</f>
        <v>19.5593925035199</v>
      </c>
      <c r="AA666" s="18" t="n">
        <f aca="false">IF(D666="","",IF(H666&lt;=$B$16,1,IF(H666&gt;=$B$17,$B$21,MATCH(H666,Aux_CAV!$A$2:$A$121,1))))</f>
        <v>7</v>
      </c>
      <c r="AB666" s="18" t="n">
        <f aca="false">IF(D666="","",IF(L666&lt;=$B$16,1,IF(L666&gt;=$B$17,$B$21,MATCH(L666,Aux_CAV!$A$2:$A$121,1))))</f>
        <v>7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0.12309613556245</v>
      </c>
      <c r="E667" s="16" t="n">
        <f aca="false">IF(D667="","",D667*$B$15)</f>
        <v>0.31906518337787</v>
      </c>
      <c r="F667" s="16" t="n">
        <f aca="false" t="array" ref="F667:F667">IF(D667="","",IFERROR(INDEX(Dados_Evap!$C$2:$N$15,MATCH($B$9,Dados_Evap!$A$2:$A$15,0),C667),0))</f>
        <v>180.9</v>
      </c>
      <c r="G667" s="16" t="n">
        <f aca="false">IF(F667="","",F667/1000)</f>
        <v>0.1809</v>
      </c>
      <c r="H667" s="16" t="n">
        <f aca="false">IF(D667="","",MAX(0,MIN($B$8,IFERROR(LOOKUP(2,1/($U$24:U666&lt;&gt;""),$U$24:U666),$B$11))))</f>
        <v>19.5593925035199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1.19729547501394</v>
      </c>
      <c r="J667" s="16" t="n">
        <f aca="false">IF(D667="","",$B$12)</f>
        <v>0.25</v>
      </c>
      <c r="K667" s="16" t="n">
        <f aca="false">IF(J667="","",J667*$B$15)</f>
        <v>0.648</v>
      </c>
      <c r="L667" s="16" t="n">
        <f aca="false">IF(D667="","",H667+E667-K667-G667*I667)</f>
        <v>19.0138669354678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1.1870455165328</v>
      </c>
      <c r="N667" s="16" t="n">
        <f aca="false">IF(D667="","",(I667+M667)/2)</f>
        <v>1.19217049577337</v>
      </c>
      <c r="O667" s="16" t="n">
        <f aca="false">IF(D667="","",G667*N667)</f>
        <v>0.215663642685403</v>
      </c>
      <c r="P667" s="16" t="n">
        <f aca="false">IF(D667="","",H667+E667-K667-O667)</f>
        <v>19.0147940442124</v>
      </c>
      <c r="Q667" s="16" t="n">
        <f aca="false">IF(D667="","",IF(P667&gt;=0,K667,MAX(0,K667+P667)))</f>
        <v>0.648</v>
      </c>
      <c r="R667" s="16" t="n">
        <f aca="false">IF(D667="","",Q667/$B$15)</f>
        <v>0.25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19.0147940442124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89.2713335409033</v>
      </c>
      <c r="Z667" s="18" t="n">
        <f aca="false">IF(D667="","",MAX(0,IF(P667&gt;=0,P667,IF(K667+P667&gt;=0,0,P667+K667))))</f>
        <v>19.0147940442124</v>
      </c>
      <c r="AA667" s="18" t="n">
        <f aca="false">IF(D667="","",IF(H667&lt;=$B$16,1,IF(H667&gt;=$B$17,$B$21,MATCH(H667,Aux_CAV!$A$2:$A$121,1))))</f>
        <v>7</v>
      </c>
      <c r="AB667" s="18" t="n">
        <f aca="false">IF(D667="","",IF(L667&lt;=$B$16,1,IF(L667&gt;=$B$17,$B$21,MATCH(L667,Aux_CAV!$A$2:$A$121,1))))</f>
        <v>7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0.0752457197449685</v>
      </c>
      <c r="E668" s="16" t="n">
        <f aca="false">IF(D668="","",D668*$B$15)</f>
        <v>0.195036905578958</v>
      </c>
      <c r="F668" s="16" t="n">
        <f aca="false" t="array" ref="F668:F668">IF(D668="","",IFERROR(INDEX(Dados_Evap!$C$2:$N$15,MATCH($B$9,Dados_Evap!$A$2:$A$15,0),C668),0))</f>
        <v>208.9</v>
      </c>
      <c r="G668" s="16" t="n">
        <f aca="false">IF(F668="","",F668/1000)</f>
        <v>0.2089</v>
      </c>
      <c r="H668" s="16" t="n">
        <f aca="false">IF(D668="","",MAX(0,MIN($B$8,IFERROR(LOOKUP(2,1/($U$24:U667&lt;&gt;""),$U$24:U667),$B$11))))</f>
        <v>19.0147940442124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1.18706293611255</v>
      </c>
      <c r="J668" s="16" t="n">
        <f aca="false">IF(D668="","",$B$12)</f>
        <v>0.25</v>
      </c>
      <c r="K668" s="16" t="n">
        <f aca="false">IF(J668="","",J668*$B$15)</f>
        <v>0.648</v>
      </c>
      <c r="L668" s="16" t="n">
        <f aca="false">IF(D668="","",H668+E668-K668-G668*I668)</f>
        <v>18.3138535024375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1.17389286330258</v>
      </c>
      <c r="N668" s="16" t="n">
        <f aca="false">IF(D668="","",(I668+M668)/2)</f>
        <v>1.18047789970757</v>
      </c>
      <c r="O668" s="16" t="n">
        <f aca="false">IF(D668="","",G668*N668)</f>
        <v>0.246601833248911</v>
      </c>
      <c r="P668" s="16" t="n">
        <f aca="false">IF(D668="","",H668+E668-K668-O668)</f>
        <v>18.3152291165425</v>
      </c>
      <c r="Q668" s="16" t="n">
        <f aca="false">IF(D668="","",IF(P668&gt;=0,K668,MAX(0,K668+P668)))</f>
        <v>0.648</v>
      </c>
      <c r="R668" s="16" t="n">
        <f aca="false">IF(D668="","",Q668/$B$15)</f>
        <v>0.25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18.3152291165425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85.9869911574763</v>
      </c>
      <c r="Z668" s="18" t="n">
        <f aca="false">IF(D668="","",MAX(0,IF(P668&gt;=0,P668,IF(K668+P668&gt;=0,0,P668+K668))))</f>
        <v>18.3152291165425</v>
      </c>
      <c r="AA668" s="18" t="n">
        <f aca="false">IF(D668="","",IF(H668&lt;=$B$16,1,IF(H668&gt;=$B$17,$B$21,MATCH(H668,Aux_CAV!$A$2:$A$121,1))))</f>
        <v>7</v>
      </c>
      <c r="AB668" s="18" t="n">
        <f aca="false">IF(D668="","",IF(L668&lt;=$B$16,1,IF(L668&gt;=$B$17,$B$21,MATCH(L668,Aux_CAV!$A$2:$A$121,1))))</f>
        <v>7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0.043020749900403</v>
      </c>
      <c r="E669" s="16" t="n">
        <f aca="false">IF(D669="","",D669*$B$15)</f>
        <v>0.111509783741845</v>
      </c>
      <c r="F669" s="16" t="n">
        <f aca="false" t="array" ref="F669:F669">IF(D669="","",IFERROR(INDEX(Dados_Evap!$C$2:$N$15,MATCH($B$9,Dados_Evap!$A$2:$A$15,0),C669),0))</f>
        <v>235.9</v>
      </c>
      <c r="G669" s="16" t="n">
        <f aca="false">IF(F669="","",F669/1000)</f>
        <v>0.2359</v>
      </c>
      <c r="H669" s="16" t="n">
        <f aca="false">IF(D669="","",MAX(0,MIN($B$8,IFERROR(LOOKUP(2,1/($U$24:U668&lt;&gt;""),$U$24:U668),$B$11))))</f>
        <v>18.3152291165425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1.17391870991416</v>
      </c>
      <c r="J669" s="16" t="n">
        <f aca="false">IF(D669="","",$B$12)</f>
        <v>0.25</v>
      </c>
      <c r="K669" s="16" t="n">
        <f aca="false">IF(J669="","",J669*$B$15)</f>
        <v>0.648</v>
      </c>
      <c r="L669" s="16" t="n">
        <f aca="false">IF(D669="","",H669+E669-K669-G669*I669)</f>
        <v>17.5018114766156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1.15863528870468</v>
      </c>
      <c r="N669" s="16" t="n">
        <f aca="false">IF(D669="","",(I669+M669)/2)</f>
        <v>1.16627699930942</v>
      </c>
      <c r="O669" s="16" t="n">
        <f aca="false">IF(D669="","",G669*N669)</f>
        <v>0.275124744137092</v>
      </c>
      <c r="P669" s="16" t="n">
        <f aca="false">IF(D669="","",H669+E669-K669-O669)</f>
        <v>17.5036141561472</v>
      </c>
      <c r="Q669" s="16" t="n">
        <f aca="false">IF(D669="","",IF(P669&gt;=0,K669,MAX(0,K669+P669)))</f>
        <v>0.648</v>
      </c>
      <c r="R669" s="16" t="n">
        <f aca="false">IF(D669="","",Q669/$B$15)</f>
        <v>0.25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17.5036141561472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82.1765922823813</v>
      </c>
      <c r="Z669" s="18" t="n">
        <f aca="false">IF(D669="","",MAX(0,IF(P669&gt;=0,P669,IF(K669+P669&gt;=0,0,P669+K669))))</f>
        <v>17.5036141561472</v>
      </c>
      <c r="AA669" s="18" t="n">
        <f aca="false">IF(D669="","",IF(H669&lt;=$B$16,1,IF(H669&gt;=$B$17,$B$21,MATCH(H669,Aux_CAV!$A$2:$A$121,1))))</f>
        <v>7</v>
      </c>
      <c r="AB669" s="18" t="n">
        <f aca="false">IF(D669="","",IF(L669&lt;=$B$16,1,IF(L669&gt;=$B$17,$B$21,MATCH(L669,Aux_CAV!$A$2:$A$121,1))))</f>
        <v>7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0.085788528238109</v>
      </c>
      <c r="E670" s="16" t="n">
        <f aca="false">IF(D670="","",D670*$B$15)</f>
        <v>0.222363865193179</v>
      </c>
      <c r="F670" s="16" t="n">
        <f aca="false" t="array" ref="F670:F670">IF(D670="","",IFERROR(INDEX(Dados_Evap!$C$2:$N$15,MATCH($B$9,Dados_Evap!$A$2:$A$15,0),C670),0))</f>
        <v>225.9</v>
      </c>
      <c r="G670" s="16" t="n">
        <f aca="false">IF(F670="","",F670/1000)</f>
        <v>0.2259</v>
      </c>
      <c r="H670" s="16" t="n">
        <f aca="false">IF(D670="","",MAX(0,MIN($B$8,IFERROR(LOOKUP(2,1/($U$24:U669&lt;&gt;""),$U$24:U669),$B$11))))</f>
        <v>17.5036141561472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1.15866915951007</v>
      </c>
      <c r="J670" s="16" t="n">
        <f aca="false">IF(D670="","",$B$12)</f>
        <v>0.25</v>
      </c>
      <c r="K670" s="16" t="n">
        <f aca="false">IF(J670="","",J670*$B$15)</f>
        <v>0.648</v>
      </c>
      <c r="L670" s="16" t="n">
        <f aca="false">IF(D670="","",H670+E670-K670-G670*I670)</f>
        <v>16.8162346582071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1.14575388710619</v>
      </c>
      <c r="N670" s="16" t="n">
        <f aca="false">IF(D670="","",(I670+M670)/2)</f>
        <v>1.15221152330813</v>
      </c>
      <c r="O670" s="16" t="n">
        <f aca="false">IF(D670="","",G670*N670)</f>
        <v>0.260284583115307</v>
      </c>
      <c r="P670" s="16" t="n">
        <f aca="false">IF(D670="","",H670+E670-K670-O670)</f>
        <v>16.8176934382251</v>
      </c>
      <c r="Q670" s="16" t="n">
        <f aca="false">IF(D670="","",IF(P670&gt;=0,K670,MAX(0,K670+P670)))</f>
        <v>0.648</v>
      </c>
      <c r="R670" s="16" t="n">
        <f aca="false">IF(D670="","",Q670/$B$15)</f>
        <v>0.25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16.8176934382251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78.956307221714</v>
      </c>
      <c r="Z670" s="18" t="n">
        <f aca="false">IF(D670="","",MAX(0,IF(P670&gt;=0,P670,IF(K670+P670&gt;=0,0,P670+K670))))</f>
        <v>16.8176934382251</v>
      </c>
      <c r="AA670" s="18" t="n">
        <f aca="false">IF(D670="","",IF(H670&lt;=$B$16,1,IF(H670&gt;=$B$17,$B$21,MATCH(H670,Aux_CAV!$A$2:$A$121,1))))</f>
        <v>7</v>
      </c>
      <c r="AB670" s="18" t="n">
        <f aca="false">IF(D670="","",IF(L670&lt;=$B$16,1,IF(L670&gt;=$B$17,$B$21,MATCH(L670,Aux_CAV!$A$2:$A$121,1))))</f>
        <v>7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0.131235451223914</v>
      </c>
      <c r="E671" s="16" t="n">
        <f aca="false">IF(D671="","",D671*$B$15)</f>
        <v>0.340162289572385</v>
      </c>
      <c r="F671" s="16" t="n">
        <f aca="false" t="array" ref="F671:F671">IF(D671="","",IFERROR(INDEX(Dados_Evap!$C$2:$N$15,MATCH($B$9,Dados_Evap!$A$2:$A$15,0),C671),0))</f>
        <v>206</v>
      </c>
      <c r="G671" s="16" t="n">
        <f aca="false">IF(F671="","",F671/1000)</f>
        <v>0.206</v>
      </c>
      <c r="H671" s="16" t="n">
        <f aca="false">IF(D671="","",MAX(0,MIN($B$8,IFERROR(LOOKUP(2,1/($U$24:U670&lt;&gt;""),$U$24:U670),$B$11))))</f>
        <v>16.8176934382251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1.14578129633408</v>
      </c>
      <c r="J671" s="16" t="n">
        <f aca="false">IF(D671="","",$B$12)</f>
        <v>0.25</v>
      </c>
      <c r="K671" s="16" t="n">
        <f aca="false">IF(J671="","",J671*$B$15)</f>
        <v>0.648</v>
      </c>
      <c r="L671" s="16" t="n">
        <f aca="false">IF(D671="","",H671+E671-K671-G671*I671)</f>
        <v>16.2738247807526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1.13241024815273</v>
      </c>
      <c r="N671" s="16" t="n">
        <f aca="false">IF(D671="","",(I671+M671)/2)</f>
        <v>1.13909577224341</v>
      </c>
      <c r="O671" s="16" t="n">
        <f aca="false">IF(D671="","",G671*N671)</f>
        <v>0.234653729082142</v>
      </c>
      <c r="P671" s="16" t="n">
        <f aca="false">IF(D671="","",H671+E671-K671-O671)</f>
        <v>16.2752019987153</v>
      </c>
      <c r="Q671" s="16" t="n">
        <f aca="false">IF(D671="","",IF(P671&gt;=0,K671,MAX(0,K671+P671)))</f>
        <v>0.648</v>
      </c>
      <c r="R671" s="16" t="n">
        <f aca="false">IF(D671="","",Q671/$B$15)</f>
        <v>0.25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16.2752019987153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76.4093990550015</v>
      </c>
      <c r="Z671" s="18" t="n">
        <f aca="false">IF(D671="","",MAX(0,IF(P671&gt;=0,P671,IF(K671+P671&gt;=0,0,P671+K671))))</f>
        <v>16.2752019987153</v>
      </c>
      <c r="AA671" s="18" t="n">
        <f aca="false">IF(D671="","",IF(H671&lt;=$B$16,1,IF(H671&gt;=$B$17,$B$21,MATCH(H671,Aux_CAV!$A$2:$A$121,1))))</f>
        <v>7</v>
      </c>
      <c r="AB671" s="18" t="n">
        <f aca="false">IF(D671="","",IF(L671&lt;=$B$16,1,IF(L671&gt;=$B$17,$B$21,MATCH(L671,Aux_CAV!$A$2:$A$121,1))))</f>
        <v>6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0.499814998106296</v>
      </c>
      <c r="E672" s="16" t="n">
        <f aca="false">IF(D672="","",D672*$B$15)</f>
        <v>1.29552047509152</v>
      </c>
      <c r="F672" s="16" t="n">
        <f aca="false" t="array" ref="F672:F672">IF(D672="","",IFERROR(INDEX(Dados_Evap!$C$2:$N$15,MATCH($B$9,Dados_Evap!$A$2:$A$15,0),C672),0))</f>
        <v>165.6</v>
      </c>
      <c r="G672" s="16" t="n">
        <f aca="false">IF(F672="","",F672/1000)</f>
        <v>0.1656</v>
      </c>
      <c r="H672" s="16" t="n">
        <f aca="false">IF(D672="","",MAX(0,MIN($B$8,IFERROR(LOOKUP(2,1/($U$24:U671&lt;&gt;""),$U$24:U671),$B$11))))</f>
        <v>16.2752019987153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1.13245450657497</v>
      </c>
      <c r="J672" s="16" t="n">
        <f aca="false">IF(D672="","",$B$12)</f>
        <v>0.25</v>
      </c>
      <c r="K672" s="16" t="n">
        <f aca="false">IF(J672="","",J672*$B$15)</f>
        <v>0.648</v>
      </c>
      <c r="L672" s="16" t="n">
        <f aca="false">IF(D672="","",H672+E672-K672-G672*I672)</f>
        <v>16.735188007518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1.14423108991161</v>
      </c>
      <c r="N672" s="16" t="n">
        <f aca="false">IF(D672="","",(I672+M672)/2)</f>
        <v>1.13834279824329</v>
      </c>
      <c r="O672" s="16" t="n">
        <f aca="false">IF(D672="","",G672*N672)</f>
        <v>0.188509567389089</v>
      </c>
      <c r="P672" s="16" t="n">
        <f aca="false">IF(D672="","",H672+E672-K672-O672)</f>
        <v>16.7342129064178</v>
      </c>
      <c r="Q672" s="16" t="n">
        <f aca="false">IF(D672="","",IF(P672&gt;=0,K672,MAX(0,K672+P672)))</f>
        <v>0.648</v>
      </c>
      <c r="R672" s="16" t="n">
        <f aca="false">IF(D672="","",Q672/$B$15)</f>
        <v>0.25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16.7342129064178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78.5643798423369</v>
      </c>
      <c r="Z672" s="18" t="n">
        <f aca="false">IF(D672="","",MAX(0,IF(P672&gt;=0,P672,IF(K672+P672&gt;=0,0,P672+K672))))</f>
        <v>16.7342129064178</v>
      </c>
      <c r="AA672" s="18" t="n">
        <f aca="false">IF(D672="","",IF(H672&lt;=$B$16,1,IF(H672&gt;=$B$17,$B$21,MATCH(H672,Aux_CAV!$A$2:$A$121,1))))</f>
        <v>6</v>
      </c>
      <c r="AB672" s="18" t="n">
        <f aca="false">IF(D672="","",IF(L672&lt;=$B$16,1,IF(L672&gt;=$B$17,$B$21,MATCH(L672,Aux_CAV!$A$2:$A$121,1))))</f>
        <v>7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1.69857726725273</v>
      </c>
      <c r="E673" s="16" t="n">
        <f aca="false">IF(D673="","",D673*$B$15)</f>
        <v>4.40271227671908</v>
      </c>
      <c r="F673" s="16" t="n">
        <f aca="false" t="array" ref="F673:F673">IF(D673="","",IFERROR(INDEX(Dados_Evap!$C$2:$N$15,MATCH($B$9,Dados_Evap!$A$2:$A$15,0),C673),0))</f>
        <v>124.9</v>
      </c>
      <c r="G673" s="16" t="n">
        <f aca="false">IF(F673="","",F673/1000)</f>
        <v>0.1249</v>
      </c>
      <c r="H673" s="16" t="n">
        <f aca="false">IF(D673="","",MAX(0,MIN($B$8,IFERROR(LOOKUP(2,1/($U$24:U672&lt;&gt;""),$U$24:U672),$B$11))))</f>
        <v>16.7342129064178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1.14421276859658</v>
      </c>
      <c r="J673" s="16" t="n">
        <f aca="false">IF(D673="","",$B$12)</f>
        <v>0.25</v>
      </c>
      <c r="K673" s="16" t="n">
        <f aca="false">IF(J673="","",J673*$B$15)</f>
        <v>0.648</v>
      </c>
      <c r="L673" s="16" t="n">
        <f aca="false">IF(D673="","",H673+E673-K673-G673*I673)</f>
        <v>20.3460130083391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1.21207540099176</v>
      </c>
      <c r="N673" s="16" t="n">
        <f aca="false">IF(D673="","",(I673+M673)/2)</f>
        <v>1.17814408479417</v>
      </c>
      <c r="O673" s="16" t="n">
        <f aca="false">IF(D673="","",G673*N673)</f>
        <v>0.147150196190791</v>
      </c>
      <c r="P673" s="16" t="n">
        <f aca="false">IF(D673="","",H673+E673-K673-O673)</f>
        <v>20.341774986946</v>
      </c>
      <c r="Q673" s="16" t="n">
        <f aca="false">IF(D673="","",IF(P673&gt;=0,K673,MAX(0,K673+P673)))</f>
        <v>0.648</v>
      </c>
      <c r="R673" s="16" t="n">
        <f aca="false">IF(D673="","",Q673/$B$15)</f>
        <v>0.25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20.341774986946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95.501291018526</v>
      </c>
      <c r="Z673" s="18" t="n">
        <f aca="false">IF(D673="","",MAX(0,IF(P673&gt;=0,P673,IF(K673+P673&gt;=0,0,P673+K673))))</f>
        <v>20.341774986946</v>
      </c>
      <c r="AA673" s="18" t="n">
        <f aca="false">IF(D673="","",IF(H673&lt;=$B$16,1,IF(H673&gt;=$B$17,$B$21,MATCH(H673,Aux_CAV!$A$2:$A$121,1))))</f>
        <v>7</v>
      </c>
      <c r="AB673" s="18" t="n">
        <f aca="false">IF(D673="","",IF(L673&lt;=$B$16,1,IF(L673&gt;=$B$17,$B$21,MATCH(L673,Aux_CAV!$A$2:$A$121,1))))</f>
        <v>7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1.42054507026773</v>
      </c>
      <c r="E674" s="16" t="n">
        <f aca="false">IF(D674="","",D674*$B$15)</f>
        <v>3.68205282213396</v>
      </c>
      <c r="F674" s="16" t="n">
        <f aca="false" t="array" ref="F674:F674">IF(D674="","",IFERROR(INDEX(Dados_Evap!$C$2:$N$15,MATCH($B$9,Dados_Evap!$A$2:$A$15,0),C674),0))</f>
        <v>88.2</v>
      </c>
      <c r="G674" s="16" t="n">
        <f aca="false">IF(F674="","",F674/1000)</f>
        <v>0.0882</v>
      </c>
      <c r="H674" s="16" t="n">
        <f aca="false">IF(D674="","",MAX(0,MIN($B$8,IFERROR(LOOKUP(2,1/($U$24:U673&lt;&gt;""),$U$24:U673),$B$11))))</f>
        <v>20.341774986946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1.21199577219732</v>
      </c>
      <c r="J674" s="16" t="n">
        <f aca="false">IF(D674="","",$B$12)</f>
        <v>0.25</v>
      </c>
      <c r="K674" s="16" t="n">
        <f aca="false">IF(J674="","",J674*$B$15)</f>
        <v>0.648</v>
      </c>
      <c r="L674" s="16" t="n">
        <f aca="false">IF(D674="","",H674+E674-K674-G674*I674)</f>
        <v>23.2689297819722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1.26844509222122</v>
      </c>
      <c r="N674" s="16" t="n">
        <f aca="false">IF(D674="","",(I674+M674)/2)</f>
        <v>1.24022043220927</v>
      </c>
      <c r="O674" s="16" t="n">
        <f aca="false">IF(D674="","",G674*N674)</f>
        <v>0.109387442120858</v>
      </c>
      <c r="P674" s="16" t="n">
        <f aca="false">IF(D674="","",H674+E674-K674-O674)</f>
        <v>23.2664403669591</v>
      </c>
      <c r="Q674" s="16" t="n">
        <f aca="false">IF(D674="","",IF(P674&gt;=0,K674,MAX(0,K674+P674)))</f>
        <v>0.648</v>
      </c>
      <c r="R674" s="16" t="n">
        <f aca="false">IF(D674="","",Q674/$B$15)</f>
        <v>0.25</v>
      </c>
      <c r="S674" s="16" t="n">
        <f aca="false">IF(D674="","",MAX(0,J674-R674))</f>
        <v>0</v>
      </c>
      <c r="T674" s="16" t="n">
        <f aca="false">IF(D674="","",MAX(0,Z674-$B$8))</f>
        <v>1.96644036695914</v>
      </c>
      <c r="U674" s="16" t="n">
        <f aca="false">IF(D674="","",MAX(0,MIN($B$8,Z674)))</f>
        <v>21.3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23.2664403669591</v>
      </c>
      <c r="AA674" s="18" t="n">
        <f aca="false">IF(D674="","",IF(H674&lt;=$B$16,1,IF(H674&gt;=$B$17,$B$21,MATCH(H674,Aux_CAV!$A$2:$A$121,1))))</f>
        <v>7</v>
      </c>
      <c r="AB674" s="18" t="n">
        <f aca="false">IF(D674="","",IF(L674&lt;=$B$16,1,IF(L674&gt;=$B$17,$B$21,MATCH(L674,Aux_CAV!$A$2:$A$121,1))))</f>
        <v>9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4.17007191730024</v>
      </c>
      <c r="E675" s="16" t="n">
        <f aca="false">IF(D675="","",D675*$B$15)</f>
        <v>10.8088264096422</v>
      </c>
      <c r="F675" s="16" t="n">
        <f aca="false" t="array" ref="F675:F675">IF(D675="","",IFERROR(INDEX(Dados_Evap!$C$2:$N$15,MATCH($B$9,Dados_Evap!$A$2:$A$15,0),C675),0))</f>
        <v>88.2</v>
      </c>
      <c r="G675" s="16" t="n">
        <f aca="false">IF(F675="","",F675/1000)</f>
        <v>0.0882</v>
      </c>
      <c r="H675" s="16" t="n">
        <f aca="false">IF(D675="","",MAX(0,MIN($B$8,IFERROR(LOOKUP(2,1/($U$24:U674&lt;&gt;""),$U$24:U674),$B$11))))</f>
        <v>21.3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1.23</v>
      </c>
      <c r="J675" s="16" t="n">
        <f aca="false">IF(D675="","",$B$12)</f>
        <v>0.25</v>
      </c>
      <c r="K675" s="16" t="n">
        <f aca="false">IF(J675="","",J675*$B$15)</f>
        <v>0.648</v>
      </c>
      <c r="L675" s="16" t="n">
        <f aca="false">IF(D675="","",H675+E675-K675-G675*I675)</f>
        <v>31.3523404096422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1.43981339357435</v>
      </c>
      <c r="N675" s="16" t="n">
        <f aca="false">IF(D675="","",(I675+M675)/2)</f>
        <v>1.33490669678717</v>
      </c>
      <c r="O675" s="16" t="n">
        <f aca="false">IF(D675="","",G675*N675)</f>
        <v>0.117738770656629</v>
      </c>
      <c r="P675" s="16" t="n">
        <f aca="false">IF(D675="","",H675+E675-K675-O675)</f>
        <v>31.3430876389856</v>
      </c>
      <c r="Q675" s="16" t="n">
        <f aca="false">IF(D675="","",IF(P675&gt;=0,K675,MAX(0,K675+P675)))</f>
        <v>0.648</v>
      </c>
      <c r="R675" s="16" t="n">
        <f aca="false">IF(D675="","",Q675/$B$15)</f>
        <v>0.25</v>
      </c>
      <c r="S675" s="16" t="n">
        <f aca="false">IF(D675="","",MAX(0,J675-R675))</f>
        <v>0</v>
      </c>
      <c r="T675" s="16" t="n">
        <f aca="false">IF(D675="","",MAX(0,Z675-$B$8))</f>
        <v>10.0430876389856</v>
      </c>
      <c r="U675" s="16" t="n">
        <f aca="false">IF(D675="","",MAX(0,MIN($B$8,Z675)))</f>
        <v>21.3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31.3430876389856</v>
      </c>
      <c r="AA675" s="18" t="n">
        <f aca="false">IF(D675="","",IF(H675&lt;=$B$16,1,IF(H675&gt;=$B$17,$B$21,MATCH(H675,Aux_CAV!$A$2:$A$121,1))))</f>
        <v>8</v>
      </c>
      <c r="AB675" s="18" t="n">
        <f aca="false">IF(D675="","",IF(L675&lt;=$B$16,1,IF(L675&gt;=$B$17,$B$21,MATCH(L675,Aux_CAV!$A$2:$A$121,1))))</f>
        <v>10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1.72820293823399</v>
      </c>
      <c r="E676" s="16" t="n">
        <f aca="false">IF(D676="","",D676*$B$15)</f>
        <v>4.4795020159025</v>
      </c>
      <c r="F676" s="16" t="n">
        <f aca="false" t="array" ref="F676:F676">IF(D676="","",IFERROR(INDEX(Dados_Evap!$C$2:$N$15,MATCH($B$9,Dados_Evap!$A$2:$A$15,0),C676),0))</f>
        <v>83.9</v>
      </c>
      <c r="G676" s="16" t="n">
        <f aca="false">IF(F676="","",F676/1000)</f>
        <v>0.0839</v>
      </c>
      <c r="H676" s="16" t="n">
        <f aca="false">IF(D676="","",MAX(0,MIN($B$8,IFERROR(LOOKUP(2,1/($U$24:U675&lt;&gt;""),$U$24:U675),$B$11))))</f>
        <v>21.3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1.23</v>
      </c>
      <c r="J676" s="16" t="n">
        <f aca="false">IF(D676="","",$B$12)</f>
        <v>0.25</v>
      </c>
      <c r="K676" s="16" t="n">
        <f aca="false">IF(J676="","",J676*$B$15)</f>
        <v>0.648</v>
      </c>
      <c r="L676" s="16" t="n">
        <f aca="false">IF(D676="","",H676+E676-K676-G676*I676)</f>
        <v>25.0283050159025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1.31064899588372</v>
      </c>
      <c r="N676" s="16" t="n">
        <f aca="false">IF(D676="","",(I676+M676)/2)</f>
        <v>1.27032449794186</v>
      </c>
      <c r="O676" s="16" t="n">
        <f aca="false">IF(D676="","",G676*N676)</f>
        <v>0.106580225377322</v>
      </c>
      <c r="P676" s="16" t="n">
        <f aca="false">IF(D676="","",H676+E676-K676-O676)</f>
        <v>25.0249217905252</v>
      </c>
      <c r="Q676" s="16" t="n">
        <f aca="false">IF(D676="","",IF(P676&gt;=0,K676,MAX(0,K676+P676)))</f>
        <v>0.648</v>
      </c>
      <c r="R676" s="16" t="n">
        <f aca="false">IF(D676="","",Q676/$B$15)</f>
        <v>0.25</v>
      </c>
      <c r="S676" s="16" t="n">
        <f aca="false">IF(D676="","",MAX(0,J676-R676))</f>
        <v>0</v>
      </c>
      <c r="T676" s="16" t="n">
        <f aca="false">IF(D676="","",MAX(0,Z676-$B$8))</f>
        <v>3.72492179052518</v>
      </c>
      <c r="U676" s="16" t="n">
        <f aca="false">IF(D676="","",MAX(0,MIN($B$8,Z676)))</f>
        <v>21.3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25.0249217905252</v>
      </c>
      <c r="AA676" s="18" t="n">
        <f aca="false">IF(D676="","",IF(H676&lt;=$B$16,1,IF(H676&gt;=$B$17,$B$21,MATCH(H676,Aux_CAV!$A$2:$A$121,1))))</f>
        <v>8</v>
      </c>
      <c r="AB676" s="18" t="n">
        <f aca="false">IF(D676="","",IF(L676&lt;=$B$16,1,IF(L676&gt;=$B$17,$B$21,MATCH(L676,Aux_CAV!$A$2:$A$121,1))))</f>
        <v>9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0.862738654277526</v>
      </c>
      <c r="E677" s="16" t="n">
        <f aca="false">IF(D677="","",D677*$B$15)</f>
        <v>2.23621859188735</v>
      </c>
      <c r="F677" s="16" t="n">
        <f aca="false" t="array" ref="F677:F677">IF(D677="","",IFERROR(INDEX(Dados_Evap!$C$2:$N$15,MATCH($B$9,Dados_Evap!$A$2:$A$15,0),C677),0))</f>
        <v>104.7</v>
      </c>
      <c r="G677" s="16" t="n">
        <f aca="false">IF(F677="","",F677/1000)</f>
        <v>0.1047</v>
      </c>
      <c r="H677" s="16" t="n">
        <f aca="false">IF(D677="","",MAX(0,MIN($B$8,IFERROR(LOOKUP(2,1/($U$24:U676&lt;&gt;""),$U$24:U676),$B$11))))</f>
        <v>21.3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1.23</v>
      </c>
      <c r="J677" s="16" t="n">
        <f aca="false">IF(D677="","",$B$12)</f>
        <v>0.25</v>
      </c>
      <c r="K677" s="16" t="n">
        <f aca="false">IF(J677="","",J677*$B$15)</f>
        <v>0.648</v>
      </c>
      <c r="L677" s="16" t="n">
        <f aca="false">IF(D677="","",H677+E677-K677-G677*I677)</f>
        <v>22.7594375918873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1.25622339051004</v>
      </c>
      <c r="N677" s="16" t="n">
        <f aca="false">IF(D677="","",(I677+M677)/2)</f>
        <v>1.24311169525502</v>
      </c>
      <c r="O677" s="16" t="n">
        <f aca="false">IF(D677="","",G677*N677)</f>
        <v>0.130153794493201</v>
      </c>
      <c r="P677" s="16" t="n">
        <f aca="false">IF(D677="","",H677+E677-K677-O677)</f>
        <v>22.7580647973941</v>
      </c>
      <c r="Q677" s="16" t="n">
        <f aca="false">IF(D677="","",IF(P677&gt;=0,K677,MAX(0,K677+P677)))</f>
        <v>0.648</v>
      </c>
      <c r="R677" s="16" t="n">
        <f aca="false">IF(D677="","",Q677/$B$15)</f>
        <v>0.25</v>
      </c>
      <c r="S677" s="16" t="n">
        <f aca="false">IF(D677="","",MAX(0,J677-R677))</f>
        <v>0</v>
      </c>
      <c r="T677" s="16" t="n">
        <f aca="false">IF(D677="","",MAX(0,Z677-$B$8))</f>
        <v>1.45806479739415</v>
      </c>
      <c r="U677" s="16" t="n">
        <f aca="false">IF(D677="","",MAX(0,MIN($B$8,Z677)))</f>
        <v>21.3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22.7580647973941</v>
      </c>
      <c r="AA677" s="18" t="n">
        <f aca="false">IF(D677="","",IF(H677&lt;=$B$16,1,IF(H677&gt;=$B$17,$B$21,MATCH(H677,Aux_CAV!$A$2:$A$121,1))))</f>
        <v>8</v>
      </c>
      <c r="AB677" s="18" t="n">
        <f aca="false">IF(D677="","",IF(L677&lt;=$B$16,1,IF(L677&gt;=$B$17,$B$21,MATCH(L677,Aux_CAV!$A$2:$A$121,1))))</f>
        <v>9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0.534781605885237</v>
      </c>
      <c r="E678" s="16" t="n">
        <f aca="false">IF(D678="","",D678*$B$15)</f>
        <v>1.38615392245453</v>
      </c>
      <c r="F678" s="16" t="n">
        <f aca="false" t="array" ref="F678:F678">IF(D678="","",IFERROR(INDEX(Dados_Evap!$C$2:$N$15,MATCH($B$9,Dados_Evap!$A$2:$A$15,0),C678),0))</f>
        <v>145.2</v>
      </c>
      <c r="G678" s="16" t="n">
        <f aca="false">IF(F678="","",F678/1000)</f>
        <v>0.1452</v>
      </c>
      <c r="H678" s="16" t="n">
        <f aca="false">IF(D678="","",MAX(0,MIN($B$8,IFERROR(LOOKUP(2,1/($U$24:U677&lt;&gt;""),$U$24:U677),$B$11))))</f>
        <v>21.3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1.23</v>
      </c>
      <c r="J678" s="16" t="n">
        <f aca="false">IF(D678="","",$B$12)</f>
        <v>0.25</v>
      </c>
      <c r="K678" s="16" t="n">
        <f aca="false">IF(J678="","",J678*$B$15)</f>
        <v>0.648</v>
      </c>
      <c r="L678" s="16" t="n">
        <f aca="false">IF(D678="","",H678+E678-K678-G678*I678)</f>
        <v>21.8595579224545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1.23932596537424</v>
      </c>
      <c r="N678" s="16" t="n">
        <f aca="false">IF(D678="","",(I678+M678)/2)</f>
        <v>1.23466298268712</v>
      </c>
      <c r="O678" s="16" t="n">
        <f aca="false">IF(D678="","",G678*N678)</f>
        <v>0.17927306508617</v>
      </c>
      <c r="P678" s="16" t="n">
        <f aca="false">IF(D678="","",H678+E678-K678-O678)</f>
        <v>21.8588808573684</v>
      </c>
      <c r="Q678" s="16" t="n">
        <f aca="false">IF(D678="","",IF(P678&gt;=0,K678,MAX(0,K678+P678)))</f>
        <v>0.648</v>
      </c>
      <c r="R678" s="16" t="n">
        <f aca="false">IF(D678="","",Q678/$B$15)</f>
        <v>0.25</v>
      </c>
      <c r="S678" s="16" t="n">
        <f aca="false">IF(D678="","",MAX(0,J678-R678))</f>
        <v>0</v>
      </c>
      <c r="T678" s="16" t="n">
        <f aca="false">IF(D678="","",MAX(0,Z678-$B$8))</f>
        <v>0.558880857368365</v>
      </c>
      <c r="U678" s="16" t="n">
        <f aca="false">IF(D678="","",MAX(0,MIN($B$8,Z678)))</f>
        <v>21.3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21.8588808573684</v>
      </c>
      <c r="AA678" s="18" t="n">
        <f aca="false">IF(D678="","",IF(H678&lt;=$B$16,1,IF(H678&gt;=$B$17,$B$21,MATCH(H678,Aux_CAV!$A$2:$A$121,1))))</f>
        <v>8</v>
      </c>
      <c r="AB678" s="18" t="n">
        <f aca="false">IF(D678="","",IF(L678&lt;=$B$16,1,IF(L678&gt;=$B$17,$B$21,MATCH(L678,Aux_CAV!$A$2:$A$121,1))))</f>
        <v>8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0.278316510964939</v>
      </c>
      <c r="E679" s="16" t="n">
        <f aca="false">IF(D679="","",D679*$B$15)</f>
        <v>0.721396396421122</v>
      </c>
      <c r="F679" s="16" t="n">
        <f aca="false" t="array" ref="F679:F679">IF(D679="","",IFERROR(INDEX(Dados_Evap!$C$2:$N$15,MATCH($B$9,Dados_Evap!$A$2:$A$15,0),C679),0))</f>
        <v>180.9</v>
      </c>
      <c r="G679" s="16" t="n">
        <f aca="false">IF(F679="","",F679/1000)</f>
        <v>0.1809</v>
      </c>
      <c r="H679" s="16" t="n">
        <f aca="false">IF(D679="","",MAX(0,MIN($B$8,IFERROR(LOOKUP(2,1/($U$24:U678&lt;&gt;""),$U$24:U678),$B$11))))</f>
        <v>21.3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1.23</v>
      </c>
      <c r="J679" s="16" t="n">
        <f aca="false">IF(D679="","",$B$12)</f>
        <v>0.25</v>
      </c>
      <c r="K679" s="16" t="n">
        <f aca="false">IF(J679="","",J679*$B$15)</f>
        <v>0.648</v>
      </c>
      <c r="L679" s="16" t="n">
        <f aca="false">IF(D679="","",H679+E679-K679-G679*I679)</f>
        <v>21.1508893964211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1.22719833938996</v>
      </c>
      <c r="N679" s="16" t="n">
        <f aca="false">IF(D679="","",(I679+M679)/2)</f>
        <v>1.22859916969498</v>
      </c>
      <c r="O679" s="16" t="n">
        <f aca="false">IF(D679="","",G679*N679)</f>
        <v>0.222253589797822</v>
      </c>
      <c r="P679" s="16" t="n">
        <f aca="false">IF(D679="","",H679+E679-K679-O679)</f>
        <v>21.1511428066233</v>
      </c>
      <c r="Q679" s="16" t="n">
        <f aca="false">IF(D679="","",IF(P679&gt;=0,K679,MAX(0,K679+P679)))</f>
        <v>0.648</v>
      </c>
      <c r="R679" s="16" t="n">
        <f aca="false">IF(D679="","",Q679/$B$15)</f>
        <v>0.25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21.1511428066233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99.3011399371986</v>
      </c>
      <c r="Z679" s="18" t="n">
        <f aca="false">IF(D679="","",MAX(0,IF(P679&gt;=0,P679,IF(K679+P679&gt;=0,0,P679+K679))))</f>
        <v>21.1511428066233</v>
      </c>
      <c r="AA679" s="18" t="n">
        <f aca="false">IF(D679="","",IF(H679&lt;=$B$16,1,IF(H679&gt;=$B$17,$B$21,MATCH(H679,Aux_CAV!$A$2:$A$121,1))))</f>
        <v>8</v>
      </c>
      <c r="AB679" s="18" t="n">
        <f aca="false">IF(D679="","",IF(L679&lt;=$B$16,1,IF(L679&gt;=$B$17,$B$21,MATCH(L679,Aux_CAV!$A$2:$A$121,1))))</f>
        <v>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0.179679198073036</v>
      </c>
      <c r="E680" s="16" t="n">
        <f aca="false">IF(D680="","",D680*$B$15)</f>
        <v>0.465728481405309</v>
      </c>
      <c r="F680" s="16" t="n">
        <f aca="false" t="array" ref="F680:F680">IF(D680="","",IFERROR(INDEX(Dados_Evap!$C$2:$N$15,MATCH($B$9,Dados_Evap!$A$2:$A$15,0),C680),0))</f>
        <v>208.9</v>
      </c>
      <c r="G680" s="16" t="n">
        <f aca="false">IF(F680="","",F680/1000)</f>
        <v>0.2089</v>
      </c>
      <c r="H680" s="16" t="n">
        <f aca="false">IF(D680="","",MAX(0,MIN($B$8,IFERROR(LOOKUP(2,1/($U$24:U679&lt;&gt;""),$U$24:U679),$B$11))))</f>
        <v>21.1511428066233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1.22720310075075</v>
      </c>
      <c r="J680" s="16" t="n">
        <f aca="false">IF(D680="","",$B$12)</f>
        <v>0.25</v>
      </c>
      <c r="K680" s="16" t="n">
        <f aca="false">IF(J680="","",J680*$B$15)</f>
        <v>0.648</v>
      </c>
      <c r="L680" s="16" t="n">
        <f aca="false">IF(D680="","",H680+E680-K680-G680*I680)</f>
        <v>20.7125085602818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1.21896153871093</v>
      </c>
      <c r="N680" s="16" t="n">
        <f aca="false">IF(D680="","",(I680+M680)/2)</f>
        <v>1.22308231973084</v>
      </c>
      <c r="O680" s="16" t="n">
        <f aca="false">IF(D680="","",G680*N680)</f>
        <v>0.255501896591773</v>
      </c>
      <c r="P680" s="16" t="n">
        <f aca="false">IF(D680="","",H680+E680-K680-O680)</f>
        <v>20.7133693914368</v>
      </c>
      <c r="Q680" s="16" t="n">
        <f aca="false">IF(D680="","",IF(P680&gt;=0,K680,MAX(0,K680+P680)))</f>
        <v>0.648</v>
      </c>
      <c r="R680" s="16" t="n">
        <f aca="false">IF(D680="","",Q680/$B$15)</f>
        <v>0.25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20.7133693914368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97.2458656874969</v>
      </c>
      <c r="Z680" s="18" t="n">
        <f aca="false">IF(D680="","",MAX(0,IF(P680&gt;=0,P680,IF(K680+P680&gt;=0,0,P680+K680))))</f>
        <v>20.7133693914368</v>
      </c>
      <c r="AA680" s="18" t="n">
        <f aca="false">IF(D680="","",IF(H680&lt;=$B$16,1,IF(H680&gt;=$B$17,$B$21,MATCH(H680,Aux_CAV!$A$2:$A$121,1))))</f>
        <v>7</v>
      </c>
      <c r="AB680" s="18" t="n">
        <f aca="false">IF(D680="","",IF(L680&lt;=$B$16,1,IF(L680&gt;=$B$17,$B$21,MATCH(L680,Aux_CAV!$A$2:$A$121,1))))</f>
        <v>7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0.111188444892067</v>
      </c>
      <c r="E681" s="16" t="n">
        <f aca="false">IF(D681="","",D681*$B$15)</f>
        <v>0.288200449160238</v>
      </c>
      <c r="F681" s="16" t="n">
        <f aca="false" t="array" ref="F681:F681">IF(D681="","",IFERROR(INDEX(Dados_Evap!$C$2:$N$15,MATCH($B$9,Dados_Evap!$A$2:$A$15,0),C681),0))</f>
        <v>235.9</v>
      </c>
      <c r="G681" s="16" t="n">
        <f aca="false">IF(F681="","",F681/1000)</f>
        <v>0.2359</v>
      </c>
      <c r="H681" s="16" t="n">
        <f aca="false">IF(D681="","",MAX(0,MIN($B$8,IFERROR(LOOKUP(2,1/($U$24:U680&lt;&gt;""),$U$24:U680),$B$11))))</f>
        <v>20.7133693914368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1.21897771299151</v>
      </c>
      <c r="J681" s="16" t="n">
        <f aca="false">IF(D681="","",$B$12)</f>
        <v>0.25</v>
      </c>
      <c r="K681" s="16" t="n">
        <f aca="false">IF(J681="","",J681*$B$15)</f>
        <v>0.648</v>
      </c>
      <c r="L681" s="16" t="n">
        <f aca="false">IF(D681="","",H681+E681-K681-G681*I681)</f>
        <v>20.0660129981024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1.20681444046539</v>
      </c>
      <c r="N681" s="16" t="n">
        <f aca="false">IF(D681="","",(I681+M681)/2)</f>
        <v>1.21289607672845</v>
      </c>
      <c r="O681" s="16" t="n">
        <f aca="false">IF(D681="","",G681*N681)</f>
        <v>0.286122184500241</v>
      </c>
      <c r="P681" s="16" t="n">
        <f aca="false">IF(D681="","",H681+E681-K681-O681)</f>
        <v>20.0674476560968</v>
      </c>
      <c r="Q681" s="16" t="n">
        <f aca="false">IF(D681="","",IF(P681&gt;=0,K681,MAX(0,K681+P681)))</f>
        <v>0.648</v>
      </c>
      <c r="R681" s="16" t="n">
        <f aca="false">IF(D681="","",Q681/$B$15)</f>
        <v>0.25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20.0674476560968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94.2133692774499</v>
      </c>
      <c r="Z681" s="18" t="n">
        <f aca="false">IF(D681="","",MAX(0,IF(P681&gt;=0,P681,IF(K681+P681&gt;=0,0,P681+K681))))</f>
        <v>20.0674476560968</v>
      </c>
      <c r="AA681" s="18" t="n">
        <f aca="false">IF(D681="","",IF(H681&lt;=$B$16,1,IF(H681&gt;=$B$17,$B$21,MATCH(H681,Aux_CAV!$A$2:$A$121,1))))</f>
        <v>7</v>
      </c>
      <c r="AB681" s="18" t="n">
        <f aca="false">IF(D681="","",IF(L681&lt;=$B$16,1,IF(L681&gt;=$B$17,$B$21,MATCH(L681,Aux_CAV!$A$2:$A$121,1))))</f>
        <v>7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0.0511331854848225</v>
      </c>
      <c r="E682" s="16" t="n">
        <f aca="false">IF(D682="","",D682*$B$15)</f>
        <v>0.13253721677666</v>
      </c>
      <c r="F682" s="16" t="n">
        <f aca="false" t="array" ref="F682:F682">IF(D682="","",IFERROR(INDEX(Dados_Evap!$C$2:$N$15,MATCH($B$9,Dados_Evap!$A$2:$A$15,0),C682),0))</f>
        <v>225.9</v>
      </c>
      <c r="G682" s="16" t="n">
        <f aca="false">IF(F682="","",F682/1000)</f>
        <v>0.2259</v>
      </c>
      <c r="H682" s="16" t="n">
        <f aca="false">IF(D682="","",MAX(0,MIN($B$8,IFERROR(LOOKUP(2,1/($U$24:U681&lt;&gt;""),$U$24:U681),$B$11))))</f>
        <v>20.0674476560968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1.20684139646111</v>
      </c>
      <c r="J682" s="16" t="n">
        <f aca="false">IF(D682="","",$B$12)</f>
        <v>0.25</v>
      </c>
      <c r="K682" s="16" t="n">
        <f aca="false">IF(J682="","",J682*$B$15)</f>
        <v>0.648</v>
      </c>
      <c r="L682" s="16" t="n">
        <f aca="false">IF(D682="","",H682+E682-K682-G682*I682)</f>
        <v>19.2793594014129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1.19203389271966</v>
      </c>
      <c r="N682" s="16" t="n">
        <f aca="false">IF(D682="","",(I682+M682)/2)</f>
        <v>1.19943764459038</v>
      </c>
      <c r="O682" s="16" t="n">
        <f aca="false">IF(D682="","",G682*N682)</f>
        <v>0.270952963912968</v>
      </c>
      <c r="P682" s="16" t="n">
        <f aca="false">IF(D682="","",H682+E682-K682-O682)</f>
        <v>19.2810319089605</v>
      </c>
      <c r="Q682" s="16" t="n">
        <f aca="false">IF(D682="","",IF(P682&gt;=0,K682,MAX(0,K682+P682)))</f>
        <v>0.648</v>
      </c>
      <c r="R682" s="16" t="n">
        <f aca="false">IF(D682="","",Q682/$B$15)</f>
        <v>0.25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19.2810319089605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90.5212765678898</v>
      </c>
      <c r="Z682" s="18" t="n">
        <f aca="false">IF(D682="","",MAX(0,IF(P682&gt;=0,P682,IF(K682+P682&gt;=0,0,P682+K682))))</f>
        <v>19.2810319089605</v>
      </c>
      <c r="AA682" s="18" t="n">
        <f aca="false">IF(D682="","",IF(H682&lt;=$B$16,1,IF(H682&gt;=$B$17,$B$21,MATCH(H682,Aux_CAV!$A$2:$A$121,1))))</f>
        <v>7</v>
      </c>
      <c r="AB682" s="18" t="n">
        <f aca="false">IF(D682="","",IF(L682&lt;=$B$16,1,IF(L682&gt;=$B$17,$B$21,MATCH(L682,Aux_CAV!$A$2:$A$121,1))))</f>
        <v>7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0.0393500491466451</v>
      </c>
      <c r="E683" s="16" t="n">
        <f aca="false">IF(D683="","",D683*$B$15)</f>
        <v>0.101995327388104</v>
      </c>
      <c r="F683" s="16" t="n">
        <f aca="false" t="array" ref="F683:F683">IF(D683="","",IFERROR(INDEX(Dados_Evap!$C$2:$N$15,MATCH($B$9,Dados_Evap!$A$2:$A$15,0),C683),0))</f>
        <v>206</v>
      </c>
      <c r="G683" s="16" t="n">
        <f aca="false">IF(F683="","",F683/1000)</f>
        <v>0.206</v>
      </c>
      <c r="H683" s="16" t="n">
        <f aca="false">IF(D683="","",MAX(0,MIN($B$8,IFERROR(LOOKUP(2,1/($U$24:U682&lt;&gt;""),$U$24:U682),$B$11))))</f>
        <v>19.2810319089605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1.1920653177049</v>
      </c>
      <c r="J683" s="16" t="n">
        <f aca="false">IF(D683="","",$B$12)</f>
        <v>0.25</v>
      </c>
      <c r="K683" s="16" t="n">
        <f aca="false">IF(J683="","",J683*$B$15)</f>
        <v>0.648</v>
      </c>
      <c r="L683" s="16" t="n">
        <f aca="false">IF(D683="","",H683+E683-K683-G683*I683)</f>
        <v>18.4894617809014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1.17719239254303</v>
      </c>
      <c r="N683" s="16" t="n">
        <f aca="false">IF(D683="","",(I683+M683)/2)</f>
        <v>1.18462885512396</v>
      </c>
      <c r="O683" s="16" t="n">
        <f aca="false">IF(D683="","",G683*N683)</f>
        <v>0.244033544155537</v>
      </c>
      <c r="P683" s="16" t="n">
        <f aca="false">IF(D683="","",H683+E683-K683-O683)</f>
        <v>18.4909936921931</v>
      </c>
      <c r="Q683" s="16" t="n">
        <f aca="false">IF(D683="","",IF(P683&gt;=0,K683,MAX(0,K683+P683)))</f>
        <v>0.648</v>
      </c>
      <c r="R683" s="16" t="n">
        <f aca="false">IF(D683="","",Q683/$B$15)</f>
        <v>0.25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18.4909936921931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86.812176958653</v>
      </c>
      <c r="Z683" s="18" t="n">
        <f aca="false">IF(D683="","",MAX(0,IF(P683&gt;=0,P683,IF(K683+P683&gt;=0,0,P683+K683))))</f>
        <v>18.4909936921931</v>
      </c>
      <c r="AA683" s="18" t="n">
        <f aca="false">IF(D683="","",IF(H683&lt;=$B$16,1,IF(H683&gt;=$B$17,$B$21,MATCH(H683,Aux_CAV!$A$2:$A$121,1))))</f>
        <v>7</v>
      </c>
      <c r="AB683" s="18" t="n">
        <f aca="false">IF(D683="","",IF(L683&lt;=$B$16,1,IF(L683&gt;=$B$17,$B$21,MATCH(L683,Aux_CAV!$A$2:$A$121,1))))</f>
        <v>7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0.143700112844597</v>
      </c>
      <c r="E684" s="16" t="n">
        <f aca="false">IF(D684="","",D684*$B$15)</f>
        <v>0.372470692493195</v>
      </c>
      <c r="F684" s="16" t="n">
        <f aca="false" t="array" ref="F684:F684">IF(D684="","",IFERROR(INDEX(Dados_Evap!$C$2:$N$15,MATCH($B$9,Dados_Evap!$A$2:$A$15,0),C684),0))</f>
        <v>165.6</v>
      </c>
      <c r="G684" s="16" t="n">
        <f aca="false">IF(F684="","",F684/1000)</f>
        <v>0.1656</v>
      </c>
      <c r="H684" s="16" t="n">
        <f aca="false">IF(D684="","",MAX(0,MIN($B$8,IFERROR(LOOKUP(2,1/($U$24:U683&lt;&gt;""),$U$24:U683),$B$11))))</f>
        <v>18.4909936921931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1.17722117584496</v>
      </c>
      <c r="J684" s="16" t="n">
        <f aca="false">IF(D684="","",$B$12)</f>
        <v>0.25</v>
      </c>
      <c r="K684" s="16" t="n">
        <f aca="false">IF(J684="","",J684*$B$15)</f>
        <v>0.648</v>
      </c>
      <c r="L684" s="16" t="n">
        <f aca="false">IF(D684="","",H684+E684-K684-G684*I684)</f>
        <v>18.0205165579664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1.1683813131977</v>
      </c>
      <c r="N684" s="16" t="n">
        <f aca="false">IF(D684="","",(I684+M684)/2)</f>
        <v>1.17280124452133</v>
      </c>
      <c r="O684" s="16" t="n">
        <f aca="false">IF(D684="","",G684*N684)</f>
        <v>0.194215886092732</v>
      </c>
      <c r="P684" s="16" t="n">
        <f aca="false">IF(D684="","",H684+E684-K684-O684)</f>
        <v>18.0212484985936</v>
      </c>
      <c r="Q684" s="16" t="n">
        <f aca="false">IF(D684="","",IF(P684&gt;=0,K684,MAX(0,K684+P684)))</f>
        <v>0.648</v>
      </c>
      <c r="R684" s="16" t="n">
        <f aca="false">IF(D684="","",Q684/$B$15)</f>
        <v>0.25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18.0212484985936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84.6068004628805</v>
      </c>
      <c r="Z684" s="18" t="n">
        <f aca="false">IF(D684="","",MAX(0,IF(P684&gt;=0,P684,IF(K684+P684&gt;=0,0,P684+K684))))</f>
        <v>18.0212484985936</v>
      </c>
      <c r="AA684" s="18" t="n">
        <f aca="false">IF(D684="","",IF(H684&lt;=$B$16,1,IF(H684&gt;=$B$17,$B$21,MATCH(H684,Aux_CAV!$A$2:$A$121,1))))</f>
        <v>7</v>
      </c>
      <c r="AB684" s="18" t="n">
        <f aca="false">IF(D684="","",IF(L684&lt;=$B$16,1,IF(L684&gt;=$B$17,$B$21,MATCH(L684,Aux_CAV!$A$2:$A$121,1))))</f>
        <v>7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0.0827669332265921</v>
      </c>
      <c r="E685" s="16" t="n">
        <f aca="false">IF(D685="","",D685*$B$15)</f>
        <v>0.214531890923327</v>
      </c>
      <c r="F685" s="16" t="n">
        <f aca="false" t="array" ref="F685:F685">IF(D685="","",IFERROR(INDEX(Dados_Evap!$C$2:$N$15,MATCH($B$9,Dados_Evap!$A$2:$A$15,0),C685),0))</f>
        <v>124.9</v>
      </c>
      <c r="G685" s="16" t="n">
        <f aca="false">IF(F685="","",F685/1000)</f>
        <v>0.1249</v>
      </c>
      <c r="H685" s="16" t="n">
        <f aca="false">IF(D685="","",MAX(0,MIN($B$8,IFERROR(LOOKUP(2,1/($U$24:U684&lt;&gt;""),$U$24:U684),$B$11))))</f>
        <v>18.0212484985936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1.16839506573558</v>
      </c>
      <c r="J685" s="16" t="n">
        <f aca="false">IF(D685="","",$B$12)</f>
        <v>0.25</v>
      </c>
      <c r="K685" s="16" t="n">
        <f aca="false">IF(J685="","",J685*$B$15)</f>
        <v>0.648</v>
      </c>
      <c r="L685" s="16" t="n">
        <f aca="false">IF(D685="","",H685+E685-K685-G685*I685)</f>
        <v>17.4418478458065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1.15750862340764</v>
      </c>
      <c r="N685" s="16" t="n">
        <f aca="false">IF(D685="","",(I685+M685)/2)</f>
        <v>1.16295184457161</v>
      </c>
      <c r="O685" s="16" t="n">
        <f aca="false">IF(D685="","",G685*N685)</f>
        <v>0.145252685386994</v>
      </c>
      <c r="P685" s="16" t="n">
        <f aca="false">IF(D685="","",H685+E685-K685-O685)</f>
        <v>17.4425277041299</v>
      </c>
      <c r="Q685" s="16" t="n">
        <f aca="false">IF(D685="","",IF(P685&gt;=0,K685,MAX(0,K685+P685)))</f>
        <v>0.648</v>
      </c>
      <c r="R685" s="16" t="n">
        <f aca="false">IF(D685="","",Q685/$B$15)</f>
        <v>0.25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17.4425277041299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81.8898014278399</v>
      </c>
      <c r="Z685" s="18" t="n">
        <f aca="false">IF(D685="","",MAX(0,IF(P685&gt;=0,P685,IF(K685+P685&gt;=0,0,P685+K685))))</f>
        <v>17.4425277041299</v>
      </c>
      <c r="AA685" s="18" t="n">
        <f aca="false">IF(D685="","",IF(H685&lt;=$B$16,1,IF(H685&gt;=$B$17,$B$21,MATCH(H685,Aux_CAV!$A$2:$A$121,1))))</f>
        <v>7</v>
      </c>
      <c r="AB685" s="18" t="n">
        <f aca="false">IF(D685="","",IF(L685&lt;=$B$16,1,IF(L685&gt;=$B$17,$B$21,MATCH(L685,Aux_CAV!$A$2:$A$121,1))))</f>
        <v>7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0.73090673347148</v>
      </c>
      <c r="E686" s="16" t="n">
        <f aca="false">IF(D686="","",D686*$B$15)</f>
        <v>1.89451025315808</v>
      </c>
      <c r="F686" s="16" t="n">
        <f aca="false" t="array" ref="F686:F686">IF(D686="","",IFERROR(INDEX(Dados_Evap!$C$2:$N$15,MATCH($B$9,Dados_Evap!$A$2:$A$15,0),C686),0))</f>
        <v>88.2</v>
      </c>
      <c r="G686" s="16" t="n">
        <f aca="false">IF(F686="","",F686/1000)</f>
        <v>0.0882</v>
      </c>
      <c r="H686" s="16" t="n">
        <f aca="false">IF(D686="","",MAX(0,MIN($B$8,IFERROR(LOOKUP(2,1/($U$24:U685&lt;&gt;""),$U$24:U685),$B$11))))</f>
        <v>17.4425277041299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1.15752139736361</v>
      </c>
      <c r="J686" s="16" t="n">
        <f aca="false">IF(D686="","",$B$12)</f>
        <v>0.25</v>
      </c>
      <c r="K686" s="16" t="n">
        <f aca="false">IF(J686="","",J686*$B$15)</f>
        <v>0.648</v>
      </c>
      <c r="L686" s="16" t="n">
        <f aca="false">IF(D686="","",H686+E686-K686-G686*I686)</f>
        <v>18.5869445700405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1.17902401071057</v>
      </c>
      <c r="N686" s="16" t="n">
        <f aca="false">IF(D686="","",(I686+M686)/2)</f>
        <v>1.16827270403709</v>
      </c>
      <c r="O686" s="16" t="n">
        <f aca="false">IF(D686="","",G686*N686)</f>
        <v>0.103041652496071</v>
      </c>
      <c r="P686" s="16" t="n">
        <f aca="false">IF(D686="","",H686+E686-K686-O686)</f>
        <v>18.5859963047919</v>
      </c>
      <c r="Q686" s="16" t="n">
        <f aca="false">IF(D686="","",IF(P686&gt;=0,K686,MAX(0,K686+P686)))</f>
        <v>0.648</v>
      </c>
      <c r="R686" s="16" t="n">
        <f aca="false">IF(D686="","",Q686/$B$15)</f>
        <v>0.25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18.5859963047919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87.2581986140465</v>
      </c>
      <c r="Z686" s="18" t="n">
        <f aca="false">IF(D686="","",MAX(0,IF(P686&gt;=0,P686,IF(K686+P686&gt;=0,0,P686+K686))))</f>
        <v>18.5859963047919</v>
      </c>
      <c r="AA686" s="18" t="n">
        <f aca="false">IF(D686="","",IF(H686&lt;=$B$16,1,IF(H686&gt;=$B$17,$B$21,MATCH(H686,Aux_CAV!$A$2:$A$121,1))))</f>
        <v>7</v>
      </c>
      <c r="AB686" s="18" t="n">
        <f aca="false">IF(D686="","",IF(L686&lt;=$B$16,1,IF(L686&gt;=$B$17,$B$21,MATCH(L686,Aux_CAV!$A$2:$A$121,1))))</f>
        <v>7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1.90145886542804</v>
      </c>
      <c r="E687" s="16" t="n">
        <f aca="false">IF(D687="","",D687*$B$15)</f>
        <v>4.92858137918948</v>
      </c>
      <c r="F687" s="16" t="n">
        <f aca="false" t="array" ref="F687:F687">IF(D687="","",IFERROR(INDEX(Dados_Evap!$C$2:$N$15,MATCH($B$9,Dados_Evap!$A$2:$A$15,0),C687),0))</f>
        <v>88.2</v>
      </c>
      <c r="G687" s="16" t="n">
        <f aca="false">IF(F687="","",F687/1000)</f>
        <v>0.0882</v>
      </c>
      <c r="H687" s="16" t="n">
        <f aca="false">IF(D687="","",MAX(0,MIN($B$8,IFERROR(LOOKUP(2,1/($U$24:U686&lt;&gt;""),$U$24:U686),$B$11))))</f>
        <v>18.5859963047919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1.17900619361822</v>
      </c>
      <c r="J687" s="16" t="n">
        <f aca="false">IF(D687="","",$B$12)</f>
        <v>0.25</v>
      </c>
      <c r="K687" s="16" t="n">
        <f aca="false">IF(J687="","",J687*$B$15)</f>
        <v>0.648</v>
      </c>
      <c r="L687" s="16" t="n">
        <f aca="false">IF(D687="","",H687+E687-K687-G687*I687)</f>
        <v>22.7625893377043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1.2562989946076</v>
      </c>
      <c r="N687" s="16" t="n">
        <f aca="false">IF(D687="","",(I687+M687)/2)</f>
        <v>1.21765259411291</v>
      </c>
      <c r="O687" s="16" t="n">
        <f aca="false">IF(D687="","",G687*N687)</f>
        <v>0.107396958800759</v>
      </c>
      <c r="P687" s="16" t="n">
        <f aca="false">IF(D687="","",H687+E687-K687-O687)</f>
        <v>22.7591807251806</v>
      </c>
      <c r="Q687" s="16" t="n">
        <f aca="false">IF(D687="","",IF(P687&gt;=0,K687,MAX(0,K687+P687)))</f>
        <v>0.648</v>
      </c>
      <c r="R687" s="16" t="n">
        <f aca="false">IF(D687="","",Q687/$B$15)</f>
        <v>0.25</v>
      </c>
      <c r="S687" s="16" t="n">
        <f aca="false">IF(D687="","",MAX(0,J687-R687))</f>
        <v>0</v>
      </c>
      <c r="T687" s="16" t="n">
        <f aca="false">IF(D687="","",MAX(0,Z687-$B$8))</f>
        <v>1.45918072518062</v>
      </c>
      <c r="U687" s="16" t="n">
        <f aca="false">IF(D687="","",MAX(0,MIN($B$8,Z687)))</f>
        <v>21.3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22.7591807251806</v>
      </c>
      <c r="AA687" s="18" t="n">
        <f aca="false">IF(D687="","",IF(H687&lt;=$B$16,1,IF(H687&gt;=$B$17,$B$21,MATCH(H687,Aux_CAV!$A$2:$A$121,1))))</f>
        <v>7</v>
      </c>
      <c r="AB687" s="18" t="n">
        <f aca="false">IF(D687="","",IF(L687&lt;=$B$16,1,IF(L687&gt;=$B$17,$B$21,MATCH(L687,Aux_CAV!$A$2:$A$121,1))))</f>
        <v>9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1.37119779041882</v>
      </c>
      <c r="E688" s="16" t="n">
        <f aca="false">IF(D688="","",D688*$B$15)</f>
        <v>3.55414467276558</v>
      </c>
      <c r="F688" s="16" t="n">
        <f aca="false" t="array" ref="F688:F688">IF(D688="","",IFERROR(INDEX(Dados_Evap!$C$2:$N$15,MATCH($B$9,Dados_Evap!$A$2:$A$15,0),C688),0))</f>
        <v>83.9</v>
      </c>
      <c r="G688" s="16" t="n">
        <f aca="false">IF(F688="","",F688/1000)</f>
        <v>0.0839</v>
      </c>
      <c r="H688" s="16" t="n">
        <f aca="false">IF(D688="","",MAX(0,MIN($B$8,IFERROR(LOOKUP(2,1/($U$24:U687&lt;&gt;""),$U$24:U687),$B$11))))</f>
        <v>21.3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1.23</v>
      </c>
      <c r="J688" s="16" t="n">
        <f aca="false">IF(D688="","",$B$12)</f>
        <v>0.25</v>
      </c>
      <c r="K688" s="16" t="n">
        <f aca="false">IF(J688="","",J688*$B$15)</f>
        <v>0.648</v>
      </c>
      <c r="L688" s="16" t="n">
        <f aca="false">IF(D688="","",H688+E688-K688-G688*I688)</f>
        <v>24.1029476727656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1.28845151838718</v>
      </c>
      <c r="N688" s="16" t="n">
        <f aca="false">IF(D688="","",(I688+M688)/2)</f>
        <v>1.25922575919359</v>
      </c>
      <c r="O688" s="16" t="n">
        <f aca="false">IF(D688="","",G688*N688)</f>
        <v>0.105649041196342</v>
      </c>
      <c r="P688" s="16" t="n">
        <f aca="false">IF(D688="","",H688+E688-K688-O688)</f>
        <v>24.1004956315692</v>
      </c>
      <c r="Q688" s="16" t="n">
        <f aca="false">IF(D688="","",IF(P688&gt;=0,K688,MAX(0,K688+P688)))</f>
        <v>0.648</v>
      </c>
      <c r="R688" s="16" t="n">
        <f aca="false">IF(D688="","",Q688/$B$15)</f>
        <v>0.25</v>
      </c>
      <c r="S688" s="16" t="n">
        <f aca="false">IF(D688="","",MAX(0,J688-R688))</f>
        <v>0</v>
      </c>
      <c r="T688" s="16" t="n">
        <f aca="false">IF(D688="","",MAX(0,Z688-$B$8))</f>
        <v>2.80049563156924</v>
      </c>
      <c r="U688" s="16" t="n">
        <f aca="false">IF(D688="","",MAX(0,MIN($B$8,Z688)))</f>
        <v>21.3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24.1004956315692</v>
      </c>
      <c r="AA688" s="18" t="n">
        <f aca="false">IF(D688="","",IF(H688&lt;=$B$16,1,IF(H688&gt;=$B$17,$B$21,MATCH(H688,Aux_CAV!$A$2:$A$121,1))))</f>
        <v>8</v>
      </c>
      <c r="AB688" s="18" t="n">
        <f aca="false">IF(D688="","",IF(L688&lt;=$B$16,1,IF(L688&gt;=$B$17,$B$21,MATCH(L688,Aux_CAV!$A$2:$A$121,1))))</f>
        <v>9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1.03465437526153</v>
      </c>
      <c r="E689" s="16" t="n">
        <f aca="false">IF(D689="","",D689*$B$15)</f>
        <v>2.68182414067789</v>
      </c>
      <c r="F689" s="16" t="n">
        <f aca="false" t="array" ref="F689:F689">IF(D689="","",IFERROR(INDEX(Dados_Evap!$C$2:$N$15,MATCH($B$9,Dados_Evap!$A$2:$A$15,0),C689),0))</f>
        <v>104.7</v>
      </c>
      <c r="G689" s="16" t="n">
        <f aca="false">IF(F689="","",F689/1000)</f>
        <v>0.1047</v>
      </c>
      <c r="H689" s="16" t="n">
        <f aca="false">IF(D689="","",MAX(0,MIN($B$8,IFERROR(LOOKUP(2,1/($U$24:U688&lt;&gt;""),$U$24:U688),$B$11))))</f>
        <v>21.3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1.23</v>
      </c>
      <c r="J689" s="16" t="n">
        <f aca="false">IF(D689="","",$B$12)</f>
        <v>0.25</v>
      </c>
      <c r="K689" s="16" t="n">
        <f aca="false">IF(J689="","",J689*$B$15)</f>
        <v>0.648</v>
      </c>
      <c r="L689" s="16" t="n">
        <f aca="false">IF(D689="","",H689+E689-K689-G689*I689)</f>
        <v>23.2050431406779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1.26691257908673</v>
      </c>
      <c r="N689" s="16" t="n">
        <f aca="false">IF(D689="","",(I689+M689)/2)</f>
        <v>1.24845628954336</v>
      </c>
      <c r="O689" s="16" t="n">
        <f aca="false">IF(D689="","",G689*N689)</f>
        <v>0.13071337351519</v>
      </c>
      <c r="P689" s="16" t="n">
        <f aca="false">IF(D689="","",H689+E689-K689-O689)</f>
        <v>23.2031107671627</v>
      </c>
      <c r="Q689" s="16" t="n">
        <f aca="false">IF(D689="","",IF(P689&gt;=0,K689,MAX(0,K689+P689)))</f>
        <v>0.648</v>
      </c>
      <c r="R689" s="16" t="n">
        <f aca="false">IF(D689="","",Q689/$B$15)</f>
        <v>0.25</v>
      </c>
      <c r="S689" s="16" t="n">
        <f aca="false">IF(D689="","",MAX(0,J689-R689))</f>
        <v>0</v>
      </c>
      <c r="T689" s="16" t="n">
        <f aca="false">IF(D689="","",MAX(0,Z689-$B$8))</f>
        <v>1.9031107671627</v>
      </c>
      <c r="U689" s="16" t="n">
        <f aca="false">IF(D689="","",MAX(0,MIN($B$8,Z689)))</f>
        <v>21.3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23.2031107671627</v>
      </c>
      <c r="AA689" s="18" t="n">
        <f aca="false">IF(D689="","",IF(H689&lt;=$B$16,1,IF(H689&gt;=$B$17,$B$21,MATCH(H689,Aux_CAV!$A$2:$A$121,1))))</f>
        <v>8</v>
      </c>
      <c r="AB689" s="18" t="n">
        <f aca="false">IF(D689="","",IF(L689&lt;=$B$16,1,IF(L689&gt;=$B$17,$B$21,MATCH(L689,Aux_CAV!$A$2:$A$121,1))))</f>
        <v>9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0.293480468712111</v>
      </c>
      <c r="E690" s="16" t="n">
        <f aca="false">IF(D690="","",D690*$B$15)</f>
        <v>0.760701374901792</v>
      </c>
      <c r="F690" s="16" t="n">
        <f aca="false" t="array" ref="F690:F690">IF(D690="","",IFERROR(INDEX(Dados_Evap!$C$2:$N$15,MATCH($B$9,Dados_Evap!$A$2:$A$15,0),C690),0))</f>
        <v>145.2</v>
      </c>
      <c r="G690" s="16" t="n">
        <f aca="false">IF(F690="","",F690/1000)</f>
        <v>0.1452</v>
      </c>
      <c r="H690" s="16" t="n">
        <f aca="false">IF(D690="","",MAX(0,MIN($B$8,IFERROR(LOOKUP(2,1/($U$24:U689&lt;&gt;""),$U$24:U689),$B$11))))</f>
        <v>21.3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1.23</v>
      </c>
      <c r="J690" s="16" t="n">
        <f aca="false">IF(D690="","",$B$12)</f>
        <v>0.25</v>
      </c>
      <c r="K690" s="16" t="n">
        <f aca="false">IF(J690="","",J690*$B$15)</f>
        <v>0.648</v>
      </c>
      <c r="L690" s="16" t="n">
        <f aca="false">IF(D690="","",H690+E690-K690-G690*I690)</f>
        <v>21.2341053749018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1.2287618963969</v>
      </c>
      <c r="N690" s="16" t="n">
        <f aca="false">IF(D690="","",(I690+M690)/2)</f>
        <v>1.22938094819845</v>
      </c>
      <c r="O690" s="16" t="n">
        <f aca="false">IF(D690="","",G690*N690)</f>
        <v>0.178506113678415</v>
      </c>
      <c r="P690" s="16" t="n">
        <f aca="false">IF(D690="","",H690+E690-K690-O690)</f>
        <v>21.2341952612234</v>
      </c>
      <c r="Q690" s="16" t="n">
        <f aca="false">IF(D690="","",IF(P690&gt;=0,K690,MAX(0,K690+P690)))</f>
        <v>0.648</v>
      </c>
      <c r="R690" s="16" t="n">
        <f aca="false">IF(D690="","",Q690/$B$15)</f>
        <v>0.25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21.2341952612234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99.691057564429</v>
      </c>
      <c r="Z690" s="18" t="n">
        <f aca="false">IF(D690="","",MAX(0,IF(P690&gt;=0,P690,IF(K690+P690&gt;=0,0,P690+K690))))</f>
        <v>21.2341952612234</v>
      </c>
      <c r="AA690" s="18" t="n">
        <f aca="false">IF(D690="","",IF(H690&lt;=$B$16,1,IF(H690&gt;=$B$17,$B$21,MATCH(H690,Aux_CAV!$A$2:$A$121,1))))</f>
        <v>8</v>
      </c>
      <c r="AB690" s="18" t="n">
        <f aca="false">IF(D690="","",IF(L690&lt;=$B$16,1,IF(L690&gt;=$B$17,$B$21,MATCH(L690,Aux_CAV!$A$2:$A$121,1))))</f>
        <v>7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0.165873412600512</v>
      </c>
      <c r="E691" s="16" t="n">
        <f aca="false">IF(D691="","",D691*$B$15)</f>
        <v>0.429943885460527</v>
      </c>
      <c r="F691" s="16" t="n">
        <f aca="false" t="array" ref="F691:F691">IF(D691="","",IFERROR(INDEX(Dados_Evap!$C$2:$N$15,MATCH($B$9,Dados_Evap!$A$2:$A$15,0),C691),0))</f>
        <v>180.9</v>
      </c>
      <c r="G691" s="16" t="n">
        <f aca="false">IF(F691="","",F691/1000)</f>
        <v>0.1809</v>
      </c>
      <c r="H691" s="16" t="n">
        <f aca="false">IF(D691="","",MAX(0,MIN($B$8,IFERROR(LOOKUP(2,1/($U$24:U690&lt;&gt;""),$U$24:U690),$B$11))))</f>
        <v>21.2341952612234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1.22876358528395</v>
      </c>
      <c r="J691" s="16" t="n">
        <f aca="false">IF(D691="","",$B$12)</f>
        <v>0.25</v>
      </c>
      <c r="K691" s="16" t="n">
        <f aca="false">IF(J691="","",J691*$B$15)</f>
        <v>0.648</v>
      </c>
      <c r="L691" s="16" t="n">
        <f aca="false">IF(D691="","",H691+E691-K691-G691*I691)</f>
        <v>20.793855814106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1.22048998398112</v>
      </c>
      <c r="N691" s="16" t="n">
        <f aca="false">IF(D691="","",(I691+M691)/2)</f>
        <v>1.22462678463253</v>
      </c>
      <c r="O691" s="16" t="n">
        <f aca="false">IF(D691="","",G691*N691)</f>
        <v>0.221534985340025</v>
      </c>
      <c r="P691" s="16" t="n">
        <f aca="false">IF(D691="","",H691+E691-K691-O691)</f>
        <v>20.7946041613439</v>
      </c>
      <c r="Q691" s="16" t="n">
        <f aca="false">IF(D691="","",IF(P691&gt;=0,K691,MAX(0,K691+P691)))</f>
        <v>0.648</v>
      </c>
      <c r="R691" s="16" t="n">
        <f aca="false">IF(D691="","",Q691/$B$15)</f>
        <v>0.25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20.7946041613439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97.6272495837741</v>
      </c>
      <c r="Z691" s="18" t="n">
        <f aca="false">IF(D691="","",MAX(0,IF(P691&gt;=0,P691,IF(K691+P691&gt;=0,0,P691+K691))))</f>
        <v>20.7946041613439</v>
      </c>
      <c r="AA691" s="18" t="n">
        <f aca="false">IF(D691="","",IF(H691&lt;=$B$16,1,IF(H691&gt;=$B$17,$B$21,MATCH(H691,Aux_CAV!$A$2:$A$121,1))))</f>
        <v>7</v>
      </c>
      <c r="AB691" s="18" t="n">
        <f aca="false">IF(D691="","",IF(L691&lt;=$B$16,1,IF(L691&gt;=$B$17,$B$21,MATCH(L691,Aux_CAV!$A$2:$A$121,1))))</f>
        <v>7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0.116803084586381</v>
      </c>
      <c r="E692" s="16" t="n">
        <f aca="false">IF(D692="","",D692*$B$15)</f>
        <v>0.3027535952479</v>
      </c>
      <c r="F692" s="16" t="n">
        <f aca="false" t="array" ref="F692:F692">IF(D692="","",IFERROR(INDEX(Dados_Evap!$C$2:$N$15,MATCH($B$9,Dados_Evap!$A$2:$A$15,0),C692),0))</f>
        <v>208.9</v>
      </c>
      <c r="G692" s="16" t="n">
        <f aca="false">IF(F692="","",F692/1000)</f>
        <v>0.2089</v>
      </c>
      <c r="H692" s="16" t="n">
        <f aca="false">IF(D692="","",MAX(0,MIN($B$8,IFERROR(LOOKUP(2,1/($U$24:U691&lt;&gt;""),$U$24:U691),$B$11))))</f>
        <v>20.7946041613439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1.22050404478517</v>
      </c>
      <c r="J692" s="16" t="n">
        <f aca="false">IF(D692="","",$B$12)</f>
        <v>0.25</v>
      </c>
      <c r="K692" s="16" t="n">
        <f aca="false">IF(J692="","",J692*$B$15)</f>
        <v>0.648</v>
      </c>
      <c r="L692" s="16" t="n">
        <f aca="false">IF(D692="","",H692+E692-K692-G692*I692)</f>
        <v>20.1943944616362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1.20922661827709</v>
      </c>
      <c r="N692" s="16" t="n">
        <f aca="false">IF(D692="","",(I692+M692)/2)</f>
        <v>1.21486533153113</v>
      </c>
      <c r="O692" s="16" t="n">
        <f aca="false">IF(D692="","",G692*N692)</f>
        <v>0.253785367756853</v>
      </c>
      <c r="P692" s="16" t="n">
        <f aca="false">IF(D692="","",H692+E692-K692-O692)</f>
        <v>20.1955723888349</v>
      </c>
      <c r="Q692" s="16" t="n">
        <f aca="false">IF(D692="","",IF(P692&gt;=0,K692,MAX(0,K692+P692)))</f>
        <v>0.648</v>
      </c>
      <c r="R692" s="16" t="n">
        <f aca="false">IF(D692="","",Q692/$B$15)</f>
        <v>0.25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20.1955723888349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94.8148938442954</v>
      </c>
      <c r="Z692" s="18" t="n">
        <f aca="false">IF(D692="","",MAX(0,IF(P692&gt;=0,P692,IF(K692+P692&gt;=0,0,P692+K692))))</f>
        <v>20.1955723888349</v>
      </c>
      <c r="AA692" s="18" t="n">
        <f aca="false">IF(D692="","",IF(H692&lt;=$B$16,1,IF(H692&gt;=$B$17,$B$21,MATCH(H692,Aux_CAV!$A$2:$A$121,1))))</f>
        <v>7</v>
      </c>
      <c r="AB692" s="18" t="n">
        <f aca="false">IF(D692="","",IF(L692&lt;=$B$16,1,IF(L692&gt;=$B$17,$B$21,MATCH(L692,Aux_CAV!$A$2:$A$121,1))))</f>
        <v>7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0.0871446321111688</v>
      </c>
      <c r="E693" s="16" t="n">
        <f aca="false">IF(D693="","",D693*$B$15)</f>
        <v>0.22587888643215</v>
      </c>
      <c r="F693" s="16" t="n">
        <f aca="false" t="array" ref="F693:F693">IF(D693="","",IFERROR(INDEX(Dados_Evap!$C$2:$N$15,MATCH($B$9,Dados_Evap!$A$2:$A$15,0),C693),0))</f>
        <v>235.9</v>
      </c>
      <c r="G693" s="16" t="n">
        <f aca="false">IF(F693="","",F693/1000)</f>
        <v>0.2359</v>
      </c>
      <c r="H693" s="16" t="n">
        <f aca="false">IF(D693="","",MAX(0,MIN($B$8,IFERROR(LOOKUP(2,1/($U$24:U692&lt;&gt;""),$U$24:U692),$B$11))))</f>
        <v>20.1955723888349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1.20924875052091</v>
      </c>
      <c r="J693" s="16" t="n">
        <f aca="false">IF(D693="","",$B$12)</f>
        <v>0.25</v>
      </c>
      <c r="K693" s="16" t="n">
        <f aca="false">IF(J693="","",J693*$B$15)</f>
        <v>0.648</v>
      </c>
      <c r="L693" s="16" t="n">
        <f aca="false">IF(D693="","",H693+E693-K693-G693*I693)</f>
        <v>19.4881894950192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1.19595763143042</v>
      </c>
      <c r="N693" s="16" t="n">
        <f aca="false">IF(D693="","",(I693+M693)/2)</f>
        <v>1.20260319097567</v>
      </c>
      <c r="O693" s="16" t="n">
        <f aca="false">IF(D693="","",G693*N693)</f>
        <v>0.283694092751159</v>
      </c>
      <c r="P693" s="16" t="n">
        <f aca="false">IF(D693="","",H693+E693-K693-O693)</f>
        <v>19.4897571825159</v>
      </c>
      <c r="Q693" s="16" t="n">
        <f aca="false">IF(D693="","",IF(P693&gt;=0,K693,MAX(0,K693+P693)))</f>
        <v>0.648</v>
      </c>
      <c r="R693" s="16" t="n">
        <f aca="false">IF(D693="","",Q693/$B$15)</f>
        <v>0.25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19.4897571825159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91.5012074296522</v>
      </c>
      <c r="Z693" s="18" t="n">
        <f aca="false">IF(D693="","",MAX(0,IF(P693&gt;=0,P693,IF(K693+P693&gt;=0,0,P693+K693))))</f>
        <v>19.4897571825159</v>
      </c>
      <c r="AA693" s="18" t="n">
        <f aca="false">IF(D693="","",IF(H693&lt;=$B$16,1,IF(H693&gt;=$B$17,$B$21,MATCH(H693,Aux_CAV!$A$2:$A$121,1))))</f>
        <v>7</v>
      </c>
      <c r="AB693" s="18" t="n">
        <f aca="false">IF(D693="","",IF(L693&lt;=$B$16,1,IF(L693&gt;=$B$17,$B$21,MATCH(L693,Aux_CAV!$A$2:$A$121,1))))</f>
        <v>7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0.038299622199712</v>
      </c>
      <c r="E694" s="16" t="n">
        <f aca="false">IF(D694="","",D694*$B$15)</f>
        <v>0.0992726207416535</v>
      </c>
      <c r="F694" s="16" t="n">
        <f aca="false" t="array" ref="F694:F694">IF(D694="","",IFERROR(INDEX(Dados_Evap!$C$2:$N$15,MATCH($B$9,Dados_Evap!$A$2:$A$15,0),C694),0))</f>
        <v>225.9</v>
      </c>
      <c r="G694" s="16" t="n">
        <f aca="false">IF(F694="","",F694/1000)</f>
        <v>0.2259</v>
      </c>
      <c r="H694" s="16" t="n">
        <f aca="false">IF(D694="","",MAX(0,MIN($B$8,IFERROR(LOOKUP(2,1/($U$24:U693&lt;&gt;""),$U$24:U693),$B$11))))</f>
        <v>19.4897571825159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1.19598708693662</v>
      </c>
      <c r="J694" s="16" t="n">
        <f aca="false">IF(D694="","",$B$12)</f>
        <v>0.25</v>
      </c>
      <c r="K694" s="16" t="n">
        <f aca="false">IF(J694="","",J694*$B$15)</f>
        <v>0.648</v>
      </c>
      <c r="L694" s="16" t="n">
        <f aca="false">IF(D694="","",H694+E694-K694-G694*I694)</f>
        <v>18.6708563203186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1.18060064067404</v>
      </c>
      <c r="N694" s="16" t="n">
        <f aca="false">IF(D694="","",(I694+M694)/2)</f>
        <v>1.18829386380533</v>
      </c>
      <c r="O694" s="16" t="n">
        <f aca="false">IF(D694="","",G694*N694)</f>
        <v>0.268435583833625</v>
      </c>
      <c r="P694" s="16" t="n">
        <f aca="false">IF(D694="","",H694+E694-K694-O694)</f>
        <v>18.672594219424</v>
      </c>
      <c r="Q694" s="16" t="n">
        <f aca="false">IF(D694="","",IF(P694&gt;=0,K694,MAX(0,K694+P694)))</f>
        <v>0.648</v>
      </c>
      <c r="R694" s="16" t="n">
        <f aca="false">IF(D694="","",Q694/$B$15)</f>
        <v>0.25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18.672594219424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87.6647615935397</v>
      </c>
      <c r="Z694" s="18" t="n">
        <f aca="false">IF(D694="","",MAX(0,IF(P694&gt;=0,P694,IF(K694+P694&gt;=0,0,P694+K694))))</f>
        <v>18.672594219424</v>
      </c>
      <c r="AA694" s="18" t="n">
        <f aca="false">IF(D694="","",IF(H694&lt;=$B$16,1,IF(H694&gt;=$B$17,$B$21,MATCH(H694,Aux_CAV!$A$2:$A$121,1))))</f>
        <v>7</v>
      </c>
      <c r="AB694" s="18" t="n">
        <f aca="false">IF(D694="","",IF(L694&lt;=$B$16,1,IF(L694&gt;=$B$17,$B$21,MATCH(L694,Aux_CAV!$A$2:$A$121,1))))</f>
        <v>7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0.0261052653394228</v>
      </c>
      <c r="E695" s="16" t="n">
        <f aca="false">IF(D695="","",D695*$B$15)</f>
        <v>0.0676648477597839</v>
      </c>
      <c r="F695" s="16" t="n">
        <f aca="false" t="array" ref="F695:F695">IF(D695="","",IFERROR(INDEX(Dados_Evap!$C$2:$N$15,MATCH($B$9,Dados_Evap!$A$2:$A$15,0),C695),0))</f>
        <v>206</v>
      </c>
      <c r="G695" s="16" t="n">
        <f aca="false">IF(F695="","",F695/1000)</f>
        <v>0.206</v>
      </c>
      <c r="H695" s="16" t="n">
        <f aca="false">IF(D695="","",MAX(0,MIN($B$8,IFERROR(LOOKUP(2,1/($U$24:U694&lt;&gt;""),$U$24:U694),$B$11))))</f>
        <v>18.672594219424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1.18063329431068</v>
      </c>
      <c r="J695" s="16" t="n">
        <f aca="false">IF(D695="","",$B$12)</f>
        <v>0.25</v>
      </c>
      <c r="K695" s="16" t="n">
        <f aca="false">IF(J695="","",J695*$B$15)</f>
        <v>0.648</v>
      </c>
      <c r="L695" s="16" t="n">
        <f aca="false">IF(D695="","",H695+E695-K695-G695*I695)</f>
        <v>17.8490486085557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1.16515957719625</v>
      </c>
      <c r="N695" s="16" t="n">
        <f aca="false">IF(D695="","",(I695+M695)/2)</f>
        <v>1.17289643575346</v>
      </c>
      <c r="O695" s="16" t="n">
        <f aca="false">IF(D695="","",G695*N695)</f>
        <v>0.241616665765213</v>
      </c>
      <c r="P695" s="16" t="n">
        <f aca="false">IF(D695="","",H695+E695-K695-O695)</f>
        <v>17.8506424014185</v>
      </c>
      <c r="Q695" s="16" t="n">
        <f aca="false">IF(D695="","",IF(P695&gt;=0,K695,MAX(0,K695+P695)))</f>
        <v>0.648</v>
      </c>
      <c r="R695" s="16" t="n">
        <f aca="false">IF(D695="","",Q695/$B$15)</f>
        <v>0.25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17.8506424014185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83.8058328705095</v>
      </c>
      <c r="Z695" s="18" t="n">
        <f aca="false">IF(D695="","",MAX(0,IF(P695&gt;=0,P695,IF(K695+P695&gt;=0,0,P695+K695))))</f>
        <v>17.8506424014185</v>
      </c>
      <c r="AA695" s="18" t="n">
        <f aca="false">IF(D695="","",IF(H695&lt;=$B$16,1,IF(H695&gt;=$B$17,$B$21,MATCH(H695,Aux_CAV!$A$2:$A$121,1))))</f>
        <v>7</v>
      </c>
      <c r="AB695" s="18" t="n">
        <f aca="false">IF(D695="","",IF(L695&lt;=$B$16,1,IF(L695&gt;=$B$17,$B$21,MATCH(L695,Aux_CAV!$A$2:$A$121,1))))</f>
        <v>7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0.0235976673774744</v>
      </c>
      <c r="E696" s="16" t="n">
        <f aca="false">IF(D696="","",D696*$B$15)</f>
        <v>0.0611651538424137</v>
      </c>
      <c r="F696" s="16" t="n">
        <f aca="false" t="array" ref="F696:F696">IF(D696="","",IFERROR(INDEX(Dados_Evap!$C$2:$N$15,MATCH($B$9,Dados_Evap!$A$2:$A$15,0),C696),0))</f>
        <v>165.6</v>
      </c>
      <c r="G696" s="16" t="n">
        <f aca="false">IF(F696="","",F696/1000)</f>
        <v>0.1656</v>
      </c>
      <c r="H696" s="16" t="n">
        <f aca="false">IF(D696="","",MAX(0,MIN($B$8,IFERROR(LOOKUP(2,1/($U$24:U695&lt;&gt;""),$U$24:U695),$B$11))))</f>
        <v>17.8506424014185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1.16518952319993</v>
      </c>
      <c r="J696" s="16" t="n">
        <f aca="false">IF(D696="","",$B$12)</f>
        <v>0.25</v>
      </c>
      <c r="K696" s="16" t="n">
        <f aca="false">IF(J696="","",J696*$B$15)</f>
        <v>0.648</v>
      </c>
      <c r="L696" s="16" t="n">
        <f aca="false">IF(D696="","",H696+E696-K696-G696*I696)</f>
        <v>17.070852170219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1.15053793221706</v>
      </c>
      <c r="N696" s="16" t="n">
        <f aca="false">IF(D696="","",(I696+M696)/2)</f>
        <v>1.15786372770849</v>
      </c>
      <c r="O696" s="16" t="n">
        <f aca="false">IF(D696="","",G696*N696)</f>
        <v>0.191742233308527</v>
      </c>
      <c r="P696" s="16" t="n">
        <f aca="false">IF(D696="","",H696+E696-K696-O696)</f>
        <v>17.0720653219524</v>
      </c>
      <c r="Q696" s="16" t="n">
        <f aca="false">IF(D696="","",IF(P696&gt;=0,K696,MAX(0,K696+P696)))</f>
        <v>0.648</v>
      </c>
      <c r="R696" s="16" t="n">
        <f aca="false">IF(D696="","",Q696/$B$15)</f>
        <v>0.25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17.0720653219524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80.1505414176169</v>
      </c>
      <c r="Z696" s="18" t="n">
        <f aca="false">IF(D696="","",MAX(0,IF(P696&gt;=0,P696,IF(K696+P696&gt;=0,0,P696+K696))))</f>
        <v>17.0720653219524</v>
      </c>
      <c r="AA696" s="18" t="n">
        <f aca="false">IF(D696="","",IF(H696&lt;=$B$16,1,IF(H696&gt;=$B$17,$B$21,MATCH(H696,Aux_CAV!$A$2:$A$121,1))))</f>
        <v>7</v>
      </c>
      <c r="AB696" s="18" t="n">
        <f aca="false">IF(D696="","",IF(L696&lt;=$B$16,1,IF(L696&gt;=$B$17,$B$21,MATCH(L696,Aux_CAV!$A$2:$A$121,1))))</f>
        <v>7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0.231614318663884</v>
      </c>
      <c r="E697" s="16" t="n">
        <f aca="false">IF(D697="","",D697*$B$15)</f>
        <v>0.600344313976787</v>
      </c>
      <c r="F697" s="16" t="n">
        <f aca="false" t="array" ref="F697:F697">IF(D697="","",IFERROR(INDEX(Dados_Evap!$C$2:$N$15,MATCH($B$9,Dados_Evap!$A$2:$A$15,0),C697),0))</f>
        <v>124.9</v>
      </c>
      <c r="G697" s="16" t="n">
        <f aca="false">IF(F697="","",F697/1000)</f>
        <v>0.1249</v>
      </c>
      <c r="H697" s="16" t="n">
        <f aca="false">IF(D697="","",MAX(0,MIN($B$8,IFERROR(LOOKUP(2,1/($U$24:U696&lt;&gt;""),$U$24:U696),$B$11))))</f>
        <v>17.0720653219524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1.15056072629973</v>
      </c>
      <c r="J697" s="16" t="n">
        <f aca="false">IF(D697="","",$B$12)</f>
        <v>0.25</v>
      </c>
      <c r="K697" s="16" t="n">
        <f aca="false">IF(J697="","",J697*$B$15)</f>
        <v>0.648</v>
      </c>
      <c r="L697" s="16" t="n">
        <f aca="false">IF(D697="","",H697+E697-K697-G697*I697)</f>
        <v>16.8807046012144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1.14696522215225</v>
      </c>
      <c r="N697" s="16" t="n">
        <f aca="false">IF(D697="","",(I697+M697)/2)</f>
        <v>1.14876297422599</v>
      </c>
      <c r="O697" s="16" t="n">
        <f aca="false">IF(D697="","",G697*N697)</f>
        <v>0.143480495480826</v>
      </c>
      <c r="P697" s="16" t="n">
        <f aca="false">IF(D697="","",H697+E697-K697-O697)</f>
        <v>16.8809291404484</v>
      </c>
      <c r="Q697" s="16" t="n">
        <f aca="false">IF(D697="","",IF(P697&gt;=0,K697,MAX(0,K697+P697)))</f>
        <v>0.648</v>
      </c>
      <c r="R697" s="16" t="n">
        <f aca="false">IF(D697="","",Q697/$B$15)</f>
        <v>0.25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16.8809291404484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79.2531884528092</v>
      </c>
      <c r="Z697" s="18" t="n">
        <f aca="false">IF(D697="","",MAX(0,IF(P697&gt;=0,P697,IF(K697+P697&gt;=0,0,P697+K697))))</f>
        <v>16.8809291404484</v>
      </c>
      <c r="AA697" s="18" t="n">
        <f aca="false">IF(D697="","",IF(H697&lt;=$B$16,1,IF(H697&gt;=$B$17,$B$21,MATCH(H697,Aux_CAV!$A$2:$A$121,1))))</f>
        <v>7</v>
      </c>
      <c r="AB697" s="18" t="n">
        <f aca="false">IF(D697="","",IF(L697&lt;=$B$16,1,IF(L697&gt;=$B$17,$B$21,MATCH(L697,Aux_CAV!$A$2:$A$121,1))))</f>
        <v>7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0.289700949559903</v>
      </c>
      <c r="E698" s="16" t="n">
        <f aca="false">IF(D698="","",D698*$B$15)</f>
        <v>0.750904861259269</v>
      </c>
      <c r="F698" s="16" t="n">
        <f aca="false" t="array" ref="F698:F698">IF(D698="","",IFERROR(INDEX(Dados_Evap!$C$2:$N$15,MATCH($B$9,Dados_Evap!$A$2:$A$15,0),C698),0))</f>
        <v>88.2</v>
      </c>
      <c r="G698" s="16" t="n">
        <f aca="false">IF(F698="","",F698/1000)</f>
        <v>0.0882</v>
      </c>
      <c r="H698" s="16" t="n">
        <f aca="false">IF(D698="","",MAX(0,MIN($B$8,IFERROR(LOOKUP(2,1/($U$24:U697&lt;&gt;""),$U$24:U697),$B$11))))</f>
        <v>16.8809291404484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1.14696944105227</v>
      </c>
      <c r="J698" s="16" t="n">
        <f aca="false">IF(D698="","",$B$12)</f>
        <v>0.25</v>
      </c>
      <c r="K698" s="16" t="n">
        <f aca="false">IF(J698="","",J698*$B$15)</f>
        <v>0.648</v>
      </c>
      <c r="L698" s="16" t="n">
        <f aca="false">IF(D698="","",H698+E698-K698-G698*I698)</f>
        <v>16.8826712970068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1.1470021746828</v>
      </c>
      <c r="N698" s="16" t="n">
        <f aca="false">IF(D698="","",(I698+M698)/2)</f>
        <v>1.14698580786753</v>
      </c>
      <c r="O698" s="16" t="n">
        <f aca="false">IF(D698="","",G698*N698)</f>
        <v>0.101164148253916</v>
      </c>
      <c r="P698" s="16" t="n">
        <f aca="false">IF(D698="","",H698+E698-K698-O698)</f>
        <v>16.8826698534537</v>
      </c>
      <c r="Q698" s="16" t="n">
        <f aca="false">IF(D698="","",IF(P698&gt;=0,K698,MAX(0,K698+P698)))</f>
        <v>0.648</v>
      </c>
      <c r="R698" s="16" t="n">
        <f aca="false">IF(D698="","",Q698/$B$15)</f>
        <v>0.25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16.8826698534537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79.2613608143367</v>
      </c>
      <c r="Z698" s="18" t="n">
        <f aca="false">IF(D698="","",MAX(0,IF(P698&gt;=0,P698,IF(K698+P698&gt;=0,0,P698+K698))))</f>
        <v>16.8826698534537</v>
      </c>
      <c r="AA698" s="18" t="n">
        <f aca="false">IF(D698="","",IF(H698&lt;=$B$16,1,IF(H698&gt;=$B$17,$B$21,MATCH(H698,Aux_CAV!$A$2:$A$121,1))))</f>
        <v>7</v>
      </c>
      <c r="AB698" s="18" t="n">
        <f aca="false">IF(D698="","",IF(L698&lt;=$B$16,1,IF(L698&gt;=$B$17,$B$21,MATCH(L698,Aux_CAV!$A$2:$A$121,1))))</f>
        <v>7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0.446422076692785</v>
      </c>
      <c r="E699" s="16" t="n">
        <f aca="false">IF(D699="","",D699*$B$15)</f>
        <v>1.1571260227877</v>
      </c>
      <c r="F699" s="16" t="n">
        <f aca="false" t="array" ref="F699:F699">IF(D699="","",IFERROR(INDEX(Dados_Evap!$C$2:$N$15,MATCH($B$9,Dados_Evap!$A$2:$A$15,0),C699),0))</f>
        <v>88.2</v>
      </c>
      <c r="G699" s="16" t="n">
        <f aca="false">IF(F699="","",F699/1000)</f>
        <v>0.0882</v>
      </c>
      <c r="H699" s="16" t="n">
        <f aca="false">IF(D699="","",MAX(0,MIN($B$8,IFERROR(LOOKUP(2,1/($U$24:U698&lt;&gt;""),$U$24:U698),$B$11))))</f>
        <v>16.8826698534537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1.14700214755967</v>
      </c>
      <c r="J699" s="16" t="n">
        <f aca="false">IF(D699="","",$B$12)</f>
        <v>0.25</v>
      </c>
      <c r="K699" s="16" t="n">
        <f aca="false">IF(J699="","",J699*$B$15)</f>
        <v>0.648</v>
      </c>
      <c r="L699" s="16" t="n">
        <f aca="false">IF(D699="","",H699+E699-K699-G699*I699)</f>
        <v>17.2906302868267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1.15466737490906</v>
      </c>
      <c r="N699" s="16" t="n">
        <f aca="false">IF(D699="","",(I699+M699)/2)</f>
        <v>1.15083476123437</v>
      </c>
      <c r="O699" s="16" t="n">
        <f aca="false">IF(D699="","",G699*N699)</f>
        <v>0.101503625940871</v>
      </c>
      <c r="P699" s="16" t="n">
        <f aca="false">IF(D699="","",H699+E699-K699-O699)</f>
        <v>17.2902922503006</v>
      </c>
      <c r="Q699" s="16" t="n">
        <f aca="false">IF(D699="","",IF(P699&gt;=0,K699,MAX(0,K699+P699)))</f>
        <v>0.648</v>
      </c>
      <c r="R699" s="16" t="n">
        <f aca="false">IF(D699="","",Q699/$B$15)</f>
        <v>0.25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17.2902922503006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81.1750809873265</v>
      </c>
      <c r="Z699" s="18" t="n">
        <f aca="false">IF(D699="","",MAX(0,IF(P699&gt;=0,P699,IF(K699+P699&gt;=0,0,P699+K699))))</f>
        <v>17.2902922503006</v>
      </c>
      <c r="AA699" s="18" t="n">
        <f aca="false">IF(D699="","",IF(H699&lt;=$B$16,1,IF(H699&gt;=$B$17,$B$21,MATCH(H699,Aux_CAV!$A$2:$A$121,1))))</f>
        <v>7</v>
      </c>
      <c r="AB699" s="18" t="n">
        <f aca="false">IF(D699="","",IF(L699&lt;=$B$16,1,IF(L699&gt;=$B$17,$B$21,MATCH(L699,Aux_CAV!$A$2:$A$121,1))))</f>
        <v>7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0.707832830975504</v>
      </c>
      <c r="E700" s="16" t="n">
        <f aca="false">IF(D700="","",D700*$B$15)</f>
        <v>1.83470269788851</v>
      </c>
      <c r="F700" s="16" t="n">
        <f aca="false" t="array" ref="F700:F700">IF(D700="","",IFERROR(INDEX(Dados_Evap!$C$2:$N$15,MATCH($B$9,Dados_Evap!$A$2:$A$15,0),C700),0))</f>
        <v>83.9</v>
      </c>
      <c r="G700" s="16" t="n">
        <f aca="false">IF(F700="","",F700/1000)</f>
        <v>0.0839</v>
      </c>
      <c r="H700" s="16" t="n">
        <f aca="false">IF(D700="","",MAX(0,MIN($B$8,IFERROR(LOOKUP(2,1/($U$24:U699&lt;&gt;""),$U$24:U699),$B$11))))</f>
        <v>17.2902922503006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1.15466102349208</v>
      </c>
      <c r="J700" s="16" t="n">
        <f aca="false">IF(D700="","",$B$12)</f>
        <v>0.25</v>
      </c>
      <c r="K700" s="16" t="n">
        <f aca="false">IF(J700="","",J700*$B$15)</f>
        <v>0.648</v>
      </c>
      <c r="L700" s="16" t="n">
        <f aca="false">IF(D700="","",H700+E700-K700-G700*I700)</f>
        <v>18.3801188883181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1.17513793318343</v>
      </c>
      <c r="N700" s="16" t="n">
        <f aca="false">IF(D700="","",(I700+M700)/2)</f>
        <v>1.16489947833775</v>
      </c>
      <c r="O700" s="16" t="n">
        <f aca="false">IF(D700="","",G700*N700)</f>
        <v>0.0977350662325375</v>
      </c>
      <c r="P700" s="16" t="n">
        <f aca="false">IF(D700="","",H700+E700-K700-O700)</f>
        <v>18.3792598819565</v>
      </c>
      <c r="Q700" s="16" t="n">
        <f aca="false">IF(D700="","",IF(P700&gt;=0,K700,MAX(0,K700+P700)))</f>
        <v>0.648</v>
      </c>
      <c r="R700" s="16" t="n">
        <f aca="false">IF(D700="","",Q700/$B$15)</f>
        <v>0.25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18.3792598819565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86.2876050796081</v>
      </c>
      <c r="Z700" s="18" t="n">
        <f aca="false">IF(D700="","",MAX(0,IF(P700&gt;=0,P700,IF(K700+P700&gt;=0,0,P700+K700))))</f>
        <v>18.3792598819565</v>
      </c>
      <c r="AA700" s="18" t="n">
        <f aca="false">IF(D700="","",IF(H700&lt;=$B$16,1,IF(H700&gt;=$B$17,$B$21,MATCH(H700,Aux_CAV!$A$2:$A$121,1))))</f>
        <v>7</v>
      </c>
      <c r="AB700" s="18" t="n">
        <f aca="false">IF(D700="","",IF(L700&lt;=$B$16,1,IF(L700&gt;=$B$17,$B$21,MATCH(L700,Aux_CAV!$A$2:$A$121,1))))</f>
        <v>7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0.176554612185863</v>
      </c>
      <c r="E701" s="16" t="n">
        <f aca="false">IF(D701="","",D701*$B$15)</f>
        <v>0.457629554785757</v>
      </c>
      <c r="F701" s="16" t="n">
        <f aca="false" t="array" ref="F701:F701">IF(D701="","",IFERROR(INDEX(Dados_Evap!$C$2:$N$15,MATCH($B$9,Dados_Evap!$A$2:$A$15,0),C701),0))</f>
        <v>104.7</v>
      </c>
      <c r="G701" s="16" t="n">
        <f aca="false">IF(F701="","",F701/1000)</f>
        <v>0.1047</v>
      </c>
      <c r="H701" s="16" t="n">
        <f aca="false">IF(D701="","",MAX(0,MIN($B$8,IFERROR(LOOKUP(2,1/($U$24:U700&lt;&gt;""),$U$24:U700),$B$11))))</f>
        <v>18.3792598819565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1.17512179318916</v>
      </c>
      <c r="J701" s="16" t="n">
        <f aca="false">IF(D701="","",$B$12)</f>
        <v>0.25</v>
      </c>
      <c r="K701" s="16" t="n">
        <f aca="false">IF(J701="","",J701*$B$15)</f>
        <v>0.648</v>
      </c>
      <c r="L701" s="16" t="n">
        <f aca="false">IF(D701="","",H701+E701-K701-G701*I701)</f>
        <v>18.0658541849954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1.16923316840284</v>
      </c>
      <c r="N701" s="16" t="n">
        <f aca="false">IF(D701="","",(I701+M701)/2)</f>
        <v>1.172177480796</v>
      </c>
      <c r="O701" s="16" t="n">
        <f aca="false">IF(D701="","",G701*N701)</f>
        <v>0.122726982239341</v>
      </c>
      <c r="P701" s="16" t="n">
        <f aca="false">IF(D701="","",H701+E701-K701-O701)</f>
        <v>18.0661624545029</v>
      </c>
      <c r="Q701" s="16" t="n">
        <f aca="false">IF(D701="","",IF(P701&gt;=0,K701,MAX(0,K701+P701)))</f>
        <v>0.648</v>
      </c>
      <c r="R701" s="16" t="n">
        <f aca="false">IF(D701="","",Q701/$B$15)</f>
        <v>0.25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18.0661624545029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84.8176641056476</v>
      </c>
      <c r="Z701" s="18" t="n">
        <f aca="false">IF(D701="","",MAX(0,IF(P701&gt;=0,P701,IF(K701+P701&gt;=0,0,P701+K701))))</f>
        <v>18.0661624545029</v>
      </c>
      <c r="AA701" s="18" t="n">
        <f aca="false">IF(D701="","",IF(H701&lt;=$B$16,1,IF(H701&gt;=$B$17,$B$21,MATCH(H701,Aux_CAV!$A$2:$A$121,1))))</f>
        <v>7</v>
      </c>
      <c r="AB701" s="18" t="n">
        <f aca="false">IF(D701="","",IF(L701&lt;=$B$16,1,IF(L701&gt;=$B$17,$B$21,MATCH(L701,Aux_CAV!$A$2:$A$121,1))))</f>
        <v>7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0.19009636899677</v>
      </c>
      <c r="E702" s="16" t="n">
        <f aca="false">IF(D702="","",D702*$B$15)</f>
        <v>0.492729788439628</v>
      </c>
      <c r="F702" s="16" t="n">
        <f aca="false" t="array" ref="F702:F702">IF(D702="","",IFERROR(INDEX(Dados_Evap!$C$2:$N$15,MATCH($B$9,Dados_Evap!$A$2:$A$15,0),C702),0))</f>
        <v>145.2</v>
      </c>
      <c r="G702" s="16" t="n">
        <f aca="false">IF(F702="","",F702/1000)</f>
        <v>0.1452</v>
      </c>
      <c r="H702" s="16" t="n">
        <f aca="false">IF(D702="","",MAX(0,MIN($B$8,IFERROR(LOOKUP(2,1/($U$24:U701&lt;&gt;""),$U$24:U701),$B$11))))</f>
        <v>18.0661624545029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1.16923896052302</v>
      </c>
      <c r="J702" s="16" t="n">
        <f aca="false">IF(D702="","",$B$12)</f>
        <v>0.25</v>
      </c>
      <c r="K702" s="16" t="n">
        <f aca="false">IF(J702="","",J702*$B$15)</f>
        <v>0.648</v>
      </c>
      <c r="L702" s="16" t="n">
        <f aca="false">IF(D702="","",H702+E702-K702-G702*I702)</f>
        <v>17.7411187458746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1.16313166745902</v>
      </c>
      <c r="N702" s="16" t="n">
        <f aca="false">IF(D702="","",(I702+M702)/2)</f>
        <v>1.16618531399102</v>
      </c>
      <c r="O702" s="16" t="n">
        <f aca="false">IF(D702="","",G702*N702)</f>
        <v>0.169330107591496</v>
      </c>
      <c r="P702" s="16" t="n">
        <f aca="false">IF(D702="","",H702+E702-K702-O702)</f>
        <v>17.7415621353511</v>
      </c>
      <c r="Q702" s="16" t="n">
        <f aca="false">IF(D702="","",IF(P702&gt;=0,K702,MAX(0,K702+P702)))</f>
        <v>0.648</v>
      </c>
      <c r="R702" s="16" t="n">
        <f aca="false">IF(D702="","",Q702/$B$15)</f>
        <v>0.25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17.7415621353511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83.2937189453102</v>
      </c>
      <c r="Z702" s="18" t="n">
        <f aca="false">IF(D702="","",MAX(0,IF(P702&gt;=0,P702,IF(K702+P702&gt;=0,0,P702+K702))))</f>
        <v>17.7415621353511</v>
      </c>
      <c r="AA702" s="18" t="n">
        <f aca="false">IF(D702="","",IF(H702&lt;=$B$16,1,IF(H702&gt;=$B$17,$B$21,MATCH(H702,Aux_CAV!$A$2:$A$121,1))))</f>
        <v>7</v>
      </c>
      <c r="AB702" s="18" t="n">
        <f aca="false">IF(D702="","",IF(L702&lt;=$B$16,1,IF(L702&gt;=$B$17,$B$21,MATCH(L702,Aux_CAV!$A$2:$A$121,1))))</f>
        <v>7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0.0580773222942221</v>
      </c>
      <c r="E703" s="16" t="n">
        <f aca="false">IF(D703="","",D703*$B$15)</f>
        <v>0.150536419386624</v>
      </c>
      <c r="F703" s="16" t="n">
        <f aca="false" t="array" ref="F703:F703">IF(D703="","",IFERROR(INDEX(Dados_Evap!$C$2:$N$15,MATCH($B$9,Dados_Evap!$A$2:$A$15,0),C703),0))</f>
        <v>180.9</v>
      </c>
      <c r="G703" s="16" t="n">
        <f aca="false">IF(F703="","",F703/1000)</f>
        <v>0.1809</v>
      </c>
      <c r="H703" s="16" t="n">
        <f aca="false">IF(D703="","",MAX(0,MIN($B$8,IFERROR(LOOKUP(2,1/($U$24:U702&lt;&gt;""),$U$24:U702),$B$11))))</f>
        <v>17.7415621353511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1.16313999836777</v>
      </c>
      <c r="J703" s="16" t="n">
        <f aca="false">IF(D703="","",$B$12)</f>
        <v>0.25</v>
      </c>
      <c r="K703" s="16" t="n">
        <f aca="false">IF(J703="","",J703*$B$15)</f>
        <v>0.648</v>
      </c>
      <c r="L703" s="16" t="n">
        <f aca="false">IF(D703="","",H703+E703-K703-G703*I703)</f>
        <v>17.033686529033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1.1498396216311</v>
      </c>
      <c r="N703" s="16" t="n">
        <f aca="false">IF(D703="","",(I703+M703)/2)</f>
        <v>1.15648980999943</v>
      </c>
      <c r="O703" s="16" t="n">
        <f aca="false">IF(D703="","",G703*N703)</f>
        <v>0.209209006628897</v>
      </c>
      <c r="P703" s="16" t="n">
        <f aca="false">IF(D703="","",H703+E703-K703-O703)</f>
        <v>17.0348895481088</v>
      </c>
      <c r="Q703" s="16" t="n">
        <f aca="false">IF(D703="","",IF(P703&gt;=0,K703,MAX(0,K703+P703)))</f>
        <v>0.648</v>
      </c>
      <c r="R703" s="16" t="n">
        <f aca="false">IF(D703="","",Q703/$B$15)</f>
        <v>0.25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17.0348895481088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79.9760072681164</v>
      </c>
      <c r="Z703" s="18" t="n">
        <f aca="false">IF(D703="","",MAX(0,IF(P703&gt;=0,P703,IF(K703+P703&gt;=0,0,P703+K703))))</f>
        <v>17.0348895481088</v>
      </c>
      <c r="AA703" s="18" t="n">
        <f aca="false">IF(D703="","",IF(H703&lt;=$B$16,1,IF(H703&gt;=$B$17,$B$21,MATCH(H703,Aux_CAV!$A$2:$A$121,1))))</f>
        <v>7</v>
      </c>
      <c r="AB703" s="18" t="n">
        <f aca="false">IF(D703="","",IF(L703&lt;=$B$16,1,IF(L703&gt;=$B$17,$B$21,MATCH(L703,Aux_CAV!$A$2:$A$121,1))))</f>
        <v>7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0.0577115129866068</v>
      </c>
      <c r="E704" s="16" t="n">
        <f aca="false">IF(D704="","",D704*$B$15)</f>
        <v>0.149588241661285</v>
      </c>
      <c r="F704" s="16" t="n">
        <f aca="false" t="array" ref="F704:F704">IF(D704="","",IFERROR(INDEX(Dados_Evap!$C$2:$N$15,MATCH($B$9,Dados_Evap!$A$2:$A$15,0),C704),0))</f>
        <v>208.9</v>
      </c>
      <c r="G704" s="16" t="n">
        <f aca="false">IF(F704="","",F704/1000)</f>
        <v>0.2089</v>
      </c>
      <c r="H704" s="16" t="n">
        <f aca="false">IF(D704="","",MAX(0,MIN($B$8,IFERROR(LOOKUP(2,1/($U$24:U703&lt;&gt;""),$U$24:U703),$B$11))))</f>
        <v>17.0348895481088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1.14986222532981</v>
      </c>
      <c r="J704" s="16" t="n">
        <f aca="false">IF(D704="","",$B$12)</f>
        <v>0.25</v>
      </c>
      <c r="K704" s="16" t="n">
        <f aca="false">IF(J704="","",J704*$B$15)</f>
        <v>0.648</v>
      </c>
      <c r="L704" s="16" t="n">
        <f aca="false">IF(D704="","",H704+E704-K704-G704*I704)</f>
        <v>16.2962715708987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1.13313160057708</v>
      </c>
      <c r="N704" s="16" t="n">
        <f aca="false">IF(D704="","",(I704+M704)/2)</f>
        <v>1.14149691295345</v>
      </c>
      <c r="O704" s="16" t="n">
        <f aca="false">IF(D704="","",G704*N704)</f>
        <v>0.238458705115975</v>
      </c>
      <c r="P704" s="16" t="n">
        <f aca="false">IF(D704="","",H704+E704-K704-O704)</f>
        <v>16.2980190846541</v>
      </c>
      <c r="Q704" s="16" t="n">
        <f aca="false">IF(D704="","",IF(P704&gt;=0,K704,MAX(0,K704+P704)))</f>
        <v>0.648</v>
      </c>
      <c r="R704" s="16" t="n">
        <f aca="false">IF(D704="","",Q704/$B$15)</f>
        <v>0.25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16.2980190846541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76.5165215241977</v>
      </c>
      <c r="Z704" s="18" t="n">
        <f aca="false">IF(D704="","",MAX(0,IF(P704&gt;=0,P704,IF(K704+P704&gt;=0,0,P704+K704))))</f>
        <v>16.2980190846541</v>
      </c>
      <c r="AA704" s="18" t="n">
        <f aca="false">IF(D704="","",IF(H704&lt;=$B$16,1,IF(H704&gt;=$B$17,$B$21,MATCH(H704,Aux_CAV!$A$2:$A$121,1))))</f>
        <v>7</v>
      </c>
      <c r="AB704" s="18" t="n">
        <f aca="false">IF(D704="","",IF(L704&lt;=$B$16,1,IF(L704&gt;=$B$17,$B$21,MATCH(L704,Aux_CAV!$A$2:$A$121,1))))</f>
        <v>6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0.0213799794744436</v>
      </c>
      <c r="E705" s="16" t="n">
        <f aca="false">IF(D705="","",D705*$B$15)</f>
        <v>0.0554169067977578</v>
      </c>
      <c r="F705" s="16" t="n">
        <f aca="false" t="array" ref="F705:F705">IF(D705="","",IFERROR(INDEX(Dados_Evap!$C$2:$N$15,MATCH($B$9,Dados_Evap!$A$2:$A$15,0),C705),0))</f>
        <v>235.9</v>
      </c>
      <c r="G705" s="16" t="n">
        <f aca="false">IF(F705="","",F705/1000)</f>
        <v>0.2359</v>
      </c>
      <c r="H705" s="16" t="n">
        <f aca="false">IF(D705="","",MAX(0,MIN($B$8,IFERROR(LOOKUP(2,1/($U$24:U704&lt;&gt;""),$U$24:U704),$B$11))))</f>
        <v>16.2980190846541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1.13318775886412</v>
      </c>
      <c r="J705" s="16" t="n">
        <f aca="false">IF(D705="","",$B$12)</f>
        <v>0.25</v>
      </c>
      <c r="K705" s="16" t="n">
        <f aca="false">IF(J705="","",J705*$B$15)</f>
        <v>0.648</v>
      </c>
      <c r="L705" s="16" t="n">
        <f aca="false">IF(D705="","",H705+E705-K705-G705*I705)</f>
        <v>15.4381169991358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1.10555385441457</v>
      </c>
      <c r="N705" s="16" t="n">
        <f aca="false">IF(D705="","",(I705+M705)/2)</f>
        <v>1.11937080663935</v>
      </c>
      <c r="O705" s="16" t="n">
        <f aca="false">IF(D705="","",G705*N705)</f>
        <v>0.264059573286222</v>
      </c>
      <c r="P705" s="16" t="n">
        <f aca="false">IF(D705="","",H705+E705-K705-O705)</f>
        <v>15.4413764181656</v>
      </c>
      <c r="Q705" s="16" t="n">
        <f aca="false">IF(D705="","",IF(P705&gt;=0,K705,MAX(0,K705+P705)))</f>
        <v>0.648</v>
      </c>
      <c r="R705" s="16" t="n">
        <f aca="false">IF(D705="","",Q705/$B$15)</f>
        <v>0.25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15.4413764181656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72.4947249679138</v>
      </c>
      <c r="Z705" s="18" t="n">
        <f aca="false">IF(D705="","",MAX(0,IF(P705&gt;=0,P705,IF(K705+P705&gt;=0,0,P705+K705))))</f>
        <v>15.4413764181656</v>
      </c>
      <c r="AA705" s="18" t="n">
        <f aca="false">IF(D705="","",IF(H705&lt;=$B$16,1,IF(H705&gt;=$B$17,$B$21,MATCH(H705,Aux_CAV!$A$2:$A$121,1))))</f>
        <v>6</v>
      </c>
      <c r="AB705" s="18" t="n">
        <f aca="false">IF(D705="","",IF(L705&lt;=$B$16,1,IF(L705&gt;=$B$17,$B$21,MATCH(L705,Aux_CAV!$A$2:$A$121,1))))</f>
        <v>6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0.0221229027230675</v>
      </c>
      <c r="E706" s="16" t="n">
        <f aca="false">IF(D706="","",D706*$B$15)</f>
        <v>0.057342563858191</v>
      </c>
      <c r="F706" s="16" t="n">
        <f aca="false" t="array" ref="F706:F706">IF(D706="","",IFERROR(INDEX(Dados_Evap!$C$2:$N$15,MATCH($B$9,Dados_Evap!$A$2:$A$15,0),C706),0))</f>
        <v>225.9</v>
      </c>
      <c r="G706" s="16" t="n">
        <f aca="false">IF(F706="","",F706/1000)</f>
        <v>0.2259</v>
      </c>
      <c r="H706" s="16" t="n">
        <f aca="false">IF(D706="","",MAX(0,MIN($B$8,IFERROR(LOOKUP(2,1/($U$24:U705&lt;&gt;""),$U$24:U705),$B$11))))</f>
        <v>15.4413764181656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1.10565859944956</v>
      </c>
      <c r="J706" s="16" t="n">
        <f aca="false">IF(D706="","",$B$12)</f>
        <v>0.25</v>
      </c>
      <c r="K706" s="16" t="n">
        <f aca="false">IF(J706="","",J706*$B$15)</f>
        <v>0.648</v>
      </c>
      <c r="L706" s="16" t="n">
        <f aca="false">IF(D706="","",H706+E706-K706-G706*I706)</f>
        <v>14.6009507044082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1.07865058974469</v>
      </c>
      <c r="N706" s="16" t="n">
        <f aca="false">IF(D706="","",(I706+M706)/2)</f>
        <v>1.09215459459712</v>
      </c>
      <c r="O706" s="16" t="n">
        <f aca="false">IF(D706="","",G706*N706)</f>
        <v>0.24671772291949</v>
      </c>
      <c r="P706" s="16" t="n">
        <f aca="false">IF(D706="","",H706+E706-K706-O706)</f>
        <v>14.6040012591043</v>
      </c>
      <c r="Q706" s="16" t="n">
        <f aca="false">IF(D706="","",IF(P706&gt;=0,K706,MAX(0,K706+P706)))</f>
        <v>0.648</v>
      </c>
      <c r="R706" s="16" t="n">
        <f aca="false">IF(D706="","",Q706/$B$15)</f>
        <v>0.25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14.6040012591043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68.5633861929781</v>
      </c>
      <c r="Z706" s="18" t="n">
        <f aca="false">IF(D706="","",MAX(0,IF(P706&gt;=0,P706,IF(K706+P706&gt;=0,0,P706+K706))))</f>
        <v>14.6040012591043</v>
      </c>
      <c r="AA706" s="18" t="n">
        <f aca="false">IF(D706="","",IF(H706&lt;=$B$16,1,IF(H706&gt;=$B$17,$B$21,MATCH(H706,Aux_CAV!$A$2:$A$121,1))))</f>
        <v>6</v>
      </c>
      <c r="AB706" s="18" t="n">
        <f aca="false">IF(D706="","",IF(L706&lt;=$B$16,1,IF(L706&gt;=$B$17,$B$21,MATCH(L706,Aux_CAV!$A$2:$A$121,1))))</f>
        <v>6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0.0200901911358194</v>
      </c>
      <c r="E707" s="16" t="n">
        <f aca="false">IF(D707="","",D707*$B$15)</f>
        <v>0.0520737754240439</v>
      </c>
      <c r="F707" s="16" t="n">
        <f aca="false" t="array" ref="F707:F707">IF(D707="","",IFERROR(INDEX(Dados_Evap!$C$2:$N$15,MATCH($B$9,Dados_Evap!$A$2:$A$15,0),C707),0))</f>
        <v>206</v>
      </c>
      <c r="G707" s="16" t="n">
        <f aca="false">IF(F707="","",F707/1000)</f>
        <v>0.206</v>
      </c>
      <c r="H707" s="16" t="n">
        <f aca="false">IF(D707="","",MAX(0,MIN($B$8,IFERROR(LOOKUP(2,1/($U$24:U706&lt;&gt;""),$U$24:U706),$B$11))))</f>
        <v>14.6040012591043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1.07874862269333</v>
      </c>
      <c r="J707" s="16" t="n">
        <f aca="false">IF(D707="","",$B$12)</f>
        <v>0.25</v>
      </c>
      <c r="K707" s="16" t="n">
        <f aca="false">IF(J707="","",J707*$B$15)</f>
        <v>0.648</v>
      </c>
      <c r="L707" s="16" t="n">
        <f aca="false">IF(D707="","",H707+E707-K707-G707*I707)</f>
        <v>13.7858528182536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1.05245651778887</v>
      </c>
      <c r="N707" s="16" t="n">
        <f aca="false">IF(D707="","",(I707+M707)/2)</f>
        <v>1.0656025702411</v>
      </c>
      <c r="O707" s="16" t="n">
        <f aca="false">IF(D707="","",G707*N707)</f>
        <v>0.219514129469667</v>
      </c>
      <c r="P707" s="16" t="n">
        <f aca="false">IF(D707="","",H707+E707-K707-O707)</f>
        <v>13.7885609050587</v>
      </c>
      <c r="Q707" s="16" t="n">
        <f aca="false">IF(D707="","",IF(P707&gt;=0,K707,MAX(0,K707+P707)))</f>
        <v>0.648</v>
      </c>
      <c r="R707" s="16" t="n">
        <f aca="false">IF(D707="","",Q707/$B$15)</f>
        <v>0.25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13.7885609050587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64.7350277232804</v>
      </c>
      <c r="Z707" s="18" t="n">
        <f aca="false">IF(D707="","",MAX(0,IF(P707&gt;=0,P707,IF(K707+P707&gt;=0,0,P707+K707))))</f>
        <v>13.7885609050587</v>
      </c>
      <c r="AA707" s="18" t="n">
        <f aca="false">IF(D707="","",IF(H707&lt;=$B$16,1,IF(H707&gt;=$B$17,$B$21,MATCH(H707,Aux_CAV!$A$2:$A$121,1))))</f>
        <v>6</v>
      </c>
      <c r="AB707" s="18" t="n">
        <f aca="false">IF(D707="","",IF(L707&lt;=$B$16,1,IF(L707&gt;=$B$17,$B$21,MATCH(L707,Aux_CAV!$A$2:$A$121,1))))</f>
        <v>6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0.047613876368045</v>
      </c>
      <c r="E708" s="16" t="n">
        <f aca="false">IF(D708="","",D708*$B$15)</f>
        <v>0.123415167545973</v>
      </c>
      <c r="F708" s="16" t="n">
        <f aca="false" t="array" ref="F708:F708">IF(D708="","",IFERROR(INDEX(Dados_Evap!$C$2:$N$15,MATCH($B$9,Dados_Evap!$A$2:$A$15,0),C708),0))</f>
        <v>165.6</v>
      </c>
      <c r="G708" s="16" t="n">
        <f aca="false">IF(F708="","",F708/1000)</f>
        <v>0.1656</v>
      </c>
      <c r="H708" s="16" t="n">
        <f aca="false">IF(D708="","",MAX(0,MIN($B$8,IFERROR(LOOKUP(2,1/($U$24:U707&lt;&gt;""),$U$24:U707),$B$11))))</f>
        <v>13.7885609050587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1.05254354515312</v>
      </c>
      <c r="J708" s="16" t="n">
        <f aca="false">IF(D708="","",$B$12)</f>
        <v>0.25</v>
      </c>
      <c r="K708" s="16" t="n">
        <f aca="false">IF(J708="","",J708*$B$15)</f>
        <v>0.648</v>
      </c>
      <c r="L708" s="16" t="n">
        <f aca="false">IF(D708="","",H708+E708-K708-G708*I708)</f>
        <v>13.0896748615273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1.03008406927404</v>
      </c>
      <c r="N708" s="16" t="n">
        <f aca="false">IF(D708="","",(I708+M708)/2)</f>
        <v>1.04131380721358</v>
      </c>
      <c r="O708" s="16" t="n">
        <f aca="false">IF(D708="","",G708*N708)</f>
        <v>0.172441566474568</v>
      </c>
      <c r="P708" s="16" t="n">
        <f aca="false">IF(D708="","",H708+E708-K708-O708)</f>
        <v>13.0915345061301</v>
      </c>
      <c r="Q708" s="16" t="n">
        <f aca="false">IF(D708="","",IF(P708&gt;=0,K708,MAX(0,K708+P708)))</f>
        <v>0.648</v>
      </c>
      <c r="R708" s="16" t="n">
        <f aca="false">IF(D708="","",Q708/$B$15)</f>
        <v>0.25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13.0915345061301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61.4626033151649</v>
      </c>
      <c r="Z708" s="18" t="n">
        <f aca="false">IF(D708="","",MAX(0,IF(P708&gt;=0,P708,IF(K708+P708&gt;=0,0,P708+K708))))</f>
        <v>13.0915345061301</v>
      </c>
      <c r="AA708" s="18" t="n">
        <f aca="false">IF(D708="","",IF(H708&lt;=$B$16,1,IF(H708&gt;=$B$17,$B$21,MATCH(H708,Aux_CAV!$A$2:$A$121,1))))</f>
        <v>6</v>
      </c>
      <c r="AB708" s="18" t="n">
        <f aca="false">IF(D708="","",IF(L708&lt;=$B$16,1,IF(L708&gt;=$B$17,$B$21,MATCH(L708,Aux_CAV!$A$2:$A$121,1))))</f>
        <v>6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0.515837968233758</v>
      </c>
      <c r="E709" s="16" t="n">
        <f aca="false">IF(D709="","",D709*$B$15)</f>
        <v>1.3370520136619</v>
      </c>
      <c r="F709" s="16" t="n">
        <f aca="false" t="array" ref="F709:F709">IF(D709="","",IFERROR(INDEX(Dados_Evap!$C$2:$N$15,MATCH($B$9,Dados_Evap!$A$2:$A$15,0),C709),0))</f>
        <v>124.9</v>
      </c>
      <c r="G709" s="16" t="n">
        <f aca="false">IF(F709="","",F709/1000)</f>
        <v>0.1249</v>
      </c>
      <c r="H709" s="16" t="n">
        <f aca="false">IF(D709="","",MAX(0,MIN($B$8,IFERROR(LOOKUP(2,1/($U$24:U708&lt;&gt;""),$U$24:U708),$B$11))))</f>
        <v>13.0915345061301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1.03014383100985</v>
      </c>
      <c r="J709" s="16" t="n">
        <f aca="false">IF(D709="","",$B$12)</f>
        <v>0.25</v>
      </c>
      <c r="K709" s="16" t="n">
        <f aca="false">IF(J709="","",J709*$B$15)</f>
        <v>0.648</v>
      </c>
      <c r="L709" s="16" t="n">
        <f aca="false">IF(D709="","",H709+E709-K709-G709*I709)</f>
        <v>13.6519215552989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1.04815248854458</v>
      </c>
      <c r="N709" s="16" t="n">
        <f aca="false">IF(D709="","",(I709+M709)/2)</f>
        <v>1.03914815977721</v>
      </c>
      <c r="O709" s="16" t="n">
        <f aca="false">IF(D709="","",G709*N709)</f>
        <v>0.129789605156174</v>
      </c>
      <c r="P709" s="16" t="n">
        <f aca="false">IF(D709="","",H709+E709-K709-O709)</f>
        <v>13.6507969146359</v>
      </c>
      <c r="Q709" s="16" t="n">
        <f aca="false">IF(D709="","",IF(P709&gt;=0,K709,MAX(0,K709+P709)))</f>
        <v>0.648</v>
      </c>
      <c r="R709" s="16" t="n">
        <f aca="false">IF(D709="","",Q709/$B$15)</f>
        <v>0.25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13.6507969146359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64.0882484255204</v>
      </c>
      <c r="Z709" s="18" t="n">
        <f aca="false">IF(D709="","",MAX(0,IF(P709&gt;=0,P709,IF(K709+P709&gt;=0,0,P709+K709))))</f>
        <v>13.6507969146359</v>
      </c>
      <c r="AA709" s="18" t="n">
        <f aca="false">IF(D709="","",IF(H709&lt;=$B$16,1,IF(H709&gt;=$B$17,$B$21,MATCH(H709,Aux_CAV!$A$2:$A$121,1))))</f>
        <v>6</v>
      </c>
      <c r="AB709" s="18" t="n">
        <f aca="false">IF(D709="","",IF(L709&lt;=$B$16,1,IF(L709&gt;=$B$17,$B$21,MATCH(L709,Aux_CAV!$A$2:$A$121,1))))</f>
        <v>6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1.3639305818863</v>
      </c>
      <c r="E710" s="16" t="n">
        <f aca="false">IF(D710="","",D710*$B$15)</f>
        <v>3.53530806824929</v>
      </c>
      <c r="F710" s="16" t="n">
        <f aca="false" t="array" ref="F710:F710">IF(D710="","",IFERROR(INDEX(Dados_Evap!$C$2:$N$15,MATCH($B$9,Dados_Evap!$A$2:$A$15,0),C710),0))</f>
        <v>88.2</v>
      </c>
      <c r="G710" s="16" t="n">
        <f aca="false">IF(F710="","",F710/1000)</f>
        <v>0.0882</v>
      </c>
      <c r="H710" s="16" t="n">
        <f aca="false">IF(D710="","",MAX(0,MIN($B$8,IFERROR(LOOKUP(2,1/($U$24:U709&lt;&gt;""),$U$24:U709),$B$11))))</f>
        <v>13.6507969146359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1.04811634697317</v>
      </c>
      <c r="J710" s="16" t="n">
        <f aca="false">IF(D710="","",$B$12)</f>
        <v>0.25</v>
      </c>
      <c r="K710" s="16" t="n">
        <f aca="false">IF(J710="","",J710*$B$15)</f>
        <v>0.648</v>
      </c>
      <c r="L710" s="16" t="n">
        <f aca="false">IF(D710="","",H710+E710-K710-G710*I710)</f>
        <v>16.4456611210821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1.13793239897617</v>
      </c>
      <c r="N710" s="16" t="n">
        <f aca="false">IF(D710="","",(I710+M710)/2)</f>
        <v>1.09302437297467</v>
      </c>
      <c r="O710" s="16" t="n">
        <f aca="false">IF(D710="","",G710*N710)</f>
        <v>0.0964047496963663</v>
      </c>
      <c r="P710" s="16" t="n">
        <f aca="false">IF(D710="","",H710+E710-K710-O710)</f>
        <v>16.4417002331888</v>
      </c>
      <c r="Q710" s="16" t="n">
        <f aca="false">IF(D710="","",IF(P710&gt;=0,K710,MAX(0,K710+P710)))</f>
        <v>0.648</v>
      </c>
      <c r="R710" s="16" t="n">
        <f aca="false">IF(D710="","",Q710/$B$15)</f>
        <v>0.25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16.4417002331888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77.1910809069896</v>
      </c>
      <c r="Z710" s="18" t="n">
        <f aca="false">IF(D710="","",MAX(0,IF(P710&gt;=0,P710,IF(K710+P710&gt;=0,0,P710+K710))))</f>
        <v>16.4417002331888</v>
      </c>
      <c r="AA710" s="18" t="n">
        <f aca="false">IF(D710="","",IF(H710&lt;=$B$16,1,IF(H710&gt;=$B$17,$B$21,MATCH(H710,Aux_CAV!$A$2:$A$121,1))))</f>
        <v>6</v>
      </c>
      <c r="AB710" s="18" t="n">
        <f aca="false">IF(D710="","",IF(L710&lt;=$B$16,1,IF(L710&gt;=$B$17,$B$21,MATCH(L710,Aux_CAV!$A$2:$A$121,1))))</f>
        <v>6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1.54103105364838</v>
      </c>
      <c r="E711" s="16" t="n">
        <f aca="false">IF(D711="","",D711*$B$15)</f>
        <v>3.9943524910566</v>
      </c>
      <c r="F711" s="16" t="n">
        <f aca="false" t="array" ref="F711:F711">IF(D711="","",IFERROR(INDEX(Dados_Evap!$C$2:$N$15,MATCH($B$9,Dados_Evap!$A$2:$A$15,0),C711),0))</f>
        <v>88.2</v>
      </c>
      <c r="G711" s="16" t="n">
        <f aca="false">IF(F711="","",F711/1000)</f>
        <v>0.0882</v>
      </c>
      <c r="H711" s="16" t="n">
        <f aca="false">IF(D711="","",MAX(0,MIN($B$8,IFERROR(LOOKUP(2,1/($U$24:U710&lt;&gt;""),$U$24:U710),$B$11))))</f>
        <v>16.4417002331888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1.13780511146353</v>
      </c>
      <c r="J711" s="16" t="n">
        <f aca="false">IF(D711="","",$B$12)</f>
        <v>0.25</v>
      </c>
      <c r="K711" s="16" t="n">
        <f aca="false">IF(J711="","",J711*$B$15)</f>
        <v>0.648</v>
      </c>
      <c r="L711" s="16" t="n">
        <f aca="false">IF(D711="","",H711+E711-K711-G711*I711)</f>
        <v>19.6876983134143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1.19970623135852</v>
      </c>
      <c r="N711" s="16" t="n">
        <f aca="false">IF(D711="","",(I711+M711)/2)</f>
        <v>1.16875567141102</v>
      </c>
      <c r="O711" s="16" t="n">
        <f aca="false">IF(D711="","",G711*N711)</f>
        <v>0.103084250218452</v>
      </c>
      <c r="P711" s="16" t="n">
        <f aca="false">IF(D711="","",H711+E711-K711-O711)</f>
        <v>19.6849684740269</v>
      </c>
      <c r="Q711" s="16" t="n">
        <f aca="false">IF(D711="","",IF(P711&gt;=0,K711,MAX(0,K711+P711)))</f>
        <v>0.648</v>
      </c>
      <c r="R711" s="16" t="n">
        <f aca="false">IF(D711="","",Q711/$B$15)</f>
        <v>0.25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19.6849684740269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92.4176923663236</v>
      </c>
      <c r="Z711" s="18" t="n">
        <f aca="false">IF(D711="","",MAX(0,IF(P711&gt;=0,P711,IF(K711+P711&gt;=0,0,P711+K711))))</f>
        <v>19.6849684740269</v>
      </c>
      <c r="AA711" s="18" t="n">
        <f aca="false">IF(D711="","",IF(H711&lt;=$B$16,1,IF(H711&gt;=$B$17,$B$21,MATCH(H711,Aux_CAV!$A$2:$A$121,1))))</f>
        <v>6</v>
      </c>
      <c r="AB711" s="18" t="n">
        <f aca="false">IF(D711="","",IF(L711&lt;=$B$16,1,IF(L711&gt;=$B$17,$B$21,MATCH(L711,Aux_CAV!$A$2:$A$121,1))))</f>
        <v>7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1.97217435465754</v>
      </c>
      <c r="E712" s="16" t="n">
        <f aca="false">IF(D712="","",D712*$B$15)</f>
        <v>5.11187592727234</v>
      </c>
      <c r="F712" s="16" t="n">
        <f aca="false" t="array" ref="F712:F712">IF(D712="","",IFERROR(INDEX(Dados_Evap!$C$2:$N$15,MATCH($B$9,Dados_Evap!$A$2:$A$15,0),C712),0))</f>
        <v>83.9</v>
      </c>
      <c r="G712" s="16" t="n">
        <f aca="false">IF(F712="","",F712/1000)</f>
        <v>0.0839</v>
      </c>
      <c r="H712" s="16" t="n">
        <f aca="false">IF(D712="","",MAX(0,MIN($B$8,IFERROR(LOOKUP(2,1/($U$24:U711&lt;&gt;""),$U$24:U711),$B$11))))</f>
        <v>19.6849684740269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1.19965494001303</v>
      </c>
      <c r="J712" s="16" t="n">
        <f aca="false">IF(D712="","",$B$12)</f>
        <v>0.25</v>
      </c>
      <c r="K712" s="16" t="n">
        <f aca="false">IF(J712="","",J712*$B$15)</f>
        <v>0.648</v>
      </c>
      <c r="L712" s="16" t="n">
        <f aca="false">IF(D712="","",H712+E712-K712-G712*I712)</f>
        <v>24.0481933518322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1.28713807140827</v>
      </c>
      <c r="N712" s="16" t="n">
        <f aca="false">IF(D712="","",(I712+M712)/2)</f>
        <v>1.24339650571065</v>
      </c>
      <c r="O712" s="16" t="n">
        <f aca="false">IF(D712="","",G712*N712)</f>
        <v>0.104320966829124</v>
      </c>
      <c r="P712" s="16" t="n">
        <f aca="false">IF(D712="","",H712+E712-K712-O712)</f>
        <v>24.0445234344701</v>
      </c>
      <c r="Q712" s="16" t="n">
        <f aca="false">IF(D712="","",IF(P712&gt;=0,K712,MAX(0,K712+P712)))</f>
        <v>0.648</v>
      </c>
      <c r="R712" s="16" t="n">
        <f aca="false">IF(D712="","",Q712/$B$15)</f>
        <v>0.25</v>
      </c>
      <c r="S712" s="16" t="n">
        <f aca="false">IF(D712="","",MAX(0,J712-R712))</f>
        <v>0</v>
      </c>
      <c r="T712" s="16" t="n">
        <f aca="false">IF(D712="","",MAX(0,Z712-$B$8))</f>
        <v>2.74452343447015</v>
      </c>
      <c r="U712" s="16" t="n">
        <f aca="false">IF(D712="","",MAX(0,MIN($B$8,Z712)))</f>
        <v>21.3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24.0445234344701</v>
      </c>
      <c r="AA712" s="18" t="n">
        <f aca="false">IF(D712="","",IF(H712&lt;=$B$16,1,IF(H712&gt;=$B$17,$B$21,MATCH(H712,Aux_CAV!$A$2:$A$121,1))))</f>
        <v>7</v>
      </c>
      <c r="AB712" s="18" t="n">
        <f aca="false">IF(D712="","",IF(L712&lt;=$B$16,1,IF(L712&gt;=$B$17,$B$21,MATCH(L712,Aux_CAV!$A$2:$A$121,1))))</f>
        <v>9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0.399897596125074</v>
      </c>
      <c r="E713" s="16" t="n">
        <f aca="false">IF(D713="","",D713*$B$15)</f>
        <v>1.03653456915619</v>
      </c>
      <c r="F713" s="16" t="n">
        <f aca="false" t="array" ref="F713:F713">IF(D713="","",IFERROR(INDEX(Dados_Evap!$C$2:$N$15,MATCH($B$9,Dados_Evap!$A$2:$A$15,0),C713),0))</f>
        <v>104.7</v>
      </c>
      <c r="G713" s="16" t="n">
        <f aca="false">IF(F713="","",F713/1000)</f>
        <v>0.1047</v>
      </c>
      <c r="H713" s="16" t="n">
        <f aca="false">IF(D713="","",MAX(0,MIN($B$8,IFERROR(LOOKUP(2,1/($U$24:U712&lt;&gt;""),$U$24:U712),$B$11))))</f>
        <v>21.3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1.23</v>
      </c>
      <c r="J713" s="16" t="n">
        <f aca="false">IF(D713="","",$B$12)</f>
        <v>0.25</v>
      </c>
      <c r="K713" s="16" t="n">
        <f aca="false">IF(J713="","",J713*$B$15)</f>
        <v>0.648</v>
      </c>
      <c r="L713" s="16" t="n">
        <f aca="false">IF(D713="","",H713+E713-K713-G713*I713)</f>
        <v>21.5597535691562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1.2343292261526</v>
      </c>
      <c r="N713" s="16" t="n">
        <f aca="false">IF(D713="","",(I713+M713)/2)</f>
        <v>1.2321646130763</v>
      </c>
      <c r="O713" s="16" t="n">
        <f aca="false">IF(D713="","",G713*N713)</f>
        <v>0.129007634989089</v>
      </c>
      <c r="P713" s="16" t="n">
        <f aca="false">IF(D713="","",H713+E713-K713-O713)</f>
        <v>21.5595269341671</v>
      </c>
      <c r="Q713" s="16" t="n">
        <f aca="false">IF(D713="","",IF(P713&gt;=0,K713,MAX(0,K713+P713)))</f>
        <v>0.648</v>
      </c>
      <c r="R713" s="16" t="n">
        <f aca="false">IF(D713="","",Q713/$B$15)</f>
        <v>0.25</v>
      </c>
      <c r="S713" s="16" t="n">
        <f aca="false">IF(D713="","",MAX(0,J713-R713))</f>
        <v>0</v>
      </c>
      <c r="T713" s="16" t="n">
        <f aca="false">IF(D713="","",MAX(0,Z713-$B$8))</f>
        <v>0.259526934167102</v>
      </c>
      <c r="U713" s="16" t="n">
        <f aca="false">IF(D713="","",MAX(0,MIN($B$8,Z713)))</f>
        <v>21.3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21.5595269341671</v>
      </c>
      <c r="AA713" s="18" t="n">
        <f aca="false">IF(D713="","",IF(H713&lt;=$B$16,1,IF(H713&gt;=$B$17,$B$21,MATCH(H713,Aux_CAV!$A$2:$A$121,1))))</f>
        <v>8</v>
      </c>
      <c r="AB713" s="18" t="n">
        <f aca="false">IF(D713="","",IF(L713&lt;=$B$16,1,IF(L713&gt;=$B$17,$B$21,MATCH(L713,Aux_CAV!$A$2:$A$121,1))))</f>
        <v>8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0.266323690368067</v>
      </c>
      <c r="E714" s="16" t="n">
        <f aca="false">IF(D714="","",D714*$B$15)</f>
        <v>0.69031100543403</v>
      </c>
      <c r="F714" s="16" t="n">
        <f aca="false" t="array" ref="F714:F714">IF(D714="","",IFERROR(INDEX(Dados_Evap!$C$2:$N$15,MATCH($B$9,Dados_Evap!$A$2:$A$15,0),C714),0))</f>
        <v>145.2</v>
      </c>
      <c r="G714" s="16" t="n">
        <f aca="false">IF(F714="","",F714/1000)</f>
        <v>0.1452</v>
      </c>
      <c r="H714" s="16" t="n">
        <f aca="false">IF(D714="","",MAX(0,MIN($B$8,IFERROR(LOOKUP(2,1/($U$24:U713&lt;&gt;""),$U$24:U713),$B$11))))</f>
        <v>21.3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1.23</v>
      </c>
      <c r="J714" s="16" t="n">
        <f aca="false">IF(D714="","",$B$12)</f>
        <v>0.25</v>
      </c>
      <c r="K714" s="16" t="n">
        <f aca="false">IF(J714="","",J714*$B$15)</f>
        <v>0.648</v>
      </c>
      <c r="L714" s="16" t="n">
        <f aca="false">IF(D714="","",H714+E714-K714-G714*I714)</f>
        <v>21.163715005434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1.22743932160523</v>
      </c>
      <c r="N714" s="16" t="n">
        <f aca="false">IF(D714="","",(I714+M714)/2)</f>
        <v>1.22871966080262</v>
      </c>
      <c r="O714" s="16" t="n">
        <f aca="false">IF(D714="","",G714*N714)</f>
        <v>0.17841009474854</v>
      </c>
      <c r="P714" s="16" t="n">
        <f aca="false">IF(D714="","",H714+E714-K714-O714)</f>
        <v>21.1639009106855</v>
      </c>
      <c r="Q714" s="16" t="n">
        <f aca="false">IF(D714="","",IF(P714&gt;=0,K714,MAX(0,K714+P714)))</f>
        <v>0.648</v>
      </c>
      <c r="R714" s="16" t="n">
        <f aca="false">IF(D714="","",Q714/$B$15)</f>
        <v>0.25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21.1639009106855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99.3610371393685</v>
      </c>
      <c r="Z714" s="18" t="n">
        <f aca="false">IF(D714="","",MAX(0,IF(P714&gt;=0,P714,IF(K714+P714&gt;=0,0,P714+K714))))</f>
        <v>21.1639009106855</v>
      </c>
      <c r="AA714" s="18" t="n">
        <f aca="false">IF(D714="","",IF(H714&lt;=$B$16,1,IF(H714&gt;=$B$17,$B$21,MATCH(H714,Aux_CAV!$A$2:$A$121,1))))</f>
        <v>8</v>
      </c>
      <c r="AB714" s="18" t="n">
        <f aca="false">IF(D714="","",IF(L714&lt;=$B$16,1,IF(L714&gt;=$B$17,$B$21,MATCH(L714,Aux_CAV!$A$2:$A$121,1))))</f>
        <v>7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0.179260567180929</v>
      </c>
      <c r="E715" s="16" t="n">
        <f aca="false">IF(D715="","",D715*$B$15)</f>
        <v>0.464643390132968</v>
      </c>
      <c r="F715" s="16" t="n">
        <f aca="false" t="array" ref="F715:F715">IF(D715="","",IFERROR(INDEX(Dados_Evap!$C$2:$N$15,MATCH($B$9,Dados_Evap!$A$2:$A$15,0),C715),0))</f>
        <v>180.9</v>
      </c>
      <c r="G715" s="16" t="n">
        <f aca="false">IF(F715="","",F715/1000)</f>
        <v>0.1809</v>
      </c>
      <c r="H715" s="16" t="n">
        <f aca="false">IF(D715="","",MAX(0,MIN($B$8,IFERROR(LOOKUP(2,1/($U$24:U714&lt;&gt;""),$U$24:U714),$B$11))))</f>
        <v>21.1639009106855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1.22744281460578</v>
      </c>
      <c r="J715" s="16" t="n">
        <f aca="false">IF(D715="","",$B$12)</f>
        <v>0.25</v>
      </c>
      <c r="K715" s="16" t="n">
        <f aca="false">IF(J715="","",J715*$B$15)</f>
        <v>0.648</v>
      </c>
      <c r="L715" s="16" t="n">
        <f aca="false">IF(D715="","",H715+E715-K715-G715*I715)</f>
        <v>20.7584998956563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1.21982567653634</v>
      </c>
      <c r="N715" s="16" t="n">
        <f aca="false">IF(D715="","",(I715+M715)/2)</f>
        <v>1.22363424557106</v>
      </c>
      <c r="O715" s="16" t="n">
        <f aca="false">IF(D715="","",G715*N715)</f>
        <v>0.221355435023805</v>
      </c>
      <c r="P715" s="16" t="n">
        <f aca="false">IF(D715="","",H715+E715-K715-O715)</f>
        <v>20.7591888657947</v>
      </c>
      <c r="Q715" s="16" t="n">
        <f aca="false">IF(D715="","",IF(P715&gt;=0,K715,MAX(0,K715+P715)))</f>
        <v>0.648</v>
      </c>
      <c r="R715" s="16" t="n">
        <f aca="false">IF(D715="","",Q715/$B$15)</f>
        <v>0.25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20.7591888657947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97.4609805905852</v>
      </c>
      <c r="Z715" s="18" t="n">
        <f aca="false">IF(D715="","",MAX(0,IF(P715&gt;=0,P715,IF(K715+P715&gt;=0,0,P715+K715))))</f>
        <v>20.7591888657947</v>
      </c>
      <c r="AA715" s="18" t="n">
        <f aca="false">IF(D715="","",IF(H715&lt;=$B$16,1,IF(H715&gt;=$B$17,$B$21,MATCH(H715,Aux_CAV!$A$2:$A$121,1))))</f>
        <v>7</v>
      </c>
      <c r="AB715" s="18" t="n">
        <f aca="false">IF(D715="","",IF(L715&lt;=$B$16,1,IF(L715&gt;=$B$17,$B$21,MATCH(L715,Aux_CAV!$A$2:$A$121,1))))</f>
        <v>7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0.125097004436155</v>
      </c>
      <c r="E716" s="16" t="n">
        <f aca="false">IF(D716="","",D716*$B$15)</f>
        <v>0.324251435498514</v>
      </c>
      <c r="F716" s="16" t="n">
        <f aca="false" t="array" ref="F716:F716">IF(D716="","",IFERROR(INDEX(Dados_Evap!$C$2:$N$15,MATCH($B$9,Dados_Evap!$A$2:$A$15,0),C716),0))</f>
        <v>208.9</v>
      </c>
      <c r="G716" s="16" t="n">
        <f aca="false">IF(F716="","",F716/1000)</f>
        <v>0.2089</v>
      </c>
      <c r="H716" s="16" t="n">
        <f aca="false">IF(D716="","",MAX(0,MIN($B$8,IFERROR(LOOKUP(2,1/($U$24:U715&lt;&gt;""),$U$24:U715),$B$11))))</f>
        <v>20.7591888657947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1.21983862169552</v>
      </c>
      <c r="J716" s="16" t="n">
        <f aca="false">IF(D716="","",$B$12)</f>
        <v>0.25</v>
      </c>
      <c r="K716" s="16" t="n">
        <f aca="false">IF(J716="","",J716*$B$15)</f>
        <v>0.648</v>
      </c>
      <c r="L716" s="16" t="n">
        <f aca="false">IF(D716="","",H716+E716-K716-G716*I716)</f>
        <v>20.180616013221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1.20896773302503</v>
      </c>
      <c r="N716" s="16" t="n">
        <f aca="false">IF(D716="","",(I716+M716)/2)</f>
        <v>1.21440317736027</v>
      </c>
      <c r="O716" s="16" t="n">
        <f aca="false">IF(D716="","",G716*N716)</f>
        <v>0.253688823750561</v>
      </c>
      <c r="P716" s="16" t="n">
        <f aca="false">IF(D716="","",H716+E716-K716-O716)</f>
        <v>20.1817514775426</v>
      </c>
      <c r="Q716" s="16" t="n">
        <f aca="false">IF(D716="","",IF(P716&gt;=0,K716,MAX(0,K716+P716)))</f>
        <v>0.648</v>
      </c>
      <c r="R716" s="16" t="n">
        <f aca="false">IF(D716="","",Q716/$B$15)</f>
        <v>0.25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20.1817514775426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94.7500069368197</v>
      </c>
      <c r="Z716" s="18" t="n">
        <f aca="false">IF(D716="","",MAX(0,IF(P716&gt;=0,P716,IF(K716+P716&gt;=0,0,P716+K716))))</f>
        <v>20.1817514775426</v>
      </c>
      <c r="AA716" s="18" t="n">
        <f aca="false">IF(D716="","",IF(H716&lt;=$B$16,1,IF(H716&gt;=$B$17,$B$21,MATCH(H716,Aux_CAV!$A$2:$A$121,1))))</f>
        <v>7</v>
      </c>
      <c r="AB716" s="18" t="n">
        <f aca="false">IF(D716="","",IF(L716&lt;=$B$16,1,IF(L716&gt;=$B$17,$B$21,MATCH(L716,Aux_CAV!$A$2:$A$121,1))))</f>
        <v>7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0.0673832582091211</v>
      </c>
      <c r="E717" s="16" t="n">
        <f aca="false">IF(D717="","",D717*$B$15)</f>
        <v>0.174657405278042</v>
      </c>
      <c r="F717" s="16" t="n">
        <f aca="false" t="array" ref="F717:F717">IF(D717="","",IFERROR(INDEX(Dados_Evap!$C$2:$N$15,MATCH($B$9,Dados_Evap!$A$2:$A$15,0),C717),0))</f>
        <v>235.9</v>
      </c>
      <c r="G717" s="16" t="n">
        <f aca="false">IF(F717="","",F717/1000)</f>
        <v>0.2359</v>
      </c>
      <c r="H717" s="16" t="n">
        <f aca="false">IF(D717="","",MAX(0,MIN($B$8,IFERROR(LOOKUP(2,1/($U$24:U716&lt;&gt;""),$U$24:U716),$B$11))))</f>
        <v>20.1817514775426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1.20898906742773</v>
      </c>
      <c r="J717" s="16" t="n">
        <f aca="false">IF(D717="","",$B$12)</f>
        <v>0.25</v>
      </c>
      <c r="K717" s="16" t="n">
        <f aca="false">IF(J717="","",J717*$B$15)</f>
        <v>0.648</v>
      </c>
      <c r="L717" s="16" t="n">
        <f aca="false">IF(D717="","",H717+E717-K717-G717*I717)</f>
        <v>19.4232083618144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1.1947366915581</v>
      </c>
      <c r="N717" s="16" t="n">
        <f aca="false">IF(D717="","",(I717+M717)/2)</f>
        <v>1.20186287949292</v>
      </c>
      <c r="O717" s="16" t="n">
        <f aca="false">IF(D717="","",G717*N717)</f>
        <v>0.283519453272379</v>
      </c>
      <c r="P717" s="16" t="n">
        <f aca="false">IF(D717="","",H717+E717-K717-O717)</f>
        <v>19.4248894295483</v>
      </c>
      <c r="Q717" s="16" t="n">
        <f aca="false">IF(D717="","",IF(P717&gt;=0,K717,MAX(0,K717+P717)))</f>
        <v>0.648</v>
      </c>
      <c r="R717" s="16" t="n">
        <f aca="false">IF(D717="","",Q717/$B$15)</f>
        <v>0.25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19.4248894295483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91.1966639884895</v>
      </c>
      <c r="Z717" s="18" t="n">
        <f aca="false">IF(D717="","",MAX(0,IF(P717&gt;=0,P717,IF(K717+P717&gt;=0,0,P717+K717))))</f>
        <v>19.4248894295483</v>
      </c>
      <c r="AA717" s="18" t="n">
        <f aca="false">IF(D717="","",IF(H717&lt;=$B$16,1,IF(H717&gt;=$B$17,$B$21,MATCH(H717,Aux_CAV!$A$2:$A$121,1))))</f>
        <v>7</v>
      </c>
      <c r="AB717" s="18" t="n">
        <f aca="false">IF(D717="","",IF(L717&lt;=$B$16,1,IF(L717&gt;=$B$17,$B$21,MATCH(L717,Aux_CAV!$A$2:$A$121,1))))</f>
        <v>7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0.0335415918180197</v>
      </c>
      <c r="E718" s="16" t="n">
        <f aca="false">IF(D718="","",D718*$B$15)</f>
        <v>0.0869398059923071</v>
      </c>
      <c r="F718" s="16" t="n">
        <f aca="false" t="array" ref="F718:F718">IF(D718="","",IFERROR(INDEX(Dados_Evap!$C$2:$N$15,MATCH($B$9,Dados_Evap!$A$2:$A$15,0),C718),0))</f>
        <v>225.9</v>
      </c>
      <c r="G718" s="16" t="n">
        <f aca="false">IF(F718="","",F718/1000)</f>
        <v>0.2259</v>
      </c>
      <c r="H718" s="16" t="n">
        <f aca="false">IF(D718="","",MAX(0,MIN($B$8,IFERROR(LOOKUP(2,1/($U$24:U717&lt;&gt;""),$U$24:U717),$B$11))))</f>
        <v>19.4248894295483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1.19476827738191</v>
      </c>
      <c r="J718" s="16" t="n">
        <f aca="false">IF(D718="","",$B$12)</f>
        <v>0.25</v>
      </c>
      <c r="K718" s="16" t="n">
        <f aca="false">IF(J718="","",J718*$B$15)</f>
        <v>0.648</v>
      </c>
      <c r="L718" s="16" t="n">
        <f aca="false">IF(D718="","",H718+E718-K718-G718*I718)</f>
        <v>18.59393108168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1.17915528128418</v>
      </c>
      <c r="N718" s="16" t="n">
        <f aca="false">IF(D718="","",(I718+M718)/2)</f>
        <v>1.18696177933304</v>
      </c>
      <c r="O718" s="16" t="n">
        <f aca="false">IF(D718="","",G718*N718)</f>
        <v>0.268134665951334</v>
      </c>
      <c r="P718" s="16" t="n">
        <f aca="false">IF(D718="","",H718+E718-K718-O718)</f>
        <v>18.5956945695892</v>
      </c>
      <c r="Q718" s="16" t="n">
        <f aca="false">IF(D718="","",IF(P718&gt;=0,K718,MAX(0,K718+P718)))</f>
        <v>0.648</v>
      </c>
      <c r="R718" s="16" t="n">
        <f aca="false">IF(D718="","",Q718/$B$15)</f>
        <v>0.25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18.5956945695892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87.3037303736584</v>
      </c>
      <c r="Z718" s="18" t="n">
        <f aca="false">IF(D718="","",MAX(0,IF(P718&gt;=0,P718,IF(K718+P718&gt;=0,0,P718+K718))))</f>
        <v>18.5956945695892</v>
      </c>
      <c r="AA718" s="18" t="n">
        <f aca="false">IF(D718="","",IF(H718&lt;=$B$16,1,IF(H718&gt;=$B$17,$B$21,MATCH(H718,Aux_CAV!$A$2:$A$121,1))))</f>
        <v>7</v>
      </c>
      <c r="AB718" s="18" t="n">
        <f aca="false">IF(D718="","",IF(L718&lt;=$B$16,1,IF(L718&gt;=$B$17,$B$21,MATCH(L718,Aux_CAV!$A$2:$A$121,1))))</f>
        <v>7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0.0444293364584888</v>
      </c>
      <c r="E719" s="16" t="n">
        <f aca="false">IF(D719="","",D719*$B$15)</f>
        <v>0.115160840100403</v>
      </c>
      <c r="F719" s="16" t="n">
        <f aca="false" t="array" ref="F719:F719">IF(D719="","",IFERROR(INDEX(Dados_Evap!$C$2:$N$15,MATCH($B$9,Dados_Evap!$A$2:$A$15,0),C719),0))</f>
        <v>206</v>
      </c>
      <c r="G719" s="16" t="n">
        <f aca="false">IF(F719="","",F719/1000)</f>
        <v>0.206</v>
      </c>
      <c r="H719" s="16" t="n">
        <f aca="false">IF(D719="","",MAX(0,MIN($B$8,IFERROR(LOOKUP(2,1/($U$24:U718&lt;&gt;""),$U$24:U718),$B$11))))</f>
        <v>18.5956945695892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1.17918841571253</v>
      </c>
      <c r="J719" s="16" t="n">
        <f aca="false">IF(D719="","",$B$12)</f>
        <v>0.25</v>
      </c>
      <c r="K719" s="16" t="n">
        <f aca="false">IF(J719="","",J719*$B$15)</f>
        <v>0.648</v>
      </c>
      <c r="L719" s="16" t="n">
        <f aca="false">IF(D719="","",H719+E719-K719-G719*I719)</f>
        <v>17.8199425960529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1.16461270013461</v>
      </c>
      <c r="N719" s="16" t="n">
        <f aca="false">IF(D719="","",(I719+M719)/2)</f>
        <v>1.17190055792357</v>
      </c>
      <c r="O719" s="16" t="n">
        <f aca="false">IF(D719="","",G719*N719)</f>
        <v>0.241411514932255</v>
      </c>
      <c r="P719" s="16" t="n">
        <f aca="false">IF(D719="","",H719+E719-K719-O719)</f>
        <v>17.8214438947574</v>
      </c>
      <c r="Q719" s="16" t="n">
        <f aca="false">IF(D719="","",IF(P719&gt;=0,K719,MAX(0,K719+P719)))</f>
        <v>0.648</v>
      </c>
      <c r="R719" s="16" t="n">
        <f aca="false">IF(D719="","",Q719/$B$15)</f>
        <v>0.25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17.8214438947574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83.6687506796122</v>
      </c>
      <c r="Z719" s="18" t="n">
        <f aca="false">IF(D719="","",MAX(0,IF(P719&gt;=0,P719,IF(K719+P719&gt;=0,0,P719+K719))))</f>
        <v>17.8214438947574</v>
      </c>
      <c r="AA719" s="18" t="n">
        <f aca="false">IF(D719="","",IF(H719&lt;=$B$16,1,IF(H719&gt;=$B$17,$B$21,MATCH(H719,Aux_CAV!$A$2:$A$121,1))))</f>
        <v>7</v>
      </c>
      <c r="AB719" s="18" t="n">
        <f aca="false">IF(D719="","",IF(L719&lt;=$B$16,1,IF(L719&gt;=$B$17,$B$21,MATCH(L719,Aux_CAV!$A$2:$A$121,1))))</f>
        <v>7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0.0790936484262371</v>
      </c>
      <c r="E720" s="16" t="n">
        <f aca="false">IF(D720="","",D720*$B$15)</f>
        <v>0.205010736720807</v>
      </c>
      <c r="F720" s="16" t="n">
        <f aca="false" t="array" ref="F720:F720">IF(D720="","",IFERROR(INDEX(Dados_Evap!$C$2:$N$15,MATCH($B$9,Dados_Evap!$A$2:$A$15,0),C720),0))</f>
        <v>165.6</v>
      </c>
      <c r="G720" s="16" t="n">
        <f aca="false">IF(F720="","",F720/1000)</f>
        <v>0.1656</v>
      </c>
      <c r="H720" s="16" t="n">
        <f aca="false">IF(D720="","",MAX(0,MIN($B$8,IFERROR(LOOKUP(2,1/($U$24:U719&lt;&gt;""),$U$24:U719),$B$11))))</f>
        <v>17.8214438947574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1.16464090825223</v>
      </c>
      <c r="J720" s="16" t="n">
        <f aca="false">IF(D720="","",$B$12)</f>
        <v>0.25</v>
      </c>
      <c r="K720" s="16" t="n">
        <f aca="false">IF(J720="","",J720*$B$15)</f>
        <v>0.648</v>
      </c>
      <c r="L720" s="16" t="n">
        <f aca="false">IF(D720="","",H720+E720-K720-G720*I720)</f>
        <v>17.1855900970716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1.1526937596527</v>
      </c>
      <c r="N720" s="16" t="n">
        <f aca="false">IF(D720="","",(I720+M720)/2)</f>
        <v>1.15866733395246</v>
      </c>
      <c r="O720" s="16" t="n">
        <f aca="false">IF(D720="","",G720*N720)</f>
        <v>0.191875310502528</v>
      </c>
      <c r="P720" s="16" t="n">
        <f aca="false">IF(D720="","",H720+E720-K720-O720)</f>
        <v>17.1865793209757</v>
      </c>
      <c r="Q720" s="16" t="n">
        <f aca="false">IF(D720="","",IF(P720&gt;=0,K720,MAX(0,K720+P720)))</f>
        <v>0.648</v>
      </c>
      <c r="R720" s="16" t="n">
        <f aca="false">IF(D720="","",Q720/$B$15)</f>
        <v>0.25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17.1865793209757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80.6881658261768</v>
      </c>
      <c r="Z720" s="18" t="n">
        <f aca="false">IF(D720="","",MAX(0,IF(P720&gt;=0,P720,IF(K720+P720&gt;=0,0,P720+K720))))</f>
        <v>17.1865793209757</v>
      </c>
      <c r="AA720" s="18" t="n">
        <f aca="false">IF(D720="","",IF(H720&lt;=$B$16,1,IF(H720&gt;=$B$17,$B$21,MATCH(H720,Aux_CAV!$A$2:$A$121,1))))</f>
        <v>7</v>
      </c>
      <c r="AB720" s="18" t="n">
        <f aca="false">IF(D720="","",IF(L720&lt;=$B$16,1,IF(L720&gt;=$B$17,$B$21,MATCH(L720,Aux_CAV!$A$2:$A$121,1))))</f>
        <v>7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0.149843243977432</v>
      </c>
      <c r="E721" s="16" t="n">
        <f aca="false">IF(D721="","",D721*$B$15)</f>
        <v>0.388393688389504</v>
      </c>
      <c r="F721" s="16" t="n">
        <f aca="false" t="array" ref="F721:F721">IF(D721="","",IFERROR(INDEX(Dados_Evap!$C$2:$N$15,MATCH($B$9,Dados_Evap!$A$2:$A$15,0),C721),0))</f>
        <v>124.9</v>
      </c>
      <c r="G721" s="16" t="n">
        <f aca="false">IF(F721="","",F721/1000)</f>
        <v>0.1249</v>
      </c>
      <c r="H721" s="16" t="n">
        <f aca="false">IF(D721="","",MAX(0,MIN($B$8,IFERROR(LOOKUP(2,1/($U$24:U720&lt;&gt;""),$U$24:U720),$B$11))))</f>
        <v>17.1865793209757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1.15271234632313</v>
      </c>
      <c r="J721" s="16" t="n">
        <f aca="false">IF(D721="","",$B$12)</f>
        <v>0.25</v>
      </c>
      <c r="K721" s="16" t="n">
        <f aca="false">IF(J721="","",J721*$B$15)</f>
        <v>0.648</v>
      </c>
      <c r="L721" s="16" t="n">
        <f aca="false">IF(D721="","",H721+E721-K721-G721*I721)</f>
        <v>16.7829992373094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1.14512942199538</v>
      </c>
      <c r="N721" s="16" t="n">
        <f aca="false">IF(D721="","",(I721+M721)/2)</f>
        <v>1.14892088415925</v>
      </c>
      <c r="O721" s="16" t="n">
        <f aca="false">IF(D721="","",G721*N721)</f>
        <v>0.143500218431491</v>
      </c>
      <c r="P721" s="16" t="n">
        <f aca="false">IF(D721="","",H721+E721-K721-O721)</f>
        <v>16.7834727909337</v>
      </c>
      <c r="Q721" s="16" t="n">
        <f aca="false">IF(D721="","",IF(P721&gt;=0,K721,MAX(0,K721+P721)))</f>
        <v>0.648</v>
      </c>
      <c r="R721" s="16" t="n">
        <f aca="false">IF(D721="","",Q721/$B$15)</f>
        <v>0.25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16.7834727909337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78.7956469057919</v>
      </c>
      <c r="Z721" s="18" t="n">
        <f aca="false">IF(D721="","",MAX(0,IF(P721&gt;=0,P721,IF(K721+P721&gt;=0,0,P721+K721))))</f>
        <v>16.7834727909337</v>
      </c>
      <c r="AA721" s="18" t="n">
        <f aca="false">IF(D721="","",IF(H721&lt;=$B$16,1,IF(H721&gt;=$B$17,$B$21,MATCH(H721,Aux_CAV!$A$2:$A$121,1))))</f>
        <v>7</v>
      </c>
      <c r="AB721" s="18" t="n">
        <f aca="false">IF(D721="","",IF(L721&lt;=$B$16,1,IF(L721&gt;=$B$17,$B$21,MATCH(L721,Aux_CAV!$A$2:$A$121,1))))</f>
        <v>7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1.12310675701961</v>
      </c>
      <c r="E722" s="16" t="n">
        <f aca="false">IF(D722="","",D722*$B$15)</f>
        <v>2.91109271419483</v>
      </c>
      <c r="F722" s="16" t="n">
        <f aca="false" t="array" ref="F722:F722">IF(D722="","",IFERROR(INDEX(Dados_Evap!$C$2:$N$15,MATCH($B$9,Dados_Evap!$A$2:$A$15,0),C722),0))</f>
        <v>88.2</v>
      </c>
      <c r="G722" s="16" t="n">
        <f aca="false">IF(F722="","",F722/1000)</f>
        <v>0.0882</v>
      </c>
      <c r="H722" s="16" t="n">
        <f aca="false">IF(D722="","",MAX(0,MIN($B$8,IFERROR(LOOKUP(2,1/($U$24:U721&lt;&gt;""),$U$24:U721),$B$11))))</f>
        <v>16.7834727909337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1.14513831966264</v>
      </c>
      <c r="J722" s="16" t="n">
        <f aca="false">IF(D722="","",$B$12)</f>
        <v>0.25</v>
      </c>
      <c r="K722" s="16" t="n">
        <f aca="false">IF(J722="","",J722*$B$15)</f>
        <v>0.648</v>
      </c>
      <c r="L722" s="16" t="n">
        <f aca="false">IF(D722="","",H722+E722-K722-G722*I722)</f>
        <v>18.9455643053343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1.18576216857622</v>
      </c>
      <c r="N722" s="16" t="n">
        <f aca="false">IF(D722="","",(I722+M722)/2)</f>
        <v>1.16545024411943</v>
      </c>
      <c r="O722" s="16" t="n">
        <f aca="false">IF(D722="","",G722*N722)</f>
        <v>0.102792711531333</v>
      </c>
      <c r="P722" s="16" t="n">
        <f aca="false">IF(D722="","",H722+E722-K722-O722)</f>
        <v>18.9437727935972</v>
      </c>
      <c r="Q722" s="16" t="n">
        <f aca="false">IF(D722="","",IF(P722&gt;=0,K722,MAX(0,K722+P722)))</f>
        <v>0.648</v>
      </c>
      <c r="R722" s="16" t="n">
        <f aca="false">IF(D722="","",Q722/$B$15)</f>
        <v>0.25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18.9437727935972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88.9379004394234</v>
      </c>
      <c r="Z722" s="18" t="n">
        <f aca="false">IF(D722="","",MAX(0,IF(P722&gt;=0,P722,IF(K722+P722&gt;=0,0,P722+K722))))</f>
        <v>18.9437727935972</v>
      </c>
      <c r="AA722" s="18" t="n">
        <f aca="false">IF(D722="","",IF(H722&lt;=$B$16,1,IF(H722&gt;=$B$17,$B$21,MATCH(H722,Aux_CAV!$A$2:$A$121,1))))</f>
        <v>7</v>
      </c>
      <c r="AB722" s="18" t="n">
        <f aca="false">IF(D722="","",IF(L722&lt;=$B$16,1,IF(L722&gt;=$B$17,$B$21,MATCH(L722,Aux_CAV!$A$2:$A$121,1))))</f>
        <v>7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1.5658807203249</v>
      </c>
      <c r="E723" s="16" t="n">
        <f aca="false">IF(D723="","",D723*$B$15)</f>
        <v>4.05876282708214</v>
      </c>
      <c r="F723" s="16" t="n">
        <f aca="false" t="array" ref="F723:F723">IF(D723="","",IFERROR(INDEX(Dados_Evap!$C$2:$N$15,MATCH($B$9,Dados_Evap!$A$2:$A$15,0),C723),0))</f>
        <v>88.2</v>
      </c>
      <c r="G723" s="16" t="n">
        <f aca="false">IF(F723="","",F723/1000)</f>
        <v>0.0882</v>
      </c>
      <c r="H723" s="16" t="n">
        <f aca="false">IF(D723="","",MAX(0,MIN($B$8,IFERROR(LOOKUP(2,1/($U$24:U722&lt;&gt;""),$U$24:U722),$B$11))))</f>
        <v>18.9437727935972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1.18572850760412</v>
      </c>
      <c r="J723" s="16" t="n">
        <f aca="false">IF(D723="","",$B$12)</f>
        <v>0.25</v>
      </c>
      <c r="K723" s="16" t="n">
        <f aca="false">IF(J723="","",J723*$B$15)</f>
        <v>0.648</v>
      </c>
      <c r="L723" s="16" t="n">
        <f aca="false">IF(D723="","",H723+E723-K723-G723*I723)</f>
        <v>22.2499543663086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1.24583257277181</v>
      </c>
      <c r="N723" s="16" t="n">
        <f aca="false">IF(D723="","",(I723+M723)/2)</f>
        <v>1.21578054018797</v>
      </c>
      <c r="O723" s="16" t="n">
        <f aca="false">IF(D723="","",G723*N723)</f>
        <v>0.107231843644579</v>
      </c>
      <c r="P723" s="16" t="n">
        <f aca="false">IF(D723="","",H723+E723-K723-O723)</f>
        <v>22.2473037770347</v>
      </c>
      <c r="Q723" s="16" t="n">
        <f aca="false">IF(D723="","",IF(P723&gt;=0,K723,MAX(0,K723+P723)))</f>
        <v>0.648</v>
      </c>
      <c r="R723" s="16" t="n">
        <f aca="false">IF(D723="","",Q723/$B$15)</f>
        <v>0.25</v>
      </c>
      <c r="S723" s="16" t="n">
        <f aca="false">IF(D723="","",MAX(0,J723-R723))</f>
        <v>0</v>
      </c>
      <c r="T723" s="16" t="n">
        <f aca="false">IF(D723="","",MAX(0,Z723-$B$8))</f>
        <v>0.94730377703474</v>
      </c>
      <c r="U723" s="16" t="n">
        <f aca="false">IF(D723="","",MAX(0,MIN($B$8,Z723)))</f>
        <v>21.3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22.2473037770347</v>
      </c>
      <c r="AA723" s="18" t="n">
        <f aca="false">IF(D723="","",IF(H723&lt;=$B$16,1,IF(H723&gt;=$B$17,$B$21,MATCH(H723,Aux_CAV!$A$2:$A$121,1))))</f>
        <v>7</v>
      </c>
      <c r="AB723" s="18" t="n">
        <f aca="false">IF(D723="","",IF(L723&lt;=$B$16,1,IF(L723&gt;=$B$17,$B$21,MATCH(L723,Aux_CAV!$A$2:$A$121,1))))</f>
        <v>8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1.71399796522584</v>
      </c>
      <c r="E724" s="16" t="n">
        <f aca="false">IF(D724="","",D724*$B$15)</f>
        <v>4.44268272586538</v>
      </c>
      <c r="F724" s="16" t="n">
        <f aca="false" t="array" ref="F724:F724">IF(D724="","",IFERROR(INDEX(Dados_Evap!$C$2:$N$15,MATCH($B$9,Dados_Evap!$A$2:$A$15,0),C724),0))</f>
        <v>83.9</v>
      </c>
      <c r="G724" s="16" t="n">
        <f aca="false">IF(F724="","",F724/1000)</f>
        <v>0.0839</v>
      </c>
      <c r="H724" s="16" t="n">
        <f aca="false">IF(D724="","",MAX(0,MIN($B$8,IFERROR(LOOKUP(2,1/($U$24:U723&lt;&gt;""),$U$24:U723),$B$11))))</f>
        <v>21.3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1.23</v>
      </c>
      <c r="J724" s="16" t="n">
        <f aca="false">IF(D724="","",$B$12)</f>
        <v>0.25</v>
      </c>
      <c r="K724" s="16" t="n">
        <f aca="false">IF(J724="","",J724*$B$15)</f>
        <v>0.648</v>
      </c>
      <c r="L724" s="16" t="n">
        <f aca="false">IF(D724="","",H724+E724-K724-G724*I724)</f>
        <v>24.9914857258654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1.3097657745335</v>
      </c>
      <c r="N724" s="16" t="n">
        <f aca="false">IF(D724="","",(I724+M724)/2)</f>
        <v>1.26988288726675</v>
      </c>
      <c r="O724" s="16" t="n">
        <f aca="false">IF(D724="","",G724*N724)</f>
        <v>0.10654317424168</v>
      </c>
      <c r="P724" s="16" t="n">
        <f aca="false">IF(D724="","",H724+E724-K724-O724)</f>
        <v>24.9881395516237</v>
      </c>
      <c r="Q724" s="16" t="n">
        <f aca="false">IF(D724="","",IF(P724&gt;=0,K724,MAX(0,K724+P724)))</f>
        <v>0.648</v>
      </c>
      <c r="R724" s="16" t="n">
        <f aca="false">IF(D724="","",Q724/$B$15)</f>
        <v>0.25</v>
      </c>
      <c r="S724" s="16" t="n">
        <f aca="false">IF(D724="","",MAX(0,J724-R724))</f>
        <v>0</v>
      </c>
      <c r="T724" s="16" t="n">
        <f aca="false">IF(D724="","",MAX(0,Z724-$B$8))</f>
        <v>3.6881395516237</v>
      </c>
      <c r="U724" s="16" t="n">
        <f aca="false">IF(D724="","",MAX(0,MIN($B$8,Z724)))</f>
        <v>21.3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24.9881395516237</v>
      </c>
      <c r="AA724" s="18" t="n">
        <f aca="false">IF(D724="","",IF(H724&lt;=$B$16,1,IF(H724&gt;=$B$17,$B$21,MATCH(H724,Aux_CAV!$A$2:$A$121,1))))</f>
        <v>8</v>
      </c>
      <c r="AB724" s="18" t="n">
        <f aca="false">IF(D724="","",IF(L724&lt;=$B$16,1,IF(L724&gt;=$B$17,$B$21,MATCH(L724,Aux_CAV!$A$2:$A$121,1))))</f>
        <v>9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0.288639153259489</v>
      </c>
      <c r="E725" s="16" t="n">
        <f aca="false">IF(D725="","",D725*$B$15)</f>
        <v>0.748152685248596</v>
      </c>
      <c r="F725" s="16" t="n">
        <f aca="false" t="array" ref="F725:F725">IF(D725="","",IFERROR(INDEX(Dados_Evap!$C$2:$N$15,MATCH($B$9,Dados_Evap!$A$2:$A$15,0),C725),0))</f>
        <v>104.7</v>
      </c>
      <c r="G725" s="16" t="n">
        <f aca="false">IF(F725="","",F725/1000)</f>
        <v>0.1047</v>
      </c>
      <c r="H725" s="16" t="n">
        <f aca="false">IF(D725="","",MAX(0,MIN($B$8,IFERROR(LOOKUP(2,1/($U$24:U724&lt;&gt;""),$U$24:U724),$B$11))))</f>
        <v>21.3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1.23</v>
      </c>
      <c r="J725" s="16" t="n">
        <f aca="false">IF(D725="","",$B$12)</f>
        <v>0.25</v>
      </c>
      <c r="K725" s="16" t="n">
        <f aca="false">IF(J725="","",J725*$B$15)</f>
        <v>0.648</v>
      </c>
      <c r="L725" s="16" t="n">
        <f aca="false">IF(D725="","",H725+E725-K725-G725*I725)</f>
        <v>21.2713716852486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1.22946209847022</v>
      </c>
      <c r="N725" s="16" t="n">
        <f aca="false">IF(D725="","",(I725+M725)/2)</f>
        <v>1.22973104923511</v>
      </c>
      <c r="O725" s="16" t="n">
        <f aca="false">IF(D725="","",G725*N725)</f>
        <v>0.128752840854916</v>
      </c>
      <c r="P725" s="16" t="n">
        <f aca="false">IF(D725="","",H725+E725-K725-O725)</f>
        <v>21.2713998443937</v>
      </c>
      <c r="Q725" s="16" t="n">
        <f aca="false">IF(D725="","",IF(P725&gt;=0,K725,MAX(0,K725+P725)))</f>
        <v>0.648</v>
      </c>
      <c r="R725" s="16" t="n">
        <f aca="false">IF(D725="","",Q725/$B$15)</f>
        <v>0.25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21.2713998443937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99.8657269689844</v>
      </c>
      <c r="Z725" s="18" t="n">
        <f aca="false">IF(D725="","",MAX(0,IF(P725&gt;=0,P725,IF(K725+P725&gt;=0,0,P725+K725))))</f>
        <v>21.2713998443937</v>
      </c>
      <c r="AA725" s="18" t="n">
        <f aca="false">IF(D725="","",IF(H725&lt;=$B$16,1,IF(H725&gt;=$B$17,$B$21,MATCH(H725,Aux_CAV!$A$2:$A$121,1))))</f>
        <v>8</v>
      </c>
      <c r="AB725" s="18" t="n">
        <f aca="false">IF(D725="","",IF(L725&lt;=$B$16,1,IF(L725&gt;=$B$17,$B$21,MATCH(L725,Aux_CAV!$A$2:$A$121,1))))</f>
        <v>7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0.347737917134189</v>
      </c>
      <c r="E726" s="16" t="n">
        <f aca="false">IF(D726="","",D726*$B$15)</f>
        <v>0.901336681211818</v>
      </c>
      <c r="F726" s="16" t="n">
        <f aca="false" t="array" ref="F726:F726">IF(D726="","",IFERROR(INDEX(Dados_Evap!$C$2:$N$15,MATCH($B$9,Dados_Evap!$A$2:$A$15,0),C726),0))</f>
        <v>145.2</v>
      </c>
      <c r="G726" s="16" t="n">
        <f aca="false">IF(F726="","",F726/1000)</f>
        <v>0.1452</v>
      </c>
      <c r="H726" s="16" t="n">
        <f aca="false">IF(D726="","",MAX(0,MIN($B$8,IFERROR(LOOKUP(2,1/($U$24:U725&lt;&gt;""),$U$24:U725),$B$11))))</f>
        <v>21.2713998443937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1.22946262755646</v>
      </c>
      <c r="J726" s="16" t="n">
        <f aca="false">IF(D726="","",$B$12)</f>
        <v>0.25</v>
      </c>
      <c r="K726" s="16" t="n">
        <f aca="false">IF(J726="","",J726*$B$15)</f>
        <v>0.648</v>
      </c>
      <c r="L726" s="16" t="n">
        <f aca="false">IF(D726="","",H726+E726-K726-G726*I726)</f>
        <v>21.3462185520843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1.2307703092014</v>
      </c>
      <c r="N726" s="16" t="n">
        <f aca="false">IF(D726="","",(I726+M726)/2)</f>
        <v>1.23011646837893</v>
      </c>
      <c r="O726" s="16" t="n">
        <f aca="false">IF(D726="","",G726*N726)</f>
        <v>0.178612911208621</v>
      </c>
      <c r="P726" s="16" t="n">
        <f aca="false">IF(D726="","",H726+E726-K726-O726)</f>
        <v>21.3461236143969</v>
      </c>
      <c r="Q726" s="16" t="n">
        <f aca="false">IF(D726="","",IF(P726&gt;=0,K726,MAX(0,K726+P726)))</f>
        <v>0.648</v>
      </c>
      <c r="R726" s="16" t="n">
        <f aca="false">IF(D726="","",Q726/$B$15)</f>
        <v>0.25</v>
      </c>
      <c r="S726" s="16" t="n">
        <f aca="false">IF(D726="","",MAX(0,J726-R726))</f>
        <v>0</v>
      </c>
      <c r="T726" s="16" t="n">
        <f aca="false">IF(D726="","",MAX(0,Z726-$B$8))</f>
        <v>0.0461236143968762</v>
      </c>
      <c r="U726" s="16" t="n">
        <f aca="false">IF(D726="","",MAX(0,MIN($B$8,Z726)))</f>
        <v>21.3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21.3461236143969</v>
      </c>
      <c r="AA726" s="18" t="n">
        <f aca="false">IF(D726="","",IF(H726&lt;=$B$16,1,IF(H726&gt;=$B$17,$B$21,MATCH(H726,Aux_CAV!$A$2:$A$121,1))))</f>
        <v>7</v>
      </c>
      <c r="AB726" s="18" t="n">
        <f aca="false">IF(D726="","",IF(L726&lt;=$B$16,1,IF(L726&gt;=$B$17,$B$21,MATCH(L726,Aux_CAV!$A$2:$A$121,1))))</f>
        <v>8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0.144031775086447</v>
      </c>
      <c r="E727" s="16" t="n">
        <f aca="false">IF(D727="","",D727*$B$15)</f>
        <v>0.373330361024071</v>
      </c>
      <c r="F727" s="16" t="n">
        <f aca="false" t="array" ref="F727:F727">IF(D727="","",IFERROR(INDEX(Dados_Evap!$C$2:$N$15,MATCH($B$9,Dados_Evap!$A$2:$A$15,0),C727),0))</f>
        <v>180.9</v>
      </c>
      <c r="G727" s="16" t="n">
        <f aca="false">IF(F727="","",F727/1000)</f>
        <v>0.1809</v>
      </c>
      <c r="H727" s="16" t="n">
        <f aca="false">IF(D727="","",MAX(0,MIN($B$8,IFERROR(LOOKUP(2,1/($U$24:U726&lt;&gt;""),$U$24:U726),$B$11))))</f>
        <v>21.3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1.23</v>
      </c>
      <c r="J727" s="16" t="n">
        <f aca="false">IF(D727="","",$B$12)</f>
        <v>0.25</v>
      </c>
      <c r="K727" s="16" t="n">
        <f aca="false">IF(J727="","",J727*$B$15)</f>
        <v>0.648</v>
      </c>
      <c r="L727" s="16" t="n">
        <f aca="false">IF(D727="","",H727+E727-K727-G727*I727)</f>
        <v>20.8028233610241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1.22065847651193</v>
      </c>
      <c r="N727" s="16" t="n">
        <f aca="false">IF(D727="","",(I727+M727)/2)</f>
        <v>1.22532923825597</v>
      </c>
      <c r="O727" s="16" t="n">
        <f aca="false">IF(D727="","",G727*N727)</f>
        <v>0.221662059200505</v>
      </c>
      <c r="P727" s="16" t="n">
        <f aca="false">IF(D727="","",H727+E727-K727-O727)</f>
        <v>20.8036683018236</v>
      </c>
      <c r="Q727" s="16" t="n">
        <f aca="false">IF(D727="","",IF(P727&gt;=0,K727,MAX(0,K727+P727)))</f>
        <v>0.648</v>
      </c>
      <c r="R727" s="16" t="n">
        <f aca="false">IF(D727="","",Q727/$B$15)</f>
        <v>0.25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20.8036683018236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97.6698042339135</v>
      </c>
      <c r="Z727" s="18" t="n">
        <f aca="false">IF(D727="","",MAX(0,IF(P727&gt;=0,P727,IF(K727+P727&gt;=0,0,P727+K727))))</f>
        <v>20.8036683018236</v>
      </c>
      <c r="AA727" s="18" t="n">
        <f aca="false">IF(D727="","",IF(H727&lt;=$B$16,1,IF(H727&gt;=$B$17,$B$21,MATCH(H727,Aux_CAV!$A$2:$A$121,1))))</f>
        <v>8</v>
      </c>
      <c r="AB727" s="18" t="n">
        <f aca="false">IF(D727="","",IF(L727&lt;=$B$16,1,IF(L727&gt;=$B$17,$B$21,MATCH(L727,Aux_CAV!$A$2:$A$121,1))))</f>
        <v>7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0.0977413984921721</v>
      </c>
      <c r="E728" s="16" t="n">
        <f aca="false">IF(D728="","",D728*$B$15)</f>
        <v>0.25334570489171</v>
      </c>
      <c r="F728" s="16" t="n">
        <f aca="false" t="array" ref="F728:F728">IF(D728="","",IFERROR(INDEX(Dados_Evap!$C$2:$N$15,MATCH($B$9,Dados_Evap!$A$2:$A$15,0),C728),0))</f>
        <v>208.9</v>
      </c>
      <c r="G728" s="16" t="n">
        <f aca="false">IF(F728="","",F728/1000)</f>
        <v>0.2089</v>
      </c>
      <c r="H728" s="16" t="n">
        <f aca="false">IF(D728="","",MAX(0,MIN($B$8,IFERROR(LOOKUP(2,1/($U$24:U727&lt;&gt;""),$U$24:U727),$B$11))))</f>
        <v>20.8036683018236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1.22067435222633</v>
      </c>
      <c r="J728" s="16" t="n">
        <f aca="false">IF(D728="","",$B$12)</f>
        <v>0.25</v>
      </c>
      <c r="K728" s="16" t="n">
        <f aca="false">IF(J728="","",J728*$B$15)</f>
        <v>0.648</v>
      </c>
      <c r="L728" s="16" t="n">
        <f aca="false">IF(D728="","",H728+E728-K728-G728*I728)</f>
        <v>20.1540151345352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1.20846792528354</v>
      </c>
      <c r="N728" s="16" t="n">
        <f aca="false">IF(D728="","",(I728+M728)/2)</f>
        <v>1.21457113875494</v>
      </c>
      <c r="O728" s="16" t="n">
        <f aca="false">IF(D728="","",G728*N728)</f>
        <v>0.253723910885906</v>
      </c>
      <c r="P728" s="16" t="n">
        <f aca="false">IF(D728="","",H728+E728-K728-O728)</f>
        <v>20.1552900958294</v>
      </c>
      <c r="Q728" s="16" t="n">
        <f aca="false">IF(D728="","",IF(P728&gt;=0,K728,MAX(0,K728+P728)))</f>
        <v>0.648</v>
      </c>
      <c r="R728" s="16" t="n">
        <f aca="false">IF(D728="","",Q728/$B$15)</f>
        <v>0.25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20.1552900958294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94.6257750977905</v>
      </c>
      <c r="Z728" s="18" t="n">
        <f aca="false">IF(D728="","",MAX(0,IF(P728&gt;=0,P728,IF(K728+P728&gt;=0,0,P728+K728))))</f>
        <v>20.1552900958294</v>
      </c>
      <c r="AA728" s="18" t="n">
        <f aca="false">IF(D728="","",IF(H728&lt;=$B$16,1,IF(H728&gt;=$B$17,$B$21,MATCH(H728,Aux_CAV!$A$2:$A$121,1))))</f>
        <v>7</v>
      </c>
      <c r="AB728" s="18" t="n">
        <f aca="false">IF(D728="","",IF(L728&lt;=$B$16,1,IF(L728&gt;=$B$17,$B$21,MATCH(L728,Aux_CAV!$A$2:$A$121,1))))</f>
        <v>7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0.0641748621366244</v>
      </c>
      <c r="E729" s="16" t="n">
        <f aca="false">IF(D729="","",D729*$B$15)</f>
        <v>0.16634124265813</v>
      </c>
      <c r="F729" s="16" t="n">
        <f aca="false" t="array" ref="F729:F729">IF(D729="","",IFERROR(INDEX(Dados_Evap!$C$2:$N$15,MATCH($B$9,Dados_Evap!$A$2:$A$15,0),C729),0))</f>
        <v>235.9</v>
      </c>
      <c r="G729" s="16" t="n">
        <f aca="false">IF(F729="","",F729/1000)</f>
        <v>0.2359</v>
      </c>
      <c r="H729" s="16" t="n">
        <f aca="false">IF(D729="","",MAX(0,MIN($B$8,IFERROR(LOOKUP(2,1/($U$24:U728&lt;&gt;""),$U$24:U728),$B$11))))</f>
        <v>20.1552900958294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1.20849188071496</v>
      </c>
      <c r="J729" s="16" t="n">
        <f aca="false">IF(D729="","",$B$12)</f>
        <v>0.25</v>
      </c>
      <c r="K729" s="16" t="n">
        <f aca="false">IF(J729="","",J729*$B$15)</f>
        <v>0.648</v>
      </c>
      <c r="L729" s="16" t="n">
        <f aca="false">IF(D729="","",H729+E729-K729-G729*I729)</f>
        <v>19.3885481038268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1.19408545497796</v>
      </c>
      <c r="N729" s="16" t="n">
        <f aca="false">IF(D729="","",(I729+M729)/2)</f>
        <v>1.20128866784646</v>
      </c>
      <c r="O729" s="16" t="n">
        <f aca="false">IF(D729="","",G729*N729)</f>
        <v>0.283383996744979</v>
      </c>
      <c r="P729" s="16" t="n">
        <f aca="false">IF(D729="","",H729+E729-K729-O729)</f>
        <v>19.3902473417425</v>
      </c>
      <c r="Q729" s="16" t="n">
        <f aca="false">IF(D729="","",IF(P729&gt;=0,K729,MAX(0,K729+P729)))</f>
        <v>0.648</v>
      </c>
      <c r="R729" s="16" t="n">
        <f aca="false">IF(D729="","",Q729/$B$15)</f>
        <v>0.25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19.3902473417425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91.0340250786034</v>
      </c>
      <c r="Z729" s="18" t="n">
        <f aca="false">IF(D729="","",MAX(0,IF(P729&gt;=0,P729,IF(K729+P729&gt;=0,0,P729+K729))))</f>
        <v>19.3902473417425</v>
      </c>
      <c r="AA729" s="18" t="n">
        <f aca="false">IF(D729="","",IF(H729&lt;=$B$16,1,IF(H729&gt;=$B$17,$B$21,MATCH(H729,Aux_CAV!$A$2:$A$121,1))))</f>
        <v>7</v>
      </c>
      <c r="AB729" s="18" t="n">
        <f aca="false">IF(D729="","",IF(L729&lt;=$B$16,1,IF(L729&gt;=$B$17,$B$21,MATCH(L729,Aux_CAV!$A$2:$A$121,1))))</f>
        <v>7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0.0311788919470115</v>
      </c>
      <c r="E730" s="16" t="n">
        <f aca="false">IF(D730="","",D730*$B$15)</f>
        <v>0.0808156879266538</v>
      </c>
      <c r="F730" s="16" t="n">
        <f aca="false" t="array" ref="F730:F730">IF(D730="","",IFERROR(INDEX(Dados_Evap!$C$2:$N$15,MATCH($B$9,Dados_Evap!$A$2:$A$15,0),C730),0))</f>
        <v>225.9</v>
      </c>
      <c r="G730" s="16" t="n">
        <f aca="false">IF(F730="","",F730/1000)</f>
        <v>0.2259</v>
      </c>
      <c r="H730" s="16" t="n">
        <f aca="false">IF(D730="","",MAX(0,MIN($B$8,IFERROR(LOOKUP(2,1/($U$24:U729&lt;&gt;""),$U$24:U729),$B$11))))</f>
        <v>19.3902473417425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1.19411738220393</v>
      </c>
      <c r="J730" s="16" t="n">
        <f aca="false">IF(D730="","",$B$12)</f>
        <v>0.25</v>
      </c>
      <c r="K730" s="16" t="n">
        <f aca="false">IF(J730="","",J730*$B$15)</f>
        <v>0.648</v>
      </c>
      <c r="L730" s="16" t="n">
        <f aca="false">IF(D730="","",H730+E730-K730-G730*I730)</f>
        <v>18.5533119130293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1.1783920818732</v>
      </c>
      <c r="N730" s="16" t="n">
        <f aca="false">IF(D730="","",(I730+M730)/2)</f>
        <v>1.18625473203857</v>
      </c>
      <c r="O730" s="16" t="n">
        <f aca="false">IF(D730="","",G730*N730)</f>
        <v>0.267974943967512</v>
      </c>
      <c r="P730" s="16" t="n">
        <f aca="false">IF(D730="","",H730+E730-K730-O730)</f>
        <v>18.5550880857017</v>
      </c>
      <c r="Q730" s="16" t="n">
        <f aca="false">IF(D730="","",IF(P730&gt;=0,K730,MAX(0,K730+P730)))</f>
        <v>0.648</v>
      </c>
      <c r="R730" s="16" t="n">
        <f aca="false">IF(D730="","",Q730/$B$15)</f>
        <v>0.25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18.5550880857017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87.1130896042332</v>
      </c>
      <c r="Z730" s="18" t="n">
        <f aca="false">IF(D730="","",MAX(0,IF(P730&gt;=0,P730,IF(K730+P730&gt;=0,0,P730+K730))))</f>
        <v>18.5550880857017</v>
      </c>
      <c r="AA730" s="18" t="n">
        <f aca="false">IF(D730="","",IF(H730&lt;=$B$16,1,IF(H730&gt;=$B$17,$B$21,MATCH(H730,Aux_CAV!$A$2:$A$121,1))))</f>
        <v>7</v>
      </c>
      <c r="AB730" s="18" t="n">
        <f aca="false">IF(D730="","",IF(L730&lt;=$B$16,1,IF(L730&gt;=$B$17,$B$21,MATCH(L730,Aux_CAV!$A$2:$A$121,1))))</f>
        <v>7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0.0784803291033142</v>
      </c>
      <c r="E731" s="16" t="n">
        <f aca="false">IF(D731="","",D731*$B$15)</f>
        <v>0.20342101303579</v>
      </c>
      <c r="F731" s="16" t="n">
        <f aca="false" t="array" ref="F731:F731">IF(D731="","",IFERROR(INDEX(Dados_Evap!$C$2:$N$15,MATCH($B$9,Dados_Evap!$A$2:$A$15,0),C731),0))</f>
        <v>206</v>
      </c>
      <c r="G731" s="16" t="n">
        <f aca="false">IF(F731="","",F731/1000)</f>
        <v>0.206</v>
      </c>
      <c r="H731" s="16" t="n">
        <f aca="false">IF(D731="","",MAX(0,MIN($B$8,IFERROR(LOOKUP(2,1/($U$24:U730&lt;&gt;""),$U$24:U730),$B$11))))</f>
        <v>18.5550880857017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1.1784254546374</v>
      </c>
      <c r="J731" s="16" t="n">
        <f aca="false">IF(D731="","",$B$12)</f>
        <v>0.25</v>
      </c>
      <c r="K731" s="16" t="n">
        <f aca="false">IF(J731="","",J731*$B$15)</f>
        <v>0.648</v>
      </c>
      <c r="L731" s="16" t="n">
        <f aca="false">IF(D731="","",H731+E731-K731-G731*I731)</f>
        <v>17.8677534550822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1.16551102525207</v>
      </c>
      <c r="N731" s="16" t="n">
        <f aca="false">IF(D731="","",(I731+M731)/2)</f>
        <v>1.17196823994473</v>
      </c>
      <c r="O731" s="16" t="n">
        <f aca="false">IF(D731="","",G731*N731)</f>
        <v>0.241425457428615</v>
      </c>
      <c r="P731" s="16" t="n">
        <f aca="false">IF(D731="","",H731+E731-K731-O731)</f>
        <v>17.8690836413088</v>
      </c>
      <c r="Q731" s="16" t="n">
        <f aca="false">IF(D731="","",IF(P731&gt;=0,K731,MAX(0,K731+P731)))</f>
        <v>0.648</v>
      </c>
      <c r="R731" s="16" t="n">
        <f aca="false">IF(D731="","",Q731/$B$15)</f>
        <v>0.25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17.8690836413088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83.8924114615438</v>
      </c>
      <c r="Z731" s="18" t="n">
        <f aca="false">IF(D731="","",MAX(0,IF(P731&gt;=0,P731,IF(K731+P731&gt;=0,0,P731+K731))))</f>
        <v>17.8690836413088</v>
      </c>
      <c r="AA731" s="18" t="n">
        <f aca="false">IF(D731="","",IF(H731&lt;=$B$16,1,IF(H731&gt;=$B$17,$B$21,MATCH(H731,Aux_CAV!$A$2:$A$121,1))))</f>
        <v>7</v>
      </c>
      <c r="AB731" s="18" t="n">
        <f aca="false">IF(D731="","",IF(L731&lt;=$B$16,1,IF(L731&gt;=$B$17,$B$21,MATCH(L731,Aux_CAV!$A$2:$A$121,1))))</f>
        <v>7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0.0914459505281228</v>
      </c>
      <c r="E732" s="16" t="n">
        <f aca="false">IF(D732="","",D732*$B$15)</f>
        <v>0.237027903768894</v>
      </c>
      <c r="F732" s="16" t="n">
        <f aca="false" t="array" ref="F732:F732">IF(D732="","",IFERROR(INDEX(Dados_Evap!$C$2:$N$15,MATCH($B$9,Dados_Evap!$A$2:$A$15,0),C732),0))</f>
        <v>165.6</v>
      </c>
      <c r="G732" s="16" t="n">
        <f aca="false">IF(F732="","",F732/1000)</f>
        <v>0.1656</v>
      </c>
      <c r="H732" s="16" t="n">
        <f aca="false">IF(D732="","",MAX(0,MIN($B$8,IFERROR(LOOKUP(2,1/($U$24:U731&lt;&gt;""),$U$24:U731),$B$11))))</f>
        <v>17.8690836413088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1.16553601831269</v>
      </c>
      <c r="J732" s="16" t="n">
        <f aca="false">IF(D732="","",$B$12)</f>
        <v>0.25</v>
      </c>
      <c r="K732" s="16" t="n">
        <f aca="false">IF(J732="","",J732*$B$15)</f>
        <v>0.648</v>
      </c>
      <c r="L732" s="16" t="n">
        <f aca="false">IF(D732="","",H732+E732-K732-G732*I732)</f>
        <v>17.2650987804452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1.15418765975784</v>
      </c>
      <c r="N732" s="16" t="n">
        <f aca="false">IF(D732="","",(I732+M732)/2)</f>
        <v>1.15986183903527</v>
      </c>
      <c r="O732" s="16" t="n">
        <f aca="false">IF(D732="","",G732*N732)</f>
        <v>0.19207312054424</v>
      </c>
      <c r="P732" s="16" t="n">
        <f aca="false">IF(D732="","",H732+E732-K732-O732)</f>
        <v>17.2660384245335</v>
      </c>
      <c r="Q732" s="16" t="n">
        <f aca="false">IF(D732="","",IF(P732&gt;=0,K732,MAX(0,K732+P732)))</f>
        <v>0.648</v>
      </c>
      <c r="R732" s="16" t="n">
        <f aca="false">IF(D732="","",Q732/$B$15)</f>
        <v>0.25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17.2660384245335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81.0612132607206</v>
      </c>
      <c r="Z732" s="18" t="n">
        <f aca="false">IF(D732="","",MAX(0,IF(P732&gt;=0,P732,IF(K732+P732&gt;=0,0,P732+K732))))</f>
        <v>17.2660384245335</v>
      </c>
      <c r="AA732" s="18" t="n">
        <f aca="false">IF(D732="","",IF(H732&lt;=$B$16,1,IF(H732&gt;=$B$17,$B$21,MATCH(H732,Aux_CAV!$A$2:$A$121,1))))</f>
        <v>7</v>
      </c>
      <c r="AB732" s="18" t="n">
        <f aca="false">IF(D732="","",IF(L732&lt;=$B$16,1,IF(L732&gt;=$B$17,$B$21,MATCH(L732,Aux_CAV!$A$2:$A$121,1))))</f>
        <v>7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0.268956683422641</v>
      </c>
      <c r="E733" s="16" t="n">
        <f aca="false">IF(D733="","",D733*$B$15)</f>
        <v>0.697135723431486</v>
      </c>
      <c r="F733" s="16" t="n">
        <f aca="false" t="array" ref="F733:F733">IF(D733="","",IFERROR(INDEX(Dados_Evap!$C$2:$N$15,MATCH($B$9,Dados_Evap!$A$2:$A$15,0),C733),0))</f>
        <v>124.9</v>
      </c>
      <c r="G733" s="16" t="n">
        <f aca="false">IF(F733="","",F733/1000)</f>
        <v>0.1249</v>
      </c>
      <c r="H733" s="16" t="n">
        <f aca="false">IF(D733="","",MAX(0,MIN($B$8,IFERROR(LOOKUP(2,1/($U$24:U732&lt;&gt;""),$U$24:U732),$B$11))))</f>
        <v>17.2660384245335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1.15420531486597</v>
      </c>
      <c r="J733" s="16" t="n">
        <f aca="false">IF(D733="","",$B$12)</f>
        <v>0.25</v>
      </c>
      <c r="K733" s="16" t="n">
        <f aca="false">IF(J733="","",J733*$B$15)</f>
        <v>0.648</v>
      </c>
      <c r="L733" s="16" t="n">
        <f aca="false">IF(D733="","",H733+E733-K733-G733*I733)</f>
        <v>17.1710139041382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1.15241988546398</v>
      </c>
      <c r="N733" s="16" t="n">
        <f aca="false">IF(D733="","",(I733+M733)/2)</f>
        <v>1.15331260016497</v>
      </c>
      <c r="O733" s="16" t="n">
        <f aca="false">IF(D733="","",G733*N733)</f>
        <v>0.144048743760605</v>
      </c>
      <c r="P733" s="16" t="n">
        <f aca="false">IF(D733="","",H733+E733-K733-O733)</f>
        <v>17.1711254042044</v>
      </c>
      <c r="Q733" s="16" t="n">
        <f aca="false">IF(D733="","",IF(P733&gt;=0,K733,MAX(0,K733+P733)))</f>
        <v>0.648</v>
      </c>
      <c r="R733" s="16" t="n">
        <f aca="false">IF(D733="","",Q733/$B$15)</f>
        <v>0.25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17.1711254042044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80.6156122263116</v>
      </c>
      <c r="Z733" s="18" t="n">
        <f aca="false">IF(D733="","",MAX(0,IF(P733&gt;=0,P733,IF(K733+P733&gt;=0,0,P733+K733))))</f>
        <v>17.1711254042044</v>
      </c>
      <c r="AA733" s="18" t="n">
        <f aca="false">IF(D733="","",IF(H733&lt;=$B$16,1,IF(H733&gt;=$B$17,$B$21,MATCH(H733,Aux_CAV!$A$2:$A$121,1))))</f>
        <v>7</v>
      </c>
      <c r="AB733" s="18" t="n">
        <f aca="false">IF(D733="","",IF(L733&lt;=$B$16,1,IF(L733&gt;=$B$17,$B$21,MATCH(L733,Aux_CAV!$A$2:$A$121,1))))</f>
        <v>7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0.88490302764632</v>
      </c>
      <c r="E734" s="16" t="n">
        <f aca="false">IF(D734="","",D734*$B$15)</f>
        <v>2.29366864765926</v>
      </c>
      <c r="F734" s="16" t="n">
        <f aca="false" t="array" ref="F734:F734">IF(D734="","",IFERROR(INDEX(Dados_Evap!$C$2:$N$15,MATCH($B$9,Dados_Evap!$A$2:$A$15,0),C734),0))</f>
        <v>88.2</v>
      </c>
      <c r="G734" s="16" t="n">
        <f aca="false">IF(F734="","",F734/1000)</f>
        <v>0.0882</v>
      </c>
      <c r="H734" s="16" t="n">
        <f aca="false">IF(D734="","",MAX(0,MIN($B$8,IFERROR(LOOKUP(2,1/($U$24:U733&lt;&gt;""),$U$24:U733),$B$11))))</f>
        <v>17.1711254042044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1.15242198045478</v>
      </c>
      <c r="J734" s="16" t="n">
        <f aca="false">IF(D734="","",$B$12)</f>
        <v>0.25</v>
      </c>
      <c r="K734" s="16" t="n">
        <f aca="false">IF(J734="","",J734*$B$15)</f>
        <v>0.648</v>
      </c>
      <c r="L734" s="16" t="n">
        <f aca="false">IF(D734="","",H734+E734-K734-G734*I734)</f>
        <v>18.7151504331875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1.18143288914131</v>
      </c>
      <c r="N734" s="16" t="n">
        <f aca="false">IF(D734="","",(I734+M734)/2)</f>
        <v>1.16692743479805</v>
      </c>
      <c r="O734" s="16" t="n">
        <f aca="false">IF(D734="","",G734*N734)</f>
        <v>0.102922999749188</v>
      </c>
      <c r="P734" s="16" t="n">
        <f aca="false">IF(D734="","",H734+E734-K734-O734)</f>
        <v>18.7138710521145</v>
      </c>
      <c r="Q734" s="16" t="n">
        <f aca="false">IF(D734="","",IF(P734&gt;=0,K734,MAX(0,K734+P734)))</f>
        <v>0.648</v>
      </c>
      <c r="R734" s="16" t="n">
        <f aca="false">IF(D734="","",Q734/$B$15)</f>
        <v>0.25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18.7138710521145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87.8585495404434</v>
      </c>
      <c r="Z734" s="18" t="n">
        <f aca="false">IF(D734="","",MAX(0,IF(P734&gt;=0,P734,IF(K734+P734&gt;=0,0,P734+K734))))</f>
        <v>18.7138710521145</v>
      </c>
      <c r="AA734" s="18" t="n">
        <f aca="false">IF(D734="","",IF(H734&lt;=$B$16,1,IF(H734&gt;=$B$17,$B$21,MATCH(H734,Aux_CAV!$A$2:$A$121,1))))</f>
        <v>7</v>
      </c>
      <c r="AB734" s="18" t="n">
        <f aca="false">IF(D734="","",IF(L734&lt;=$B$16,1,IF(L734&gt;=$B$17,$B$21,MATCH(L734,Aux_CAV!$A$2:$A$121,1))))</f>
        <v>7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1.50100716408704</v>
      </c>
      <c r="E735" s="16" t="n">
        <f aca="false">IF(D735="","",D735*$B$15)</f>
        <v>3.89061056931361</v>
      </c>
      <c r="F735" s="16" t="n">
        <f aca="false" t="array" ref="F735:F735">IF(D735="","",IFERROR(INDEX(Dados_Evap!$C$2:$N$15,MATCH($B$9,Dados_Evap!$A$2:$A$15,0),C735),0))</f>
        <v>88.2</v>
      </c>
      <c r="G735" s="16" t="n">
        <f aca="false">IF(F735="","",F735/1000)</f>
        <v>0.0882</v>
      </c>
      <c r="H735" s="16" t="n">
        <f aca="false">IF(D735="","",MAX(0,MIN($B$8,IFERROR(LOOKUP(2,1/($U$24:U734&lt;&gt;""),$U$24:U734),$B$11))))</f>
        <v>18.7138710521145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1.18140885066603</v>
      </c>
      <c r="J735" s="16" t="n">
        <f aca="false">IF(D735="","",$B$12)</f>
        <v>0.25</v>
      </c>
      <c r="K735" s="16" t="n">
        <f aca="false">IF(J735="","",J735*$B$15)</f>
        <v>0.648</v>
      </c>
      <c r="L735" s="16" t="n">
        <f aca="false">IF(D735="","",H735+E735-K735-G735*I735)</f>
        <v>21.8522813607993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1.23920468934666</v>
      </c>
      <c r="N735" s="16" t="n">
        <f aca="false">IF(D735="","",(I735+M735)/2)</f>
        <v>1.21030677000634</v>
      </c>
      <c r="O735" s="16" t="n">
        <f aca="false">IF(D735="","",G735*N735)</f>
        <v>0.10674905711456</v>
      </c>
      <c r="P735" s="16" t="n">
        <f aca="false">IF(D735="","",H735+E735-K735-O735)</f>
        <v>21.8497325643135</v>
      </c>
      <c r="Q735" s="16" t="n">
        <f aca="false">IF(D735="","",IF(P735&gt;=0,K735,MAX(0,K735+P735)))</f>
        <v>0.648</v>
      </c>
      <c r="R735" s="16" t="n">
        <f aca="false">IF(D735="","",Q735/$B$15)</f>
        <v>0.25</v>
      </c>
      <c r="S735" s="16" t="n">
        <f aca="false">IF(D735="","",MAX(0,J735-R735))</f>
        <v>0</v>
      </c>
      <c r="T735" s="16" t="n">
        <f aca="false">IF(D735="","",MAX(0,Z735-$B$8))</f>
        <v>0.549732564313498</v>
      </c>
      <c r="U735" s="16" t="n">
        <f aca="false">IF(D735="","",MAX(0,MIN($B$8,Z735)))</f>
        <v>21.3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21.8497325643135</v>
      </c>
      <c r="AA735" s="18" t="n">
        <f aca="false">IF(D735="","",IF(H735&lt;=$B$16,1,IF(H735&gt;=$B$17,$B$21,MATCH(H735,Aux_CAV!$A$2:$A$121,1))))</f>
        <v>7</v>
      </c>
      <c r="AB735" s="18" t="n">
        <f aca="false">IF(D735="","",IF(L735&lt;=$B$16,1,IF(L735&gt;=$B$17,$B$21,MATCH(L735,Aux_CAV!$A$2:$A$121,1))))</f>
        <v>8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0.891546676813735</v>
      </c>
      <c r="E736" s="16" t="n">
        <f aca="false">IF(D736="","",D736*$B$15)</f>
        <v>2.3108889863012</v>
      </c>
      <c r="F736" s="16" t="n">
        <f aca="false" t="array" ref="F736:F736">IF(D736="","",IFERROR(INDEX(Dados_Evap!$C$2:$N$15,MATCH($B$9,Dados_Evap!$A$2:$A$15,0),C736),0))</f>
        <v>83.9</v>
      </c>
      <c r="G736" s="16" t="n">
        <f aca="false">IF(F736="","",F736/1000)</f>
        <v>0.0839</v>
      </c>
      <c r="H736" s="16" t="n">
        <f aca="false">IF(D736="","",MAX(0,MIN($B$8,IFERROR(LOOKUP(2,1/($U$24:U735&lt;&gt;""),$U$24:U735),$B$11))))</f>
        <v>21.3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1.23</v>
      </c>
      <c r="J736" s="16" t="n">
        <f aca="false">IF(D736="","",$B$12)</f>
        <v>0.25</v>
      </c>
      <c r="K736" s="16" t="n">
        <f aca="false">IF(J736="","",J736*$B$15)</f>
        <v>0.648</v>
      </c>
      <c r="L736" s="16" t="n">
        <f aca="false">IF(D736="","",H736+E736-K736-G736*I736)</f>
        <v>22.8596919863012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1.25862829352447</v>
      </c>
      <c r="N736" s="16" t="n">
        <f aca="false">IF(D736="","",(I736+M736)/2)</f>
        <v>1.24431414676223</v>
      </c>
      <c r="O736" s="16" t="n">
        <f aca="false">IF(D736="","",G736*N736)</f>
        <v>0.104397956913351</v>
      </c>
      <c r="P736" s="16" t="n">
        <f aca="false">IF(D736="","",H736+E736-K736-O736)</f>
        <v>22.8584910293879</v>
      </c>
      <c r="Q736" s="16" t="n">
        <f aca="false">IF(D736="","",IF(P736&gt;=0,K736,MAX(0,K736+P736)))</f>
        <v>0.648</v>
      </c>
      <c r="R736" s="16" t="n">
        <f aca="false">IF(D736="","",Q736/$B$15)</f>
        <v>0.25</v>
      </c>
      <c r="S736" s="16" t="n">
        <f aca="false">IF(D736="","",MAX(0,J736-R736))</f>
        <v>0</v>
      </c>
      <c r="T736" s="16" t="n">
        <f aca="false">IF(D736="","",MAX(0,Z736-$B$8))</f>
        <v>1.55849102938785</v>
      </c>
      <c r="U736" s="16" t="n">
        <f aca="false">IF(D736="","",MAX(0,MIN($B$8,Z736)))</f>
        <v>21.3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22.8584910293879</v>
      </c>
      <c r="AA736" s="18" t="n">
        <f aca="false">IF(D736="","",IF(H736&lt;=$B$16,1,IF(H736&gt;=$B$17,$B$21,MATCH(H736,Aux_CAV!$A$2:$A$121,1))))</f>
        <v>8</v>
      </c>
      <c r="AB736" s="18" t="n">
        <f aca="false">IF(D736="","",IF(L736&lt;=$B$16,1,IF(L736&gt;=$B$17,$B$21,MATCH(L736,Aux_CAV!$A$2:$A$121,1))))</f>
        <v>9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0.48136703456942</v>
      </c>
      <c r="E737" s="16" t="n">
        <f aca="false">IF(D737="","",D737*$B$15)</f>
        <v>1.24770335360394</v>
      </c>
      <c r="F737" s="16" t="n">
        <f aca="false" t="array" ref="F737:F737">IF(D737="","",IFERROR(INDEX(Dados_Evap!$C$2:$N$15,MATCH($B$9,Dados_Evap!$A$2:$A$15,0),C737),0))</f>
        <v>104.7</v>
      </c>
      <c r="G737" s="16" t="n">
        <f aca="false">IF(F737="","",F737/1000)</f>
        <v>0.1047</v>
      </c>
      <c r="H737" s="16" t="n">
        <f aca="false">IF(D737="","",MAX(0,MIN($B$8,IFERROR(LOOKUP(2,1/($U$24:U736&lt;&gt;""),$U$24:U736),$B$11))))</f>
        <v>21.3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1.23</v>
      </c>
      <c r="J737" s="16" t="n">
        <f aca="false">IF(D737="","",$B$12)</f>
        <v>0.25</v>
      </c>
      <c r="K737" s="16" t="n">
        <f aca="false">IF(J737="","",J737*$B$15)</f>
        <v>0.648</v>
      </c>
      <c r="L737" s="16" t="n">
        <f aca="false">IF(D737="","",H737+E737-K737-G737*I737)</f>
        <v>21.7709223536039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1.2378487058934</v>
      </c>
      <c r="N737" s="16" t="n">
        <f aca="false">IF(D737="","",(I737+M737)/2)</f>
        <v>1.2339243529467</v>
      </c>
      <c r="O737" s="16" t="n">
        <f aca="false">IF(D737="","",G737*N737)</f>
        <v>0.129191879753519</v>
      </c>
      <c r="P737" s="16" t="n">
        <f aca="false">IF(D737="","",H737+E737-K737-O737)</f>
        <v>21.7705114738504</v>
      </c>
      <c r="Q737" s="16" t="n">
        <f aca="false">IF(D737="","",IF(P737&gt;=0,K737,MAX(0,K737+P737)))</f>
        <v>0.648</v>
      </c>
      <c r="R737" s="16" t="n">
        <f aca="false">IF(D737="","",Q737/$B$15)</f>
        <v>0.25</v>
      </c>
      <c r="S737" s="16" t="n">
        <f aca="false">IF(D737="","",MAX(0,J737-R737))</f>
        <v>0</v>
      </c>
      <c r="T737" s="16" t="n">
        <f aca="false">IF(D737="","",MAX(0,Z737-$B$8))</f>
        <v>0.470511473850415</v>
      </c>
      <c r="U737" s="16" t="n">
        <f aca="false">IF(D737="","",MAX(0,MIN($B$8,Z737)))</f>
        <v>21.3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21.7705114738504</v>
      </c>
      <c r="AA737" s="18" t="n">
        <f aca="false">IF(D737="","",IF(H737&lt;=$B$16,1,IF(H737&gt;=$B$17,$B$21,MATCH(H737,Aux_CAV!$A$2:$A$121,1))))</f>
        <v>8</v>
      </c>
      <c r="AB737" s="18" t="n">
        <f aca="false">IF(D737="","",IF(L737&lt;=$B$16,1,IF(L737&gt;=$B$17,$B$21,MATCH(L737,Aux_CAV!$A$2:$A$121,1))))</f>
        <v>8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0.477433086608286</v>
      </c>
      <c r="E738" s="16" t="n">
        <f aca="false">IF(D738="","",D738*$B$15)</f>
        <v>1.23750656048868</v>
      </c>
      <c r="F738" s="16" t="n">
        <f aca="false" t="array" ref="F738:F738">IF(D738="","",IFERROR(INDEX(Dados_Evap!$C$2:$N$15,MATCH($B$9,Dados_Evap!$A$2:$A$15,0),C738),0))</f>
        <v>145.2</v>
      </c>
      <c r="G738" s="16" t="n">
        <f aca="false">IF(F738="","",F738/1000)</f>
        <v>0.1452</v>
      </c>
      <c r="H738" s="16" t="n">
        <f aca="false">IF(D738="","",MAX(0,MIN($B$8,IFERROR(LOOKUP(2,1/($U$24:U737&lt;&gt;""),$U$24:U737),$B$11))))</f>
        <v>21.3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1.23</v>
      </c>
      <c r="J738" s="16" t="n">
        <f aca="false">IF(D738="","",$B$12)</f>
        <v>0.25</v>
      </c>
      <c r="K738" s="16" t="n">
        <f aca="false">IF(J738="","",J738*$B$15)</f>
        <v>0.648</v>
      </c>
      <c r="L738" s="16" t="n">
        <f aca="false">IF(D738="","",H738+E738-K738-G738*I738)</f>
        <v>21.7109105604887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1.23684850934148</v>
      </c>
      <c r="N738" s="16" t="n">
        <f aca="false">IF(D738="","",(I738+M738)/2)</f>
        <v>1.23342425467074</v>
      </c>
      <c r="O738" s="16" t="n">
        <f aca="false">IF(D738="","",G738*N738)</f>
        <v>0.179093201778191</v>
      </c>
      <c r="P738" s="16" t="n">
        <f aca="false">IF(D738="","",H738+E738-K738-O738)</f>
        <v>21.7104133587105</v>
      </c>
      <c r="Q738" s="16" t="n">
        <f aca="false">IF(D738="","",IF(P738&gt;=0,K738,MAX(0,K738+P738)))</f>
        <v>0.648</v>
      </c>
      <c r="R738" s="16" t="n">
        <f aca="false">IF(D738="","",Q738/$B$15)</f>
        <v>0.25</v>
      </c>
      <c r="S738" s="16" t="n">
        <f aca="false">IF(D738="","",MAX(0,J738-R738))</f>
        <v>0</v>
      </c>
      <c r="T738" s="16" t="n">
        <f aca="false">IF(D738="","",MAX(0,Z738-$B$8))</f>
        <v>0.410413358710485</v>
      </c>
      <c r="U738" s="16" t="n">
        <f aca="false">IF(D738="","",MAX(0,MIN($B$8,Z738)))</f>
        <v>21.3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21.7104133587105</v>
      </c>
      <c r="AA738" s="18" t="n">
        <f aca="false">IF(D738="","",IF(H738&lt;=$B$16,1,IF(H738&gt;=$B$17,$B$21,MATCH(H738,Aux_CAV!$A$2:$A$121,1))))</f>
        <v>8</v>
      </c>
      <c r="AB738" s="18" t="n">
        <f aca="false">IF(D738="","",IF(L738&lt;=$B$16,1,IF(L738&gt;=$B$17,$B$21,MATCH(L738,Aux_CAV!$A$2:$A$121,1))))</f>
        <v>8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0.170819963374205</v>
      </c>
      <c r="E739" s="16" t="n">
        <f aca="false">IF(D739="","",D739*$B$15)</f>
        <v>0.442765345065939</v>
      </c>
      <c r="F739" s="16" t="n">
        <f aca="false" t="array" ref="F739:F739">IF(D739="","",IFERROR(INDEX(Dados_Evap!$C$2:$N$15,MATCH($B$9,Dados_Evap!$A$2:$A$15,0),C739),0))</f>
        <v>180.9</v>
      </c>
      <c r="G739" s="16" t="n">
        <f aca="false">IF(F739="","",F739/1000)</f>
        <v>0.1809</v>
      </c>
      <c r="H739" s="16" t="n">
        <f aca="false">IF(D739="","",MAX(0,MIN($B$8,IFERROR(LOOKUP(2,1/($U$24:U738&lt;&gt;""),$U$24:U738),$B$11))))</f>
        <v>21.3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1.23</v>
      </c>
      <c r="J739" s="16" t="n">
        <f aca="false">IF(D739="","",$B$12)</f>
        <v>0.25</v>
      </c>
      <c r="K739" s="16" t="n">
        <f aca="false">IF(J739="","",J739*$B$15)</f>
        <v>0.648</v>
      </c>
      <c r="L739" s="16" t="n">
        <f aca="false">IF(D739="","",H739+E739-K739-G739*I739)</f>
        <v>20.8722583450659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1.22196310042921</v>
      </c>
      <c r="N739" s="16" t="n">
        <f aca="false">IF(D739="","",(I739+M739)/2)</f>
        <v>1.22598155021461</v>
      </c>
      <c r="O739" s="16" t="n">
        <f aca="false">IF(D739="","",G739*N739)</f>
        <v>0.221780062433822</v>
      </c>
      <c r="P739" s="16" t="n">
        <f aca="false">IF(D739="","",H739+E739-K739-O739)</f>
        <v>20.8729852826321</v>
      </c>
      <c r="Q739" s="16" t="n">
        <f aca="false">IF(D739="","",IF(P739&gt;=0,K739,MAX(0,K739+P739)))</f>
        <v>0.648</v>
      </c>
      <c r="R739" s="16" t="n">
        <f aca="false">IF(D739="","",Q739/$B$15)</f>
        <v>0.25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20.8729852826321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97.9952360686954</v>
      </c>
      <c r="Z739" s="18" t="n">
        <f aca="false">IF(D739="","",MAX(0,IF(P739&gt;=0,P739,IF(K739+P739&gt;=0,0,P739+K739))))</f>
        <v>20.8729852826321</v>
      </c>
      <c r="AA739" s="18" t="n">
        <f aca="false">IF(D739="","",IF(H739&lt;=$B$16,1,IF(H739&gt;=$B$17,$B$21,MATCH(H739,Aux_CAV!$A$2:$A$121,1))))</f>
        <v>8</v>
      </c>
      <c r="AB739" s="18" t="n">
        <f aca="false">IF(D739="","",IF(L739&lt;=$B$16,1,IF(L739&gt;=$B$17,$B$21,MATCH(L739,Aux_CAV!$A$2:$A$121,1))))</f>
        <v>7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0.0975479026191366</v>
      </c>
      <c r="E740" s="16" t="n">
        <f aca="false">IF(D740="","",D740*$B$15)</f>
        <v>0.252844163588802</v>
      </c>
      <c r="F740" s="16" t="n">
        <f aca="false" t="array" ref="F740:F740">IF(D740="","",IFERROR(INDEX(Dados_Evap!$C$2:$N$15,MATCH($B$9,Dados_Evap!$A$2:$A$15,0),C740),0))</f>
        <v>208.9</v>
      </c>
      <c r="G740" s="16" t="n">
        <f aca="false">IF(F740="","",F740/1000)</f>
        <v>0.2089</v>
      </c>
      <c r="H740" s="16" t="n">
        <f aca="false">IF(D740="","",MAX(0,MIN($B$8,IFERROR(LOOKUP(2,1/($U$24:U739&lt;&gt;""),$U$24:U739),$B$11))))</f>
        <v>20.8729852826321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1.22197675896386</v>
      </c>
      <c r="J740" s="16" t="n">
        <f aca="false">IF(D740="","",$B$12)</f>
        <v>0.25</v>
      </c>
      <c r="K740" s="16" t="n">
        <f aca="false">IF(J740="","",J740*$B$15)</f>
        <v>0.648</v>
      </c>
      <c r="L740" s="16" t="n">
        <f aca="false">IF(D740="","",H740+E740-K740-G740*I740)</f>
        <v>20.2225585012734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1.20975579647486</v>
      </c>
      <c r="N740" s="16" t="n">
        <f aca="false">IF(D740="","",(I740+M740)/2)</f>
        <v>1.21586627771936</v>
      </c>
      <c r="O740" s="16" t="n">
        <f aca="false">IF(D740="","",G740*N740)</f>
        <v>0.253994465415575</v>
      </c>
      <c r="P740" s="16" t="n">
        <f aca="false">IF(D740="","",H740+E740-K740-O740)</f>
        <v>20.2238349808053</v>
      </c>
      <c r="Q740" s="16" t="n">
        <f aca="false">IF(D740="","",IF(P740&gt;=0,K740,MAX(0,K740+P740)))</f>
        <v>0.648</v>
      </c>
      <c r="R740" s="16" t="n">
        <f aca="false">IF(D740="","",Q740/$B$15)</f>
        <v>0.25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20.2238349808053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94.9475820695087</v>
      </c>
      <c r="Z740" s="18" t="n">
        <f aca="false">IF(D740="","",MAX(0,IF(P740&gt;=0,P740,IF(K740+P740&gt;=0,0,P740+K740))))</f>
        <v>20.2238349808053</v>
      </c>
      <c r="AA740" s="18" t="n">
        <f aca="false">IF(D740="","",IF(H740&lt;=$B$16,1,IF(H740&gt;=$B$17,$B$21,MATCH(H740,Aux_CAV!$A$2:$A$121,1))))</f>
        <v>7</v>
      </c>
      <c r="AB740" s="18" t="n">
        <f aca="false">IF(D740="","",IF(L740&lt;=$B$16,1,IF(L740&gt;=$B$17,$B$21,MATCH(L740,Aux_CAV!$A$2:$A$121,1))))</f>
        <v>7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0.0552901169224138</v>
      </c>
      <c r="E741" s="16" t="n">
        <f aca="false">IF(D741="","",D741*$B$15)</f>
        <v>0.143311983062897</v>
      </c>
      <c r="F741" s="16" t="n">
        <f aca="false" t="array" ref="F741:F741">IF(D741="","",IFERROR(INDEX(Dados_Evap!$C$2:$N$15,MATCH($B$9,Dados_Evap!$A$2:$A$15,0),C741),0))</f>
        <v>235.9</v>
      </c>
      <c r="G741" s="16" t="n">
        <f aca="false">IF(F741="","",F741/1000)</f>
        <v>0.2359</v>
      </c>
      <c r="H741" s="16" t="n">
        <f aca="false">IF(D741="","",MAX(0,MIN($B$8,IFERROR(LOOKUP(2,1/($U$24:U740&lt;&gt;""),$U$24:U740),$B$11))))</f>
        <v>20.2238349808053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1.20977978043267</v>
      </c>
      <c r="J741" s="16" t="n">
        <f aca="false">IF(D741="","",$B$12)</f>
        <v>0.25</v>
      </c>
      <c r="K741" s="16" t="n">
        <f aca="false">IF(J741="","",J741*$B$15)</f>
        <v>0.648</v>
      </c>
      <c r="L741" s="16" t="n">
        <f aca="false">IF(D741="","",H741+E741-K741-G741*I741)</f>
        <v>19.4337599136642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1.19493494618576</v>
      </c>
      <c r="N741" s="16" t="n">
        <f aca="false">IF(D741="","",(I741+M741)/2)</f>
        <v>1.20235736330921</v>
      </c>
      <c r="O741" s="16" t="n">
        <f aca="false">IF(D741="","",G741*N741)</f>
        <v>0.283636102004643</v>
      </c>
      <c r="P741" s="16" t="n">
        <f aca="false">IF(D741="","",H741+E741-K741-O741)</f>
        <v>19.4355108618636</v>
      </c>
      <c r="Q741" s="16" t="n">
        <f aca="false">IF(D741="","",IF(P741&gt;=0,K741,MAX(0,K741+P741)))</f>
        <v>0.648</v>
      </c>
      <c r="R741" s="16" t="n">
        <f aca="false">IF(D741="","",Q741/$B$15)</f>
        <v>0.25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19.4355108618636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91.2465298679042</v>
      </c>
      <c r="Z741" s="18" t="n">
        <f aca="false">IF(D741="","",MAX(0,IF(P741&gt;=0,P741,IF(K741+P741&gt;=0,0,P741+K741))))</f>
        <v>19.4355108618636</v>
      </c>
      <c r="AA741" s="18" t="n">
        <f aca="false">IF(D741="","",IF(H741&lt;=$B$16,1,IF(H741&gt;=$B$17,$B$21,MATCH(H741,Aux_CAV!$A$2:$A$121,1))))</f>
        <v>7</v>
      </c>
      <c r="AB741" s="18" t="n">
        <f aca="false">IF(D741="","",IF(L741&lt;=$B$16,1,IF(L741&gt;=$B$17,$B$21,MATCH(L741,Aux_CAV!$A$2:$A$121,1))))</f>
        <v>7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0.0310280690308902</v>
      </c>
      <c r="E742" s="16" t="n">
        <f aca="false">IF(D742="","",D742*$B$15)</f>
        <v>0.0804247549280674</v>
      </c>
      <c r="F742" s="16" t="n">
        <f aca="false" t="array" ref="F742:F742">IF(D742="","",IFERROR(INDEX(Dados_Evap!$C$2:$N$15,MATCH($B$9,Dados_Evap!$A$2:$A$15,0),C742),0))</f>
        <v>225.9</v>
      </c>
      <c r="G742" s="16" t="n">
        <f aca="false">IF(F742="","",F742/1000)</f>
        <v>0.2259</v>
      </c>
      <c r="H742" s="16" t="n">
        <f aca="false">IF(D742="","",MAX(0,MIN($B$8,IFERROR(LOOKUP(2,1/($U$24:U741&lt;&gt;""),$U$24:U741),$B$11))))</f>
        <v>19.4355108618636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1.1949678450037</v>
      </c>
      <c r="J742" s="16" t="n">
        <f aca="false">IF(D742="","",$B$12)</f>
        <v>0.25</v>
      </c>
      <c r="K742" s="16" t="n">
        <f aca="false">IF(J742="","",J742*$B$15)</f>
        <v>0.648</v>
      </c>
      <c r="L742" s="16" t="n">
        <f aca="false">IF(D742="","",H742+E742-K742-G742*I742)</f>
        <v>18.5979923806053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1.17923158961471</v>
      </c>
      <c r="N742" s="16" t="n">
        <f aca="false">IF(D742="","",(I742+M742)/2)</f>
        <v>1.18709971730921</v>
      </c>
      <c r="O742" s="16" t="n">
        <f aca="false">IF(D742="","",G742*N742)</f>
        <v>0.26816582614015</v>
      </c>
      <c r="P742" s="16" t="n">
        <f aca="false">IF(D742="","",H742+E742-K742-O742)</f>
        <v>18.5997697906515</v>
      </c>
      <c r="Q742" s="16" t="n">
        <f aca="false">IF(D742="","",IF(P742&gt;=0,K742,MAX(0,K742+P742)))</f>
        <v>0.648</v>
      </c>
      <c r="R742" s="16" t="n">
        <f aca="false">IF(D742="","",Q742/$B$15)</f>
        <v>0.25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18.5997697906515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87.3228628669085</v>
      </c>
      <c r="Z742" s="18" t="n">
        <f aca="false">IF(D742="","",MAX(0,IF(P742&gt;=0,P742,IF(K742+P742&gt;=0,0,P742+K742))))</f>
        <v>18.5997697906515</v>
      </c>
      <c r="AA742" s="18" t="n">
        <f aca="false">IF(D742="","",IF(H742&lt;=$B$16,1,IF(H742&gt;=$B$17,$B$21,MATCH(H742,Aux_CAV!$A$2:$A$121,1))))</f>
        <v>7</v>
      </c>
      <c r="AB742" s="18" t="n">
        <f aca="false">IF(D742="","",IF(L742&lt;=$B$16,1,IF(L742&gt;=$B$17,$B$21,MATCH(L742,Aux_CAV!$A$2:$A$121,1))))</f>
        <v>7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0.0181005450928425</v>
      </c>
      <c r="E743" s="16" t="n">
        <f aca="false">IF(D743="","",D743*$B$15)</f>
        <v>0.0469166128806478</v>
      </c>
      <c r="F743" s="16" t="n">
        <f aca="false" t="array" ref="F743:F743">IF(D743="","",IFERROR(INDEX(Dados_Evap!$C$2:$N$15,MATCH($B$9,Dados_Evap!$A$2:$A$15,0),C743),0))</f>
        <v>206</v>
      </c>
      <c r="G743" s="16" t="n">
        <f aca="false">IF(F743="","",F743/1000)</f>
        <v>0.206</v>
      </c>
      <c r="H743" s="16" t="n">
        <f aca="false">IF(D743="","",MAX(0,MIN($B$8,IFERROR(LOOKUP(2,1/($U$24:U742&lt;&gt;""),$U$24:U742),$B$11))))</f>
        <v>18.5997697906515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1.17926498562811</v>
      </c>
      <c r="J743" s="16" t="n">
        <f aca="false">IF(D743="","",$B$12)</f>
        <v>0.25</v>
      </c>
      <c r="K743" s="16" t="n">
        <f aca="false">IF(J743="","",J743*$B$15)</f>
        <v>0.648</v>
      </c>
      <c r="L743" s="16" t="n">
        <f aca="false">IF(D743="","",H743+E743-K743-G743*I743)</f>
        <v>17.7557578164928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1.16340672306563</v>
      </c>
      <c r="N743" s="16" t="n">
        <f aca="false">IF(D743="","",(I743+M743)/2)</f>
        <v>1.17133585434687</v>
      </c>
      <c r="O743" s="16" t="n">
        <f aca="false">IF(D743="","",G743*N743)</f>
        <v>0.241295185995455</v>
      </c>
      <c r="P743" s="16" t="n">
        <f aca="false">IF(D743="","",H743+E743-K743-O743)</f>
        <v>17.7573912175367</v>
      </c>
      <c r="Q743" s="16" t="n">
        <f aca="false">IF(D743="","",IF(P743&gt;=0,K743,MAX(0,K743+P743)))</f>
        <v>0.648</v>
      </c>
      <c r="R743" s="16" t="n">
        <f aca="false">IF(D743="","",Q743/$B$15)</f>
        <v>0.25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17.7573912175367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83.3680338851489</v>
      </c>
      <c r="Z743" s="18" t="n">
        <f aca="false">IF(D743="","",MAX(0,IF(P743&gt;=0,P743,IF(K743+P743&gt;=0,0,P743+K743))))</f>
        <v>17.7573912175367</v>
      </c>
      <c r="AA743" s="18" t="n">
        <f aca="false">IF(D743="","",IF(H743&lt;=$B$16,1,IF(H743&gt;=$B$17,$B$21,MATCH(H743,Aux_CAV!$A$2:$A$121,1))))</f>
        <v>7</v>
      </c>
      <c r="AB743" s="18" t="n">
        <f aca="false">IF(D743="","",IF(L743&lt;=$B$16,1,IF(L743&gt;=$B$17,$B$21,MATCH(L743,Aux_CAV!$A$2:$A$121,1))))</f>
        <v>7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0.109862919162651</v>
      </c>
      <c r="E744" s="16" t="n">
        <f aca="false">IF(D744="","",D744*$B$15)</f>
        <v>0.284764686469591</v>
      </c>
      <c r="F744" s="16" t="n">
        <f aca="false" t="array" ref="F744:F744">IF(D744="","",IFERROR(INDEX(Dados_Evap!$C$2:$N$15,MATCH($B$9,Dados_Evap!$A$2:$A$15,0),C744),0))</f>
        <v>165.6</v>
      </c>
      <c r="G744" s="16" t="n">
        <f aca="false">IF(F744="","",F744/1000)</f>
        <v>0.1656</v>
      </c>
      <c r="H744" s="16" t="n">
        <f aca="false">IF(D744="","",MAX(0,MIN($B$8,IFERROR(LOOKUP(2,1/($U$24:U743&lt;&gt;""),$U$24:U743),$B$11))))</f>
        <v>17.7573912175367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1.16343741327313</v>
      </c>
      <c r="J744" s="16" t="n">
        <f aca="false">IF(D744="","",$B$12)</f>
        <v>0.25</v>
      </c>
      <c r="K744" s="16" t="n">
        <f aca="false">IF(J744="","",J744*$B$15)</f>
        <v>0.648</v>
      </c>
      <c r="L744" s="16" t="n">
        <f aca="false">IF(D744="","",H744+E744-K744-G744*I744)</f>
        <v>17.2014906683683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1.15299251777727</v>
      </c>
      <c r="N744" s="16" t="n">
        <f aca="false">IF(D744="","",(I744+M744)/2)</f>
        <v>1.1582149655252</v>
      </c>
      <c r="O744" s="16" t="n">
        <f aca="false">IF(D744="","",G744*N744)</f>
        <v>0.191800398290974</v>
      </c>
      <c r="P744" s="16" t="n">
        <f aca="false">IF(D744="","",H744+E744-K744-O744)</f>
        <v>17.2023555057153</v>
      </c>
      <c r="Q744" s="16" t="n">
        <f aca="false">IF(D744="","",IF(P744&gt;=0,K744,MAX(0,K744+P744)))</f>
        <v>0.648</v>
      </c>
      <c r="R744" s="16" t="n">
        <f aca="false">IF(D744="","",Q744/$B$15)</f>
        <v>0.25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17.2023555057153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80.7622324211987</v>
      </c>
      <c r="Z744" s="18" t="n">
        <f aca="false">IF(D744="","",MAX(0,IF(P744&gt;=0,P744,IF(K744+P744&gt;=0,0,P744+K744))))</f>
        <v>17.2023555057153</v>
      </c>
      <c r="AA744" s="18" t="n">
        <f aca="false">IF(D744="","",IF(H744&lt;=$B$16,1,IF(H744&gt;=$B$17,$B$21,MATCH(H744,Aux_CAV!$A$2:$A$121,1))))</f>
        <v>7</v>
      </c>
      <c r="AB744" s="18" t="n">
        <f aca="false">IF(D744="","",IF(L744&lt;=$B$16,1,IF(L744&gt;=$B$17,$B$21,MATCH(L744,Aux_CAV!$A$2:$A$121,1))))</f>
        <v>7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0.0599709919299225</v>
      </c>
      <c r="E745" s="16" t="n">
        <f aca="false">IF(D745="","",D745*$B$15)</f>
        <v>0.155444811082359</v>
      </c>
      <c r="F745" s="16" t="n">
        <f aca="false" t="array" ref="F745:F745">IF(D745="","",IFERROR(INDEX(Dados_Evap!$C$2:$N$15,MATCH($B$9,Dados_Evap!$A$2:$A$15,0),C745),0))</f>
        <v>124.9</v>
      </c>
      <c r="G745" s="16" t="n">
        <f aca="false">IF(F745="","",F745/1000)</f>
        <v>0.1249</v>
      </c>
      <c r="H745" s="16" t="n">
        <f aca="false">IF(D745="","",MAX(0,MIN($B$8,IFERROR(LOOKUP(2,1/($U$24:U744&lt;&gt;""),$U$24:U744),$B$11))))</f>
        <v>17.2023555057153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1.15300876733077</v>
      </c>
      <c r="J745" s="16" t="n">
        <f aca="false">IF(D745="","",$B$12)</f>
        <v>0.25</v>
      </c>
      <c r="K745" s="16" t="n">
        <f aca="false">IF(J745="","",J745*$B$15)</f>
        <v>0.648</v>
      </c>
      <c r="L745" s="16" t="n">
        <f aca="false">IF(D745="","",H745+E745-K745-G745*I745)</f>
        <v>16.5657895217581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1.1410482373608</v>
      </c>
      <c r="N745" s="16" t="n">
        <f aca="false">IF(D745="","",(I745+M745)/2)</f>
        <v>1.14702850234578</v>
      </c>
      <c r="O745" s="16" t="n">
        <f aca="false">IF(D745="","",G745*N745)</f>
        <v>0.143263859942988</v>
      </c>
      <c r="P745" s="16" t="n">
        <f aca="false">IF(D745="","",H745+E745-K745-O745)</f>
        <v>16.5665364568547</v>
      </c>
      <c r="Q745" s="16" t="n">
        <f aca="false">IF(D745="","",IF(P745&gt;=0,K745,MAX(0,K745+P745)))</f>
        <v>0.648</v>
      </c>
      <c r="R745" s="16" t="n">
        <f aca="false">IF(D745="","",Q745/$B$15)</f>
        <v>0.25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16.5665364568547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77.7771664641066</v>
      </c>
      <c r="Z745" s="18" t="n">
        <f aca="false">IF(D745="","",MAX(0,IF(P745&gt;=0,P745,IF(K745+P745&gt;=0,0,P745+K745))))</f>
        <v>16.5665364568547</v>
      </c>
      <c r="AA745" s="18" t="n">
        <f aca="false">IF(D745="","",IF(H745&lt;=$B$16,1,IF(H745&gt;=$B$17,$B$21,MATCH(H745,Aux_CAV!$A$2:$A$121,1))))</f>
        <v>7</v>
      </c>
      <c r="AB745" s="18" t="n">
        <f aca="false">IF(D745="","",IF(L745&lt;=$B$16,1,IF(L745&gt;=$B$17,$B$21,MATCH(L745,Aux_CAV!$A$2:$A$121,1))))</f>
        <v>7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0.869787729023726</v>
      </c>
      <c r="E746" s="16" t="n">
        <f aca="false">IF(D746="","",D746*$B$15)</f>
        <v>2.2544897936295</v>
      </c>
      <c r="F746" s="16" t="n">
        <f aca="false" t="array" ref="F746:F746">IF(D746="","",IFERROR(INDEX(Dados_Evap!$C$2:$N$15,MATCH($B$9,Dados_Evap!$A$2:$A$15,0),C746),0))</f>
        <v>88.2</v>
      </c>
      <c r="G746" s="16" t="n">
        <f aca="false">IF(F746="","",F746/1000)</f>
        <v>0.0882</v>
      </c>
      <c r="H746" s="16" t="n">
        <f aca="false">IF(D746="","",MAX(0,MIN($B$8,IFERROR(LOOKUP(2,1/($U$24:U745&lt;&gt;""),$U$24:U745),$B$11))))</f>
        <v>16.5665364568547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1.14106227163193</v>
      </c>
      <c r="J746" s="16" t="n">
        <f aca="false">IF(D746="","",$B$12)</f>
        <v>0.25</v>
      </c>
      <c r="K746" s="16" t="n">
        <f aca="false">IF(J746="","",J746*$B$15)</f>
        <v>0.648</v>
      </c>
      <c r="L746" s="16" t="n">
        <f aca="false">IF(D746="","",H746+E746-K746-G746*I746)</f>
        <v>18.0723845581263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1.16935586852429</v>
      </c>
      <c r="N746" s="16" t="n">
        <f aca="false">IF(D746="","",(I746+M746)/2)</f>
        <v>1.15520907007811</v>
      </c>
      <c r="O746" s="16" t="n">
        <f aca="false">IF(D746="","",G746*N746)</f>
        <v>0.101889439980889</v>
      </c>
      <c r="P746" s="16" t="n">
        <f aca="false">IF(D746="","",H746+E746-K746-O746)</f>
        <v>18.0711368105033</v>
      </c>
      <c r="Q746" s="16" t="n">
        <f aca="false">IF(D746="","",IF(P746&gt;=0,K746,MAX(0,K746+P746)))</f>
        <v>0.648</v>
      </c>
      <c r="R746" s="16" t="n">
        <f aca="false">IF(D746="","",Q746/$B$15)</f>
        <v>0.25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18.0711368105033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84.8410178896869</v>
      </c>
      <c r="Z746" s="18" t="n">
        <f aca="false">IF(D746="","",MAX(0,IF(P746&gt;=0,P746,IF(K746+P746&gt;=0,0,P746+K746))))</f>
        <v>18.0711368105033</v>
      </c>
      <c r="AA746" s="18" t="n">
        <f aca="false">IF(D746="","",IF(H746&lt;=$B$16,1,IF(H746&gt;=$B$17,$B$21,MATCH(H746,Aux_CAV!$A$2:$A$121,1))))</f>
        <v>7</v>
      </c>
      <c r="AB746" s="18" t="n">
        <f aca="false">IF(D746="","",IF(L746&lt;=$B$16,1,IF(L746&gt;=$B$17,$B$21,MATCH(L746,Aux_CAV!$A$2:$A$121,1))))</f>
        <v>7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1.35459334606191</v>
      </c>
      <c r="E747" s="16" t="n">
        <f aca="false">IF(D747="","",D747*$B$15)</f>
        <v>3.51110595299247</v>
      </c>
      <c r="F747" s="16" t="n">
        <f aca="false" t="array" ref="F747:F747">IF(D747="","",IFERROR(INDEX(Dados_Evap!$C$2:$N$15,MATCH($B$9,Dados_Evap!$A$2:$A$15,0),C747),0))</f>
        <v>88.2</v>
      </c>
      <c r="G747" s="16" t="n">
        <f aca="false">IF(F747="","",F747/1000)</f>
        <v>0.0882</v>
      </c>
      <c r="H747" s="16" t="n">
        <f aca="false">IF(D747="","",MAX(0,MIN($B$8,IFERROR(LOOKUP(2,1/($U$24:U746&lt;&gt;""),$U$24:U746),$B$11))))</f>
        <v>18.0711368105033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1.16933242441447</v>
      </c>
      <c r="J747" s="16" t="n">
        <f aca="false">IF(D747="","",$B$12)</f>
        <v>0.25</v>
      </c>
      <c r="K747" s="16" t="n">
        <f aca="false">IF(J747="","",J747*$B$15)</f>
        <v>0.648</v>
      </c>
      <c r="L747" s="16" t="n">
        <f aca="false">IF(D747="","",H747+E747-K747-G747*I747)</f>
        <v>20.8311076436624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1.22118991397278</v>
      </c>
      <c r="N747" s="16" t="n">
        <f aca="false">IF(D747="","",(I747+M747)/2)</f>
        <v>1.19526116919362</v>
      </c>
      <c r="O747" s="16" t="n">
        <f aca="false">IF(D747="","",G747*N747)</f>
        <v>0.105422035122878</v>
      </c>
      <c r="P747" s="16" t="n">
        <f aca="false">IF(D747="","",H747+E747-K747-O747)</f>
        <v>20.8288207283729</v>
      </c>
      <c r="Q747" s="16" t="n">
        <f aca="false">IF(D747="","",IF(P747&gt;=0,K747,MAX(0,K747+P747)))</f>
        <v>0.648</v>
      </c>
      <c r="R747" s="16" t="n">
        <f aca="false">IF(D747="","",Q747/$B$15)</f>
        <v>0.25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20.8288207283729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97.7878907435348</v>
      </c>
      <c r="Z747" s="18" t="n">
        <f aca="false">IF(D747="","",MAX(0,IF(P747&gt;=0,P747,IF(K747+P747&gt;=0,0,P747+K747))))</f>
        <v>20.8288207283729</v>
      </c>
      <c r="AA747" s="18" t="n">
        <f aca="false">IF(D747="","",IF(H747&lt;=$B$16,1,IF(H747&gt;=$B$17,$B$21,MATCH(H747,Aux_CAV!$A$2:$A$121,1))))</f>
        <v>7</v>
      </c>
      <c r="AB747" s="18" t="n">
        <f aca="false">IF(D747="","",IF(L747&lt;=$B$16,1,IF(L747&gt;=$B$17,$B$21,MATCH(L747,Aux_CAV!$A$2:$A$121,1))))</f>
        <v>7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0.204065084369507</v>
      </c>
      <c r="E748" s="16" t="n">
        <f aca="false">IF(D748="","",D748*$B$15)</f>
        <v>0.528936698685762</v>
      </c>
      <c r="F748" s="16" t="n">
        <f aca="false" t="array" ref="F748:F748">IF(D748="","",IFERROR(INDEX(Dados_Evap!$C$2:$N$15,MATCH($B$9,Dados_Evap!$A$2:$A$15,0),C748),0))</f>
        <v>83.9</v>
      </c>
      <c r="G748" s="16" t="n">
        <f aca="false">IF(F748="","",F748/1000)</f>
        <v>0.0839</v>
      </c>
      <c r="H748" s="16" t="n">
        <f aca="false">IF(D748="","",MAX(0,MIN($B$8,IFERROR(LOOKUP(2,1/($U$24:U747&lt;&gt;""),$U$24:U747),$B$11))))</f>
        <v>20.8288207283729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1.22114694479198</v>
      </c>
      <c r="J748" s="16" t="n">
        <f aca="false">IF(D748="","",$B$12)</f>
        <v>0.25</v>
      </c>
      <c r="K748" s="16" t="n">
        <f aca="false">IF(J748="","",J748*$B$15)</f>
        <v>0.648</v>
      </c>
      <c r="L748" s="16" t="n">
        <f aca="false">IF(D748="","",H748+E748-K748-G748*I748)</f>
        <v>20.6073031983906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1.21698482001151</v>
      </c>
      <c r="N748" s="16" t="n">
        <f aca="false">IF(D748="","",(I748+M748)/2)</f>
        <v>1.21906588240174</v>
      </c>
      <c r="O748" s="16" t="n">
        <f aca="false">IF(D748="","",G748*N748)</f>
        <v>0.102279627533506</v>
      </c>
      <c r="P748" s="16" t="n">
        <f aca="false">IF(D748="","",H748+E748-K748-O748)</f>
        <v>20.6074777995252</v>
      </c>
      <c r="Q748" s="16" t="n">
        <f aca="false">IF(D748="","",IF(P748&gt;=0,K748,MAX(0,K748+P748)))</f>
        <v>0.648</v>
      </c>
      <c r="R748" s="16" t="n">
        <f aca="false">IF(D748="","",Q748/$B$15)</f>
        <v>0.25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20.6074777995252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96.7487220634984</v>
      </c>
      <c r="Z748" s="18" t="n">
        <f aca="false">IF(D748="","",MAX(0,IF(P748&gt;=0,P748,IF(K748+P748&gt;=0,0,P748+K748))))</f>
        <v>20.6074777995252</v>
      </c>
      <c r="AA748" s="18" t="n">
        <f aca="false">IF(D748="","",IF(H748&lt;=$B$16,1,IF(H748&gt;=$B$17,$B$21,MATCH(H748,Aux_CAV!$A$2:$A$121,1))))</f>
        <v>7</v>
      </c>
      <c r="AB748" s="18" t="n">
        <f aca="false">IF(D748="","",IF(L748&lt;=$B$16,1,IF(L748&gt;=$B$17,$B$21,MATCH(L748,Aux_CAV!$A$2:$A$121,1))))</f>
        <v>7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0.248751051603597</v>
      </c>
      <c r="E749" s="16" t="n">
        <f aca="false">IF(D749="","",D749*$B$15)</f>
        <v>0.644762725756524</v>
      </c>
      <c r="F749" s="16" t="n">
        <f aca="false" t="array" ref="F749:F749">IF(D749="","",IFERROR(INDEX(Dados_Evap!$C$2:$N$15,MATCH($B$9,Dados_Evap!$A$2:$A$15,0),C749),0))</f>
        <v>104.7</v>
      </c>
      <c r="G749" s="16" t="n">
        <f aca="false">IF(F749="","",F749/1000)</f>
        <v>0.1047</v>
      </c>
      <c r="H749" s="16" t="n">
        <f aca="false">IF(D749="","",MAX(0,MIN($B$8,IFERROR(LOOKUP(2,1/($U$24:U748&lt;&gt;""),$U$24:U748),$B$11))))</f>
        <v>20.6074777995252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1.21698810061738</v>
      </c>
      <c r="J749" s="16" t="n">
        <f aca="false">IF(D749="","",$B$12)</f>
        <v>0.25</v>
      </c>
      <c r="K749" s="16" t="n">
        <f aca="false">IF(J749="","",J749*$B$15)</f>
        <v>0.648</v>
      </c>
      <c r="L749" s="16" t="n">
        <f aca="false">IF(D749="","",H749+E749-K749-G749*I749)</f>
        <v>20.476821871147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1.21453318755809</v>
      </c>
      <c r="N749" s="16" t="n">
        <f aca="false">IF(D749="","",(I749+M749)/2)</f>
        <v>1.21576064408773</v>
      </c>
      <c r="O749" s="16" t="n">
        <f aca="false">IF(D749="","",G749*N749)</f>
        <v>0.127290139435986</v>
      </c>
      <c r="P749" s="16" t="n">
        <f aca="false">IF(D749="","",H749+E749-K749-O749)</f>
        <v>20.4769503858457</v>
      </c>
      <c r="Q749" s="16" t="n">
        <f aca="false">IF(D749="","",IF(P749&gt;=0,K749,MAX(0,K749+P749)))</f>
        <v>0.648</v>
      </c>
      <c r="R749" s="16" t="n">
        <f aca="false">IF(D749="","",Q749/$B$15)</f>
        <v>0.25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20.4769503858457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96.1359173044399</v>
      </c>
      <c r="Z749" s="18" t="n">
        <f aca="false">IF(D749="","",MAX(0,IF(P749&gt;=0,P749,IF(K749+P749&gt;=0,0,P749+K749))))</f>
        <v>20.4769503858457</v>
      </c>
      <c r="AA749" s="18" t="n">
        <f aca="false">IF(D749="","",IF(H749&lt;=$B$16,1,IF(H749&gt;=$B$17,$B$21,MATCH(H749,Aux_CAV!$A$2:$A$121,1))))</f>
        <v>7</v>
      </c>
      <c r="AB749" s="18" t="n">
        <f aca="false">IF(D749="","",IF(L749&lt;=$B$16,1,IF(L749&gt;=$B$17,$B$21,MATCH(L749,Aux_CAV!$A$2:$A$121,1))))</f>
        <v>7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0.0969033511500753</v>
      </c>
      <c r="E750" s="16" t="n">
        <f aca="false">IF(D750="","",D750*$B$15)</f>
        <v>0.251173486180995</v>
      </c>
      <c r="F750" s="16" t="n">
        <f aca="false" t="array" ref="F750:F750">IF(D750="","",IFERROR(INDEX(Dados_Evap!$C$2:$N$15,MATCH($B$9,Dados_Evap!$A$2:$A$15,0),C750),0))</f>
        <v>145.2</v>
      </c>
      <c r="G750" s="16" t="n">
        <f aca="false">IF(F750="","",F750/1000)</f>
        <v>0.1452</v>
      </c>
      <c r="H750" s="16" t="n">
        <f aca="false">IF(D750="","",MAX(0,MIN($B$8,IFERROR(LOOKUP(2,1/($U$24:U749&lt;&gt;""),$U$24:U749),$B$11))))</f>
        <v>20.4769503858457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1.21453560223927</v>
      </c>
      <c r="J750" s="16" t="n">
        <f aca="false">IF(D750="","",$B$12)</f>
        <v>0.25</v>
      </c>
      <c r="K750" s="16" t="n">
        <f aca="false">IF(J750="","",J750*$B$15)</f>
        <v>0.648</v>
      </c>
      <c r="L750" s="16" t="n">
        <f aca="false">IF(D750="","",H750+E750-K750-G750*I750)</f>
        <v>19.9037733025816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1.2037660954556</v>
      </c>
      <c r="N750" s="16" t="n">
        <f aca="false">IF(D750="","",(I750+M750)/2)</f>
        <v>1.20915084884744</v>
      </c>
      <c r="O750" s="16" t="n">
        <f aca="false">IF(D750="","",G750*N750)</f>
        <v>0.175568703252648</v>
      </c>
      <c r="P750" s="16" t="n">
        <f aca="false">IF(D750="","",H750+E750-K750-O750)</f>
        <v>19.904555168774</v>
      </c>
      <c r="Q750" s="16" t="n">
        <f aca="false">IF(D750="","",IF(P750&gt;=0,K750,MAX(0,K750+P750)))</f>
        <v>0.648</v>
      </c>
      <c r="R750" s="16" t="n">
        <f aca="false">IF(D750="","",Q750/$B$15)</f>
        <v>0.25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19.904555168774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93.4486158158406</v>
      </c>
      <c r="Z750" s="18" t="n">
        <f aca="false">IF(D750="","",MAX(0,IF(P750&gt;=0,P750,IF(K750+P750&gt;=0,0,P750+K750))))</f>
        <v>19.904555168774</v>
      </c>
      <c r="AA750" s="18" t="n">
        <f aca="false">IF(D750="","",IF(H750&lt;=$B$16,1,IF(H750&gt;=$B$17,$B$21,MATCH(H750,Aux_CAV!$A$2:$A$121,1))))</f>
        <v>7</v>
      </c>
      <c r="AB750" s="18" t="n">
        <f aca="false">IF(D750="","",IF(L750&lt;=$B$16,1,IF(L750&gt;=$B$17,$B$21,MATCH(L750,Aux_CAV!$A$2:$A$121,1))))</f>
        <v>7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0.0665439926652198</v>
      </c>
      <c r="E751" s="16" t="n">
        <f aca="false">IF(D751="","",D751*$B$15)</f>
        <v>0.17248202898825</v>
      </c>
      <c r="F751" s="16" t="n">
        <f aca="false" t="array" ref="F751:F751">IF(D751="","",IFERROR(INDEX(Dados_Evap!$C$2:$N$15,MATCH($B$9,Dados_Evap!$A$2:$A$15,0),C751),0))</f>
        <v>180.9</v>
      </c>
      <c r="G751" s="16" t="n">
        <f aca="false">IF(F751="","",F751/1000)</f>
        <v>0.1809</v>
      </c>
      <c r="H751" s="16" t="n">
        <f aca="false">IF(D751="","",MAX(0,MIN($B$8,IFERROR(LOOKUP(2,1/($U$24:U750&lt;&gt;""),$U$24:U750),$B$11))))</f>
        <v>19.904555168774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1.20378078605212</v>
      </c>
      <c r="J751" s="16" t="n">
        <f aca="false">IF(D751="","",$B$12)</f>
        <v>0.25</v>
      </c>
      <c r="K751" s="16" t="n">
        <f aca="false">IF(J751="","",J751*$B$15)</f>
        <v>0.648</v>
      </c>
      <c r="L751" s="16" t="n">
        <f aca="false">IF(D751="","",H751+E751-K751-G751*I751)</f>
        <v>19.2112732535655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1.19075461227994</v>
      </c>
      <c r="N751" s="16" t="n">
        <f aca="false">IF(D751="","",(I751+M751)/2)</f>
        <v>1.19726769916603</v>
      </c>
      <c r="O751" s="16" t="n">
        <f aca="false">IF(D751="","",G751*N751)</f>
        <v>0.216585726779135</v>
      </c>
      <c r="P751" s="16" t="n">
        <f aca="false">IF(D751="","",H751+E751-K751-O751)</f>
        <v>19.2124514709832</v>
      </c>
      <c r="Q751" s="16" t="n">
        <f aca="false">IF(D751="","",IF(P751&gt;=0,K751,MAX(0,K751+P751)))</f>
        <v>0.648</v>
      </c>
      <c r="R751" s="16" t="n">
        <f aca="false">IF(D751="","",Q751/$B$15)</f>
        <v>0.25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19.2124514709832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90.1993026806721</v>
      </c>
      <c r="Z751" s="18" t="n">
        <f aca="false">IF(D751="","",MAX(0,IF(P751&gt;=0,P751,IF(K751+P751&gt;=0,0,P751+K751))))</f>
        <v>19.2124514709832</v>
      </c>
      <c r="AA751" s="18" t="n">
        <f aca="false">IF(D751="","",IF(H751&lt;=$B$16,1,IF(H751&gt;=$B$17,$B$21,MATCH(H751,Aux_CAV!$A$2:$A$121,1))))</f>
        <v>7</v>
      </c>
      <c r="AB751" s="18" t="n">
        <f aca="false">IF(D751="","",IF(L751&lt;=$B$16,1,IF(L751&gt;=$B$17,$B$21,MATCH(L751,Aux_CAV!$A$2:$A$121,1))))</f>
        <v>7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0.039699908787116</v>
      </c>
      <c r="E752" s="16" t="n">
        <f aca="false">IF(D752="","",D752*$B$15)</f>
        <v>0.102902163576205</v>
      </c>
      <c r="F752" s="16" t="n">
        <f aca="false" t="array" ref="F752:F752">IF(D752="","",IFERROR(INDEX(Dados_Evap!$C$2:$N$15,MATCH($B$9,Dados_Evap!$A$2:$A$15,0),C752),0))</f>
        <v>208.9</v>
      </c>
      <c r="G752" s="16" t="n">
        <f aca="false">IF(F752="","",F752/1000)</f>
        <v>0.2089</v>
      </c>
      <c r="H752" s="16" t="n">
        <f aca="false">IF(D752="","",MAX(0,MIN($B$8,IFERROR(LOOKUP(2,1/($U$24:U751&lt;&gt;""),$U$24:U751),$B$11))))</f>
        <v>19.2124514709832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1.19077674997672</v>
      </c>
      <c r="J752" s="16" t="n">
        <f aca="false">IF(D752="","",$B$12)</f>
        <v>0.25</v>
      </c>
      <c r="K752" s="16" t="n">
        <f aca="false">IF(J752="","",J752*$B$15)</f>
        <v>0.648</v>
      </c>
      <c r="L752" s="16" t="n">
        <f aca="false">IF(D752="","",H752+E752-K752-G752*I752)</f>
        <v>18.4186003714892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1.17586096731399</v>
      </c>
      <c r="N752" s="16" t="n">
        <f aca="false">IF(D752="","",(I752+M752)/2)</f>
        <v>1.18331885864536</v>
      </c>
      <c r="O752" s="16" t="n">
        <f aca="false">IF(D752="","",G752*N752)</f>
        <v>0.247195309571015</v>
      </c>
      <c r="P752" s="16" t="n">
        <f aca="false">IF(D752="","",H752+E752-K752-O752)</f>
        <v>18.4201583249884</v>
      </c>
      <c r="Q752" s="16" t="n">
        <f aca="false">IF(D752="","",IF(P752&gt;=0,K752,MAX(0,K752+P752)))</f>
        <v>0.648</v>
      </c>
      <c r="R752" s="16" t="n">
        <f aca="false">IF(D752="","",Q752/$B$15)</f>
        <v>0.25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18.4201583249884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86.4796165492411</v>
      </c>
      <c r="Z752" s="18" t="n">
        <f aca="false">IF(D752="","",MAX(0,IF(P752&gt;=0,P752,IF(K752+P752&gt;=0,0,P752+K752))))</f>
        <v>18.4201583249884</v>
      </c>
      <c r="AA752" s="18" t="n">
        <f aca="false">IF(D752="","",IF(H752&lt;=$B$16,1,IF(H752&gt;=$B$17,$B$21,MATCH(H752,Aux_CAV!$A$2:$A$121,1))))</f>
        <v>7</v>
      </c>
      <c r="AB752" s="18" t="n">
        <f aca="false">IF(D752="","",IF(L752&lt;=$B$16,1,IF(L752&gt;=$B$17,$B$21,MATCH(L752,Aux_CAV!$A$2:$A$121,1))))</f>
        <v>7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0.0226918155990482</v>
      </c>
      <c r="E753" s="16" t="n">
        <f aca="false">IF(D753="","",D753*$B$15)</f>
        <v>0.0588171860327329</v>
      </c>
      <c r="F753" s="16" t="n">
        <f aca="false" t="array" ref="F753:F753">IF(D753="","",IFERROR(INDEX(Dados_Evap!$C$2:$N$15,MATCH($B$9,Dados_Evap!$A$2:$A$15,0),C753),0))</f>
        <v>235.9</v>
      </c>
      <c r="G753" s="16" t="n">
        <f aca="false">IF(F753="","",F753/1000)</f>
        <v>0.2359</v>
      </c>
      <c r="H753" s="16" t="n">
        <f aca="false">IF(D753="","",MAX(0,MIN($B$8,IFERROR(LOOKUP(2,1/($U$24:U752&lt;&gt;""),$U$24:U752),$B$11))))</f>
        <v>18.4201583249884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1.17589023992671</v>
      </c>
      <c r="J753" s="16" t="n">
        <f aca="false">IF(D753="","",$B$12)</f>
        <v>0.25</v>
      </c>
      <c r="K753" s="16" t="n">
        <f aca="false">IF(J753="","",J753*$B$15)</f>
        <v>0.648</v>
      </c>
      <c r="L753" s="16" t="n">
        <f aca="false">IF(D753="","",H753+E753-K753-G753*I753)</f>
        <v>17.5535830034224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1.15960803137954</v>
      </c>
      <c r="N753" s="16" t="n">
        <f aca="false">IF(D753="","",(I753+M753)/2)</f>
        <v>1.16774913565313</v>
      </c>
      <c r="O753" s="16" t="n">
        <f aca="false">IF(D753="","",G753*N753)</f>
        <v>0.275472021100573</v>
      </c>
      <c r="P753" s="16" t="n">
        <f aca="false">IF(D753="","",H753+E753-K753-O753)</f>
        <v>17.5555034899205</v>
      </c>
      <c r="Q753" s="16" t="n">
        <f aca="false">IF(D753="","",IF(P753&gt;=0,K753,MAX(0,K753+P753)))</f>
        <v>0.648</v>
      </c>
      <c r="R753" s="16" t="n">
        <f aca="false">IF(D753="","",Q753/$B$15)</f>
        <v>0.25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17.5555034899205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82.4202041780306</v>
      </c>
      <c r="Z753" s="18" t="n">
        <f aca="false">IF(D753="","",MAX(0,IF(P753&gt;=0,P753,IF(K753+P753&gt;=0,0,P753+K753))))</f>
        <v>17.5555034899205</v>
      </c>
      <c r="AA753" s="18" t="n">
        <f aca="false">IF(D753="","",IF(H753&lt;=$B$16,1,IF(H753&gt;=$B$17,$B$21,MATCH(H753,Aux_CAV!$A$2:$A$121,1))))</f>
        <v>7</v>
      </c>
      <c r="AB753" s="18" t="n">
        <f aca="false">IF(D753="","",IF(L753&lt;=$B$16,1,IF(L753&gt;=$B$17,$B$21,MATCH(L753,Aux_CAV!$A$2:$A$121,1))))</f>
        <v>7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0.0178272277200003</v>
      </c>
      <c r="E754" s="16" t="n">
        <f aca="false">IF(D754="","",D754*$B$15)</f>
        <v>0.0462081742502408</v>
      </c>
      <c r="F754" s="16" t="n">
        <f aca="false" t="array" ref="F754:F754">IF(D754="","",IFERROR(INDEX(Dados_Evap!$C$2:$N$15,MATCH($B$9,Dados_Evap!$A$2:$A$15,0),C754),0))</f>
        <v>225.9</v>
      </c>
      <c r="G754" s="16" t="n">
        <f aca="false">IF(F754="","",F754/1000)</f>
        <v>0.2259</v>
      </c>
      <c r="H754" s="16" t="n">
        <f aca="false">IF(D754="","",MAX(0,MIN($B$8,IFERROR(LOOKUP(2,1/($U$24:U753&lt;&gt;""),$U$24:U753),$B$11))))</f>
        <v>17.5555034899205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1.159644115677</v>
      </c>
      <c r="J754" s="16" t="n">
        <f aca="false">IF(D754="","",$B$12)</f>
        <v>0.25</v>
      </c>
      <c r="K754" s="16" t="n">
        <f aca="false">IF(J754="","",J754*$B$15)</f>
        <v>0.648</v>
      </c>
      <c r="L754" s="16" t="n">
        <f aca="false">IF(D754="","",H754+E754-K754-G754*I754)</f>
        <v>16.6917480584393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1.14341489045084</v>
      </c>
      <c r="N754" s="16" t="n">
        <f aca="false">IF(D754="","",(I754+M754)/2)</f>
        <v>1.15152950306392</v>
      </c>
      <c r="O754" s="16" t="n">
        <f aca="false">IF(D754="","",G754*N754)</f>
        <v>0.26013051474214</v>
      </c>
      <c r="P754" s="16" t="n">
        <f aca="false">IF(D754="","",H754+E754-K754-O754)</f>
        <v>16.6935811494286</v>
      </c>
      <c r="Q754" s="16" t="n">
        <f aca="false">IF(D754="","",IF(P754&gt;=0,K754,MAX(0,K754+P754)))</f>
        <v>0.648</v>
      </c>
      <c r="R754" s="16" t="n">
        <f aca="false">IF(D754="","",Q754/$B$15)</f>
        <v>0.25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16.6935811494286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78.3736204198526</v>
      </c>
      <c r="Z754" s="18" t="n">
        <f aca="false">IF(D754="","",MAX(0,IF(P754&gt;=0,P754,IF(K754+P754&gt;=0,0,P754+K754))))</f>
        <v>16.6935811494286</v>
      </c>
      <c r="AA754" s="18" t="n">
        <f aca="false">IF(D754="","",IF(H754&lt;=$B$16,1,IF(H754&gt;=$B$17,$B$21,MATCH(H754,Aux_CAV!$A$2:$A$121,1))))</f>
        <v>7</v>
      </c>
      <c r="AB754" s="18" t="n">
        <f aca="false">IF(D754="","",IF(L754&lt;=$B$16,1,IF(L754&gt;=$B$17,$B$21,MATCH(L754,Aux_CAV!$A$2:$A$121,1))))</f>
        <v>7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0.0116810990252602</v>
      </c>
      <c r="E755" s="16" t="n">
        <f aca="false">IF(D755="","",D755*$B$15)</f>
        <v>0.0302774086734744</v>
      </c>
      <c r="F755" s="16" t="n">
        <f aca="false" t="array" ref="F755:F755">IF(D755="","",IFERROR(INDEX(Dados_Evap!$C$2:$N$15,MATCH($B$9,Dados_Evap!$A$2:$A$15,0),C755),0))</f>
        <v>206</v>
      </c>
      <c r="G755" s="16" t="n">
        <f aca="false">IF(F755="","",F755/1000)</f>
        <v>0.206</v>
      </c>
      <c r="H755" s="16" t="n">
        <f aca="false">IF(D755="","",MAX(0,MIN($B$8,IFERROR(LOOKUP(2,1/($U$24:U754&lt;&gt;""),$U$24:U754),$B$11))))</f>
        <v>16.6935811494286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1.1434493326615</v>
      </c>
      <c r="J755" s="16" t="n">
        <f aca="false">IF(D755="","",$B$12)</f>
        <v>0.25</v>
      </c>
      <c r="K755" s="16" t="n">
        <f aca="false">IF(J755="","",J755*$B$15)</f>
        <v>0.648</v>
      </c>
      <c r="L755" s="16" t="n">
        <f aca="false">IF(D755="","",H755+E755-K755-G755*I755)</f>
        <v>15.8403079955738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1.11847870685209</v>
      </c>
      <c r="N755" s="16" t="n">
        <f aca="false">IF(D755="","",(I755+M755)/2)</f>
        <v>1.13096401975679</v>
      </c>
      <c r="O755" s="16" t="n">
        <f aca="false">IF(D755="","",G755*N755)</f>
        <v>0.232978588069899</v>
      </c>
      <c r="P755" s="16" t="n">
        <f aca="false">IF(D755="","",H755+E755-K755-O755)</f>
        <v>15.8428799700322</v>
      </c>
      <c r="Q755" s="16" t="n">
        <f aca="false">IF(D755="","",IF(P755&gt;=0,K755,MAX(0,K755+P755)))</f>
        <v>0.648</v>
      </c>
      <c r="R755" s="16" t="n">
        <f aca="false">IF(D755="","",Q755/$B$15)</f>
        <v>0.25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15.8428799700322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74.3797181691652</v>
      </c>
      <c r="Z755" s="18" t="n">
        <f aca="false">IF(D755="","",MAX(0,IF(P755&gt;=0,P755,IF(K755+P755&gt;=0,0,P755+K755))))</f>
        <v>15.8428799700322</v>
      </c>
      <c r="AA755" s="18" t="n">
        <f aca="false">IF(D755="","",IF(H755&lt;=$B$16,1,IF(H755&gt;=$B$17,$B$21,MATCH(H755,Aux_CAV!$A$2:$A$121,1))))</f>
        <v>7</v>
      </c>
      <c r="AB755" s="18" t="n">
        <f aca="false">IF(D755="","",IF(L755&lt;=$B$16,1,IF(L755&gt;=$B$17,$B$21,MATCH(L755,Aux_CAV!$A$2:$A$121,1))))</f>
        <v>6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0.0666610520564764</v>
      </c>
      <c r="E756" s="16" t="n">
        <f aca="false">IF(D756="","",D756*$B$15)</f>
        <v>0.172785446930387</v>
      </c>
      <c r="F756" s="16" t="n">
        <f aca="false" t="array" ref="F756:F756">IF(D756="","",IFERROR(INDEX(Dados_Evap!$C$2:$N$15,MATCH($B$9,Dados_Evap!$A$2:$A$15,0),C756),0))</f>
        <v>165.6</v>
      </c>
      <c r="G756" s="16" t="n">
        <f aca="false">IF(F756="","",F756/1000)</f>
        <v>0.1656</v>
      </c>
      <c r="H756" s="16" t="n">
        <f aca="false">IF(D756="","",MAX(0,MIN($B$8,IFERROR(LOOKUP(2,1/($U$24:U755&lt;&gt;""),$U$24:U755),$B$11))))</f>
        <v>15.8428799700322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1.11856136009555</v>
      </c>
      <c r="J756" s="16" t="n">
        <f aca="false">IF(D756="","",$B$12)</f>
        <v>0.25</v>
      </c>
      <c r="K756" s="16" t="n">
        <f aca="false">IF(J756="","",J756*$B$15)</f>
        <v>0.648</v>
      </c>
      <c r="L756" s="16" t="n">
        <f aca="false">IF(D756="","",H756+E756-K756-G756*I756)</f>
        <v>15.1824316557307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1.09733712315203</v>
      </c>
      <c r="N756" s="16" t="n">
        <f aca="false">IF(D756="","",(I756+M756)/2)</f>
        <v>1.10794924162379</v>
      </c>
      <c r="O756" s="16" t="n">
        <f aca="false">IF(D756="","",G756*N756)</f>
        <v>0.1834763944129</v>
      </c>
      <c r="P756" s="16" t="n">
        <f aca="false">IF(D756="","",H756+E756-K756-O756)</f>
        <v>15.1841890225497</v>
      </c>
      <c r="Q756" s="16" t="n">
        <f aca="false">IF(D756="","",IF(P756&gt;=0,K756,MAX(0,K756+P756)))</f>
        <v>0.648</v>
      </c>
      <c r="R756" s="16" t="n">
        <f aca="false">IF(D756="","",Q756/$B$15)</f>
        <v>0.25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15.1841890225497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71.2872724063365</v>
      </c>
      <c r="Z756" s="18" t="n">
        <f aca="false">IF(D756="","",MAX(0,IF(P756&gt;=0,P756,IF(K756+P756&gt;=0,0,P756+K756))))</f>
        <v>15.1841890225497</v>
      </c>
      <c r="AA756" s="18" t="n">
        <f aca="false">IF(D756="","",IF(H756&lt;=$B$16,1,IF(H756&gt;=$B$17,$B$21,MATCH(H756,Aux_CAV!$A$2:$A$121,1))))</f>
        <v>6</v>
      </c>
      <c r="AB756" s="18" t="n">
        <f aca="false">IF(D756="","",IF(L756&lt;=$B$16,1,IF(L756&gt;=$B$17,$B$21,MATCH(L756,Aux_CAV!$A$2:$A$121,1))))</f>
        <v>6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0.177746127437869</v>
      </c>
      <c r="E757" s="16" t="n">
        <f aca="false">IF(D757="","",D757*$B$15)</f>
        <v>0.460717962318956</v>
      </c>
      <c r="F757" s="16" t="n">
        <f aca="false" t="array" ref="F757:F757">IF(D757="","",IFERROR(INDEX(Dados_Evap!$C$2:$N$15,MATCH($B$9,Dados_Evap!$A$2:$A$15,0),C757),0))</f>
        <v>124.9</v>
      </c>
      <c r="G757" s="16" t="n">
        <f aca="false">IF(F757="","",F757/1000)</f>
        <v>0.1249</v>
      </c>
      <c r="H757" s="16" t="n">
        <f aca="false">IF(D757="","",MAX(0,MIN($B$8,IFERROR(LOOKUP(2,1/($U$24:U756&lt;&gt;""),$U$24:U756),$B$11))))</f>
        <v>15.1841890225497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1.09739359807816</v>
      </c>
      <c r="J757" s="16" t="n">
        <f aca="false">IF(D757="","",$B$12)</f>
        <v>0.25</v>
      </c>
      <c r="K757" s="16" t="n">
        <f aca="false">IF(J757="","",J757*$B$15)</f>
        <v>0.648</v>
      </c>
      <c r="L757" s="16" t="n">
        <f aca="false">IF(D757="","",H757+E757-K757-G757*I757)</f>
        <v>14.8598425244687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1.08697036468047</v>
      </c>
      <c r="N757" s="16" t="n">
        <f aca="false">IF(D757="","",(I757+M757)/2)</f>
        <v>1.09218198137931</v>
      </c>
      <c r="O757" s="16" t="n">
        <f aca="false">IF(D757="","",G757*N757)</f>
        <v>0.136413529474276</v>
      </c>
      <c r="P757" s="16" t="n">
        <f aca="false">IF(D757="","",H757+E757-K757-O757)</f>
        <v>14.8604934553944</v>
      </c>
      <c r="Q757" s="16" t="n">
        <f aca="false">IF(D757="","",IF(P757&gt;=0,K757,MAX(0,K757+P757)))</f>
        <v>0.648</v>
      </c>
      <c r="R757" s="16" t="n">
        <f aca="false">IF(D757="","",Q757/$B$15)</f>
        <v>0.25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14.8604934553944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69.7675749079547</v>
      </c>
      <c r="Z757" s="18" t="n">
        <f aca="false">IF(D757="","",MAX(0,IF(P757&gt;=0,P757,IF(K757+P757&gt;=0,0,P757+K757))))</f>
        <v>14.8604934553944</v>
      </c>
      <c r="AA757" s="18" t="n">
        <f aca="false">IF(D757="","",IF(H757&lt;=$B$16,1,IF(H757&gt;=$B$17,$B$21,MATCH(H757,Aux_CAV!$A$2:$A$121,1))))</f>
        <v>6</v>
      </c>
      <c r="AB757" s="18" t="n">
        <f aca="false">IF(D757="","",IF(L757&lt;=$B$16,1,IF(L757&gt;=$B$17,$B$21,MATCH(L757,Aux_CAV!$A$2:$A$121,1))))</f>
        <v>6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0.789866229085953</v>
      </c>
      <c r="E758" s="16" t="n">
        <f aca="false">IF(D758="","",D758*$B$15)</f>
        <v>2.04733326579079</v>
      </c>
      <c r="F758" s="16" t="n">
        <f aca="false" t="array" ref="F758:F758">IF(D758="","",IFERROR(INDEX(Dados_Evap!$C$2:$N$15,MATCH($B$9,Dados_Evap!$A$2:$A$15,0),C758),0))</f>
        <v>88.2</v>
      </c>
      <c r="G758" s="16" t="n">
        <f aca="false">IF(F758="","",F758/1000)</f>
        <v>0.0882</v>
      </c>
      <c r="H758" s="16" t="n">
        <f aca="false">IF(D758="","",MAX(0,MIN($B$8,IFERROR(LOOKUP(2,1/($U$24:U757&lt;&gt;""),$U$24:U757),$B$11))))</f>
        <v>14.8604934553944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1.0869912830656</v>
      </c>
      <c r="J758" s="16" t="n">
        <f aca="false">IF(D758="","",$B$12)</f>
        <v>0.25</v>
      </c>
      <c r="K758" s="16" t="n">
        <f aca="false">IF(J758="","",J758*$B$15)</f>
        <v>0.648</v>
      </c>
      <c r="L758" s="16" t="n">
        <f aca="false">IF(D758="","",H758+E758-K758-G758*I758)</f>
        <v>16.1639540900188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1.12887943200438</v>
      </c>
      <c r="N758" s="16" t="n">
        <f aca="false">IF(D758="","",(I758+M758)/2)</f>
        <v>1.10793535753499</v>
      </c>
      <c r="O758" s="16" t="n">
        <f aca="false">IF(D758="","",G758*N758)</f>
        <v>0.0977198985345864</v>
      </c>
      <c r="P758" s="16" t="n">
        <f aca="false">IF(D758="","",H758+E758-K758-O758)</f>
        <v>16.1621068226506</v>
      </c>
      <c r="Q758" s="16" t="n">
        <f aca="false">IF(D758="","",IF(P758&gt;=0,K758,MAX(0,K758+P758)))</f>
        <v>0.648</v>
      </c>
      <c r="R758" s="16" t="n">
        <f aca="false">IF(D758="","",Q758/$B$15)</f>
        <v>0.25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16.1621068226506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75.8784357870918</v>
      </c>
      <c r="Z758" s="18" t="n">
        <f aca="false">IF(D758="","",MAX(0,IF(P758&gt;=0,P758,IF(K758+P758&gt;=0,0,P758+K758))))</f>
        <v>16.1621068226506</v>
      </c>
      <c r="AA758" s="18" t="n">
        <f aca="false">IF(D758="","",IF(H758&lt;=$B$16,1,IF(H758&gt;=$B$17,$B$21,MATCH(H758,Aux_CAV!$A$2:$A$121,1))))</f>
        <v>6</v>
      </c>
      <c r="AB758" s="18" t="n">
        <f aca="false">IF(D758="","",IF(L758&lt;=$B$16,1,IF(L758&gt;=$B$17,$B$21,MATCH(L758,Aux_CAV!$A$2:$A$121,1))))</f>
        <v>6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1.73872513310602</v>
      </c>
      <c r="E759" s="16" t="n">
        <f aca="false">IF(D759="","",D759*$B$15)</f>
        <v>4.5067755450108</v>
      </c>
      <c r="F759" s="16" t="n">
        <f aca="false" t="array" ref="F759:F759">IF(D759="","",IFERROR(INDEX(Dados_Evap!$C$2:$N$15,MATCH($B$9,Dados_Evap!$A$2:$A$15,0),C759),0))</f>
        <v>88.2</v>
      </c>
      <c r="G759" s="16" t="n">
        <f aca="false">IF(F759="","",F759/1000)</f>
        <v>0.0882</v>
      </c>
      <c r="H759" s="16" t="n">
        <f aca="false">IF(D759="","",MAX(0,MIN($B$8,IFERROR(LOOKUP(2,1/($U$24:U758&lt;&gt;""),$U$24:U758),$B$11))))</f>
        <v>16.1621068226506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1.12882006802469</v>
      </c>
      <c r="J759" s="16" t="n">
        <f aca="false">IF(D759="","",$B$12)</f>
        <v>0.25</v>
      </c>
      <c r="K759" s="16" t="n">
        <f aca="false">IF(J759="","",J759*$B$15)</f>
        <v>0.648</v>
      </c>
      <c r="L759" s="16" t="n">
        <f aca="false">IF(D759="","",H759+E759-K759-G759*I759)</f>
        <v>19.9213204376616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1.20409579110429</v>
      </c>
      <c r="N759" s="16" t="n">
        <f aca="false">IF(D759="","",(I759+M759)/2)</f>
        <v>1.16645792956449</v>
      </c>
      <c r="O759" s="16" t="n">
        <f aca="false">IF(D759="","",G759*N759)</f>
        <v>0.102881589387588</v>
      </c>
      <c r="P759" s="16" t="n">
        <f aca="false">IF(D759="","",H759+E759-K759-O759)</f>
        <v>19.9180007782738</v>
      </c>
      <c r="Q759" s="16" t="n">
        <f aca="false">IF(D759="","",IF(P759&gt;=0,K759,MAX(0,K759+P759)))</f>
        <v>0.648</v>
      </c>
      <c r="R759" s="16" t="n">
        <f aca="false">IF(D759="","",Q759/$B$15)</f>
        <v>0.25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19.9180007782738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93.5117407430694</v>
      </c>
      <c r="Z759" s="18" t="n">
        <f aca="false">IF(D759="","",MAX(0,IF(P759&gt;=0,P759,IF(K759+P759&gt;=0,0,P759+K759))))</f>
        <v>19.9180007782738</v>
      </c>
      <c r="AA759" s="18" t="n">
        <f aca="false">IF(D759="","",IF(H759&lt;=$B$16,1,IF(H759&gt;=$B$17,$B$21,MATCH(H759,Aux_CAV!$A$2:$A$121,1))))</f>
        <v>6</v>
      </c>
      <c r="AB759" s="18" t="n">
        <f aca="false">IF(D759="","",IF(L759&lt;=$B$16,1,IF(L759&gt;=$B$17,$B$21,MATCH(L759,Aux_CAV!$A$2:$A$121,1))))</f>
        <v>7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1.12069580590244</v>
      </c>
      <c r="E760" s="16" t="n">
        <f aca="false">IF(D760="","",D760*$B$15)</f>
        <v>2.90484352889912</v>
      </c>
      <c r="F760" s="16" t="n">
        <f aca="false" t="array" ref="F760:F760">IF(D760="","",IFERROR(INDEX(Dados_Evap!$C$2:$N$15,MATCH($B$9,Dados_Evap!$A$2:$A$15,0),C760),0))</f>
        <v>83.9</v>
      </c>
      <c r="G760" s="16" t="n">
        <f aca="false">IF(F760="","",F760/1000)</f>
        <v>0.0839</v>
      </c>
      <c r="H760" s="16" t="n">
        <f aca="false">IF(D760="","",MAX(0,MIN($B$8,IFERROR(LOOKUP(2,1/($U$24:U759&lt;&gt;""),$U$24:U759),$B$11))))</f>
        <v>19.9180007782738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1.20403341754585</v>
      </c>
      <c r="J760" s="16" t="n">
        <f aca="false">IF(D760="","",$B$12)</f>
        <v>0.25</v>
      </c>
      <c r="K760" s="16" t="n">
        <f aca="false">IF(J760="","",J760*$B$15)</f>
        <v>0.648</v>
      </c>
      <c r="L760" s="16" t="n">
        <f aca="false">IF(D760="","",H760+E760-K760-G760*I760)</f>
        <v>22.0738259034408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1.24289709839068</v>
      </c>
      <c r="N760" s="16" t="n">
        <f aca="false">IF(D760="","",(I760+M760)/2)</f>
        <v>1.22346525796827</v>
      </c>
      <c r="O760" s="16" t="n">
        <f aca="false">IF(D760="","",G760*N760)</f>
        <v>0.102648735143538</v>
      </c>
      <c r="P760" s="16" t="n">
        <f aca="false">IF(D760="","",H760+E760-K760-O760)</f>
        <v>22.0721955720294</v>
      </c>
      <c r="Q760" s="16" t="n">
        <f aca="false">IF(D760="","",IF(P760&gt;=0,K760,MAX(0,K760+P760)))</f>
        <v>0.648</v>
      </c>
      <c r="R760" s="16" t="n">
        <f aca="false">IF(D760="","",Q760/$B$15)</f>
        <v>0.25</v>
      </c>
      <c r="S760" s="16" t="n">
        <f aca="false">IF(D760="","",MAX(0,J760-R760))</f>
        <v>0</v>
      </c>
      <c r="T760" s="16" t="n">
        <f aca="false">IF(D760="","",MAX(0,Z760-$B$8))</f>
        <v>0.772195572029357</v>
      </c>
      <c r="U760" s="16" t="n">
        <f aca="false">IF(D760="","",MAX(0,MIN($B$8,Z760)))</f>
        <v>21.3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22.0721955720294</v>
      </c>
      <c r="AA760" s="18" t="n">
        <f aca="false">IF(D760="","",IF(H760&lt;=$B$16,1,IF(H760&gt;=$B$17,$B$21,MATCH(H760,Aux_CAV!$A$2:$A$121,1))))</f>
        <v>7</v>
      </c>
      <c r="AB760" s="18" t="n">
        <f aca="false">IF(D760="","",IF(L760&lt;=$B$16,1,IF(L760&gt;=$B$17,$B$21,MATCH(L760,Aux_CAV!$A$2:$A$121,1))))</f>
        <v>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0.719081523258115</v>
      </c>
      <c r="E761" s="16" t="n">
        <f aca="false">IF(D761="","",D761*$B$15)</f>
        <v>1.86385930828503</v>
      </c>
      <c r="F761" s="16" t="n">
        <f aca="false" t="array" ref="F761:F761">IF(D761="","",IFERROR(INDEX(Dados_Evap!$C$2:$N$15,MATCH($B$9,Dados_Evap!$A$2:$A$15,0),C761),0))</f>
        <v>104.7</v>
      </c>
      <c r="G761" s="16" t="n">
        <f aca="false">IF(F761="","",F761/1000)</f>
        <v>0.1047</v>
      </c>
      <c r="H761" s="16" t="n">
        <f aca="false">IF(D761="","",MAX(0,MIN($B$8,IFERROR(LOOKUP(2,1/($U$24:U760&lt;&gt;""),$U$24:U760),$B$11))))</f>
        <v>21.3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1.23</v>
      </c>
      <c r="J761" s="16" t="n">
        <f aca="false">IF(D761="","",$B$12)</f>
        <v>0.25</v>
      </c>
      <c r="K761" s="16" t="n">
        <f aca="false">IF(J761="","",J761*$B$15)</f>
        <v>0.648</v>
      </c>
      <c r="L761" s="16" t="n">
        <f aca="false">IF(D761="","",H761+E761-K761-G761*I761)</f>
        <v>22.387078308285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1.24811797180475</v>
      </c>
      <c r="N761" s="16" t="n">
        <f aca="false">IF(D761="","",(I761+M761)/2)</f>
        <v>1.23905898590238</v>
      </c>
      <c r="O761" s="16" t="n">
        <f aca="false">IF(D761="","",G761*N761)</f>
        <v>0.129729475823979</v>
      </c>
      <c r="P761" s="16" t="n">
        <f aca="false">IF(D761="","",H761+E761-K761-O761)</f>
        <v>22.3861298324611</v>
      </c>
      <c r="Q761" s="16" t="n">
        <f aca="false">IF(D761="","",IF(P761&gt;=0,K761,MAX(0,K761+P761)))</f>
        <v>0.648</v>
      </c>
      <c r="R761" s="16" t="n">
        <f aca="false">IF(D761="","",Q761/$B$15)</f>
        <v>0.25</v>
      </c>
      <c r="S761" s="16" t="n">
        <f aca="false">IF(D761="","",MAX(0,J761-R761))</f>
        <v>0</v>
      </c>
      <c r="T761" s="16" t="n">
        <f aca="false">IF(D761="","",MAX(0,Z761-$B$8))</f>
        <v>1.08612983246105</v>
      </c>
      <c r="U761" s="16" t="n">
        <f aca="false">IF(D761="","",MAX(0,MIN($B$8,Z761)))</f>
        <v>21.3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22.3861298324611</v>
      </c>
      <c r="AA761" s="18" t="n">
        <f aca="false">IF(D761="","",IF(H761&lt;=$B$16,1,IF(H761&gt;=$B$17,$B$21,MATCH(H761,Aux_CAV!$A$2:$A$121,1))))</f>
        <v>8</v>
      </c>
      <c r="AB761" s="18" t="n">
        <f aca="false">IF(D761="","",IF(L761&lt;=$B$16,1,IF(L761&gt;=$B$17,$B$21,MATCH(L761,Aux_CAV!$A$2:$A$121,1))))</f>
        <v>8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0.58117333112801</v>
      </c>
      <c r="E762" s="16" t="n">
        <f aca="false">IF(D762="","",D762*$B$15)</f>
        <v>1.5064012742838</v>
      </c>
      <c r="F762" s="16" t="n">
        <f aca="false" t="array" ref="F762:F762">IF(D762="","",IFERROR(INDEX(Dados_Evap!$C$2:$N$15,MATCH($B$9,Dados_Evap!$A$2:$A$15,0),C762),0))</f>
        <v>145.2</v>
      </c>
      <c r="G762" s="16" t="n">
        <f aca="false">IF(F762="","",F762/1000)</f>
        <v>0.1452</v>
      </c>
      <c r="H762" s="16" t="n">
        <f aca="false">IF(D762="","",MAX(0,MIN($B$8,IFERROR(LOOKUP(2,1/($U$24:U761&lt;&gt;""),$U$24:U761),$B$11))))</f>
        <v>21.3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1.23</v>
      </c>
      <c r="J762" s="16" t="n">
        <f aca="false">IF(D762="","",$B$12)</f>
        <v>0.25</v>
      </c>
      <c r="K762" s="16" t="n">
        <f aca="false">IF(J762="","",J762*$B$15)</f>
        <v>0.648</v>
      </c>
      <c r="L762" s="16" t="n">
        <f aca="false">IF(D762="","",H762+E762-K762-G762*I762)</f>
        <v>21.9798052742838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1.24133008790473</v>
      </c>
      <c r="N762" s="16" t="n">
        <f aca="false">IF(D762="","",(I762+M762)/2)</f>
        <v>1.23566504395236</v>
      </c>
      <c r="O762" s="16" t="n">
        <f aca="false">IF(D762="","",G762*N762)</f>
        <v>0.179418564381883</v>
      </c>
      <c r="P762" s="16" t="n">
        <f aca="false">IF(D762="","",H762+E762-K762-O762)</f>
        <v>21.9789827099019</v>
      </c>
      <c r="Q762" s="16" t="n">
        <f aca="false">IF(D762="","",IF(P762&gt;=0,K762,MAX(0,K762+P762)))</f>
        <v>0.648</v>
      </c>
      <c r="R762" s="16" t="n">
        <f aca="false">IF(D762="","",Q762/$B$15)</f>
        <v>0.25</v>
      </c>
      <c r="S762" s="16" t="n">
        <f aca="false">IF(D762="","",MAX(0,J762-R762))</f>
        <v>0</v>
      </c>
      <c r="T762" s="16" t="n">
        <f aca="false">IF(D762="","",MAX(0,Z762-$B$8))</f>
        <v>0.67898270990192</v>
      </c>
      <c r="U762" s="16" t="n">
        <f aca="false">IF(D762="","",MAX(0,MIN($B$8,Z762)))</f>
        <v>21.3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21.9789827099019</v>
      </c>
      <c r="AA762" s="18" t="n">
        <f aca="false">IF(D762="","",IF(H762&lt;=$B$16,1,IF(H762&gt;=$B$17,$B$21,MATCH(H762,Aux_CAV!$A$2:$A$121,1))))</f>
        <v>8</v>
      </c>
      <c r="AB762" s="18" t="n">
        <f aca="false">IF(D762="","",IF(L762&lt;=$B$16,1,IF(L762&gt;=$B$17,$B$21,MATCH(L762,Aux_CAV!$A$2:$A$121,1))))</f>
        <v>8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0.173737855730645</v>
      </c>
      <c r="E763" s="16" t="n">
        <f aca="false">IF(D763="","",D763*$B$15)</f>
        <v>0.450328522053832</v>
      </c>
      <c r="F763" s="16" t="n">
        <f aca="false" t="array" ref="F763:F763">IF(D763="","",IFERROR(INDEX(Dados_Evap!$C$2:$N$15,MATCH($B$9,Dados_Evap!$A$2:$A$15,0),C763),0))</f>
        <v>180.9</v>
      </c>
      <c r="G763" s="16" t="n">
        <f aca="false">IF(F763="","",F763/1000)</f>
        <v>0.1809</v>
      </c>
      <c r="H763" s="16" t="n">
        <f aca="false">IF(D763="","",MAX(0,MIN($B$8,IFERROR(LOOKUP(2,1/($U$24:U762&lt;&gt;""),$U$24:U762),$B$11))))</f>
        <v>21.3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1.23</v>
      </c>
      <c r="J763" s="16" t="n">
        <f aca="false">IF(D763="","",$B$12)</f>
        <v>0.25</v>
      </c>
      <c r="K763" s="16" t="n">
        <f aca="false">IF(J763="","",J763*$B$15)</f>
        <v>0.648</v>
      </c>
      <c r="L763" s="16" t="n">
        <f aca="false">IF(D763="","",H763+E763-K763-G763*I763)</f>
        <v>20.8798215220538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1.22210520605112</v>
      </c>
      <c r="N763" s="16" t="n">
        <f aca="false">IF(D763="","",(I763+M763)/2)</f>
        <v>1.22605260302556</v>
      </c>
      <c r="O763" s="16" t="n">
        <f aca="false">IF(D763="","",G763*N763)</f>
        <v>0.221792915887323</v>
      </c>
      <c r="P763" s="16" t="n">
        <f aca="false">IF(D763="","",H763+E763-K763-O763)</f>
        <v>20.8805356061665</v>
      </c>
      <c r="Q763" s="16" t="n">
        <f aca="false">IF(D763="","",IF(P763&gt;=0,K763,MAX(0,K763+P763)))</f>
        <v>0.648</v>
      </c>
      <c r="R763" s="16" t="n">
        <f aca="false">IF(D763="","",Q763/$B$15)</f>
        <v>0.25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20.8805356061665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98.0306835970258</v>
      </c>
      <c r="Z763" s="18" t="n">
        <f aca="false">IF(D763="","",MAX(0,IF(P763&gt;=0,P763,IF(K763+P763&gt;=0,0,P763+K763))))</f>
        <v>20.8805356061665</v>
      </c>
      <c r="AA763" s="18" t="n">
        <f aca="false">IF(D763="","",IF(H763&lt;=$B$16,1,IF(H763&gt;=$B$17,$B$21,MATCH(H763,Aux_CAV!$A$2:$A$121,1))))</f>
        <v>8</v>
      </c>
      <c r="AB763" s="18" t="n">
        <f aca="false">IF(D763="","",IF(L763&lt;=$B$16,1,IF(L763&gt;=$B$17,$B$21,MATCH(L763,Aux_CAV!$A$2:$A$121,1))))</f>
        <v>7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0.111450268140345</v>
      </c>
      <c r="E764" s="16" t="n">
        <f aca="false">IF(D764="","",D764*$B$15)</f>
        <v>0.288879095019774</v>
      </c>
      <c r="F764" s="16" t="n">
        <f aca="false" t="array" ref="F764:F764">IF(D764="","",IFERROR(INDEX(Dados_Evap!$C$2:$N$15,MATCH($B$9,Dados_Evap!$A$2:$A$15,0),C764),0))</f>
        <v>208.9</v>
      </c>
      <c r="G764" s="16" t="n">
        <f aca="false">IF(F764="","",F764/1000)</f>
        <v>0.2089</v>
      </c>
      <c r="H764" s="16" t="n">
        <f aca="false">IF(D764="","",MAX(0,MIN($B$8,IFERROR(LOOKUP(2,1/($U$24:U763&lt;&gt;""),$U$24:U763),$B$11))))</f>
        <v>20.8805356061665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1.22211862308037</v>
      </c>
      <c r="J764" s="16" t="n">
        <f aca="false">IF(D764="","",$B$12)</f>
        <v>0.25</v>
      </c>
      <c r="K764" s="16" t="n">
        <f aca="false">IF(J764="","",J764*$B$15)</f>
        <v>0.648</v>
      </c>
      <c r="L764" s="16" t="n">
        <f aca="false">IF(D764="","",H764+E764-K764-G764*I764)</f>
        <v>20.2661141208248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1.21057416928481</v>
      </c>
      <c r="N764" s="16" t="n">
        <f aca="false">IF(D764="","",(I764+M764)/2)</f>
        <v>1.21634639618259</v>
      </c>
      <c r="O764" s="16" t="n">
        <f aca="false">IF(D764="","",G764*N764)</f>
        <v>0.254094762162543</v>
      </c>
      <c r="P764" s="16" t="n">
        <f aca="false">IF(D764="","",H764+E764-K764-O764)</f>
        <v>20.2673199390237</v>
      </c>
      <c r="Q764" s="16" t="n">
        <f aca="false">IF(D764="","",IF(P764&gt;=0,K764,MAX(0,K764+P764)))</f>
        <v>0.648</v>
      </c>
      <c r="R764" s="16" t="n">
        <f aca="false">IF(D764="","",Q764/$B$15)</f>
        <v>0.25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20.2673199390237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95.1517368029283</v>
      </c>
      <c r="Z764" s="18" t="n">
        <f aca="false">IF(D764="","",MAX(0,IF(P764&gt;=0,P764,IF(K764+P764&gt;=0,0,P764+K764))))</f>
        <v>20.2673199390237</v>
      </c>
      <c r="AA764" s="18" t="n">
        <f aca="false">IF(D764="","",IF(H764&lt;=$B$16,1,IF(H764&gt;=$B$17,$B$21,MATCH(H764,Aux_CAV!$A$2:$A$121,1))))</f>
        <v>7</v>
      </c>
      <c r="AB764" s="18" t="n">
        <f aca="false">IF(D764="","",IF(L764&lt;=$B$16,1,IF(L764&gt;=$B$17,$B$21,MATCH(L764,Aux_CAV!$A$2:$A$121,1))))</f>
        <v>7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0.0984910292580604</v>
      </c>
      <c r="E765" s="16" t="n">
        <f aca="false">IF(D765="","",D765*$B$15)</f>
        <v>0.255288747836893</v>
      </c>
      <c r="F765" s="16" t="n">
        <f aca="false" t="array" ref="F765:F765">IF(D765="","",IFERROR(INDEX(Dados_Evap!$C$2:$N$15,MATCH($B$9,Dados_Evap!$A$2:$A$15,0),C765),0))</f>
        <v>235.9</v>
      </c>
      <c r="G765" s="16" t="n">
        <f aca="false">IF(F765="","",F765/1000)</f>
        <v>0.2359</v>
      </c>
      <c r="H765" s="16" t="n">
        <f aca="false">IF(D765="","",MAX(0,MIN($B$8,IFERROR(LOOKUP(2,1/($U$24:U764&lt;&gt;""),$U$24:U764),$B$11))))</f>
        <v>20.2673199390237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1.21059682557665</v>
      </c>
      <c r="J765" s="16" t="n">
        <f aca="false">IF(D765="","",$B$12)</f>
        <v>0.25</v>
      </c>
      <c r="K765" s="16" t="n">
        <f aca="false">IF(J765="","",J765*$B$15)</f>
        <v>0.648</v>
      </c>
      <c r="L765" s="16" t="n">
        <f aca="false">IF(D765="","",H765+E765-K765-G765*I765)</f>
        <v>19.5890288957071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1.19785231745587</v>
      </c>
      <c r="N765" s="16" t="n">
        <f aca="false">IF(D765="","",(I765+M765)/2)</f>
        <v>1.20422457151626</v>
      </c>
      <c r="O765" s="16" t="n">
        <f aca="false">IF(D765="","",G765*N765)</f>
        <v>0.284076576420686</v>
      </c>
      <c r="P765" s="16" t="n">
        <f aca="false">IF(D765="","",H765+E765-K765-O765)</f>
        <v>19.5905321104399</v>
      </c>
      <c r="Q765" s="16" t="n">
        <f aca="false">IF(D765="","",IF(P765&gt;=0,K765,MAX(0,K765+P765)))</f>
        <v>0.648</v>
      </c>
      <c r="R765" s="16" t="n">
        <f aca="false">IF(D765="","",Q765/$B$15)</f>
        <v>0.25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19.5905321104399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91.974329156995</v>
      </c>
      <c r="Z765" s="18" t="n">
        <f aca="false">IF(D765="","",MAX(0,IF(P765&gt;=0,P765,IF(K765+P765&gt;=0,0,P765+K765))))</f>
        <v>19.5905321104399</v>
      </c>
      <c r="AA765" s="18" t="n">
        <f aca="false">IF(D765="","",IF(H765&lt;=$B$16,1,IF(H765&gt;=$B$17,$B$21,MATCH(H765,Aux_CAV!$A$2:$A$121,1))))</f>
        <v>7</v>
      </c>
      <c r="AB765" s="18" t="n">
        <f aca="false">IF(D765="","",IF(L765&lt;=$B$16,1,IF(L765&gt;=$B$17,$B$21,MATCH(L765,Aux_CAV!$A$2:$A$121,1))))</f>
        <v>7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0.0400834521247149</v>
      </c>
      <c r="E766" s="16" t="n">
        <f aca="false">IF(D766="","",D766*$B$15)</f>
        <v>0.103896307907261</v>
      </c>
      <c r="F766" s="16" t="n">
        <f aca="false" t="array" ref="F766:F766">IF(D766="","",IFERROR(INDEX(Dados_Evap!$C$2:$N$15,MATCH($B$9,Dados_Evap!$A$2:$A$15,0),C766),0))</f>
        <v>225.9</v>
      </c>
      <c r="G766" s="16" t="n">
        <f aca="false">IF(F766="","",F766/1000)</f>
        <v>0.2259</v>
      </c>
      <c r="H766" s="16" t="n">
        <f aca="false">IF(D766="","",MAX(0,MIN($B$8,IFERROR(LOOKUP(2,1/($U$24:U765&lt;&gt;""),$U$24:U765),$B$11))))</f>
        <v>19.5905321104399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1.19788056157403</v>
      </c>
      <c r="J766" s="16" t="n">
        <f aca="false">IF(D766="","",$B$12)</f>
        <v>0.25</v>
      </c>
      <c r="K766" s="16" t="n">
        <f aca="false">IF(J766="","",J766*$B$15)</f>
        <v>0.648</v>
      </c>
      <c r="L766" s="16" t="n">
        <f aca="false">IF(D766="","",H766+E766-K766-G766*I766)</f>
        <v>18.7758271994876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1.18257295364382</v>
      </c>
      <c r="N766" s="16" t="n">
        <f aca="false">IF(D766="","",(I766+M766)/2)</f>
        <v>1.19022675760892</v>
      </c>
      <c r="O766" s="16" t="n">
        <f aca="false">IF(D766="","",G766*N766)</f>
        <v>0.268872224543856</v>
      </c>
      <c r="P766" s="16" t="n">
        <f aca="false">IF(D766="","",H766+E766-K766-O766)</f>
        <v>18.7775561938034</v>
      </c>
      <c r="Q766" s="16" t="n">
        <f aca="false">IF(D766="","",IF(P766&gt;=0,K766,MAX(0,K766+P766)))</f>
        <v>0.648</v>
      </c>
      <c r="R766" s="16" t="n">
        <f aca="false">IF(D766="","",Q766/$B$15)</f>
        <v>0.25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18.7775561938034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88.1575408159782</v>
      </c>
      <c r="Z766" s="18" t="n">
        <f aca="false">IF(D766="","",MAX(0,IF(P766&gt;=0,P766,IF(K766+P766&gt;=0,0,P766+K766))))</f>
        <v>18.7775561938034</v>
      </c>
      <c r="AA766" s="18" t="n">
        <f aca="false">IF(D766="","",IF(H766&lt;=$B$16,1,IF(H766&gt;=$B$17,$B$21,MATCH(H766,Aux_CAV!$A$2:$A$121,1))))</f>
        <v>7</v>
      </c>
      <c r="AB766" s="18" t="n">
        <f aca="false">IF(D766="","",IF(L766&lt;=$B$16,1,IF(L766&gt;=$B$17,$B$21,MATCH(L766,Aux_CAV!$A$2:$A$121,1))))</f>
        <v>7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0.0421679857325105</v>
      </c>
      <c r="E767" s="16" t="n">
        <f aca="false">IF(D767="","",D767*$B$15)</f>
        <v>0.109299419018667</v>
      </c>
      <c r="F767" s="16" t="n">
        <f aca="false" t="array" ref="F767:F767">IF(D767="","",IFERROR(INDEX(Dados_Evap!$C$2:$N$15,MATCH($B$9,Dados_Evap!$A$2:$A$15,0),C767),0))</f>
        <v>206</v>
      </c>
      <c r="G767" s="16" t="n">
        <f aca="false">IF(F767="","",F767/1000)</f>
        <v>0.206</v>
      </c>
      <c r="H767" s="16" t="n">
        <f aca="false">IF(D767="","",MAX(0,MIN($B$8,IFERROR(LOOKUP(2,1/($U$24:U766&lt;&gt;""),$U$24:U766),$B$11))))</f>
        <v>18.7775561938034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1.18260543996708</v>
      </c>
      <c r="J767" s="16" t="n">
        <f aca="false">IF(D767="","",$B$12)</f>
        <v>0.25</v>
      </c>
      <c r="K767" s="16" t="n">
        <f aca="false">IF(J767="","",J767*$B$15)</f>
        <v>0.648</v>
      </c>
      <c r="L767" s="16" t="n">
        <f aca="false">IF(D767="","",H767+E767-K767-G767*I767)</f>
        <v>17.9952388921888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1.16790636749415</v>
      </c>
      <c r="N767" s="16" t="n">
        <f aca="false">IF(D767="","",(I767+M767)/2)</f>
        <v>1.17525590373062</v>
      </c>
      <c r="O767" s="16" t="n">
        <f aca="false">IF(D767="","",G767*N767)</f>
        <v>0.242102716168507</v>
      </c>
      <c r="P767" s="16" t="n">
        <f aca="false">IF(D767="","",H767+E767-K767-O767)</f>
        <v>17.9967528966535</v>
      </c>
      <c r="Q767" s="16" t="n">
        <f aca="false">IF(D767="","",IF(P767&gt;=0,K767,MAX(0,K767+P767)))</f>
        <v>0.648</v>
      </c>
      <c r="R767" s="16" t="n">
        <f aca="false">IF(D767="","",Q767/$B$15)</f>
        <v>0.25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17.9967528966535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84.4917976368709</v>
      </c>
      <c r="Z767" s="18" t="n">
        <f aca="false">IF(D767="","",MAX(0,IF(P767&gt;=0,P767,IF(K767+P767&gt;=0,0,P767+K767))))</f>
        <v>17.9967528966535</v>
      </c>
      <c r="AA767" s="18" t="n">
        <f aca="false">IF(D767="","",IF(H767&lt;=$B$16,1,IF(H767&gt;=$B$17,$B$21,MATCH(H767,Aux_CAV!$A$2:$A$121,1))))</f>
        <v>7</v>
      </c>
      <c r="AB767" s="18" t="n">
        <f aca="false">IF(D767="","",IF(L767&lt;=$B$16,1,IF(L767&gt;=$B$17,$B$21,MATCH(L767,Aux_CAV!$A$2:$A$121,1))))</f>
        <v>7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0.0635069485526125</v>
      </c>
      <c r="E768" s="16" t="n">
        <f aca="false">IF(D768="","",D768*$B$15)</f>
        <v>0.164610010648372</v>
      </c>
      <c r="F768" s="16" t="n">
        <f aca="false" t="array" ref="F768:F768">IF(D768="","",IFERROR(INDEX(Dados_Evap!$C$2:$N$15,MATCH($B$9,Dados_Evap!$A$2:$A$15,0),C768),0))</f>
        <v>165.6</v>
      </c>
      <c r="G768" s="16" t="n">
        <f aca="false">IF(F768="","",F768/1000)</f>
        <v>0.1656</v>
      </c>
      <c r="H768" s="16" t="n">
        <f aca="false">IF(D768="","",MAX(0,MIN($B$8,IFERROR(LOOKUP(2,1/($U$24:U767&lt;&gt;""),$U$24:U767),$B$11))))</f>
        <v>17.9967528966535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1.16793481434213</v>
      </c>
      <c r="J768" s="16" t="n">
        <f aca="false">IF(D768="","",$B$12)</f>
        <v>0.25</v>
      </c>
      <c r="K768" s="16" t="n">
        <f aca="false">IF(J768="","",J768*$B$15)</f>
        <v>0.648</v>
      </c>
      <c r="L768" s="16" t="n">
        <f aca="false">IF(D768="","",H768+E768-K768-G768*I768)</f>
        <v>17.3199529020468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1.15521832175036</v>
      </c>
      <c r="N768" s="16" t="n">
        <f aca="false">IF(D768="","",(I768+M768)/2)</f>
        <v>1.16157656804625</v>
      </c>
      <c r="O768" s="16" t="n">
        <f aca="false">IF(D768="","",G768*N768)</f>
        <v>0.192357079668458</v>
      </c>
      <c r="P768" s="16" t="n">
        <f aca="false">IF(D768="","",H768+E768-K768-O768)</f>
        <v>17.3210058276334</v>
      </c>
      <c r="Q768" s="16" t="n">
        <f aca="false">IF(D768="","",IF(P768&gt;=0,K768,MAX(0,K768+P768)))</f>
        <v>0.648</v>
      </c>
      <c r="R768" s="16" t="n">
        <f aca="false">IF(D768="","",Q768/$B$15)</f>
        <v>0.25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17.3210058276334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81.3192761860724</v>
      </c>
      <c r="Z768" s="18" t="n">
        <f aca="false">IF(D768="","",MAX(0,IF(P768&gt;=0,P768,IF(K768+P768&gt;=0,0,P768+K768))))</f>
        <v>17.3210058276334</v>
      </c>
      <c r="AA768" s="18" t="n">
        <f aca="false">IF(D768="","",IF(H768&lt;=$B$16,1,IF(H768&gt;=$B$17,$B$21,MATCH(H768,Aux_CAV!$A$2:$A$121,1))))</f>
        <v>7</v>
      </c>
      <c r="AB768" s="18" t="n">
        <f aca="false">IF(D768="","",IF(L768&lt;=$B$16,1,IF(L768&gt;=$B$17,$B$21,MATCH(L768,Aux_CAV!$A$2:$A$121,1))))</f>
        <v>7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0.132268031769314</v>
      </c>
      <c r="E769" s="16" t="n">
        <f aca="false">IF(D769="","",D769*$B$15)</f>
        <v>0.342838738346062</v>
      </c>
      <c r="F769" s="16" t="n">
        <f aca="false" t="array" ref="F769:F769">IF(D769="","",IFERROR(INDEX(Dados_Evap!$C$2:$N$15,MATCH($B$9,Dados_Evap!$A$2:$A$15,0),C769),0))</f>
        <v>124.9</v>
      </c>
      <c r="G769" s="16" t="n">
        <f aca="false">IF(F769="","",F769/1000)</f>
        <v>0.1249</v>
      </c>
      <c r="H769" s="16" t="n">
        <f aca="false">IF(D769="","",MAX(0,MIN($B$8,IFERROR(LOOKUP(2,1/($U$24:U768&lt;&gt;""),$U$24:U768),$B$11))))</f>
        <v>17.3210058276334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1.15523810532088</v>
      </c>
      <c r="J769" s="16" t="n">
        <f aca="false">IF(D769="","",$B$12)</f>
        <v>0.25</v>
      </c>
      <c r="K769" s="16" t="n">
        <f aca="false">IF(J769="","",J769*$B$15)</f>
        <v>0.648</v>
      </c>
      <c r="L769" s="16" t="n">
        <f aca="false">IF(D769="","",H769+E769-K769-G769*I769)</f>
        <v>16.8715553266249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1.14679331511404</v>
      </c>
      <c r="N769" s="16" t="n">
        <f aca="false">IF(D769="","",(I769+M769)/2)</f>
        <v>1.15101571021746</v>
      </c>
      <c r="O769" s="16" t="n">
        <f aca="false">IF(D769="","",G769*N769)</f>
        <v>0.143761862206161</v>
      </c>
      <c r="P769" s="16" t="n">
        <f aca="false">IF(D769="","",H769+E769-K769-O769)</f>
        <v>16.8720827037733</v>
      </c>
      <c r="Q769" s="16" t="n">
        <f aca="false">IF(D769="","",IF(P769&gt;=0,K769,MAX(0,K769+P769)))</f>
        <v>0.648</v>
      </c>
      <c r="R769" s="16" t="n">
        <f aca="false">IF(D769="","",Q769/$B$15)</f>
        <v>0.25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16.8720827037733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79.2116558862597</v>
      </c>
      <c r="Z769" s="18" t="n">
        <f aca="false">IF(D769="","",MAX(0,IF(P769&gt;=0,P769,IF(K769+P769&gt;=0,0,P769+K769))))</f>
        <v>16.8720827037733</v>
      </c>
      <c r="AA769" s="18" t="n">
        <f aca="false">IF(D769="","",IF(H769&lt;=$B$16,1,IF(H769&gt;=$B$17,$B$21,MATCH(H769,Aux_CAV!$A$2:$A$121,1))))</f>
        <v>7</v>
      </c>
      <c r="AB769" s="18" t="n">
        <f aca="false">IF(D769="","",IF(L769&lt;=$B$16,1,IF(L769&gt;=$B$17,$B$21,MATCH(L769,Aux_CAV!$A$2:$A$121,1))))</f>
        <v>7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0.424130578460806</v>
      </c>
      <c r="E770" s="16" t="n">
        <f aca="false">IF(D770="","",D770*$B$15)</f>
        <v>1.09934645937041</v>
      </c>
      <c r="F770" s="16" t="n">
        <f aca="false" t="array" ref="F770:F770">IF(D770="","",IFERROR(INDEX(Dados_Evap!$C$2:$N$15,MATCH($B$9,Dados_Evap!$A$2:$A$15,0),C770),0))</f>
        <v>88.2</v>
      </c>
      <c r="G770" s="16" t="n">
        <f aca="false">IF(F770="","",F770/1000)</f>
        <v>0.0882</v>
      </c>
      <c r="H770" s="16" t="n">
        <f aca="false">IF(D770="","",MAX(0,MIN($B$8,IFERROR(LOOKUP(2,1/($U$24:U769&lt;&gt;""),$U$24:U769),$B$11))))</f>
        <v>16.8720827037733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1.14680322407925</v>
      </c>
      <c r="J770" s="16" t="n">
        <f aca="false">IF(D770="","",$B$12)</f>
        <v>0.25</v>
      </c>
      <c r="K770" s="16" t="n">
        <f aca="false">IF(J770="","",J770*$B$15)</f>
        <v>0.648</v>
      </c>
      <c r="L770" s="16" t="n">
        <f aca="false">IF(D770="","",H770+E770-K770-G770*I770)</f>
        <v>17.2222811187799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1.15338315254493</v>
      </c>
      <c r="N770" s="16" t="n">
        <f aca="false">IF(D770="","",(I770+M770)/2)</f>
        <v>1.15009318831209</v>
      </c>
      <c r="O770" s="16" t="n">
        <f aca="false">IF(D770="","",G770*N770)</f>
        <v>0.101438219209126</v>
      </c>
      <c r="P770" s="16" t="n">
        <f aca="false">IF(D770="","",H770+E770-K770-O770)</f>
        <v>17.2219909439346</v>
      </c>
      <c r="Q770" s="16" t="n">
        <f aca="false">IF(D770="","",IF(P770&gt;=0,K770,MAX(0,K770+P770)))</f>
        <v>0.648</v>
      </c>
      <c r="R770" s="16" t="n">
        <f aca="false">IF(D770="","",Q770/$B$15)</f>
        <v>0.25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17.2219909439346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80.8544175771578</v>
      </c>
      <c r="Z770" s="18" t="n">
        <f aca="false">IF(D770="","",MAX(0,IF(P770&gt;=0,P770,IF(K770+P770&gt;=0,0,P770+K770))))</f>
        <v>17.2219909439346</v>
      </c>
      <c r="AA770" s="18" t="n">
        <f aca="false">IF(D770="","",IF(H770&lt;=$B$16,1,IF(H770&gt;=$B$17,$B$21,MATCH(H770,Aux_CAV!$A$2:$A$121,1))))</f>
        <v>7</v>
      </c>
      <c r="AB770" s="18" t="n">
        <f aca="false">IF(D770="","",IF(L770&lt;=$B$16,1,IF(L770&gt;=$B$17,$B$21,MATCH(L770,Aux_CAV!$A$2:$A$121,1))))</f>
        <v>7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0.860387431949214</v>
      </c>
      <c r="E771" s="16" t="n">
        <f aca="false">IF(D771="","",D771*$B$15)</f>
        <v>2.23012422361236</v>
      </c>
      <c r="F771" s="16" t="n">
        <f aca="false" t="array" ref="F771:F771">IF(D771="","",IFERROR(INDEX(Dados_Evap!$C$2:$N$15,MATCH($B$9,Dados_Evap!$A$2:$A$15,0),C771),0))</f>
        <v>88.2</v>
      </c>
      <c r="G771" s="16" t="n">
        <f aca="false">IF(F771="","",F771/1000)</f>
        <v>0.0882</v>
      </c>
      <c r="H771" s="16" t="n">
        <f aca="false">IF(D771="","",MAX(0,MIN($B$8,IFERROR(LOOKUP(2,1/($U$24:U770&lt;&gt;""),$U$24:U770),$B$11))))</f>
        <v>17.2219909439346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1.15337770040796</v>
      </c>
      <c r="J771" s="16" t="n">
        <f aca="false">IF(D771="","",$B$12)</f>
        <v>0.25</v>
      </c>
      <c r="K771" s="16" t="n">
        <f aca="false">IF(J771="","",J771*$B$15)</f>
        <v>0.648</v>
      </c>
      <c r="L771" s="16" t="n">
        <f aca="false">IF(D771="","",H771+E771-K771-G771*I771)</f>
        <v>18.702387254371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1.18119307993599</v>
      </c>
      <c r="N771" s="16" t="n">
        <f aca="false">IF(D771="","",(I771+M771)/2)</f>
        <v>1.16728539017197</v>
      </c>
      <c r="O771" s="16" t="n">
        <f aca="false">IF(D771="","",G771*N771)</f>
        <v>0.102954571413168</v>
      </c>
      <c r="P771" s="16" t="n">
        <f aca="false">IF(D771="","",H771+E771-K771-O771)</f>
        <v>18.7011605961338</v>
      </c>
      <c r="Q771" s="16" t="n">
        <f aca="false">IF(D771="","",IF(P771&gt;=0,K771,MAX(0,K771+P771)))</f>
        <v>0.648</v>
      </c>
      <c r="R771" s="16" t="n">
        <f aca="false">IF(D771="","",Q771/$B$15)</f>
        <v>0.25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18.7011605961338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87.7988760381869</v>
      </c>
      <c r="Z771" s="18" t="n">
        <f aca="false">IF(D771="","",MAX(0,IF(P771&gt;=0,P771,IF(K771+P771&gt;=0,0,P771+K771))))</f>
        <v>18.7011605961338</v>
      </c>
      <c r="AA771" s="18" t="n">
        <f aca="false">IF(D771="","",IF(H771&lt;=$B$16,1,IF(H771&gt;=$B$17,$B$21,MATCH(H771,Aux_CAV!$A$2:$A$121,1))))</f>
        <v>7</v>
      </c>
      <c r="AB771" s="18" t="n">
        <f aca="false">IF(D771="","",IF(L771&lt;=$B$16,1,IF(L771&gt;=$B$17,$B$21,MATCH(L771,Aux_CAV!$A$2:$A$121,1))))</f>
        <v>7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0.665319482257252</v>
      </c>
      <c r="E772" s="16" t="n">
        <f aca="false">IF(D772="","",D772*$B$15)</f>
        <v>1.7245080980108</v>
      </c>
      <c r="F772" s="16" t="n">
        <f aca="false" t="array" ref="F772:F772">IF(D772="","",IFERROR(INDEX(Dados_Evap!$C$2:$N$15,MATCH($B$9,Dados_Evap!$A$2:$A$15,0),C772),0))</f>
        <v>83.9</v>
      </c>
      <c r="G772" s="16" t="n">
        <f aca="false">IF(F772="","",F772/1000)</f>
        <v>0.0839</v>
      </c>
      <c r="H772" s="16" t="n">
        <f aca="false">IF(D772="","",MAX(0,MIN($B$8,IFERROR(LOOKUP(2,1/($U$24:U771&lt;&gt;""),$U$24:U771),$B$11))))</f>
        <v>18.7011605961338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1.18117003207767</v>
      </c>
      <c r="J772" s="16" t="n">
        <f aca="false">IF(D772="","",$B$12)</f>
        <v>0.25</v>
      </c>
      <c r="K772" s="16" t="n">
        <f aca="false">IF(J772="","",J772*$B$15)</f>
        <v>0.648</v>
      </c>
      <c r="L772" s="16" t="n">
        <f aca="false">IF(D772="","",H772+E772-K772-G772*I772)</f>
        <v>19.6785685284533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1.19953469051374</v>
      </c>
      <c r="N772" s="16" t="n">
        <f aca="false">IF(D772="","",(I772+M772)/2)</f>
        <v>1.1903523612957</v>
      </c>
      <c r="O772" s="16" t="n">
        <f aca="false">IF(D772="","",G772*N772)</f>
        <v>0.0998705631127095</v>
      </c>
      <c r="P772" s="16" t="n">
        <f aca="false">IF(D772="","",H772+E772-K772-O772)</f>
        <v>19.6777981310319</v>
      </c>
      <c r="Q772" s="16" t="n">
        <f aca="false">IF(D772="","",IF(P772&gt;=0,K772,MAX(0,K772+P772)))</f>
        <v>0.648</v>
      </c>
      <c r="R772" s="16" t="n">
        <f aca="false">IF(D772="","",Q772/$B$15)</f>
        <v>0.25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19.6777981310319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92.3840287841873</v>
      </c>
      <c r="Z772" s="18" t="n">
        <f aca="false">IF(D772="","",MAX(0,IF(P772&gt;=0,P772,IF(K772+P772&gt;=0,0,P772+K772))))</f>
        <v>19.6777981310319</v>
      </c>
      <c r="AA772" s="18" t="n">
        <f aca="false">IF(D772="","",IF(H772&lt;=$B$16,1,IF(H772&gt;=$B$17,$B$21,MATCH(H772,Aux_CAV!$A$2:$A$121,1))))</f>
        <v>7</v>
      </c>
      <c r="AB772" s="18" t="n">
        <f aca="false">IF(D772="","",IF(L772&lt;=$B$16,1,IF(L772&gt;=$B$17,$B$21,MATCH(L772,Aux_CAV!$A$2:$A$121,1))))</f>
        <v>7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0.337814673671271</v>
      </c>
      <c r="E773" s="16" t="n">
        <f aca="false">IF(D773="","",D773*$B$15)</f>
        <v>0.875615634155935</v>
      </c>
      <c r="F773" s="16" t="n">
        <f aca="false" t="array" ref="F773:F773">IF(D773="","",IFERROR(INDEX(Dados_Evap!$C$2:$N$15,MATCH($B$9,Dados_Evap!$A$2:$A$15,0),C773),0))</f>
        <v>104.7</v>
      </c>
      <c r="G773" s="16" t="n">
        <f aca="false">IF(F773="","",F773/1000)</f>
        <v>0.1047</v>
      </c>
      <c r="H773" s="16" t="n">
        <f aca="false">IF(D773="","",MAX(0,MIN($B$8,IFERROR(LOOKUP(2,1/($U$24:U772&lt;&gt;""),$U$24:U772),$B$11))))</f>
        <v>19.6777981310319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1.19952021540561</v>
      </c>
      <c r="J773" s="16" t="n">
        <f aca="false">IF(D773="","",$B$12)</f>
        <v>0.25</v>
      </c>
      <c r="K773" s="16" t="n">
        <f aca="false">IF(J773="","",J773*$B$15)</f>
        <v>0.648</v>
      </c>
      <c r="L773" s="16" t="n">
        <f aca="false">IF(D773="","",H773+E773-K773-G773*I773)</f>
        <v>19.7798239986349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1.20143719412884</v>
      </c>
      <c r="N773" s="16" t="n">
        <f aca="false">IF(D773="","",(I773+M773)/2)</f>
        <v>1.20047870476722</v>
      </c>
      <c r="O773" s="16" t="n">
        <f aca="false">IF(D773="","",G773*N773)</f>
        <v>0.125690120389128</v>
      </c>
      <c r="P773" s="16" t="n">
        <f aca="false">IF(D773="","",H773+E773-K773-O773)</f>
        <v>19.7797236447987</v>
      </c>
      <c r="Q773" s="16" t="n">
        <f aca="false">IF(D773="","",IF(P773&gt;=0,K773,MAX(0,K773+P773)))</f>
        <v>0.648</v>
      </c>
      <c r="R773" s="16" t="n">
        <f aca="false">IF(D773="","",Q773/$B$15)</f>
        <v>0.25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19.7797236447987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92.8625523229986</v>
      </c>
      <c r="Z773" s="18" t="n">
        <f aca="false">IF(D773="","",MAX(0,IF(P773&gt;=0,P773,IF(K773+P773&gt;=0,0,P773+K773))))</f>
        <v>19.7797236447987</v>
      </c>
      <c r="AA773" s="18" t="n">
        <f aca="false">IF(D773="","",IF(H773&lt;=$B$16,1,IF(H773&gt;=$B$17,$B$21,MATCH(H773,Aux_CAV!$A$2:$A$121,1))))</f>
        <v>7</v>
      </c>
      <c r="AB773" s="18" t="n">
        <f aca="false">IF(D773="","",IF(L773&lt;=$B$16,1,IF(L773&gt;=$B$17,$B$21,MATCH(L773,Aux_CAV!$A$2:$A$121,1))))</f>
        <v>7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0.356416406314505</v>
      </c>
      <c r="E774" s="16" t="n">
        <f aca="false">IF(D774="","",D774*$B$15)</f>
        <v>0.923831325167197</v>
      </c>
      <c r="F774" s="16" t="n">
        <f aca="false" t="array" ref="F774:F774">IF(D774="","",IFERROR(INDEX(Dados_Evap!$C$2:$N$15,MATCH($B$9,Dados_Evap!$A$2:$A$15,0),C774),0))</f>
        <v>145.2</v>
      </c>
      <c r="G774" s="16" t="n">
        <f aca="false">IF(F774="","",F774/1000)</f>
        <v>0.1452</v>
      </c>
      <c r="H774" s="16" t="n">
        <f aca="false">IF(D774="","",MAX(0,MIN($B$8,IFERROR(LOOKUP(2,1/($U$24:U773&lt;&gt;""),$U$24:U773),$B$11))))</f>
        <v>19.7797236447987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1.20143530856616</v>
      </c>
      <c r="J774" s="16" t="n">
        <f aca="false">IF(D774="","",$B$12)</f>
        <v>0.25</v>
      </c>
      <c r="K774" s="16" t="n">
        <f aca="false">IF(J774="","",J774*$B$15)</f>
        <v>0.648</v>
      </c>
      <c r="L774" s="16" t="n">
        <f aca="false">IF(D774="","",H774+E774-K774-G774*I774)</f>
        <v>19.8811065631621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1.2033402068235</v>
      </c>
      <c r="N774" s="16" t="n">
        <f aca="false">IF(D774="","",(I774+M774)/2)</f>
        <v>1.20238775769483</v>
      </c>
      <c r="O774" s="16" t="n">
        <f aca="false">IF(D774="","",G774*N774)</f>
        <v>0.174586702417289</v>
      </c>
      <c r="P774" s="16" t="n">
        <f aca="false">IF(D774="","",H774+E774-K774-O774)</f>
        <v>19.8809682675486</v>
      </c>
      <c r="Q774" s="16" t="n">
        <f aca="false">IF(D774="","",IF(P774&gt;=0,K774,MAX(0,K774+P774)))</f>
        <v>0.648</v>
      </c>
      <c r="R774" s="16" t="n">
        <f aca="false">IF(D774="","",Q774/$B$15)</f>
        <v>0.25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19.8809682675486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93.3378791903691</v>
      </c>
      <c r="Z774" s="18" t="n">
        <f aca="false">IF(D774="","",MAX(0,IF(P774&gt;=0,P774,IF(K774+P774&gt;=0,0,P774+K774))))</f>
        <v>19.8809682675486</v>
      </c>
      <c r="AA774" s="18" t="n">
        <f aca="false">IF(D774="","",IF(H774&lt;=$B$16,1,IF(H774&gt;=$B$17,$B$21,MATCH(H774,Aux_CAV!$A$2:$A$121,1))))</f>
        <v>7</v>
      </c>
      <c r="AB774" s="18" t="n">
        <f aca="false">IF(D774="","",IF(L774&lt;=$B$16,1,IF(L774&gt;=$B$17,$B$21,MATCH(L774,Aux_CAV!$A$2:$A$121,1))))</f>
        <v>7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0.171757122669465</v>
      </c>
      <c r="E775" s="16" t="n">
        <f aca="false">IF(D775="","",D775*$B$15)</f>
        <v>0.445194461959253</v>
      </c>
      <c r="F775" s="16" t="n">
        <f aca="false" t="array" ref="F775:F775">IF(D775="","",IFERROR(INDEX(Dados_Evap!$C$2:$N$15,MATCH($B$9,Dados_Evap!$A$2:$A$15,0),C775),0))</f>
        <v>180.9</v>
      </c>
      <c r="G775" s="16" t="n">
        <f aca="false">IF(F775="","",F775/1000)</f>
        <v>0.1809</v>
      </c>
      <c r="H775" s="16" t="n">
        <f aca="false">IF(D775="","",MAX(0,MIN($B$8,IFERROR(LOOKUP(2,1/($U$24:U774&lt;&gt;""),$U$24:U774),$B$11))))</f>
        <v>19.8809682675486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1.2033376083673</v>
      </c>
      <c r="J775" s="16" t="n">
        <f aca="false">IF(D775="","",$B$12)</f>
        <v>0.25</v>
      </c>
      <c r="K775" s="16" t="n">
        <f aca="false">IF(J775="","",J775*$B$15)</f>
        <v>0.648</v>
      </c>
      <c r="L775" s="16" t="n">
        <f aca="false">IF(D775="","",H775+E775-K775-G775*I775)</f>
        <v>19.4604789561542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1.19543697412398</v>
      </c>
      <c r="N775" s="16" t="n">
        <f aca="false">IF(D775="","",(I775+M775)/2)</f>
        <v>1.19938729124564</v>
      </c>
      <c r="O775" s="16" t="n">
        <f aca="false">IF(D775="","",G775*N775)</f>
        <v>0.216969160986337</v>
      </c>
      <c r="P775" s="16" t="n">
        <f aca="false">IF(D775="","",H775+E775-K775-O775)</f>
        <v>19.4611935685215</v>
      </c>
      <c r="Q775" s="16" t="n">
        <f aca="false">IF(D775="","",IF(P775&gt;=0,K775,MAX(0,K775+P775)))</f>
        <v>0.648</v>
      </c>
      <c r="R775" s="16" t="n">
        <f aca="false">IF(D775="","",Q775/$B$15)</f>
        <v>0.25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19.4611935685215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91.3671059555001</v>
      </c>
      <c r="Z775" s="18" t="n">
        <f aca="false">IF(D775="","",MAX(0,IF(P775&gt;=0,P775,IF(K775+P775&gt;=0,0,P775+K775))))</f>
        <v>19.4611935685215</v>
      </c>
      <c r="AA775" s="18" t="n">
        <f aca="false">IF(D775="","",IF(H775&lt;=$B$16,1,IF(H775&gt;=$B$17,$B$21,MATCH(H775,Aux_CAV!$A$2:$A$121,1))))</f>
        <v>7</v>
      </c>
      <c r="AB775" s="18" t="n">
        <f aca="false">IF(D775="","",IF(L775&lt;=$B$16,1,IF(L775&gt;=$B$17,$B$21,MATCH(L775,Aux_CAV!$A$2:$A$121,1))))</f>
        <v>7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0.0552285531839879</v>
      </c>
      <c r="E776" s="16" t="n">
        <f aca="false">IF(D776="","",D776*$B$15)</f>
        <v>0.143152409852897</v>
      </c>
      <c r="F776" s="16" t="n">
        <f aca="false" t="array" ref="F776:F776">IF(D776="","",IFERROR(INDEX(Dados_Evap!$C$2:$N$15,MATCH($B$9,Dados_Evap!$A$2:$A$15,0),C776),0))</f>
        <v>208.9</v>
      </c>
      <c r="G776" s="16" t="n">
        <f aca="false">IF(F776="","",F776/1000)</f>
        <v>0.2089</v>
      </c>
      <c r="H776" s="16" t="n">
        <f aca="false">IF(D776="","",MAX(0,MIN($B$8,IFERROR(LOOKUP(2,1/($U$24:U775&lt;&gt;""),$U$24:U775),$B$11))))</f>
        <v>19.4611935685215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1.19545040107869</v>
      </c>
      <c r="J776" s="16" t="n">
        <f aca="false">IF(D776="","",$B$12)</f>
        <v>0.25</v>
      </c>
      <c r="K776" s="16" t="n">
        <f aca="false">IF(J776="","",J776*$B$15)</f>
        <v>0.648</v>
      </c>
      <c r="L776" s="16" t="n">
        <f aca="false">IF(D776="","",H776+E776-K776-G776*I776)</f>
        <v>18.7066163895891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1.18127254176681</v>
      </c>
      <c r="N776" s="16" t="n">
        <f aca="false">IF(D776="","",(I776+M776)/2)</f>
        <v>1.18836147142275</v>
      </c>
      <c r="O776" s="16" t="n">
        <f aca="false">IF(D776="","",G776*N776)</f>
        <v>0.248248711380213</v>
      </c>
      <c r="P776" s="16" t="n">
        <f aca="false">IF(D776="","",H776+E776-K776-O776)</f>
        <v>18.7080972669942</v>
      </c>
      <c r="Q776" s="16" t="n">
        <f aca="false">IF(D776="","",IF(P776&gt;=0,K776,MAX(0,K776+P776)))</f>
        <v>0.648</v>
      </c>
      <c r="R776" s="16" t="n">
        <f aca="false">IF(D776="","",Q776/$B$15)</f>
        <v>0.25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18.7080972669942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87.8314425680479</v>
      </c>
      <c r="Z776" s="18" t="n">
        <f aca="false">IF(D776="","",MAX(0,IF(P776&gt;=0,P776,IF(K776+P776&gt;=0,0,P776+K776))))</f>
        <v>18.7080972669942</v>
      </c>
      <c r="AA776" s="18" t="n">
        <f aca="false">IF(D776="","",IF(H776&lt;=$B$16,1,IF(H776&gt;=$B$17,$B$21,MATCH(H776,Aux_CAV!$A$2:$A$121,1))))</f>
        <v>7</v>
      </c>
      <c r="AB776" s="18" t="n">
        <f aca="false">IF(D776="","",IF(L776&lt;=$B$16,1,IF(L776&gt;=$B$17,$B$21,MATCH(L776,Aux_CAV!$A$2:$A$121,1))))</f>
        <v>7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0.0361303663716968</v>
      </c>
      <c r="E777" s="16" t="n">
        <f aca="false">IF(D777="","",D777*$B$15)</f>
        <v>0.0936499096354381</v>
      </c>
      <c r="F777" s="16" t="n">
        <f aca="false" t="array" ref="F777:F777">IF(D777="","",IFERROR(INDEX(Dados_Evap!$C$2:$N$15,MATCH($B$9,Dados_Evap!$A$2:$A$15,0),C777),0))</f>
        <v>235.9</v>
      </c>
      <c r="G777" s="16" t="n">
        <f aca="false">IF(F777="","",F777/1000)</f>
        <v>0.2359</v>
      </c>
      <c r="H777" s="16" t="n">
        <f aca="false">IF(D777="","",MAX(0,MIN($B$8,IFERROR(LOOKUP(2,1/($U$24:U776&lt;&gt;""),$U$24:U776),$B$11))))</f>
        <v>18.7080972669942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1.1813003661857</v>
      </c>
      <c r="J777" s="16" t="n">
        <f aca="false">IF(D777="","",$B$12)</f>
        <v>0.25</v>
      </c>
      <c r="K777" s="16" t="n">
        <f aca="false">IF(J777="","",J777*$B$15)</f>
        <v>0.648</v>
      </c>
      <c r="L777" s="16" t="n">
        <f aca="false">IF(D777="","",H777+E777-K777-G777*I777)</f>
        <v>17.8750784202464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1.1656486550777</v>
      </c>
      <c r="N777" s="16" t="n">
        <f aca="false">IF(D777="","",(I777+M777)/2)</f>
        <v>1.1734745106317</v>
      </c>
      <c r="O777" s="16" t="n">
        <f aca="false">IF(D777="","",G777*N777)</f>
        <v>0.276822637058017</v>
      </c>
      <c r="P777" s="16" t="n">
        <f aca="false">IF(D777="","",H777+E777-K777-O777)</f>
        <v>17.8769245395716</v>
      </c>
      <c r="Q777" s="16" t="n">
        <f aca="false">IF(D777="","",IF(P777&gt;=0,K777,MAX(0,K777+P777)))</f>
        <v>0.648</v>
      </c>
      <c r="R777" s="16" t="n">
        <f aca="false">IF(D777="","",Q777/$B$15)</f>
        <v>0.25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17.8769245395716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83.9292231904771</v>
      </c>
      <c r="Z777" s="18" t="n">
        <f aca="false">IF(D777="","",MAX(0,IF(P777&gt;=0,P777,IF(K777+P777&gt;=0,0,P777+K777))))</f>
        <v>17.8769245395716</v>
      </c>
      <c r="AA777" s="18" t="n">
        <f aca="false">IF(D777="","",IF(H777&lt;=$B$16,1,IF(H777&gt;=$B$17,$B$21,MATCH(H777,Aux_CAV!$A$2:$A$121,1))))</f>
        <v>7</v>
      </c>
      <c r="AB777" s="18" t="n">
        <f aca="false">IF(D777="","",IF(L777&lt;=$B$16,1,IF(L777&gt;=$B$17,$B$21,MATCH(L777,Aux_CAV!$A$2:$A$121,1))))</f>
        <v>7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0.0204618470266439</v>
      </c>
      <c r="E778" s="16" t="n">
        <f aca="false">IF(D778="","",D778*$B$15)</f>
        <v>0.053037107493061</v>
      </c>
      <c r="F778" s="16" t="n">
        <f aca="false" t="array" ref="F778:F778">IF(D778="","",IFERROR(INDEX(Dados_Evap!$C$2:$N$15,MATCH($B$9,Dados_Evap!$A$2:$A$15,0),C778),0))</f>
        <v>225.9</v>
      </c>
      <c r="G778" s="16" t="n">
        <f aca="false">IF(F778="","",F778/1000)</f>
        <v>0.2259</v>
      </c>
      <c r="H778" s="16" t="n">
        <f aca="false">IF(D778="","",MAX(0,MIN($B$8,IFERROR(LOOKUP(2,1/($U$24:U777&lt;&gt;""),$U$24:U777),$B$11))))</f>
        <v>17.8769245395716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1.16568334207963</v>
      </c>
      <c r="J778" s="16" t="n">
        <f aca="false">IF(D778="","",$B$12)</f>
        <v>0.25</v>
      </c>
      <c r="K778" s="16" t="n">
        <f aca="false">IF(J778="","",J778*$B$15)</f>
        <v>0.648</v>
      </c>
      <c r="L778" s="16" t="n">
        <f aca="false">IF(D778="","",H778+E778-K778-G778*I778)</f>
        <v>17.0186337800889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1.14955679336284</v>
      </c>
      <c r="N778" s="16" t="n">
        <f aca="false">IF(D778="","",(I778+M778)/2)</f>
        <v>1.15762006772124</v>
      </c>
      <c r="O778" s="16" t="n">
        <f aca="false">IF(D778="","",G778*N778)</f>
        <v>0.261506373298227</v>
      </c>
      <c r="P778" s="16" t="n">
        <f aca="false">IF(D778="","",H778+E778-K778-O778)</f>
        <v>17.0204552737665</v>
      </c>
      <c r="Q778" s="16" t="n">
        <f aca="false">IF(D778="","",IF(P778&gt;=0,K778,MAX(0,K778+P778)))</f>
        <v>0.648</v>
      </c>
      <c r="R778" s="16" t="n">
        <f aca="false">IF(D778="","",Q778/$B$15)</f>
        <v>0.25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17.0204552737665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79.9082407219083</v>
      </c>
      <c r="Z778" s="18" t="n">
        <f aca="false">IF(D778="","",MAX(0,IF(P778&gt;=0,P778,IF(K778+P778&gt;=0,0,P778+K778))))</f>
        <v>17.0204552737665</v>
      </c>
      <c r="AA778" s="18" t="n">
        <f aca="false">IF(D778="","",IF(H778&lt;=$B$16,1,IF(H778&gt;=$B$17,$B$21,MATCH(H778,Aux_CAV!$A$2:$A$121,1))))</f>
        <v>7</v>
      </c>
      <c r="AB778" s="18" t="n">
        <f aca="false">IF(D778="","",IF(L778&lt;=$B$16,1,IF(L778&gt;=$B$17,$B$21,MATCH(L778,Aux_CAV!$A$2:$A$121,1))))</f>
        <v>7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0.0553698826691718</v>
      </c>
      <c r="E779" s="16" t="n">
        <f aca="false">IF(D779="","",D779*$B$15)</f>
        <v>0.143518735878493</v>
      </c>
      <c r="F779" s="16" t="n">
        <f aca="false" t="array" ref="F779:F779">IF(D779="","",IFERROR(INDEX(Dados_Evap!$C$2:$N$15,MATCH($B$9,Dados_Evap!$A$2:$A$15,0),C779),0))</f>
        <v>206</v>
      </c>
      <c r="G779" s="16" t="n">
        <f aca="false">IF(F779="","",F779/1000)</f>
        <v>0.206</v>
      </c>
      <c r="H779" s="16" t="n">
        <f aca="false">IF(D779="","",MAX(0,MIN($B$8,IFERROR(LOOKUP(2,1/($U$24:U778&lt;&gt;""),$U$24:U778),$B$11))))</f>
        <v>17.0204552737665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1.14959101766993</v>
      </c>
      <c r="J779" s="16" t="n">
        <f aca="false">IF(D779="","",$B$12)</f>
        <v>0.25</v>
      </c>
      <c r="K779" s="16" t="n">
        <f aca="false">IF(J779="","",J779*$B$15)</f>
        <v>0.648</v>
      </c>
      <c r="L779" s="16" t="n">
        <f aca="false">IF(D779="","",H779+E779-K779-G779*I779)</f>
        <v>16.2791582600049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1.13258164540659</v>
      </c>
      <c r="N779" s="16" t="n">
        <f aca="false">IF(D779="","",(I779+M779)/2)</f>
        <v>1.14108633153826</v>
      </c>
      <c r="O779" s="16" t="n">
        <f aca="false">IF(D779="","",G779*N779)</f>
        <v>0.235063784296881</v>
      </c>
      <c r="P779" s="16" t="n">
        <f aca="false">IF(D779="","",H779+E779-K779-O779)</f>
        <v>16.2809102253481</v>
      </c>
      <c r="Q779" s="16" t="n">
        <f aca="false">IF(D779="","",IF(P779&gt;=0,K779,MAX(0,K779+P779)))</f>
        <v>0.648</v>
      </c>
      <c r="R779" s="16" t="n">
        <f aca="false">IF(D779="","",Q779/$B$15)</f>
        <v>0.25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16.2809102253481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76.4361982410708</v>
      </c>
      <c r="Z779" s="18" t="n">
        <f aca="false">IF(D779="","",MAX(0,IF(P779&gt;=0,P779,IF(K779+P779&gt;=0,0,P779+K779))))</f>
        <v>16.2809102253481</v>
      </c>
      <c r="AA779" s="18" t="n">
        <f aca="false">IF(D779="","",IF(H779&lt;=$B$16,1,IF(H779&gt;=$B$17,$B$21,MATCH(H779,Aux_CAV!$A$2:$A$121,1))))</f>
        <v>7</v>
      </c>
      <c r="AB779" s="18" t="n">
        <f aca="false">IF(D779="","",IF(L779&lt;=$B$16,1,IF(L779&gt;=$B$17,$B$21,MATCH(L779,Aux_CAV!$A$2:$A$121,1))))</f>
        <v>6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0.290425570511482</v>
      </c>
      <c r="E780" s="16" t="n">
        <f aca="false">IF(D780="","",D780*$B$15)</f>
        <v>0.752783078765761</v>
      </c>
      <c r="F780" s="16" t="n">
        <f aca="false" t="array" ref="F780:F780">IF(D780="","",IFERROR(INDEX(Dados_Evap!$C$2:$N$15,MATCH($B$9,Dados_Evap!$A$2:$A$15,0),C780),0))</f>
        <v>165.6</v>
      </c>
      <c r="G780" s="16" t="n">
        <f aca="false">IF(F780="","",F780/1000)</f>
        <v>0.1656</v>
      </c>
      <c r="H780" s="16" t="n">
        <f aca="false">IF(D780="","",MAX(0,MIN($B$8,IFERROR(LOOKUP(2,1/($U$24:U779&lt;&gt;""),$U$24:U779),$B$11))))</f>
        <v>16.2809102253481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1.13263794675032</v>
      </c>
      <c r="J780" s="16" t="n">
        <f aca="false">IF(D780="","",$B$12)</f>
        <v>0.25</v>
      </c>
      <c r="K780" s="16" t="n">
        <f aca="false">IF(J780="","",J780*$B$15)</f>
        <v>0.648</v>
      </c>
      <c r="L780" s="16" t="n">
        <f aca="false">IF(D780="","",H780+E780-K780-G780*I780)</f>
        <v>16.198128460132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1.12997766318004</v>
      </c>
      <c r="N780" s="16" t="n">
        <f aca="false">IF(D780="","",(I780+M780)/2)</f>
        <v>1.13130780496518</v>
      </c>
      <c r="O780" s="16" t="n">
        <f aca="false">IF(D780="","",G780*N780)</f>
        <v>0.187344572502234</v>
      </c>
      <c r="P780" s="16" t="n">
        <f aca="false">IF(D780="","",H780+E780-K780-O780)</f>
        <v>16.1983487316116</v>
      </c>
      <c r="Q780" s="16" t="n">
        <f aca="false">IF(D780="","",IF(P780&gt;=0,K780,MAX(0,K780+P780)))</f>
        <v>0.648</v>
      </c>
      <c r="R780" s="16" t="n">
        <f aca="false">IF(D780="","",Q780/$B$15)</f>
        <v>0.25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16.1983487316116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76.0485855944207</v>
      </c>
      <c r="Z780" s="18" t="n">
        <f aca="false">IF(D780="","",MAX(0,IF(P780&gt;=0,P780,IF(K780+P780&gt;=0,0,P780+K780))))</f>
        <v>16.1983487316116</v>
      </c>
      <c r="AA780" s="18" t="n">
        <f aca="false">IF(D780="","",IF(H780&lt;=$B$16,1,IF(H780&gt;=$B$17,$B$21,MATCH(H780,Aux_CAV!$A$2:$A$121,1))))</f>
        <v>6</v>
      </c>
      <c r="AB780" s="18" t="n">
        <f aca="false">IF(D780="","",IF(L780&lt;=$B$16,1,IF(L780&gt;=$B$17,$B$21,MATCH(L780,Aux_CAV!$A$2:$A$121,1))))</f>
        <v>6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0.714526972082361</v>
      </c>
      <c r="E781" s="16" t="n">
        <f aca="false">IF(D781="","",D781*$B$15)</f>
        <v>1.85205391163748</v>
      </c>
      <c r="F781" s="16" t="n">
        <f aca="false" t="array" ref="F781:F781">IF(D781="","",IFERROR(INDEX(Dados_Evap!$C$2:$N$15,MATCH($B$9,Dados_Evap!$A$2:$A$15,0),C781),0))</f>
        <v>124.9</v>
      </c>
      <c r="G781" s="16" t="n">
        <f aca="false">IF(F781="","",F781/1000)</f>
        <v>0.1249</v>
      </c>
      <c r="H781" s="16" t="n">
        <f aca="false">IF(D781="","",MAX(0,MIN($B$8,IFERROR(LOOKUP(2,1/($U$24:U780&lt;&gt;""),$U$24:U780),$B$11))))</f>
        <v>16.1983487316116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1.12998474184763</v>
      </c>
      <c r="J781" s="16" t="n">
        <f aca="false">IF(D781="","",$B$12)</f>
        <v>0.25</v>
      </c>
      <c r="K781" s="16" t="n">
        <f aca="false">IF(J781="","",J781*$B$15)</f>
        <v>0.648</v>
      </c>
      <c r="L781" s="16" t="n">
        <f aca="false">IF(D781="","",H781+E781-K781-G781*I781)</f>
        <v>17.2612675489923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1.15411567419819</v>
      </c>
      <c r="N781" s="16" t="n">
        <f aca="false">IF(D781="","",(I781+M781)/2)</f>
        <v>1.14205020802291</v>
      </c>
      <c r="O781" s="16" t="n">
        <f aca="false">IF(D781="","",G781*N781)</f>
        <v>0.142642070982061</v>
      </c>
      <c r="P781" s="16" t="n">
        <f aca="false">IF(D781="","",H781+E781-K781-O781)</f>
        <v>17.259760572267</v>
      </c>
      <c r="Q781" s="16" t="n">
        <f aca="false">IF(D781="","",IF(P781&gt;=0,K781,MAX(0,K781+P781)))</f>
        <v>0.648</v>
      </c>
      <c r="R781" s="16" t="n">
        <f aca="false">IF(D781="","",Q781/$B$15)</f>
        <v>0.25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17.259760572267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81.0317397759015</v>
      </c>
      <c r="Z781" s="18" t="n">
        <f aca="false">IF(D781="","",MAX(0,IF(P781&gt;=0,P781,IF(K781+P781&gt;=0,0,P781+K781))))</f>
        <v>17.259760572267</v>
      </c>
      <c r="AA781" s="18" t="n">
        <f aca="false">IF(D781="","",IF(H781&lt;=$B$16,1,IF(H781&gt;=$B$17,$B$21,MATCH(H781,Aux_CAV!$A$2:$A$121,1))))</f>
        <v>6</v>
      </c>
      <c r="AB781" s="18" t="n">
        <f aca="false">IF(D781="","",IF(L781&lt;=$B$16,1,IF(L781&gt;=$B$17,$B$21,MATCH(L781,Aux_CAV!$A$2:$A$121,1))))</f>
        <v>7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1.99799875510041</v>
      </c>
      <c r="E782" s="16" t="n">
        <f aca="false">IF(D782="","",D782*$B$15)</f>
        <v>5.17881277322026</v>
      </c>
      <c r="F782" s="16" t="n">
        <f aca="false" t="array" ref="F782:F782">IF(D782="","",IFERROR(INDEX(Dados_Evap!$C$2:$N$15,MATCH($B$9,Dados_Evap!$A$2:$A$15,0),C782),0))</f>
        <v>88.2</v>
      </c>
      <c r="G782" s="16" t="n">
        <f aca="false">IF(F782="","",F782/1000)</f>
        <v>0.0882</v>
      </c>
      <c r="H782" s="16" t="n">
        <f aca="false">IF(D782="","",MAX(0,MIN($B$8,IFERROR(LOOKUP(2,1/($U$24:U781&lt;&gt;""),$U$24:U781),$B$11))))</f>
        <v>17.259760572267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1.15408735939541</v>
      </c>
      <c r="J782" s="16" t="n">
        <f aca="false">IF(D782="","",$B$12)</f>
        <v>0.25</v>
      </c>
      <c r="K782" s="16" t="n">
        <f aca="false">IF(J782="","",J782*$B$15)</f>
        <v>0.648</v>
      </c>
      <c r="L782" s="16" t="n">
        <f aca="false">IF(D782="","",H782+E782-K782-G782*I782)</f>
        <v>21.6887828403886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1.23647971400648</v>
      </c>
      <c r="N782" s="16" t="n">
        <f aca="false">IF(D782="","",(I782+M782)/2)</f>
        <v>1.19528353670095</v>
      </c>
      <c r="O782" s="16" t="n">
        <f aca="false">IF(D782="","",G782*N782)</f>
        <v>0.105424007937023</v>
      </c>
      <c r="P782" s="16" t="n">
        <f aca="false">IF(D782="","",H782+E782-K782-O782)</f>
        <v>21.6851493375503</v>
      </c>
      <c r="Q782" s="16" t="n">
        <f aca="false">IF(D782="","",IF(P782&gt;=0,K782,MAX(0,K782+P782)))</f>
        <v>0.648</v>
      </c>
      <c r="R782" s="16" t="n">
        <f aca="false">IF(D782="","",Q782/$B$15)</f>
        <v>0.25</v>
      </c>
      <c r="S782" s="16" t="n">
        <f aca="false">IF(D782="","",MAX(0,J782-R782))</f>
        <v>0</v>
      </c>
      <c r="T782" s="16" t="n">
        <f aca="false">IF(D782="","",MAX(0,Z782-$B$8))</f>
        <v>0.38514933755026</v>
      </c>
      <c r="U782" s="16" t="n">
        <f aca="false">IF(D782="","",MAX(0,MIN($B$8,Z782)))</f>
        <v>21.3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100</v>
      </c>
      <c r="Z782" s="18" t="n">
        <f aca="false">IF(D782="","",MAX(0,IF(P782&gt;=0,P782,IF(K782+P782&gt;=0,0,P782+K782))))</f>
        <v>21.6851493375503</v>
      </c>
      <c r="AA782" s="18" t="n">
        <f aca="false">IF(D782="","",IF(H782&lt;=$B$16,1,IF(H782&gt;=$B$17,$B$21,MATCH(H782,Aux_CAV!$A$2:$A$121,1))))</f>
        <v>7</v>
      </c>
      <c r="AB782" s="18" t="n">
        <f aca="false">IF(D782="","",IF(L782&lt;=$B$16,1,IF(L782&gt;=$B$17,$B$21,MATCH(L782,Aux_CAV!$A$2:$A$121,1))))</f>
        <v>8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3.31665367877505</v>
      </c>
      <c r="E783" s="16" t="n">
        <f aca="false">IF(D783="","",D783*$B$15)</f>
        <v>8.59676633538493</v>
      </c>
      <c r="F783" s="16" t="n">
        <f aca="false" t="array" ref="F783:F783">IF(D783="","",IFERROR(INDEX(Dados_Evap!$C$2:$N$15,MATCH($B$9,Dados_Evap!$A$2:$A$15,0),C783),0))</f>
        <v>88.2</v>
      </c>
      <c r="G783" s="16" t="n">
        <f aca="false">IF(F783="","",F783/1000)</f>
        <v>0.0882</v>
      </c>
      <c r="H783" s="16" t="n">
        <f aca="false">IF(D783="","",MAX(0,MIN($B$8,IFERROR(LOOKUP(2,1/($U$24:U782&lt;&gt;""),$U$24:U782),$B$11))))</f>
        <v>21.3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1.23</v>
      </c>
      <c r="J783" s="16" t="n">
        <f aca="false">IF(D783="","",$B$12)</f>
        <v>0.25</v>
      </c>
      <c r="K783" s="16" t="n">
        <f aca="false">IF(J783="","",J783*$B$15)</f>
        <v>0.648</v>
      </c>
      <c r="L783" s="16" t="n">
        <f aca="false">IF(D783="","",H783+E783-K783-G783*I783)</f>
        <v>29.1402803353849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1.40928708450698</v>
      </c>
      <c r="N783" s="16" t="n">
        <f aca="false">IF(D783="","",(I783+M783)/2)</f>
        <v>1.31964354225349</v>
      </c>
      <c r="O783" s="16" t="n">
        <f aca="false">IF(D783="","",G783*N783)</f>
        <v>0.116392560426758</v>
      </c>
      <c r="P783" s="16" t="n">
        <f aca="false">IF(D783="","",H783+E783-K783-O783)</f>
        <v>29.1323737749582</v>
      </c>
      <c r="Q783" s="16" t="n">
        <f aca="false">IF(D783="","",IF(P783&gt;=0,K783,MAX(0,K783+P783)))</f>
        <v>0.648</v>
      </c>
      <c r="R783" s="16" t="n">
        <f aca="false">IF(D783="","",Q783/$B$15)</f>
        <v>0.25</v>
      </c>
      <c r="S783" s="16" t="n">
        <f aca="false">IF(D783="","",MAX(0,J783-R783))</f>
        <v>0</v>
      </c>
      <c r="T783" s="16" t="n">
        <f aca="false">IF(D783="","",MAX(0,Z783-$B$8))</f>
        <v>7.83237377495817</v>
      </c>
      <c r="U783" s="16" t="n">
        <f aca="false">IF(D783="","",MAX(0,MIN($B$8,Z783)))</f>
        <v>21.3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29.1323737749582</v>
      </c>
      <c r="AA783" s="18" t="n">
        <f aca="false">IF(D783="","",IF(H783&lt;=$B$16,1,IF(H783&gt;=$B$17,$B$21,MATCH(H783,Aux_CAV!$A$2:$A$121,1))))</f>
        <v>8</v>
      </c>
      <c r="AB783" s="18" t="n">
        <f aca="false">IF(D783="","",IF(L783&lt;=$B$16,1,IF(L783&gt;=$B$17,$B$21,MATCH(L783,Aux_CAV!$A$2:$A$121,1))))</f>
        <v>9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1.39579427810665</v>
      </c>
      <c r="E784" s="16" t="n">
        <f aca="false">IF(D784="","",D784*$B$15)</f>
        <v>3.61789876885244</v>
      </c>
      <c r="F784" s="16" t="n">
        <f aca="false" t="array" ref="F784:F784">IF(D784="","",IFERROR(INDEX(Dados_Evap!$C$2:$N$15,MATCH($B$9,Dados_Evap!$A$2:$A$15,0),C784),0))</f>
        <v>83.9</v>
      </c>
      <c r="G784" s="16" t="n">
        <f aca="false">IF(F784="","",F784/1000)</f>
        <v>0.0839</v>
      </c>
      <c r="H784" s="16" t="n">
        <f aca="false">IF(D784="","",MAX(0,MIN($B$8,IFERROR(LOOKUP(2,1/($U$24:U783&lt;&gt;""),$U$24:U783),$B$11))))</f>
        <v>21.3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1.23</v>
      </c>
      <c r="J784" s="16" t="n">
        <f aca="false">IF(D784="","",$B$12)</f>
        <v>0.25</v>
      </c>
      <c r="K784" s="16" t="n">
        <f aca="false">IF(J784="","",J784*$B$15)</f>
        <v>0.648</v>
      </c>
      <c r="L784" s="16" t="n">
        <f aca="false">IF(D784="","",H784+E784-K784-G784*I784)</f>
        <v>24.1667017688524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1.28998085202645</v>
      </c>
      <c r="N784" s="16" t="n">
        <f aca="false">IF(D784="","",(I784+M784)/2)</f>
        <v>1.25999042601322</v>
      </c>
      <c r="O784" s="16" t="n">
        <f aca="false">IF(D784="","",G784*N784)</f>
        <v>0.105713196742509</v>
      </c>
      <c r="P784" s="16" t="n">
        <f aca="false">IF(D784="","",H784+E784-K784-O784)</f>
        <v>24.1641855721099</v>
      </c>
      <c r="Q784" s="16" t="n">
        <f aca="false">IF(D784="","",IF(P784&gt;=0,K784,MAX(0,K784+P784)))</f>
        <v>0.648</v>
      </c>
      <c r="R784" s="16" t="n">
        <f aca="false">IF(D784="","",Q784/$B$15)</f>
        <v>0.25</v>
      </c>
      <c r="S784" s="16" t="n">
        <f aca="false">IF(D784="","",MAX(0,J784-R784))</f>
        <v>0</v>
      </c>
      <c r="T784" s="16" t="n">
        <f aca="false">IF(D784="","",MAX(0,Z784-$B$8))</f>
        <v>2.86418557210993</v>
      </c>
      <c r="U784" s="16" t="n">
        <f aca="false">IF(D784="","",MAX(0,MIN($B$8,Z784)))</f>
        <v>21.3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24.1641855721099</v>
      </c>
      <c r="AA784" s="18" t="n">
        <f aca="false">IF(D784="","",IF(H784&lt;=$B$16,1,IF(H784&gt;=$B$17,$B$21,MATCH(H784,Aux_CAV!$A$2:$A$121,1))))</f>
        <v>8</v>
      </c>
      <c r="AB784" s="18" t="n">
        <f aca="false">IF(D784="","",IF(L784&lt;=$B$16,1,IF(L784&gt;=$B$17,$B$21,MATCH(L784,Aux_CAV!$A$2:$A$121,1))))</f>
        <v>9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0.896236498475129</v>
      </c>
      <c r="E785" s="16" t="n">
        <f aca="false">IF(D785="","",D785*$B$15)</f>
        <v>2.32304500404753</v>
      </c>
      <c r="F785" s="16" t="n">
        <f aca="false" t="array" ref="F785:F785">IF(D785="","",IFERROR(INDEX(Dados_Evap!$C$2:$N$15,MATCH($B$9,Dados_Evap!$A$2:$A$15,0),C785),0))</f>
        <v>104.7</v>
      </c>
      <c r="G785" s="16" t="n">
        <f aca="false">IF(F785="","",F785/1000)</f>
        <v>0.1047</v>
      </c>
      <c r="H785" s="16" t="n">
        <f aca="false">IF(D785="","",MAX(0,MIN($B$8,IFERROR(LOOKUP(2,1/($U$24:U784&lt;&gt;""),$U$24:U784),$B$11))))</f>
        <v>21.3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1.23</v>
      </c>
      <c r="J785" s="16" t="n">
        <f aca="false">IF(D785="","",$B$12)</f>
        <v>0.25</v>
      </c>
      <c r="K785" s="16" t="n">
        <f aca="false">IF(J785="","",J785*$B$15)</f>
        <v>0.648</v>
      </c>
      <c r="L785" s="16" t="n">
        <f aca="false">IF(D785="","",H785+E785-K785-G785*I785)</f>
        <v>22.8462640040475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1.25830618300564</v>
      </c>
      <c r="N785" s="16" t="n">
        <f aca="false">IF(D785="","",(I785+M785)/2)</f>
        <v>1.24415309150282</v>
      </c>
      <c r="O785" s="16" t="n">
        <f aca="false">IF(D785="","",G785*N785)</f>
        <v>0.130262828680345</v>
      </c>
      <c r="P785" s="16" t="n">
        <f aca="false">IF(D785="","",H785+E785-K785-O785)</f>
        <v>22.8447821753672</v>
      </c>
      <c r="Q785" s="16" t="n">
        <f aca="false">IF(D785="","",IF(P785&gt;=0,K785,MAX(0,K785+P785)))</f>
        <v>0.648</v>
      </c>
      <c r="R785" s="16" t="n">
        <f aca="false">IF(D785="","",Q785/$B$15)</f>
        <v>0.25</v>
      </c>
      <c r="S785" s="16" t="n">
        <f aca="false">IF(D785="","",MAX(0,J785-R785))</f>
        <v>0</v>
      </c>
      <c r="T785" s="16" t="n">
        <f aca="false">IF(D785="","",MAX(0,Z785-$B$8))</f>
        <v>1.54478217536719</v>
      </c>
      <c r="U785" s="16" t="n">
        <f aca="false">IF(D785="","",MAX(0,MIN($B$8,Z785)))</f>
        <v>21.3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22.8447821753672</v>
      </c>
      <c r="AA785" s="18" t="n">
        <f aca="false">IF(D785="","",IF(H785&lt;=$B$16,1,IF(H785&gt;=$B$17,$B$21,MATCH(H785,Aux_CAV!$A$2:$A$121,1))))</f>
        <v>8</v>
      </c>
      <c r="AB785" s="18" t="n">
        <f aca="false">IF(D785="","",IF(L785&lt;=$B$16,1,IF(L785&gt;=$B$17,$B$21,MATCH(L785,Aux_CAV!$A$2:$A$121,1))))</f>
        <v>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0.762593908162818</v>
      </c>
      <c r="E786" s="16" t="n">
        <f aca="false">IF(D786="","",D786*$B$15)</f>
        <v>1.97664340995802</v>
      </c>
      <c r="F786" s="16" t="n">
        <f aca="false" t="array" ref="F786:F786">IF(D786="","",IFERROR(INDEX(Dados_Evap!$C$2:$N$15,MATCH($B$9,Dados_Evap!$A$2:$A$15,0),C786),0))</f>
        <v>145.2</v>
      </c>
      <c r="G786" s="16" t="n">
        <f aca="false">IF(F786="","",F786/1000)</f>
        <v>0.1452</v>
      </c>
      <c r="H786" s="16" t="n">
        <f aca="false">IF(D786="","",MAX(0,MIN($B$8,IFERROR(LOOKUP(2,1/($U$24:U785&lt;&gt;""),$U$24:U785),$B$11))))</f>
        <v>21.3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1.23</v>
      </c>
      <c r="J786" s="16" t="n">
        <f aca="false">IF(D786="","",$B$12)</f>
        <v>0.25</v>
      </c>
      <c r="K786" s="16" t="n">
        <f aca="false">IF(J786="","",J786*$B$15)</f>
        <v>0.648</v>
      </c>
      <c r="L786" s="16" t="n">
        <f aca="false">IF(D786="","",H786+E786-K786-G786*I786)</f>
        <v>22.450047409958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1.24916745683263</v>
      </c>
      <c r="N786" s="16" t="n">
        <f aca="false">IF(D786="","",(I786+M786)/2)</f>
        <v>1.23958372841632</v>
      </c>
      <c r="O786" s="16" t="n">
        <f aca="false">IF(D786="","",G786*N786)</f>
        <v>0.179987557366049</v>
      </c>
      <c r="P786" s="16" t="n">
        <f aca="false">IF(D786="","",H786+E786-K786-O786)</f>
        <v>22.448655852592</v>
      </c>
      <c r="Q786" s="16" t="n">
        <f aca="false">IF(D786="","",IF(P786&gt;=0,K786,MAX(0,K786+P786)))</f>
        <v>0.648</v>
      </c>
      <c r="R786" s="16" t="n">
        <f aca="false">IF(D786="","",Q786/$B$15)</f>
        <v>0.25</v>
      </c>
      <c r="S786" s="16" t="n">
        <f aca="false">IF(D786="","",MAX(0,J786-R786))</f>
        <v>0</v>
      </c>
      <c r="T786" s="16" t="n">
        <f aca="false">IF(D786="","",MAX(0,Z786-$B$8))</f>
        <v>1.14865585259198</v>
      </c>
      <c r="U786" s="16" t="n">
        <f aca="false">IF(D786="","",MAX(0,MIN($B$8,Z786)))</f>
        <v>21.3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22.448655852592</v>
      </c>
      <c r="AA786" s="18" t="n">
        <f aca="false">IF(D786="","",IF(H786&lt;=$B$16,1,IF(H786&gt;=$B$17,$B$21,MATCH(H786,Aux_CAV!$A$2:$A$121,1))))</f>
        <v>8</v>
      </c>
      <c r="AB786" s="18" t="n">
        <f aca="false">IF(D786="","",IF(L786&lt;=$B$16,1,IF(L786&gt;=$B$17,$B$21,MATCH(L786,Aux_CAV!$A$2:$A$121,1))))</f>
        <v>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0.294588966814402</v>
      </c>
      <c r="E787" s="16" t="n">
        <f aca="false">IF(D787="","",D787*$B$15)</f>
        <v>0.76357460198293</v>
      </c>
      <c r="F787" s="16" t="n">
        <f aca="false" t="array" ref="F787:F787">IF(D787="","",IFERROR(INDEX(Dados_Evap!$C$2:$N$15,MATCH($B$9,Dados_Evap!$A$2:$A$15,0),C787),0))</f>
        <v>180.9</v>
      </c>
      <c r="G787" s="16" t="n">
        <f aca="false">IF(F787="","",F787/1000)</f>
        <v>0.1809</v>
      </c>
      <c r="H787" s="16" t="n">
        <f aca="false">IF(D787="","",MAX(0,MIN($B$8,IFERROR(LOOKUP(2,1/($U$24:U786&lt;&gt;""),$U$24:U786),$B$11))))</f>
        <v>21.3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1.23</v>
      </c>
      <c r="J787" s="16" t="n">
        <f aca="false">IF(D787="","",$B$12)</f>
        <v>0.25</v>
      </c>
      <c r="K787" s="16" t="n">
        <f aca="false">IF(J787="","",J787*$B$15)</f>
        <v>0.648</v>
      </c>
      <c r="L787" s="16" t="n">
        <f aca="false">IF(D787="","",H787+E787-K787-G787*I787)</f>
        <v>21.1930676019829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1.22799083177003</v>
      </c>
      <c r="N787" s="16" t="n">
        <f aca="false">IF(D787="","",(I787+M787)/2)</f>
        <v>1.22899541588502</v>
      </c>
      <c r="O787" s="16" t="n">
        <f aca="false">IF(D787="","",G787*N787)</f>
        <v>0.2223252707336</v>
      </c>
      <c r="P787" s="16" t="n">
        <f aca="false">IF(D787="","",H787+E787-K787-O787)</f>
        <v>21.1932493312493</v>
      </c>
      <c r="Q787" s="16" t="n">
        <f aca="false">IF(D787="","",IF(P787&gt;=0,K787,MAX(0,K787+P787)))</f>
        <v>0.648</v>
      </c>
      <c r="R787" s="16" t="n">
        <f aca="false">IF(D787="","",Q787/$B$15)</f>
        <v>0.25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21.1932493312493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99.4988231514053</v>
      </c>
      <c r="Z787" s="18" t="n">
        <f aca="false">IF(D787="","",MAX(0,IF(P787&gt;=0,P787,IF(K787+P787&gt;=0,0,P787+K787))))</f>
        <v>21.1932493312493</v>
      </c>
      <c r="AA787" s="18" t="n">
        <f aca="false">IF(D787="","",IF(H787&lt;=$B$16,1,IF(H787&gt;=$B$17,$B$21,MATCH(H787,Aux_CAV!$A$2:$A$121,1))))</f>
        <v>8</v>
      </c>
      <c r="AB787" s="18" t="n">
        <f aca="false">IF(D787="","",IF(L787&lt;=$B$16,1,IF(L787&gt;=$B$17,$B$21,MATCH(L787,Aux_CAV!$A$2:$A$121,1))))</f>
        <v>7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0.197153450999227</v>
      </c>
      <c r="E788" s="16" t="n">
        <f aca="false">IF(D788="","",D788*$B$15)</f>
        <v>0.511021744989996</v>
      </c>
      <c r="F788" s="16" t="n">
        <f aca="false" t="array" ref="F788:F788">IF(D788="","",IFERROR(INDEX(Dados_Evap!$C$2:$N$15,MATCH($B$9,Dados_Evap!$A$2:$A$15,0),C788),0))</f>
        <v>208.9</v>
      </c>
      <c r="G788" s="16" t="n">
        <f aca="false">IF(F788="","",F788/1000)</f>
        <v>0.2089</v>
      </c>
      <c r="H788" s="16" t="n">
        <f aca="false">IF(D788="","",MAX(0,MIN($B$8,IFERROR(LOOKUP(2,1/($U$24:U787&lt;&gt;""),$U$24:U787),$B$11))))</f>
        <v>21.1932493312493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1.2279942463074</v>
      </c>
      <c r="J788" s="16" t="n">
        <f aca="false">IF(D788="","",$B$12)</f>
        <v>0.25</v>
      </c>
      <c r="K788" s="16" t="n">
        <f aca="false">IF(J788="","",J788*$B$15)</f>
        <v>0.648</v>
      </c>
      <c r="L788" s="16" t="n">
        <f aca="false">IF(D788="","",H788+E788-K788-G788*I788)</f>
        <v>20.7997430781857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1.22060060063397</v>
      </c>
      <c r="N788" s="16" t="n">
        <f aca="false">IF(D788="","",(I788+M788)/2)</f>
        <v>1.22429742347068</v>
      </c>
      <c r="O788" s="16" t="n">
        <f aca="false">IF(D788="","",G788*N788)</f>
        <v>0.255755731763026</v>
      </c>
      <c r="P788" s="16" t="n">
        <f aca="false">IF(D788="","",H788+E788-K788-O788)</f>
        <v>20.8005153444763</v>
      </c>
      <c r="Q788" s="16" t="n">
        <f aca="false">IF(D788="","",IF(P788&gt;=0,K788,MAX(0,K788+P788)))</f>
        <v>0.648</v>
      </c>
      <c r="R788" s="16" t="n">
        <f aca="false">IF(D788="","",Q788/$B$15)</f>
        <v>0.25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20.8005153444763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97.6550016172596</v>
      </c>
      <c r="Z788" s="18" t="n">
        <f aca="false">IF(D788="","",MAX(0,IF(P788&gt;=0,P788,IF(K788+P788&gt;=0,0,P788+K788))))</f>
        <v>20.8005153444763</v>
      </c>
      <c r="AA788" s="18" t="n">
        <f aca="false">IF(D788="","",IF(H788&lt;=$B$16,1,IF(H788&gt;=$B$17,$B$21,MATCH(H788,Aux_CAV!$A$2:$A$121,1))))</f>
        <v>7</v>
      </c>
      <c r="AB788" s="18" t="n">
        <f aca="false">IF(D788="","",IF(L788&lt;=$B$16,1,IF(L788&gt;=$B$17,$B$21,MATCH(L788,Aux_CAV!$A$2:$A$121,1))))</f>
        <v>7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0.0974753088541828</v>
      </c>
      <c r="E789" s="16" t="n">
        <f aca="false">IF(D789="","",D789*$B$15)</f>
        <v>0.252656000550042</v>
      </c>
      <c r="F789" s="16" t="n">
        <f aca="false" t="array" ref="F789:F789">IF(D789="","",IFERROR(INDEX(Dados_Evap!$C$2:$N$15,MATCH($B$9,Dados_Evap!$A$2:$A$15,0),C789),0))</f>
        <v>235.9</v>
      </c>
      <c r="G789" s="16" t="n">
        <f aca="false">IF(F789="","",F789/1000)</f>
        <v>0.2359</v>
      </c>
      <c r="H789" s="16" t="n">
        <f aca="false">IF(D789="","",MAX(0,MIN($B$8,IFERROR(LOOKUP(2,1/($U$24:U788&lt;&gt;""),$U$24:U788),$B$11))))</f>
        <v>20.8005153444763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1.22061511085655</v>
      </c>
      <c r="J789" s="16" t="n">
        <f aca="false">IF(D789="","",$B$12)</f>
        <v>0.25</v>
      </c>
      <c r="K789" s="16" t="n">
        <f aca="false">IF(J789="","",J789*$B$15)</f>
        <v>0.648</v>
      </c>
      <c r="L789" s="16" t="n">
        <f aca="false">IF(D789="","",H789+E789-K789-G789*I789)</f>
        <v>20.1172282403753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1.20777673103002</v>
      </c>
      <c r="N789" s="16" t="n">
        <f aca="false">IF(D789="","",(I789+M789)/2)</f>
        <v>1.21419592094328</v>
      </c>
      <c r="O789" s="16" t="n">
        <f aca="false">IF(D789="","",G789*N789)</f>
        <v>0.28642881775052</v>
      </c>
      <c r="P789" s="16" t="n">
        <f aca="false">IF(D789="","",H789+E789-K789-O789)</f>
        <v>20.1187425272758</v>
      </c>
      <c r="Q789" s="16" t="n">
        <f aca="false">IF(D789="","",IF(P789&gt;=0,K789,MAX(0,K789+P789)))</f>
        <v>0.648</v>
      </c>
      <c r="R789" s="16" t="n">
        <f aca="false">IF(D789="","",Q789/$B$15)</f>
        <v>0.25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20.1187425272758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94.4541902689006</v>
      </c>
      <c r="Z789" s="18" t="n">
        <f aca="false">IF(D789="","",MAX(0,IF(P789&gt;=0,P789,IF(K789+P789&gt;=0,0,P789+K789))))</f>
        <v>20.1187425272758</v>
      </c>
      <c r="AA789" s="18" t="n">
        <f aca="false">IF(D789="","",IF(H789&lt;=$B$16,1,IF(H789&gt;=$B$17,$B$21,MATCH(H789,Aux_CAV!$A$2:$A$121,1))))</f>
        <v>7</v>
      </c>
      <c r="AB789" s="18" t="n">
        <f aca="false">IF(D789="","",IF(L789&lt;=$B$16,1,IF(L789&gt;=$B$17,$B$21,MATCH(L789,Aux_CAV!$A$2:$A$121,1))))</f>
        <v>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0.0563927120647228</v>
      </c>
      <c r="E790" s="16" t="n">
        <f aca="false">IF(D790="","",D790*$B$15)</f>
        <v>0.146169909671762</v>
      </c>
      <c r="F790" s="16" t="n">
        <f aca="false" t="array" ref="F790:F790">IF(D790="","",IFERROR(INDEX(Dados_Evap!$C$2:$N$15,MATCH($B$9,Dados_Evap!$A$2:$A$15,0),C790),0))</f>
        <v>225.9</v>
      </c>
      <c r="G790" s="16" t="n">
        <f aca="false">IF(F790="","",F790/1000)</f>
        <v>0.2259</v>
      </c>
      <c r="H790" s="16" t="n">
        <f aca="false">IF(D790="","",MAX(0,MIN($B$8,IFERROR(LOOKUP(2,1/($U$24:U789&lt;&gt;""),$U$24:U789),$B$11))))</f>
        <v>20.1187425272758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1.20780518318472</v>
      </c>
      <c r="J790" s="16" t="n">
        <f aca="false">IF(D790="","",$B$12)</f>
        <v>0.25</v>
      </c>
      <c r="K790" s="16" t="n">
        <f aca="false">IF(J790="","",J790*$B$15)</f>
        <v>0.648</v>
      </c>
      <c r="L790" s="16" t="n">
        <f aca="false">IF(D790="","",H790+E790-K790-G790*I790)</f>
        <v>19.3440692460662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1.19324973531231</v>
      </c>
      <c r="N790" s="16" t="n">
        <f aca="false">IF(D790="","",(I790+M790)/2)</f>
        <v>1.20052745924852</v>
      </c>
      <c r="O790" s="16" t="n">
        <f aca="false">IF(D790="","",G790*N790)</f>
        <v>0.27119915304424</v>
      </c>
      <c r="P790" s="16" t="n">
        <f aca="false">IF(D790="","",H790+E790-K790-O790)</f>
        <v>19.3457132839034</v>
      </c>
      <c r="Q790" s="16" t="n">
        <f aca="false">IF(D790="","",IF(P790&gt;=0,K790,MAX(0,K790+P790)))</f>
        <v>0.648</v>
      </c>
      <c r="R790" s="16" t="n">
        <f aca="false">IF(D790="","",Q790/$B$15)</f>
        <v>0.25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19.3457132839034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90.8249449948514</v>
      </c>
      <c r="Z790" s="18" t="n">
        <f aca="false">IF(D790="","",MAX(0,IF(P790&gt;=0,P790,IF(K790+P790&gt;=0,0,P790+K790))))</f>
        <v>19.3457132839034</v>
      </c>
      <c r="AA790" s="18" t="n">
        <f aca="false">IF(D790="","",IF(H790&lt;=$B$16,1,IF(H790&gt;=$B$17,$B$21,MATCH(H790,Aux_CAV!$A$2:$A$121,1))))</f>
        <v>7</v>
      </c>
      <c r="AB790" s="18" t="n">
        <f aca="false">IF(D790="","",IF(L790&lt;=$B$16,1,IF(L790&gt;=$B$17,$B$21,MATCH(L790,Aux_CAV!$A$2:$A$121,1))))</f>
        <v>7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0.0649691980437954</v>
      </c>
      <c r="E791" s="16" t="n">
        <f aca="false">IF(D791="","",D791*$B$15)</f>
        <v>0.168400161329518</v>
      </c>
      <c r="F791" s="16" t="n">
        <f aca="false" t="array" ref="F791:F791">IF(D791="","",IFERROR(INDEX(Dados_Evap!$C$2:$N$15,MATCH($B$9,Dados_Evap!$A$2:$A$15,0),C791),0))</f>
        <v>206</v>
      </c>
      <c r="G791" s="16" t="n">
        <f aca="false">IF(F791="","",F791/1000)</f>
        <v>0.206</v>
      </c>
      <c r="H791" s="16" t="n">
        <f aca="false">IF(D791="","",MAX(0,MIN($B$8,IFERROR(LOOKUP(2,1/($U$24:U790&lt;&gt;""),$U$24:U790),$B$11))))</f>
        <v>19.3457132839034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1.19328062537605</v>
      </c>
      <c r="J791" s="16" t="n">
        <f aca="false">IF(D791="","",$B$12)</f>
        <v>0.25</v>
      </c>
      <c r="K791" s="16" t="n">
        <f aca="false">IF(J791="","",J791*$B$15)</f>
        <v>0.648</v>
      </c>
      <c r="L791" s="16" t="n">
        <f aca="false">IF(D791="","",H791+E791-K791-G791*I791)</f>
        <v>18.6202976364054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1.17965068627902</v>
      </c>
      <c r="N791" s="16" t="n">
        <f aca="false">IF(D791="","",(I791+M791)/2)</f>
        <v>1.18646565582754</v>
      </c>
      <c r="O791" s="16" t="n">
        <f aca="false">IF(D791="","",G791*N791)</f>
        <v>0.244411925100472</v>
      </c>
      <c r="P791" s="16" t="n">
        <f aca="false">IF(D791="","",H791+E791-K791-O791)</f>
        <v>18.6217015201324</v>
      </c>
      <c r="Q791" s="16" t="n">
        <f aca="false">IF(D791="","",IF(P791&gt;=0,K791,MAX(0,K791+P791)))</f>
        <v>0.648</v>
      </c>
      <c r="R791" s="16" t="n">
        <f aca="false">IF(D791="","",Q791/$B$15)</f>
        <v>0.25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18.6217015201324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87.425828733016</v>
      </c>
      <c r="Z791" s="18" t="n">
        <f aca="false">IF(D791="","",MAX(0,IF(P791&gt;=0,P791,IF(K791+P791&gt;=0,0,P791+K791))))</f>
        <v>18.6217015201324</v>
      </c>
      <c r="AA791" s="18" t="n">
        <f aca="false">IF(D791="","",IF(H791&lt;=$B$16,1,IF(H791&gt;=$B$17,$B$21,MATCH(H791,Aux_CAV!$A$2:$A$121,1))))</f>
        <v>7</v>
      </c>
      <c r="AB791" s="18" t="n">
        <f aca="false">IF(D791="","",IF(L791&lt;=$B$16,1,IF(L791&gt;=$B$17,$B$21,MATCH(L791,Aux_CAV!$A$2:$A$121,1))))</f>
        <v>7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0.553340614621767</v>
      </c>
      <c r="E792" s="16" t="n">
        <f aca="false">IF(D792="","",D792*$B$15)</f>
        <v>1.43425887309962</v>
      </c>
      <c r="F792" s="16" t="n">
        <f aca="false" t="array" ref="F792:F792">IF(D792="","",IFERROR(INDEX(Dados_Evap!$C$2:$N$15,MATCH($B$9,Dados_Evap!$A$2:$A$15,0),C792),0))</f>
        <v>165.6</v>
      </c>
      <c r="G792" s="16" t="n">
        <f aca="false">IF(F792="","",F792/1000)</f>
        <v>0.1656</v>
      </c>
      <c r="H792" s="16" t="n">
        <f aca="false">IF(D792="","",MAX(0,MIN($B$8,IFERROR(LOOKUP(2,1/($U$24:U791&lt;&gt;""),$U$24:U791),$B$11))))</f>
        <v>18.6217015201324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1.17967706405259</v>
      </c>
      <c r="J792" s="16" t="n">
        <f aca="false">IF(D792="","",$B$12)</f>
        <v>0.25</v>
      </c>
      <c r="K792" s="16" t="n">
        <f aca="false">IF(J792="","",J792*$B$15)</f>
        <v>0.648</v>
      </c>
      <c r="L792" s="16" t="n">
        <f aca="false">IF(D792="","",H792+E792-K792-G792*I792)</f>
        <v>19.2126058714249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1.19077965102886</v>
      </c>
      <c r="N792" s="16" t="n">
        <f aca="false">IF(D792="","",(I792+M792)/2)</f>
        <v>1.18522835754073</v>
      </c>
      <c r="O792" s="16" t="n">
        <f aca="false">IF(D792="","",G792*N792)</f>
        <v>0.196273816008744</v>
      </c>
      <c r="P792" s="16" t="n">
        <f aca="false">IF(D792="","",H792+E792-K792-O792)</f>
        <v>19.2116865772233</v>
      </c>
      <c r="Q792" s="16" t="n">
        <f aca="false">IF(D792="","",IF(P792&gt;=0,K792,MAX(0,K792+P792)))</f>
        <v>0.648</v>
      </c>
      <c r="R792" s="16" t="n">
        <f aca="false">IF(D792="","",Q792/$B$15)</f>
        <v>0.25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19.2116865772233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90.1957116301562</v>
      </c>
      <c r="Z792" s="18" t="n">
        <f aca="false">IF(D792="","",MAX(0,IF(P792&gt;=0,P792,IF(K792+P792&gt;=0,0,P792+K792))))</f>
        <v>19.2116865772233</v>
      </c>
      <c r="AA792" s="18" t="n">
        <f aca="false">IF(D792="","",IF(H792&lt;=$B$16,1,IF(H792&gt;=$B$17,$B$21,MATCH(H792,Aux_CAV!$A$2:$A$121,1))))</f>
        <v>7</v>
      </c>
      <c r="AB792" s="18" t="n">
        <f aca="false">IF(D792="","",IF(L792&lt;=$B$16,1,IF(L792&gt;=$B$17,$B$21,MATCH(L792,Aux_CAV!$A$2:$A$121,1))))</f>
        <v>7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0.832684379332089</v>
      </c>
      <c r="E793" s="16" t="n">
        <f aca="false">IF(D793="","",D793*$B$15)</f>
        <v>2.15831791122878</v>
      </c>
      <c r="F793" s="16" t="n">
        <f aca="false" t="array" ref="F793:F793">IF(D793="","",IFERROR(INDEX(Dados_Evap!$C$2:$N$15,MATCH($B$9,Dados_Evap!$A$2:$A$15,0),C793),0))</f>
        <v>124.9</v>
      </c>
      <c r="G793" s="16" t="n">
        <f aca="false">IF(F793="","",F793/1000)</f>
        <v>0.1249</v>
      </c>
      <c r="H793" s="16" t="n">
        <f aca="false">IF(D793="","",MAX(0,MIN($B$8,IFERROR(LOOKUP(2,1/($U$24:U792&lt;&gt;""),$U$24:U792),$B$11))))</f>
        <v>19.2116865772233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1.19076237827768</v>
      </c>
      <c r="J793" s="16" t="n">
        <f aca="false">IF(D793="","",$B$12)</f>
        <v>0.25</v>
      </c>
      <c r="K793" s="16" t="n">
        <f aca="false">IF(J793="","",J793*$B$15)</f>
        <v>0.648</v>
      </c>
      <c r="L793" s="16" t="n">
        <f aca="false">IF(D793="","",H793+E793-K793-G793*I793)</f>
        <v>20.5732782674052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1.21634552068193</v>
      </c>
      <c r="N793" s="16" t="n">
        <f aca="false">IF(D793="","",(I793+M793)/2)</f>
        <v>1.20355394947981</v>
      </c>
      <c r="O793" s="16" t="n">
        <f aca="false">IF(D793="","",G793*N793)</f>
        <v>0.150323888290028</v>
      </c>
      <c r="P793" s="16" t="n">
        <f aca="false">IF(D793="","",H793+E793-K793-O793)</f>
        <v>20.571680600162</v>
      </c>
      <c r="Q793" s="16" t="n">
        <f aca="false">IF(D793="","",IF(P793&gt;=0,K793,MAX(0,K793+P793)))</f>
        <v>0.648</v>
      </c>
      <c r="R793" s="16" t="n">
        <f aca="false">IF(D793="","",Q793/$B$15)</f>
        <v>0.25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20.571680600162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96.5806600946574</v>
      </c>
      <c r="Z793" s="18" t="n">
        <f aca="false">IF(D793="","",MAX(0,IF(P793&gt;=0,P793,IF(K793+P793&gt;=0,0,P793+K793))))</f>
        <v>20.571680600162</v>
      </c>
      <c r="AA793" s="18" t="n">
        <f aca="false">IF(D793="","",IF(H793&lt;=$B$16,1,IF(H793&gt;=$B$17,$B$21,MATCH(H793,Aux_CAV!$A$2:$A$121,1))))</f>
        <v>7</v>
      </c>
      <c r="AB793" s="18" t="n">
        <f aca="false">IF(D793="","",IF(L793&lt;=$B$16,1,IF(L793&gt;=$B$17,$B$21,MATCH(L793,Aux_CAV!$A$2:$A$121,1))))</f>
        <v>7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2.78440695284431</v>
      </c>
      <c r="E794" s="16" t="n">
        <f aca="false">IF(D794="","",D794*$B$15)</f>
        <v>7.21718282177245</v>
      </c>
      <c r="F794" s="16" t="n">
        <f aca="false" t="array" ref="F794:F794">IF(D794="","",IFERROR(INDEX(Dados_Evap!$C$2:$N$15,MATCH($B$9,Dados_Evap!$A$2:$A$15,0),C794),0))</f>
        <v>88.2</v>
      </c>
      <c r="G794" s="16" t="n">
        <f aca="false">IF(F794="","",F794/1000)</f>
        <v>0.0882</v>
      </c>
      <c r="H794" s="16" t="n">
        <f aca="false">IF(D794="","",MAX(0,MIN($B$8,IFERROR(LOOKUP(2,1/($U$24:U793&lt;&gt;""),$U$24:U793),$B$11))))</f>
        <v>20.571680600162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1.21631550188196</v>
      </c>
      <c r="J794" s="16" t="n">
        <f aca="false">IF(D794="","",$B$12)</f>
        <v>0.25</v>
      </c>
      <c r="K794" s="16" t="n">
        <f aca="false">IF(J794="","",J794*$B$15)</f>
        <v>0.648</v>
      </c>
      <c r="L794" s="16" t="n">
        <f aca="false">IF(D794="","",H794+E794-K794-G794*I794)</f>
        <v>27.0335843946685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1.35875164964722</v>
      </c>
      <c r="N794" s="16" t="n">
        <f aca="false">IF(D794="","",(I794+M794)/2)</f>
        <v>1.28753357576459</v>
      </c>
      <c r="O794" s="16" t="n">
        <f aca="false">IF(D794="","",G794*N794)</f>
        <v>0.113560461382437</v>
      </c>
      <c r="P794" s="16" t="n">
        <f aca="false">IF(D794="","",H794+E794-K794-O794)</f>
        <v>27.027302960552</v>
      </c>
      <c r="Q794" s="16" t="n">
        <f aca="false">IF(D794="","",IF(P794&gt;=0,K794,MAX(0,K794+P794)))</f>
        <v>0.648</v>
      </c>
      <c r="R794" s="16" t="n">
        <f aca="false">IF(D794="","",Q794/$B$15)</f>
        <v>0.25</v>
      </c>
      <c r="S794" s="16" t="n">
        <f aca="false">IF(D794="","",MAX(0,J794-R794))</f>
        <v>0</v>
      </c>
      <c r="T794" s="16" t="n">
        <f aca="false">IF(D794="","",MAX(0,Z794-$B$8))</f>
        <v>5.72730296055203</v>
      </c>
      <c r="U794" s="16" t="n">
        <f aca="false">IF(D794="","",MAX(0,MIN($B$8,Z794)))</f>
        <v>21.3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27.027302960552</v>
      </c>
      <c r="AA794" s="18" t="n">
        <f aca="false">IF(D794="","",IF(H794&lt;=$B$16,1,IF(H794&gt;=$B$17,$B$21,MATCH(H794,Aux_CAV!$A$2:$A$121,1))))</f>
        <v>7</v>
      </c>
      <c r="AB794" s="18" t="n">
        <f aca="false">IF(D794="","",IF(L794&lt;=$B$16,1,IF(L794&gt;=$B$17,$B$21,MATCH(L794,Aux_CAV!$A$2:$A$121,1))))</f>
        <v>9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3.84053831650826</v>
      </c>
      <c r="E795" s="16" t="n">
        <f aca="false">IF(D795="","",D795*$B$15)</f>
        <v>9.95467531638941</v>
      </c>
      <c r="F795" s="16" t="n">
        <f aca="false" t="array" ref="F795:F795">IF(D795="","",IFERROR(INDEX(Dados_Evap!$C$2:$N$15,MATCH($B$9,Dados_Evap!$A$2:$A$15,0),C795),0))</f>
        <v>88.2</v>
      </c>
      <c r="G795" s="16" t="n">
        <f aca="false">IF(F795="","",F795/1000)</f>
        <v>0.0882</v>
      </c>
      <c r="H795" s="16" t="n">
        <f aca="false">IF(D795="","",MAX(0,MIN($B$8,IFERROR(LOOKUP(2,1/($U$24:U794&lt;&gt;""),$U$24:U794),$B$11))))</f>
        <v>21.3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1.23</v>
      </c>
      <c r="J795" s="16" t="n">
        <f aca="false">IF(D795="","",$B$12)</f>
        <v>0.25</v>
      </c>
      <c r="K795" s="16" t="n">
        <f aca="false">IF(J795="","",J795*$B$15)</f>
        <v>0.648</v>
      </c>
      <c r="L795" s="16" t="n">
        <f aca="false">IF(D795="","",H795+E795-K795-G795*I795)</f>
        <v>30.4981893163894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1.42814466279221</v>
      </c>
      <c r="N795" s="16" t="n">
        <f aca="false">IF(D795="","",(I795+M795)/2)</f>
        <v>1.3290723313961</v>
      </c>
      <c r="O795" s="16" t="n">
        <f aca="false">IF(D795="","",G795*N795)</f>
        <v>0.117224179629136</v>
      </c>
      <c r="P795" s="16" t="n">
        <f aca="false">IF(D795="","",H795+E795-K795-O795)</f>
        <v>30.4894511367603</v>
      </c>
      <c r="Q795" s="16" t="n">
        <f aca="false">IF(D795="","",IF(P795&gt;=0,K795,MAX(0,K795+P795)))</f>
        <v>0.648</v>
      </c>
      <c r="R795" s="16" t="n">
        <f aca="false">IF(D795="","",Q795/$B$15)</f>
        <v>0.25</v>
      </c>
      <c r="S795" s="16" t="n">
        <f aca="false">IF(D795="","",MAX(0,J795-R795))</f>
        <v>0</v>
      </c>
      <c r="T795" s="16" t="n">
        <f aca="false">IF(D795="","",MAX(0,Z795-$B$8))</f>
        <v>9.18945113676027</v>
      </c>
      <c r="U795" s="16" t="n">
        <f aca="false">IF(D795="","",MAX(0,MIN($B$8,Z795)))</f>
        <v>21.3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30.4894511367603</v>
      </c>
      <c r="AA795" s="18" t="n">
        <f aca="false">IF(D795="","",IF(H795&lt;=$B$16,1,IF(H795&gt;=$B$17,$B$21,MATCH(H795,Aux_CAV!$A$2:$A$121,1))))</f>
        <v>8</v>
      </c>
      <c r="AB795" s="18" t="n">
        <f aca="false">IF(D795="","",IF(L795&lt;=$B$16,1,IF(L795&gt;=$B$17,$B$21,MATCH(L795,Aux_CAV!$A$2:$A$121,1))))</f>
        <v>10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2.95711073812007</v>
      </c>
      <c r="E796" s="16" t="n">
        <f aca="false">IF(D796="","",D796*$B$15)</f>
        <v>7.66483103320722</v>
      </c>
      <c r="F796" s="16" t="n">
        <f aca="false" t="array" ref="F796:F796">IF(D796="","",IFERROR(INDEX(Dados_Evap!$C$2:$N$15,MATCH($B$9,Dados_Evap!$A$2:$A$15,0),C796),0))</f>
        <v>83.9</v>
      </c>
      <c r="G796" s="16" t="n">
        <f aca="false">IF(F796="","",F796/1000)</f>
        <v>0.0839</v>
      </c>
      <c r="H796" s="16" t="n">
        <f aca="false">IF(D796="","",MAX(0,MIN($B$8,IFERROR(LOOKUP(2,1/($U$24:U795&lt;&gt;""),$U$24:U795),$B$11))))</f>
        <v>21.3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1.23</v>
      </c>
      <c r="J796" s="16" t="n">
        <f aca="false">IF(D796="","",$B$12)</f>
        <v>0.25</v>
      </c>
      <c r="K796" s="16" t="n">
        <f aca="false">IF(J796="","",J796*$B$15)</f>
        <v>0.648</v>
      </c>
      <c r="L796" s="16" t="n">
        <f aca="false">IF(D796="","",H796+E796-K796-G796*I796)</f>
        <v>28.2136340332072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1.38705868745325</v>
      </c>
      <c r="N796" s="16" t="n">
        <f aca="false">IF(D796="","",(I796+M796)/2)</f>
        <v>1.30852934372662</v>
      </c>
      <c r="O796" s="16" t="n">
        <f aca="false">IF(D796="","",G796*N796)</f>
        <v>0.109785611938664</v>
      </c>
      <c r="P796" s="16" t="n">
        <f aca="false">IF(D796="","",H796+E796-K796-O796)</f>
        <v>28.2070454212686</v>
      </c>
      <c r="Q796" s="16" t="n">
        <f aca="false">IF(D796="","",IF(P796&gt;=0,K796,MAX(0,K796+P796)))</f>
        <v>0.648</v>
      </c>
      <c r="R796" s="16" t="n">
        <f aca="false">IF(D796="","",Q796/$B$15)</f>
        <v>0.25</v>
      </c>
      <c r="S796" s="16" t="n">
        <f aca="false">IF(D796="","",MAX(0,J796-R796))</f>
        <v>0</v>
      </c>
      <c r="T796" s="16" t="n">
        <f aca="false">IF(D796="","",MAX(0,Z796-$B$8))</f>
        <v>6.90704542126856</v>
      </c>
      <c r="U796" s="16" t="n">
        <f aca="false">IF(D796="","",MAX(0,MIN($B$8,Z796)))</f>
        <v>21.3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28.2070454212686</v>
      </c>
      <c r="AA796" s="18" t="n">
        <f aca="false">IF(D796="","",IF(H796&lt;=$B$16,1,IF(H796&gt;=$B$17,$B$21,MATCH(H796,Aux_CAV!$A$2:$A$121,1))))</f>
        <v>8</v>
      </c>
      <c r="AB796" s="18" t="n">
        <f aca="false">IF(D796="","",IF(L796&lt;=$B$16,1,IF(L796&gt;=$B$17,$B$21,MATCH(L796,Aux_CAV!$A$2:$A$121,1))))</f>
        <v>9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1.07758716441144</v>
      </c>
      <c r="E797" s="16" t="n">
        <f aca="false">IF(D797="","",D797*$B$15)</f>
        <v>2.79310593015445</v>
      </c>
      <c r="F797" s="16" t="n">
        <f aca="false" t="array" ref="F797:F797">IF(D797="","",IFERROR(INDEX(Dados_Evap!$C$2:$N$15,MATCH($B$9,Dados_Evap!$A$2:$A$15,0),C797),0))</f>
        <v>104.7</v>
      </c>
      <c r="G797" s="16" t="n">
        <f aca="false">IF(F797="","",F797/1000)</f>
        <v>0.1047</v>
      </c>
      <c r="H797" s="16" t="n">
        <f aca="false">IF(D797="","",MAX(0,MIN($B$8,IFERROR(LOOKUP(2,1/($U$24:U796&lt;&gt;""),$U$24:U796),$B$11))))</f>
        <v>21.3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1.23</v>
      </c>
      <c r="J797" s="16" t="n">
        <f aca="false">IF(D797="","",$B$12)</f>
        <v>0.25</v>
      </c>
      <c r="K797" s="16" t="n">
        <f aca="false">IF(J797="","",J797*$B$15)</f>
        <v>0.648</v>
      </c>
      <c r="L797" s="16" t="n">
        <f aca="false">IF(D797="","",H797+E797-K797-G797*I797)</f>
        <v>23.3163249301545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1.26958200732005</v>
      </c>
      <c r="N797" s="16" t="n">
        <f aca="false">IF(D797="","",(I797+M797)/2)</f>
        <v>1.24979100366002</v>
      </c>
      <c r="O797" s="16" t="n">
        <f aca="false">IF(D797="","",G797*N797)</f>
        <v>0.130853118083204</v>
      </c>
      <c r="P797" s="16" t="n">
        <f aca="false">IF(D797="","",H797+E797-K797-O797)</f>
        <v>23.3142528120713</v>
      </c>
      <c r="Q797" s="16" t="n">
        <f aca="false">IF(D797="","",IF(P797&gt;=0,K797,MAX(0,K797+P797)))</f>
        <v>0.648</v>
      </c>
      <c r="R797" s="16" t="n">
        <f aca="false">IF(D797="","",Q797/$B$15)</f>
        <v>0.25</v>
      </c>
      <c r="S797" s="16" t="n">
        <f aca="false">IF(D797="","",MAX(0,J797-R797))</f>
        <v>0</v>
      </c>
      <c r="T797" s="16" t="n">
        <f aca="false">IF(D797="","",MAX(0,Z797-$B$8))</f>
        <v>2.01425281207125</v>
      </c>
      <c r="U797" s="16" t="n">
        <f aca="false">IF(D797="","",MAX(0,MIN($B$8,Z797)))</f>
        <v>21.3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23.3142528120713</v>
      </c>
      <c r="AA797" s="18" t="n">
        <f aca="false">IF(D797="","",IF(H797&lt;=$B$16,1,IF(H797&gt;=$B$17,$B$21,MATCH(H797,Aux_CAV!$A$2:$A$121,1))))</f>
        <v>8</v>
      </c>
      <c r="AB797" s="18" t="n">
        <f aca="false">IF(D797="","",IF(L797&lt;=$B$16,1,IF(L797&gt;=$B$17,$B$21,MATCH(L797,Aux_CAV!$A$2:$A$121,1))))</f>
        <v>9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0.434421435359337</v>
      </c>
      <c r="E798" s="16" t="n">
        <f aca="false">IF(D798="","",D798*$B$15)</f>
        <v>1.1260203604514</v>
      </c>
      <c r="F798" s="16" t="n">
        <f aca="false" t="array" ref="F798:F798">IF(D798="","",IFERROR(INDEX(Dados_Evap!$C$2:$N$15,MATCH($B$9,Dados_Evap!$A$2:$A$15,0),C798),0))</f>
        <v>145.2</v>
      </c>
      <c r="G798" s="16" t="n">
        <f aca="false">IF(F798="","",F798/1000)</f>
        <v>0.1452</v>
      </c>
      <c r="H798" s="16" t="n">
        <f aca="false">IF(D798="","",MAX(0,MIN($B$8,IFERROR(LOOKUP(2,1/($U$24:U797&lt;&gt;""),$U$24:U797),$B$11))))</f>
        <v>21.3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1.23</v>
      </c>
      <c r="J798" s="16" t="n">
        <f aca="false">IF(D798="","",$B$12)</f>
        <v>0.25</v>
      </c>
      <c r="K798" s="16" t="n">
        <f aca="false">IF(J798="","",J798*$B$15)</f>
        <v>0.648</v>
      </c>
      <c r="L798" s="16" t="n">
        <f aca="false">IF(D798="","",H798+E798-K798-G798*I798)</f>
        <v>21.5994243604514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1.23499040600752</v>
      </c>
      <c r="N798" s="16" t="n">
        <f aca="false">IF(D798="","",(I798+M798)/2)</f>
        <v>1.23249520300376</v>
      </c>
      <c r="O798" s="16" t="n">
        <f aca="false">IF(D798="","",G798*N798)</f>
        <v>0.178958303476146</v>
      </c>
      <c r="P798" s="16" t="n">
        <f aca="false">IF(D798="","",H798+E798-K798-O798)</f>
        <v>21.5990620569753</v>
      </c>
      <c r="Q798" s="16" t="n">
        <f aca="false">IF(D798="","",IF(P798&gt;=0,K798,MAX(0,K798+P798)))</f>
        <v>0.648</v>
      </c>
      <c r="R798" s="16" t="n">
        <f aca="false">IF(D798="","",Q798/$B$15)</f>
        <v>0.25</v>
      </c>
      <c r="S798" s="16" t="n">
        <f aca="false">IF(D798="","",MAX(0,J798-R798))</f>
        <v>0</v>
      </c>
      <c r="T798" s="16" t="n">
        <f aca="false">IF(D798="","",MAX(0,Z798-$B$8))</f>
        <v>0.299062056975256</v>
      </c>
      <c r="U798" s="16" t="n">
        <f aca="false">IF(D798="","",MAX(0,MIN($B$8,Z798)))</f>
        <v>21.3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21.5990620569753</v>
      </c>
      <c r="AA798" s="18" t="n">
        <f aca="false">IF(D798="","",IF(H798&lt;=$B$16,1,IF(H798&gt;=$B$17,$B$21,MATCH(H798,Aux_CAV!$A$2:$A$121,1))))</f>
        <v>8</v>
      </c>
      <c r="AB798" s="18" t="n">
        <f aca="false">IF(D798="","",IF(L798&lt;=$B$16,1,IF(L798&gt;=$B$17,$B$21,MATCH(L798,Aux_CAV!$A$2:$A$121,1))))</f>
        <v>8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0.290119741107901</v>
      </c>
      <c r="E799" s="16" t="n">
        <f aca="false">IF(D799="","",D799*$B$15)</f>
        <v>0.75199036895168</v>
      </c>
      <c r="F799" s="16" t="n">
        <f aca="false" t="array" ref="F799:F799">IF(D799="","",IFERROR(INDEX(Dados_Evap!$C$2:$N$15,MATCH($B$9,Dados_Evap!$A$2:$A$15,0),C799),0))</f>
        <v>180.9</v>
      </c>
      <c r="G799" s="16" t="n">
        <f aca="false">IF(F799="","",F799/1000)</f>
        <v>0.1809</v>
      </c>
      <c r="H799" s="16" t="n">
        <f aca="false">IF(D799="","",MAX(0,MIN($B$8,IFERROR(LOOKUP(2,1/($U$24:U798&lt;&gt;""),$U$24:U798),$B$11))))</f>
        <v>21.3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1.23</v>
      </c>
      <c r="J799" s="16" t="n">
        <f aca="false">IF(D799="","",$B$12)</f>
        <v>0.25</v>
      </c>
      <c r="K799" s="16" t="n">
        <f aca="false">IF(J799="","",J799*$B$15)</f>
        <v>0.648</v>
      </c>
      <c r="L799" s="16" t="n">
        <f aca="false">IF(D799="","",H799+E799-K799-G799*I799)</f>
        <v>21.1814833689517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1.2277731739469</v>
      </c>
      <c r="N799" s="16" t="n">
        <f aca="false">IF(D799="","",(I799+M799)/2)</f>
        <v>1.22888658697345</v>
      </c>
      <c r="O799" s="16" t="n">
        <f aca="false">IF(D799="","",G799*N799)</f>
        <v>0.222305583583497</v>
      </c>
      <c r="P799" s="16" t="n">
        <f aca="false">IF(D799="","",H799+E799-K799-O799)</f>
        <v>21.1816847853682</v>
      </c>
      <c r="Q799" s="16" t="n">
        <f aca="false">IF(D799="","",IF(P799&gt;=0,K799,MAX(0,K799+P799)))</f>
        <v>0.648</v>
      </c>
      <c r="R799" s="16" t="n">
        <f aca="false">IF(D799="","",Q799/$B$15)</f>
        <v>0.25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21.1816847853682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99.4445295087708</v>
      </c>
      <c r="Z799" s="18" t="n">
        <f aca="false">IF(D799="","",MAX(0,IF(P799&gt;=0,P799,IF(K799+P799&gt;=0,0,P799+K799))))</f>
        <v>21.1816847853682</v>
      </c>
      <c r="AA799" s="18" t="n">
        <f aca="false">IF(D799="","",IF(H799&lt;=$B$16,1,IF(H799&gt;=$B$17,$B$21,MATCH(H799,Aux_CAV!$A$2:$A$121,1))))</f>
        <v>8</v>
      </c>
      <c r="AB799" s="18" t="n">
        <f aca="false">IF(D799="","",IF(L799&lt;=$B$16,1,IF(L799&gt;=$B$17,$B$21,MATCH(L799,Aux_CAV!$A$2:$A$121,1))))</f>
        <v>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0.225521501744873</v>
      </c>
      <c r="E800" s="16" t="n">
        <f aca="false">IF(D800="","",D800*$B$15)</f>
        <v>0.584551732522711</v>
      </c>
      <c r="F800" s="16" t="n">
        <f aca="false" t="array" ref="F800:F800">IF(D800="","",IFERROR(INDEX(Dados_Evap!$C$2:$N$15,MATCH($B$9,Dados_Evap!$A$2:$A$15,0),C800),0))</f>
        <v>208.9</v>
      </c>
      <c r="G800" s="16" t="n">
        <f aca="false">IF(F800="","",F800/1000)</f>
        <v>0.2089</v>
      </c>
      <c r="H800" s="16" t="n">
        <f aca="false">IF(D800="","",MAX(0,MIN($B$8,IFERROR(LOOKUP(2,1/($U$24:U799&lt;&gt;""),$U$24:U799),$B$11))))</f>
        <v>21.1816847853682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1.22777695838896</v>
      </c>
      <c r="J800" s="16" t="n">
        <f aca="false">IF(D800="","",$B$12)</f>
        <v>0.25</v>
      </c>
      <c r="K800" s="16" t="n">
        <f aca="false">IF(J800="","",J800*$B$15)</f>
        <v>0.648</v>
      </c>
      <c r="L800" s="16" t="n">
        <f aca="false">IF(D800="","",H800+E800-K800-G800*I800)</f>
        <v>20.8617539112834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1.22176573110971</v>
      </c>
      <c r="N800" s="16" t="n">
        <f aca="false">IF(D800="","",(I800+M800)/2)</f>
        <v>1.22477134474934</v>
      </c>
      <c r="O800" s="16" t="n">
        <f aca="false">IF(D800="","",G800*N800)</f>
        <v>0.255854733918136</v>
      </c>
      <c r="P800" s="16" t="n">
        <f aca="false">IF(D800="","",H800+E800-K800-O800)</f>
        <v>20.8623817839728</v>
      </c>
      <c r="Q800" s="16" t="n">
        <f aca="false">IF(D800="","",IF(P800&gt;=0,K800,MAX(0,K800+P800)))</f>
        <v>0.648</v>
      </c>
      <c r="R800" s="16" t="n">
        <f aca="false">IF(D800="","",Q800/$B$15)</f>
        <v>0.25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20.8623817839728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97.9454543848486</v>
      </c>
      <c r="Z800" s="18" t="n">
        <f aca="false">IF(D800="","",MAX(0,IF(P800&gt;=0,P800,IF(K800+P800&gt;=0,0,P800+K800))))</f>
        <v>20.8623817839728</v>
      </c>
      <c r="AA800" s="18" t="n">
        <f aca="false">IF(D800="","",IF(H800&lt;=$B$16,1,IF(H800&gt;=$B$17,$B$21,MATCH(H800,Aux_CAV!$A$2:$A$121,1))))</f>
        <v>7</v>
      </c>
      <c r="AB800" s="18" t="n">
        <f aca="false">IF(D800="","",IF(L800&lt;=$B$16,1,IF(L800&gt;=$B$17,$B$21,MATCH(L800,Aux_CAV!$A$2:$A$121,1))))</f>
        <v>7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0.122419235236621</v>
      </c>
      <c r="E801" s="16" t="n">
        <f aca="false">IF(D801="","",D801*$B$15)</f>
        <v>0.317310657733322</v>
      </c>
      <c r="F801" s="16" t="n">
        <f aca="false" t="array" ref="F801:F801">IF(D801="","",IFERROR(INDEX(Dados_Evap!$C$2:$N$15,MATCH($B$9,Dados_Evap!$A$2:$A$15,0),C801),0))</f>
        <v>235.9</v>
      </c>
      <c r="G801" s="16" t="n">
        <f aca="false">IF(F801="","",F801/1000)</f>
        <v>0.2359</v>
      </c>
      <c r="H801" s="16" t="n">
        <f aca="false">IF(D801="","",MAX(0,MIN($B$8,IFERROR(LOOKUP(2,1/($U$24:U800&lt;&gt;""),$U$24:U800),$B$11))))</f>
        <v>20.8623817839728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1.22177752830011</v>
      </c>
      <c r="J801" s="16" t="n">
        <f aca="false">IF(D801="","",$B$12)</f>
        <v>0.25</v>
      </c>
      <c r="K801" s="16" t="n">
        <f aca="false">IF(J801="","",J801*$B$15)</f>
        <v>0.648</v>
      </c>
      <c r="L801" s="16" t="n">
        <f aca="false">IF(D801="","",H801+E801-K801-G801*I801)</f>
        <v>20.2434751227801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1.2101488018894</v>
      </c>
      <c r="N801" s="16" t="n">
        <f aca="false">IF(D801="","",(I801+M801)/2)</f>
        <v>1.21596316509476</v>
      </c>
      <c r="O801" s="16" t="n">
        <f aca="false">IF(D801="","",G801*N801)</f>
        <v>0.286845710645853</v>
      </c>
      <c r="P801" s="16" t="n">
        <f aca="false">IF(D801="","",H801+E801-K801-O801)</f>
        <v>20.2448467310602</v>
      </c>
      <c r="Q801" s="16" t="n">
        <f aca="false">IF(D801="","",IF(P801&gt;=0,K801,MAX(0,K801+P801)))</f>
        <v>0.648</v>
      </c>
      <c r="R801" s="16" t="n">
        <f aca="false">IF(D801="","",Q801/$B$15)</f>
        <v>0.25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20.2448467310602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95.0462287843203</v>
      </c>
      <c r="Z801" s="18" t="n">
        <f aca="false">IF(D801="","",MAX(0,IF(P801&gt;=0,P801,IF(K801+P801&gt;=0,0,P801+K801))))</f>
        <v>20.2448467310602</v>
      </c>
      <c r="AA801" s="18" t="n">
        <f aca="false">IF(D801="","",IF(H801&lt;=$B$16,1,IF(H801&gt;=$B$17,$B$21,MATCH(H801,Aux_CAV!$A$2:$A$121,1))))</f>
        <v>7</v>
      </c>
      <c r="AB801" s="18" t="n">
        <f aca="false">IF(D801="","",IF(L801&lt;=$B$16,1,IF(L801&gt;=$B$17,$B$21,MATCH(L801,Aux_CAV!$A$2:$A$121,1))))</f>
        <v>7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0.0624288104181258</v>
      </c>
      <c r="E802" s="16" t="n">
        <f aca="false">IF(D802="","",D802*$B$15)</f>
        <v>0.161815476603782</v>
      </c>
      <c r="F802" s="16" t="n">
        <f aca="false" t="array" ref="F802:F802">IF(D802="","",IFERROR(INDEX(Dados_Evap!$C$2:$N$15,MATCH($B$9,Dados_Evap!$A$2:$A$15,0),C802),0))</f>
        <v>225.9</v>
      </c>
      <c r="G802" s="16" t="n">
        <f aca="false">IF(F802="","",F802/1000)</f>
        <v>0.2259</v>
      </c>
      <c r="H802" s="16" t="n">
        <f aca="false">IF(D802="","",MAX(0,MIN($B$8,IFERROR(LOOKUP(2,1/($U$24:U801&lt;&gt;""),$U$24:U801),$B$11))))</f>
        <v>20.2448467310602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1.21017457323495</v>
      </c>
      <c r="J802" s="16" t="n">
        <f aca="false">IF(D802="","",$B$12)</f>
        <v>0.25</v>
      </c>
      <c r="K802" s="16" t="n">
        <f aca="false">IF(J802="","",J802*$B$15)</f>
        <v>0.648</v>
      </c>
      <c r="L802" s="16" t="n">
        <f aca="false">IF(D802="","",H802+E802-K802-G802*I802)</f>
        <v>19.4852837715702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1.19590303537397</v>
      </c>
      <c r="N802" s="16" t="n">
        <f aca="false">IF(D802="","",(I802+M802)/2)</f>
        <v>1.20303880430446</v>
      </c>
      <c r="O802" s="16" t="n">
        <f aca="false">IF(D802="","",G802*N802)</f>
        <v>0.271766465892378</v>
      </c>
      <c r="P802" s="16" t="n">
        <f aca="false">IF(D802="","",H802+E802-K802-O802)</f>
        <v>19.4868957417716</v>
      </c>
      <c r="Q802" s="16" t="n">
        <f aca="false">IF(D802="","",IF(P802&gt;=0,K802,MAX(0,K802+P802)))</f>
        <v>0.648</v>
      </c>
      <c r="R802" s="16" t="n">
        <f aca="false">IF(D802="","",Q802/$B$15)</f>
        <v>0.25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19.4868957417716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91.4877734355476</v>
      </c>
      <c r="Z802" s="18" t="n">
        <f aca="false">IF(D802="","",MAX(0,IF(P802&gt;=0,P802,IF(K802+P802&gt;=0,0,P802+K802))))</f>
        <v>19.4868957417716</v>
      </c>
      <c r="AA802" s="18" t="n">
        <f aca="false">IF(D802="","",IF(H802&lt;=$B$16,1,IF(H802&gt;=$B$17,$B$21,MATCH(H802,Aux_CAV!$A$2:$A$121,1))))</f>
        <v>7</v>
      </c>
      <c r="AB802" s="18" t="n">
        <f aca="false">IF(D802="","",IF(L802&lt;=$B$16,1,IF(L802&gt;=$B$17,$B$21,MATCH(L802,Aux_CAV!$A$2:$A$121,1))))</f>
        <v>7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0.14614228797806</v>
      </c>
      <c r="E803" s="16" t="n">
        <f aca="false">IF(D803="","",D803*$B$15)</f>
        <v>0.378800810439132</v>
      </c>
      <c r="F803" s="16" t="n">
        <f aca="false" t="array" ref="F803:F803">IF(D803="","",IFERROR(INDEX(Dados_Evap!$C$2:$N$15,MATCH($B$9,Dados_Evap!$A$2:$A$15,0),C803),0))</f>
        <v>206</v>
      </c>
      <c r="G803" s="16" t="n">
        <f aca="false">IF(F803="","",F803/1000)</f>
        <v>0.206</v>
      </c>
      <c r="H803" s="16" t="n">
        <f aca="false">IF(D803="","",MAX(0,MIN($B$8,IFERROR(LOOKUP(2,1/($U$24:U802&lt;&gt;""),$U$24:U802),$B$11))))</f>
        <v>19.4868957417716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1.19593332291429</v>
      </c>
      <c r="J803" s="16" t="n">
        <f aca="false">IF(D803="","",$B$12)</f>
        <v>0.25</v>
      </c>
      <c r="K803" s="16" t="n">
        <f aca="false">IF(J803="","",J803*$B$15)</f>
        <v>0.648</v>
      </c>
      <c r="L803" s="16" t="n">
        <f aca="false">IF(D803="","",H803+E803-K803-G803*I803)</f>
        <v>18.9713342876904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1.18624636448688</v>
      </c>
      <c r="N803" s="16" t="n">
        <f aca="false">IF(D803="","",(I803+M803)/2)</f>
        <v>1.19108984370058</v>
      </c>
      <c r="O803" s="16" t="n">
        <f aca="false">IF(D803="","",G803*N803)</f>
        <v>0.24536450780232</v>
      </c>
      <c r="P803" s="16" t="n">
        <f aca="false">IF(D803="","",H803+E803-K803-O803)</f>
        <v>18.9723320444084</v>
      </c>
      <c r="Q803" s="16" t="n">
        <f aca="false">IF(D803="","",IF(P803&gt;=0,K803,MAX(0,K803+P803)))</f>
        <v>0.648</v>
      </c>
      <c r="R803" s="16" t="n">
        <f aca="false">IF(D803="","",Q803/$B$15)</f>
        <v>0.25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18.9723320444084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89.0719814291476</v>
      </c>
      <c r="Z803" s="18" t="n">
        <f aca="false">IF(D803="","",MAX(0,IF(P803&gt;=0,P803,IF(K803+P803&gt;=0,0,P803+K803))))</f>
        <v>18.9723320444084</v>
      </c>
      <c r="AA803" s="18" t="n">
        <f aca="false">IF(D803="","",IF(H803&lt;=$B$16,1,IF(H803&gt;=$B$17,$B$21,MATCH(H803,Aux_CAV!$A$2:$A$121,1))))</f>
        <v>7</v>
      </c>
      <c r="AB803" s="18" t="n">
        <f aca="false">IF(D803="","",IF(L803&lt;=$B$16,1,IF(L803&gt;=$B$17,$B$21,MATCH(L803,Aux_CAV!$A$2:$A$121,1))))</f>
        <v>7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0.126955146742919</v>
      </c>
      <c r="E804" s="16" t="n">
        <f aca="false">IF(D804="","",D804*$B$15)</f>
        <v>0.329067740357646</v>
      </c>
      <c r="F804" s="16" t="n">
        <f aca="false" t="array" ref="F804:F804">IF(D804="","",IFERROR(INDEX(Dados_Evap!$C$2:$N$15,MATCH($B$9,Dados_Evap!$A$2:$A$15,0),C804),0))</f>
        <v>165.6</v>
      </c>
      <c r="G804" s="16" t="n">
        <f aca="false">IF(F804="","",F804/1000)</f>
        <v>0.1656</v>
      </c>
      <c r="H804" s="16" t="n">
        <f aca="false">IF(D804="","",MAX(0,MIN($B$8,IFERROR(LOOKUP(2,1/($U$24:U803&lt;&gt;""),$U$24:U803),$B$11))))</f>
        <v>18.9723320444084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1.18626511148158</v>
      </c>
      <c r="J804" s="16" t="n">
        <f aca="false">IF(D804="","",$B$12)</f>
        <v>0.25</v>
      </c>
      <c r="K804" s="16" t="n">
        <f aca="false">IF(J804="","",J804*$B$15)</f>
        <v>0.648</v>
      </c>
      <c r="L804" s="16" t="n">
        <f aca="false">IF(D804="","",H804+E804-K804-G804*I804)</f>
        <v>18.4569542823047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1.17658160446919</v>
      </c>
      <c r="N804" s="16" t="n">
        <f aca="false">IF(D804="","",(I804+M804)/2)</f>
        <v>1.18142335797538</v>
      </c>
      <c r="O804" s="16" t="n">
        <f aca="false">IF(D804="","",G804*N804)</f>
        <v>0.195643708080724</v>
      </c>
      <c r="P804" s="16" t="n">
        <f aca="false">IF(D804="","",H804+E804-K804-O804)</f>
        <v>18.4577560766854</v>
      </c>
      <c r="Q804" s="16" t="n">
        <f aca="false">IF(D804="","",IF(P804&gt;=0,K804,MAX(0,K804+P804)))</f>
        <v>0.648</v>
      </c>
      <c r="R804" s="16" t="n">
        <f aca="false">IF(D804="","",Q804/$B$15)</f>
        <v>0.25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18.4577560766854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86.6561318154243</v>
      </c>
      <c r="Z804" s="18" t="n">
        <f aca="false">IF(D804="","",MAX(0,IF(P804&gt;=0,P804,IF(K804+P804&gt;=0,0,P804+K804))))</f>
        <v>18.4577560766854</v>
      </c>
      <c r="AA804" s="18" t="n">
        <f aca="false">IF(D804="","",IF(H804&lt;=$B$16,1,IF(H804&gt;=$B$17,$B$21,MATCH(H804,Aux_CAV!$A$2:$A$121,1))))</f>
        <v>7</v>
      </c>
      <c r="AB804" s="18" t="n">
        <f aca="false">IF(D804="","",IF(L804&lt;=$B$16,1,IF(L804&gt;=$B$17,$B$21,MATCH(L804,Aux_CAV!$A$2:$A$121,1))))</f>
        <v>7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0.52006687788955</v>
      </c>
      <c r="E805" s="16" t="n">
        <f aca="false">IF(D805="","",D805*$B$15)</f>
        <v>1.34801334748971</v>
      </c>
      <c r="F805" s="16" t="n">
        <f aca="false" t="array" ref="F805:F805">IF(D805="","",IFERROR(INDEX(Dados_Evap!$C$2:$N$15,MATCH($B$9,Dados_Evap!$A$2:$A$15,0),C805),0))</f>
        <v>124.9</v>
      </c>
      <c r="G805" s="16" t="n">
        <f aca="false">IF(F805="","",F805/1000)</f>
        <v>0.1249</v>
      </c>
      <c r="H805" s="16" t="n">
        <f aca="false">IF(D805="","",MAX(0,MIN($B$8,IFERROR(LOOKUP(2,1/($U$24:U804&lt;&gt;""),$U$24:U804),$B$11))))</f>
        <v>18.4577560766854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1.17659666949931</v>
      </c>
      <c r="J805" s="16" t="n">
        <f aca="false">IF(D805="","",$B$12)</f>
        <v>0.25</v>
      </c>
      <c r="K805" s="16" t="n">
        <f aca="false">IF(J805="","",J805*$B$15)</f>
        <v>0.648</v>
      </c>
      <c r="L805" s="16" t="n">
        <f aca="false">IF(D805="","",H805+E805-K805-G805*I805)</f>
        <v>19.0108125001546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1.18698812630771</v>
      </c>
      <c r="N805" s="16" t="n">
        <f aca="false">IF(D805="","",(I805+M805)/2)</f>
        <v>1.18179239790351</v>
      </c>
      <c r="O805" s="16" t="n">
        <f aca="false">IF(D805="","",G805*N805)</f>
        <v>0.147605870498148</v>
      </c>
      <c r="P805" s="16" t="n">
        <f aca="false">IF(D805="","",H805+E805-K805-O805)</f>
        <v>19.0101635536769</v>
      </c>
      <c r="Q805" s="16" t="n">
        <f aca="false">IF(D805="","",IF(P805&gt;=0,K805,MAX(0,K805+P805)))</f>
        <v>0.648</v>
      </c>
      <c r="R805" s="16" t="n">
        <f aca="false">IF(D805="","",Q805/$B$15)</f>
        <v>0.25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19.0101635536769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89.249594148718</v>
      </c>
      <c r="Z805" s="18" t="n">
        <f aca="false">IF(D805="","",MAX(0,IF(P805&gt;=0,P805,IF(K805+P805&gt;=0,0,P805+K805))))</f>
        <v>19.0101635536769</v>
      </c>
      <c r="AA805" s="18" t="n">
        <f aca="false">IF(D805="","",IF(H805&lt;=$B$16,1,IF(H805&gt;=$B$17,$B$21,MATCH(H805,Aux_CAV!$A$2:$A$121,1))))</f>
        <v>7</v>
      </c>
      <c r="AB805" s="18" t="n">
        <f aca="false">IF(D805="","",IF(L805&lt;=$B$16,1,IF(L805&gt;=$B$17,$B$21,MATCH(L805,Aux_CAV!$A$2:$A$121,1))))</f>
        <v>7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1.37041140986459</v>
      </c>
      <c r="E806" s="16" t="n">
        <f aca="false">IF(D806="","",D806*$B$15)</f>
        <v>3.55210637436902</v>
      </c>
      <c r="F806" s="16" t="n">
        <f aca="false" t="array" ref="F806:F806">IF(D806="","",IFERROR(INDEX(Dados_Evap!$C$2:$N$15,MATCH($B$9,Dados_Evap!$A$2:$A$15,0),C806),0))</f>
        <v>88.2</v>
      </c>
      <c r="G806" s="16" t="n">
        <f aca="false">IF(F806="","",F806/1000)</f>
        <v>0.0882</v>
      </c>
      <c r="H806" s="16" t="n">
        <f aca="false">IF(D806="","",MAX(0,MIN($B$8,IFERROR(LOOKUP(2,1/($U$24:U805&lt;&gt;""),$U$24:U805),$B$11))))</f>
        <v>19.0101635536769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1.18697593315886</v>
      </c>
      <c r="J806" s="16" t="n">
        <f aca="false">IF(D806="","",$B$12)</f>
        <v>0.25</v>
      </c>
      <c r="K806" s="16" t="n">
        <f aca="false">IF(J806="","",J806*$B$15)</f>
        <v>0.648</v>
      </c>
      <c r="L806" s="16" t="n">
        <f aca="false">IF(D806="","",H806+E806-K806-G806*I806)</f>
        <v>21.8095786507413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1.23849297751236</v>
      </c>
      <c r="N806" s="16" t="n">
        <f aca="false">IF(D806="","",(I806+M806)/2)</f>
        <v>1.21273445533561</v>
      </c>
      <c r="O806" s="16" t="n">
        <f aca="false">IF(D806="","",G806*N806)</f>
        <v>0.1069631789606</v>
      </c>
      <c r="P806" s="16" t="n">
        <f aca="false">IF(D806="","",H806+E806-K806-O806)</f>
        <v>21.8073067490854</v>
      </c>
      <c r="Q806" s="16" t="n">
        <f aca="false">IF(D806="","",IF(P806&gt;=0,K806,MAX(0,K806+P806)))</f>
        <v>0.648</v>
      </c>
      <c r="R806" s="16" t="n">
        <f aca="false">IF(D806="","",Q806/$B$15)</f>
        <v>0.25</v>
      </c>
      <c r="S806" s="16" t="n">
        <f aca="false">IF(D806="","",MAX(0,J806-R806))</f>
        <v>0</v>
      </c>
      <c r="T806" s="16" t="n">
        <f aca="false">IF(D806="","",MAX(0,Z806-$B$8))</f>
        <v>0.507306749085352</v>
      </c>
      <c r="U806" s="16" t="n">
        <f aca="false">IF(D806="","",MAX(0,MIN($B$8,Z806)))</f>
        <v>21.3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21.8073067490854</v>
      </c>
      <c r="AA806" s="18" t="n">
        <f aca="false">IF(D806="","",IF(H806&lt;=$B$16,1,IF(H806&gt;=$B$17,$B$21,MATCH(H806,Aux_CAV!$A$2:$A$121,1))))</f>
        <v>7</v>
      </c>
      <c r="AB806" s="18" t="n">
        <f aca="false">IF(D806="","",IF(L806&lt;=$B$16,1,IF(L806&gt;=$B$17,$B$21,MATCH(L806,Aux_CAV!$A$2:$A$121,1))))</f>
        <v>8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1.19564451766565</v>
      </c>
      <c r="E807" s="16" t="n">
        <f aca="false">IF(D807="","",D807*$B$15)</f>
        <v>3.09911058978937</v>
      </c>
      <c r="F807" s="16" t="n">
        <f aca="false" t="array" ref="F807:F807">IF(D807="","",IFERROR(INDEX(Dados_Evap!$C$2:$N$15,MATCH($B$9,Dados_Evap!$A$2:$A$15,0),C807),0))</f>
        <v>88.2</v>
      </c>
      <c r="G807" s="16" t="n">
        <f aca="false">IF(F807="","",F807/1000)</f>
        <v>0.0882</v>
      </c>
      <c r="H807" s="16" t="n">
        <f aca="false">IF(D807="","",MAX(0,MIN($B$8,IFERROR(LOOKUP(2,1/($U$24:U806&lt;&gt;""),$U$24:U806),$B$11))))</f>
        <v>21.3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1.23</v>
      </c>
      <c r="J807" s="16" t="n">
        <f aca="false">IF(D807="","",$B$12)</f>
        <v>0.25</v>
      </c>
      <c r="K807" s="16" t="n">
        <f aca="false">IF(J807="","",J807*$B$15)</f>
        <v>0.648</v>
      </c>
      <c r="L807" s="16" t="n">
        <f aca="false">IF(D807="","",H807+E807-K807-G807*I807)</f>
        <v>23.6426245897894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1.27740928551219</v>
      </c>
      <c r="N807" s="16" t="n">
        <f aca="false">IF(D807="","",(I807+M807)/2)</f>
        <v>1.25370464275609</v>
      </c>
      <c r="O807" s="16" t="n">
        <f aca="false">IF(D807="","",G807*N807)</f>
        <v>0.110576749491088</v>
      </c>
      <c r="P807" s="16" t="n">
        <f aca="false">IF(D807="","",H807+E807-K807-O807)</f>
        <v>23.6405338402983</v>
      </c>
      <c r="Q807" s="16" t="n">
        <f aca="false">IF(D807="","",IF(P807&gt;=0,K807,MAX(0,K807+P807)))</f>
        <v>0.648</v>
      </c>
      <c r="R807" s="16" t="n">
        <f aca="false">IF(D807="","",Q807/$B$15)</f>
        <v>0.25</v>
      </c>
      <c r="S807" s="16" t="n">
        <f aca="false">IF(D807="","",MAX(0,J807-R807))</f>
        <v>0</v>
      </c>
      <c r="T807" s="16" t="n">
        <f aca="false">IF(D807="","",MAX(0,Z807-$B$8))</f>
        <v>2.34053384029828</v>
      </c>
      <c r="U807" s="16" t="n">
        <f aca="false">IF(D807="","",MAX(0,MIN($B$8,Z807)))</f>
        <v>21.3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23.6405338402983</v>
      </c>
      <c r="AA807" s="18" t="n">
        <f aca="false">IF(D807="","",IF(H807&lt;=$B$16,1,IF(H807&gt;=$B$17,$B$21,MATCH(H807,Aux_CAV!$A$2:$A$121,1))))</f>
        <v>8</v>
      </c>
      <c r="AB807" s="18" t="n">
        <f aca="false">IF(D807="","",IF(L807&lt;=$B$16,1,IF(L807&gt;=$B$17,$B$21,MATCH(L807,Aux_CAV!$A$2:$A$121,1))))</f>
        <v>9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1.95776038810969</v>
      </c>
      <c r="E808" s="16" t="n">
        <f aca="false">IF(D808="","",D808*$B$15)</f>
        <v>5.07451492598032</v>
      </c>
      <c r="F808" s="16" t="n">
        <f aca="false" t="array" ref="F808:F808">IF(D808="","",IFERROR(INDEX(Dados_Evap!$C$2:$N$15,MATCH($B$9,Dados_Evap!$A$2:$A$15,0),C808),0))</f>
        <v>83.9</v>
      </c>
      <c r="G808" s="16" t="n">
        <f aca="false">IF(F808="","",F808/1000)</f>
        <v>0.0839</v>
      </c>
      <c r="H808" s="16" t="n">
        <f aca="false">IF(D808="","",MAX(0,MIN($B$8,IFERROR(LOOKUP(2,1/($U$24:U807&lt;&gt;""),$U$24:U807),$B$11))))</f>
        <v>21.3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1.23</v>
      </c>
      <c r="J808" s="16" t="n">
        <f aca="false">IF(D808="","",$B$12)</f>
        <v>0.25</v>
      </c>
      <c r="K808" s="16" t="n">
        <f aca="false">IF(J808="","",J808*$B$15)</f>
        <v>0.648</v>
      </c>
      <c r="L808" s="16" t="n">
        <f aca="false">IF(D808="","",H808+E808-K808-G808*I808)</f>
        <v>25.6233179259803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1.32492216913896</v>
      </c>
      <c r="N808" s="16" t="n">
        <f aca="false">IF(D808="","",(I808+M808)/2)</f>
        <v>1.27746108456948</v>
      </c>
      <c r="O808" s="16" t="n">
        <f aca="false">IF(D808="","",G808*N808)</f>
        <v>0.107178984995379</v>
      </c>
      <c r="P808" s="16" t="n">
        <f aca="false">IF(D808="","",H808+E808-K808-O808)</f>
        <v>25.6193359409849</v>
      </c>
      <c r="Q808" s="16" t="n">
        <f aca="false">IF(D808="","",IF(P808&gt;=0,K808,MAX(0,K808+P808)))</f>
        <v>0.648</v>
      </c>
      <c r="R808" s="16" t="n">
        <f aca="false">IF(D808="","",Q808/$B$15)</f>
        <v>0.25</v>
      </c>
      <c r="S808" s="16" t="n">
        <f aca="false">IF(D808="","",MAX(0,J808-R808))</f>
        <v>0</v>
      </c>
      <c r="T808" s="16" t="n">
        <f aca="false">IF(D808="","",MAX(0,Z808-$B$8))</f>
        <v>4.31933594098494</v>
      </c>
      <c r="U808" s="16" t="n">
        <f aca="false">IF(D808="","",MAX(0,MIN($B$8,Z808)))</f>
        <v>21.3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25.6193359409849</v>
      </c>
      <c r="AA808" s="18" t="n">
        <f aca="false">IF(D808="","",IF(H808&lt;=$B$16,1,IF(H808&gt;=$B$17,$B$21,MATCH(H808,Aux_CAV!$A$2:$A$121,1))))</f>
        <v>8</v>
      </c>
      <c r="AB808" s="18" t="n">
        <f aca="false">IF(D808="","",IF(L808&lt;=$B$16,1,IF(L808&gt;=$B$17,$B$21,MATCH(L808,Aux_CAV!$A$2:$A$121,1))))</f>
        <v>9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0.419379569472875</v>
      </c>
      <c r="E809" s="16" t="n">
        <f aca="false">IF(D809="","",D809*$B$15)</f>
        <v>1.08703184407369</v>
      </c>
      <c r="F809" s="16" t="n">
        <f aca="false" t="array" ref="F809:F809">IF(D809="","",IFERROR(INDEX(Dados_Evap!$C$2:$N$15,MATCH($B$9,Dados_Evap!$A$2:$A$15,0),C809),0))</f>
        <v>104.7</v>
      </c>
      <c r="G809" s="16" t="n">
        <f aca="false">IF(F809="","",F809/1000)</f>
        <v>0.1047</v>
      </c>
      <c r="H809" s="16" t="n">
        <f aca="false">IF(D809="","",MAX(0,MIN($B$8,IFERROR(LOOKUP(2,1/($U$24:U808&lt;&gt;""),$U$24:U808),$B$11))))</f>
        <v>21.3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1.23</v>
      </c>
      <c r="J809" s="16" t="n">
        <f aca="false">IF(D809="","",$B$12)</f>
        <v>0.25</v>
      </c>
      <c r="K809" s="16" t="n">
        <f aca="false">IF(J809="","",J809*$B$15)</f>
        <v>0.648</v>
      </c>
      <c r="L809" s="16" t="n">
        <f aca="false">IF(D809="","",H809+E809-K809-G809*I809)</f>
        <v>21.6102508440737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1.23517084740123</v>
      </c>
      <c r="N809" s="16" t="n">
        <f aca="false">IF(D809="","",(I809+M809)/2)</f>
        <v>1.23258542370061</v>
      </c>
      <c r="O809" s="16" t="n">
        <f aca="false">IF(D809="","",G809*N809)</f>
        <v>0.129051693861454</v>
      </c>
      <c r="P809" s="16" t="n">
        <f aca="false">IF(D809="","",H809+E809-K809-O809)</f>
        <v>21.6099801502122</v>
      </c>
      <c r="Q809" s="16" t="n">
        <f aca="false">IF(D809="","",IF(P809&gt;=0,K809,MAX(0,K809+P809)))</f>
        <v>0.648</v>
      </c>
      <c r="R809" s="16" t="n">
        <f aca="false">IF(D809="","",Q809/$B$15)</f>
        <v>0.25</v>
      </c>
      <c r="S809" s="16" t="n">
        <f aca="false">IF(D809="","",MAX(0,J809-R809))</f>
        <v>0</v>
      </c>
      <c r="T809" s="16" t="n">
        <f aca="false">IF(D809="","",MAX(0,Z809-$B$8))</f>
        <v>0.309980150212237</v>
      </c>
      <c r="U809" s="16" t="n">
        <f aca="false">IF(D809="","",MAX(0,MIN($B$8,Z809)))</f>
        <v>21.3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21.6099801502122</v>
      </c>
      <c r="AA809" s="18" t="n">
        <f aca="false">IF(D809="","",IF(H809&lt;=$B$16,1,IF(H809&gt;=$B$17,$B$21,MATCH(H809,Aux_CAV!$A$2:$A$121,1))))</f>
        <v>8</v>
      </c>
      <c r="AB809" s="18" t="n">
        <f aca="false">IF(D809="","",IF(L809&lt;=$B$16,1,IF(L809&gt;=$B$17,$B$21,MATCH(L809,Aux_CAV!$A$2:$A$121,1))))</f>
        <v>8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0.646140083805429</v>
      </c>
      <c r="E810" s="16" t="n">
        <f aca="false">IF(D810="","",D810*$B$15)</f>
        <v>1.67479509722367</v>
      </c>
      <c r="F810" s="16" t="n">
        <f aca="false" t="array" ref="F810:F810">IF(D810="","",IFERROR(INDEX(Dados_Evap!$C$2:$N$15,MATCH($B$9,Dados_Evap!$A$2:$A$15,0),C810),0))</f>
        <v>145.2</v>
      </c>
      <c r="G810" s="16" t="n">
        <f aca="false">IF(F810="","",F810/1000)</f>
        <v>0.1452</v>
      </c>
      <c r="H810" s="16" t="n">
        <f aca="false">IF(D810="","",MAX(0,MIN($B$8,IFERROR(LOOKUP(2,1/($U$24:U809&lt;&gt;""),$U$24:U809),$B$11))))</f>
        <v>21.3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1.23</v>
      </c>
      <c r="J810" s="16" t="n">
        <f aca="false">IF(D810="","",$B$12)</f>
        <v>0.25</v>
      </c>
      <c r="K810" s="16" t="n">
        <f aca="false">IF(J810="","",J810*$B$15)</f>
        <v>0.648</v>
      </c>
      <c r="L810" s="16" t="n">
        <f aca="false">IF(D810="","",H810+E810-K810-G810*I810)</f>
        <v>22.1481990972237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1.24413665162039</v>
      </c>
      <c r="N810" s="16" t="n">
        <f aca="false">IF(D810="","",(I810+M810)/2)</f>
        <v>1.2370683258102</v>
      </c>
      <c r="O810" s="16" t="n">
        <f aca="false">IF(D810="","",G810*N810)</f>
        <v>0.179622320907641</v>
      </c>
      <c r="P810" s="16" t="n">
        <f aca="false">IF(D810="","",H810+E810-K810-O810)</f>
        <v>22.147172776316</v>
      </c>
      <c r="Q810" s="16" t="n">
        <f aca="false">IF(D810="","",IF(P810&gt;=0,K810,MAX(0,K810+P810)))</f>
        <v>0.648</v>
      </c>
      <c r="R810" s="16" t="n">
        <f aca="false">IF(D810="","",Q810/$B$15)</f>
        <v>0.25</v>
      </c>
      <c r="S810" s="16" t="n">
        <f aca="false">IF(D810="","",MAX(0,J810-R810))</f>
        <v>0</v>
      </c>
      <c r="T810" s="16" t="n">
        <f aca="false">IF(D810="","",MAX(0,Z810-$B$8))</f>
        <v>0.847172776316032</v>
      </c>
      <c r="U810" s="16" t="n">
        <f aca="false">IF(D810="","",MAX(0,MIN($B$8,Z810)))</f>
        <v>21.3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22.147172776316</v>
      </c>
      <c r="AA810" s="18" t="n">
        <f aca="false">IF(D810="","",IF(H810&lt;=$B$16,1,IF(H810&gt;=$B$17,$B$21,MATCH(H810,Aux_CAV!$A$2:$A$121,1))))</f>
        <v>8</v>
      </c>
      <c r="AB810" s="18" t="n">
        <f aca="false">IF(D810="","",IF(L810&lt;=$B$16,1,IF(L810&gt;=$B$17,$B$21,MATCH(L810,Aux_CAV!$A$2:$A$121,1))))</f>
        <v>8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0.190070920255831</v>
      </c>
      <c r="E811" s="16" t="n">
        <f aca="false">IF(D811="","",D811*$B$15)</f>
        <v>0.492663825303114</v>
      </c>
      <c r="F811" s="16" t="n">
        <f aca="false" t="array" ref="F811:F811">IF(D811="","",IFERROR(INDEX(Dados_Evap!$C$2:$N$15,MATCH($B$9,Dados_Evap!$A$2:$A$15,0),C811),0))</f>
        <v>180.9</v>
      </c>
      <c r="G811" s="16" t="n">
        <f aca="false">IF(F811="","",F811/1000)</f>
        <v>0.1809</v>
      </c>
      <c r="H811" s="16" t="n">
        <f aca="false">IF(D811="","",MAX(0,MIN($B$8,IFERROR(LOOKUP(2,1/($U$24:U810&lt;&gt;""),$U$24:U810),$B$11))))</f>
        <v>21.3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1.23</v>
      </c>
      <c r="J811" s="16" t="n">
        <f aca="false">IF(D811="","",$B$12)</f>
        <v>0.25</v>
      </c>
      <c r="K811" s="16" t="n">
        <f aca="false">IF(J811="","",J811*$B$15)</f>
        <v>0.648</v>
      </c>
      <c r="L811" s="16" t="n">
        <f aca="false">IF(D811="","",H811+E811-K811-G811*I811)</f>
        <v>20.9221568253031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1.22290065016227</v>
      </c>
      <c r="N811" s="16" t="n">
        <f aca="false">IF(D811="","",(I811+M811)/2)</f>
        <v>1.22645032508114</v>
      </c>
      <c r="O811" s="16" t="n">
        <f aca="false">IF(D811="","",G811*N811)</f>
        <v>0.221864863807177</v>
      </c>
      <c r="P811" s="16" t="n">
        <f aca="false">IF(D811="","",H811+E811-K811-O811)</f>
        <v>20.9227989614959</v>
      </c>
      <c r="Q811" s="16" t="n">
        <f aca="false">IF(D811="","",IF(P811&gt;=0,K811,MAX(0,K811+P811)))</f>
        <v>0.648</v>
      </c>
      <c r="R811" s="16" t="n">
        <f aca="false">IF(D811="","",Q811/$B$15)</f>
        <v>0.25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20.9227989614959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98.2291031056147</v>
      </c>
      <c r="Z811" s="18" t="n">
        <f aca="false">IF(D811="","",MAX(0,IF(P811&gt;=0,P811,IF(K811+P811&gt;=0,0,P811+K811))))</f>
        <v>20.9227989614959</v>
      </c>
      <c r="AA811" s="18" t="n">
        <f aca="false">IF(D811="","",IF(H811&lt;=$B$16,1,IF(H811&gt;=$B$17,$B$21,MATCH(H811,Aux_CAV!$A$2:$A$121,1))))</f>
        <v>8</v>
      </c>
      <c r="AB811" s="18" t="n">
        <f aca="false">IF(D811="","",IF(L811&lt;=$B$16,1,IF(L811&gt;=$B$17,$B$21,MATCH(L811,Aux_CAV!$A$2:$A$121,1))))</f>
        <v>7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0.174722275896681</v>
      </c>
      <c r="E812" s="16" t="n">
        <f aca="false">IF(D812="","",D812*$B$15)</f>
        <v>0.452880139124197</v>
      </c>
      <c r="F812" s="16" t="n">
        <f aca="false" t="array" ref="F812:F812">IF(D812="","",IFERROR(INDEX(Dados_Evap!$C$2:$N$15,MATCH($B$9,Dados_Evap!$A$2:$A$15,0),C812),0))</f>
        <v>208.9</v>
      </c>
      <c r="G812" s="16" t="n">
        <f aca="false">IF(F812="","",F812/1000)</f>
        <v>0.2089</v>
      </c>
      <c r="H812" s="16" t="n">
        <f aca="false">IF(D812="","",MAX(0,MIN($B$8,IFERROR(LOOKUP(2,1/($U$24:U811&lt;&gt;""),$U$24:U811),$B$11))))</f>
        <v>20.9227989614959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1.2229127153517</v>
      </c>
      <c r="J812" s="16" t="n">
        <f aca="false">IF(D812="","",$B$12)</f>
        <v>0.25</v>
      </c>
      <c r="K812" s="16" t="n">
        <f aca="false">IF(J812="","",J812*$B$15)</f>
        <v>0.648</v>
      </c>
      <c r="L812" s="16" t="n">
        <f aca="false">IF(D812="","",H812+E812-K812-G812*I812)</f>
        <v>20.4722126343832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1.21444658394457</v>
      </c>
      <c r="N812" s="16" t="n">
        <f aca="false">IF(D812="","",(I812+M812)/2)</f>
        <v>1.21867964964813</v>
      </c>
      <c r="O812" s="16" t="n">
        <f aca="false">IF(D812="","",G812*N812)</f>
        <v>0.254582178811495</v>
      </c>
      <c r="P812" s="16" t="n">
        <f aca="false">IF(D812="","",H812+E812-K812-O812)</f>
        <v>20.4730969218086</v>
      </c>
      <c r="Q812" s="16" t="n">
        <f aca="false">IF(D812="","",IF(P812&gt;=0,K812,MAX(0,K812+P812)))</f>
        <v>0.648</v>
      </c>
      <c r="R812" s="16" t="n">
        <f aca="false">IF(D812="","",Q812/$B$15)</f>
        <v>0.25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20.4730969218086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96.1178259239842</v>
      </c>
      <c r="Z812" s="18" t="n">
        <f aca="false">IF(D812="","",MAX(0,IF(P812&gt;=0,P812,IF(K812+P812&gt;=0,0,P812+K812))))</f>
        <v>20.4730969218086</v>
      </c>
      <c r="AA812" s="18" t="n">
        <f aca="false">IF(D812="","",IF(H812&lt;=$B$16,1,IF(H812&gt;=$B$17,$B$21,MATCH(H812,Aux_CAV!$A$2:$A$121,1))))</f>
        <v>7</v>
      </c>
      <c r="AB812" s="18" t="n">
        <f aca="false">IF(D812="","",IF(L812&lt;=$B$16,1,IF(L812&gt;=$B$17,$B$21,MATCH(L812,Aux_CAV!$A$2:$A$121,1))))</f>
        <v>7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0.0825347633583387</v>
      </c>
      <c r="E813" s="16" t="n">
        <f aca="false">IF(D813="","",D813*$B$15)</f>
        <v>0.213930106624814</v>
      </c>
      <c r="F813" s="16" t="n">
        <f aca="false" t="array" ref="F813:F813">IF(D813="","",IFERROR(INDEX(Dados_Evap!$C$2:$N$15,MATCH($B$9,Dados_Evap!$A$2:$A$15,0),C813),0))</f>
        <v>235.9</v>
      </c>
      <c r="G813" s="16" t="n">
        <f aca="false">IF(F813="","",F813/1000)</f>
        <v>0.2359</v>
      </c>
      <c r="H813" s="16" t="n">
        <f aca="false">IF(D813="","",MAX(0,MIN($B$8,IFERROR(LOOKUP(2,1/($U$24:U812&lt;&gt;""),$U$24:U812),$B$11))))</f>
        <v>20.4730969218086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1.21446319894839</v>
      </c>
      <c r="J813" s="16" t="n">
        <f aca="false">IF(D813="","",$B$12)</f>
        <v>0.25</v>
      </c>
      <c r="K813" s="16" t="n">
        <f aca="false">IF(J813="","",J813*$B$15)</f>
        <v>0.648</v>
      </c>
      <c r="L813" s="16" t="n">
        <f aca="false">IF(D813="","",H813+E813-K813-G813*I813)</f>
        <v>19.7525351598015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1.20092446020504</v>
      </c>
      <c r="N813" s="16" t="n">
        <f aca="false">IF(D813="","",(I813+M813)/2)</f>
        <v>1.20769382957671</v>
      </c>
      <c r="O813" s="16" t="n">
        <f aca="false">IF(D813="","",G813*N813)</f>
        <v>0.284894974397147</v>
      </c>
      <c r="P813" s="16" t="n">
        <f aca="false">IF(D813="","",H813+E813-K813-O813)</f>
        <v>19.7541320540363</v>
      </c>
      <c r="Q813" s="16" t="n">
        <f aca="false">IF(D813="","",IF(P813&gt;=0,K813,MAX(0,K813+P813)))</f>
        <v>0.648</v>
      </c>
      <c r="R813" s="16" t="n">
        <f aca="false">IF(D813="","",Q813/$B$15)</f>
        <v>0.25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19.7541320540363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92.7424040095601</v>
      </c>
      <c r="Z813" s="18" t="n">
        <f aca="false">IF(D813="","",MAX(0,IF(P813&gt;=0,P813,IF(K813+P813&gt;=0,0,P813+K813))))</f>
        <v>19.7541320540363</v>
      </c>
      <c r="AA813" s="18" t="n">
        <f aca="false">IF(D813="","",IF(H813&lt;=$B$16,1,IF(H813&gt;=$B$17,$B$21,MATCH(H813,Aux_CAV!$A$2:$A$121,1))))</f>
        <v>7</v>
      </c>
      <c r="AB813" s="18" t="n">
        <f aca="false">IF(D813="","",IF(L813&lt;=$B$16,1,IF(L813&gt;=$B$17,$B$21,MATCH(L813,Aux_CAV!$A$2:$A$121,1))))</f>
        <v>7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0.0476208549092459</v>
      </c>
      <c r="E814" s="16" t="n">
        <f aca="false">IF(D814="","",D814*$B$15)</f>
        <v>0.123433255924765</v>
      </c>
      <c r="F814" s="16" t="n">
        <f aca="false" t="array" ref="F814:F814">IF(D814="","",IFERROR(INDEX(Dados_Evap!$C$2:$N$15,MATCH($B$9,Dados_Evap!$A$2:$A$15,0),C814),0))</f>
        <v>225.9</v>
      </c>
      <c r="G814" s="16" t="n">
        <f aca="false">IF(F814="","",F814/1000)</f>
        <v>0.2259</v>
      </c>
      <c r="H814" s="16" t="n">
        <f aca="false">IF(D814="","",MAX(0,MIN($B$8,IFERROR(LOOKUP(2,1/($U$24:U813&lt;&gt;""),$U$24:U813),$B$11))))</f>
        <v>19.7541320540363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1.20095446448085</v>
      </c>
      <c r="J814" s="16" t="n">
        <f aca="false">IF(D814="","",$B$12)</f>
        <v>0.25</v>
      </c>
      <c r="K814" s="16" t="n">
        <f aca="false">IF(J814="","",J814*$B$15)</f>
        <v>0.648</v>
      </c>
      <c r="L814" s="16" t="n">
        <f aca="false">IF(D814="","",H814+E814-K814-G814*I814)</f>
        <v>18.9582696964349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1.18600089199982</v>
      </c>
      <c r="N814" s="16" t="n">
        <f aca="false">IF(D814="","",(I814+M814)/2)</f>
        <v>1.19347767824033</v>
      </c>
      <c r="O814" s="16" t="n">
        <f aca="false">IF(D814="","",G814*N814)</f>
        <v>0.269606607514492</v>
      </c>
      <c r="P814" s="16" t="n">
        <f aca="false">IF(D814="","",H814+E814-K814-O814)</f>
        <v>18.9599587024466</v>
      </c>
      <c r="Q814" s="16" t="n">
        <f aca="false">IF(D814="","",IF(P814&gt;=0,K814,MAX(0,K814+P814)))</f>
        <v>0.648</v>
      </c>
      <c r="R814" s="16" t="n">
        <f aca="false">IF(D814="","",Q814/$B$15)</f>
        <v>0.25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18.9599587024466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89.013890621815</v>
      </c>
      <c r="Z814" s="18" t="n">
        <f aca="false">IF(D814="","",MAX(0,IF(P814&gt;=0,P814,IF(K814+P814&gt;=0,0,P814+K814))))</f>
        <v>18.9599587024466</v>
      </c>
      <c r="AA814" s="18" t="n">
        <f aca="false">IF(D814="","",IF(H814&lt;=$B$16,1,IF(H814&gt;=$B$17,$B$21,MATCH(H814,Aux_CAV!$A$2:$A$121,1))))</f>
        <v>7</v>
      </c>
      <c r="AB814" s="18" t="n">
        <f aca="false">IF(D814="","",IF(L814&lt;=$B$16,1,IF(L814&gt;=$B$17,$B$21,MATCH(L814,Aux_CAV!$A$2:$A$121,1))))</f>
        <v>7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0.131103694270933</v>
      </c>
      <c r="E815" s="16" t="n">
        <f aca="false">IF(D815="","",D815*$B$15)</f>
        <v>0.339820775550258</v>
      </c>
      <c r="F815" s="16" t="n">
        <f aca="false" t="array" ref="F815:F815">IF(D815="","",IFERROR(INDEX(Dados_Evap!$C$2:$N$15,MATCH($B$9,Dados_Evap!$A$2:$A$15,0),C815),0))</f>
        <v>206</v>
      </c>
      <c r="G815" s="16" t="n">
        <f aca="false">IF(F815="","",F815/1000)</f>
        <v>0.206</v>
      </c>
      <c r="H815" s="16" t="n">
        <f aca="false">IF(D815="","",MAX(0,MIN($B$8,IFERROR(LOOKUP(2,1/($U$24:U814&lt;&gt;""),$U$24:U814),$B$11))))</f>
        <v>18.9599587024466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1.18603262697708</v>
      </c>
      <c r="J815" s="16" t="n">
        <f aca="false">IF(D815="","",$B$12)</f>
        <v>0.25</v>
      </c>
      <c r="K815" s="16" t="n">
        <f aca="false">IF(J815="","",J815*$B$15)</f>
        <v>0.648</v>
      </c>
      <c r="L815" s="16" t="n">
        <f aca="false">IF(D815="","",H815+E815-K815-G815*I815)</f>
        <v>18.4074567568396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1.1756515883331</v>
      </c>
      <c r="N815" s="16" t="n">
        <f aca="false">IF(D815="","",(I815+M815)/2)</f>
        <v>1.18084210765509</v>
      </c>
      <c r="O815" s="16" t="n">
        <f aca="false">IF(D815="","",G815*N815)</f>
        <v>0.243253474176948</v>
      </c>
      <c r="P815" s="16" t="n">
        <f aca="false">IF(D815="","",H815+E815-K815-O815)</f>
        <v>18.4085260038199</v>
      </c>
      <c r="Q815" s="16" t="n">
        <f aca="false">IF(D815="","",IF(P815&gt;=0,K815,MAX(0,K815+P815)))</f>
        <v>0.648</v>
      </c>
      <c r="R815" s="16" t="n">
        <f aca="false">IF(D815="","",Q815/$B$15)</f>
        <v>0.25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18.4085260038199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86.4250047127695</v>
      </c>
      <c r="Z815" s="18" t="n">
        <f aca="false">IF(D815="","",MAX(0,IF(P815&gt;=0,P815,IF(K815+P815&gt;=0,0,P815+K815))))</f>
        <v>18.4085260038199</v>
      </c>
      <c r="AA815" s="18" t="n">
        <f aca="false">IF(D815="","",IF(H815&lt;=$B$16,1,IF(H815&gt;=$B$17,$B$21,MATCH(H815,Aux_CAV!$A$2:$A$121,1))))</f>
        <v>7</v>
      </c>
      <c r="AB815" s="18" t="n">
        <f aca="false">IF(D815="","",IF(L815&lt;=$B$16,1,IF(L815&gt;=$B$17,$B$21,MATCH(L815,Aux_CAV!$A$2:$A$121,1))))</f>
        <v>7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0.0804765762357199</v>
      </c>
      <c r="E816" s="16" t="n">
        <f aca="false">IF(D816="","",D816*$B$15)</f>
        <v>0.208595285602986</v>
      </c>
      <c r="F816" s="16" t="n">
        <f aca="false" t="array" ref="F816:F816">IF(D816="","",IFERROR(INDEX(Dados_Evap!$C$2:$N$15,MATCH($B$9,Dados_Evap!$A$2:$A$15,0),C816),0))</f>
        <v>165.6</v>
      </c>
      <c r="G816" s="16" t="n">
        <f aca="false">IF(F816="","",F816/1000)</f>
        <v>0.1656</v>
      </c>
      <c r="H816" s="16" t="n">
        <f aca="false">IF(D816="","",MAX(0,MIN($B$8,IFERROR(LOOKUP(2,1/($U$24:U815&lt;&gt;""),$U$24:U815),$B$11))))</f>
        <v>18.4085260038199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1.17567167856864</v>
      </c>
      <c r="J816" s="16" t="n">
        <f aca="false">IF(D816="","",$B$12)</f>
        <v>0.25</v>
      </c>
      <c r="K816" s="16" t="n">
        <f aca="false">IF(J816="","",J816*$B$15)</f>
        <v>0.648</v>
      </c>
      <c r="L816" s="16" t="n">
        <f aca="false">IF(D816="","",H816+E816-K816-G816*I816)</f>
        <v>17.7744300594519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1.16375755852832</v>
      </c>
      <c r="N816" s="16" t="n">
        <f aca="false">IF(D816="","",(I816+M816)/2)</f>
        <v>1.16971461854848</v>
      </c>
      <c r="O816" s="16" t="n">
        <f aca="false">IF(D816="","",G816*N816)</f>
        <v>0.193704740831629</v>
      </c>
      <c r="P816" s="16" t="n">
        <f aca="false">IF(D816="","",H816+E816-K816-O816)</f>
        <v>17.7754165485913</v>
      </c>
      <c r="Q816" s="16" t="n">
        <f aca="false">IF(D816="","",IF(P816&gt;=0,K816,MAX(0,K816+P816)))</f>
        <v>0.648</v>
      </c>
      <c r="R816" s="16" t="n">
        <f aca="false">IF(D816="","",Q816/$B$15)</f>
        <v>0.25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17.7754165485913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83.4526598525411</v>
      </c>
      <c r="Z816" s="18" t="n">
        <f aca="false">IF(D816="","",MAX(0,IF(P816&gt;=0,P816,IF(K816+P816&gt;=0,0,P816+K816))))</f>
        <v>17.7754165485913</v>
      </c>
      <c r="AA816" s="18" t="n">
        <f aca="false">IF(D816="","",IF(H816&lt;=$B$16,1,IF(H816&gt;=$B$17,$B$21,MATCH(H816,Aux_CAV!$A$2:$A$121,1))))</f>
        <v>7</v>
      </c>
      <c r="AB816" s="18" t="n">
        <f aca="false">IF(D816="","",IF(L816&lt;=$B$16,1,IF(L816&gt;=$B$17,$B$21,MATCH(L816,Aux_CAV!$A$2:$A$121,1))))</f>
        <v>7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0.730539623556135</v>
      </c>
      <c r="E817" s="16" t="n">
        <f aca="false">IF(D817="","",D817*$B$15)</f>
        <v>1.8935587042575</v>
      </c>
      <c r="F817" s="16" t="n">
        <f aca="false" t="array" ref="F817:F817">IF(D817="","",IFERROR(INDEX(Dados_Evap!$C$2:$N$15,MATCH($B$9,Dados_Evap!$A$2:$A$15,0),C817),0))</f>
        <v>124.9</v>
      </c>
      <c r="G817" s="16" t="n">
        <f aca="false">IF(F817="","",F817/1000)</f>
        <v>0.1249</v>
      </c>
      <c r="H817" s="16" t="n">
        <f aca="false">IF(D817="","",MAX(0,MIN($B$8,IFERROR(LOOKUP(2,1/($U$24:U816&lt;&gt;""),$U$24:U816),$B$11))))</f>
        <v>17.7754165485913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1.16377609381487</v>
      </c>
      <c r="J817" s="16" t="n">
        <f aca="false">IF(D817="","",$B$12)</f>
        <v>0.25</v>
      </c>
      <c r="K817" s="16" t="n">
        <f aca="false">IF(J817="","",J817*$B$15)</f>
        <v>0.648</v>
      </c>
      <c r="L817" s="16" t="n">
        <f aca="false">IF(D817="","",H817+E817-K817-G817*I817)</f>
        <v>18.8756196187313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1.1844479677841</v>
      </c>
      <c r="N817" s="16" t="n">
        <f aca="false">IF(D817="","",(I817+M817)/2)</f>
        <v>1.17411203079948</v>
      </c>
      <c r="O817" s="16" t="n">
        <f aca="false">IF(D817="","",G817*N817)</f>
        <v>0.146646592646855</v>
      </c>
      <c r="P817" s="16" t="n">
        <f aca="false">IF(D817="","",H817+E817-K817-O817)</f>
        <v>18.8743286602019</v>
      </c>
      <c r="Q817" s="16" t="n">
        <f aca="false">IF(D817="","",IF(P817&gt;=0,K817,MAX(0,K817+P817)))</f>
        <v>0.648</v>
      </c>
      <c r="R817" s="16" t="n">
        <f aca="false">IF(D817="","",Q817/$B$15)</f>
        <v>0.25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18.8743286602019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88.6118716441404</v>
      </c>
      <c r="Z817" s="18" t="n">
        <f aca="false">IF(D817="","",MAX(0,IF(P817&gt;=0,P817,IF(K817+P817&gt;=0,0,P817+K817))))</f>
        <v>18.8743286602019</v>
      </c>
      <c r="AA817" s="18" t="n">
        <f aca="false">IF(D817="","",IF(H817&lt;=$B$16,1,IF(H817&gt;=$B$17,$B$21,MATCH(H817,Aux_CAV!$A$2:$A$121,1))))</f>
        <v>7</v>
      </c>
      <c r="AB817" s="18" t="n">
        <f aca="false">IF(D817="","",IF(L817&lt;=$B$16,1,IF(L817&gt;=$B$17,$B$21,MATCH(L817,Aux_CAV!$A$2:$A$121,1))))</f>
        <v>7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1.06309236820196</v>
      </c>
      <c r="E818" s="16" t="n">
        <f aca="false">IF(D818="","",D818*$B$15)</f>
        <v>2.75553541837948</v>
      </c>
      <c r="F818" s="16" t="n">
        <f aca="false" t="array" ref="F818:F818">IF(D818="","",IFERROR(INDEX(Dados_Evap!$C$2:$N$15,MATCH($B$9,Dados_Evap!$A$2:$A$15,0),C818),0))</f>
        <v>88.2</v>
      </c>
      <c r="G818" s="16" t="n">
        <f aca="false">IF(F818="","",F818/1000)</f>
        <v>0.0882</v>
      </c>
      <c r="H818" s="16" t="n">
        <f aca="false">IF(D818="","",MAX(0,MIN($B$8,IFERROR(LOOKUP(2,1/($U$24:U817&lt;&gt;""),$U$24:U817),$B$11))))</f>
        <v>18.8743286602019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1.18442371177832</v>
      </c>
      <c r="J818" s="16" t="n">
        <f aca="false">IF(D818="","",$B$12)</f>
        <v>0.25</v>
      </c>
      <c r="K818" s="16" t="n">
        <f aca="false">IF(J818="","",J818*$B$15)</f>
        <v>0.648</v>
      </c>
      <c r="L818" s="16" t="n">
        <f aca="false">IF(D818="","",H818+E818-K818-G818*I818)</f>
        <v>20.8773979072025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1.22205966840255</v>
      </c>
      <c r="N818" s="16" t="n">
        <f aca="false">IF(D818="","",(I818+M818)/2)</f>
        <v>1.20324169009044</v>
      </c>
      <c r="O818" s="16" t="n">
        <f aca="false">IF(D818="","",G818*N818)</f>
        <v>0.106125917065977</v>
      </c>
      <c r="P818" s="16" t="n">
        <f aca="false">IF(D818="","",H818+E818-K818-O818)</f>
        <v>20.8757381615154</v>
      </c>
      <c r="Q818" s="16" t="n">
        <f aca="false">IF(D818="","",IF(P818&gt;=0,K818,MAX(0,K818+P818)))</f>
        <v>0.648</v>
      </c>
      <c r="R818" s="16" t="n">
        <f aca="false">IF(D818="","",Q818/$B$15)</f>
        <v>0.25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20.8757381615154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98.0081603827014</v>
      </c>
      <c r="Z818" s="18" t="n">
        <f aca="false">IF(D818="","",MAX(0,IF(P818&gt;=0,P818,IF(K818+P818&gt;=0,0,P818+K818))))</f>
        <v>20.8757381615154</v>
      </c>
      <c r="AA818" s="18" t="n">
        <f aca="false">IF(D818="","",IF(H818&lt;=$B$16,1,IF(H818&gt;=$B$17,$B$21,MATCH(H818,Aux_CAV!$A$2:$A$121,1))))</f>
        <v>7</v>
      </c>
      <c r="AB818" s="18" t="n">
        <f aca="false">IF(D818="","",IF(L818&lt;=$B$16,1,IF(L818&gt;=$B$17,$B$21,MATCH(L818,Aux_CAV!$A$2:$A$121,1))))</f>
        <v>7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1.07427506739142</v>
      </c>
      <c r="E819" s="16" t="n">
        <f aca="false">IF(D819="","",D819*$B$15)</f>
        <v>2.78452097467856</v>
      </c>
      <c r="F819" s="16" t="n">
        <f aca="false" t="array" ref="F819:F819">IF(D819="","",IFERROR(INDEX(Dados_Evap!$C$2:$N$15,MATCH($B$9,Dados_Evap!$A$2:$A$15,0),C819),0))</f>
        <v>88.2</v>
      </c>
      <c r="G819" s="16" t="n">
        <f aca="false">IF(F819="","",F819/1000)</f>
        <v>0.0882</v>
      </c>
      <c r="H819" s="16" t="n">
        <f aca="false">IF(D819="","",MAX(0,MIN($B$8,IFERROR(LOOKUP(2,1/($U$24:U818&lt;&gt;""),$U$24:U818),$B$11))))</f>
        <v>20.8757381615154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1.22202848320175</v>
      </c>
      <c r="J819" s="16" t="n">
        <f aca="false">IF(D819="","",$B$12)</f>
        <v>0.25</v>
      </c>
      <c r="K819" s="16" t="n">
        <f aca="false">IF(J819="","",J819*$B$15)</f>
        <v>0.648</v>
      </c>
      <c r="L819" s="16" t="n">
        <f aca="false">IF(D819="","",H819+E819-K819-G819*I819)</f>
        <v>22.9044762239756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1.25970257808637</v>
      </c>
      <c r="N819" s="16" t="n">
        <f aca="false">IF(D819="","",(I819+M819)/2)</f>
        <v>1.24086553064406</v>
      </c>
      <c r="O819" s="16" t="n">
        <f aca="false">IF(D819="","",G819*N819)</f>
        <v>0.109444339802806</v>
      </c>
      <c r="P819" s="16" t="n">
        <f aca="false">IF(D819="","",H819+E819-K819-O819)</f>
        <v>22.9028147963912</v>
      </c>
      <c r="Q819" s="16" t="n">
        <f aca="false">IF(D819="","",IF(P819&gt;=0,K819,MAX(0,K819+P819)))</f>
        <v>0.648</v>
      </c>
      <c r="R819" s="16" t="n">
        <f aca="false">IF(D819="","",Q819/$B$15)</f>
        <v>0.25</v>
      </c>
      <c r="S819" s="16" t="n">
        <f aca="false">IF(D819="","",MAX(0,J819-R819))</f>
        <v>0</v>
      </c>
      <c r="T819" s="16" t="n">
        <f aca="false">IF(D819="","",MAX(0,Z819-$B$8))</f>
        <v>1.60281479639115</v>
      </c>
      <c r="U819" s="16" t="n">
        <f aca="false">IF(D819="","",MAX(0,MIN($B$8,Z819)))</f>
        <v>21.3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22.9028147963912</v>
      </c>
      <c r="AA819" s="18" t="n">
        <f aca="false">IF(D819="","",IF(H819&lt;=$B$16,1,IF(H819&gt;=$B$17,$B$21,MATCH(H819,Aux_CAV!$A$2:$A$121,1))))</f>
        <v>7</v>
      </c>
      <c r="AB819" s="18" t="n">
        <f aca="false">IF(D819="","",IF(L819&lt;=$B$16,1,IF(L819&gt;=$B$17,$B$21,MATCH(L819,Aux_CAV!$A$2:$A$121,1))))</f>
        <v>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0.215923446417996</v>
      </c>
      <c r="E820" s="16" t="n">
        <f aca="false">IF(D820="","",D820*$B$15)</f>
        <v>0.559673573115446</v>
      </c>
      <c r="F820" s="16" t="n">
        <f aca="false" t="array" ref="F820:F820">IF(D820="","",IFERROR(INDEX(Dados_Evap!$C$2:$N$15,MATCH($B$9,Dados_Evap!$A$2:$A$15,0),C820),0))</f>
        <v>83.9</v>
      </c>
      <c r="G820" s="16" t="n">
        <f aca="false">IF(F820="","",F820/1000)</f>
        <v>0.0839</v>
      </c>
      <c r="H820" s="16" t="n">
        <f aca="false">IF(D820="","",MAX(0,MIN($B$8,IFERROR(LOOKUP(2,1/($U$24:U819&lt;&gt;""),$U$24:U819),$B$11))))</f>
        <v>21.3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1.23</v>
      </c>
      <c r="J820" s="16" t="n">
        <f aca="false">IF(D820="","",$B$12)</f>
        <v>0.25</v>
      </c>
      <c r="K820" s="16" t="n">
        <f aca="false">IF(J820="","",J820*$B$15)</f>
        <v>0.648</v>
      </c>
      <c r="L820" s="16" t="n">
        <f aca="false">IF(D820="","",H820+E820-K820-G820*I820)</f>
        <v>21.1084765731154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1.2264014387433</v>
      </c>
      <c r="N820" s="16" t="n">
        <f aca="false">IF(D820="","",(I820+M820)/2)</f>
        <v>1.22820071937165</v>
      </c>
      <c r="O820" s="16" t="n">
        <f aca="false">IF(D820="","",G820*N820)</f>
        <v>0.103046040355281</v>
      </c>
      <c r="P820" s="16" t="n">
        <f aca="false">IF(D820="","",H820+E820-K820-O820)</f>
        <v>21.1086275327602</v>
      </c>
      <c r="Q820" s="16" t="n">
        <f aca="false">IF(D820="","",IF(P820&gt;=0,K820,MAX(0,K820+P820)))</f>
        <v>0.648</v>
      </c>
      <c r="R820" s="16" t="n">
        <f aca="false">IF(D820="","",Q820/$B$15)</f>
        <v>0.25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21.1086275327602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99.101537712489</v>
      </c>
      <c r="Z820" s="18" t="n">
        <f aca="false">IF(D820="","",MAX(0,IF(P820&gt;=0,P820,IF(K820+P820&gt;=0,0,P820+K820))))</f>
        <v>21.1086275327602</v>
      </c>
      <c r="AA820" s="18" t="n">
        <f aca="false">IF(D820="","",IF(H820&lt;=$B$16,1,IF(H820&gt;=$B$17,$B$21,MATCH(H820,Aux_CAV!$A$2:$A$121,1))))</f>
        <v>8</v>
      </c>
      <c r="AB820" s="18" t="n">
        <f aca="false">IF(D820="","",IF(L820&lt;=$B$16,1,IF(L820&gt;=$B$17,$B$21,MATCH(L820,Aux_CAV!$A$2:$A$121,1))))</f>
        <v>7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0.243966532779538</v>
      </c>
      <c r="E821" s="16" t="n">
        <f aca="false">IF(D821="","",D821*$B$15)</f>
        <v>0.632361252964563</v>
      </c>
      <c r="F821" s="16" t="n">
        <f aca="false" t="array" ref="F821:F821">IF(D821="","",IFERROR(INDEX(Dados_Evap!$C$2:$N$15,MATCH($B$9,Dados_Evap!$A$2:$A$15,0),C821),0))</f>
        <v>104.7</v>
      </c>
      <c r="G821" s="16" t="n">
        <f aca="false">IF(F821="","",F821/1000)</f>
        <v>0.1047</v>
      </c>
      <c r="H821" s="16" t="n">
        <f aca="false">IF(D821="","",MAX(0,MIN($B$8,IFERROR(LOOKUP(2,1/($U$24:U820&lt;&gt;""),$U$24:U820),$B$11))))</f>
        <v>21.1086275327602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1.22640427514581</v>
      </c>
      <c r="J821" s="16" t="n">
        <f aca="false">IF(D821="","",$B$12)</f>
        <v>0.25</v>
      </c>
      <c r="K821" s="16" t="n">
        <f aca="false">IF(J821="","",J821*$B$15)</f>
        <v>0.648</v>
      </c>
      <c r="L821" s="16" t="n">
        <f aca="false">IF(D821="","",H821+E821-K821-G821*I821)</f>
        <v>20.964584258117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1.22369782530909</v>
      </c>
      <c r="N821" s="16" t="n">
        <f aca="false">IF(D821="","",(I821+M821)/2)</f>
        <v>1.22505105022745</v>
      </c>
      <c r="O821" s="16" t="n">
        <f aca="false">IF(D821="","",G821*N821)</f>
        <v>0.128262844958814</v>
      </c>
      <c r="P821" s="16" t="n">
        <f aca="false">IF(D821="","",H821+E821-K821-O821)</f>
        <v>20.9647259407659</v>
      </c>
      <c r="Q821" s="16" t="n">
        <f aca="false">IF(D821="","",IF(P821&gt;=0,K821,MAX(0,K821+P821)))</f>
        <v>0.648</v>
      </c>
      <c r="R821" s="16" t="n">
        <f aca="false">IF(D821="","",Q821/$B$15)</f>
        <v>0.25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20.9647259407659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98.4259433838775</v>
      </c>
      <c r="Z821" s="18" t="n">
        <f aca="false">IF(D821="","",MAX(0,IF(P821&gt;=0,P821,IF(K821+P821&gt;=0,0,P821+K821))))</f>
        <v>20.9647259407659</v>
      </c>
      <c r="AA821" s="18" t="n">
        <f aca="false">IF(D821="","",IF(H821&lt;=$B$16,1,IF(H821&gt;=$B$17,$B$21,MATCH(H821,Aux_CAV!$A$2:$A$121,1))))</f>
        <v>7</v>
      </c>
      <c r="AB821" s="18" t="n">
        <f aca="false">IF(D821="","",IF(L821&lt;=$B$16,1,IF(L821&gt;=$B$17,$B$21,MATCH(L821,Aux_CAV!$A$2:$A$121,1))))</f>
        <v>7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0.126956417666058</v>
      </c>
      <c r="E822" s="16" t="n">
        <f aca="false">IF(D822="","",D822*$B$15)</f>
        <v>0.329071034590422</v>
      </c>
      <c r="F822" s="16" t="n">
        <f aca="false" t="array" ref="F822:F822">IF(D822="","",IFERROR(INDEX(Dados_Evap!$C$2:$N$15,MATCH($B$9,Dados_Evap!$A$2:$A$15,0),C822),0))</f>
        <v>145.2</v>
      </c>
      <c r="G822" s="16" t="n">
        <f aca="false">IF(F822="","",F822/1000)</f>
        <v>0.1452</v>
      </c>
      <c r="H822" s="16" t="n">
        <f aca="false">IF(D822="","",MAX(0,MIN($B$8,IFERROR(LOOKUP(2,1/($U$24:U821&lt;&gt;""),$U$24:U821),$B$11))))</f>
        <v>20.9647259407659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1.22370048740479</v>
      </c>
      <c r="J822" s="16" t="n">
        <f aca="false">IF(D822="","",$B$12)</f>
        <v>0.25</v>
      </c>
      <c r="K822" s="16" t="n">
        <f aca="false">IF(J822="","",J822*$B$15)</f>
        <v>0.648</v>
      </c>
      <c r="L822" s="16" t="n">
        <f aca="false">IF(D822="","",H822+E822-K822-G822*I822)</f>
        <v>20.4681156645852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1.21436960538887</v>
      </c>
      <c r="N822" s="16" t="n">
        <f aca="false">IF(D822="","",(I822+M822)/2)</f>
        <v>1.21903504639683</v>
      </c>
      <c r="O822" s="16" t="n">
        <f aca="false">IF(D822="","",G822*N822)</f>
        <v>0.177003888736819</v>
      </c>
      <c r="P822" s="16" t="n">
        <f aca="false">IF(D822="","",H822+E822-K822-O822)</f>
        <v>20.4687930866195</v>
      </c>
      <c r="Q822" s="16" t="n">
        <f aca="false">IF(D822="","",IF(P822&gt;=0,K822,MAX(0,K822+P822)))</f>
        <v>0.648</v>
      </c>
      <c r="R822" s="16" t="n">
        <f aca="false">IF(D822="","",Q822/$B$15)</f>
        <v>0.25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20.4687930866195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96.0976201249743</v>
      </c>
      <c r="Z822" s="18" t="n">
        <f aca="false">IF(D822="","",MAX(0,IF(P822&gt;=0,P822,IF(K822+P822&gt;=0,0,P822+K822))))</f>
        <v>20.4687930866195</v>
      </c>
      <c r="AA822" s="18" t="n">
        <f aca="false">IF(D822="","",IF(H822&lt;=$B$16,1,IF(H822&gt;=$B$17,$B$21,MATCH(H822,Aux_CAV!$A$2:$A$121,1))))</f>
        <v>7</v>
      </c>
      <c r="AB822" s="18" t="n">
        <f aca="false">IF(D822="","",IF(L822&lt;=$B$16,1,IF(L822&gt;=$B$17,$B$21,MATCH(L822,Aux_CAV!$A$2:$A$121,1))))</f>
        <v>7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0.09246855934062</v>
      </c>
      <c r="E823" s="16" t="n">
        <f aca="false">IF(D823="","",D823*$B$15)</f>
        <v>0.239678505810887</v>
      </c>
      <c r="F823" s="16" t="n">
        <f aca="false" t="array" ref="F823:F823">IF(D823="","",IFERROR(INDEX(Dados_Evap!$C$2:$N$15,MATCH($B$9,Dados_Evap!$A$2:$A$15,0),C823),0))</f>
        <v>180.9</v>
      </c>
      <c r="G823" s="16" t="n">
        <f aca="false">IF(F823="","",F823/1000)</f>
        <v>0.1809</v>
      </c>
      <c r="H823" s="16" t="n">
        <f aca="false">IF(D823="","",MAX(0,MIN($B$8,IFERROR(LOOKUP(2,1/($U$24:U822&lt;&gt;""),$U$24:U822),$B$11))))</f>
        <v>20.4687930866195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1.21438233356905</v>
      </c>
      <c r="J823" s="16" t="n">
        <f aca="false">IF(D823="","",$B$12)</f>
        <v>0.25</v>
      </c>
      <c r="K823" s="16" t="n">
        <f aca="false">IF(J823="","",J823*$B$15)</f>
        <v>0.648</v>
      </c>
      <c r="L823" s="16" t="n">
        <f aca="false">IF(D823="","",H823+E823-K823-G823*I823)</f>
        <v>19.8407898282878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1.20258268988432</v>
      </c>
      <c r="N823" s="16" t="n">
        <f aca="false">IF(D823="","",(I823+M823)/2)</f>
        <v>1.20848251172669</v>
      </c>
      <c r="O823" s="16" t="n">
        <f aca="false">IF(D823="","",G823*N823)</f>
        <v>0.218614486371358</v>
      </c>
      <c r="P823" s="16" t="n">
        <f aca="false">IF(D823="","",H823+E823-K823-O823)</f>
        <v>19.841857106059</v>
      </c>
      <c r="Q823" s="16" t="n">
        <f aca="false">IF(D823="","",IF(P823&gt;=0,K823,MAX(0,K823+P823)))</f>
        <v>0.648</v>
      </c>
      <c r="R823" s="16" t="n">
        <f aca="false">IF(D823="","",Q823/$B$15)</f>
        <v>0.25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19.841857106059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93.1542587138922</v>
      </c>
      <c r="Z823" s="18" t="n">
        <f aca="false">IF(D823="","",MAX(0,IF(P823&gt;=0,P823,IF(K823+P823&gt;=0,0,P823+K823))))</f>
        <v>19.841857106059</v>
      </c>
      <c r="AA823" s="18" t="n">
        <f aca="false">IF(D823="","",IF(H823&lt;=$B$16,1,IF(H823&gt;=$B$17,$B$21,MATCH(H823,Aux_CAV!$A$2:$A$121,1))))</f>
        <v>7</v>
      </c>
      <c r="AB823" s="18" t="n">
        <f aca="false">IF(D823="","",IF(L823&lt;=$B$16,1,IF(L823&gt;=$B$17,$B$21,MATCH(L823,Aux_CAV!$A$2:$A$121,1))))</f>
        <v>7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0.0421757906742446</v>
      </c>
      <c r="E824" s="16" t="n">
        <f aca="false">IF(D824="","",D824*$B$15)</f>
        <v>0.109319649427642</v>
      </c>
      <c r="F824" s="16" t="n">
        <f aca="false" t="array" ref="F824:F824">IF(D824="","",IFERROR(INDEX(Dados_Evap!$C$2:$N$15,MATCH($B$9,Dados_Evap!$A$2:$A$15,0),C824),0))</f>
        <v>208.9</v>
      </c>
      <c r="G824" s="16" t="n">
        <f aca="false">IF(F824="","",F824/1000)</f>
        <v>0.2089</v>
      </c>
      <c r="H824" s="16" t="n">
        <f aca="false">IF(D824="","",MAX(0,MIN($B$8,IFERROR(LOOKUP(2,1/($U$24:U823&lt;&gt;""),$U$24:U823),$B$11))))</f>
        <v>19.841857106059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1.20260274312011</v>
      </c>
      <c r="J824" s="16" t="n">
        <f aca="false">IF(D824="","",$B$12)</f>
        <v>0.25</v>
      </c>
      <c r="K824" s="16" t="n">
        <f aca="false">IF(J824="","",J824*$B$15)</f>
        <v>0.648</v>
      </c>
      <c r="L824" s="16" t="n">
        <f aca="false">IF(D824="","",H824+E824-K824-G824*I824)</f>
        <v>19.0519530424489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1.18776112188317</v>
      </c>
      <c r="N824" s="16" t="n">
        <f aca="false">IF(D824="","",(I824+M824)/2)</f>
        <v>1.19518193250164</v>
      </c>
      <c r="O824" s="16" t="n">
        <f aca="false">IF(D824="","",G824*N824)</f>
        <v>0.249673505699593</v>
      </c>
      <c r="P824" s="16" t="n">
        <f aca="false">IF(D824="","",H824+E824-K824-O824)</f>
        <v>19.0535032497871</v>
      </c>
      <c r="Q824" s="16" t="n">
        <f aca="false">IF(D824="","",IF(P824&gt;=0,K824,MAX(0,K824+P824)))</f>
        <v>0.648</v>
      </c>
      <c r="R824" s="16" t="n">
        <f aca="false">IF(D824="","",Q824/$B$15)</f>
        <v>0.25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19.0535032497871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89.4530669004089</v>
      </c>
      <c r="Z824" s="18" t="n">
        <f aca="false">IF(D824="","",MAX(0,IF(P824&gt;=0,P824,IF(K824+P824&gt;=0,0,P824+K824))))</f>
        <v>19.0535032497871</v>
      </c>
      <c r="AA824" s="18" t="n">
        <f aca="false">IF(D824="","",IF(H824&lt;=$B$16,1,IF(H824&gt;=$B$17,$B$21,MATCH(H824,Aux_CAV!$A$2:$A$121,1))))</f>
        <v>7</v>
      </c>
      <c r="AB824" s="18" t="n">
        <f aca="false">IF(D824="","",IF(L824&lt;=$B$16,1,IF(L824&gt;=$B$17,$B$21,MATCH(L824,Aux_CAV!$A$2:$A$121,1))))</f>
        <v>7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0.0420511484475061</v>
      </c>
      <c r="E825" s="16" t="n">
        <f aca="false">IF(D825="","",D825*$B$15)</f>
        <v>0.108996576775936</v>
      </c>
      <c r="F825" s="16" t="n">
        <f aca="false" t="array" ref="F825:F825">IF(D825="","",IFERROR(INDEX(Dados_Evap!$C$2:$N$15,MATCH($B$9,Dados_Evap!$A$2:$A$15,0),C825),0))</f>
        <v>235.9</v>
      </c>
      <c r="G825" s="16" t="n">
        <f aca="false">IF(F825="","",F825/1000)</f>
        <v>0.2359</v>
      </c>
      <c r="H825" s="16" t="n">
        <f aca="false">IF(D825="","",MAX(0,MIN($B$8,IFERROR(LOOKUP(2,1/($U$24:U824&lt;&gt;""),$U$24:U824),$B$11))))</f>
        <v>19.0535032497871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1.18779024895216</v>
      </c>
      <c r="J825" s="16" t="n">
        <f aca="false">IF(D825="","",$B$12)</f>
        <v>0.25</v>
      </c>
      <c r="K825" s="16" t="n">
        <f aca="false">IF(J825="","",J825*$B$15)</f>
        <v>0.648</v>
      </c>
      <c r="L825" s="16" t="n">
        <f aca="false">IF(D825="","",H825+E825-K825-G825*I825)</f>
        <v>18.2343001068352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1.17239812309294</v>
      </c>
      <c r="N825" s="16" t="n">
        <f aca="false">IF(D825="","",(I825+M825)/2)</f>
        <v>1.18009418602255</v>
      </c>
      <c r="O825" s="16" t="n">
        <f aca="false">IF(D825="","",G825*N825)</f>
        <v>0.278384218482719</v>
      </c>
      <c r="P825" s="16" t="n">
        <f aca="false">IF(D825="","",H825+E825-K825-O825)</f>
        <v>18.2361156080803</v>
      </c>
      <c r="Q825" s="16" t="n">
        <f aca="false">IF(D825="","",IF(P825&gt;=0,K825,MAX(0,K825+P825)))</f>
        <v>0.648</v>
      </c>
      <c r="R825" s="16" t="n">
        <f aca="false">IF(D825="","",Q825/$B$15)</f>
        <v>0.25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18.2361156080803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85.6155662351188</v>
      </c>
      <c r="Z825" s="18" t="n">
        <f aca="false">IF(D825="","",MAX(0,IF(P825&gt;=0,P825,IF(K825+P825&gt;=0,0,P825+K825))))</f>
        <v>18.2361156080803</v>
      </c>
      <c r="AA825" s="18" t="n">
        <f aca="false">IF(D825="","",IF(H825&lt;=$B$16,1,IF(H825&gt;=$B$17,$B$21,MATCH(H825,Aux_CAV!$A$2:$A$121,1))))</f>
        <v>7</v>
      </c>
      <c r="AB825" s="18" t="n">
        <f aca="false">IF(D825="","",IF(L825&lt;=$B$16,1,IF(L825&gt;=$B$17,$B$21,MATCH(L825,Aux_CAV!$A$2:$A$121,1))))</f>
        <v>7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0.0296249060585176</v>
      </c>
      <c r="E826" s="16" t="n">
        <f aca="false">IF(D826="","",D826*$B$15)</f>
        <v>0.0767877565036776</v>
      </c>
      <c r="F826" s="16" t="n">
        <f aca="false" t="array" ref="F826:F826">IF(D826="","",IFERROR(INDEX(Dados_Evap!$C$2:$N$15,MATCH($B$9,Dados_Evap!$A$2:$A$15,0),C826),0))</f>
        <v>225.9</v>
      </c>
      <c r="G826" s="16" t="n">
        <f aca="false">IF(F826="","",F826/1000)</f>
        <v>0.2259</v>
      </c>
      <c r="H826" s="16" t="n">
        <f aca="false">IF(D826="","",MAX(0,MIN($B$8,IFERROR(LOOKUP(2,1/($U$24:U825&lt;&gt;""),$U$24:U825),$B$11))))</f>
        <v>18.2361156080803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1.17243223480735</v>
      </c>
      <c r="J826" s="16" t="n">
        <f aca="false">IF(D826="","",$B$12)</f>
        <v>0.25</v>
      </c>
      <c r="K826" s="16" t="n">
        <f aca="false">IF(J826="","",J826*$B$15)</f>
        <v>0.648</v>
      </c>
      <c r="L826" s="16" t="n">
        <f aca="false">IF(D826="","",H826+E826-K826-G826*I826)</f>
        <v>17.400050922741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1.15672329499931</v>
      </c>
      <c r="N826" s="16" t="n">
        <f aca="false">IF(D826="","",(I826+M826)/2)</f>
        <v>1.16457776490333</v>
      </c>
      <c r="O826" s="16" t="n">
        <f aca="false">IF(D826="","",G826*N826)</f>
        <v>0.263078117091663</v>
      </c>
      <c r="P826" s="16" t="n">
        <f aca="false">IF(D826="","",H826+E826-K826-O826)</f>
        <v>17.4018252474923</v>
      </c>
      <c r="Q826" s="16" t="n">
        <f aca="false">IF(D826="","",IF(P826&gt;=0,K826,MAX(0,K826+P826)))</f>
        <v>0.648</v>
      </c>
      <c r="R826" s="16" t="n">
        <f aca="false">IF(D826="","",Q826/$B$15)</f>
        <v>0.25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17.4018252474923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81.6987100821236</v>
      </c>
      <c r="Z826" s="18" t="n">
        <f aca="false">IF(D826="","",MAX(0,IF(P826&gt;=0,P826,IF(K826+P826&gt;=0,0,P826+K826))))</f>
        <v>17.4018252474923</v>
      </c>
      <c r="AA826" s="18" t="n">
        <f aca="false">IF(D826="","",IF(H826&lt;=$B$16,1,IF(H826&gt;=$B$17,$B$21,MATCH(H826,Aux_CAV!$A$2:$A$121,1))))</f>
        <v>7</v>
      </c>
      <c r="AB826" s="18" t="n">
        <f aca="false">IF(D826="","",IF(L826&lt;=$B$16,1,IF(L826&gt;=$B$17,$B$21,MATCH(L826,Aux_CAV!$A$2:$A$121,1))))</f>
        <v>7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0.00833385208982042</v>
      </c>
      <c r="E827" s="16" t="n">
        <f aca="false">IF(D827="","",D827*$B$15)</f>
        <v>0.0216013446168145</v>
      </c>
      <c r="F827" s="16" t="n">
        <f aca="false" t="array" ref="F827:F827">IF(D827="","",IFERROR(INDEX(Dados_Evap!$C$2:$N$15,MATCH($B$9,Dados_Evap!$A$2:$A$15,0),C827),0))</f>
        <v>206</v>
      </c>
      <c r="G827" s="16" t="n">
        <f aca="false">IF(F827="","",F827/1000)</f>
        <v>0.206</v>
      </c>
      <c r="H827" s="16" t="n">
        <f aca="false">IF(D827="","",MAX(0,MIN($B$8,IFERROR(LOOKUP(2,1/($U$24:U826&lt;&gt;""),$U$24:U826),$B$11))))</f>
        <v>17.4018252474923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1.15675663304265</v>
      </c>
      <c r="J827" s="16" t="n">
        <f aca="false">IF(D827="","",$B$12)</f>
        <v>0.25</v>
      </c>
      <c r="K827" s="16" t="n">
        <f aca="false">IF(J827="","",J827*$B$15)</f>
        <v>0.648</v>
      </c>
      <c r="L827" s="16" t="n">
        <f aca="false">IF(D827="","",H827+E827-K827-G827*I827)</f>
        <v>16.5371347257024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1.14050983826998</v>
      </c>
      <c r="N827" s="16" t="n">
        <f aca="false">IF(D827="","",(I827+M827)/2)</f>
        <v>1.14863323565632</v>
      </c>
      <c r="O827" s="16" t="n">
        <f aca="false">IF(D827="","",G827*N827)</f>
        <v>0.236618446545201</v>
      </c>
      <c r="P827" s="16" t="n">
        <f aca="false">IF(D827="","",H827+E827-K827-O827)</f>
        <v>16.5388081455639</v>
      </c>
      <c r="Q827" s="16" t="n">
        <f aca="false">IF(D827="","",IF(P827&gt;=0,K827,MAX(0,K827+P827)))</f>
        <v>0.648</v>
      </c>
      <c r="R827" s="16" t="n">
        <f aca="false">IF(D827="","",Q827/$B$15)</f>
        <v>0.25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16.5388081455639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77.6469865988917</v>
      </c>
      <c r="Z827" s="18" t="n">
        <f aca="false">IF(D827="","",MAX(0,IF(P827&gt;=0,P827,IF(K827+P827&gt;=0,0,P827+K827))))</f>
        <v>16.5388081455639</v>
      </c>
      <c r="AA827" s="18" t="n">
        <f aca="false">IF(D827="","",IF(H827&lt;=$B$16,1,IF(H827&gt;=$B$17,$B$21,MATCH(H827,Aux_CAV!$A$2:$A$121,1))))</f>
        <v>7</v>
      </c>
      <c r="AB827" s="18" t="n">
        <f aca="false">IF(D827="","",IF(L827&lt;=$B$16,1,IF(L827&gt;=$B$17,$B$21,MATCH(L827,Aux_CAV!$A$2:$A$121,1))))</f>
        <v>7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0.17230239026342</v>
      </c>
      <c r="E828" s="16" t="n">
        <f aca="false">IF(D828="","",D828*$B$15)</f>
        <v>0.446607795562785</v>
      </c>
      <c r="F828" s="16" t="n">
        <f aca="false" t="array" ref="F828:F828">IF(D828="","",IFERROR(INDEX(Dados_Evap!$C$2:$N$15,MATCH($B$9,Dados_Evap!$A$2:$A$15,0),C828),0))</f>
        <v>165.6</v>
      </c>
      <c r="G828" s="16" t="n">
        <f aca="false">IF(F828="","",F828/1000)</f>
        <v>0.1656</v>
      </c>
      <c r="H828" s="16" t="n">
        <f aca="false">IF(D828="","",MAX(0,MIN($B$8,IFERROR(LOOKUP(2,1/($U$24:U827&lt;&gt;""),$U$24:U827),$B$11))))</f>
        <v>16.5388081455639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1.14054128039682</v>
      </c>
      <c r="J828" s="16" t="n">
        <f aca="false">IF(D828="","",$B$12)</f>
        <v>0.25</v>
      </c>
      <c r="K828" s="16" t="n">
        <f aca="false">IF(J828="","",J828*$B$15)</f>
        <v>0.648</v>
      </c>
      <c r="L828" s="16" t="n">
        <f aca="false">IF(D828="","",H828+E828-K828-G828*I828)</f>
        <v>16.148542305093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1.12838415725252</v>
      </c>
      <c r="N828" s="16" t="n">
        <f aca="false">IF(D828="","",(I828+M828)/2)</f>
        <v>1.13446271882467</v>
      </c>
      <c r="O828" s="16" t="n">
        <f aca="false">IF(D828="","",G828*N828)</f>
        <v>0.187867026237365</v>
      </c>
      <c r="P828" s="16" t="n">
        <f aca="false">IF(D828="","",H828+E828-K828-O828)</f>
        <v>16.1495489148894</v>
      </c>
      <c r="Q828" s="16" t="n">
        <f aca="false">IF(D828="","",IF(P828&gt;=0,K828,MAX(0,K828+P828)))</f>
        <v>0.648</v>
      </c>
      <c r="R828" s="16" t="n">
        <f aca="false">IF(D828="","",Q828/$B$15)</f>
        <v>0.25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16.1495489148894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75.819478473659</v>
      </c>
      <c r="Z828" s="18" t="n">
        <f aca="false">IF(D828="","",MAX(0,IF(P828&gt;=0,P828,IF(K828+P828&gt;=0,0,P828+K828))))</f>
        <v>16.1495489148894</v>
      </c>
      <c r="AA828" s="18" t="n">
        <f aca="false">IF(D828="","",IF(H828&lt;=$B$16,1,IF(H828&gt;=$B$17,$B$21,MATCH(H828,Aux_CAV!$A$2:$A$121,1))))</f>
        <v>7</v>
      </c>
      <c r="AB828" s="18" t="n">
        <f aca="false">IF(D828="","",IF(L828&lt;=$B$16,1,IF(L828&gt;=$B$17,$B$21,MATCH(L828,Aux_CAV!$A$2:$A$121,1))))</f>
        <v>6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0.491199322102397</v>
      </c>
      <c r="E829" s="16" t="n">
        <f aca="false">IF(D829="","",D829*$B$15)</f>
        <v>1.27318864288941</v>
      </c>
      <c r="F829" s="16" t="n">
        <f aca="false" t="array" ref="F829:F829">IF(D829="","",IFERROR(INDEX(Dados_Evap!$C$2:$N$15,MATCH($B$9,Dados_Evap!$A$2:$A$15,0),C829),0))</f>
        <v>124.9</v>
      </c>
      <c r="G829" s="16" t="n">
        <f aca="false">IF(F829="","",F829/1000)</f>
        <v>0.1249</v>
      </c>
      <c r="H829" s="16" t="n">
        <f aca="false">IF(D829="","",MAX(0,MIN($B$8,IFERROR(LOOKUP(2,1/($U$24:U828&lt;&gt;""),$U$24:U828),$B$11))))</f>
        <v>16.1495489148894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1.12841650577149</v>
      </c>
      <c r="J829" s="16" t="n">
        <f aca="false">IF(D829="","",$B$12)</f>
        <v>0.25</v>
      </c>
      <c r="K829" s="16" t="n">
        <f aca="false">IF(J829="","",J829*$B$15)</f>
        <v>0.648</v>
      </c>
      <c r="L829" s="16" t="n">
        <f aca="false">IF(D829="","",H829+E829-K829-G829*I829)</f>
        <v>16.6337983362079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1.14232606477217</v>
      </c>
      <c r="N829" s="16" t="n">
        <f aca="false">IF(D829="","",(I829+M829)/2)</f>
        <v>1.13537128527183</v>
      </c>
      <c r="O829" s="16" t="n">
        <f aca="false">IF(D829="","",G829*N829)</f>
        <v>0.141807873530452</v>
      </c>
      <c r="P829" s="16" t="n">
        <f aca="false">IF(D829="","",H829+E829-K829-O829)</f>
        <v>16.6329296842483</v>
      </c>
      <c r="Q829" s="16" t="n">
        <f aca="false">IF(D829="","",IF(P829&gt;=0,K829,MAX(0,K829+P829)))</f>
        <v>0.648</v>
      </c>
      <c r="R829" s="16" t="n">
        <f aca="false">IF(D829="","",Q829/$B$15)</f>
        <v>0.25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16.6329296842483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78.0888717570344</v>
      </c>
      <c r="Z829" s="18" t="n">
        <f aca="false">IF(D829="","",MAX(0,IF(P829&gt;=0,P829,IF(K829+P829&gt;=0,0,P829+K829))))</f>
        <v>16.6329296842483</v>
      </c>
      <c r="AA829" s="18" t="n">
        <f aca="false">IF(D829="","",IF(H829&lt;=$B$16,1,IF(H829&gt;=$B$17,$B$21,MATCH(H829,Aux_CAV!$A$2:$A$121,1))))</f>
        <v>6</v>
      </c>
      <c r="AB829" s="18" t="n">
        <f aca="false">IF(D829="","",IF(L829&lt;=$B$16,1,IF(L829&gt;=$B$17,$B$21,MATCH(L829,Aux_CAV!$A$2:$A$121,1))))</f>
        <v>7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1.07535284864003</v>
      </c>
      <c r="E830" s="16" t="n">
        <f aca="false">IF(D830="","",D830*$B$15)</f>
        <v>2.78731458367496</v>
      </c>
      <c r="F830" s="16" t="n">
        <f aca="false" t="array" ref="F830:F830">IF(D830="","",IFERROR(INDEX(Dados_Evap!$C$2:$N$15,MATCH($B$9,Dados_Evap!$A$2:$A$15,0),C830),0))</f>
        <v>88.2</v>
      </c>
      <c r="G830" s="16" t="n">
        <f aca="false">IF(F830="","",F830/1000)</f>
        <v>0.0882</v>
      </c>
      <c r="H830" s="16" t="n">
        <f aca="false">IF(D830="","",MAX(0,MIN($B$8,IFERROR(LOOKUP(2,1/($U$24:U829&lt;&gt;""),$U$24:U829),$B$11))))</f>
        <v>16.6329296842483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1.14230974354538</v>
      </c>
      <c r="J830" s="16" t="n">
        <f aca="false">IF(D830="","",$B$12)</f>
        <v>0.25</v>
      </c>
      <c r="K830" s="16" t="n">
        <f aca="false">IF(J830="","",J830*$B$15)</f>
        <v>0.648</v>
      </c>
      <c r="L830" s="16" t="n">
        <f aca="false">IF(D830="","",H830+E830-K830-G830*I830)</f>
        <v>18.6714925485426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1.18061259485779</v>
      </c>
      <c r="N830" s="16" t="n">
        <f aca="false">IF(D830="","",(I830+M830)/2)</f>
        <v>1.16146116920158</v>
      </c>
      <c r="O830" s="16" t="n">
        <f aca="false">IF(D830="","",G830*N830)</f>
        <v>0.10244087512358</v>
      </c>
      <c r="P830" s="16" t="n">
        <f aca="false">IF(D830="","",H830+E830-K830-O830)</f>
        <v>18.6698033927997</v>
      </c>
      <c r="Q830" s="16" t="n">
        <f aca="false">IF(D830="","",IF(P830&gt;=0,K830,MAX(0,K830+P830)))</f>
        <v>0.648</v>
      </c>
      <c r="R830" s="16" t="n">
        <f aca="false">IF(D830="","",Q830/$B$15)</f>
        <v>0.25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18.6698033927997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87.6516591211254</v>
      </c>
      <c r="Z830" s="18" t="n">
        <f aca="false">IF(D830="","",MAX(0,IF(P830&gt;=0,P830,IF(K830+P830&gt;=0,0,P830+K830))))</f>
        <v>18.6698033927997</v>
      </c>
      <c r="AA830" s="18" t="n">
        <f aca="false">IF(D830="","",IF(H830&lt;=$B$16,1,IF(H830&gt;=$B$17,$B$21,MATCH(H830,Aux_CAV!$A$2:$A$121,1))))</f>
        <v>7</v>
      </c>
      <c r="AB830" s="18" t="n">
        <f aca="false">IF(D830="","",IF(L830&lt;=$B$16,1,IF(L830&gt;=$B$17,$B$21,MATCH(L830,Aux_CAV!$A$2:$A$121,1))))</f>
        <v>7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1.32004571965862</v>
      </c>
      <c r="E831" s="16" t="n">
        <f aca="false">IF(D831="","",D831*$B$15)</f>
        <v>3.42155850535514</v>
      </c>
      <c r="F831" s="16" t="n">
        <f aca="false" t="array" ref="F831:F831">IF(D831="","",IFERROR(INDEX(Dados_Evap!$C$2:$N$15,MATCH($B$9,Dados_Evap!$A$2:$A$15,0),C831),0))</f>
        <v>88.2</v>
      </c>
      <c r="G831" s="16" t="n">
        <f aca="false">IF(F831="","",F831/1000)</f>
        <v>0.0882</v>
      </c>
      <c r="H831" s="16" t="n">
        <f aca="false">IF(D831="","",MAX(0,MIN($B$8,IFERROR(LOOKUP(2,1/($U$24:U830&lt;&gt;""),$U$24:U830),$B$11))))</f>
        <v>18.6698033927997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1.18058085706722</v>
      </c>
      <c r="J831" s="16" t="n">
        <f aca="false">IF(D831="","",$B$12)</f>
        <v>0.25</v>
      </c>
      <c r="K831" s="16" t="n">
        <f aca="false">IF(J831="","",J831*$B$15)</f>
        <v>0.648</v>
      </c>
      <c r="L831" s="16" t="n">
        <f aca="false">IF(D831="","",H831+E831-K831-G831*I831)</f>
        <v>21.3392346665615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1.23065391110936</v>
      </c>
      <c r="N831" s="16" t="n">
        <f aca="false">IF(D831="","",(I831+M831)/2)</f>
        <v>1.20561738408829</v>
      </c>
      <c r="O831" s="16" t="n">
        <f aca="false">IF(D831="","",G831*N831)</f>
        <v>0.106335453276587</v>
      </c>
      <c r="P831" s="16" t="n">
        <f aca="false">IF(D831="","",H831+E831-K831-O831)</f>
        <v>21.3370264448783</v>
      </c>
      <c r="Q831" s="16" t="n">
        <f aca="false">IF(D831="","",IF(P831&gt;=0,K831,MAX(0,K831+P831)))</f>
        <v>0.648</v>
      </c>
      <c r="R831" s="16" t="n">
        <f aca="false">IF(D831="","",Q831/$B$15)</f>
        <v>0.25</v>
      </c>
      <c r="S831" s="16" t="n">
        <f aca="false">IF(D831="","",MAX(0,J831-R831))</f>
        <v>0</v>
      </c>
      <c r="T831" s="16" t="n">
        <f aca="false">IF(D831="","",MAX(0,Z831-$B$8))</f>
        <v>0.0370264448782578</v>
      </c>
      <c r="U831" s="16" t="n">
        <f aca="false">IF(D831="","",MAX(0,MIN($B$8,Z831)))</f>
        <v>21.3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21.3370264448783</v>
      </c>
      <c r="AA831" s="18" t="n">
        <f aca="false">IF(D831="","",IF(H831&lt;=$B$16,1,IF(H831&gt;=$B$17,$B$21,MATCH(H831,Aux_CAV!$A$2:$A$121,1))))</f>
        <v>7</v>
      </c>
      <c r="AB831" s="18" t="n">
        <f aca="false">IF(D831="","",IF(L831&lt;=$B$16,1,IF(L831&gt;=$B$17,$B$21,MATCH(L831,Aux_CAV!$A$2:$A$121,1))))</f>
        <v>8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1.02265065617194</v>
      </c>
      <c r="E832" s="16" t="n">
        <f aca="false">IF(D832="","",D832*$B$15)</f>
        <v>2.65071050079767</v>
      </c>
      <c r="F832" s="16" t="n">
        <f aca="false" t="array" ref="F832:F832">IF(D832="","",IFERROR(INDEX(Dados_Evap!$C$2:$N$15,MATCH($B$9,Dados_Evap!$A$2:$A$15,0),C832),0))</f>
        <v>83.9</v>
      </c>
      <c r="G832" s="16" t="n">
        <f aca="false">IF(F832="","",F832/1000)</f>
        <v>0.0839</v>
      </c>
      <c r="H832" s="16" t="n">
        <f aca="false">IF(D832="","",MAX(0,MIN($B$8,IFERROR(LOOKUP(2,1/($U$24:U831&lt;&gt;""),$U$24:U831),$B$11))))</f>
        <v>21.3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1.23</v>
      </c>
      <c r="J832" s="16" t="n">
        <f aca="false">IF(D832="","",$B$12)</f>
        <v>0.25</v>
      </c>
      <c r="K832" s="16" t="n">
        <f aca="false">IF(J832="","",J832*$B$15)</f>
        <v>0.648</v>
      </c>
      <c r="L832" s="16" t="n">
        <f aca="false">IF(D832="","",H832+E832-K832-G832*I832)</f>
        <v>23.1995135007977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1.26677993405212</v>
      </c>
      <c r="N832" s="16" t="n">
        <f aca="false">IF(D832="","",(I832+M832)/2)</f>
        <v>1.24838996702606</v>
      </c>
      <c r="O832" s="16" t="n">
        <f aca="false">IF(D832="","",G832*N832)</f>
        <v>0.104739918233486</v>
      </c>
      <c r="P832" s="16" t="n">
        <f aca="false">IF(D832="","",H832+E832-K832-O832)</f>
        <v>23.1979705825642</v>
      </c>
      <c r="Q832" s="16" t="n">
        <f aca="false">IF(D832="","",IF(P832&gt;=0,K832,MAX(0,K832+P832)))</f>
        <v>0.648</v>
      </c>
      <c r="R832" s="16" t="n">
        <f aca="false">IF(D832="","",Q832/$B$15)</f>
        <v>0.25</v>
      </c>
      <c r="S832" s="16" t="n">
        <f aca="false">IF(D832="","",MAX(0,J832-R832))</f>
        <v>0</v>
      </c>
      <c r="T832" s="16" t="n">
        <f aca="false">IF(D832="","",MAX(0,Z832-$B$8))</f>
        <v>1.89797058256418</v>
      </c>
      <c r="U832" s="16" t="n">
        <f aca="false">IF(D832="","",MAX(0,MIN($B$8,Z832)))</f>
        <v>21.3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23.1979705825642</v>
      </c>
      <c r="AA832" s="18" t="n">
        <f aca="false">IF(D832="","",IF(H832&lt;=$B$16,1,IF(H832&gt;=$B$17,$B$21,MATCH(H832,Aux_CAV!$A$2:$A$121,1))))</f>
        <v>8</v>
      </c>
      <c r="AB832" s="18" t="n">
        <f aca="false">IF(D832="","",IF(L832&lt;=$B$16,1,IF(L832&gt;=$B$17,$B$21,MATCH(L832,Aux_CAV!$A$2:$A$121,1))))</f>
        <v>9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0.774888167504501</v>
      </c>
      <c r="E833" s="16" t="n">
        <f aca="false">IF(D833="","",D833*$B$15)</f>
        <v>2.00851013017167</v>
      </c>
      <c r="F833" s="16" t="n">
        <f aca="false" t="array" ref="F833:F833">IF(D833="","",IFERROR(INDEX(Dados_Evap!$C$2:$N$15,MATCH($B$9,Dados_Evap!$A$2:$A$15,0),C833),0))</f>
        <v>104.7</v>
      </c>
      <c r="G833" s="16" t="n">
        <f aca="false">IF(F833="","",F833/1000)</f>
        <v>0.1047</v>
      </c>
      <c r="H833" s="16" t="n">
        <f aca="false">IF(D833="","",MAX(0,MIN($B$8,IFERROR(LOOKUP(2,1/($U$24:U832&lt;&gt;""),$U$24:U832),$B$11))))</f>
        <v>21.3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1.23</v>
      </c>
      <c r="J833" s="16" t="n">
        <f aca="false">IF(D833="","",$B$12)</f>
        <v>0.25</v>
      </c>
      <c r="K833" s="16" t="n">
        <f aca="false">IF(J833="","",J833*$B$15)</f>
        <v>0.648</v>
      </c>
      <c r="L833" s="16" t="n">
        <f aca="false">IF(D833="","",H833+E833-K833-G833*I833)</f>
        <v>22.5317291301717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1.25076111856484</v>
      </c>
      <c r="N833" s="16" t="n">
        <f aca="false">IF(D833="","",(I833+M833)/2)</f>
        <v>1.24038055928242</v>
      </c>
      <c r="O833" s="16" t="n">
        <f aca="false">IF(D833="","",G833*N833)</f>
        <v>0.129867844556869</v>
      </c>
      <c r="P833" s="16" t="n">
        <f aca="false">IF(D833="","",H833+E833-K833-O833)</f>
        <v>22.5306422856148</v>
      </c>
      <c r="Q833" s="16" t="n">
        <f aca="false">IF(D833="","",IF(P833&gt;=0,K833,MAX(0,K833+P833)))</f>
        <v>0.648</v>
      </c>
      <c r="R833" s="16" t="n">
        <f aca="false">IF(D833="","",Q833/$B$15)</f>
        <v>0.25</v>
      </c>
      <c r="S833" s="16" t="n">
        <f aca="false">IF(D833="","",MAX(0,J833-R833))</f>
        <v>0</v>
      </c>
      <c r="T833" s="16" t="n">
        <f aca="false">IF(D833="","",MAX(0,Z833-$B$8))</f>
        <v>1.2306422856148</v>
      </c>
      <c r="U833" s="16" t="n">
        <f aca="false">IF(D833="","",MAX(0,MIN($B$8,Z833)))</f>
        <v>21.3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22.5306422856148</v>
      </c>
      <c r="AA833" s="18" t="n">
        <f aca="false">IF(D833="","",IF(H833&lt;=$B$16,1,IF(H833&gt;=$B$17,$B$21,MATCH(H833,Aux_CAV!$A$2:$A$121,1))))</f>
        <v>8</v>
      </c>
      <c r="AB833" s="18" t="n">
        <f aca="false">IF(D833="","",IF(L833&lt;=$B$16,1,IF(L833&gt;=$B$17,$B$21,MATCH(L833,Aux_CAV!$A$2:$A$121,1))))</f>
        <v>9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0.750284365703513</v>
      </c>
      <c r="E834" s="16" t="n">
        <f aca="false">IF(D834="","",D834*$B$15)</f>
        <v>1.94473707590351</v>
      </c>
      <c r="F834" s="16" t="n">
        <f aca="false" t="array" ref="F834:F834">IF(D834="","",IFERROR(INDEX(Dados_Evap!$C$2:$N$15,MATCH($B$9,Dados_Evap!$A$2:$A$15,0),C834),0))</f>
        <v>145.2</v>
      </c>
      <c r="G834" s="16" t="n">
        <f aca="false">IF(F834="","",F834/1000)</f>
        <v>0.1452</v>
      </c>
      <c r="H834" s="16" t="n">
        <f aca="false">IF(D834="","",MAX(0,MIN($B$8,IFERROR(LOOKUP(2,1/($U$24:U833&lt;&gt;""),$U$24:U833),$B$11))))</f>
        <v>21.3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1.23</v>
      </c>
      <c r="J834" s="16" t="n">
        <f aca="false">IF(D834="","",$B$12)</f>
        <v>0.25</v>
      </c>
      <c r="K834" s="16" t="n">
        <f aca="false">IF(J834="","",J834*$B$15)</f>
        <v>0.648</v>
      </c>
      <c r="L834" s="16" t="n">
        <f aca="false">IF(D834="","",H834+E834-K834-G834*I834)</f>
        <v>22.4181410759035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1.24863568459839</v>
      </c>
      <c r="N834" s="16" t="n">
        <f aca="false">IF(D834="","",(I834+M834)/2)</f>
        <v>1.2393178422992</v>
      </c>
      <c r="O834" s="16" t="n">
        <f aca="false">IF(D834="","",G834*N834)</f>
        <v>0.179948950701843</v>
      </c>
      <c r="P834" s="16" t="n">
        <f aca="false">IF(D834="","",H834+E834-K834-O834)</f>
        <v>22.4167881252017</v>
      </c>
      <c r="Q834" s="16" t="n">
        <f aca="false">IF(D834="","",IF(P834&gt;=0,K834,MAX(0,K834+P834)))</f>
        <v>0.648</v>
      </c>
      <c r="R834" s="16" t="n">
        <f aca="false">IF(D834="","",Q834/$B$15)</f>
        <v>0.25</v>
      </c>
      <c r="S834" s="16" t="n">
        <f aca="false">IF(D834="","",MAX(0,J834-R834))</f>
        <v>0</v>
      </c>
      <c r="T834" s="16" t="n">
        <f aca="false">IF(D834="","",MAX(0,Z834-$B$8))</f>
        <v>1.11678812520167</v>
      </c>
      <c r="U834" s="16" t="n">
        <f aca="false">IF(D834="","",MAX(0,MIN($B$8,Z834)))</f>
        <v>21.3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22.4167881252017</v>
      </c>
      <c r="AA834" s="18" t="n">
        <f aca="false">IF(D834="","",IF(H834&lt;=$B$16,1,IF(H834&gt;=$B$17,$B$21,MATCH(H834,Aux_CAV!$A$2:$A$121,1))))</f>
        <v>8</v>
      </c>
      <c r="AB834" s="18" t="n">
        <f aca="false">IF(D834="","",IF(L834&lt;=$B$16,1,IF(L834&gt;=$B$17,$B$21,MATCH(L834,Aux_CAV!$A$2:$A$121,1))))</f>
        <v>8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0.177956649427882</v>
      </c>
      <c r="E835" s="16" t="n">
        <f aca="false">IF(D835="","",D835*$B$15)</f>
        <v>0.46126363531707</v>
      </c>
      <c r="F835" s="16" t="n">
        <f aca="false" t="array" ref="F835:F835">IF(D835="","",IFERROR(INDEX(Dados_Evap!$C$2:$N$15,MATCH($B$9,Dados_Evap!$A$2:$A$15,0),C835),0))</f>
        <v>180.9</v>
      </c>
      <c r="G835" s="16" t="n">
        <f aca="false">IF(F835="","",F835/1000)</f>
        <v>0.1809</v>
      </c>
      <c r="H835" s="16" t="n">
        <f aca="false">IF(D835="","",MAX(0,MIN($B$8,IFERROR(LOOKUP(2,1/($U$24:U834&lt;&gt;""),$U$24:U834),$B$11))))</f>
        <v>21.3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1.23</v>
      </c>
      <c r="J835" s="16" t="n">
        <f aca="false">IF(D835="","",$B$12)</f>
        <v>0.25</v>
      </c>
      <c r="K835" s="16" t="n">
        <f aca="false">IF(J835="","",J835*$B$15)</f>
        <v>0.648</v>
      </c>
      <c r="L835" s="16" t="n">
        <f aca="false">IF(D835="","",H835+E835-K835-G835*I835)</f>
        <v>20.8907566353171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1.22231066746942</v>
      </c>
      <c r="N835" s="16" t="n">
        <f aca="false">IF(D835="","",(I835+M835)/2)</f>
        <v>1.22615533373471</v>
      </c>
      <c r="O835" s="16" t="n">
        <f aca="false">IF(D835="","",G835*N835)</f>
        <v>0.221811499872609</v>
      </c>
      <c r="P835" s="16" t="n">
        <f aca="false">IF(D835="","",H835+E835-K835-O835)</f>
        <v>20.8914521354445</v>
      </c>
      <c r="Q835" s="16" t="n">
        <f aca="false">IF(D835="","",IF(P835&gt;=0,K835,MAX(0,K835+P835)))</f>
        <v>0.648</v>
      </c>
      <c r="R835" s="16" t="n">
        <f aca="false">IF(D835="","",Q835/$B$15)</f>
        <v>0.25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20.8914521354445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98.08193490819</v>
      </c>
      <c r="Z835" s="18" t="n">
        <f aca="false">IF(D835="","",MAX(0,IF(P835&gt;=0,P835,IF(K835+P835&gt;=0,0,P835+K835))))</f>
        <v>20.8914521354445</v>
      </c>
      <c r="AA835" s="18" t="n">
        <f aca="false">IF(D835="","",IF(H835&lt;=$B$16,1,IF(H835&gt;=$B$17,$B$21,MATCH(H835,Aux_CAV!$A$2:$A$121,1))))</f>
        <v>8</v>
      </c>
      <c r="AB835" s="18" t="n">
        <f aca="false">IF(D835="","",IF(L835&lt;=$B$16,1,IF(L835&gt;=$B$17,$B$21,MATCH(L835,Aux_CAV!$A$2:$A$121,1))))</f>
        <v>7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0.114640251301847</v>
      </c>
      <c r="E836" s="16" t="n">
        <f aca="false">IF(D836="","",D836*$B$15)</f>
        <v>0.297147531374387</v>
      </c>
      <c r="F836" s="16" t="n">
        <f aca="false" t="array" ref="F836:F836">IF(D836="","",IFERROR(INDEX(Dados_Evap!$C$2:$N$15,MATCH($B$9,Dados_Evap!$A$2:$A$15,0),C836),0))</f>
        <v>208.9</v>
      </c>
      <c r="G836" s="16" t="n">
        <f aca="false">IF(F836="","",F836/1000)</f>
        <v>0.2089</v>
      </c>
      <c r="H836" s="16" t="n">
        <f aca="false">IF(D836="","",MAX(0,MIN($B$8,IFERROR(LOOKUP(2,1/($U$24:U835&lt;&gt;""),$U$24:U835),$B$11))))</f>
        <v>20.8914521354445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1.2223237353215</v>
      </c>
      <c r="J836" s="16" t="n">
        <f aca="false">IF(D836="","",$B$12)</f>
        <v>0.25</v>
      </c>
      <c r="K836" s="16" t="n">
        <f aca="false">IF(J836="","",J836*$B$15)</f>
        <v>0.648</v>
      </c>
      <c r="L836" s="16" t="n">
        <f aca="false">IF(D836="","",H836+E836-K836-G836*I836)</f>
        <v>20.2852562385102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1.21093383329142</v>
      </c>
      <c r="N836" s="16" t="n">
        <f aca="false">IF(D836="","",(I836+M836)/2)</f>
        <v>1.21662878430646</v>
      </c>
      <c r="O836" s="16" t="n">
        <f aca="false">IF(D836="","",G836*N836)</f>
        <v>0.25415375304162</v>
      </c>
      <c r="P836" s="16" t="n">
        <f aca="false">IF(D836="","",H836+E836-K836-O836)</f>
        <v>20.2864459137772</v>
      </c>
      <c r="Q836" s="16" t="n">
        <f aca="false">IF(D836="","",IF(P836&gt;=0,K836,MAX(0,K836+P836)))</f>
        <v>0.648</v>
      </c>
      <c r="R836" s="16" t="n">
        <f aca="false">IF(D836="","",Q836/$B$15)</f>
        <v>0.25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20.2864459137772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95.2415301116302</v>
      </c>
      <c r="Z836" s="18" t="n">
        <f aca="false">IF(D836="","",MAX(0,IF(P836&gt;=0,P836,IF(K836+P836&gt;=0,0,P836+K836))))</f>
        <v>20.2864459137772</v>
      </c>
      <c r="AA836" s="18" t="n">
        <f aca="false">IF(D836="","",IF(H836&lt;=$B$16,1,IF(H836&gt;=$B$17,$B$21,MATCH(H836,Aux_CAV!$A$2:$A$121,1))))</f>
        <v>7</v>
      </c>
      <c r="AB836" s="18" t="n">
        <f aca="false">IF(D836="","",IF(L836&lt;=$B$16,1,IF(L836&gt;=$B$17,$B$21,MATCH(L836,Aux_CAV!$A$2:$A$121,1))))</f>
        <v>7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0.072294336003248</v>
      </c>
      <c r="E837" s="16" t="n">
        <f aca="false">IF(D837="","",D837*$B$15)</f>
        <v>0.187386918920419</v>
      </c>
      <c r="F837" s="16" t="n">
        <f aca="false" t="array" ref="F837:F837">IF(D837="","",IFERROR(INDEX(Dados_Evap!$C$2:$N$15,MATCH($B$9,Dados_Evap!$A$2:$A$15,0),C837),0))</f>
        <v>235.9</v>
      </c>
      <c r="G837" s="16" t="n">
        <f aca="false">IF(F837="","",F837/1000)</f>
        <v>0.2359</v>
      </c>
      <c r="H837" s="16" t="n">
        <f aca="false">IF(D837="","",MAX(0,MIN($B$8,IFERROR(LOOKUP(2,1/($U$24:U836&lt;&gt;""),$U$24:U836),$B$11))))</f>
        <v>20.2864459137772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1.21095618627139</v>
      </c>
      <c r="J837" s="16" t="n">
        <f aca="false">IF(D837="","",$B$12)</f>
        <v>0.25</v>
      </c>
      <c r="K837" s="16" t="n">
        <f aca="false">IF(J837="","",J837*$B$15)</f>
        <v>0.648</v>
      </c>
      <c r="L837" s="16" t="n">
        <f aca="false">IF(D837="","",H837+E837-K837-G837*I837)</f>
        <v>19.5401682683562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1.1969342680902</v>
      </c>
      <c r="N837" s="16" t="n">
        <f aca="false">IF(D837="","",(I837+M837)/2)</f>
        <v>1.20394522718079</v>
      </c>
      <c r="O837" s="16" t="n">
        <f aca="false">IF(D837="","",G837*N837)</f>
        <v>0.284010679091949</v>
      </c>
      <c r="P837" s="16" t="n">
        <f aca="false">IF(D837="","",H837+E837-K837-O837)</f>
        <v>19.5418221536057</v>
      </c>
      <c r="Q837" s="16" t="n">
        <f aca="false">IF(D837="","",IF(P837&gt;=0,K837,MAX(0,K837+P837)))</f>
        <v>0.648</v>
      </c>
      <c r="R837" s="16" t="n">
        <f aca="false">IF(D837="","",Q837/$B$15)</f>
        <v>0.25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19.5418221536057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91.7456439136418</v>
      </c>
      <c r="Z837" s="18" t="n">
        <f aca="false">IF(D837="","",MAX(0,IF(P837&gt;=0,P837,IF(K837+P837&gt;=0,0,P837+K837))))</f>
        <v>19.5418221536057</v>
      </c>
      <c r="AA837" s="18" t="n">
        <f aca="false">IF(D837="","",IF(H837&lt;=$B$16,1,IF(H837&gt;=$B$17,$B$21,MATCH(H837,Aux_CAV!$A$2:$A$121,1))))</f>
        <v>7</v>
      </c>
      <c r="AB837" s="18" t="n">
        <f aca="false">IF(D837="","",IF(L837&lt;=$B$16,1,IF(L837&gt;=$B$17,$B$21,MATCH(L837,Aux_CAV!$A$2:$A$121,1))))</f>
        <v>7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0.0413434399707345</v>
      </c>
      <c r="E838" s="16" t="n">
        <f aca="false">IF(D838="","",D838*$B$15)</f>
        <v>0.107162196404144</v>
      </c>
      <c r="F838" s="16" t="n">
        <f aca="false" t="array" ref="F838:F838">IF(D838="","",IFERROR(INDEX(Dados_Evap!$C$2:$N$15,MATCH($B$9,Dados_Evap!$A$2:$A$15,0),C838),0))</f>
        <v>225.9</v>
      </c>
      <c r="G838" s="16" t="n">
        <f aca="false">IF(F838="","",F838/1000)</f>
        <v>0.2259</v>
      </c>
      <c r="H838" s="16" t="n">
        <f aca="false">IF(D838="","",MAX(0,MIN($B$8,IFERROR(LOOKUP(2,1/($U$24:U837&lt;&gt;""),$U$24:U837),$B$11))))</f>
        <v>19.5418221536057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1.1969653431784</v>
      </c>
      <c r="J838" s="16" t="n">
        <f aca="false">IF(D838="","",$B$12)</f>
        <v>0.25</v>
      </c>
      <c r="K838" s="16" t="n">
        <f aca="false">IF(J838="","",J838*$B$15)</f>
        <v>0.648</v>
      </c>
      <c r="L838" s="16" t="n">
        <f aca="false">IF(D838="","",H838+E838-K838-G838*I838)</f>
        <v>18.7305898789858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1.18172298311247</v>
      </c>
      <c r="N838" s="16" t="n">
        <f aca="false">IF(D838="","",(I838+M838)/2)</f>
        <v>1.18934416314543</v>
      </c>
      <c r="O838" s="16" t="n">
        <f aca="false">IF(D838="","",G838*N838)</f>
        <v>0.268672846454553</v>
      </c>
      <c r="P838" s="16" t="n">
        <f aca="false">IF(D838="","",H838+E838-K838-O838)</f>
        <v>18.7323115035553</v>
      </c>
      <c r="Q838" s="16" t="n">
        <f aca="false">IF(D838="","",IF(P838&gt;=0,K838,MAX(0,K838+P838)))</f>
        <v>0.648</v>
      </c>
      <c r="R838" s="16" t="n">
        <f aca="false">IF(D838="","",Q838/$B$15)</f>
        <v>0.25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18.7323115035553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87.945124429837</v>
      </c>
      <c r="Z838" s="18" t="n">
        <f aca="false">IF(D838="","",MAX(0,IF(P838&gt;=0,P838,IF(K838+P838&gt;=0,0,P838+K838))))</f>
        <v>18.7323115035553</v>
      </c>
      <c r="AA838" s="18" t="n">
        <f aca="false">IF(D838="","",IF(H838&lt;=$B$16,1,IF(H838&gt;=$B$17,$B$21,MATCH(H838,Aux_CAV!$A$2:$A$121,1))))</f>
        <v>7</v>
      </c>
      <c r="AB838" s="18" t="n">
        <f aca="false">IF(D838="","",IF(L838&lt;=$B$16,1,IF(L838&gt;=$B$17,$B$21,MATCH(L838,Aux_CAV!$A$2:$A$121,1))))</f>
        <v>7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0.0273631967880695</v>
      </c>
      <c r="E839" s="16" t="n">
        <f aca="false">IF(D839="","",D839*$B$15)</f>
        <v>0.0709254060746762</v>
      </c>
      <c r="F839" s="16" t="n">
        <f aca="false" t="array" ref="F839:F839">IF(D839="","",IFERROR(INDEX(Dados_Evap!$C$2:$N$15,MATCH($B$9,Dados_Evap!$A$2:$A$15,0),C839),0))</f>
        <v>206</v>
      </c>
      <c r="G839" s="16" t="n">
        <f aca="false">IF(F839="","",F839/1000)</f>
        <v>0.206</v>
      </c>
      <c r="H839" s="16" t="n">
        <f aca="false">IF(D839="","",MAX(0,MIN($B$8,IFERROR(LOOKUP(2,1/($U$24:U838&lt;&gt;""),$U$24:U838),$B$11))))</f>
        <v>18.7323115035553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1.1817553309645</v>
      </c>
      <c r="J839" s="16" t="n">
        <f aca="false">IF(D839="","",$B$12)</f>
        <v>0.25</v>
      </c>
      <c r="K839" s="16" t="n">
        <f aca="false">IF(J839="","",J839*$B$15)</f>
        <v>0.648</v>
      </c>
      <c r="L839" s="16" t="n">
        <f aca="false">IF(D839="","",H839+E839-K839-G839*I839)</f>
        <v>17.9117953114513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1.16633853403562</v>
      </c>
      <c r="N839" s="16" t="n">
        <f aca="false">IF(D839="","",(I839+M839)/2)</f>
        <v>1.17404693250006</v>
      </c>
      <c r="O839" s="16" t="n">
        <f aca="false">IF(D839="","",G839*N839)</f>
        <v>0.241853668095013</v>
      </c>
      <c r="P839" s="16" t="n">
        <f aca="false">IF(D839="","",H839+E839-K839-O839)</f>
        <v>17.913383241535</v>
      </c>
      <c r="Q839" s="16" t="n">
        <f aca="false">IF(D839="","",IF(P839&gt;=0,K839,MAX(0,K839+P839)))</f>
        <v>0.648</v>
      </c>
      <c r="R839" s="16" t="n">
        <f aca="false">IF(D839="","",Q839/$B$15)</f>
        <v>0.25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17.913383241535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84.1003908053284</v>
      </c>
      <c r="Z839" s="18" t="n">
        <f aca="false">IF(D839="","",MAX(0,IF(P839&gt;=0,P839,IF(K839+P839&gt;=0,0,P839+K839))))</f>
        <v>17.913383241535</v>
      </c>
      <c r="AA839" s="18" t="n">
        <f aca="false">IF(D839="","",IF(H839&lt;=$B$16,1,IF(H839&gt;=$B$17,$B$21,MATCH(H839,Aux_CAV!$A$2:$A$121,1))))</f>
        <v>7</v>
      </c>
      <c r="AB839" s="18" t="n">
        <f aca="false">IF(D839="","",IF(L839&lt;=$B$16,1,IF(L839&gt;=$B$17,$B$21,MATCH(L839,Aux_CAV!$A$2:$A$121,1))))</f>
        <v>7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0.0402485649495005</v>
      </c>
      <c r="E840" s="16" t="n">
        <f aca="false">IF(D840="","",D840*$B$15)</f>
        <v>0.104324280349105</v>
      </c>
      <c r="F840" s="16" t="n">
        <f aca="false" t="array" ref="F840:F840">IF(D840="","",IFERROR(INDEX(Dados_Evap!$C$2:$N$15,MATCH($B$9,Dados_Evap!$A$2:$A$15,0),C840),0))</f>
        <v>165.6</v>
      </c>
      <c r="G840" s="16" t="n">
        <f aca="false">IF(F840="","",F840/1000)</f>
        <v>0.1656</v>
      </c>
      <c r="H840" s="16" t="n">
        <f aca="false">IF(D840="","",MAX(0,MIN($B$8,IFERROR(LOOKUP(2,1/($U$24:U839&lt;&gt;""),$U$24:U839),$B$11))))</f>
        <v>17.913383241535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1.1663683698827</v>
      </c>
      <c r="J840" s="16" t="n">
        <f aca="false">IF(D840="","",$B$12)</f>
        <v>0.25</v>
      </c>
      <c r="K840" s="16" t="n">
        <f aca="false">IF(J840="","",J840*$B$15)</f>
        <v>0.648</v>
      </c>
      <c r="L840" s="16" t="n">
        <f aca="false">IF(D840="","",H840+E840-K840-G840*I840)</f>
        <v>17.1765569198315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1.15252403398431</v>
      </c>
      <c r="N840" s="16" t="n">
        <f aca="false">IF(D840="","",(I840+M840)/2)</f>
        <v>1.15944620193351</v>
      </c>
      <c r="O840" s="16" t="n">
        <f aca="false">IF(D840="","",G840*N840)</f>
        <v>0.192004291040188</v>
      </c>
      <c r="P840" s="16" t="n">
        <f aca="false">IF(D840="","",H840+E840-K840-O840)</f>
        <v>17.1777032308439</v>
      </c>
      <c r="Q840" s="16" t="n">
        <f aca="false">IF(D840="","",IF(P840&gt;=0,K840,MAX(0,K840+P840)))</f>
        <v>0.648</v>
      </c>
      <c r="R840" s="16" t="n">
        <f aca="false">IF(D840="","",Q840/$B$15)</f>
        <v>0.25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17.1777032308439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80.6464940415205</v>
      </c>
      <c r="Z840" s="18" t="n">
        <f aca="false">IF(D840="","",MAX(0,IF(P840&gt;=0,P840,IF(K840+P840&gt;=0,0,P840+K840))))</f>
        <v>17.1777032308439</v>
      </c>
      <c r="AA840" s="18" t="n">
        <f aca="false">IF(D840="","",IF(H840&lt;=$B$16,1,IF(H840&gt;=$B$17,$B$21,MATCH(H840,Aux_CAV!$A$2:$A$121,1))))</f>
        <v>7</v>
      </c>
      <c r="AB840" s="18" t="n">
        <f aca="false">IF(D840="","",IF(L840&lt;=$B$16,1,IF(L840&gt;=$B$17,$B$21,MATCH(L840,Aux_CAV!$A$2:$A$121,1))))</f>
        <v>7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0.155337149243118</v>
      </c>
      <c r="E841" s="16" t="n">
        <f aca="false">IF(D841="","",D841*$B$15)</f>
        <v>0.402633890838162</v>
      </c>
      <c r="F841" s="16" t="n">
        <f aca="false" t="array" ref="F841:F841">IF(D841="","",IFERROR(INDEX(Dados_Evap!$C$2:$N$15,MATCH($B$9,Dados_Evap!$A$2:$A$15,0),C841),0))</f>
        <v>124.9</v>
      </c>
      <c r="G841" s="16" t="n">
        <f aca="false">IF(F841="","",F841/1000)</f>
        <v>0.1249</v>
      </c>
      <c r="H841" s="16" t="n">
        <f aca="false">IF(D841="","",MAX(0,MIN($B$8,IFERROR(LOOKUP(2,1/($U$24:U840&lt;&gt;""),$U$24:U840),$B$11))))</f>
        <v>17.1777032308439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1.15254557218705</v>
      </c>
      <c r="J841" s="16" t="n">
        <f aca="false">IF(D841="","",$B$12)</f>
        <v>0.25</v>
      </c>
      <c r="K841" s="16" t="n">
        <f aca="false">IF(J841="","",J841*$B$15)</f>
        <v>0.648</v>
      </c>
      <c r="L841" s="16" t="n">
        <f aca="false">IF(D841="","",H841+E841-K841-G841*I841)</f>
        <v>16.7883841797159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1.14523060045395</v>
      </c>
      <c r="N841" s="16" t="n">
        <f aca="false">IF(D841="","",(I841+M841)/2)</f>
        <v>1.1488880863205</v>
      </c>
      <c r="O841" s="16" t="n">
        <f aca="false">IF(D841="","",G841*N841)</f>
        <v>0.14349612198143</v>
      </c>
      <c r="P841" s="16" t="n">
        <f aca="false">IF(D841="","",H841+E841-K841-O841)</f>
        <v>16.7888409997006</v>
      </c>
      <c r="Q841" s="16" t="n">
        <f aca="false">IF(D841="","",IF(P841&gt;=0,K841,MAX(0,K841+P841)))</f>
        <v>0.648</v>
      </c>
      <c r="R841" s="16" t="n">
        <f aca="false">IF(D841="","",Q841/$B$15)</f>
        <v>0.25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16.7888409997006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78.8208497638526</v>
      </c>
      <c r="Z841" s="18" t="n">
        <f aca="false">IF(D841="","",MAX(0,IF(P841&gt;=0,P841,IF(K841+P841&gt;=0,0,P841+K841))))</f>
        <v>16.7888409997006</v>
      </c>
      <c r="AA841" s="18" t="n">
        <f aca="false">IF(D841="","",IF(H841&lt;=$B$16,1,IF(H841&gt;=$B$17,$B$21,MATCH(H841,Aux_CAV!$A$2:$A$121,1))))</f>
        <v>7</v>
      </c>
      <c r="AB841" s="18" t="n">
        <f aca="false">IF(D841="","",IF(L841&lt;=$B$16,1,IF(L841&gt;=$B$17,$B$21,MATCH(L841,Aux_CAV!$A$2:$A$121,1))))</f>
        <v>7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0.482372260778576</v>
      </c>
      <c r="E842" s="16" t="n">
        <f aca="false">IF(D842="","",D842*$B$15)</f>
        <v>1.25030889993807</v>
      </c>
      <c r="F842" s="16" t="n">
        <f aca="false" t="array" ref="F842:F842">IF(D842="","",IFERROR(INDEX(Dados_Evap!$C$2:$N$15,MATCH($B$9,Dados_Evap!$A$2:$A$15,0),C842),0))</f>
        <v>88.2</v>
      </c>
      <c r="G842" s="16" t="n">
        <f aca="false">IF(F842="","",F842/1000)</f>
        <v>0.0882</v>
      </c>
      <c r="H842" s="16" t="n">
        <f aca="false">IF(D842="","",MAX(0,MIN($B$8,IFERROR(LOOKUP(2,1/($U$24:U841&lt;&gt;""),$U$24:U841),$B$11))))</f>
        <v>16.7888409997006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1.14523918371045</v>
      </c>
      <c r="J842" s="16" t="n">
        <f aca="false">IF(D842="","",$B$12)</f>
        <v>0.25</v>
      </c>
      <c r="K842" s="16" t="n">
        <f aca="false">IF(J842="","",J842*$B$15)</f>
        <v>0.648</v>
      </c>
      <c r="L842" s="16" t="n">
        <f aca="false">IF(D842="","",H842+E842-K842-G842*I842)</f>
        <v>17.2901398036354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1.15465815914973</v>
      </c>
      <c r="N842" s="16" t="n">
        <f aca="false">IF(D842="","",(I842+M842)/2)</f>
        <v>1.14994867143009</v>
      </c>
      <c r="O842" s="16" t="n">
        <f aca="false">IF(D842="","",G842*N842)</f>
        <v>0.101425472820134</v>
      </c>
      <c r="P842" s="16" t="n">
        <f aca="false">IF(D842="","",H842+E842-K842-O842)</f>
        <v>17.2897244268185</v>
      </c>
      <c r="Q842" s="16" t="n">
        <f aca="false">IF(D842="","",IF(P842&gt;=0,K842,MAX(0,K842+P842)))</f>
        <v>0.648</v>
      </c>
      <c r="R842" s="16" t="n">
        <f aca="false">IF(D842="","",Q842/$B$15)</f>
        <v>0.25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17.2897244268185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81.1724151493828</v>
      </c>
      <c r="Z842" s="18" t="n">
        <f aca="false">IF(D842="","",MAX(0,IF(P842&gt;=0,P842,IF(K842+P842&gt;=0,0,P842+K842))))</f>
        <v>17.2897244268185</v>
      </c>
      <c r="AA842" s="18" t="n">
        <f aca="false">IF(D842="","",IF(H842&lt;=$B$16,1,IF(H842&gt;=$B$17,$B$21,MATCH(H842,Aux_CAV!$A$2:$A$121,1))))</f>
        <v>7</v>
      </c>
      <c r="AB842" s="18" t="n">
        <f aca="false">IF(D842="","",IF(L842&lt;=$B$16,1,IF(L842&gt;=$B$17,$B$21,MATCH(L842,Aux_CAV!$A$2:$A$121,1))))</f>
        <v>7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0.811524584199236</v>
      </c>
      <c r="E843" s="16" t="n">
        <f aca="false">IF(D843="","",D843*$B$15)</f>
        <v>2.10347172224442</v>
      </c>
      <c r="F843" s="16" t="n">
        <f aca="false" t="array" ref="F843:F843">IF(D843="","",IFERROR(INDEX(Dados_Evap!$C$2:$N$15,MATCH($B$9,Dados_Evap!$A$2:$A$15,0),C843),0))</f>
        <v>88.2</v>
      </c>
      <c r="G843" s="16" t="n">
        <f aca="false">IF(F843="","",F843/1000)</f>
        <v>0.0882</v>
      </c>
      <c r="H843" s="16" t="n">
        <f aca="false">IF(D843="","",MAX(0,MIN($B$8,IFERROR(LOOKUP(2,1/($U$24:U842&lt;&gt;""),$U$24:U842),$B$11))))</f>
        <v>17.2897244268185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1.15465035457488</v>
      </c>
      <c r="J843" s="16" t="n">
        <f aca="false">IF(D843="","",$B$12)</f>
        <v>0.25</v>
      </c>
      <c r="K843" s="16" t="n">
        <f aca="false">IF(J843="","",J843*$B$15)</f>
        <v>0.648</v>
      </c>
      <c r="L843" s="16" t="n">
        <f aca="false">IF(D843="","",H843+E843-K843-G843*I843)</f>
        <v>18.6433559877895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1.18008393296473</v>
      </c>
      <c r="N843" s="16" t="n">
        <f aca="false">IF(D843="","",(I843+M843)/2)</f>
        <v>1.1673671437698</v>
      </c>
      <c r="O843" s="16" t="n">
        <f aca="false">IF(D843="","",G843*N843)</f>
        <v>0.102961782080497</v>
      </c>
      <c r="P843" s="16" t="n">
        <f aca="false">IF(D843="","",H843+E843-K843-O843)</f>
        <v>18.6422343669825</v>
      </c>
      <c r="Q843" s="16" t="n">
        <f aca="false">IF(D843="","",IF(P843&gt;=0,K843,MAX(0,K843+P843)))</f>
        <v>0.648</v>
      </c>
      <c r="R843" s="16" t="n">
        <f aca="false">IF(D843="","",Q843/$B$15)</f>
        <v>0.25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18.6422343669825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87.5222270750351</v>
      </c>
      <c r="Z843" s="18" t="n">
        <f aca="false">IF(D843="","",MAX(0,IF(P843&gt;=0,P843,IF(K843+P843&gt;=0,0,P843+K843))))</f>
        <v>18.6422343669825</v>
      </c>
      <c r="AA843" s="18" t="n">
        <f aca="false">IF(D843="","",IF(H843&lt;=$B$16,1,IF(H843&gt;=$B$17,$B$21,MATCH(H843,Aux_CAV!$A$2:$A$121,1))))</f>
        <v>7</v>
      </c>
      <c r="AB843" s="18" t="n">
        <f aca="false">IF(D843="","",IF(L843&lt;=$B$16,1,IF(L843&gt;=$B$17,$B$21,MATCH(L843,Aux_CAV!$A$2:$A$121,1))))</f>
        <v>7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0.690108065989557</v>
      </c>
      <c r="E844" s="16" t="n">
        <f aca="false">IF(D844="","",D844*$B$15)</f>
        <v>1.78876010704493</v>
      </c>
      <c r="F844" s="16" t="n">
        <f aca="false" t="array" ref="F844:F844">IF(D844="","",IFERROR(INDEX(Dados_Evap!$C$2:$N$15,MATCH($B$9,Dados_Evap!$A$2:$A$15,0),C844),0))</f>
        <v>83.9</v>
      </c>
      <c r="G844" s="16" t="n">
        <f aca="false">IF(F844="","",F844/1000)</f>
        <v>0.0839</v>
      </c>
      <c r="H844" s="16" t="n">
        <f aca="false">IF(D844="","",MAX(0,MIN($B$8,IFERROR(LOOKUP(2,1/($U$24:U843&lt;&gt;""),$U$24:U843),$B$11))))</f>
        <v>18.6422343669825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1.18006285866982</v>
      </c>
      <c r="J844" s="16" t="n">
        <f aca="false">IF(D844="","",$B$12)</f>
        <v>0.25</v>
      </c>
      <c r="K844" s="16" t="n">
        <f aca="false">IF(J844="","",J844*$B$15)</f>
        <v>0.648</v>
      </c>
      <c r="L844" s="16" t="n">
        <f aca="false">IF(D844="","",H844+E844-K844-G844*I844)</f>
        <v>19.683987200185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1.19963650271746</v>
      </c>
      <c r="N844" s="16" t="n">
        <f aca="false">IF(D844="","",(I844+M844)/2)</f>
        <v>1.18984968069364</v>
      </c>
      <c r="O844" s="16" t="n">
        <f aca="false">IF(D844="","",G844*N844)</f>
        <v>0.0998283882101964</v>
      </c>
      <c r="P844" s="16" t="n">
        <f aca="false">IF(D844="","",H844+E844-K844-O844)</f>
        <v>19.6831660858172</v>
      </c>
      <c r="Q844" s="16" t="n">
        <f aca="false">IF(D844="","",IF(P844&gt;=0,K844,MAX(0,K844+P844)))</f>
        <v>0.648</v>
      </c>
      <c r="R844" s="16" t="n">
        <f aca="false">IF(D844="","",Q844/$B$15)</f>
        <v>0.25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19.6831660858172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92.409230449846</v>
      </c>
      <c r="Z844" s="18" t="n">
        <f aca="false">IF(D844="","",MAX(0,IF(P844&gt;=0,P844,IF(K844+P844&gt;=0,0,P844+K844))))</f>
        <v>19.6831660858172</v>
      </c>
      <c r="AA844" s="18" t="n">
        <f aca="false">IF(D844="","",IF(H844&lt;=$B$16,1,IF(H844&gt;=$B$17,$B$21,MATCH(H844,Aux_CAV!$A$2:$A$121,1))))</f>
        <v>7</v>
      </c>
      <c r="AB844" s="18" t="n">
        <f aca="false">IF(D844="","",IF(L844&lt;=$B$16,1,IF(L844&gt;=$B$17,$B$21,MATCH(L844,Aux_CAV!$A$2:$A$121,1))))</f>
        <v>7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0.233994572527225</v>
      </c>
      <c r="E845" s="16" t="n">
        <f aca="false">IF(D845="","",D845*$B$15)</f>
        <v>0.606513931990567</v>
      </c>
      <c r="F845" s="16" t="n">
        <f aca="false" t="array" ref="F845:F845">IF(D845="","",IFERROR(INDEX(Dados_Evap!$C$2:$N$15,MATCH($B$9,Dados_Evap!$A$2:$A$15,0),C845),0))</f>
        <v>104.7</v>
      </c>
      <c r="G845" s="16" t="n">
        <f aca="false">IF(F845="","",F845/1000)</f>
        <v>0.1047</v>
      </c>
      <c r="H845" s="16" t="n">
        <f aca="false">IF(D845="","",MAX(0,MIN($B$8,IFERROR(LOOKUP(2,1/($U$24:U844&lt;&gt;""),$U$24:U844),$B$11))))</f>
        <v>19.6831660858172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1.19962107468133</v>
      </c>
      <c r="J845" s="16" t="n">
        <f aca="false">IF(D845="","",$B$12)</f>
        <v>0.25</v>
      </c>
      <c r="K845" s="16" t="n">
        <f aca="false">IF(J845="","",J845*$B$15)</f>
        <v>0.648</v>
      </c>
      <c r="L845" s="16" t="n">
        <f aca="false">IF(D845="","",H845+E845-K845-G845*I845)</f>
        <v>19.5160796912886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1.19648166434572</v>
      </c>
      <c r="N845" s="16" t="n">
        <f aca="false">IF(D845="","",(I845+M845)/2)</f>
        <v>1.19805136951352</v>
      </c>
      <c r="O845" s="16" t="n">
        <f aca="false">IF(D845="","",G845*N845)</f>
        <v>0.125435978388066</v>
      </c>
      <c r="P845" s="16" t="n">
        <f aca="false">IF(D845="","",H845+E845-K845-O845)</f>
        <v>19.5162440394197</v>
      </c>
      <c r="Q845" s="16" t="n">
        <f aca="false">IF(D845="","",IF(P845&gt;=0,K845,MAX(0,K845+P845)))</f>
        <v>0.648</v>
      </c>
      <c r="R845" s="16" t="n">
        <f aca="false">IF(D845="","",Q845/$B$15)</f>
        <v>0.25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19.5162440394197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91.625558870515</v>
      </c>
      <c r="Z845" s="18" t="n">
        <f aca="false">IF(D845="","",MAX(0,IF(P845&gt;=0,P845,IF(K845+P845&gt;=0,0,P845+K845))))</f>
        <v>19.5162440394197</v>
      </c>
      <c r="AA845" s="18" t="n">
        <f aca="false">IF(D845="","",IF(H845&lt;=$B$16,1,IF(H845&gt;=$B$17,$B$21,MATCH(H845,Aux_CAV!$A$2:$A$121,1))))</f>
        <v>7</v>
      </c>
      <c r="AB845" s="18" t="n">
        <f aca="false">IF(D845="","",IF(L845&lt;=$B$16,1,IF(L845&gt;=$B$17,$B$21,MATCH(L845,Aux_CAV!$A$2:$A$121,1))))</f>
        <v>7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0.316152316159449</v>
      </c>
      <c r="E846" s="16" t="n">
        <f aca="false">IF(D846="","",D846*$B$15)</f>
        <v>0.819466803485292</v>
      </c>
      <c r="F846" s="16" t="n">
        <f aca="false" t="array" ref="F846:F846">IF(D846="","",IFERROR(INDEX(Dados_Evap!$C$2:$N$15,MATCH($B$9,Dados_Evap!$A$2:$A$15,0),C846),0))</f>
        <v>145.2</v>
      </c>
      <c r="G846" s="16" t="n">
        <f aca="false">IF(F846="","",F846/1000)</f>
        <v>0.1452</v>
      </c>
      <c r="H846" s="16" t="n">
        <f aca="false">IF(D846="","",MAX(0,MIN($B$8,IFERROR(LOOKUP(2,1/($U$24:U845&lt;&gt;""),$U$24:U845),$B$11))))</f>
        <v>19.5162440394197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1.19648475230642</v>
      </c>
      <c r="J846" s="16" t="n">
        <f aca="false">IF(D846="","",$B$12)</f>
        <v>0.25</v>
      </c>
      <c r="K846" s="16" t="n">
        <f aca="false">IF(J846="","",J846*$B$15)</f>
        <v>0.648</v>
      </c>
      <c r="L846" s="16" t="n">
        <f aca="false">IF(D846="","",H846+E846-K846-G846*I846)</f>
        <v>19.5139812568701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1.19644223655915</v>
      </c>
      <c r="N846" s="16" t="n">
        <f aca="false">IF(D846="","",(I846+M846)/2)</f>
        <v>1.19646349443279</v>
      </c>
      <c r="O846" s="16" t="n">
        <f aca="false">IF(D846="","",G846*N846)</f>
        <v>0.17372649939164</v>
      </c>
      <c r="P846" s="16" t="n">
        <f aca="false">IF(D846="","",H846+E846-K846-O846)</f>
        <v>19.5139843435134</v>
      </c>
      <c r="Q846" s="16" t="n">
        <f aca="false">IF(D846="","",IF(P846&gt;=0,K846,MAX(0,K846+P846)))</f>
        <v>0.648</v>
      </c>
      <c r="R846" s="16" t="n">
        <f aca="false">IF(D846="","",Q846/$B$15)</f>
        <v>0.25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19.5139843435134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91.6149499695463</v>
      </c>
      <c r="Z846" s="18" t="n">
        <f aca="false">IF(D846="","",MAX(0,IF(P846&gt;=0,P846,IF(K846+P846&gt;=0,0,P846+K846))))</f>
        <v>19.5139843435134</v>
      </c>
      <c r="AA846" s="18" t="n">
        <f aca="false">IF(D846="","",IF(H846&lt;=$B$16,1,IF(H846&gt;=$B$17,$B$21,MATCH(H846,Aux_CAV!$A$2:$A$121,1))))</f>
        <v>7</v>
      </c>
      <c r="AB846" s="18" t="n">
        <f aca="false">IF(D846="","",IF(L846&lt;=$B$16,1,IF(L846&gt;=$B$17,$B$21,MATCH(L846,Aux_CAV!$A$2:$A$121,1))))</f>
        <v>7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0.0791180901047403</v>
      </c>
      <c r="E847" s="16" t="n">
        <f aca="false">IF(D847="","",D847*$B$15)</f>
        <v>0.205074089551487</v>
      </c>
      <c r="F847" s="16" t="n">
        <f aca="false" t="array" ref="F847:F847">IF(D847="","",IFERROR(INDEX(Dados_Evap!$C$2:$N$15,MATCH($B$9,Dados_Evap!$A$2:$A$15,0),C847),0))</f>
        <v>180.9</v>
      </c>
      <c r="G847" s="16" t="n">
        <f aca="false">IF(F847="","",F847/1000)</f>
        <v>0.1809</v>
      </c>
      <c r="H847" s="16" t="n">
        <f aca="false">IF(D847="","",MAX(0,MIN($B$8,IFERROR(LOOKUP(2,1/($U$24:U846&lt;&gt;""),$U$24:U846),$B$11))))</f>
        <v>19.5139843435134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1.19644229455453</v>
      </c>
      <c r="J847" s="16" t="n">
        <f aca="false">IF(D847="","",$B$12)</f>
        <v>0.25</v>
      </c>
      <c r="K847" s="16" t="n">
        <f aca="false">IF(J847="","",J847*$B$15)</f>
        <v>0.648</v>
      </c>
      <c r="L847" s="16" t="n">
        <f aca="false">IF(D847="","",H847+E847-K847-G847*I847)</f>
        <v>18.8546220219799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1.18405344091403</v>
      </c>
      <c r="N847" s="16" t="n">
        <f aca="false">IF(D847="","",(I847+M847)/2)</f>
        <v>1.19024786773428</v>
      </c>
      <c r="O847" s="16" t="n">
        <f aca="false">IF(D847="","",G847*N847)</f>
        <v>0.215315839273131</v>
      </c>
      <c r="P847" s="16" t="n">
        <f aca="false">IF(D847="","",H847+E847-K847-O847)</f>
        <v>18.8557425937917</v>
      </c>
      <c r="Q847" s="16" t="n">
        <f aca="false">IF(D847="","",IF(P847&gt;=0,K847,MAX(0,K847+P847)))</f>
        <v>0.648</v>
      </c>
      <c r="R847" s="16" t="n">
        <f aca="false">IF(D847="","",Q847/$B$15)</f>
        <v>0.25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18.8557425937917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88.524613116393</v>
      </c>
      <c r="Z847" s="18" t="n">
        <f aca="false">IF(D847="","",MAX(0,IF(P847&gt;=0,P847,IF(K847+P847&gt;=0,0,P847+K847))))</f>
        <v>18.8557425937917</v>
      </c>
      <c r="AA847" s="18" t="n">
        <f aca="false">IF(D847="","",IF(H847&lt;=$B$16,1,IF(H847&gt;=$B$17,$B$21,MATCH(H847,Aux_CAV!$A$2:$A$121,1))))</f>
        <v>7</v>
      </c>
      <c r="AB847" s="18" t="n">
        <f aca="false">IF(D847="","",IF(L847&lt;=$B$16,1,IF(L847&gt;=$B$17,$B$21,MATCH(L847,Aux_CAV!$A$2:$A$121,1))))</f>
        <v>7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0.0557047877906512</v>
      </c>
      <c r="E848" s="16" t="n">
        <f aca="false">IF(D848="","",D848*$B$15)</f>
        <v>0.144386809953368</v>
      </c>
      <c r="F848" s="16" t="n">
        <f aca="false" t="array" ref="F848:F848">IF(D848="","",IFERROR(INDEX(Dados_Evap!$C$2:$N$15,MATCH($B$9,Dados_Evap!$A$2:$A$15,0),C848),0))</f>
        <v>208.9</v>
      </c>
      <c r="G848" s="16" t="n">
        <f aca="false">IF(F848="","",F848/1000)</f>
        <v>0.2089</v>
      </c>
      <c r="H848" s="16" t="n">
        <f aca="false">IF(D848="","",MAX(0,MIN($B$8,IFERROR(LOOKUP(2,1/($U$24:U847&lt;&gt;""),$U$24:U847),$B$11))))</f>
        <v>18.8557425937917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1.18407449549922</v>
      </c>
      <c r="J848" s="16" t="n">
        <f aca="false">IF(D848="","",$B$12)</f>
        <v>0.25</v>
      </c>
      <c r="K848" s="16" t="n">
        <f aca="false">IF(J848="","",J848*$B$15)</f>
        <v>0.648</v>
      </c>
      <c r="L848" s="16" t="n">
        <f aca="false">IF(D848="","",H848+E848-K848-G848*I848)</f>
        <v>18.1047762416353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1.16996448053177</v>
      </c>
      <c r="N848" s="16" t="n">
        <f aca="false">IF(D848="","",(I848+M848)/2)</f>
        <v>1.17701948801549</v>
      </c>
      <c r="O848" s="16" t="n">
        <f aca="false">IF(D848="","",G848*N848)</f>
        <v>0.245879371046437</v>
      </c>
      <c r="P848" s="16" t="n">
        <f aca="false">IF(D848="","",H848+E848-K848-O848)</f>
        <v>18.1062500326986</v>
      </c>
      <c r="Q848" s="16" t="n">
        <f aca="false">IF(D848="","",IF(P848&gt;=0,K848,MAX(0,K848+P848)))</f>
        <v>0.648</v>
      </c>
      <c r="R848" s="16" t="n">
        <f aca="false">IF(D848="","",Q848/$B$15)</f>
        <v>0.25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18.1062500326986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85.0058686981157</v>
      </c>
      <c r="Z848" s="18" t="n">
        <f aca="false">IF(D848="","",MAX(0,IF(P848&gt;=0,P848,IF(K848+P848&gt;=0,0,P848+K848))))</f>
        <v>18.1062500326986</v>
      </c>
      <c r="AA848" s="18" t="n">
        <f aca="false">IF(D848="","",IF(H848&lt;=$B$16,1,IF(H848&gt;=$B$17,$B$21,MATCH(H848,Aux_CAV!$A$2:$A$121,1))))</f>
        <v>7</v>
      </c>
      <c r="AB848" s="18" t="n">
        <f aca="false">IF(D848="","",IF(L848&lt;=$B$16,1,IF(L848&gt;=$B$17,$B$21,MATCH(L848,Aux_CAV!$A$2:$A$121,1))))</f>
        <v>7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0.0336094445682541</v>
      </c>
      <c r="E849" s="16" t="n">
        <f aca="false">IF(D849="","",D849*$B$15)</f>
        <v>0.0871156803209146</v>
      </c>
      <c r="F849" s="16" t="n">
        <f aca="false" t="array" ref="F849:F849">IF(D849="","",IFERROR(INDEX(Dados_Evap!$C$2:$N$15,MATCH($B$9,Dados_Evap!$A$2:$A$15,0),C849),0))</f>
        <v>235.9</v>
      </c>
      <c r="G849" s="16" t="n">
        <f aca="false">IF(F849="","",F849/1000)</f>
        <v>0.2359</v>
      </c>
      <c r="H849" s="16" t="n">
        <f aca="false">IF(D849="","",MAX(0,MIN($B$8,IFERROR(LOOKUP(2,1/($U$24:U848&lt;&gt;""),$U$24:U848),$B$11))))</f>
        <v>18.1062500326986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1.16999217180436</v>
      </c>
      <c r="J849" s="16" t="n">
        <f aca="false">IF(D849="","",$B$12)</f>
        <v>0.25</v>
      </c>
      <c r="K849" s="16" t="n">
        <f aca="false">IF(J849="","",J849*$B$15)</f>
        <v>0.648</v>
      </c>
      <c r="L849" s="16" t="n">
        <f aca="false">IF(D849="","",H849+E849-K849-G849*I849)</f>
        <v>17.2693645596909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1.15426781009858</v>
      </c>
      <c r="N849" s="16" t="n">
        <f aca="false">IF(D849="","",(I849+M849)/2)</f>
        <v>1.16212999095147</v>
      </c>
      <c r="O849" s="16" t="n">
        <f aca="false">IF(D849="","",G849*N849)</f>
        <v>0.274146464865451</v>
      </c>
      <c r="P849" s="16" t="n">
        <f aca="false">IF(D849="","",H849+E849-K849-O849)</f>
        <v>17.2712192481541</v>
      </c>
      <c r="Q849" s="16" t="n">
        <f aca="false">IF(D849="","",IF(P849&gt;=0,K849,MAX(0,K849+P849)))</f>
        <v>0.648</v>
      </c>
      <c r="R849" s="16" t="n">
        <f aca="false">IF(D849="","",Q849/$B$15)</f>
        <v>0.25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17.2712192481541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81.0855363763103</v>
      </c>
      <c r="Z849" s="18" t="n">
        <f aca="false">IF(D849="","",MAX(0,IF(P849&gt;=0,P849,IF(K849+P849&gt;=0,0,P849+K849))))</f>
        <v>17.2712192481541</v>
      </c>
      <c r="AA849" s="18" t="n">
        <f aca="false">IF(D849="","",IF(H849&lt;=$B$16,1,IF(H849&gt;=$B$17,$B$21,MATCH(H849,Aux_CAV!$A$2:$A$121,1))))</f>
        <v>7</v>
      </c>
      <c r="AB849" s="18" t="n">
        <f aca="false">IF(D849="","",IF(L849&lt;=$B$16,1,IF(L849&gt;=$B$17,$B$21,MATCH(L849,Aux_CAV!$A$2:$A$121,1))))</f>
        <v>7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0.0191898261285962</v>
      </c>
      <c r="E850" s="16" t="n">
        <f aca="false">IF(D850="","",D850*$B$15)</f>
        <v>0.0497400293253214</v>
      </c>
      <c r="F850" s="16" t="n">
        <f aca="false" t="array" ref="F850:F850">IF(D850="","",IFERROR(INDEX(Dados_Evap!$C$2:$N$15,MATCH($B$9,Dados_Evap!$A$2:$A$15,0),C850),0))</f>
        <v>225.9</v>
      </c>
      <c r="G850" s="16" t="n">
        <f aca="false">IF(F850="","",F850/1000)</f>
        <v>0.2259</v>
      </c>
      <c r="H850" s="16" t="n">
        <f aca="false">IF(D850="","",MAX(0,MIN($B$8,IFERROR(LOOKUP(2,1/($U$24:U849&lt;&gt;""),$U$24:U849),$B$11))))</f>
        <v>17.2712192481541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1.15430265810728</v>
      </c>
      <c r="J850" s="16" t="n">
        <f aca="false">IF(D850="","",$B$12)</f>
        <v>0.25</v>
      </c>
      <c r="K850" s="16" t="n">
        <f aca="false">IF(J850="","",J850*$B$15)</f>
        <v>0.648</v>
      </c>
      <c r="L850" s="16" t="n">
        <f aca="false">IF(D850="","",H850+E850-K850-G850*I850)</f>
        <v>16.412202307013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1.13685716298529</v>
      </c>
      <c r="N850" s="16" t="n">
        <f aca="false">IF(D850="","",(I850+M850)/2)</f>
        <v>1.14557991054629</v>
      </c>
      <c r="O850" s="16" t="n">
        <f aca="false">IF(D850="","",G850*N850)</f>
        <v>0.258786501792406</v>
      </c>
      <c r="P850" s="16" t="n">
        <f aca="false">IF(D850="","",H850+E850-K850-O850)</f>
        <v>16.414172775687</v>
      </c>
      <c r="Q850" s="16" t="n">
        <f aca="false">IF(D850="","",IF(P850&gt;=0,K850,MAX(0,K850+P850)))</f>
        <v>0.648</v>
      </c>
      <c r="R850" s="16" t="n">
        <f aca="false">IF(D850="","",Q850/$B$15)</f>
        <v>0.25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16.414172775687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77.0618440173099</v>
      </c>
      <c r="Z850" s="18" t="n">
        <f aca="false">IF(D850="","",MAX(0,IF(P850&gt;=0,P850,IF(K850+P850&gt;=0,0,P850+K850))))</f>
        <v>16.414172775687</v>
      </c>
      <c r="AA850" s="18" t="n">
        <f aca="false">IF(D850="","",IF(H850&lt;=$B$16,1,IF(H850&gt;=$B$17,$B$21,MATCH(H850,Aux_CAV!$A$2:$A$121,1))))</f>
        <v>7</v>
      </c>
      <c r="AB850" s="18" t="n">
        <f aca="false">IF(D850="","",IF(L850&lt;=$B$16,1,IF(L850&gt;=$B$17,$B$21,MATCH(L850,Aux_CAV!$A$2:$A$121,1))))</f>
        <v>6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0.0280413371693571</v>
      </c>
      <c r="E851" s="16" t="n">
        <f aca="false">IF(D851="","",D851*$B$15)</f>
        <v>0.0726831459429736</v>
      </c>
      <c r="F851" s="16" t="n">
        <f aca="false" t="array" ref="F851:F851">IF(D851="","",IFERROR(INDEX(Dados_Evap!$C$2:$N$15,MATCH($B$9,Dados_Evap!$A$2:$A$15,0),C851),0))</f>
        <v>206</v>
      </c>
      <c r="G851" s="16" t="n">
        <f aca="false">IF(F851="","",F851/1000)</f>
        <v>0.206</v>
      </c>
      <c r="H851" s="16" t="n">
        <f aca="false">IF(D851="","",MAX(0,MIN($B$8,IFERROR(LOOKUP(2,1/($U$24:U850&lt;&gt;""),$U$24:U850),$B$11))))</f>
        <v>16.414172775687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1.1369204861752</v>
      </c>
      <c r="J851" s="16" t="n">
        <f aca="false">IF(D851="","",$B$12)</f>
        <v>0.25</v>
      </c>
      <c r="K851" s="16" t="n">
        <f aca="false">IF(J851="","",J851*$B$15)</f>
        <v>0.648</v>
      </c>
      <c r="L851" s="16" t="n">
        <f aca="false">IF(D851="","",H851+E851-K851-G851*I851)</f>
        <v>15.6046503014779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1.11090558624787</v>
      </c>
      <c r="N851" s="16" t="n">
        <f aca="false">IF(D851="","",(I851+M851)/2)</f>
        <v>1.12391303621153</v>
      </c>
      <c r="O851" s="16" t="n">
        <f aca="false">IF(D851="","",G851*N851)</f>
        <v>0.231526085459576</v>
      </c>
      <c r="P851" s="16" t="n">
        <f aca="false">IF(D851="","",H851+E851-K851-O851)</f>
        <v>15.6073298361704</v>
      </c>
      <c r="Q851" s="16" t="n">
        <f aca="false">IF(D851="","",IF(P851&gt;=0,K851,MAX(0,K851+P851)))</f>
        <v>0.648</v>
      </c>
      <c r="R851" s="16" t="n">
        <f aca="false">IF(D851="","",Q851/$B$15)</f>
        <v>0.25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15.6073298361704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73.2738489961052</v>
      </c>
      <c r="Z851" s="18" t="n">
        <f aca="false">IF(D851="","",MAX(0,IF(P851&gt;=0,P851,IF(K851+P851&gt;=0,0,P851+K851))))</f>
        <v>15.6073298361704</v>
      </c>
      <c r="AA851" s="18" t="n">
        <f aca="false">IF(D851="","",IF(H851&lt;=$B$16,1,IF(H851&gt;=$B$17,$B$21,MATCH(H851,Aux_CAV!$A$2:$A$121,1))))</f>
        <v>6</v>
      </c>
      <c r="AB851" s="18" t="n">
        <f aca="false">IF(D851="","",IF(L851&lt;=$B$16,1,IF(L851&gt;=$B$17,$B$21,MATCH(L851,Aux_CAV!$A$2:$A$121,1))))</f>
        <v>6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0.0416083386848825</v>
      </c>
      <c r="E852" s="16" t="n">
        <f aca="false">IF(D852="","",D852*$B$15)</f>
        <v>0.107848813871215</v>
      </c>
      <c r="F852" s="16" t="n">
        <f aca="false" t="array" ref="F852:F852">IF(D852="","",IFERROR(INDEX(Dados_Evap!$C$2:$N$15,MATCH($B$9,Dados_Evap!$A$2:$A$15,0),C852),0))</f>
        <v>165.6</v>
      </c>
      <c r="G852" s="16" t="n">
        <f aca="false">IF(F852="","",F852/1000)</f>
        <v>0.1656</v>
      </c>
      <c r="H852" s="16" t="n">
        <f aca="false">IF(D852="","",MAX(0,MIN($B$8,IFERROR(LOOKUP(2,1/($U$24:U851&lt;&gt;""),$U$24:U851),$B$11))))</f>
        <v>15.6073298361704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1.11099169605841</v>
      </c>
      <c r="J852" s="16" t="n">
        <f aca="false">IF(D852="","",$B$12)</f>
        <v>0.25</v>
      </c>
      <c r="K852" s="16" t="n">
        <f aca="false">IF(J852="","",J852*$B$15)</f>
        <v>0.648</v>
      </c>
      <c r="L852" s="16" t="n">
        <f aca="false">IF(D852="","",H852+E852-K852-G852*I852)</f>
        <v>14.8831984251744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1.087720932378</v>
      </c>
      <c r="N852" s="16" t="n">
        <f aca="false">IF(D852="","",(I852+M852)/2)</f>
        <v>1.09935631421821</v>
      </c>
      <c r="O852" s="16" t="n">
        <f aca="false">IF(D852="","",G852*N852)</f>
        <v>0.182053405634535</v>
      </c>
      <c r="P852" s="16" t="n">
        <f aca="false">IF(D852="","",H852+E852-K852-O852)</f>
        <v>14.8851252444071</v>
      </c>
      <c r="Q852" s="16" t="n">
        <f aca="false">IF(D852="","",IF(P852&gt;=0,K852,MAX(0,K852+P852)))</f>
        <v>0.648</v>
      </c>
      <c r="R852" s="16" t="n">
        <f aca="false">IF(D852="","",Q852/$B$15)</f>
        <v>0.25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14.8851252444071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69.8832171098924</v>
      </c>
      <c r="Z852" s="18" t="n">
        <f aca="false">IF(D852="","",MAX(0,IF(P852&gt;=0,P852,IF(K852+P852&gt;=0,0,P852+K852))))</f>
        <v>14.8851252444071</v>
      </c>
      <c r="AA852" s="18" t="n">
        <f aca="false">IF(D852="","",IF(H852&lt;=$B$16,1,IF(H852&gt;=$B$17,$B$21,MATCH(H852,Aux_CAV!$A$2:$A$121,1))))</f>
        <v>6</v>
      </c>
      <c r="AB852" s="18" t="n">
        <f aca="false">IF(D852="","",IF(L852&lt;=$B$16,1,IF(L852&gt;=$B$17,$B$21,MATCH(L852,Aux_CAV!$A$2:$A$121,1))))</f>
        <v>6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0.0746476246913848</v>
      </c>
      <c r="E853" s="16" t="n">
        <f aca="false">IF(D853="","",D853*$B$15)</f>
        <v>0.193486643200069</v>
      </c>
      <c r="F853" s="16" t="n">
        <f aca="false" t="array" ref="F853:F853">IF(D853="","",IFERROR(INDEX(Dados_Evap!$C$2:$N$15,MATCH($B$9,Dados_Evap!$A$2:$A$15,0),C853),0))</f>
        <v>124.9</v>
      </c>
      <c r="G853" s="16" t="n">
        <f aca="false">IF(F853="","",F853/1000)</f>
        <v>0.1249</v>
      </c>
      <c r="H853" s="16" t="n">
        <f aca="false">IF(D853="","",MAX(0,MIN($B$8,IFERROR(LOOKUP(2,1/($U$24:U852&lt;&gt;""),$U$24:U852),$B$11))))</f>
        <v>14.8851252444071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1.08778285284484</v>
      </c>
      <c r="J853" s="16" t="n">
        <f aca="false">IF(D853="","",$B$12)</f>
        <v>0.25</v>
      </c>
      <c r="K853" s="16" t="n">
        <f aca="false">IF(J853="","",J853*$B$15)</f>
        <v>0.648</v>
      </c>
      <c r="L853" s="16" t="n">
        <f aca="false">IF(D853="","",H853+E853-K853-G853*I853)</f>
        <v>14.2947478092868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1.06881042109239</v>
      </c>
      <c r="N853" s="16" t="n">
        <f aca="false">IF(D853="","",(I853+M853)/2)</f>
        <v>1.07829663696862</v>
      </c>
      <c r="O853" s="16" t="n">
        <f aca="false">IF(D853="","",G853*N853)</f>
        <v>0.13467924995738</v>
      </c>
      <c r="P853" s="16" t="n">
        <f aca="false">IF(D853="","",H853+E853-K853-O853)</f>
        <v>14.2959326376498</v>
      </c>
      <c r="Q853" s="16" t="n">
        <f aca="false">IF(D853="","",IF(P853&gt;=0,K853,MAX(0,K853+P853)))</f>
        <v>0.648</v>
      </c>
      <c r="R853" s="16" t="n">
        <f aca="false">IF(D853="","",Q853/$B$15)</f>
        <v>0.25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14.2959326376498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67.1170546368534</v>
      </c>
      <c r="Z853" s="18" t="n">
        <f aca="false">IF(D853="","",MAX(0,IF(P853&gt;=0,P853,IF(K853+P853&gt;=0,0,P853+K853))))</f>
        <v>14.2959326376498</v>
      </c>
      <c r="AA853" s="18" t="n">
        <f aca="false">IF(D853="","",IF(H853&lt;=$B$16,1,IF(H853&gt;=$B$17,$B$21,MATCH(H853,Aux_CAV!$A$2:$A$121,1))))</f>
        <v>6</v>
      </c>
      <c r="AB853" s="18" t="n">
        <f aca="false">IF(D853="","",IF(L853&lt;=$B$16,1,IF(L853&gt;=$B$17,$B$21,MATCH(L853,Aux_CAV!$A$2:$A$121,1))))</f>
        <v>6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0.167435786913709</v>
      </c>
      <c r="E854" s="16" t="n">
        <f aca="false">IF(D854="","",D854*$B$15)</f>
        <v>0.433993559680334</v>
      </c>
      <c r="F854" s="16" t="n">
        <f aca="false" t="array" ref="F854:F854">IF(D854="","",IFERROR(INDEX(Dados_Evap!$C$2:$N$15,MATCH($B$9,Dados_Evap!$A$2:$A$15,0),C854),0))</f>
        <v>88.2</v>
      </c>
      <c r="G854" s="16" t="n">
        <f aca="false">IF(F854="","",F854/1000)</f>
        <v>0.0882</v>
      </c>
      <c r="H854" s="16" t="n">
        <f aca="false">IF(D854="","",MAX(0,MIN($B$8,IFERROR(LOOKUP(2,1/($U$24:U853&lt;&gt;""),$U$24:U853),$B$11))))</f>
        <v>14.2959326376498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1.06884849686209</v>
      </c>
      <c r="J854" s="16" t="n">
        <f aca="false">IF(D854="","",$B$12)</f>
        <v>0.25</v>
      </c>
      <c r="K854" s="16" t="n">
        <f aca="false">IF(J854="","",J854*$B$15)</f>
        <v>0.648</v>
      </c>
      <c r="L854" s="16" t="n">
        <f aca="false">IF(D854="","",H854+E854-K854-G854*I854)</f>
        <v>13.9876537599069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1.05894161421251</v>
      </c>
      <c r="N854" s="16" t="n">
        <f aca="false">IF(D854="","",(I854+M854)/2)</f>
        <v>1.0638950555373</v>
      </c>
      <c r="O854" s="16" t="n">
        <f aca="false">IF(D854="","",G854*N854)</f>
        <v>0.0938355438983898</v>
      </c>
      <c r="P854" s="16" t="n">
        <f aca="false">IF(D854="","",H854+E854-K854-O854)</f>
        <v>13.9880906534317</v>
      </c>
      <c r="Q854" s="16" t="n">
        <f aca="false">IF(D854="","",IF(P854&gt;=0,K854,MAX(0,K854+P854)))</f>
        <v>0.648</v>
      </c>
      <c r="R854" s="16" t="n">
        <f aca="false">IF(D854="","",Q854/$B$15)</f>
        <v>0.25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13.9880906534317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65.6717871053133</v>
      </c>
      <c r="Z854" s="18" t="n">
        <f aca="false">IF(D854="","",MAX(0,IF(P854&gt;=0,P854,IF(K854+P854&gt;=0,0,P854+K854))))</f>
        <v>13.9880906534317</v>
      </c>
      <c r="AA854" s="18" t="n">
        <f aca="false">IF(D854="","",IF(H854&lt;=$B$16,1,IF(H854&gt;=$B$17,$B$21,MATCH(H854,Aux_CAV!$A$2:$A$121,1))))</f>
        <v>6</v>
      </c>
      <c r="AB854" s="18" t="n">
        <f aca="false">IF(D854="","",IF(L854&lt;=$B$16,1,IF(L854&gt;=$B$17,$B$21,MATCH(L854,Aux_CAV!$A$2:$A$121,1))))</f>
        <v>6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0.250932789525478</v>
      </c>
      <c r="E855" s="16" t="n">
        <f aca="false">IF(D855="","",D855*$B$15)</f>
        <v>0.650417790450039</v>
      </c>
      <c r="F855" s="16" t="n">
        <f aca="false" t="array" ref="F855:F855">IF(D855="","",IFERROR(INDEX(Dados_Evap!$C$2:$N$15,MATCH($B$9,Dados_Evap!$A$2:$A$15,0),C855),0))</f>
        <v>88.2</v>
      </c>
      <c r="G855" s="16" t="n">
        <f aca="false">IF(F855="","",F855/1000)</f>
        <v>0.0882</v>
      </c>
      <c r="H855" s="16" t="n">
        <f aca="false">IF(D855="","",MAX(0,MIN($B$8,IFERROR(LOOKUP(2,1/($U$24:U854&lt;&gt;""),$U$24:U854),$B$11))))</f>
        <v>13.9880906534317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1.05895565426907</v>
      </c>
      <c r="J855" s="16" t="n">
        <f aca="false">IF(D855="","",$B$12)</f>
        <v>0.25</v>
      </c>
      <c r="K855" s="16" t="n">
        <f aca="false">IF(J855="","",J855*$B$15)</f>
        <v>0.648</v>
      </c>
      <c r="L855" s="16" t="n">
        <f aca="false">IF(D855="","",H855+E855-K855-G855*I855)</f>
        <v>13.8971085551752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1.05603184392813</v>
      </c>
      <c r="N855" s="16" t="n">
        <f aca="false">IF(D855="","",(I855+M855)/2)</f>
        <v>1.0574937490986</v>
      </c>
      <c r="O855" s="16" t="n">
        <f aca="false">IF(D855="","",G855*N855)</f>
        <v>0.0932709486704965</v>
      </c>
      <c r="P855" s="16" t="n">
        <f aca="false">IF(D855="","",H855+E855-K855-O855)</f>
        <v>13.8972374952113</v>
      </c>
      <c r="Q855" s="16" t="n">
        <f aca="false">IF(D855="","",IF(P855&gt;=0,K855,MAX(0,K855+P855)))</f>
        <v>0.648</v>
      </c>
      <c r="R855" s="16" t="n">
        <f aca="false">IF(D855="","",Q855/$B$15)</f>
        <v>0.25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13.8972374952113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65.2452464563909</v>
      </c>
      <c r="Z855" s="18" t="n">
        <f aca="false">IF(D855="","",MAX(0,IF(P855&gt;=0,P855,IF(K855+P855&gt;=0,0,P855+K855))))</f>
        <v>13.8972374952113</v>
      </c>
      <c r="AA855" s="18" t="n">
        <f aca="false">IF(D855="","",IF(H855&lt;=$B$16,1,IF(H855&gt;=$B$17,$B$21,MATCH(H855,Aux_CAV!$A$2:$A$121,1))))</f>
        <v>6</v>
      </c>
      <c r="AB855" s="18" t="n">
        <f aca="false">IF(D855="","",IF(L855&lt;=$B$16,1,IF(L855&gt;=$B$17,$B$21,MATCH(L855,Aux_CAV!$A$2:$A$121,1))))</f>
        <v>6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0.334353937063635</v>
      </c>
      <c r="E856" s="16" t="n">
        <f aca="false">IF(D856="","",D856*$B$15)</f>
        <v>0.866645404868942</v>
      </c>
      <c r="F856" s="16" t="n">
        <f aca="false" t="array" ref="F856:F856">IF(D856="","",IFERROR(INDEX(Dados_Evap!$C$2:$N$15,MATCH($B$9,Dados_Evap!$A$2:$A$15,0),C856),0))</f>
        <v>83.9</v>
      </c>
      <c r="G856" s="16" t="n">
        <f aca="false">IF(F856="","",F856/1000)</f>
        <v>0.0839</v>
      </c>
      <c r="H856" s="16" t="n">
        <f aca="false">IF(D856="","",MAX(0,MIN($B$8,IFERROR(LOOKUP(2,1/($U$24:U855&lt;&gt;""),$U$24:U855),$B$11))))</f>
        <v>13.8972374952113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1.05603598755877</v>
      </c>
      <c r="J856" s="16" t="n">
        <f aca="false">IF(D856="","",$B$12)</f>
        <v>0.25</v>
      </c>
      <c r="K856" s="16" t="n">
        <f aca="false">IF(J856="","",J856*$B$15)</f>
        <v>0.648</v>
      </c>
      <c r="L856" s="16" t="n">
        <f aca="false">IF(D856="","",H856+E856-K856-G856*I856)</f>
        <v>14.027281480724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1.06021509484368</v>
      </c>
      <c r="N856" s="16" t="n">
        <f aca="false">IF(D856="","",(I856+M856)/2)</f>
        <v>1.05812554120123</v>
      </c>
      <c r="O856" s="16" t="n">
        <f aca="false">IF(D856="","",G856*N856)</f>
        <v>0.0887767329067831</v>
      </c>
      <c r="P856" s="16" t="n">
        <f aca="false">IF(D856="","",H856+E856-K856-O856)</f>
        <v>14.0271061671734</v>
      </c>
      <c r="Q856" s="16" t="n">
        <f aca="false">IF(D856="","",IF(P856&gt;=0,K856,MAX(0,K856+P856)))</f>
        <v>0.648</v>
      </c>
      <c r="R856" s="16" t="n">
        <f aca="false">IF(D856="","",Q856/$B$15)</f>
        <v>0.25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14.0271061671734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65.8549585313306</v>
      </c>
      <c r="Z856" s="18" t="n">
        <f aca="false">IF(D856="","",MAX(0,IF(P856&gt;=0,P856,IF(K856+P856&gt;=0,0,P856+K856))))</f>
        <v>14.0271061671734</v>
      </c>
      <c r="AA856" s="18" t="n">
        <f aca="false">IF(D856="","",IF(H856&lt;=$B$16,1,IF(H856&gt;=$B$17,$B$21,MATCH(H856,Aux_CAV!$A$2:$A$121,1))))</f>
        <v>6</v>
      </c>
      <c r="AB856" s="18" t="n">
        <f aca="false">IF(D856="","",IF(L856&lt;=$B$16,1,IF(L856&gt;=$B$17,$B$21,MATCH(L856,Aux_CAV!$A$2:$A$121,1))))</f>
        <v>6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0.145093032144317</v>
      </c>
      <c r="E857" s="16" t="n">
        <f aca="false">IF(D857="","",D857*$B$15)</f>
        <v>0.37608113931807</v>
      </c>
      <c r="F857" s="16" t="n">
        <f aca="false" t="array" ref="F857:F857">IF(D857="","",IFERROR(INDEX(Dados_Evap!$C$2:$N$15,MATCH($B$9,Dados_Evap!$A$2:$A$15,0),C857),0))</f>
        <v>104.7</v>
      </c>
      <c r="G857" s="16" t="n">
        <f aca="false">IF(F857="","",F857/1000)</f>
        <v>0.1047</v>
      </c>
      <c r="H857" s="16" t="n">
        <f aca="false">IF(D857="","",MAX(0,MIN($B$8,IFERROR(LOOKUP(2,1/($U$24:U856&lt;&gt;""),$U$24:U856),$B$11))))</f>
        <v>14.0271061671734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1.06020946094886</v>
      </c>
      <c r="J857" s="16" t="n">
        <f aca="false">IF(D857="","",$B$12)</f>
        <v>0.25</v>
      </c>
      <c r="K857" s="16" t="n">
        <f aca="false">IF(J857="","",J857*$B$15)</f>
        <v>0.648</v>
      </c>
      <c r="L857" s="16" t="n">
        <f aca="false">IF(D857="","",H857+E857-K857-G857*I857)</f>
        <v>13.6441833759302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1.04790381359322</v>
      </c>
      <c r="N857" s="16" t="n">
        <f aca="false">IF(D857="","",(I857+M857)/2)</f>
        <v>1.05405663727104</v>
      </c>
      <c r="O857" s="16" t="n">
        <f aca="false">IF(D857="","",G857*N857)</f>
        <v>0.110359729922278</v>
      </c>
      <c r="P857" s="16" t="n">
        <f aca="false">IF(D857="","",H857+E857-K857-O857)</f>
        <v>13.6448275765692</v>
      </c>
      <c r="Q857" s="16" t="n">
        <f aca="false">IF(D857="","",IF(P857&gt;=0,K857,MAX(0,K857+P857)))</f>
        <v>0.648</v>
      </c>
      <c r="R857" s="16" t="n">
        <f aca="false">IF(D857="","",Q857/$B$15)</f>
        <v>0.25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13.6448275765692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64.0602233641747</v>
      </c>
      <c r="Z857" s="18" t="n">
        <f aca="false">IF(D857="","",MAX(0,IF(P857&gt;=0,P857,IF(K857+P857&gt;=0,0,P857+K857))))</f>
        <v>13.6448275765692</v>
      </c>
      <c r="AA857" s="18" t="n">
        <f aca="false">IF(D857="","",IF(H857&lt;=$B$16,1,IF(H857&gt;=$B$17,$B$21,MATCH(H857,Aux_CAV!$A$2:$A$121,1))))</f>
        <v>6</v>
      </c>
      <c r="AB857" s="18" t="n">
        <f aca="false">IF(D857="","",IF(L857&lt;=$B$16,1,IF(L857&gt;=$B$17,$B$21,MATCH(L857,Aux_CAV!$A$2:$A$121,1))))</f>
        <v>6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0.0202398284286393</v>
      </c>
      <c r="E858" s="16" t="n">
        <f aca="false">IF(D858="","",D858*$B$15)</f>
        <v>0.0524616352870331</v>
      </c>
      <c r="F858" s="16" t="n">
        <f aca="false" t="array" ref="F858:F858">IF(D858="","",IFERROR(INDEX(Dados_Evap!$C$2:$N$15,MATCH($B$9,Dados_Evap!$A$2:$A$15,0),C858),0))</f>
        <v>145.2</v>
      </c>
      <c r="G858" s="16" t="n">
        <f aca="false">IF(F858="","",F858/1000)</f>
        <v>0.1452</v>
      </c>
      <c r="H858" s="16" t="n">
        <f aca="false">IF(D858="","",MAX(0,MIN($B$8,IFERROR(LOOKUP(2,1/($U$24:U857&lt;&gt;""),$U$24:U857),$B$11))))</f>
        <v>13.6448275765692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1.04792451569315</v>
      </c>
      <c r="J858" s="16" t="n">
        <f aca="false">IF(D858="","",$B$12)</f>
        <v>0.25</v>
      </c>
      <c r="K858" s="16" t="n">
        <f aca="false">IF(J858="","",J858*$B$15)</f>
        <v>0.648</v>
      </c>
      <c r="L858" s="16" t="n">
        <f aca="false">IF(D858="","",H858+E858-K858-G858*I858)</f>
        <v>12.8971305721776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1.02389644560873</v>
      </c>
      <c r="N858" s="16" t="n">
        <f aca="false">IF(D858="","",(I858+M858)/2)</f>
        <v>1.03591048065094</v>
      </c>
      <c r="O858" s="16" t="n">
        <f aca="false">IF(D858="","",G858*N858)</f>
        <v>0.150414201790517</v>
      </c>
      <c r="P858" s="16" t="n">
        <f aca="false">IF(D858="","",H858+E858-K858-O858)</f>
        <v>12.8988750100657</v>
      </c>
      <c r="Q858" s="16" t="n">
        <f aca="false">IF(D858="","",IF(P858&gt;=0,K858,MAX(0,K858+P858)))</f>
        <v>0.648</v>
      </c>
      <c r="R858" s="16" t="n">
        <f aca="false">IF(D858="","",Q858/$B$15)</f>
        <v>0.25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12.8988750100657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60.5580986388063</v>
      </c>
      <c r="Z858" s="18" t="n">
        <f aca="false">IF(D858="","",MAX(0,IF(P858&gt;=0,P858,IF(K858+P858&gt;=0,0,P858+K858))))</f>
        <v>12.8988750100657</v>
      </c>
      <c r="AA858" s="18" t="n">
        <f aca="false">IF(D858="","",IF(H858&lt;=$B$16,1,IF(H858&gt;=$B$17,$B$21,MATCH(H858,Aux_CAV!$A$2:$A$121,1))))</f>
        <v>6</v>
      </c>
      <c r="AB858" s="18" t="n">
        <f aca="false">IF(D858="","",IF(L858&lt;=$B$16,1,IF(L858&gt;=$B$17,$B$21,MATCH(L858,Aux_CAV!$A$2:$A$121,1))))</f>
        <v>6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0.0215031041630699</v>
      </c>
      <c r="E859" s="16" t="n">
        <f aca="false">IF(D859="","",D859*$B$15)</f>
        <v>0.0557360459906772</v>
      </c>
      <c r="F859" s="16" t="n">
        <f aca="false" t="array" ref="F859:F859">IF(D859="","",IFERROR(INDEX(Dados_Evap!$C$2:$N$15,MATCH($B$9,Dados_Evap!$A$2:$A$15,0),C859),0))</f>
        <v>180.9</v>
      </c>
      <c r="G859" s="16" t="n">
        <f aca="false">IF(F859="","",F859/1000)</f>
        <v>0.1809</v>
      </c>
      <c r="H859" s="16" t="n">
        <f aca="false">IF(D859="","",MAX(0,MIN($B$8,IFERROR(LOOKUP(2,1/($U$24:U858&lt;&gt;""),$U$24:U858),$B$11))))</f>
        <v>12.8988750100657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1.02395250504937</v>
      </c>
      <c r="J859" s="16" t="n">
        <f aca="false">IF(D859="","",$B$12)</f>
        <v>0.25</v>
      </c>
      <c r="K859" s="16" t="n">
        <f aca="false">IF(J859="","",J859*$B$15)</f>
        <v>0.648</v>
      </c>
      <c r="L859" s="16" t="n">
        <f aca="false">IF(D859="","",H859+E859-K859-G859*I859)</f>
        <v>12.121378047893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0.998966780367071</v>
      </c>
      <c r="N859" s="16" t="n">
        <f aca="false">IF(D859="","",(I859+M859)/2)</f>
        <v>1.01145964270822</v>
      </c>
      <c r="O859" s="16" t="n">
        <f aca="false">IF(D859="","",G859*N859)</f>
        <v>0.182973049365917</v>
      </c>
      <c r="P859" s="16" t="n">
        <f aca="false">IF(D859="","",H859+E859-K859-O859)</f>
        <v>12.1236380066905</v>
      </c>
      <c r="Q859" s="16" t="n">
        <f aca="false">IF(D859="","",IF(P859&gt;=0,K859,MAX(0,K859+P859)))</f>
        <v>0.648</v>
      </c>
      <c r="R859" s="16" t="n">
        <f aca="false">IF(D859="","",Q859/$B$15)</f>
        <v>0.25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12.1236380066905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56.9184882943216</v>
      </c>
      <c r="Z859" s="18" t="n">
        <f aca="false">IF(D859="","",MAX(0,IF(P859&gt;=0,P859,IF(K859+P859&gt;=0,0,P859+K859))))</f>
        <v>12.1236380066905</v>
      </c>
      <c r="AA859" s="18" t="n">
        <f aca="false">IF(D859="","",IF(H859&lt;=$B$16,1,IF(H859&gt;=$B$17,$B$21,MATCH(H859,Aux_CAV!$A$2:$A$121,1))))</f>
        <v>6</v>
      </c>
      <c r="AB859" s="18" t="n">
        <f aca="false">IF(D859="","",IF(L859&lt;=$B$16,1,IF(L859&gt;=$B$17,$B$21,MATCH(L859,Aux_CAV!$A$2:$A$121,1))))</f>
        <v>6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0.0235403494099575</v>
      </c>
      <c r="E860" s="16" t="n">
        <f aca="false">IF(D860="","",D860*$B$15)</f>
        <v>0.0610165856706098</v>
      </c>
      <c r="F860" s="16" t="n">
        <f aca="false" t="array" ref="F860:F860">IF(D860="","",IFERROR(INDEX(Dados_Evap!$C$2:$N$15,MATCH($B$9,Dados_Evap!$A$2:$A$15,0),C860),0))</f>
        <v>208.9</v>
      </c>
      <c r="G860" s="16" t="n">
        <f aca="false">IF(F860="","",F860/1000)</f>
        <v>0.2089</v>
      </c>
      <c r="H860" s="16" t="n">
        <f aca="false">IF(D860="","",MAX(0,MIN($B$8,IFERROR(LOOKUP(2,1/($U$24:U859&lt;&gt;""),$U$24:U859),$B$11))))</f>
        <v>12.1236380066905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0.999039406642228</v>
      </c>
      <c r="J860" s="16" t="n">
        <f aca="false">IF(D860="","",$B$12)</f>
        <v>0.25</v>
      </c>
      <c r="K860" s="16" t="n">
        <f aca="false">IF(J860="","",J860*$B$15)</f>
        <v>0.648</v>
      </c>
      <c r="L860" s="16" t="n">
        <f aca="false">IF(D860="","",H860+E860-K860-G860*I860)</f>
        <v>11.3279552603135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0.973469261673592</v>
      </c>
      <c r="N860" s="16" t="n">
        <f aca="false">IF(D860="","",(I860+M860)/2)</f>
        <v>0.98625433415791</v>
      </c>
      <c r="O860" s="16" t="n">
        <f aca="false">IF(D860="","",G860*N860)</f>
        <v>0.206028530405587</v>
      </c>
      <c r="P860" s="16" t="n">
        <f aca="false">IF(D860="","",H860+E860-K860-O860)</f>
        <v>11.3306260619555</v>
      </c>
      <c r="Q860" s="16" t="n">
        <f aca="false">IF(D860="","",IF(P860&gt;=0,K860,MAX(0,K860+P860)))</f>
        <v>0.648</v>
      </c>
      <c r="R860" s="16" t="n">
        <f aca="false">IF(D860="","",Q860/$B$15)</f>
        <v>0.25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11.3306260619555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53.1954275209179</v>
      </c>
      <c r="Z860" s="18" t="n">
        <f aca="false">IF(D860="","",MAX(0,IF(P860&gt;=0,P860,IF(K860+P860&gt;=0,0,P860+K860))))</f>
        <v>11.3306260619555</v>
      </c>
      <c r="AA860" s="18" t="n">
        <f aca="false">IF(D860="","",IF(H860&lt;=$B$16,1,IF(H860&gt;=$B$17,$B$21,MATCH(H860,Aux_CAV!$A$2:$A$121,1))))</f>
        <v>6</v>
      </c>
      <c r="AB860" s="18" t="n">
        <f aca="false">IF(D860="","",IF(L860&lt;=$B$16,1,IF(L860&gt;=$B$17,$B$21,MATCH(L860,Aux_CAV!$A$2:$A$121,1))))</f>
        <v>6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0.00762785739090785</v>
      </c>
      <c r="E861" s="16" t="n">
        <f aca="false">IF(D861="","",D861*$B$15)</f>
        <v>0.0197714063572331</v>
      </c>
      <c r="F861" s="16" t="n">
        <f aca="false" t="array" ref="F861:F861">IF(D861="","",IFERROR(INDEX(Dados_Evap!$C$2:$N$15,MATCH($B$9,Dados_Evap!$A$2:$A$15,0),C861),0))</f>
        <v>235.9</v>
      </c>
      <c r="G861" s="16" t="n">
        <f aca="false">IF(F861="","",F861/1000)</f>
        <v>0.2359</v>
      </c>
      <c r="H861" s="16" t="n">
        <f aca="false">IF(D861="","",MAX(0,MIN($B$8,IFERROR(LOOKUP(2,1/($U$24:U860&lt;&gt;""),$U$24:U860),$B$11))))</f>
        <v>11.3306260619555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0.97355509083789</v>
      </c>
      <c r="J861" s="16" t="n">
        <f aca="false">IF(D861="","",$B$12)</f>
        <v>0.25</v>
      </c>
      <c r="K861" s="16" t="n">
        <f aca="false">IF(J861="","",J861*$B$15)</f>
        <v>0.648</v>
      </c>
      <c r="L861" s="16" t="n">
        <f aca="false">IF(D861="","",H861+E861-K861-G861*I861)</f>
        <v>10.4727358223841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0.94520141003487</v>
      </c>
      <c r="N861" s="16" t="n">
        <f aca="false">IF(D861="","",(I861+M861)/2)</f>
        <v>0.95937825043638</v>
      </c>
      <c r="O861" s="16" t="n">
        <f aca="false">IF(D861="","",G861*N861)</f>
        <v>0.226317329277942</v>
      </c>
      <c r="P861" s="16" t="n">
        <f aca="false">IF(D861="","",H861+E861-K861-O861)</f>
        <v>10.4760801390348</v>
      </c>
      <c r="Q861" s="16" t="n">
        <f aca="false">IF(D861="","",IF(P861&gt;=0,K861,MAX(0,K861+P861)))</f>
        <v>0.648</v>
      </c>
      <c r="R861" s="16" t="n">
        <f aca="false">IF(D861="","",Q861/$B$15)</f>
        <v>0.25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10.4760801390348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49.1834748311493</v>
      </c>
      <c r="Z861" s="18" t="n">
        <f aca="false">IF(D861="","",MAX(0,IF(P861&gt;=0,P861,IF(K861+P861&gt;=0,0,P861+K861))))</f>
        <v>10.4760801390348</v>
      </c>
      <c r="AA861" s="18" t="n">
        <f aca="false">IF(D861="","",IF(H861&lt;=$B$16,1,IF(H861&gt;=$B$17,$B$21,MATCH(H861,Aux_CAV!$A$2:$A$121,1))))</f>
        <v>6</v>
      </c>
      <c r="AB861" s="18" t="n">
        <f aca="false">IF(D861="","",IF(L861&lt;=$B$16,1,IF(L861&gt;=$B$17,$B$21,MATCH(L861,Aux_CAV!$A$2:$A$121,1))))</f>
        <v>5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0.00530966574563037</v>
      </c>
      <c r="E862" s="16" t="n">
        <f aca="false">IF(D862="","",D862*$B$15)</f>
        <v>0.0137626536126739</v>
      </c>
      <c r="F862" s="16" t="n">
        <f aca="false" t="array" ref="F862:F862">IF(D862="","",IFERROR(INDEX(Dados_Evap!$C$2:$N$15,MATCH($B$9,Dados_Evap!$A$2:$A$15,0),C862),0))</f>
        <v>225.9</v>
      </c>
      <c r="G862" s="16" t="n">
        <f aca="false">IF(F862="","",F862/1000)</f>
        <v>0.2259</v>
      </c>
      <c r="H862" s="16" t="n">
        <f aca="false">IF(D862="","",MAX(0,MIN($B$8,IFERROR(LOOKUP(2,1/($U$24:U861&lt;&gt;""),$U$24:U861),$B$11))))</f>
        <v>10.4760801390348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0.945312393994518</v>
      </c>
      <c r="J862" s="16" t="n">
        <f aca="false">IF(D862="","",$B$12)</f>
        <v>0.25</v>
      </c>
      <c r="K862" s="16" t="n">
        <f aca="false">IF(J862="","",J862*$B$15)</f>
        <v>0.648</v>
      </c>
      <c r="L862" s="16" t="n">
        <f aca="false">IF(D862="","",H862+E862-K862-G862*I862)</f>
        <v>9.62829672284412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0.91717798858996</v>
      </c>
      <c r="N862" s="16" t="n">
        <f aca="false">IF(D862="","",(I862+M862)/2)</f>
        <v>0.931245191292239</v>
      </c>
      <c r="O862" s="16" t="n">
        <f aca="false">IF(D862="","",G862*N862)</f>
        <v>0.210368288712917</v>
      </c>
      <c r="P862" s="16" t="n">
        <f aca="false">IF(D862="","",H862+E862-K862-O862)</f>
        <v>9.63147450393456</v>
      </c>
      <c r="Q862" s="16" t="n">
        <f aca="false">IF(D862="","",IF(P862&gt;=0,K862,MAX(0,K862+P862)))</f>
        <v>0.648</v>
      </c>
      <c r="R862" s="16" t="n">
        <f aca="false">IF(D862="","",Q862/$B$15)</f>
        <v>0.25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9.63147450393456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45.2181901593172</v>
      </c>
      <c r="Z862" s="18" t="n">
        <f aca="false">IF(D862="","",MAX(0,IF(P862&gt;=0,P862,IF(K862+P862&gt;=0,0,P862+K862))))</f>
        <v>9.63147450393456</v>
      </c>
      <c r="AA862" s="18" t="n">
        <f aca="false">IF(D862="","",IF(H862&lt;=$B$16,1,IF(H862&gt;=$B$17,$B$21,MATCH(H862,Aux_CAV!$A$2:$A$121,1))))</f>
        <v>5</v>
      </c>
      <c r="AB862" s="18" t="n">
        <f aca="false">IF(D862="","",IF(L862&lt;=$B$16,1,IF(L862&gt;=$B$17,$B$21,MATCH(L862,Aux_CAV!$A$2:$A$121,1))))</f>
        <v>5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0.0184334783734539</v>
      </c>
      <c r="E863" s="16" t="n">
        <f aca="false">IF(D863="","",D863*$B$15)</f>
        <v>0.0477795759439925</v>
      </c>
      <c r="F863" s="16" t="n">
        <f aca="false" t="array" ref="F863:F863">IF(D863="","",IFERROR(INDEX(Dados_Evap!$C$2:$N$15,MATCH($B$9,Dados_Evap!$A$2:$A$15,0),C863),0))</f>
        <v>206</v>
      </c>
      <c r="G863" s="16" t="n">
        <f aca="false">IF(F863="","",F863/1000)</f>
        <v>0.206</v>
      </c>
      <c r="H863" s="16" t="n">
        <f aca="false">IF(D863="","",MAX(0,MIN($B$8,IFERROR(LOOKUP(2,1/($U$24:U862&lt;&gt;""),$U$24:U862),$B$11))))</f>
        <v>9.63147450393456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0.917283445927032</v>
      </c>
      <c r="J863" s="16" t="n">
        <f aca="false">IF(D863="","",$B$12)</f>
        <v>0.25</v>
      </c>
      <c r="K863" s="16" t="n">
        <f aca="false">IF(J863="","",J863*$B$15)</f>
        <v>0.648</v>
      </c>
      <c r="L863" s="16" t="n">
        <f aca="false">IF(D863="","",H863+E863-K863-G863*I863)</f>
        <v>8.84229369001759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0.891093817146601</v>
      </c>
      <c r="N863" s="16" t="n">
        <f aca="false">IF(D863="","",(I863+M863)/2)</f>
        <v>0.904188631536817</v>
      </c>
      <c r="O863" s="16" t="n">
        <f aca="false">IF(D863="","",G863*N863)</f>
        <v>0.186262858096584</v>
      </c>
      <c r="P863" s="16" t="n">
        <f aca="false">IF(D863="","",H863+E863-K863-O863)</f>
        <v>8.84499122178197</v>
      </c>
      <c r="Q863" s="16" t="n">
        <f aca="false">IF(D863="","",IF(P863&gt;=0,K863,MAX(0,K863+P863)))</f>
        <v>0.648</v>
      </c>
      <c r="R863" s="16" t="n">
        <f aca="false">IF(D863="","",Q863/$B$15)</f>
        <v>0.25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8.84499122178197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41.5257803839529</v>
      </c>
      <c r="Z863" s="18" t="n">
        <f aca="false">IF(D863="","",MAX(0,IF(P863&gt;=0,P863,IF(K863+P863&gt;=0,0,P863+K863))))</f>
        <v>8.84499122178197</v>
      </c>
      <c r="AA863" s="18" t="n">
        <f aca="false">IF(D863="","",IF(H863&lt;=$B$16,1,IF(H863&gt;=$B$17,$B$21,MATCH(H863,Aux_CAV!$A$2:$A$121,1))))</f>
        <v>5</v>
      </c>
      <c r="AB863" s="18" t="n">
        <f aca="false">IF(D863="","",IF(L863&lt;=$B$16,1,IF(L863&gt;=$B$17,$B$21,MATCH(L863,Aux_CAV!$A$2:$A$121,1))))</f>
        <v>5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0.0929685281678577</v>
      </c>
      <c r="E864" s="16" t="n">
        <f aca="false">IF(D864="","",D864*$B$15)</f>
        <v>0.240974425011087</v>
      </c>
      <c r="F864" s="16" t="n">
        <f aca="false" t="array" ref="F864:F864">IF(D864="","",IFERROR(INDEX(Dados_Evap!$C$2:$N$15,MATCH($B$9,Dados_Evap!$A$2:$A$15,0),C864),0))</f>
        <v>165.6</v>
      </c>
      <c r="G864" s="16" t="n">
        <f aca="false">IF(F864="","",F864/1000)</f>
        <v>0.1656</v>
      </c>
      <c r="H864" s="16" t="n">
        <f aca="false">IF(D864="","",MAX(0,MIN($B$8,IFERROR(LOOKUP(2,1/($U$24:U863&lt;&gt;""),$U$24:U863),$B$11))))</f>
        <v>8.84499122178197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0.891183337006039</v>
      </c>
      <c r="J864" s="16" t="n">
        <f aca="false">IF(D864="","",$B$12)</f>
        <v>0.25</v>
      </c>
      <c r="K864" s="16" t="n">
        <f aca="false">IF(J864="","",J864*$B$15)</f>
        <v>0.648</v>
      </c>
      <c r="L864" s="16" t="n">
        <f aca="false">IF(D864="","",H864+E864-K864-G864*I864)</f>
        <v>8.29038568618486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0.872778286045958</v>
      </c>
      <c r="N864" s="16" t="n">
        <f aca="false">IF(D864="","",(I864+M864)/2)</f>
        <v>0.881980811525998</v>
      </c>
      <c r="O864" s="16" t="n">
        <f aca="false">IF(D864="","",G864*N864)</f>
        <v>0.146056022388705</v>
      </c>
      <c r="P864" s="16" t="n">
        <f aca="false">IF(D864="","",H864+E864-K864-O864)</f>
        <v>8.29190962440435</v>
      </c>
      <c r="Q864" s="16" t="n">
        <f aca="false">IF(D864="","",IF(P864&gt;=0,K864,MAX(0,K864+P864)))</f>
        <v>0.648</v>
      </c>
      <c r="R864" s="16" t="n">
        <f aca="false">IF(D864="","",Q864/$B$15)</f>
        <v>0.25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8.29190962440435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38.9291531662176</v>
      </c>
      <c r="Z864" s="18" t="n">
        <f aca="false">IF(D864="","",MAX(0,IF(P864&gt;=0,P864,IF(K864+P864&gt;=0,0,P864+K864))))</f>
        <v>8.29190962440435</v>
      </c>
      <c r="AA864" s="18" t="n">
        <f aca="false">IF(D864="","",IF(H864&lt;=$B$16,1,IF(H864&gt;=$B$17,$B$21,MATCH(H864,Aux_CAV!$A$2:$A$121,1))))</f>
        <v>5</v>
      </c>
      <c r="AB864" s="18" t="n">
        <f aca="false">IF(D864="","",IF(L864&lt;=$B$16,1,IF(L864&gt;=$B$17,$B$21,MATCH(L864,Aux_CAV!$A$2:$A$121,1))))</f>
        <v>5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0.45299326734344</v>
      </c>
      <c r="E865" s="16" t="n">
        <f aca="false">IF(D865="","",D865*$B$15)</f>
        <v>1.1741585489542</v>
      </c>
      <c r="F865" s="16" t="n">
        <f aca="false" t="array" ref="F865:F865">IF(D865="","",IFERROR(INDEX(Dados_Evap!$C$2:$N$15,MATCH($B$9,Dados_Evap!$A$2:$A$15,0),C865),0))</f>
        <v>124.9</v>
      </c>
      <c r="G865" s="16" t="n">
        <f aca="false">IF(F865="","",F865/1000)</f>
        <v>0.1249</v>
      </c>
      <c r="H865" s="16" t="n">
        <f aca="false">IF(D865="","",MAX(0,MIN($B$8,IFERROR(LOOKUP(2,1/($U$24:U864&lt;&gt;""),$U$24:U864),$B$11))))</f>
        <v>8.29190962440435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0.872828859216959</v>
      </c>
      <c r="J865" s="16" t="n">
        <f aca="false">IF(D865="","",$B$12)</f>
        <v>0.25</v>
      </c>
      <c r="K865" s="16" t="n">
        <f aca="false">IF(J865="","",J865*$B$15)</f>
        <v>0.648</v>
      </c>
      <c r="L865" s="16" t="n">
        <f aca="false">IF(D865="","",H865+E865-K865-G865*I865)</f>
        <v>8.70905184884235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0.886672074629724</v>
      </c>
      <c r="N865" s="16" t="n">
        <f aca="false">IF(D865="","",(I865+M865)/2)</f>
        <v>0.879750466923341</v>
      </c>
      <c r="O865" s="16" t="n">
        <f aca="false">IF(D865="","",G865*N865)</f>
        <v>0.109880833318725</v>
      </c>
      <c r="P865" s="16" t="n">
        <f aca="false">IF(D865="","",H865+E865-K865-O865)</f>
        <v>8.70818734003983</v>
      </c>
      <c r="Q865" s="16" t="n">
        <f aca="false">IF(D865="","",IF(P865&gt;=0,K865,MAX(0,K865+P865)))</f>
        <v>0.648</v>
      </c>
      <c r="R865" s="16" t="n">
        <f aca="false">IF(D865="","",Q865/$B$15)</f>
        <v>0.25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8.70818734003983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40.8835086386846</v>
      </c>
      <c r="Z865" s="18" t="n">
        <f aca="false">IF(D865="","",MAX(0,IF(P865&gt;=0,P865,IF(K865+P865&gt;=0,0,P865+K865))))</f>
        <v>8.70818734003983</v>
      </c>
      <c r="AA865" s="18" t="n">
        <f aca="false">IF(D865="","",IF(H865&lt;=$B$16,1,IF(H865&gt;=$B$17,$B$21,MATCH(H865,Aux_CAV!$A$2:$A$121,1))))</f>
        <v>5</v>
      </c>
      <c r="AB865" s="18" t="n">
        <f aca="false">IF(D865="","",IF(L865&lt;=$B$16,1,IF(L865&gt;=$B$17,$B$21,MATCH(L865,Aux_CAV!$A$2:$A$121,1))))</f>
        <v>5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0.629125927853891</v>
      </c>
      <c r="E866" s="16" t="n">
        <f aca="false">IF(D866="","",D866*$B$15)</f>
        <v>1.63069440499729</v>
      </c>
      <c r="F866" s="16" t="n">
        <f aca="false" t="array" ref="F866:F866">IF(D866="","",IFERROR(INDEX(Dados_Evap!$C$2:$N$15,MATCH($B$9,Dados_Evap!$A$2:$A$15,0),C866),0))</f>
        <v>88.2</v>
      </c>
      <c r="G866" s="16" t="n">
        <f aca="false">IF(F866="","",F866/1000)</f>
        <v>0.0882</v>
      </c>
      <c r="H866" s="16" t="n">
        <f aca="false">IF(D866="","",MAX(0,MIN($B$8,IFERROR(LOOKUP(2,1/($U$24:U865&lt;&gt;""),$U$24:U865),$B$11))))</f>
        <v>8.70818734003983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0.886643385178313</v>
      </c>
      <c r="J866" s="16" t="n">
        <f aca="false">IF(D866="","",$B$12)</f>
        <v>0.25</v>
      </c>
      <c r="K866" s="16" t="n">
        <f aca="false">IF(J866="","",J866*$B$15)</f>
        <v>0.648</v>
      </c>
      <c r="L866" s="16" t="n">
        <f aca="false">IF(D866="","",H866+E866-K866-G866*I866)</f>
        <v>9.61267979846438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0.916659727825146</v>
      </c>
      <c r="N866" s="16" t="n">
        <f aca="false">IF(D866="","",(I866+M866)/2)</f>
        <v>0.901651556501729</v>
      </c>
      <c r="O866" s="16" t="n">
        <f aca="false">IF(D866="","",G866*N866)</f>
        <v>0.0795256672834525</v>
      </c>
      <c r="P866" s="16" t="n">
        <f aca="false">IF(D866="","",H866+E866-K866-O866)</f>
        <v>9.61135607775366</v>
      </c>
      <c r="Q866" s="16" t="n">
        <f aca="false">IF(D866="","",IF(P866&gt;=0,K866,MAX(0,K866+P866)))</f>
        <v>0.648</v>
      </c>
      <c r="R866" s="16" t="n">
        <f aca="false">IF(D866="","",Q866/$B$15)</f>
        <v>0.25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9.61135607775366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45.1237374542425</v>
      </c>
      <c r="Z866" s="18" t="n">
        <f aca="false">IF(D866="","",MAX(0,IF(P866&gt;=0,P866,IF(K866+P866&gt;=0,0,P866+K866))))</f>
        <v>9.61135607775366</v>
      </c>
      <c r="AA866" s="18" t="n">
        <f aca="false">IF(D866="","",IF(H866&lt;=$B$16,1,IF(H866&gt;=$B$17,$B$21,MATCH(H866,Aux_CAV!$A$2:$A$121,1))))</f>
        <v>5</v>
      </c>
      <c r="AB866" s="18" t="n">
        <f aca="false">IF(D866="","",IF(L866&lt;=$B$16,1,IF(L866&gt;=$B$17,$B$21,MATCH(L866,Aux_CAV!$A$2:$A$121,1))))</f>
        <v>5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0.323296031304296</v>
      </c>
      <c r="E867" s="16" t="n">
        <f aca="false">IF(D867="","",D867*$B$15)</f>
        <v>0.837983313140735</v>
      </c>
      <c r="F867" s="16" t="n">
        <f aca="false" t="array" ref="F867:F867">IF(D867="","",IFERROR(INDEX(Dados_Evap!$C$2:$N$15,MATCH($B$9,Dados_Evap!$A$2:$A$15,0),C867),0))</f>
        <v>88.2</v>
      </c>
      <c r="G867" s="16" t="n">
        <f aca="false">IF(F867="","",F867/1000)</f>
        <v>0.0882</v>
      </c>
      <c r="H867" s="16" t="n">
        <f aca="false">IF(D867="","",MAX(0,MIN($B$8,IFERROR(LOOKUP(2,1/($U$24:U866&lt;&gt;""),$U$24:U866),$B$11))))</f>
        <v>9.61135607775366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0.916615799040498</v>
      </c>
      <c r="J867" s="16" t="n">
        <f aca="false">IF(D867="","",$B$12)</f>
        <v>0.25</v>
      </c>
      <c r="K867" s="16" t="n">
        <f aca="false">IF(J867="","",J867*$B$15)</f>
        <v>0.648</v>
      </c>
      <c r="L867" s="16" t="n">
        <f aca="false">IF(D867="","",H867+E867-K867-G867*I867)</f>
        <v>9.72049387741902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0.92023762867541</v>
      </c>
      <c r="N867" s="16" t="n">
        <f aca="false">IF(D867="","",(I867+M867)/2)</f>
        <v>0.918426713857954</v>
      </c>
      <c r="O867" s="16" t="n">
        <f aca="false">IF(D867="","",G867*N867)</f>
        <v>0.0810052361622715</v>
      </c>
      <c r="P867" s="16" t="n">
        <f aca="false">IF(D867="","",H867+E867-K867-O867)</f>
        <v>9.72033415473213</v>
      </c>
      <c r="Q867" s="16" t="n">
        <f aca="false">IF(D867="","",IF(P867&gt;=0,K867,MAX(0,K867+P867)))</f>
        <v>0.648</v>
      </c>
      <c r="R867" s="16" t="n">
        <f aca="false">IF(D867="","",Q867/$B$15)</f>
        <v>0.25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9.72033415473213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45.6353716184607</v>
      </c>
      <c r="Z867" s="18" t="n">
        <f aca="false">IF(D867="","",MAX(0,IF(P867&gt;=0,P867,IF(K867+P867&gt;=0,0,P867+K867))))</f>
        <v>9.72033415473213</v>
      </c>
      <c r="AA867" s="18" t="n">
        <f aca="false">IF(D867="","",IF(H867&lt;=$B$16,1,IF(H867&gt;=$B$17,$B$21,MATCH(H867,Aux_CAV!$A$2:$A$121,1))))</f>
        <v>5</v>
      </c>
      <c r="AB867" s="18" t="n">
        <f aca="false">IF(D867="","",IF(L867&lt;=$B$16,1,IF(L867&gt;=$B$17,$B$21,MATCH(L867,Aux_CAV!$A$2:$A$121,1))))</f>
        <v>5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0.197018891061169</v>
      </c>
      <c r="E868" s="16" t="n">
        <f aca="false">IF(D868="","",D868*$B$15)</f>
        <v>0.51067296563055</v>
      </c>
      <c r="F868" s="16" t="n">
        <f aca="false" t="array" ref="F868:F868">IF(D868="","",IFERROR(INDEX(Dados_Evap!$C$2:$N$15,MATCH($B$9,Dados_Evap!$A$2:$A$15,0),C868),0))</f>
        <v>83.9</v>
      </c>
      <c r="G868" s="16" t="n">
        <f aca="false">IF(F868="","",F868/1000)</f>
        <v>0.0839</v>
      </c>
      <c r="H868" s="16" t="n">
        <f aca="false">IF(D868="","",MAX(0,MIN($B$8,IFERROR(LOOKUP(2,1/($U$24:U867&lt;&gt;""),$U$24:U867),$B$11))))</f>
        <v>9.72033415473213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0.920232328143765</v>
      </c>
      <c r="J868" s="16" t="n">
        <f aca="false">IF(D868="","",$B$12)</f>
        <v>0.25</v>
      </c>
      <c r="K868" s="16" t="n">
        <f aca="false">IF(J868="","",J868*$B$15)</f>
        <v>0.648</v>
      </c>
      <c r="L868" s="16" t="n">
        <f aca="false">IF(D868="","",H868+E868-K868-G868*I868)</f>
        <v>9.50579962803141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0.913112819514317</v>
      </c>
      <c r="N868" s="16" t="n">
        <f aca="false">IF(D868="","",(I868+M868)/2)</f>
        <v>0.916672573829041</v>
      </c>
      <c r="O868" s="16" t="n">
        <f aca="false">IF(D868="","",G868*N868)</f>
        <v>0.0769088289442566</v>
      </c>
      <c r="P868" s="16" t="n">
        <f aca="false">IF(D868="","",H868+E868-K868-O868)</f>
        <v>9.50609829141842</v>
      </c>
      <c r="Q868" s="16" t="n">
        <f aca="false">IF(D868="","",IF(P868&gt;=0,K868,MAX(0,K868+P868)))</f>
        <v>0.648</v>
      </c>
      <c r="R868" s="16" t="n">
        <f aca="false">IF(D868="","",Q868/$B$15)</f>
        <v>0.25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9.50609829141842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44.629569443279</v>
      </c>
      <c r="Z868" s="18" t="n">
        <f aca="false">IF(D868="","",MAX(0,IF(P868&gt;=0,P868,IF(K868+P868&gt;=0,0,P868+K868))))</f>
        <v>9.50609829141842</v>
      </c>
      <c r="AA868" s="18" t="n">
        <f aca="false">IF(D868="","",IF(H868&lt;=$B$16,1,IF(H868&gt;=$B$17,$B$21,MATCH(H868,Aux_CAV!$A$2:$A$121,1))))</f>
        <v>5</v>
      </c>
      <c r="AB868" s="18" t="n">
        <f aca="false">IF(D868="","",IF(L868&lt;=$B$16,1,IF(L868&gt;=$B$17,$B$21,MATCH(L868,Aux_CAV!$A$2:$A$121,1))))</f>
        <v>5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0.190265877367942</v>
      </c>
      <c r="E869" s="16" t="n">
        <f aca="false">IF(D869="","",D869*$B$15)</f>
        <v>0.493169154137706</v>
      </c>
      <c r="F869" s="16" t="n">
        <f aca="false" t="array" ref="F869:F869">IF(D869="","",IFERROR(INDEX(Dados_Evap!$C$2:$N$15,MATCH($B$9,Dados_Evap!$A$2:$A$15,0),C869),0))</f>
        <v>104.7</v>
      </c>
      <c r="G869" s="16" t="n">
        <f aca="false">IF(F869="","",F869/1000)</f>
        <v>0.1047</v>
      </c>
      <c r="H869" s="16" t="n">
        <f aca="false">IF(D869="","",MAX(0,MIN($B$8,IFERROR(LOOKUP(2,1/($U$24:U868&lt;&gt;""),$U$24:U868),$B$11))))</f>
        <v>9.50609829141842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0.913122730909903</v>
      </c>
      <c r="J869" s="16" t="n">
        <f aca="false">IF(D869="","",$B$12)</f>
        <v>0.25</v>
      </c>
      <c r="K869" s="16" t="n">
        <f aca="false">IF(J869="","",J869*$B$15)</f>
        <v>0.648</v>
      </c>
      <c r="L869" s="16" t="n">
        <f aca="false">IF(D869="","",H869+E869-K869-G869*I869)</f>
        <v>9.25566349562986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0.904811841669132</v>
      </c>
      <c r="N869" s="16" t="n">
        <f aca="false">IF(D869="","",(I869+M869)/2)</f>
        <v>0.908967286289518</v>
      </c>
      <c r="O869" s="16" t="n">
        <f aca="false">IF(D869="","",G869*N869)</f>
        <v>0.0951688748745125</v>
      </c>
      <c r="P869" s="16" t="n">
        <f aca="false">IF(D869="","",H869+E869-K869-O869)</f>
        <v>9.25609857068161</v>
      </c>
      <c r="Q869" s="16" t="n">
        <f aca="false">IF(D869="","",IF(P869&gt;=0,K869,MAX(0,K869+P869)))</f>
        <v>0.648</v>
      </c>
      <c r="R869" s="16" t="n">
        <f aca="false">IF(D869="","",Q869/$B$15)</f>
        <v>0.25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9.25609857068161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43.455861834186</v>
      </c>
      <c r="Z869" s="18" t="n">
        <f aca="false">IF(D869="","",MAX(0,IF(P869&gt;=0,P869,IF(K869+P869&gt;=0,0,P869+K869))))</f>
        <v>9.25609857068161</v>
      </c>
      <c r="AA869" s="18" t="n">
        <f aca="false">IF(D869="","",IF(H869&lt;=$B$16,1,IF(H869&gt;=$B$17,$B$21,MATCH(H869,Aux_CAV!$A$2:$A$121,1))))</f>
        <v>5</v>
      </c>
      <c r="AB869" s="18" t="n">
        <f aca="false">IF(D869="","",IF(L869&lt;=$B$16,1,IF(L869&gt;=$B$17,$B$21,MATCH(L869,Aux_CAV!$A$2:$A$121,1))))</f>
        <v>5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0.0678450897767742</v>
      </c>
      <c r="E870" s="16" t="n">
        <f aca="false">IF(D870="","",D870*$B$15)</f>
        <v>0.175854472701399</v>
      </c>
      <c r="F870" s="16" t="n">
        <f aca="false" t="array" ref="F870:F870">IF(D870="","",IFERROR(INDEX(Dados_Evap!$C$2:$N$15,MATCH($B$9,Dados_Evap!$A$2:$A$15,0),C870),0))</f>
        <v>145.2</v>
      </c>
      <c r="G870" s="16" t="n">
        <f aca="false">IF(F870="","",F870/1000)</f>
        <v>0.1452</v>
      </c>
      <c r="H870" s="16" t="n">
        <f aca="false">IF(D870="","",MAX(0,MIN($B$8,IFERROR(LOOKUP(2,1/($U$24:U869&lt;&gt;""),$U$24:U869),$B$11))))</f>
        <v>9.25609857068161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0.904826280000496</v>
      </c>
      <c r="J870" s="16" t="n">
        <f aca="false">IF(D870="","",$B$12)</f>
        <v>0.25</v>
      </c>
      <c r="K870" s="16" t="n">
        <f aca="false">IF(J870="","",J870*$B$15)</f>
        <v>0.648</v>
      </c>
      <c r="L870" s="16" t="n">
        <f aca="false">IF(D870="","",H870+E870-K870-G870*I870)</f>
        <v>8.65257226752694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0.884797752240938</v>
      </c>
      <c r="N870" s="16" t="n">
        <f aca="false">IF(D870="","",(I870+M870)/2)</f>
        <v>0.894812016120717</v>
      </c>
      <c r="O870" s="16" t="n">
        <f aca="false">IF(D870="","",G870*N870)</f>
        <v>0.129926704740728</v>
      </c>
      <c r="P870" s="16" t="n">
        <f aca="false">IF(D870="","",H870+E870-K870-O870)</f>
        <v>8.65402633864228</v>
      </c>
      <c r="Q870" s="16" t="n">
        <f aca="false">IF(D870="","",IF(P870&gt;=0,K870,MAX(0,K870+P870)))</f>
        <v>0.648</v>
      </c>
      <c r="R870" s="16" t="n">
        <f aca="false">IF(D870="","",Q870/$B$15)</f>
        <v>0.25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8.65402633864228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40.6292316368182</v>
      </c>
      <c r="Z870" s="18" t="n">
        <f aca="false">IF(D870="","",MAX(0,IF(P870&gt;=0,P870,IF(K870+P870&gt;=0,0,P870+K870))))</f>
        <v>8.65402633864228</v>
      </c>
      <c r="AA870" s="18" t="n">
        <f aca="false">IF(D870="","",IF(H870&lt;=$B$16,1,IF(H870&gt;=$B$17,$B$21,MATCH(H870,Aux_CAV!$A$2:$A$121,1))))</f>
        <v>5</v>
      </c>
      <c r="AB870" s="18" t="n">
        <f aca="false">IF(D870="","",IF(L870&lt;=$B$16,1,IF(L870&gt;=$B$17,$B$21,MATCH(L870,Aux_CAV!$A$2:$A$121,1))))</f>
        <v>5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0.0300801983232117</v>
      </c>
      <c r="E871" s="16" t="n">
        <f aca="false">IF(D871="","",D871*$B$15)</f>
        <v>0.0779678740537647</v>
      </c>
      <c r="F871" s="16" t="n">
        <f aca="false" t="array" ref="F871:F871">IF(D871="","",IFERROR(INDEX(Dados_Evap!$C$2:$N$15,MATCH($B$9,Dados_Evap!$A$2:$A$15,0),C871),0))</f>
        <v>180.9</v>
      </c>
      <c r="G871" s="16" t="n">
        <f aca="false">IF(F871="","",F871/1000)</f>
        <v>0.1809</v>
      </c>
      <c r="H871" s="16" t="n">
        <f aca="false">IF(D871="","",MAX(0,MIN($B$8,IFERROR(LOOKUP(2,1/($U$24:U870&lt;&gt;""),$U$24:U870),$B$11))))</f>
        <v>8.65402633864228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0.88484600681335</v>
      </c>
      <c r="J871" s="16" t="n">
        <f aca="false">IF(D871="","",$B$12)</f>
        <v>0.25</v>
      </c>
      <c r="K871" s="16" t="n">
        <f aca="false">IF(J871="","",J871*$B$15)</f>
        <v>0.648</v>
      </c>
      <c r="L871" s="16" t="n">
        <f aca="false">IF(D871="","",H871+E871-K871-G871*I871)</f>
        <v>7.92392557006352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0.860616999006533</v>
      </c>
      <c r="N871" s="16" t="n">
        <f aca="false">IF(D871="","",(I871+M871)/2)</f>
        <v>0.872731502909941</v>
      </c>
      <c r="O871" s="16" t="n">
        <f aca="false">IF(D871="","",G871*N871)</f>
        <v>0.157877128876408</v>
      </c>
      <c r="P871" s="16" t="n">
        <f aca="false">IF(D871="","",H871+E871-K871-O871)</f>
        <v>7.92611708381964</v>
      </c>
      <c r="Q871" s="16" t="n">
        <f aca="false">IF(D871="","",IF(P871&gt;=0,K871,MAX(0,K871+P871)))</f>
        <v>0.648</v>
      </c>
      <c r="R871" s="16" t="n">
        <f aca="false">IF(D871="","",Q871/$B$15)</f>
        <v>0.25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7.92611708381964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37.2118172949279</v>
      </c>
      <c r="Z871" s="18" t="n">
        <f aca="false">IF(D871="","",MAX(0,IF(P871&gt;=0,P871,IF(K871+P871&gt;=0,0,P871+K871))))</f>
        <v>7.92611708381964</v>
      </c>
      <c r="AA871" s="18" t="n">
        <f aca="false">IF(D871="","",IF(H871&lt;=$B$16,1,IF(H871&gt;=$B$17,$B$21,MATCH(H871,Aux_CAV!$A$2:$A$121,1))))</f>
        <v>5</v>
      </c>
      <c r="AB871" s="18" t="n">
        <f aca="false">IF(D871="","",IF(L871&lt;=$B$16,1,IF(L871&gt;=$B$17,$B$21,MATCH(L871,Aux_CAV!$A$2:$A$121,1))))</f>
        <v>5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0.0357733900179848</v>
      </c>
      <c r="E872" s="16" t="n">
        <f aca="false">IF(D872="","",D872*$B$15)</f>
        <v>0.0927246269266166</v>
      </c>
      <c r="F872" s="16" t="n">
        <f aca="false" t="array" ref="F872:F872">IF(D872="","",IFERROR(INDEX(Dados_Evap!$C$2:$N$15,MATCH($B$9,Dados_Evap!$A$2:$A$15,0),C872),0))</f>
        <v>208.9</v>
      </c>
      <c r="G872" s="16" t="n">
        <f aca="false">IF(F872="","",F872/1000)</f>
        <v>0.2089</v>
      </c>
      <c r="H872" s="16" t="n">
        <f aca="false">IF(D872="","",MAX(0,MIN($B$8,IFERROR(LOOKUP(2,1/($U$24:U871&lt;&gt;""),$U$24:U871),$B$11))))</f>
        <v>7.92611708381964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0.860689726232953</v>
      </c>
      <c r="J872" s="16" t="n">
        <f aca="false">IF(D872="","",$B$12)</f>
        <v>0.25</v>
      </c>
      <c r="K872" s="16" t="n">
        <f aca="false">IF(J872="","",J872*$B$15)</f>
        <v>0.648</v>
      </c>
      <c r="L872" s="16" t="n">
        <f aca="false">IF(D872="","",H872+E872-K872-G872*I872)</f>
        <v>7.1910436269362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0.836295695584166</v>
      </c>
      <c r="N872" s="16" t="n">
        <f aca="false">IF(D872="","",(I872+M872)/2)</f>
        <v>0.848492710908559</v>
      </c>
      <c r="O872" s="16" t="n">
        <f aca="false">IF(D872="","",G872*N872)</f>
        <v>0.177250127308798</v>
      </c>
      <c r="P872" s="16" t="n">
        <f aca="false">IF(D872="","",H872+E872-K872-O872)</f>
        <v>7.19359158343746</v>
      </c>
      <c r="Q872" s="16" t="n">
        <f aca="false">IF(D872="","",IF(P872&gt;=0,K872,MAX(0,K872+P872)))</f>
        <v>0.648</v>
      </c>
      <c r="R872" s="16" t="n">
        <f aca="false">IF(D872="","",Q872/$B$15)</f>
        <v>0.25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7.19359158343746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33.7727304386735</v>
      </c>
      <c r="Z872" s="18" t="n">
        <f aca="false">IF(D872="","",MAX(0,IF(P872&gt;=0,P872,IF(K872+P872&gt;=0,0,P872+K872))))</f>
        <v>7.19359158343746</v>
      </c>
      <c r="AA872" s="18" t="n">
        <f aca="false">IF(D872="","",IF(H872&lt;=$B$16,1,IF(H872&gt;=$B$17,$B$21,MATCH(H872,Aux_CAV!$A$2:$A$121,1))))</f>
        <v>5</v>
      </c>
      <c r="AB872" s="18" t="n">
        <f aca="false">IF(D872="","",IF(L872&lt;=$B$16,1,IF(L872&gt;=$B$17,$B$21,MATCH(L872,Aux_CAV!$A$2:$A$121,1))))</f>
        <v>5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0.0154556173281688</v>
      </c>
      <c r="E873" s="16" t="n">
        <f aca="false">IF(D873="","",D873*$B$15)</f>
        <v>0.0400609601146135</v>
      </c>
      <c r="F873" s="16" t="n">
        <f aca="false" t="array" ref="F873:F873">IF(D873="","",IFERROR(INDEX(Dados_Evap!$C$2:$N$15,MATCH($B$9,Dados_Evap!$A$2:$A$15,0),C873),0))</f>
        <v>235.9</v>
      </c>
      <c r="G873" s="16" t="n">
        <f aca="false">IF(F873="","",F873/1000)</f>
        <v>0.2359</v>
      </c>
      <c r="H873" s="16" t="n">
        <f aca="false">IF(D873="","",MAX(0,MIN($B$8,IFERROR(LOOKUP(2,1/($U$24:U872&lt;&gt;""),$U$24:U872),$B$11))))</f>
        <v>7.19359158343746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0.836380251662748</v>
      </c>
      <c r="J873" s="16" t="n">
        <f aca="false">IF(D873="","",$B$12)</f>
        <v>0.25</v>
      </c>
      <c r="K873" s="16" t="n">
        <f aca="false">IF(J873="","",J873*$B$15)</f>
        <v>0.648</v>
      </c>
      <c r="L873" s="16" t="n">
        <f aca="false">IF(D873="","",H873+E873-K873-G873*I873)</f>
        <v>6.38835044218483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0.801820442460782</v>
      </c>
      <c r="N873" s="16" t="n">
        <f aca="false">IF(D873="","",(I873+M873)/2)</f>
        <v>0.819100347061765</v>
      </c>
      <c r="O873" s="16" t="n">
        <f aca="false">IF(D873="","",G873*N873)</f>
        <v>0.19322577187187</v>
      </c>
      <c r="P873" s="16" t="n">
        <f aca="false">IF(D873="","",H873+E873-K873-O873)</f>
        <v>6.3924267716802</v>
      </c>
      <c r="Q873" s="16" t="n">
        <f aca="false">IF(D873="","",IF(P873&gt;=0,K873,MAX(0,K873+P873)))</f>
        <v>0.648</v>
      </c>
      <c r="R873" s="16" t="n">
        <f aca="false">IF(D873="","",Q873/$B$15)</f>
        <v>0.25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6.3924267716802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30.0113932942733</v>
      </c>
      <c r="Z873" s="18" t="n">
        <f aca="false">IF(D873="","",MAX(0,IF(P873&gt;=0,P873,IF(K873+P873&gt;=0,0,P873+K873))))</f>
        <v>6.3924267716802</v>
      </c>
      <c r="AA873" s="18" t="n">
        <f aca="false">IF(D873="","",IF(H873&lt;=$B$16,1,IF(H873&gt;=$B$17,$B$21,MATCH(H873,Aux_CAV!$A$2:$A$121,1))))</f>
        <v>5</v>
      </c>
      <c r="AB873" s="18" t="n">
        <f aca="false">IF(D873="","",IF(L873&lt;=$B$16,1,IF(L873&gt;=$B$17,$B$21,MATCH(L873,Aux_CAV!$A$2:$A$121,1))))</f>
        <v>4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0.00849559088586699</v>
      </c>
      <c r="E874" s="16" t="n">
        <f aca="false">IF(D874="","",D874*$B$15)</f>
        <v>0.0220205715761672</v>
      </c>
      <c r="F874" s="16" t="n">
        <f aca="false" t="array" ref="F874:F874">IF(D874="","",IFERROR(INDEX(Dados_Evap!$C$2:$N$15,MATCH($B$9,Dados_Evap!$A$2:$A$15,0),C874),0))</f>
        <v>225.9</v>
      </c>
      <c r="G874" s="16" t="n">
        <f aca="false">IF(F874="","",F874/1000)</f>
        <v>0.2259</v>
      </c>
      <c r="H874" s="16" t="n">
        <f aca="false">IF(D874="","",MAX(0,MIN($B$8,IFERROR(LOOKUP(2,1/($U$24:U873&lt;&gt;""),$U$24:U873),$B$11))))</f>
        <v>6.3924267716802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0.802058228348012</v>
      </c>
      <c r="J874" s="16" t="n">
        <f aca="false">IF(D874="","",$B$12)</f>
        <v>0.25</v>
      </c>
      <c r="K874" s="16" t="n">
        <f aca="false">IF(J874="","",J874*$B$15)</f>
        <v>0.648</v>
      </c>
      <c r="L874" s="16" t="n">
        <f aca="false">IF(D874="","",H874+E874-K874-G874*I874)</f>
        <v>5.58526238947256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0.754973639385899</v>
      </c>
      <c r="N874" s="16" t="n">
        <f aca="false">IF(D874="","",(I874+M874)/2)</f>
        <v>0.778515933866955</v>
      </c>
      <c r="O874" s="16" t="n">
        <f aca="false">IF(D874="","",G874*N874)</f>
        <v>0.175866749460545</v>
      </c>
      <c r="P874" s="16" t="n">
        <f aca="false">IF(D874="","",H874+E874-K874-O874)</f>
        <v>5.59058059379583</v>
      </c>
      <c r="Q874" s="16" t="n">
        <f aca="false">IF(D874="","",IF(P874&gt;=0,K874,MAX(0,K874+P874)))</f>
        <v>0.648</v>
      </c>
      <c r="R874" s="16" t="n">
        <f aca="false">IF(D874="","",Q874/$B$15)</f>
        <v>0.25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5.59058059379583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26.2468572478677</v>
      </c>
      <c r="Z874" s="18" t="n">
        <f aca="false">IF(D874="","",MAX(0,IF(P874&gt;=0,P874,IF(K874+P874&gt;=0,0,P874+K874))))</f>
        <v>5.59058059379583</v>
      </c>
      <c r="AA874" s="18" t="n">
        <f aca="false">IF(D874="","",IF(H874&lt;=$B$16,1,IF(H874&gt;=$B$17,$B$21,MATCH(H874,Aux_CAV!$A$2:$A$121,1))))</f>
        <v>4</v>
      </c>
      <c r="AB874" s="18" t="n">
        <f aca="false">IF(D874="","",IF(L874&lt;=$B$16,1,IF(L874&gt;=$B$17,$B$21,MATCH(L874,Aux_CAV!$A$2:$A$121,1))))</f>
        <v>4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0.00833042747203986</v>
      </c>
      <c r="E875" s="16" t="n">
        <f aca="false">IF(D875="","",D875*$B$15)</f>
        <v>0.0215924680075273</v>
      </c>
      <c r="F875" s="16" t="n">
        <f aca="false" t="array" ref="F875:F875">IF(D875="","",IFERROR(INDEX(Dados_Evap!$C$2:$N$15,MATCH($B$9,Dados_Evap!$A$2:$A$15,0),C875),0))</f>
        <v>206</v>
      </c>
      <c r="G875" s="16" t="n">
        <f aca="false">IF(F875="","",F875/1000)</f>
        <v>0.206</v>
      </c>
      <c r="H875" s="16" t="n">
        <f aca="false">IF(D875="","",MAX(0,MIN($B$8,IFERROR(LOOKUP(2,1/($U$24:U874&lt;&gt;""),$U$24:U874),$B$11))))</f>
        <v>5.59058059379583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0.755283867971423</v>
      </c>
      <c r="J875" s="16" t="n">
        <f aca="false">IF(D875="","",$B$12)</f>
        <v>0.25</v>
      </c>
      <c r="K875" s="16" t="n">
        <f aca="false">IF(J875="","",J875*$B$15)</f>
        <v>0.648</v>
      </c>
      <c r="L875" s="16" t="n">
        <f aca="false">IF(D875="","",H875+E875-K875-G875*I875)</f>
        <v>4.80858458500124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0.709667434125072</v>
      </c>
      <c r="N875" s="16" t="n">
        <f aca="false">IF(D875="","",(I875+M875)/2)</f>
        <v>0.732475651048248</v>
      </c>
      <c r="O875" s="16" t="n">
        <f aca="false">IF(D875="","",G875*N875)</f>
        <v>0.150889984115939</v>
      </c>
      <c r="P875" s="16" t="n">
        <f aca="false">IF(D875="","",H875+E875-K875-O875)</f>
        <v>4.81328307768741</v>
      </c>
      <c r="Q875" s="16" t="n">
        <f aca="false">IF(D875="","",IF(P875&gt;=0,K875,MAX(0,K875+P875)))</f>
        <v>0.648</v>
      </c>
      <c r="R875" s="16" t="n">
        <f aca="false">IF(D875="","",Q875/$B$15)</f>
        <v>0.25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4.81328307768741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22.5975731346827</v>
      </c>
      <c r="Z875" s="18" t="n">
        <f aca="false">IF(D875="","",MAX(0,IF(P875&gt;=0,P875,IF(K875+P875&gt;=0,0,P875+K875))))</f>
        <v>4.81328307768741</v>
      </c>
      <c r="AA875" s="18" t="n">
        <f aca="false">IF(D875="","",IF(H875&lt;=$B$16,1,IF(H875&gt;=$B$17,$B$21,MATCH(H875,Aux_CAV!$A$2:$A$121,1))))</f>
        <v>4</v>
      </c>
      <c r="AB875" s="18" t="n">
        <f aca="false">IF(D875="","",IF(L875&lt;=$B$16,1,IF(L875&gt;=$B$17,$B$21,MATCH(L875,Aux_CAV!$A$2:$A$121,1))))</f>
        <v>4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0.0373736654198907</v>
      </c>
      <c r="E876" s="16" t="n">
        <f aca="false">IF(D876="","",D876*$B$15)</f>
        <v>0.0968725407683567</v>
      </c>
      <c r="F876" s="16" t="n">
        <f aca="false" t="array" ref="F876:F876">IF(D876="","",IFERROR(INDEX(Dados_Evap!$C$2:$N$15,MATCH($B$9,Dados_Evap!$A$2:$A$15,0),C876),0))</f>
        <v>165.6</v>
      </c>
      <c r="G876" s="16" t="n">
        <f aca="false">IF(F876="","",F876/1000)</f>
        <v>0.1656</v>
      </c>
      <c r="H876" s="16" t="n">
        <f aca="false">IF(D876="","",MAX(0,MIN($B$8,IFERROR(LOOKUP(2,1/($U$24:U875&lt;&gt;""),$U$24:U875),$B$11))))</f>
        <v>4.81328307768741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0.709941512865099</v>
      </c>
      <c r="J876" s="16" t="n">
        <f aca="false">IF(D876="","",$B$12)</f>
        <v>0.25</v>
      </c>
      <c r="K876" s="16" t="n">
        <f aca="false">IF(J876="","",J876*$B$15)</f>
        <v>0.648</v>
      </c>
      <c r="L876" s="16" t="n">
        <f aca="false">IF(D876="","",H876+E876-K876-G876*I876)</f>
        <v>4.14458930392531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0.67093437606231</v>
      </c>
      <c r="N876" s="16" t="n">
        <f aca="false">IF(D876="","",(I876+M876)/2)</f>
        <v>0.690437944463704</v>
      </c>
      <c r="O876" s="16" t="n">
        <f aca="false">IF(D876="","",G876*N876)</f>
        <v>0.114336523603189</v>
      </c>
      <c r="P876" s="16" t="n">
        <f aca="false">IF(D876="","",H876+E876-K876-O876)</f>
        <v>4.14781909485258</v>
      </c>
      <c r="Q876" s="16" t="n">
        <f aca="false">IF(D876="","",IF(P876&gt;=0,K876,MAX(0,K876+P876)))</f>
        <v>0.648</v>
      </c>
      <c r="R876" s="16" t="n">
        <f aca="false">IF(D876="","",Q876/$B$15)</f>
        <v>0.25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4.14781909485258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19.4733290838149</v>
      </c>
      <c r="Z876" s="18" t="n">
        <f aca="false">IF(D876="","",MAX(0,IF(P876&gt;=0,P876,IF(K876+P876&gt;=0,0,P876+K876))))</f>
        <v>4.14781909485258</v>
      </c>
      <c r="AA876" s="18" t="n">
        <f aca="false">IF(D876="","",IF(H876&lt;=$B$16,1,IF(H876&gt;=$B$17,$B$21,MATCH(H876,Aux_CAV!$A$2:$A$121,1))))</f>
        <v>4</v>
      </c>
      <c r="AB876" s="18" t="n">
        <f aca="false">IF(D876="","",IF(L876&lt;=$B$16,1,IF(L876&gt;=$B$17,$B$21,MATCH(L876,Aux_CAV!$A$2:$A$121,1))))</f>
        <v>4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0.0654273129413992</v>
      </c>
      <c r="E877" s="16" t="n">
        <f aca="false">IF(D877="","",D877*$B$15)</f>
        <v>0.169587595144107</v>
      </c>
      <c r="F877" s="16" t="n">
        <f aca="false" t="array" ref="F877:F877">IF(D877="","",IFERROR(INDEX(Dados_Evap!$C$2:$N$15,MATCH($B$9,Dados_Evap!$A$2:$A$15,0),C877),0))</f>
        <v>124.9</v>
      </c>
      <c r="G877" s="16" t="n">
        <f aca="false">IF(F877="","",F877/1000)</f>
        <v>0.1249</v>
      </c>
      <c r="H877" s="16" t="n">
        <f aca="false">IF(D877="","",MAX(0,MIN($B$8,IFERROR(LOOKUP(2,1/($U$24:U876&lt;&gt;""),$U$24:U876),$B$11))))</f>
        <v>4.14781909485258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0.671122780533067</v>
      </c>
      <c r="J877" s="16" t="n">
        <f aca="false">IF(D877="","",$B$12)</f>
        <v>0.25</v>
      </c>
      <c r="K877" s="16" t="n">
        <f aca="false">IF(J877="","",J877*$B$15)</f>
        <v>0.648</v>
      </c>
      <c r="L877" s="16" t="n">
        <f aca="false">IF(D877="","",H877+E877-K877-G877*I877)</f>
        <v>3.58558345470811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0.63832570152464</v>
      </c>
      <c r="N877" s="16" t="n">
        <f aca="false">IF(D877="","",(I877+M877)/2)</f>
        <v>0.654724241028853</v>
      </c>
      <c r="O877" s="16" t="n">
        <f aca="false">IF(D877="","",G877*N877)</f>
        <v>0.0817750577045038</v>
      </c>
      <c r="P877" s="16" t="n">
        <f aca="false">IF(D877="","",H877+E877-K877-O877)</f>
        <v>3.58763163229218</v>
      </c>
      <c r="Q877" s="16" t="n">
        <f aca="false">IF(D877="","",IF(P877&gt;=0,K877,MAX(0,K877+P877)))</f>
        <v>0.648</v>
      </c>
      <c r="R877" s="16" t="n">
        <f aca="false">IF(D877="","",Q877/$B$15)</f>
        <v>0.25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3.58763163229218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16.8433409966769</v>
      </c>
      <c r="Z877" s="18" t="n">
        <f aca="false">IF(D877="","",MAX(0,IF(P877&gt;=0,P877,IF(K877+P877&gt;=0,0,P877+K877))))</f>
        <v>3.58763163229218</v>
      </c>
      <c r="AA877" s="18" t="n">
        <f aca="false">IF(D877="","",IF(H877&lt;=$B$16,1,IF(H877&gt;=$B$17,$B$21,MATCH(H877,Aux_CAV!$A$2:$A$121,1))))</f>
        <v>4</v>
      </c>
      <c r="AB877" s="18" t="n">
        <f aca="false">IF(D877="","",IF(L877&lt;=$B$16,1,IF(L877&gt;=$B$17,$B$21,MATCH(L877,Aux_CAV!$A$2:$A$121,1))))</f>
        <v>4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1.14431587823378</v>
      </c>
      <c r="E878" s="16" t="n">
        <f aca="false">IF(D878="","",D878*$B$15)</f>
        <v>2.96606675638196</v>
      </c>
      <c r="F878" s="16" t="n">
        <f aca="false" t="array" ref="F878:F878">IF(D878="","",IFERROR(INDEX(Dados_Evap!$C$2:$N$15,MATCH($B$9,Dados_Evap!$A$2:$A$15,0),C878),0))</f>
        <v>88.2</v>
      </c>
      <c r="G878" s="16" t="n">
        <f aca="false">IF(F878="","",F878/1000)</f>
        <v>0.0882</v>
      </c>
      <c r="H878" s="16" t="n">
        <f aca="false">IF(D878="","",MAX(0,MIN($B$8,IFERROR(LOOKUP(2,1/($U$24:U877&lt;&gt;""),$U$24:U877),$B$11))))</f>
        <v>3.58763163229218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0.638445178550377</v>
      </c>
      <c r="J878" s="16" t="n">
        <f aca="false">IF(D878="","",$B$12)</f>
        <v>0.25</v>
      </c>
      <c r="K878" s="16" t="n">
        <f aca="false">IF(J878="","",J878*$B$15)</f>
        <v>0.648</v>
      </c>
      <c r="L878" s="16" t="n">
        <f aca="false">IF(D878="","",H878+E878-K878-G878*I878)</f>
        <v>5.849387523926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0.770380938895683</v>
      </c>
      <c r="N878" s="16" t="n">
        <f aca="false">IF(D878="","",(I878+M878)/2)</f>
        <v>0.70441305872303</v>
      </c>
      <c r="O878" s="16" t="n">
        <f aca="false">IF(D878="","",G878*N878)</f>
        <v>0.0621292317793713</v>
      </c>
      <c r="P878" s="16" t="n">
        <f aca="false">IF(D878="","",H878+E878-K878-O878)</f>
        <v>5.84356915689477</v>
      </c>
      <c r="Q878" s="16" t="n">
        <f aca="false">IF(D878="","",IF(P878&gt;=0,K878,MAX(0,K878+P878)))</f>
        <v>0.648</v>
      </c>
      <c r="R878" s="16" t="n">
        <f aca="false">IF(D878="","",Q878/$B$15)</f>
        <v>0.25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5.84356915689477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27.4345969807266</v>
      </c>
      <c r="Z878" s="18" t="n">
        <f aca="false">IF(D878="","",MAX(0,IF(P878&gt;=0,P878,IF(K878+P878&gt;=0,0,P878+K878))))</f>
        <v>5.84356915689477</v>
      </c>
      <c r="AA878" s="18" t="n">
        <f aca="false">IF(D878="","",IF(H878&lt;=$B$16,1,IF(H878&gt;=$B$17,$B$21,MATCH(H878,Aux_CAV!$A$2:$A$121,1))))</f>
        <v>4</v>
      </c>
      <c r="AB878" s="18" t="n">
        <f aca="false">IF(D878="","",IF(L878&lt;=$B$16,1,IF(L878&gt;=$B$17,$B$21,MATCH(L878,Aux_CAV!$A$2:$A$121,1))))</f>
        <v>4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0.48646155613153</v>
      </c>
      <c r="E879" s="16" t="n">
        <f aca="false">IF(D879="","",D879*$B$15)</f>
        <v>1.26090835349293</v>
      </c>
      <c r="F879" s="16" t="n">
        <f aca="false" t="array" ref="F879:F879">IF(D879="","",IFERROR(INDEX(Dados_Evap!$C$2:$N$15,MATCH($B$9,Dados_Evap!$A$2:$A$15,0),C879),0))</f>
        <v>88.2</v>
      </c>
      <c r="G879" s="16" t="n">
        <f aca="false">IF(F879="","",F879/1000)</f>
        <v>0.0882</v>
      </c>
      <c r="H879" s="16" t="n">
        <f aca="false">IF(D879="","",MAX(0,MIN($B$8,IFERROR(LOOKUP(2,1/($U$24:U878&lt;&gt;""),$U$24:U878),$B$11))))</f>
        <v>5.84356915689477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0.770041534152195</v>
      </c>
      <c r="J879" s="16" t="n">
        <f aca="false">IF(D879="","",$B$12)</f>
        <v>0.25</v>
      </c>
      <c r="K879" s="16" t="n">
        <f aca="false">IF(J879="","",J879*$B$15)</f>
        <v>0.648</v>
      </c>
      <c r="L879" s="16" t="n">
        <f aca="false">IF(D879="","",H879+E879-K879-G879*I879)</f>
        <v>6.38855984707547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0.801832657746069</v>
      </c>
      <c r="N879" s="16" t="n">
        <f aca="false">IF(D879="","",(I879+M879)/2)</f>
        <v>0.785937095949132</v>
      </c>
      <c r="O879" s="16" t="n">
        <f aca="false">IF(D879="","",G879*N879)</f>
        <v>0.0693196518627135</v>
      </c>
      <c r="P879" s="16" t="n">
        <f aca="false">IF(D879="","",H879+E879-K879-O879)</f>
        <v>6.38715785852499</v>
      </c>
      <c r="Q879" s="16" t="n">
        <f aca="false">IF(D879="","",IF(P879&gt;=0,K879,MAX(0,K879+P879)))</f>
        <v>0.648</v>
      </c>
      <c r="R879" s="16" t="n">
        <f aca="false">IF(D879="","",Q879/$B$15)</f>
        <v>0.25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6.38715785852499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29.9866566127934</v>
      </c>
      <c r="Z879" s="18" t="n">
        <f aca="false">IF(D879="","",MAX(0,IF(P879&gt;=0,P879,IF(K879+P879&gt;=0,0,P879+K879))))</f>
        <v>6.38715785852499</v>
      </c>
      <c r="AA879" s="18" t="n">
        <f aca="false">IF(D879="","",IF(H879&lt;=$B$16,1,IF(H879&gt;=$B$17,$B$21,MATCH(H879,Aux_CAV!$A$2:$A$121,1))))</f>
        <v>4</v>
      </c>
      <c r="AB879" s="18" t="n">
        <f aca="false">IF(D879="","",IF(L879&lt;=$B$16,1,IF(L879&gt;=$B$17,$B$21,MATCH(L879,Aux_CAV!$A$2:$A$121,1))))</f>
        <v>4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0.26114131318683</v>
      </c>
      <c r="E880" s="16" t="n">
        <f aca="false">IF(D880="","",D880*$B$15)</f>
        <v>0.676878283780263</v>
      </c>
      <c r="F880" s="16" t="n">
        <f aca="false" t="array" ref="F880:F880">IF(D880="","",IFERROR(INDEX(Dados_Evap!$C$2:$N$15,MATCH($B$9,Dados_Evap!$A$2:$A$15,0),C880),0))</f>
        <v>83.9</v>
      </c>
      <c r="G880" s="16" t="n">
        <f aca="false">IF(F880="","",F880/1000)</f>
        <v>0.0839</v>
      </c>
      <c r="H880" s="16" t="n">
        <f aca="false">IF(D880="","",MAX(0,MIN($B$8,IFERROR(LOOKUP(2,1/($U$24:U879&lt;&gt;""),$U$24:U879),$B$11))))</f>
        <v>6.38715785852499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0.801750875080624</v>
      </c>
      <c r="J880" s="16" t="n">
        <f aca="false">IF(D880="","",$B$12)</f>
        <v>0.25</v>
      </c>
      <c r="K880" s="16" t="n">
        <f aca="false">IF(J880="","",J880*$B$15)</f>
        <v>0.648</v>
      </c>
      <c r="L880" s="16" t="n">
        <f aca="false">IF(D880="","",H880+E880-K880-G880*I880)</f>
        <v>6.34876924388598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0.799511539226682</v>
      </c>
      <c r="N880" s="16" t="n">
        <f aca="false">IF(D880="","",(I880+M880)/2)</f>
        <v>0.800631207153653</v>
      </c>
      <c r="O880" s="16" t="n">
        <f aca="false">IF(D880="","",G880*N880)</f>
        <v>0.0671729582801915</v>
      </c>
      <c r="P880" s="16" t="n">
        <f aca="false">IF(D880="","",H880+E880-K880-O880)</f>
        <v>6.34886318402506</v>
      </c>
      <c r="Q880" s="16" t="n">
        <f aca="false">IF(D880="","",IF(P880&gt;=0,K880,MAX(0,K880+P880)))</f>
        <v>0.648</v>
      </c>
      <c r="R880" s="16" t="n">
        <f aca="false">IF(D880="","",Q880/$B$15)</f>
        <v>0.25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6.34886318402506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29.8068694085683</v>
      </c>
      <c r="Z880" s="18" t="n">
        <f aca="false">IF(D880="","",MAX(0,IF(P880&gt;=0,P880,IF(K880+P880&gt;=0,0,P880+K880))))</f>
        <v>6.34886318402506</v>
      </c>
      <c r="AA880" s="18" t="n">
        <f aca="false">IF(D880="","",IF(H880&lt;=$B$16,1,IF(H880&gt;=$B$17,$B$21,MATCH(H880,Aux_CAV!$A$2:$A$121,1))))</f>
        <v>4</v>
      </c>
      <c r="AB880" s="18" t="n">
        <f aca="false">IF(D880="","",IF(L880&lt;=$B$16,1,IF(L880&gt;=$B$17,$B$21,MATCH(L880,Aux_CAV!$A$2:$A$121,1))))</f>
        <v>4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0.0791903719640927</v>
      </c>
      <c r="E881" s="16" t="n">
        <f aca="false">IF(D881="","",D881*$B$15)</f>
        <v>0.205261444130928</v>
      </c>
      <c r="F881" s="16" t="n">
        <f aca="false" t="array" ref="F881:F881">IF(D881="","",IFERROR(INDEX(Dados_Evap!$C$2:$N$15,MATCH($B$9,Dados_Evap!$A$2:$A$15,0),C881),0))</f>
        <v>104.7</v>
      </c>
      <c r="G881" s="16" t="n">
        <f aca="false">IF(F881="","",F881/1000)</f>
        <v>0.1047</v>
      </c>
      <c r="H881" s="16" t="n">
        <f aca="false">IF(D881="","",MAX(0,MIN($B$8,IFERROR(LOOKUP(2,1/($U$24:U880&lt;&gt;""),$U$24:U880),$B$11))))</f>
        <v>6.34886318402506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0.799517019068128</v>
      </c>
      <c r="J881" s="16" t="n">
        <f aca="false">IF(D881="","",$B$12)</f>
        <v>0.25</v>
      </c>
      <c r="K881" s="16" t="n">
        <f aca="false">IF(J881="","",J881*$B$15)</f>
        <v>0.648</v>
      </c>
      <c r="L881" s="16" t="n">
        <f aca="false">IF(D881="","",H881+E881-K881-G881*I881)</f>
        <v>5.82241519625955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0.768807553115141</v>
      </c>
      <c r="N881" s="16" t="n">
        <f aca="false">IF(D881="","",(I881+M881)/2)</f>
        <v>0.784162286091634</v>
      </c>
      <c r="O881" s="16" t="n">
        <f aca="false">IF(D881="","",G881*N881)</f>
        <v>0.0821017913537941</v>
      </c>
      <c r="P881" s="16" t="n">
        <f aca="false">IF(D881="","",H881+E881-K881-O881)</f>
        <v>5.82402283680219</v>
      </c>
      <c r="Q881" s="16" t="n">
        <f aca="false">IF(D881="","",IF(P881&gt;=0,K881,MAX(0,K881+P881)))</f>
        <v>0.648</v>
      </c>
      <c r="R881" s="16" t="n">
        <f aca="false">IF(D881="","",Q881/$B$15)</f>
        <v>0.25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5.82402283680219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27.3428302197286</v>
      </c>
      <c r="Z881" s="18" t="n">
        <f aca="false">IF(D881="","",MAX(0,IF(P881&gt;=0,P881,IF(K881+P881&gt;=0,0,P881+K881))))</f>
        <v>5.82402283680219</v>
      </c>
      <c r="AA881" s="18" t="n">
        <f aca="false">IF(D881="","",IF(H881&lt;=$B$16,1,IF(H881&gt;=$B$17,$B$21,MATCH(H881,Aux_CAV!$A$2:$A$121,1))))</f>
        <v>4</v>
      </c>
      <c r="AB881" s="18" t="n">
        <f aca="false">IF(D881="","",IF(L881&lt;=$B$16,1,IF(L881&gt;=$B$17,$B$21,MATCH(L881,Aux_CAV!$A$2:$A$121,1))))</f>
        <v>4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0.050510071224067</v>
      </c>
      <c r="E882" s="16" t="n">
        <f aca="false">IF(D882="","",D882*$B$15)</f>
        <v>0.130922104612782</v>
      </c>
      <c r="F882" s="16" t="n">
        <f aca="false" t="array" ref="F882:F882">IF(D882="","",IFERROR(INDEX(Dados_Evap!$C$2:$N$15,MATCH($B$9,Dados_Evap!$A$2:$A$15,0),C882),0))</f>
        <v>145.2</v>
      </c>
      <c r="G882" s="16" t="n">
        <f aca="false">IF(F882="","",F882/1000)</f>
        <v>0.1452</v>
      </c>
      <c r="H882" s="16" t="n">
        <f aca="false">IF(D882="","",MAX(0,MIN($B$8,IFERROR(LOOKUP(2,1/($U$24:U881&lt;&gt;""),$U$24:U881),$B$11))))</f>
        <v>5.82402283680219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0.768901332146795</v>
      </c>
      <c r="J882" s="16" t="n">
        <f aca="false">IF(D882="","",$B$12)</f>
        <v>0.25</v>
      </c>
      <c r="K882" s="16" t="n">
        <f aca="false">IF(J882="","",J882*$B$15)</f>
        <v>0.648</v>
      </c>
      <c r="L882" s="16" t="n">
        <f aca="false">IF(D882="","",H882+E882-K882-G882*I882)</f>
        <v>5.19530046798726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0.73222586063259</v>
      </c>
      <c r="N882" s="16" t="n">
        <f aca="false">IF(D882="","",(I882+M882)/2)</f>
        <v>0.750563596389692</v>
      </c>
      <c r="O882" s="16" t="n">
        <f aca="false">IF(D882="","",G882*N882)</f>
        <v>0.108981834195783</v>
      </c>
      <c r="P882" s="16" t="n">
        <f aca="false">IF(D882="","",H882+E882-K882-O882)</f>
        <v>5.19796310721919</v>
      </c>
      <c r="Q882" s="16" t="n">
        <f aca="false">IF(D882="","",IF(P882&gt;=0,K882,MAX(0,K882+P882)))</f>
        <v>0.648</v>
      </c>
      <c r="R882" s="16" t="n">
        <f aca="false">IF(D882="","",Q882/$B$15)</f>
        <v>0.25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5.19796310721919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24.4035826630009</v>
      </c>
      <c r="Z882" s="18" t="n">
        <f aca="false">IF(D882="","",MAX(0,IF(P882&gt;=0,P882,IF(K882+P882&gt;=0,0,P882+K882))))</f>
        <v>5.19796310721919</v>
      </c>
      <c r="AA882" s="18" t="n">
        <f aca="false">IF(D882="","",IF(H882&lt;=$B$16,1,IF(H882&gt;=$B$17,$B$21,MATCH(H882,Aux_CAV!$A$2:$A$121,1))))</f>
        <v>4</v>
      </c>
      <c r="AB882" s="18" t="n">
        <f aca="false">IF(D882="","",IF(L882&lt;=$B$16,1,IF(L882&gt;=$B$17,$B$21,MATCH(L882,Aux_CAV!$A$2:$A$121,1))))</f>
        <v>4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0.0375168222204117</v>
      </c>
      <c r="E883" s="16" t="n">
        <f aca="false">IF(D883="","",D883*$B$15)</f>
        <v>0.0972436031953071</v>
      </c>
      <c r="F883" s="16" t="n">
        <f aca="false" t="array" ref="F883:F883">IF(D883="","",IFERROR(INDEX(Dados_Evap!$C$2:$N$15,MATCH($B$9,Dados_Evap!$A$2:$A$15,0),C883),0))</f>
        <v>180.9</v>
      </c>
      <c r="G883" s="16" t="n">
        <f aca="false">IF(F883="","",F883/1000)</f>
        <v>0.1809</v>
      </c>
      <c r="H883" s="16" t="n">
        <f aca="false">IF(D883="","",MAX(0,MIN($B$8,IFERROR(LOOKUP(2,1/($U$24:U882&lt;&gt;""),$U$24:U882),$B$11))))</f>
        <v>5.19796310721919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0.732381181254453</v>
      </c>
      <c r="J883" s="16" t="n">
        <f aca="false">IF(D883="","",$B$12)</f>
        <v>0.25</v>
      </c>
      <c r="K883" s="16" t="n">
        <f aca="false">IF(J883="","",J883*$B$15)</f>
        <v>0.648</v>
      </c>
      <c r="L883" s="16" t="n">
        <f aca="false">IF(D883="","",H883+E883-K883-G883*I883)</f>
        <v>4.51471895472557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0.692525272358991</v>
      </c>
      <c r="N883" s="16" t="n">
        <f aca="false">IF(D883="","",(I883+M883)/2)</f>
        <v>0.712453226806722</v>
      </c>
      <c r="O883" s="16" t="n">
        <f aca="false">IF(D883="","",G883*N883)</f>
        <v>0.128882788729336</v>
      </c>
      <c r="P883" s="16" t="n">
        <f aca="false">IF(D883="","",H883+E883-K883-O883)</f>
        <v>4.51832392168516</v>
      </c>
      <c r="Q883" s="16" t="n">
        <f aca="false">IF(D883="","",IF(P883&gt;=0,K883,MAX(0,K883+P883)))</f>
        <v>0.648</v>
      </c>
      <c r="R883" s="16" t="n">
        <f aca="false">IF(D883="","",Q883/$B$15)</f>
        <v>0.25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4.51832392168516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21.2127883647191</v>
      </c>
      <c r="Z883" s="18" t="n">
        <f aca="false">IF(D883="","",MAX(0,IF(P883&gt;=0,P883,IF(K883+P883&gt;=0,0,P883+K883))))</f>
        <v>4.51832392168516</v>
      </c>
      <c r="AA883" s="18" t="n">
        <f aca="false">IF(D883="","",IF(H883&lt;=$B$16,1,IF(H883&gt;=$B$17,$B$21,MATCH(H883,Aux_CAV!$A$2:$A$121,1))))</f>
        <v>4</v>
      </c>
      <c r="AB883" s="18" t="n">
        <f aca="false">IF(D883="","",IF(L883&lt;=$B$16,1,IF(L883&gt;=$B$17,$B$21,MATCH(L883,Aux_CAV!$A$2:$A$121,1))))</f>
        <v>4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0.0218464210334865</v>
      </c>
      <c r="E884" s="16" t="n">
        <f aca="false">IF(D884="","",D884*$B$15)</f>
        <v>0.056625923318797</v>
      </c>
      <c r="F884" s="16" t="n">
        <f aca="false" t="array" ref="F884:F884">IF(D884="","",IFERROR(INDEX(Dados_Evap!$C$2:$N$15,MATCH($B$9,Dados_Evap!$A$2:$A$15,0),C884),0))</f>
        <v>208.9</v>
      </c>
      <c r="G884" s="16" t="n">
        <f aca="false">IF(F884="","",F884/1000)</f>
        <v>0.2089</v>
      </c>
      <c r="H884" s="16" t="n">
        <f aca="false">IF(D884="","",MAX(0,MIN($B$8,IFERROR(LOOKUP(2,1/($U$24:U883&lt;&gt;""),$U$24:U883),$B$11))))</f>
        <v>4.51832392168516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0.692735562098301</v>
      </c>
      <c r="J884" s="16" t="n">
        <f aca="false">IF(D884="","",$B$12)</f>
        <v>0.25</v>
      </c>
      <c r="K884" s="16" t="n">
        <f aca="false">IF(J884="","",J884*$B$15)</f>
        <v>0.648</v>
      </c>
      <c r="L884" s="16" t="n">
        <f aca="false">IF(D884="","",H884+E884-K884-G884*I884)</f>
        <v>3.78223738608162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0.649797180854761</v>
      </c>
      <c r="N884" s="16" t="n">
        <f aca="false">IF(D884="","",(I884+M884)/2)</f>
        <v>0.671266371476531</v>
      </c>
      <c r="O884" s="16" t="n">
        <f aca="false">IF(D884="","",G884*N884)</f>
        <v>0.140227545001447</v>
      </c>
      <c r="P884" s="16" t="n">
        <f aca="false">IF(D884="","",H884+E884-K884-O884)</f>
        <v>3.78672230000251</v>
      </c>
      <c r="Q884" s="16" t="n">
        <f aca="false">IF(D884="","",IF(P884&gt;=0,K884,MAX(0,K884+P884)))</f>
        <v>0.648</v>
      </c>
      <c r="R884" s="16" t="n">
        <f aca="false">IF(D884="","",Q884/$B$15)</f>
        <v>0.25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3.78672230000251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17.7780389671479</v>
      </c>
      <c r="Z884" s="18" t="n">
        <f aca="false">IF(D884="","",MAX(0,IF(P884&gt;=0,P884,IF(K884+P884&gt;=0,0,P884+K884))))</f>
        <v>3.78672230000251</v>
      </c>
      <c r="AA884" s="18" t="n">
        <f aca="false">IF(D884="","",IF(H884&lt;=$B$16,1,IF(H884&gt;=$B$17,$B$21,MATCH(H884,Aux_CAV!$A$2:$A$121,1))))</f>
        <v>4</v>
      </c>
      <c r="AB884" s="18" t="n">
        <f aca="false">IF(D884="","",IF(L884&lt;=$B$16,1,IF(L884&gt;=$B$17,$B$21,MATCH(L884,Aux_CAV!$A$2:$A$121,1))))</f>
        <v>4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0.0126064783584129</v>
      </c>
      <c r="E885" s="16" t="n">
        <f aca="false">IF(D885="","",D885*$B$15)</f>
        <v>0.0326759919050062</v>
      </c>
      <c r="F885" s="16" t="n">
        <f aca="false" t="array" ref="F885:F885">IF(D885="","",IFERROR(INDEX(Dados_Evap!$C$2:$N$15,MATCH($B$9,Dados_Evap!$A$2:$A$15,0),C885),0))</f>
        <v>235.9</v>
      </c>
      <c r="G885" s="16" t="n">
        <f aca="false">IF(F885="","",F885/1000)</f>
        <v>0.2359</v>
      </c>
      <c r="H885" s="16" t="n">
        <f aca="false">IF(D885="","",MAX(0,MIN($B$8,IFERROR(LOOKUP(2,1/($U$24:U884&lt;&gt;""),$U$24:U884),$B$11))))</f>
        <v>3.78672230000251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0.65005880083348</v>
      </c>
      <c r="J885" s="16" t="n">
        <f aca="false">IF(D885="","",$B$12)</f>
        <v>0.25</v>
      </c>
      <c r="K885" s="16" t="n">
        <f aca="false">IF(J885="","",J885*$B$15)</f>
        <v>0.648</v>
      </c>
      <c r="L885" s="16" t="n">
        <f aca="false">IF(D885="","",H885+E885-K885-G885*I885)</f>
        <v>3.0180494207909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0.598396378165083</v>
      </c>
      <c r="N885" s="16" t="n">
        <f aca="false">IF(D885="","",(I885+M885)/2)</f>
        <v>0.624227589499282</v>
      </c>
      <c r="O885" s="16" t="n">
        <f aca="false">IF(D885="","",G885*N885)</f>
        <v>0.147255288362881</v>
      </c>
      <c r="P885" s="16" t="n">
        <f aca="false">IF(D885="","",H885+E885-K885-O885)</f>
        <v>3.02414300354464</v>
      </c>
      <c r="Q885" s="16" t="n">
        <f aca="false">IF(D885="","",IF(P885&gt;=0,K885,MAX(0,K885+P885)))</f>
        <v>0.648</v>
      </c>
      <c r="R885" s="16" t="n">
        <f aca="false">IF(D885="","",Q885/$B$15)</f>
        <v>0.25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3.02414300354464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14.1978544767354</v>
      </c>
      <c r="Z885" s="18" t="n">
        <f aca="false">IF(D885="","",MAX(0,IF(P885&gt;=0,P885,IF(K885+P885&gt;=0,0,P885+K885))))</f>
        <v>3.02414300354464</v>
      </c>
      <c r="AA885" s="18" t="n">
        <f aca="false">IF(D885="","",IF(H885&lt;=$B$16,1,IF(H885&gt;=$B$17,$B$21,MATCH(H885,Aux_CAV!$A$2:$A$121,1))))</f>
        <v>4</v>
      </c>
      <c r="AB885" s="18" t="n">
        <f aca="false">IF(D885="","",IF(L885&lt;=$B$16,1,IF(L885&gt;=$B$17,$B$21,MATCH(L885,Aux_CAV!$A$2:$A$121,1))))</f>
        <v>3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0.00692631684849037</v>
      </c>
      <c r="E886" s="16" t="n">
        <f aca="false">IF(D886="","",D886*$B$15)</f>
        <v>0.017953013271287</v>
      </c>
      <c r="F886" s="16" t="n">
        <f aca="false" t="array" ref="F886:F886">IF(D886="","",IFERROR(INDEX(Dados_Evap!$C$2:$N$15,MATCH($B$9,Dados_Evap!$A$2:$A$15,0),C886),0))</f>
        <v>225.9</v>
      </c>
      <c r="G886" s="16" t="n">
        <f aca="false">IF(F886="","",F886/1000)</f>
        <v>0.2259</v>
      </c>
      <c r="H886" s="16" t="n">
        <f aca="false">IF(D886="","",MAX(0,MIN($B$8,IFERROR(LOOKUP(2,1/($U$24:U885&lt;&gt;""),$U$24:U885),$B$11))))</f>
        <v>3.02414300354464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0.599259186342603</v>
      </c>
      <c r="J886" s="16" t="n">
        <f aca="false">IF(D886="","",$B$12)</f>
        <v>0.25</v>
      </c>
      <c r="K886" s="16" t="n">
        <f aca="false">IF(J886="","",J886*$B$15)</f>
        <v>0.648</v>
      </c>
      <c r="L886" s="16" t="n">
        <f aca="false">IF(D886="","",H886+E886-K886-G886*I886)</f>
        <v>2.25872336662113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0.490881184654319</v>
      </c>
      <c r="N886" s="16" t="n">
        <f aca="false">IF(D886="","",(I886+M886)/2)</f>
        <v>0.545070185498461</v>
      </c>
      <c r="O886" s="16" t="n">
        <f aca="false">IF(D886="","",G886*N886)</f>
        <v>0.123131354904102</v>
      </c>
      <c r="P886" s="16" t="n">
        <f aca="false">IF(D886="","",H886+E886-K886-O886)</f>
        <v>2.27096466191182</v>
      </c>
      <c r="Q886" s="16" t="n">
        <f aca="false">IF(D886="","",IF(P886&gt;=0,K886,MAX(0,K886+P886)))</f>
        <v>0.648</v>
      </c>
      <c r="R886" s="16" t="n">
        <f aca="false">IF(D886="","",Q886/$B$15)</f>
        <v>0.25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2.27096466191182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10.6618059244686</v>
      </c>
      <c r="Z886" s="18" t="n">
        <f aca="false">IF(D886="","",MAX(0,IF(P886&gt;=0,P886,IF(K886+P886&gt;=0,0,P886+K886))))</f>
        <v>2.27096466191182</v>
      </c>
      <c r="AA886" s="18" t="n">
        <f aca="false">IF(D886="","",IF(H886&lt;=$B$16,1,IF(H886&gt;=$B$17,$B$21,MATCH(H886,Aux_CAV!$A$2:$A$121,1))))</f>
        <v>3</v>
      </c>
      <c r="AB886" s="18" t="n">
        <f aca="false">IF(D886="","",IF(L886&lt;=$B$16,1,IF(L886&gt;=$B$17,$B$21,MATCH(L886,Aux_CAV!$A$2:$A$121,1))))</f>
        <v>3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0.0372677481410257</v>
      </c>
      <c r="E887" s="16" t="n">
        <f aca="false">IF(D887="","",D887*$B$15)</f>
        <v>0.0965980031815386</v>
      </c>
      <c r="F887" s="16" t="n">
        <f aca="false" t="array" ref="F887:F887">IF(D887="","",IFERROR(INDEX(Dados_Evap!$C$2:$N$15,MATCH($B$9,Dados_Evap!$A$2:$A$15,0),C887),0))</f>
        <v>206</v>
      </c>
      <c r="G887" s="16" t="n">
        <f aca="false">IF(F887="","",F887/1000)</f>
        <v>0.206</v>
      </c>
      <c r="H887" s="16" t="n">
        <f aca="false">IF(D887="","",MAX(0,MIN($B$8,IFERROR(LOOKUP(2,1/($U$24:U886&lt;&gt;""),$U$24:U886),$B$11))))</f>
        <v>2.27096466191182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0.492614465403444</v>
      </c>
      <c r="J887" s="16" t="n">
        <f aca="false">IF(D887="","",$B$12)</f>
        <v>0.25</v>
      </c>
      <c r="K887" s="16" t="n">
        <f aca="false">IF(J887="","",J887*$B$15)</f>
        <v>0.648</v>
      </c>
      <c r="L887" s="16" t="n">
        <f aca="false">IF(D887="","",H887+E887-K887-G887*I887)</f>
        <v>1.61808408522025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0.400171197907292</v>
      </c>
      <c r="N887" s="16" t="n">
        <f aca="false">IF(D887="","",(I887+M887)/2)</f>
        <v>0.446392831655368</v>
      </c>
      <c r="O887" s="16" t="n">
        <f aca="false">IF(D887="","",G887*N887)</f>
        <v>0.0919569233210058</v>
      </c>
      <c r="P887" s="16" t="n">
        <f aca="false">IF(D887="","",H887+E887-K887-O887)</f>
        <v>1.62760574177235</v>
      </c>
      <c r="Q887" s="16" t="n">
        <f aca="false">IF(D887="","",IF(P887&gt;=0,K887,MAX(0,K887+P887)))</f>
        <v>0.648</v>
      </c>
      <c r="R887" s="16" t="n">
        <f aca="false">IF(D887="","",Q887/$B$15)</f>
        <v>0.25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1.62760574177235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7.64134151066833</v>
      </c>
      <c r="Z887" s="18" t="n">
        <f aca="false">IF(D887="","",MAX(0,IF(P887&gt;=0,P887,IF(K887+P887&gt;=0,0,P887+K887))))</f>
        <v>1.62760574177235</v>
      </c>
      <c r="AA887" s="18" t="n">
        <f aca="false">IF(D887="","",IF(H887&lt;=$B$16,1,IF(H887&gt;=$B$17,$B$21,MATCH(H887,Aux_CAV!$A$2:$A$121,1))))</f>
        <v>3</v>
      </c>
      <c r="AB887" s="18" t="n">
        <f aca="false">IF(D887="","",IF(L887&lt;=$B$16,1,IF(L887&gt;=$B$17,$B$21,MATCH(L887,Aux_CAV!$A$2:$A$121,1))))</f>
        <v>3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0.0784635897647599</v>
      </c>
      <c r="E888" s="16" t="n">
        <f aca="false">IF(D888="","",D888*$B$15)</f>
        <v>0.203377624670258</v>
      </c>
      <c r="F888" s="16" t="n">
        <f aca="false" t="array" ref="F888:F888">IF(D888="","",IFERROR(INDEX(Dados_Evap!$C$2:$N$15,MATCH($B$9,Dados_Evap!$A$2:$A$15,0),C888),0))</f>
        <v>165.6</v>
      </c>
      <c r="G888" s="16" t="n">
        <f aca="false">IF(F888="","",F888/1000)</f>
        <v>0.1656</v>
      </c>
      <c r="H888" s="16" t="n">
        <f aca="false">IF(D888="","",MAX(0,MIN($B$8,IFERROR(LOOKUP(2,1/($U$24:U887&lt;&gt;""),$U$24:U887),$B$11))))</f>
        <v>1.62760574177235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0.401519397065112</v>
      </c>
      <c r="J888" s="16" t="n">
        <f aca="false">IF(D888="","",$B$12)</f>
        <v>0.25</v>
      </c>
      <c r="K888" s="16" t="n">
        <f aca="false">IF(J888="","",J888*$B$15)</f>
        <v>0.648</v>
      </c>
      <c r="L888" s="16" t="n">
        <f aca="false">IF(D888="","",H888+E888-K888-G888*I888)</f>
        <v>1.11649175428863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0.329149274943523</v>
      </c>
      <c r="N888" s="16" t="n">
        <f aca="false">IF(D888="","",(I888+M888)/2)</f>
        <v>0.365334336004317</v>
      </c>
      <c r="O888" s="16" t="n">
        <f aca="false">IF(D888="","",G888*N888)</f>
        <v>0.060499366042315</v>
      </c>
      <c r="P888" s="16" t="n">
        <f aca="false">IF(D888="","",H888+E888-K888-O888)</f>
        <v>1.1224840004003</v>
      </c>
      <c r="Q888" s="16" t="n">
        <f aca="false">IF(D888="","",IF(P888&gt;=0,K888,MAX(0,K888+P888)))</f>
        <v>0.648</v>
      </c>
      <c r="R888" s="16" t="n">
        <f aca="false">IF(D888="","",Q888/$B$15)</f>
        <v>0.25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1.1224840004003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5.26987793615163</v>
      </c>
      <c r="Z888" s="18" t="n">
        <f aca="false">IF(D888="","",MAX(0,IF(P888&gt;=0,P888,IF(K888+P888&gt;=0,0,P888+K888))))</f>
        <v>1.1224840004003</v>
      </c>
      <c r="AA888" s="18" t="n">
        <f aca="false">IF(D888="","",IF(H888&lt;=$B$16,1,IF(H888&gt;=$B$17,$B$21,MATCH(H888,Aux_CAV!$A$2:$A$121,1))))</f>
        <v>3</v>
      </c>
      <c r="AB888" s="18" t="n">
        <f aca="false">IF(D888="","",IF(L888&lt;=$B$16,1,IF(L888&gt;=$B$17,$B$21,MATCH(L888,Aux_CAV!$A$2:$A$121,1))))</f>
        <v>3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0.240438567324159</v>
      </c>
      <c r="E889" s="16" t="n">
        <f aca="false">IF(D889="","",D889*$B$15)</f>
        <v>0.62321676650422</v>
      </c>
      <c r="F889" s="16" t="n">
        <f aca="false" t="array" ref="F889:F889">IF(D889="","",IFERROR(INDEX(Dados_Evap!$C$2:$N$15,MATCH($B$9,Dados_Evap!$A$2:$A$15,0),C889),0))</f>
        <v>124.9</v>
      </c>
      <c r="G889" s="16" t="n">
        <f aca="false">IF(F889="","",F889/1000)</f>
        <v>0.1249</v>
      </c>
      <c r="H889" s="16" t="n">
        <f aca="false">IF(D889="","",MAX(0,MIN($B$8,IFERROR(LOOKUP(2,1/($U$24:U888&lt;&gt;""),$U$24:U888),$B$11))))</f>
        <v>1.1224840004003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0.329997734569953</v>
      </c>
      <c r="J889" s="16" t="n">
        <f aca="false">IF(D889="","",$B$12)</f>
        <v>0.25</v>
      </c>
      <c r="K889" s="16" t="n">
        <f aca="false">IF(J889="","",J889*$B$15)</f>
        <v>0.648</v>
      </c>
      <c r="L889" s="16" t="n">
        <f aca="false">IF(D889="","",H889+E889-K889-G889*I889)</f>
        <v>1.05648404985673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0.320652608829271</v>
      </c>
      <c r="N889" s="16" t="n">
        <f aca="false">IF(D889="","",(I889+M889)/2)</f>
        <v>0.325325171699612</v>
      </c>
      <c r="O889" s="16" t="n">
        <f aca="false">IF(D889="","",G889*N889)</f>
        <v>0.0406331139452816</v>
      </c>
      <c r="P889" s="16" t="n">
        <f aca="false">IF(D889="","",H889+E889-K889-O889)</f>
        <v>1.05706765295923</v>
      </c>
      <c r="Q889" s="16" t="n">
        <f aca="false">IF(D889="","",IF(P889&gt;=0,K889,MAX(0,K889+P889)))</f>
        <v>0.648</v>
      </c>
      <c r="R889" s="16" t="n">
        <f aca="false">IF(D889="","",Q889/$B$15)</f>
        <v>0.25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1.05706765295923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4.96275893408092</v>
      </c>
      <c r="Z889" s="18" t="n">
        <f aca="false">IF(D889="","",MAX(0,IF(P889&gt;=0,P889,IF(K889+P889&gt;=0,0,P889+K889))))</f>
        <v>1.05706765295923</v>
      </c>
      <c r="AA889" s="18" t="n">
        <f aca="false">IF(D889="","",IF(H889&lt;=$B$16,1,IF(H889&gt;=$B$17,$B$21,MATCH(H889,Aux_CAV!$A$2:$A$121,1))))</f>
        <v>3</v>
      </c>
      <c r="AB889" s="18" t="n">
        <f aca="false">IF(D889="","",IF(L889&lt;=$B$16,1,IF(L889&gt;=$B$17,$B$21,MATCH(L889,Aux_CAV!$A$2:$A$121,1))))</f>
        <v>3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0.900096912223437</v>
      </c>
      <c r="E890" s="16" t="n">
        <f aca="false">IF(D890="","",D890*$B$15)</f>
        <v>2.33305119648315</v>
      </c>
      <c r="F890" s="16" t="n">
        <f aca="false" t="array" ref="F890:F890">IF(D890="","",IFERROR(INDEX(Dados_Evap!$C$2:$N$15,MATCH($B$9,Dados_Evap!$A$2:$A$15,0),C890),0))</f>
        <v>88.2</v>
      </c>
      <c r="G890" s="16" t="n">
        <f aca="false">IF(F890="","",F890/1000)</f>
        <v>0.0882</v>
      </c>
      <c r="H890" s="16" t="n">
        <f aca="false">IF(D890="","",MAX(0,MIN($B$8,IFERROR(LOOKUP(2,1/($U$24:U889&lt;&gt;""),$U$24:U889),$B$11))))</f>
        <v>1.05706765295923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0.320735242896883</v>
      </c>
      <c r="J890" s="16" t="n">
        <f aca="false">IF(D890="","",$B$12)</f>
        <v>0.25</v>
      </c>
      <c r="K890" s="16" t="n">
        <f aca="false">IF(J890="","",J890*$B$15)</f>
        <v>0.648</v>
      </c>
      <c r="L890" s="16" t="n">
        <f aca="false">IF(D890="","",H890+E890-K890-G890*I890)</f>
        <v>2.71383000101888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0.555321062091169</v>
      </c>
      <c r="N890" s="16" t="n">
        <f aca="false">IF(D890="","",(I890+M890)/2)</f>
        <v>0.438028152494026</v>
      </c>
      <c r="O890" s="16" t="n">
        <f aca="false">IF(D890="","",G890*N890)</f>
        <v>0.0386340830499731</v>
      </c>
      <c r="P890" s="16" t="n">
        <f aca="false">IF(D890="","",H890+E890-K890-O890)</f>
        <v>2.70348476639241</v>
      </c>
      <c r="Q890" s="16" t="n">
        <f aca="false">IF(D890="","",IF(P890&gt;=0,K890,MAX(0,K890+P890)))</f>
        <v>0.648</v>
      </c>
      <c r="R890" s="16" t="n">
        <f aca="false">IF(D890="","",Q890/$B$15)</f>
        <v>0.25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2.70348476639241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12.6924167436263</v>
      </c>
      <c r="Z890" s="18" t="n">
        <f aca="false">IF(D890="","",MAX(0,IF(P890&gt;=0,P890,IF(K890+P890&gt;=0,0,P890+K890))))</f>
        <v>2.70348476639241</v>
      </c>
      <c r="AA890" s="18" t="n">
        <f aca="false">IF(D890="","",IF(H890&lt;=$B$16,1,IF(H890&gt;=$B$17,$B$21,MATCH(H890,Aux_CAV!$A$2:$A$121,1))))</f>
        <v>3</v>
      </c>
      <c r="AB890" s="18" t="n">
        <f aca="false">IF(D890="","",IF(L890&lt;=$B$16,1,IF(L890&gt;=$B$17,$B$21,MATCH(L890,Aux_CAV!$A$2:$A$121,1))))</f>
        <v>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0.891018922553543</v>
      </c>
      <c r="E891" s="16" t="n">
        <f aca="false">IF(D891="","",D891*$B$15)</f>
        <v>2.30952104725878</v>
      </c>
      <c r="F891" s="16" t="n">
        <f aca="false" t="array" ref="F891:F891">IF(D891="","",IFERROR(INDEX(Dados_Evap!$C$2:$N$15,MATCH($B$9,Dados_Evap!$A$2:$A$15,0),C891),0))</f>
        <v>88.2</v>
      </c>
      <c r="G891" s="16" t="n">
        <f aca="false">IF(F891="","",F891/1000)</f>
        <v>0.0882</v>
      </c>
      <c r="H891" s="16" t="n">
        <f aca="false">IF(D891="","",MAX(0,MIN($B$8,IFERROR(LOOKUP(2,1/($U$24:U890&lt;&gt;""),$U$24:U890),$B$11))))</f>
        <v>2.70348476639241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0.55385625010866</v>
      </c>
      <c r="J891" s="16" t="n">
        <f aca="false">IF(D891="","",$B$12)</f>
        <v>0.25</v>
      </c>
      <c r="K891" s="16" t="n">
        <f aca="false">IF(J891="","",J891*$B$15)</f>
        <v>0.648</v>
      </c>
      <c r="L891" s="16" t="n">
        <f aca="false">IF(D891="","",H891+E891-K891-G891*I891)</f>
        <v>4.31615569239161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0.680942415389511</v>
      </c>
      <c r="N891" s="16" t="n">
        <f aca="false">IF(D891="","",(I891+M891)/2)</f>
        <v>0.617399332749085</v>
      </c>
      <c r="O891" s="16" t="n">
        <f aca="false">IF(D891="","",G891*N891)</f>
        <v>0.0544546211484693</v>
      </c>
      <c r="P891" s="16" t="n">
        <f aca="false">IF(D891="","",H891+E891-K891-O891)</f>
        <v>4.31055119250272</v>
      </c>
      <c r="Q891" s="16" t="n">
        <f aca="false">IF(D891="","",IF(P891&gt;=0,K891,MAX(0,K891+P891)))</f>
        <v>0.648</v>
      </c>
      <c r="R891" s="16" t="n">
        <f aca="false">IF(D891="","",Q891/$B$15)</f>
        <v>0.25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4.31055119250272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20.2373295422663</v>
      </c>
      <c r="Z891" s="18" t="n">
        <f aca="false">IF(D891="","",MAX(0,IF(P891&gt;=0,P891,IF(K891+P891&gt;=0,0,P891+K891))))</f>
        <v>4.31055119250272</v>
      </c>
      <c r="AA891" s="18" t="n">
        <f aca="false">IF(D891="","",IF(H891&lt;=$B$16,1,IF(H891&gt;=$B$17,$B$21,MATCH(H891,Aux_CAV!$A$2:$A$121,1))))</f>
        <v>3</v>
      </c>
      <c r="AB891" s="18" t="n">
        <f aca="false">IF(D891="","",IF(L891&lt;=$B$16,1,IF(L891&gt;=$B$17,$B$21,MATCH(L891,Aux_CAV!$A$2:$A$121,1))))</f>
        <v>4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0.456651024149509</v>
      </c>
      <c r="E892" s="16" t="n">
        <f aca="false">IF(D892="","",D892*$B$15)</f>
        <v>1.18363945459553</v>
      </c>
      <c r="F892" s="16" t="n">
        <f aca="false" t="array" ref="F892:F892">IF(D892="","",IFERROR(INDEX(Dados_Evap!$C$2:$N$15,MATCH($B$9,Dados_Evap!$A$2:$A$15,0),C892),0))</f>
        <v>83.9</v>
      </c>
      <c r="G892" s="16" t="n">
        <f aca="false">IF(F892="","",F892/1000)</f>
        <v>0.0839</v>
      </c>
      <c r="H892" s="16" t="n">
        <f aca="false">IF(D892="","",MAX(0,MIN($B$8,IFERROR(LOOKUP(2,1/($U$24:U891&lt;&gt;""),$U$24:U891),$B$11))))</f>
        <v>4.31055119250272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0.680615486229326</v>
      </c>
      <c r="J892" s="16" t="n">
        <f aca="false">IF(D892="","",$B$12)</f>
        <v>0.25</v>
      </c>
      <c r="K892" s="16" t="n">
        <f aca="false">IF(J892="","",J892*$B$15)</f>
        <v>0.648</v>
      </c>
      <c r="L892" s="16" t="n">
        <f aca="false">IF(D892="","",H892+E892-K892-G892*I892)</f>
        <v>4.78908700780361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0.708530075455211</v>
      </c>
      <c r="N892" s="16" t="n">
        <f aca="false">IF(D892="","",(I892+M892)/2)</f>
        <v>0.694572780842268</v>
      </c>
      <c r="O892" s="16" t="n">
        <f aca="false">IF(D892="","",G892*N892)</f>
        <v>0.0582746563126663</v>
      </c>
      <c r="P892" s="16" t="n">
        <f aca="false">IF(D892="","",H892+E892-K892-O892)</f>
        <v>4.78791599078559</v>
      </c>
      <c r="Q892" s="16" t="n">
        <f aca="false">IF(D892="","",IF(P892&gt;=0,K892,MAX(0,K892+P892)))</f>
        <v>0.648</v>
      </c>
      <c r="R892" s="16" t="n">
        <f aca="false">IF(D892="","",Q892/$B$15)</f>
        <v>0.25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4.78791599078559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22.4784788299793</v>
      </c>
      <c r="Z892" s="18" t="n">
        <f aca="false">IF(D892="","",MAX(0,IF(P892&gt;=0,P892,IF(K892+P892&gt;=0,0,P892+K892))))</f>
        <v>4.78791599078559</v>
      </c>
      <c r="AA892" s="18" t="n">
        <f aca="false">IF(D892="","",IF(H892&lt;=$B$16,1,IF(H892&gt;=$B$17,$B$21,MATCH(H892,Aux_CAV!$A$2:$A$121,1))))</f>
        <v>4</v>
      </c>
      <c r="AB892" s="18" t="n">
        <f aca="false">IF(D892="","",IF(L892&lt;=$B$16,1,IF(L892&gt;=$B$17,$B$21,MATCH(L892,Aux_CAV!$A$2:$A$121,1))))</f>
        <v>4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0.275762633288137</v>
      </c>
      <c r="E893" s="16" t="n">
        <f aca="false">IF(D893="","",D893*$B$15)</f>
        <v>0.714776745482851</v>
      </c>
      <c r="F893" s="16" t="n">
        <f aca="false" t="array" ref="F893:F893">IF(D893="","",IFERROR(INDEX(Dados_Evap!$C$2:$N$15,MATCH($B$9,Dados_Evap!$A$2:$A$15,0),C893),0))</f>
        <v>104.7</v>
      </c>
      <c r="G893" s="16" t="n">
        <f aca="false">IF(F893="","",F893/1000)</f>
        <v>0.1047</v>
      </c>
      <c r="H893" s="16" t="n">
        <f aca="false">IF(D893="","",MAX(0,MIN($B$8,IFERROR(LOOKUP(2,1/($U$24:U892&lt;&gt;""),$U$24:U892),$B$11))))</f>
        <v>4.78791599078559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0.708461766129159</v>
      </c>
      <c r="J893" s="16" t="n">
        <f aca="false">IF(D893="","",$B$12)</f>
        <v>0.25</v>
      </c>
      <c r="K893" s="16" t="n">
        <f aca="false">IF(J893="","",J893*$B$15)</f>
        <v>0.648</v>
      </c>
      <c r="L893" s="16" t="n">
        <f aca="false">IF(D893="","",H893+E893-K893-G893*I893)</f>
        <v>4.78051678935471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0.708030146045692</v>
      </c>
      <c r="N893" s="16" t="n">
        <f aca="false">IF(D893="","",(I893+M893)/2)</f>
        <v>0.708245956087425</v>
      </c>
      <c r="O893" s="16" t="n">
        <f aca="false">IF(D893="","",G893*N893)</f>
        <v>0.0741533516023534</v>
      </c>
      <c r="P893" s="16" t="n">
        <f aca="false">IF(D893="","",H893+E893-K893-O893)</f>
        <v>4.78053938466608</v>
      </c>
      <c r="Q893" s="16" t="n">
        <f aca="false">IF(D893="","",IF(P893&gt;=0,K893,MAX(0,K893+P893)))</f>
        <v>0.648</v>
      </c>
      <c r="R893" s="16" t="n">
        <f aca="false">IF(D893="","",Q893/$B$15)</f>
        <v>0.25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4.78053938466608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22.4438468763666</v>
      </c>
      <c r="Z893" s="18" t="n">
        <f aca="false">IF(D893="","",MAX(0,IF(P893&gt;=0,P893,IF(K893+P893&gt;=0,0,P893+K893))))</f>
        <v>4.78053938466608</v>
      </c>
      <c r="AA893" s="18" t="n">
        <f aca="false">IF(D893="","",IF(H893&lt;=$B$16,1,IF(H893&gt;=$B$17,$B$21,MATCH(H893,Aux_CAV!$A$2:$A$121,1))))</f>
        <v>4</v>
      </c>
      <c r="AB893" s="18" t="n">
        <f aca="false">IF(D893="","",IF(L893&lt;=$B$16,1,IF(L893&gt;=$B$17,$B$21,MATCH(L893,Aux_CAV!$A$2:$A$121,1))))</f>
        <v>4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0.111450048204811</v>
      </c>
      <c r="E894" s="16" t="n">
        <f aca="false">IF(D894="","",D894*$B$15)</f>
        <v>0.28887852494687</v>
      </c>
      <c r="F894" s="16" t="n">
        <f aca="false" t="array" ref="F894:F894">IF(D894="","",IFERROR(INDEX(Dados_Evap!$C$2:$N$15,MATCH($B$9,Dados_Evap!$A$2:$A$15,0),C894),0))</f>
        <v>145.2</v>
      </c>
      <c r="G894" s="16" t="n">
        <f aca="false">IF(F894="","",F894/1000)</f>
        <v>0.1452</v>
      </c>
      <c r="H894" s="16" t="n">
        <f aca="false">IF(D894="","",MAX(0,MIN($B$8,IFERROR(LOOKUP(2,1/($U$24:U893&lt;&gt;""),$U$24:U893),$B$11))))</f>
        <v>4.78053938466608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0.708031464105522</v>
      </c>
      <c r="J894" s="16" t="n">
        <f aca="false">IF(D894="","",$B$12)</f>
        <v>0.25</v>
      </c>
      <c r="K894" s="16" t="n">
        <f aca="false">IF(J894="","",J894*$B$15)</f>
        <v>0.648</v>
      </c>
      <c r="L894" s="16" t="n">
        <f aca="false">IF(D894="","",H894+E894-K894-G894*I894)</f>
        <v>4.31861174102483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0.681085684893115</v>
      </c>
      <c r="N894" s="16" t="n">
        <f aca="false">IF(D894="","",(I894+M894)/2)</f>
        <v>0.694558574499318</v>
      </c>
      <c r="O894" s="16" t="n">
        <f aca="false">IF(D894="","",G894*N894)</f>
        <v>0.100849905017301</v>
      </c>
      <c r="P894" s="16" t="n">
        <f aca="false">IF(D894="","",H894+E894-K894-O894)</f>
        <v>4.32056800459565</v>
      </c>
      <c r="Q894" s="16" t="n">
        <f aca="false">IF(D894="","",IF(P894&gt;=0,K894,MAX(0,K894+P894)))</f>
        <v>0.648</v>
      </c>
      <c r="R894" s="16" t="n">
        <f aca="false">IF(D894="","",Q894/$B$15)</f>
        <v>0.25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4.32056800459565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20.2843568290876</v>
      </c>
      <c r="Z894" s="18" t="n">
        <f aca="false">IF(D894="","",MAX(0,IF(P894&gt;=0,P894,IF(K894+P894&gt;=0,0,P894+K894))))</f>
        <v>4.32056800459565</v>
      </c>
      <c r="AA894" s="18" t="n">
        <f aca="false">IF(D894="","",IF(H894&lt;=$B$16,1,IF(H894&gt;=$B$17,$B$21,MATCH(H894,Aux_CAV!$A$2:$A$121,1))))</f>
        <v>4</v>
      </c>
      <c r="AB894" s="18" t="n">
        <f aca="false">IF(D894="","",IF(L894&lt;=$B$16,1,IF(L894&gt;=$B$17,$B$21,MATCH(L894,Aux_CAV!$A$2:$A$121,1))))</f>
        <v>4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0.0648974543822214</v>
      </c>
      <c r="E895" s="16" t="n">
        <f aca="false">IF(D895="","",D895*$B$15)</f>
        <v>0.168214201758718</v>
      </c>
      <c r="F895" s="16" t="n">
        <f aca="false" t="array" ref="F895:F895">IF(D895="","",IFERROR(INDEX(Dados_Evap!$C$2:$N$15,MATCH($B$9,Dados_Evap!$A$2:$A$15,0),C895),0))</f>
        <v>180.9</v>
      </c>
      <c r="G895" s="16" t="n">
        <f aca="false">IF(F895="","",F895/1000)</f>
        <v>0.1809</v>
      </c>
      <c r="H895" s="16" t="n">
        <f aca="false">IF(D895="","",MAX(0,MIN($B$8,IFERROR(LOOKUP(2,1/($U$24:U894&lt;&gt;""),$U$24:U894),$B$11))))</f>
        <v>4.32056800459565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0.68119980026808</v>
      </c>
      <c r="J895" s="16" t="n">
        <f aca="false">IF(D895="","",$B$12)</f>
        <v>0.25</v>
      </c>
      <c r="K895" s="16" t="n">
        <f aca="false">IF(J895="","",J895*$B$15)</f>
        <v>0.648</v>
      </c>
      <c r="L895" s="16" t="n">
        <f aca="false">IF(D895="","",H895+E895-K895-G895*I895)</f>
        <v>3.71755316248588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0.646023934478343</v>
      </c>
      <c r="N895" s="16" t="n">
        <f aca="false">IF(D895="","",(I895+M895)/2)</f>
        <v>0.663611867373211</v>
      </c>
      <c r="O895" s="16" t="n">
        <f aca="false">IF(D895="","",G895*N895)</f>
        <v>0.120047386807814</v>
      </c>
      <c r="P895" s="16" t="n">
        <f aca="false">IF(D895="","",H895+E895-K895-O895)</f>
        <v>3.72073481954656</v>
      </c>
      <c r="Q895" s="16" t="n">
        <f aca="false">IF(D895="","",IF(P895&gt;=0,K895,MAX(0,K895+P895)))</f>
        <v>0.648</v>
      </c>
      <c r="R895" s="16" t="n">
        <f aca="false">IF(D895="","",Q895/$B$15)</f>
        <v>0.25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3.72073481954656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17.4682385894205</v>
      </c>
      <c r="Z895" s="18" t="n">
        <f aca="false">IF(D895="","",MAX(0,IF(P895&gt;=0,P895,IF(K895+P895&gt;=0,0,P895+K895))))</f>
        <v>3.72073481954656</v>
      </c>
      <c r="AA895" s="18" t="n">
        <f aca="false">IF(D895="","",IF(H895&lt;=$B$16,1,IF(H895&gt;=$B$17,$B$21,MATCH(H895,Aux_CAV!$A$2:$A$121,1))))</f>
        <v>4</v>
      </c>
      <c r="AB895" s="18" t="n">
        <f aca="false">IF(D895="","",IF(L895&lt;=$B$16,1,IF(L895&gt;=$B$17,$B$21,MATCH(L895,Aux_CAV!$A$2:$A$121,1))))</f>
        <v>4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0.0453687894167472</v>
      </c>
      <c r="E896" s="16" t="n">
        <f aca="false">IF(D896="","",D896*$B$15)</f>
        <v>0.117595902168209</v>
      </c>
      <c r="F896" s="16" t="n">
        <f aca="false" t="array" ref="F896:F896">IF(D896="","",IFERROR(INDEX(Dados_Evap!$C$2:$N$15,MATCH($B$9,Dados_Evap!$A$2:$A$15,0),C896),0))</f>
        <v>208.9</v>
      </c>
      <c r="G896" s="16" t="n">
        <f aca="false">IF(F896="","",F896/1000)</f>
        <v>0.2089</v>
      </c>
      <c r="H896" s="16" t="n">
        <f aca="false">IF(D896="","",MAX(0,MIN($B$8,IFERROR(LOOKUP(2,1/($U$24:U895&lt;&gt;""),$U$24:U895),$B$11))))</f>
        <v>3.72073481954656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0.646209531140216</v>
      </c>
      <c r="J896" s="16" t="n">
        <f aca="false">IF(D896="","",$B$12)</f>
        <v>0.25</v>
      </c>
      <c r="K896" s="16" t="n">
        <f aca="false">IF(J896="","",J896*$B$15)</f>
        <v>0.648</v>
      </c>
      <c r="L896" s="16" t="n">
        <f aca="false">IF(D896="","",H896+E896-K896-G896*I896)</f>
        <v>3.05533755065958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0.603676113367727</v>
      </c>
      <c r="N896" s="16" t="n">
        <f aca="false">IF(D896="","",(I896+M896)/2)</f>
        <v>0.624942822253972</v>
      </c>
      <c r="O896" s="16" t="n">
        <f aca="false">IF(D896="","",G896*N896)</f>
        <v>0.130550555568855</v>
      </c>
      <c r="P896" s="16" t="n">
        <f aca="false">IF(D896="","",H896+E896-K896-O896)</f>
        <v>3.05978016614591</v>
      </c>
      <c r="Q896" s="16" t="n">
        <f aca="false">IF(D896="","",IF(P896&gt;=0,K896,MAX(0,K896+P896)))</f>
        <v>0.648</v>
      </c>
      <c r="R896" s="16" t="n">
        <f aca="false">IF(D896="","",Q896/$B$15)</f>
        <v>0.25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3.05978016614591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14.3651650992766</v>
      </c>
      <c r="Z896" s="18" t="n">
        <f aca="false">IF(D896="","",MAX(0,IF(P896&gt;=0,P896,IF(K896+P896&gt;=0,0,P896+K896))))</f>
        <v>3.05978016614591</v>
      </c>
      <c r="AA896" s="18" t="n">
        <f aca="false">IF(D896="","",IF(H896&lt;=$B$16,1,IF(H896&gt;=$B$17,$B$21,MATCH(H896,Aux_CAV!$A$2:$A$121,1))))</f>
        <v>4</v>
      </c>
      <c r="AB896" s="18" t="n">
        <f aca="false">IF(D896="","",IF(L896&lt;=$B$16,1,IF(L896&gt;=$B$17,$B$21,MATCH(L896,Aux_CAV!$A$2:$A$121,1))))</f>
        <v>3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0.0317464299254147</v>
      </c>
      <c r="E897" s="16" t="n">
        <f aca="false">IF(D897="","",D897*$B$15)</f>
        <v>0.0822867463666749</v>
      </c>
      <c r="F897" s="16" t="n">
        <f aca="false" t="array" ref="F897:F897">IF(D897="","",IFERROR(INDEX(Dados_Evap!$C$2:$N$15,MATCH($B$9,Dados_Evap!$A$2:$A$15,0),C897),0))</f>
        <v>235.9</v>
      </c>
      <c r="G897" s="16" t="n">
        <f aca="false">IF(F897="","",F897/1000)</f>
        <v>0.2359</v>
      </c>
      <c r="H897" s="16" t="n">
        <f aca="false">IF(D897="","",MAX(0,MIN($B$8,IFERROR(LOOKUP(2,1/($U$24:U896&lt;&gt;""),$U$24:U896),$B$11))))</f>
        <v>3.05978016614591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0.604305156268448</v>
      </c>
      <c r="J897" s="16" t="n">
        <f aca="false">IF(D897="","",$B$12)</f>
        <v>0.25</v>
      </c>
      <c r="K897" s="16" t="n">
        <f aca="false">IF(J897="","",J897*$B$15)</f>
        <v>0.648</v>
      </c>
      <c r="L897" s="16" t="n">
        <f aca="false">IF(D897="","",H897+E897-K897-G897*I897)</f>
        <v>2.35151132614886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0.504019302817538</v>
      </c>
      <c r="N897" s="16" t="n">
        <f aca="false">IF(D897="","",(I897+M897)/2)</f>
        <v>0.554162229542993</v>
      </c>
      <c r="O897" s="16" t="n">
        <f aca="false">IF(D897="","",G897*N897)</f>
        <v>0.130726869949192</v>
      </c>
      <c r="P897" s="16" t="n">
        <f aca="false">IF(D897="","",H897+E897-K897-O897)</f>
        <v>2.36334004256339</v>
      </c>
      <c r="Q897" s="16" t="n">
        <f aca="false">IF(D897="","",IF(P897&gt;=0,K897,MAX(0,K897+P897)))</f>
        <v>0.648</v>
      </c>
      <c r="R897" s="16" t="n">
        <f aca="false">IF(D897="","",Q897/$B$15)</f>
        <v>0.25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2.36334004256339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11.0954931575746</v>
      </c>
      <c r="Z897" s="18" t="n">
        <f aca="false">IF(D897="","",MAX(0,IF(P897&gt;=0,P897,IF(K897+P897&gt;=0,0,P897+K897))))</f>
        <v>2.36334004256339</v>
      </c>
      <c r="AA897" s="18" t="n">
        <f aca="false">IF(D897="","",IF(H897&lt;=$B$16,1,IF(H897&gt;=$B$17,$B$21,MATCH(H897,Aux_CAV!$A$2:$A$121,1))))</f>
        <v>3</v>
      </c>
      <c r="AB897" s="18" t="n">
        <f aca="false">IF(D897="","",IF(L897&lt;=$B$16,1,IF(L897&gt;=$B$17,$B$21,MATCH(L897,Aux_CAV!$A$2:$A$121,1))))</f>
        <v>3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0.0176944068255811</v>
      </c>
      <c r="E898" s="16" t="n">
        <f aca="false">IF(D898="","",D898*$B$15)</f>
        <v>0.0458639024919062</v>
      </c>
      <c r="F898" s="16" t="n">
        <f aca="false" t="array" ref="F898:F898">IF(D898="","",IFERROR(INDEX(Dados_Evap!$C$2:$N$15,MATCH($B$9,Dados_Evap!$A$2:$A$15,0),C898),0))</f>
        <v>225.9</v>
      </c>
      <c r="G898" s="16" t="n">
        <f aca="false">IF(F898="","",F898/1000)</f>
        <v>0.2259</v>
      </c>
      <c r="H898" s="16" t="n">
        <f aca="false">IF(D898="","",MAX(0,MIN($B$8,IFERROR(LOOKUP(2,1/($U$24:U897&lt;&gt;""),$U$24:U897),$B$11))))</f>
        <v>2.36334004256339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0.505694165318711</v>
      </c>
      <c r="J898" s="16" t="n">
        <f aca="false">IF(D898="","",$B$12)</f>
        <v>0.25</v>
      </c>
      <c r="K898" s="16" t="n">
        <f aca="false">IF(J898="","",J898*$B$15)</f>
        <v>0.648</v>
      </c>
      <c r="L898" s="16" t="n">
        <f aca="false">IF(D898="","",H898+E898-K898-G898*I898)</f>
        <v>1.6469676331098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0.404260903803158</v>
      </c>
      <c r="N898" s="16" t="n">
        <f aca="false">IF(D898="","",(I898+M898)/2)</f>
        <v>0.454977534560934</v>
      </c>
      <c r="O898" s="16" t="n">
        <f aca="false">IF(D898="","",G898*N898)</f>
        <v>0.102779425057315</v>
      </c>
      <c r="P898" s="16" t="n">
        <f aca="false">IF(D898="","",H898+E898-K898-O898)</f>
        <v>1.65842451999799</v>
      </c>
      <c r="Q898" s="16" t="n">
        <f aca="false">IF(D898="","",IF(P898&gt;=0,K898,MAX(0,K898+P898)))</f>
        <v>0.648</v>
      </c>
      <c r="R898" s="16" t="n">
        <f aca="false">IF(D898="","",Q898/$B$15)</f>
        <v>0.25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1.65842451999799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7.78603061031918</v>
      </c>
      <c r="Z898" s="18" t="n">
        <f aca="false">IF(D898="","",MAX(0,IF(P898&gt;=0,P898,IF(K898+P898&gt;=0,0,P898+K898))))</f>
        <v>1.65842451999799</v>
      </c>
      <c r="AA898" s="18" t="n">
        <f aca="false">IF(D898="","",IF(H898&lt;=$B$16,1,IF(H898&gt;=$B$17,$B$21,MATCH(H898,Aux_CAV!$A$2:$A$121,1))))</f>
        <v>3</v>
      </c>
      <c r="AB898" s="18" t="n">
        <f aca="false">IF(D898="","",IF(L898&lt;=$B$16,1,IF(L898&gt;=$B$17,$B$21,MATCH(L898,Aux_CAV!$A$2:$A$121,1))))</f>
        <v>3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0.0144894847768476</v>
      </c>
      <c r="E899" s="16" t="n">
        <f aca="false">IF(D899="","",D899*$B$15)</f>
        <v>0.037556744541589</v>
      </c>
      <c r="F899" s="16" t="n">
        <f aca="false" t="array" ref="F899:F899">IF(D899="","",IFERROR(INDEX(Dados_Evap!$C$2:$N$15,MATCH($B$9,Dados_Evap!$A$2:$A$15,0),C899),0))</f>
        <v>206</v>
      </c>
      <c r="G899" s="16" t="n">
        <f aca="false">IF(F899="","",F899/1000)</f>
        <v>0.206</v>
      </c>
      <c r="H899" s="16" t="n">
        <f aca="false">IF(D899="","",MAX(0,MIN($B$8,IFERROR(LOOKUP(2,1/($U$24:U898&lt;&gt;""),$U$24:U898),$B$11))))</f>
        <v>1.65842451999799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0.405883117875821</v>
      </c>
      <c r="J899" s="16" t="n">
        <f aca="false">IF(D899="","",$B$12)</f>
        <v>0.25</v>
      </c>
      <c r="K899" s="16" t="n">
        <f aca="false">IF(J899="","",J899*$B$15)</f>
        <v>0.648</v>
      </c>
      <c r="L899" s="16" t="n">
        <f aca="false">IF(D899="","",H899+E899-K899-G899*I899)</f>
        <v>0.964369342257155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0.307609818372695</v>
      </c>
      <c r="N899" s="16" t="n">
        <f aca="false">IF(D899="","",(I899+M899)/2)</f>
        <v>0.356746468124258</v>
      </c>
      <c r="O899" s="16" t="n">
        <f aca="false">IF(D899="","",G899*N899)</f>
        <v>0.0734897724335971</v>
      </c>
      <c r="P899" s="16" t="n">
        <f aca="false">IF(D899="","",H899+E899-K899-O899)</f>
        <v>0.974491492105977</v>
      </c>
      <c r="Q899" s="16" t="n">
        <f aca="false">IF(D899="","",IF(P899&gt;=0,K899,MAX(0,K899+P899)))</f>
        <v>0.648</v>
      </c>
      <c r="R899" s="16" t="n">
        <f aca="false">IF(D899="","",Q899/$B$15)</f>
        <v>0.25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0.974491492105977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4.57507742772759</v>
      </c>
      <c r="Z899" s="18" t="n">
        <f aca="false">IF(D899="","",MAX(0,IF(P899&gt;=0,P899,IF(K899+P899&gt;=0,0,P899+K899))))</f>
        <v>0.974491492105977</v>
      </c>
      <c r="AA899" s="18" t="n">
        <f aca="false">IF(D899="","",IF(H899&lt;=$B$16,1,IF(H899&gt;=$B$17,$B$21,MATCH(H899,Aux_CAV!$A$2:$A$121,1))))</f>
        <v>3</v>
      </c>
      <c r="AB899" s="18" t="n">
        <f aca="false">IF(D899="","",IF(L899&lt;=$B$16,1,IF(L899&gt;=$B$17,$B$21,MATCH(L899,Aux_CAV!$A$2:$A$121,1))))</f>
        <v>3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0.00731691728885268</v>
      </c>
      <c r="E900" s="16" t="n">
        <f aca="false">IF(D900="","",D900*$B$15)</f>
        <v>0.0189654496127061</v>
      </c>
      <c r="F900" s="16" t="n">
        <f aca="false" t="array" ref="F900:F900">IF(D900="","",IFERROR(INDEX(Dados_Evap!$C$2:$N$15,MATCH($B$9,Dados_Evap!$A$2:$A$15,0),C900),0))</f>
        <v>165.6</v>
      </c>
      <c r="G900" s="16" t="n">
        <f aca="false">IF(F900="","",F900/1000)</f>
        <v>0.1656</v>
      </c>
      <c r="H900" s="16" t="n">
        <f aca="false">IF(D900="","",MAX(0,MIN($B$8,IFERROR(LOOKUP(2,1/($U$24:U899&lt;&gt;""),$U$24:U899),$B$11))))</f>
        <v>0.974491492105977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0.30904304313005</v>
      </c>
      <c r="J900" s="16" t="n">
        <f aca="false">IF(D900="","",$B$12)</f>
        <v>0.25</v>
      </c>
      <c r="K900" s="16" t="n">
        <f aca="false">IF(J900="","",J900*$B$15)</f>
        <v>0.648</v>
      </c>
      <c r="L900" s="16" t="n">
        <f aca="false">IF(D900="","",H900+E900-K900-G900*I900)</f>
        <v>0.294279413776347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0.103487900910903</v>
      </c>
      <c r="N900" s="16" t="n">
        <f aca="false">IF(D900="","",(I900+M900)/2)</f>
        <v>0.206265472020477</v>
      </c>
      <c r="O900" s="16" t="n">
        <f aca="false">IF(D900="","",G900*N900)</f>
        <v>0.0341575621665909</v>
      </c>
      <c r="P900" s="16" t="n">
        <f aca="false">IF(D900="","",H900+E900-K900-O900)</f>
        <v>0.311299379552092</v>
      </c>
      <c r="Q900" s="16" t="n">
        <f aca="false">IF(D900="","",IF(P900&gt;=0,K900,MAX(0,K900+P900)))</f>
        <v>0.648</v>
      </c>
      <c r="R900" s="16" t="n">
        <f aca="false">IF(D900="","",Q900/$B$15)</f>
        <v>0.25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0.311299379552092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1.46149943451687</v>
      </c>
      <c r="Z900" s="18" t="n">
        <f aca="false">IF(D900="","",MAX(0,IF(P900&gt;=0,P900,IF(K900+P900&gt;=0,0,P900+K900))))</f>
        <v>0.311299379552092</v>
      </c>
      <c r="AA900" s="18" t="n">
        <f aca="false">IF(D900="","",IF(H900&lt;=$B$16,1,IF(H900&gt;=$B$17,$B$21,MATCH(H900,Aux_CAV!$A$2:$A$121,1))))</f>
        <v>3</v>
      </c>
      <c r="AB900" s="18" t="n">
        <f aca="false">IF(D900="","",IF(L900&lt;=$B$16,1,IF(L900&gt;=$B$17,$B$21,MATCH(L900,Aux_CAV!$A$2:$A$121,1))))</f>
        <v>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0.0554014968738521</v>
      </c>
      <c r="E901" s="16" t="n">
        <f aca="false">IF(D901="","",D901*$B$15)</f>
        <v>0.143600679897025</v>
      </c>
      <c r="F901" s="16" t="n">
        <f aca="false" t="array" ref="F901:F901">IF(D901="","",IFERROR(INDEX(Dados_Evap!$C$2:$N$15,MATCH($B$9,Dados_Evap!$A$2:$A$15,0),C901),0))</f>
        <v>124.9</v>
      </c>
      <c r="G901" s="16" t="n">
        <f aca="false">IF(F901="","",F901/1000)</f>
        <v>0.1249</v>
      </c>
      <c r="H901" s="16" t="n">
        <f aca="false">IF(D901="","",MAX(0,MIN($B$8,IFERROR(LOOKUP(2,1/($U$24:U900&lt;&gt;""),$U$24:U900),$B$11))))</f>
        <v>0.311299379552092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0.109304851239323</v>
      </c>
      <c r="J901" s="16" t="n">
        <f aca="false">IF(D901="","",$B$12)</f>
        <v>0.25</v>
      </c>
      <c r="K901" s="16" t="n">
        <f aca="false">IF(J901="","",J901*$B$15)</f>
        <v>0.648</v>
      </c>
      <c r="L901" s="16" t="n">
        <f aca="false">IF(D901="","",H901+E901-K901-G901*I901)</f>
        <v>-0.206752116470674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0.0546524256196614</v>
      </c>
      <c r="O901" s="16" t="n">
        <f aca="false">IF(D901="","",G901*N901)</f>
        <v>0.00682608795989571</v>
      </c>
      <c r="P901" s="16" t="n">
        <f aca="false">IF(D901="","",H901+E901-K901-O901)</f>
        <v>-0.199926028510779</v>
      </c>
      <c r="Q901" s="16" t="n">
        <f aca="false">IF(D901="","",IF(P901&gt;=0,K901,MAX(0,K901+P901)))</f>
        <v>0.448073971489221</v>
      </c>
      <c r="R901" s="16" t="n">
        <f aca="false">IF(D901="","",Q901/$B$15)</f>
        <v>0.172868044556027</v>
      </c>
      <c r="S901" s="16" t="n">
        <f aca="false">IF(D901="","",MAX(0,J901-R901))</f>
        <v>0.0771319554439733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2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0.200213816645688</v>
      </c>
      <c r="E902" s="16" t="n">
        <f aca="false">IF(D902="","",D902*$B$15)</f>
        <v>0.518954212745623</v>
      </c>
      <c r="F902" s="16" t="n">
        <f aca="false" t="array" ref="F902:F902">IF(D902="","",IFERROR(INDEX(Dados_Evap!$C$2:$N$15,MATCH($B$9,Dados_Evap!$A$2:$A$15,0),C902),0))</f>
        <v>88.2</v>
      </c>
      <c r="G902" s="16" t="n">
        <f aca="false">IF(F902="","",F902/1000)</f>
        <v>0.0882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0.25</v>
      </c>
      <c r="K902" s="16" t="n">
        <f aca="false">IF(J902="","",J902*$B$15)</f>
        <v>0.648</v>
      </c>
      <c r="L902" s="16" t="n">
        <f aca="false">IF(D902="","",H902+E902-K902-G902*I902)</f>
        <v>-0.129045787254377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-0.129045787254377</v>
      </c>
      <c r="Q902" s="16" t="n">
        <f aca="false">IF(D902="","",IF(P902&gt;=0,K902,MAX(0,K902+P902)))</f>
        <v>0.518954212745623</v>
      </c>
      <c r="R902" s="16" t="n">
        <f aca="false">IF(D902="","",Q902/$B$15)</f>
        <v>0.200213816645688</v>
      </c>
      <c r="S902" s="16" t="n">
        <f aca="false">IF(D902="","",MAX(0,J902-R902))</f>
        <v>0.049786183354312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0.262892773544556</v>
      </c>
      <c r="E903" s="16" t="n">
        <f aca="false">IF(D903="","",D903*$B$15)</f>
        <v>0.681418069027489</v>
      </c>
      <c r="F903" s="16" t="n">
        <f aca="false" t="array" ref="F903:F903">IF(D903="","",IFERROR(INDEX(Dados_Evap!$C$2:$N$15,MATCH($B$9,Dados_Evap!$A$2:$A$15,0),C903),0))</f>
        <v>88.2</v>
      </c>
      <c r="G903" s="16" t="n">
        <f aca="false">IF(F903="","",F903/1000)</f>
        <v>0.0882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0.25</v>
      </c>
      <c r="K903" s="16" t="n">
        <f aca="false">IF(J903="","",J903*$B$15)</f>
        <v>0.648</v>
      </c>
      <c r="L903" s="16" t="n">
        <f aca="false">IF(D903="","",H903+E903-K903-G903*I903)</f>
        <v>0.0334180690274891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0.0133672276109956</v>
      </c>
      <c r="N903" s="16" t="n">
        <f aca="false">IF(D903="","",(I903+M903)/2)</f>
        <v>0.00668361380549782</v>
      </c>
      <c r="O903" s="16" t="n">
        <f aca="false">IF(D903="","",G903*N903)</f>
        <v>0.000589494737644908</v>
      </c>
      <c r="P903" s="16" t="n">
        <f aca="false">IF(D903="","",H903+E903-K903-O903)</f>
        <v>0.0328285742898442</v>
      </c>
      <c r="Q903" s="16" t="n">
        <f aca="false">IF(D903="","",IF(P903&gt;=0,K903,MAX(0,K903+P903)))</f>
        <v>0.648</v>
      </c>
      <c r="R903" s="16" t="n">
        <f aca="false">IF(D903="","",Q903/$B$15)</f>
        <v>0.25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0.0328285742898442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0.154124761924151</v>
      </c>
      <c r="Z903" s="18" t="n">
        <f aca="false">IF(D903="","",MAX(0,IF(P903&gt;=0,P903,IF(K903+P903&gt;=0,0,P903+K903))))</f>
        <v>0.0328285742898442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0.10651110904914</v>
      </c>
      <c r="E904" s="16" t="n">
        <f aca="false">IF(D904="","",D904*$B$15)</f>
        <v>0.276076794655371</v>
      </c>
      <c r="F904" s="16" t="n">
        <f aca="false" t="array" ref="F904:F904">IF(D904="","",IFERROR(INDEX(Dados_Evap!$C$2:$N$15,MATCH($B$9,Dados_Evap!$A$2:$A$15,0),C904),0))</f>
        <v>83.9</v>
      </c>
      <c r="G904" s="16" t="n">
        <f aca="false">IF(F904="","",F904/1000)</f>
        <v>0.0839</v>
      </c>
      <c r="H904" s="16" t="n">
        <f aca="false">IF(D904="","",MAX(0,MIN($B$8,IFERROR(LOOKUP(2,1/($U$24:U903&lt;&gt;""),$U$24:U903),$B$11))))</f>
        <v>0.0328285742898442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0.0131314297159377</v>
      </c>
      <c r="J904" s="16" t="n">
        <f aca="false">IF(D904="","",$B$12)</f>
        <v>0.25</v>
      </c>
      <c r="K904" s="16" t="n">
        <f aca="false">IF(J904="","",J904*$B$15)</f>
        <v>0.648</v>
      </c>
      <c r="L904" s="16" t="n">
        <f aca="false">IF(D904="","",H904+E904-K904-G904*I904)</f>
        <v>-0.340196358007952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0.00656571485796884</v>
      </c>
      <c r="O904" s="16" t="n">
        <f aca="false">IF(D904="","",G904*N904)</f>
        <v>0.000550863476583586</v>
      </c>
      <c r="P904" s="16" t="n">
        <f aca="false">IF(D904="","",H904+E904-K904-O904)</f>
        <v>-0.339645494531369</v>
      </c>
      <c r="Q904" s="16" t="n">
        <f aca="false">IF(D904="","",IF(P904&gt;=0,K904,MAX(0,K904+P904)))</f>
        <v>0.308354505468632</v>
      </c>
      <c r="R904" s="16" t="n">
        <f aca="false">IF(D904="","",Q904/$B$15)</f>
        <v>0.118963929578947</v>
      </c>
      <c r="S904" s="16" t="n">
        <f aca="false">IF(D904="","",MAX(0,J904-R904))</f>
        <v>0.131036070421053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2.28766658394441E-017</v>
      </c>
      <c r="X904" s="16" t="n">
        <f aca="false">IF(W904="","",ABS(W904))</f>
        <v>2.28766658394441E-017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0.0331898101927263</v>
      </c>
      <c r="E905" s="16" t="n">
        <f aca="false">IF(D905="","",D905*$B$15)</f>
        <v>0.0860279880195466</v>
      </c>
      <c r="F905" s="16" t="n">
        <f aca="false" t="array" ref="F905:F905">IF(D905="","",IFERROR(INDEX(Dados_Evap!$C$2:$N$15,MATCH($B$9,Dados_Evap!$A$2:$A$15,0),C905),0))</f>
        <v>104.7</v>
      </c>
      <c r="G905" s="16" t="n">
        <f aca="false">IF(F905="","",F905/1000)</f>
        <v>0.1047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0.25</v>
      </c>
      <c r="K905" s="16" t="n">
        <f aca="false">IF(J905="","",J905*$B$15)</f>
        <v>0.648</v>
      </c>
      <c r="L905" s="16" t="n">
        <f aca="false">IF(D905="","",H905+E905-K905-G905*I905)</f>
        <v>-0.561972011980453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-0.561972011980453</v>
      </c>
      <c r="Q905" s="16" t="n">
        <f aca="false">IF(D905="","",IF(P905&gt;=0,K905,MAX(0,K905+P905)))</f>
        <v>0.0860279880195466</v>
      </c>
      <c r="R905" s="16" t="n">
        <f aca="false">IF(D905="","",Q905/$B$15)</f>
        <v>0.0331898101927263</v>
      </c>
      <c r="S905" s="16" t="n">
        <f aca="false">IF(D905="","",MAX(0,J905-R905))</f>
        <v>0.216810189807274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0.0119760843896629</v>
      </c>
      <c r="E906" s="16" t="n">
        <f aca="false">IF(D906="","",D906*$B$15)</f>
        <v>0.0310420107380062</v>
      </c>
      <c r="F906" s="16" t="n">
        <f aca="false" t="array" ref="F906:F906">IF(D906="","",IFERROR(INDEX(Dados_Evap!$C$2:$N$15,MATCH($B$9,Dados_Evap!$A$2:$A$15,0),C906),0))</f>
        <v>145.2</v>
      </c>
      <c r="G906" s="16" t="n">
        <f aca="false">IF(F906="","",F906/1000)</f>
        <v>0.1452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0.25</v>
      </c>
      <c r="K906" s="16" t="n">
        <f aca="false">IF(J906="","",J906*$B$15)</f>
        <v>0.648</v>
      </c>
      <c r="L906" s="16" t="n">
        <f aca="false">IF(D906="","",H906+E906-K906-G906*I906)</f>
        <v>-0.616957989261994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-0.616957989261994</v>
      </c>
      <c r="Q906" s="16" t="n">
        <f aca="false">IF(D906="","",IF(P906&gt;=0,K906,MAX(0,K906+P906)))</f>
        <v>0.0310420107380063</v>
      </c>
      <c r="R906" s="16" t="n">
        <f aca="false">IF(D906="","",Q906/$B$15)</f>
        <v>0.0119760843896629</v>
      </c>
      <c r="S906" s="16" t="n">
        <f aca="false">IF(D906="","",MAX(0,J906-R906))</f>
        <v>0.238023915610337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0.00828977135700841</v>
      </c>
      <c r="E907" s="16" t="n">
        <f aca="false">IF(D907="","",D907*$B$15)</f>
        <v>0.0214870873573658</v>
      </c>
      <c r="F907" s="16" t="n">
        <f aca="false" t="array" ref="F907:F907">IF(D907="","",IFERROR(INDEX(Dados_Evap!$C$2:$N$15,MATCH($B$9,Dados_Evap!$A$2:$A$15,0),C907),0))</f>
        <v>180.9</v>
      </c>
      <c r="G907" s="16" t="n">
        <f aca="false">IF(F907="","",F907/1000)</f>
        <v>0.1809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0.25</v>
      </c>
      <c r="K907" s="16" t="n">
        <f aca="false">IF(J907="","",J907*$B$15)</f>
        <v>0.648</v>
      </c>
      <c r="L907" s="16" t="n">
        <f aca="false">IF(D907="","",H907+E907-K907-G907*I907)</f>
        <v>-0.626512912642634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-0.626512912642634</v>
      </c>
      <c r="Q907" s="16" t="n">
        <f aca="false">IF(D907="","",IF(P907&gt;=0,K907,MAX(0,K907+P907)))</f>
        <v>0.0214870873573658</v>
      </c>
      <c r="R907" s="16" t="n">
        <f aca="false">IF(D907="","",Q907/$B$15)</f>
        <v>0.00828977135700842</v>
      </c>
      <c r="S907" s="16" t="n">
        <f aca="false">IF(D907="","",MAX(0,J907-R907))</f>
        <v>0.241710228642992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0.00524757916237967</v>
      </c>
      <c r="E908" s="16" t="n">
        <f aca="false">IF(D908="","",D908*$B$15)</f>
        <v>0.0136017251888881</v>
      </c>
      <c r="F908" s="16" t="n">
        <f aca="false" t="array" ref="F908:F908">IF(D908="","",IFERROR(INDEX(Dados_Evap!$C$2:$N$15,MATCH($B$9,Dados_Evap!$A$2:$A$15,0),C908),0))</f>
        <v>208.9</v>
      </c>
      <c r="G908" s="16" t="n">
        <f aca="false">IF(F908="","",F908/1000)</f>
        <v>0.2089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0.25</v>
      </c>
      <c r="K908" s="16" t="n">
        <f aca="false">IF(J908="","",J908*$B$15)</f>
        <v>0.648</v>
      </c>
      <c r="L908" s="16" t="n">
        <f aca="false">IF(D908="","",H908+E908-K908-G908*I908)</f>
        <v>-0.634398274811112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-0.634398274811112</v>
      </c>
      <c r="Q908" s="16" t="n">
        <f aca="false">IF(D908="","",IF(P908&gt;=0,K908,MAX(0,K908+P908)))</f>
        <v>0.0136017251888881</v>
      </c>
      <c r="R908" s="16" t="n">
        <f aca="false">IF(D908="","",Q908/$B$15)</f>
        <v>0.00524757916237968</v>
      </c>
      <c r="S908" s="16" t="n">
        <f aca="false">IF(D908="","",MAX(0,J908-R908))</f>
        <v>0.24475242083762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0.00375229467627833</v>
      </c>
      <c r="E909" s="16" t="n">
        <f aca="false">IF(D909="","",D909*$B$15)</f>
        <v>0.00972594780091343</v>
      </c>
      <c r="F909" s="16" t="n">
        <f aca="false" t="array" ref="F909:F909">IF(D909="","",IFERROR(INDEX(Dados_Evap!$C$2:$N$15,MATCH($B$9,Dados_Evap!$A$2:$A$15,0),C909),0))</f>
        <v>235.9</v>
      </c>
      <c r="G909" s="16" t="n">
        <f aca="false">IF(F909="","",F909/1000)</f>
        <v>0.2359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0.25</v>
      </c>
      <c r="K909" s="16" t="n">
        <f aca="false">IF(J909="","",J909*$B$15)</f>
        <v>0.648</v>
      </c>
      <c r="L909" s="16" t="n">
        <f aca="false">IF(D909="","",H909+E909-K909-G909*I909)</f>
        <v>-0.638274052199087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-0.638274052199087</v>
      </c>
      <c r="Q909" s="16" t="n">
        <f aca="false">IF(D909="","",IF(P909&gt;=0,K909,MAX(0,K909+P909)))</f>
        <v>0.0097259478009134</v>
      </c>
      <c r="R909" s="16" t="n">
        <f aca="false">IF(D909="","",Q909/$B$15)</f>
        <v>0.00375229467627832</v>
      </c>
      <c r="S909" s="16" t="n">
        <f aca="false">IF(D909="","",MAX(0,J909-R909))</f>
        <v>0.246247705323722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0.0015910607473885</v>
      </c>
      <c r="E910" s="16" t="n">
        <f aca="false">IF(D910="","",D910*$B$15)</f>
        <v>0.00412402945723099</v>
      </c>
      <c r="F910" s="16" t="n">
        <f aca="false" t="array" ref="F910:F910">IF(D910="","",IFERROR(INDEX(Dados_Evap!$C$2:$N$15,MATCH($B$9,Dados_Evap!$A$2:$A$15,0),C910),0))</f>
        <v>225.9</v>
      </c>
      <c r="G910" s="16" t="n">
        <f aca="false">IF(F910="","",F910/1000)</f>
        <v>0.2259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0.25</v>
      </c>
      <c r="K910" s="16" t="n">
        <f aca="false">IF(J910="","",J910*$B$15)</f>
        <v>0.648</v>
      </c>
      <c r="L910" s="16" t="n">
        <f aca="false">IF(D910="","",H910+E910-K910-G910*I910)</f>
        <v>-0.643875970542769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-0.643875970542769</v>
      </c>
      <c r="Q910" s="16" t="n">
        <f aca="false">IF(D910="","",IF(P910&gt;=0,K910,MAX(0,K910+P910)))</f>
        <v>0.004124029457231</v>
      </c>
      <c r="R910" s="16" t="n">
        <f aca="false">IF(D910="","",Q910/$B$15)</f>
        <v>0.0015910607473885</v>
      </c>
      <c r="S910" s="16" t="n">
        <f aca="false">IF(D910="","",MAX(0,J910-R910))</f>
        <v>0.248408939252611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0.0023870845043326</v>
      </c>
      <c r="E911" s="16" t="n">
        <f aca="false">IF(D911="","",D911*$B$15)</f>
        <v>0.0061873230352301</v>
      </c>
      <c r="F911" s="16" t="n">
        <f aca="false" t="array" ref="F911:F911">IF(D911="","",IFERROR(INDEX(Dados_Evap!$C$2:$N$15,MATCH($B$9,Dados_Evap!$A$2:$A$15,0),C911),0))</f>
        <v>206</v>
      </c>
      <c r="G911" s="16" t="n">
        <f aca="false">IF(F911="","",F911/1000)</f>
        <v>0.206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0.25</v>
      </c>
      <c r="K911" s="16" t="n">
        <f aca="false">IF(J911="","",J911*$B$15)</f>
        <v>0.648</v>
      </c>
      <c r="L911" s="16" t="n">
        <f aca="false">IF(D911="","",H911+E911-K911-G911*I911)</f>
        <v>-0.64181267696477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-0.64181267696477</v>
      </c>
      <c r="Q911" s="16" t="n">
        <f aca="false">IF(D911="","",IF(P911&gt;=0,K911,MAX(0,K911+P911)))</f>
        <v>0.00618732303523006</v>
      </c>
      <c r="R911" s="16" t="n">
        <f aca="false">IF(D911="","",Q911/$B$15)</f>
        <v>0.00238708450433259</v>
      </c>
      <c r="S911" s="16" t="n">
        <f aca="false">IF(D911="","",MAX(0,J911-R911))</f>
        <v>0.247612915495667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-3.55618312575245E-017</v>
      </c>
      <c r="X911" s="16" t="n">
        <f aca="false">IF(W911="","",ABS(W911))</f>
        <v>3.55618312575245E-017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0.0124128478579663</v>
      </c>
      <c r="E912" s="16" t="n">
        <f aca="false">IF(D912="","",D912*$B$15)</f>
        <v>0.0321741016478487</v>
      </c>
      <c r="F912" s="16" t="n">
        <f aca="false" t="array" ref="F912:F912">IF(D912="","",IFERROR(INDEX(Dados_Evap!$C$2:$N$15,MATCH($B$9,Dados_Evap!$A$2:$A$15,0),C912),0))</f>
        <v>165.6</v>
      </c>
      <c r="G912" s="16" t="n">
        <f aca="false">IF(F912="","",F912/1000)</f>
        <v>0.1656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0.25</v>
      </c>
      <c r="K912" s="16" t="n">
        <f aca="false">IF(J912="","",J912*$B$15)</f>
        <v>0.648</v>
      </c>
      <c r="L912" s="16" t="n">
        <f aca="false">IF(D912="","",H912+E912-K912-G912*I912)</f>
        <v>-0.615825898352151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-0.615825898352151</v>
      </c>
      <c r="Q912" s="16" t="n">
        <f aca="false">IF(D912="","",IF(P912&gt;=0,K912,MAX(0,K912+P912)))</f>
        <v>0.0321741016478486</v>
      </c>
      <c r="R912" s="16" t="n">
        <f aca="false">IF(D912="","",Q912/$B$15)</f>
        <v>0.0124128478579663</v>
      </c>
      <c r="S912" s="16" t="n">
        <f aca="false">IF(D912="","",MAX(0,J912-R912))</f>
        <v>0.237587152142034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0.132327607748256</v>
      </c>
      <c r="E913" s="16" t="n">
        <f aca="false">IF(D913="","",D913*$B$15)</f>
        <v>0.34299315928348</v>
      </c>
      <c r="F913" s="16" t="n">
        <f aca="false" t="array" ref="F913:F913">IF(D913="","",IFERROR(INDEX(Dados_Evap!$C$2:$N$15,MATCH($B$9,Dados_Evap!$A$2:$A$15,0),C913),0))</f>
        <v>124.9</v>
      </c>
      <c r="G913" s="16" t="n">
        <f aca="false">IF(F913="","",F913/1000)</f>
        <v>0.1249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0.25</v>
      </c>
      <c r="K913" s="16" t="n">
        <f aca="false">IF(J913="","",J913*$B$15)</f>
        <v>0.648</v>
      </c>
      <c r="L913" s="16" t="n">
        <f aca="false">IF(D913="","",H913+E913-K913-G913*I913)</f>
        <v>-0.30500684071652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-0.30500684071652</v>
      </c>
      <c r="Q913" s="16" t="n">
        <f aca="false">IF(D913="","",IF(P913&gt;=0,K913,MAX(0,K913+P913)))</f>
        <v>0.34299315928348</v>
      </c>
      <c r="R913" s="16" t="n">
        <f aca="false">IF(D913="","",Q913/$B$15)</f>
        <v>0.132327607748256</v>
      </c>
      <c r="S913" s="16" t="n">
        <f aca="false">IF(D913="","",MAX(0,J913-R913))</f>
        <v>0.117672392251744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1.21907789489991</v>
      </c>
      <c r="E914" s="16" t="n">
        <f aca="false">IF(D914="","",D914*$B$15)</f>
        <v>3.15984990358057</v>
      </c>
      <c r="F914" s="16" t="n">
        <f aca="false" t="array" ref="F914:F914">IF(D914="","",IFERROR(INDEX(Dados_Evap!$C$2:$N$15,MATCH($B$9,Dados_Evap!$A$2:$A$15,0),C914),0))</f>
        <v>88.2</v>
      </c>
      <c r="G914" s="16" t="n">
        <f aca="false">IF(F914="","",F914/1000)</f>
        <v>0.0882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0.25</v>
      </c>
      <c r="K914" s="16" t="n">
        <f aca="false">IF(J914="","",J914*$B$15)</f>
        <v>0.648</v>
      </c>
      <c r="L914" s="16" t="n">
        <f aca="false">IF(D914="","",H914+E914-K914-G914*I914)</f>
        <v>2.51184990358057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0.526722110241496</v>
      </c>
      <c r="N914" s="16" t="n">
        <f aca="false">IF(D914="","",(I914+M914)/2)</f>
        <v>0.263361055120748</v>
      </c>
      <c r="O914" s="16" t="n">
        <f aca="false">IF(D914="","",G914*N914)</f>
        <v>0.02322844506165</v>
      </c>
      <c r="P914" s="16" t="n">
        <f aca="false">IF(D914="","",H914+E914-K914-O914)</f>
        <v>2.48862145851892</v>
      </c>
      <c r="Q914" s="16" t="n">
        <f aca="false">IF(D914="","",IF(P914&gt;=0,K914,MAX(0,K914+P914)))</f>
        <v>0.648</v>
      </c>
      <c r="R914" s="16" t="n">
        <f aca="false">IF(D914="","",Q914/$B$15)</f>
        <v>0.25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2.48862145851892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11.6836688193376</v>
      </c>
      <c r="Z914" s="18" t="n">
        <f aca="false">IF(D914="","",MAX(0,IF(P914&gt;=0,P914,IF(K914+P914&gt;=0,0,P914+K914))))</f>
        <v>2.48862145851892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3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1.61414839256174</v>
      </c>
      <c r="E915" s="16" t="n">
        <f aca="false">IF(D915="","",D915*$B$15)</f>
        <v>4.18387263352003</v>
      </c>
      <c r="F915" s="16" t="n">
        <f aca="false" t="array" ref="F915:F915">IF(D915="","",IFERROR(INDEX(Dados_Evap!$C$2:$N$15,MATCH($B$9,Dados_Evap!$A$2:$A$15,0),C915),0))</f>
        <v>88.2</v>
      </c>
      <c r="G915" s="16" t="n">
        <f aca="false">IF(F915="","",F915/1000)</f>
        <v>0.0882</v>
      </c>
      <c r="H915" s="16" t="n">
        <f aca="false">IF(D915="","",MAX(0,MIN($B$8,IFERROR(LOOKUP(2,1/($U$24:U914&lt;&gt;""),$U$24:U914),$B$11))))</f>
        <v>2.48862145851892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0.523433126869935</v>
      </c>
      <c r="J915" s="16" t="n">
        <f aca="false">IF(D915="","",$B$12)</f>
        <v>0.25</v>
      </c>
      <c r="K915" s="16" t="n">
        <f aca="false">IF(J915="","",J915*$B$15)</f>
        <v>0.648</v>
      </c>
      <c r="L915" s="16" t="n">
        <f aca="false">IF(D915="","",H915+E915-K915-G915*I915)</f>
        <v>5.97832729024902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0.777902425264526</v>
      </c>
      <c r="N915" s="16" t="n">
        <f aca="false">IF(D915="","",(I915+M915)/2)</f>
        <v>0.650667776067231</v>
      </c>
      <c r="O915" s="16" t="n">
        <f aca="false">IF(D915="","",G915*N915)</f>
        <v>0.0573888978491297</v>
      </c>
      <c r="P915" s="16" t="n">
        <f aca="false">IF(D915="","",H915+E915-K915-O915)</f>
        <v>5.96710519418982</v>
      </c>
      <c r="Q915" s="16" t="n">
        <f aca="false">IF(D915="","",IF(P915&gt;=0,K915,MAX(0,K915+P915)))</f>
        <v>0.648</v>
      </c>
      <c r="R915" s="16" t="n">
        <f aca="false">IF(D915="","",Q915/$B$15)</f>
        <v>0.25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5.96710519418982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28.014578376478</v>
      </c>
      <c r="Z915" s="18" t="n">
        <f aca="false">IF(D915="","",MAX(0,IF(P915&gt;=0,P915,IF(K915+P915&gt;=0,0,P915+K915))))</f>
        <v>5.96710519418982</v>
      </c>
      <c r="AA915" s="18" t="n">
        <f aca="false">IF(D915="","",IF(H915&lt;=$B$16,1,IF(H915&gt;=$B$17,$B$21,MATCH(H915,Aux_CAV!$A$2:$A$121,1))))</f>
        <v>3</v>
      </c>
      <c r="AB915" s="18" t="n">
        <f aca="false">IF(D915="","",IF(L915&lt;=$B$16,1,IF(L915&gt;=$B$17,$B$21,MATCH(L915,Aux_CAV!$A$2:$A$121,1))))</f>
        <v>4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1.11400774229785</v>
      </c>
      <c r="E916" s="16" t="n">
        <f aca="false">IF(D916="","",D916*$B$15)</f>
        <v>2.88750806803603</v>
      </c>
      <c r="F916" s="16" t="n">
        <f aca="false" t="array" ref="F916:F916">IF(D916="","",IFERROR(INDEX(Dados_Evap!$C$2:$N$15,MATCH($B$9,Dados_Evap!$A$2:$A$15,0),C916),0))</f>
        <v>83.9</v>
      </c>
      <c r="G916" s="16" t="n">
        <f aca="false">IF(F916="","",F916/1000)</f>
        <v>0.0839</v>
      </c>
      <c r="H916" s="16" t="n">
        <f aca="false">IF(D916="","",MAX(0,MIN($B$8,IFERROR(LOOKUP(2,1/($U$24:U915&lt;&gt;""),$U$24:U915),$B$11))))</f>
        <v>5.96710519418982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0.777247802994406</v>
      </c>
      <c r="J916" s="16" t="n">
        <f aca="false">IF(D916="","",$B$12)</f>
        <v>0.25</v>
      </c>
      <c r="K916" s="16" t="n">
        <f aca="false">IF(J916="","",J916*$B$15)</f>
        <v>0.648</v>
      </c>
      <c r="L916" s="16" t="n">
        <f aca="false">IF(D916="","",H916+E916-K916-G916*I916)</f>
        <v>8.14140217155462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0.867834142861326</v>
      </c>
      <c r="N916" s="16" t="n">
        <f aca="false">IF(D916="","",(I916+M916)/2)</f>
        <v>0.822540972927866</v>
      </c>
      <c r="O916" s="16" t="n">
        <f aca="false">IF(D916="","",G916*N916)</f>
        <v>0.069011187628648</v>
      </c>
      <c r="P916" s="16" t="n">
        <f aca="false">IF(D916="","",H916+E916-K916-O916)</f>
        <v>8.1376020745972</v>
      </c>
      <c r="Q916" s="16" t="n">
        <f aca="false">IF(D916="","",IF(P916&gt;=0,K916,MAX(0,K916+P916)))</f>
        <v>0.648</v>
      </c>
      <c r="R916" s="16" t="n">
        <f aca="false">IF(D916="","",Q916/$B$15)</f>
        <v>0.25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8.1376020745972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38.2047045755737</v>
      </c>
      <c r="Z916" s="18" t="n">
        <f aca="false">IF(D916="","",MAX(0,IF(P916&gt;=0,P916,IF(K916+P916&gt;=0,0,P916+K916))))</f>
        <v>8.1376020745972</v>
      </c>
      <c r="AA916" s="18" t="n">
        <f aca="false">IF(D916="","",IF(H916&lt;=$B$16,1,IF(H916&gt;=$B$17,$B$21,MATCH(H916,Aux_CAV!$A$2:$A$121,1))))</f>
        <v>4</v>
      </c>
      <c r="AB916" s="18" t="n">
        <f aca="false">IF(D916="","",IF(L916&lt;=$B$16,1,IF(L916&gt;=$B$17,$B$21,MATCH(L916,Aux_CAV!$A$2:$A$121,1))))</f>
        <v>5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0.633762564673977</v>
      </c>
      <c r="E917" s="16" t="n">
        <f aca="false">IF(D917="","",D917*$B$15)</f>
        <v>1.64271256763495</v>
      </c>
      <c r="F917" s="16" t="n">
        <f aca="false" t="array" ref="F917:F917">IF(D917="","",IFERROR(INDEX(Dados_Evap!$C$2:$N$15,MATCH($B$9,Dados_Evap!$A$2:$A$15,0),C917),0))</f>
        <v>104.7</v>
      </c>
      <c r="G917" s="16" t="n">
        <f aca="false">IF(F917="","",F917/1000)</f>
        <v>0.1047</v>
      </c>
      <c r="H917" s="16" t="n">
        <f aca="false">IF(D917="","",MAX(0,MIN($B$8,IFERROR(LOOKUP(2,1/($U$24:U916&lt;&gt;""),$U$24:U916),$B$11))))</f>
        <v>8.1376020745972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0.867708033449022</v>
      </c>
      <c r="J917" s="16" t="n">
        <f aca="false">IF(D917="","",$B$12)</f>
        <v>0.25</v>
      </c>
      <c r="K917" s="16" t="n">
        <f aca="false">IF(J917="","",J917*$B$15)</f>
        <v>0.648</v>
      </c>
      <c r="L917" s="16" t="n">
        <f aca="false">IF(D917="","",H917+E917-K917-G917*I917)</f>
        <v>9.04146561113003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0.897703504794138</v>
      </c>
      <c r="N917" s="16" t="n">
        <f aca="false">IF(D917="","",(I917+M917)/2)</f>
        <v>0.88270576912158</v>
      </c>
      <c r="O917" s="16" t="n">
        <f aca="false">IF(D917="","",G917*N917)</f>
        <v>0.0924192940270294</v>
      </c>
      <c r="P917" s="16" t="n">
        <f aca="false">IF(D917="","",H917+E917-K917-O917)</f>
        <v>9.03989534820512</v>
      </c>
      <c r="Q917" s="16" t="n">
        <f aca="false">IF(D917="","",IF(P917&gt;=0,K917,MAX(0,K917+P917)))</f>
        <v>0.648</v>
      </c>
      <c r="R917" s="16" t="n">
        <f aca="false">IF(D917="","",Q917/$B$15)</f>
        <v>0.25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9.03989534820512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42.4408232310099</v>
      </c>
      <c r="Z917" s="18" t="n">
        <f aca="false">IF(D917="","",MAX(0,IF(P917&gt;=0,P917,IF(K917+P917&gt;=0,0,P917+K917))))</f>
        <v>9.03989534820512</v>
      </c>
      <c r="AA917" s="18" t="n">
        <f aca="false">IF(D917="","",IF(H917&lt;=$B$16,1,IF(H917&gt;=$B$17,$B$21,MATCH(H917,Aux_CAV!$A$2:$A$121,1))))</f>
        <v>5</v>
      </c>
      <c r="AB917" s="18" t="n">
        <f aca="false">IF(D917="","",IF(L917&lt;=$B$16,1,IF(L917&gt;=$B$17,$B$21,MATCH(L917,Aux_CAV!$A$2:$A$121,1))))</f>
        <v>5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0.348611515997083</v>
      </c>
      <c r="E918" s="16" t="n">
        <f aca="false">IF(D918="","",D918*$B$15)</f>
        <v>0.903601049464439</v>
      </c>
      <c r="F918" s="16" t="n">
        <f aca="false" t="array" ref="F918:F918">IF(D918="","",IFERROR(INDEX(Dados_Evap!$C$2:$N$15,MATCH($B$9,Dados_Evap!$A$2:$A$15,0),C918),0))</f>
        <v>145.2</v>
      </c>
      <c r="G918" s="16" t="n">
        <f aca="false">IF(F918="","",F918/1000)</f>
        <v>0.1452</v>
      </c>
      <c r="H918" s="16" t="n">
        <f aca="false">IF(D918="","",MAX(0,MIN($B$8,IFERROR(LOOKUP(2,1/($U$24:U917&lt;&gt;""),$U$24:U917),$B$11))))</f>
        <v>9.03989534820512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0.897651394298842</v>
      </c>
      <c r="J918" s="16" t="n">
        <f aca="false">IF(D918="","",$B$12)</f>
        <v>0.25</v>
      </c>
      <c r="K918" s="16" t="n">
        <f aca="false">IF(J918="","",J918*$B$15)</f>
        <v>0.648</v>
      </c>
      <c r="L918" s="16" t="n">
        <f aca="false">IF(D918="","",H918+E918-K918-G918*I918)</f>
        <v>9.16515741521736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0.901808321301461</v>
      </c>
      <c r="N918" s="16" t="n">
        <f aca="false">IF(D918="","",(I918+M918)/2)</f>
        <v>0.899729857800152</v>
      </c>
      <c r="O918" s="16" t="n">
        <f aca="false">IF(D918="","",G918*N918)</f>
        <v>0.130640775352582</v>
      </c>
      <c r="P918" s="16" t="n">
        <f aca="false">IF(D918="","",H918+E918-K918-O918)</f>
        <v>9.16485562231697</v>
      </c>
      <c r="Q918" s="16" t="n">
        <f aca="false">IF(D918="","",IF(P918&gt;=0,K918,MAX(0,K918+P918)))</f>
        <v>0.648</v>
      </c>
      <c r="R918" s="16" t="n">
        <f aca="false">IF(D918="","",Q918/$B$15)</f>
        <v>0.25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9.16485562231697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43.0274911845867</v>
      </c>
      <c r="Z918" s="18" t="n">
        <f aca="false">IF(D918="","",MAX(0,IF(P918&gt;=0,P918,IF(K918+P918&gt;=0,0,P918+K918))))</f>
        <v>9.16485562231697</v>
      </c>
      <c r="AA918" s="18" t="n">
        <f aca="false">IF(D918="","",IF(H918&lt;=$B$16,1,IF(H918&gt;=$B$17,$B$21,MATCH(H918,Aux_CAV!$A$2:$A$121,1))))</f>
        <v>5</v>
      </c>
      <c r="AB918" s="18" t="n">
        <f aca="false">IF(D918="","",IF(L918&lt;=$B$16,1,IF(L918&gt;=$B$17,$B$21,MATCH(L918,Aux_CAV!$A$2:$A$121,1))))</f>
        <v>5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0.151892903421825</v>
      </c>
      <c r="E919" s="16" t="n">
        <f aca="false">IF(D919="","",D919*$B$15)</f>
        <v>0.39370640566937</v>
      </c>
      <c r="F919" s="16" t="n">
        <f aca="false" t="array" ref="F919:F919">IF(D919="","",IFERROR(INDEX(Dados_Evap!$C$2:$N$15,MATCH($B$9,Dados_Evap!$A$2:$A$15,0),C919),0))</f>
        <v>180.9</v>
      </c>
      <c r="G919" s="16" t="n">
        <f aca="false">IF(F919="","",F919/1000)</f>
        <v>0.1809</v>
      </c>
      <c r="H919" s="16" t="n">
        <f aca="false">IF(D919="","",MAX(0,MIN($B$8,IFERROR(LOOKUP(2,1/($U$24:U918&lt;&gt;""),$U$24:U918),$B$11))))</f>
        <v>9.16485562231697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0.901798306050342</v>
      </c>
      <c r="J919" s="16" t="n">
        <f aca="false">IF(D919="","",$B$12)</f>
        <v>0.25</v>
      </c>
      <c r="K919" s="16" t="n">
        <f aca="false">IF(J919="","",J919*$B$15)</f>
        <v>0.648</v>
      </c>
      <c r="L919" s="16" t="n">
        <f aca="false">IF(D919="","",H919+E919-K919-G919*I919)</f>
        <v>8.74742671442184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0.887945576806034</v>
      </c>
      <c r="N919" s="16" t="n">
        <f aca="false">IF(D919="","",(I919+M919)/2)</f>
        <v>0.894871941428188</v>
      </c>
      <c r="O919" s="16" t="n">
        <f aca="false">IF(D919="","",G919*N919)</f>
        <v>0.161882334204359</v>
      </c>
      <c r="P919" s="16" t="n">
        <f aca="false">IF(D919="","",H919+E919-K919-O919)</f>
        <v>8.74867969378199</v>
      </c>
      <c r="Q919" s="16" t="n">
        <f aca="false">IF(D919="","",IF(P919&gt;=0,K919,MAX(0,K919+P919)))</f>
        <v>0.648</v>
      </c>
      <c r="R919" s="16" t="n">
        <f aca="false">IF(D919="","",Q919/$B$15)</f>
        <v>0.25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8.74867969378199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41.0736135858309</v>
      </c>
      <c r="Z919" s="18" t="n">
        <f aca="false">IF(D919="","",MAX(0,IF(P919&gt;=0,P919,IF(K919+P919&gt;=0,0,P919+K919))))</f>
        <v>8.74867969378199</v>
      </c>
      <c r="AA919" s="18" t="n">
        <f aca="false">IF(D919="","",IF(H919&lt;=$B$16,1,IF(H919&gt;=$B$17,$B$21,MATCH(H919,Aux_CAV!$A$2:$A$121,1))))</f>
        <v>5</v>
      </c>
      <c r="AB919" s="18" t="n">
        <f aca="false">IF(D919="","",IF(L919&lt;=$B$16,1,IF(L919&gt;=$B$17,$B$21,MATCH(L919,Aux_CAV!$A$2:$A$121,1))))</f>
        <v>5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0.117254510529597</v>
      </c>
      <c r="E920" s="16" t="n">
        <f aca="false">IF(D920="","",D920*$B$15)</f>
        <v>0.303923691292715</v>
      </c>
      <c r="F920" s="16" t="n">
        <f aca="false" t="array" ref="F920:F920">IF(D920="","",IFERROR(INDEX(Dados_Evap!$C$2:$N$15,MATCH($B$9,Dados_Evap!$A$2:$A$15,0),C920),0))</f>
        <v>208.9</v>
      </c>
      <c r="G920" s="16" t="n">
        <f aca="false">IF(F920="","",F920/1000)</f>
        <v>0.2089</v>
      </c>
      <c r="H920" s="16" t="n">
        <f aca="false">IF(D920="","",MAX(0,MIN($B$8,IFERROR(LOOKUP(2,1/($U$24:U919&lt;&gt;""),$U$24:U919),$B$11))))</f>
        <v>8.74867969378199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0.887987157979491</v>
      </c>
      <c r="J920" s="16" t="n">
        <f aca="false">IF(D920="","",$B$12)</f>
        <v>0.25</v>
      </c>
      <c r="K920" s="16" t="n">
        <f aca="false">IF(J920="","",J920*$B$15)</f>
        <v>0.648</v>
      </c>
      <c r="L920" s="16" t="n">
        <f aca="false">IF(D920="","",H920+E920-K920-G920*I920)</f>
        <v>8.21910286777279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0.87041270578892</v>
      </c>
      <c r="N920" s="16" t="n">
        <f aca="false">IF(D920="","",(I920+M920)/2)</f>
        <v>0.879199931884205</v>
      </c>
      <c r="O920" s="16" t="n">
        <f aca="false">IF(D920="","",G920*N920)</f>
        <v>0.18366486577061</v>
      </c>
      <c r="P920" s="16" t="n">
        <f aca="false">IF(D920="","",H920+E920-K920-O920)</f>
        <v>8.22093851930409</v>
      </c>
      <c r="Q920" s="16" t="n">
        <f aca="false">IF(D920="","",IF(P920&gt;=0,K920,MAX(0,K920+P920)))</f>
        <v>0.648</v>
      </c>
      <c r="R920" s="16" t="n">
        <f aca="false">IF(D920="","",Q920/$B$15)</f>
        <v>0.25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8.22093851930409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38.5959554896906</v>
      </c>
      <c r="Z920" s="18" t="n">
        <f aca="false">IF(D920="","",MAX(0,IF(P920&gt;=0,P920,IF(K920+P920&gt;=0,0,P920+K920))))</f>
        <v>8.22093851930409</v>
      </c>
      <c r="AA920" s="18" t="n">
        <f aca="false">IF(D920="","",IF(H920&lt;=$B$16,1,IF(H920&gt;=$B$17,$B$21,MATCH(H920,Aux_CAV!$A$2:$A$121,1))))</f>
        <v>5</v>
      </c>
      <c r="AB920" s="18" t="n">
        <f aca="false">IF(D920="","",IF(L920&lt;=$B$16,1,IF(L920&gt;=$B$17,$B$21,MATCH(L920,Aux_CAV!$A$2:$A$121,1))))</f>
        <v>5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0.0803184070533048</v>
      </c>
      <c r="E921" s="16" t="n">
        <f aca="false">IF(D921="","",D921*$B$15)</f>
        <v>0.208185311082166</v>
      </c>
      <c r="F921" s="16" t="n">
        <f aca="false" t="array" ref="F921:F921">IF(D921="","",IFERROR(INDEX(Dados_Evap!$C$2:$N$15,MATCH($B$9,Dados_Evap!$A$2:$A$15,0),C921),0))</f>
        <v>235.9</v>
      </c>
      <c r="G921" s="16" t="n">
        <f aca="false">IF(F921="","",F921/1000)</f>
        <v>0.2359</v>
      </c>
      <c r="H921" s="16" t="n">
        <f aca="false">IF(D921="","",MAX(0,MIN($B$8,IFERROR(LOOKUP(2,1/($U$24:U920&lt;&gt;""),$U$24:U920),$B$11))))</f>
        <v>8.22093851930409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0.870473623428233</v>
      </c>
      <c r="J921" s="16" t="n">
        <f aca="false">IF(D921="","",$B$12)</f>
        <v>0.25</v>
      </c>
      <c r="K921" s="16" t="n">
        <f aca="false">IF(J921="","",J921*$B$15)</f>
        <v>0.648</v>
      </c>
      <c r="L921" s="16" t="n">
        <f aca="false">IF(D921="","",H921+E921-K921-G921*I921)</f>
        <v>7.57577910261954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0.849063465794896</v>
      </c>
      <c r="N921" s="16" t="n">
        <f aca="false">IF(D921="","",(I921+M921)/2)</f>
        <v>0.859768544611565</v>
      </c>
      <c r="O921" s="16" t="n">
        <f aca="false">IF(D921="","",G921*N921)</f>
        <v>0.202819399673868</v>
      </c>
      <c r="P921" s="16" t="n">
        <f aca="false">IF(D921="","",H921+E921-K921-O921)</f>
        <v>7.57830443071239</v>
      </c>
      <c r="Q921" s="16" t="n">
        <f aca="false">IF(D921="","",IF(P921&gt;=0,K921,MAX(0,K921+P921)))</f>
        <v>0.648</v>
      </c>
      <c r="R921" s="16" t="n">
        <f aca="false">IF(D921="","",Q921/$B$15)</f>
        <v>0.25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7.57830443071239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35.5788940409032</v>
      </c>
      <c r="Z921" s="18" t="n">
        <f aca="false">IF(D921="","",MAX(0,IF(P921&gt;=0,P921,IF(K921+P921&gt;=0,0,P921+K921))))</f>
        <v>7.57830443071239</v>
      </c>
      <c r="AA921" s="18" t="n">
        <f aca="false">IF(D921="","",IF(H921&lt;=$B$16,1,IF(H921&gt;=$B$17,$B$21,MATCH(H921,Aux_CAV!$A$2:$A$121,1))))</f>
        <v>5</v>
      </c>
      <c r="AB921" s="18" t="n">
        <f aca="false">IF(D921="","",IF(L921&lt;=$B$16,1,IF(L921&gt;=$B$17,$B$21,MATCH(L921,Aux_CAV!$A$2:$A$121,1))))</f>
        <v>5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0.0330901073566933</v>
      </c>
      <c r="E922" s="16" t="n">
        <f aca="false">IF(D922="","",D922*$B$15)</f>
        <v>0.085769558268549</v>
      </c>
      <c r="F922" s="16" t="n">
        <f aca="false" t="array" ref="F922:F922">IF(D922="","",IFERROR(INDEX(Dados_Evap!$C$2:$N$15,MATCH($B$9,Dados_Evap!$A$2:$A$15,0),C922),0))</f>
        <v>225.9</v>
      </c>
      <c r="G922" s="16" t="n">
        <f aca="false">IF(F922="","",F922/1000)</f>
        <v>0.2259</v>
      </c>
      <c r="H922" s="16" t="n">
        <f aca="false">IF(D922="","",MAX(0,MIN($B$8,IFERROR(LOOKUP(2,1/($U$24:U921&lt;&gt;""),$U$24:U921),$B$11))))</f>
        <v>7.57830443071239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0.849147270930721</v>
      </c>
      <c r="J922" s="16" t="n">
        <f aca="false">IF(D922="","",$B$12)</f>
        <v>0.25</v>
      </c>
      <c r="K922" s="16" t="n">
        <f aca="false">IF(J922="","",J922*$B$15)</f>
        <v>0.648</v>
      </c>
      <c r="L922" s="16" t="n">
        <f aca="false">IF(D922="","",H922+E922-K922-G922*I922)</f>
        <v>6.82425162047769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0.824123394484879</v>
      </c>
      <c r="N922" s="16" t="n">
        <f aca="false">IF(D922="","",(I922+M922)/2)</f>
        <v>0.8366353327078</v>
      </c>
      <c r="O922" s="16" t="n">
        <f aca="false">IF(D922="","",G922*N922)</f>
        <v>0.188995921658692</v>
      </c>
      <c r="P922" s="16" t="n">
        <f aca="false">IF(D922="","",H922+E922-K922-O922)</f>
        <v>6.82707806732225</v>
      </c>
      <c r="Q922" s="16" t="n">
        <f aca="false">IF(D922="","",IF(P922&gt;=0,K922,MAX(0,K922+P922)))</f>
        <v>0.648</v>
      </c>
      <c r="R922" s="16" t="n">
        <f aca="false">IF(D922="","",Q922/$B$15)</f>
        <v>0.25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6.82707806732225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32.0520097057382</v>
      </c>
      <c r="Z922" s="18" t="n">
        <f aca="false">IF(D922="","",MAX(0,IF(P922&gt;=0,P922,IF(K922+P922&gt;=0,0,P922+K922))))</f>
        <v>6.82707806732225</v>
      </c>
      <c r="AA922" s="18" t="n">
        <f aca="false">IF(D922="","",IF(H922&lt;=$B$16,1,IF(H922&gt;=$B$17,$B$21,MATCH(H922,Aux_CAV!$A$2:$A$121,1))))</f>
        <v>5</v>
      </c>
      <c r="AB922" s="18" t="n">
        <f aca="false">IF(D922="","",IF(L922&lt;=$B$16,1,IF(L922&gt;=$B$17,$B$21,MATCH(L922,Aux_CAV!$A$2:$A$121,1))))</f>
        <v>5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0.0279119145142136</v>
      </c>
      <c r="E923" s="16" t="n">
        <f aca="false">IF(D923="","",D923*$B$15)</f>
        <v>0.0723476824208417</v>
      </c>
      <c r="F923" s="16" t="n">
        <f aca="false" t="array" ref="F923:F923">IF(D923="","",IFERROR(INDEX(Dados_Evap!$C$2:$N$15,MATCH($B$9,Dados_Evap!$A$2:$A$15,0),C923),0))</f>
        <v>206</v>
      </c>
      <c r="G923" s="16" t="n">
        <f aca="false">IF(F923="","",F923/1000)</f>
        <v>0.206</v>
      </c>
      <c r="H923" s="16" t="n">
        <f aca="false">IF(D923="","",MAX(0,MIN($B$8,IFERROR(LOOKUP(2,1/($U$24:U922&lt;&gt;""),$U$24:U922),$B$11))))</f>
        <v>6.82707806732225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0.824217192499632</v>
      </c>
      <c r="J923" s="16" t="n">
        <f aca="false">IF(D923="","",$B$12)</f>
        <v>0.25</v>
      </c>
      <c r="K923" s="16" t="n">
        <f aca="false">IF(J923="","",J923*$B$15)</f>
        <v>0.648</v>
      </c>
      <c r="L923" s="16" t="n">
        <f aca="false">IF(D923="","",H923+E923-K923-G923*I923)</f>
        <v>6.08163700808816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0.78392882547181</v>
      </c>
      <c r="N923" s="16" t="n">
        <f aca="false">IF(D923="","",(I923+M923)/2)</f>
        <v>0.804073008985721</v>
      </c>
      <c r="O923" s="16" t="n">
        <f aca="false">IF(D923="","",G923*N923)</f>
        <v>0.165639039851058</v>
      </c>
      <c r="P923" s="16" t="n">
        <f aca="false">IF(D923="","",H923+E923-K923-O923)</f>
        <v>6.08578670989203</v>
      </c>
      <c r="Q923" s="16" t="n">
        <f aca="false">IF(D923="","",IF(P923&gt;=0,K923,MAX(0,K923+P923)))</f>
        <v>0.648</v>
      </c>
      <c r="R923" s="16" t="n">
        <f aca="false">IF(D923="","",Q923/$B$15)</f>
        <v>0.25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6.08578670989203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28.5717685910424</v>
      </c>
      <c r="Z923" s="18" t="n">
        <f aca="false">IF(D923="","",MAX(0,IF(P923&gt;=0,P923,IF(K923+P923&gt;=0,0,P923+K923))))</f>
        <v>6.08578670989203</v>
      </c>
      <c r="AA923" s="18" t="n">
        <f aca="false">IF(D923="","",IF(H923&lt;=$B$16,1,IF(H923&gt;=$B$17,$B$21,MATCH(H923,Aux_CAV!$A$2:$A$121,1))))</f>
        <v>5</v>
      </c>
      <c r="AB923" s="18" t="n">
        <f aca="false">IF(D923="","",IF(L923&lt;=$B$16,1,IF(L923&gt;=$B$17,$B$21,MATCH(L923,Aux_CAV!$A$2:$A$121,1))))</f>
        <v>4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0.633601272405217</v>
      </c>
      <c r="E924" s="16" t="n">
        <f aca="false">IF(D924="","",D924*$B$15)</f>
        <v>1.64229449807432</v>
      </c>
      <c r="F924" s="16" t="n">
        <f aca="false" t="array" ref="F924:F924">IF(D924="","",IFERROR(INDEX(Dados_Evap!$C$2:$N$15,MATCH($B$9,Dados_Evap!$A$2:$A$15,0),C924),0))</f>
        <v>165.6</v>
      </c>
      <c r="G924" s="16" t="n">
        <f aca="false">IF(F924="","",F924/1000)</f>
        <v>0.1656</v>
      </c>
      <c r="H924" s="16" t="n">
        <f aca="false">IF(D924="","",MAX(0,MIN($B$8,IFERROR(LOOKUP(2,1/($U$24:U923&lt;&gt;""),$U$24:U923),$B$11))))</f>
        <v>6.08578670989203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0.784170891410368</v>
      </c>
      <c r="J924" s="16" t="n">
        <f aca="false">IF(D924="","",$B$12)</f>
        <v>0.25</v>
      </c>
      <c r="K924" s="16" t="n">
        <f aca="false">IF(J924="","",J924*$B$15)</f>
        <v>0.648</v>
      </c>
      <c r="L924" s="16" t="n">
        <f aca="false">IF(D924="","",H924+E924-K924-G924*I924)</f>
        <v>6.9502225083488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0.82830384430361</v>
      </c>
      <c r="N924" s="16" t="n">
        <f aca="false">IF(D924="","",(I924+M924)/2)</f>
        <v>0.806237367856989</v>
      </c>
      <c r="O924" s="16" t="n">
        <f aca="false">IF(D924="","",G924*N924)</f>
        <v>0.133512908117117</v>
      </c>
      <c r="P924" s="16" t="n">
        <f aca="false">IF(D924="","",H924+E924-K924-O924)</f>
        <v>6.94656829984924</v>
      </c>
      <c r="Q924" s="16" t="n">
        <f aca="false">IF(D924="","",IF(P924&gt;=0,K924,MAX(0,K924+P924)))</f>
        <v>0.648</v>
      </c>
      <c r="R924" s="16" t="n">
        <f aca="false">IF(D924="","",Q924/$B$15)</f>
        <v>0.25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6.94656829984924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32.6129967129072</v>
      </c>
      <c r="Z924" s="18" t="n">
        <f aca="false">IF(D924="","",MAX(0,IF(P924&gt;=0,P924,IF(K924+P924&gt;=0,0,P924+K924))))</f>
        <v>6.94656829984924</v>
      </c>
      <c r="AA924" s="18" t="n">
        <f aca="false">IF(D924="","",IF(H924&lt;=$B$16,1,IF(H924&gt;=$B$17,$B$21,MATCH(H924,Aux_CAV!$A$2:$A$121,1))))</f>
        <v>4</v>
      </c>
      <c r="AB924" s="18" t="n">
        <f aca="false">IF(D924="","",IF(L924&lt;=$B$16,1,IF(L924&gt;=$B$17,$B$21,MATCH(L924,Aux_CAV!$A$2:$A$121,1))))</f>
        <v>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1.47029713982178</v>
      </c>
      <c r="E925" s="16" t="n">
        <f aca="false">IF(D925="","",D925*$B$15)</f>
        <v>3.81101018641805</v>
      </c>
      <c r="F925" s="16" t="n">
        <f aca="false" t="array" ref="F925:F925">IF(D925="","",IFERROR(INDEX(Dados_Evap!$C$2:$N$15,MATCH($B$9,Dados_Evap!$A$2:$A$15,0),C925),0))</f>
        <v>124.9</v>
      </c>
      <c r="G925" s="16" t="n">
        <f aca="false">IF(F925="","",F925/1000)</f>
        <v>0.1249</v>
      </c>
      <c r="H925" s="16" t="n">
        <f aca="false">IF(D925="","",MAX(0,MIN($B$8,IFERROR(LOOKUP(2,1/($U$24:U924&lt;&gt;""),$U$24:U924),$B$11))))</f>
        <v>6.94656829984924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0.82818257632243</v>
      </c>
      <c r="J925" s="16" t="n">
        <f aca="false">IF(D925="","",$B$12)</f>
        <v>0.25</v>
      </c>
      <c r="K925" s="16" t="n">
        <f aca="false">IF(J925="","",J925*$B$15)</f>
        <v>0.648</v>
      </c>
      <c r="L925" s="16" t="n">
        <f aca="false">IF(D925="","",H925+E925-K925-G925*I925)</f>
        <v>10.0061384824846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0.929716985038206</v>
      </c>
      <c r="N925" s="16" t="n">
        <f aca="false">IF(D925="","",(I925+M925)/2)</f>
        <v>0.878949780680318</v>
      </c>
      <c r="O925" s="16" t="n">
        <f aca="false">IF(D925="","",G925*N925)</f>
        <v>0.109780827606972</v>
      </c>
      <c r="P925" s="16" t="n">
        <f aca="false">IF(D925="","",H925+E925-K925-O925)</f>
        <v>9.99979765866032</v>
      </c>
      <c r="Q925" s="16" t="n">
        <f aca="false">IF(D925="","",IF(P925&gt;=0,K925,MAX(0,K925+P925)))</f>
        <v>0.648</v>
      </c>
      <c r="R925" s="16" t="n">
        <f aca="false">IF(D925="","",Q925/$B$15)</f>
        <v>0.25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9.99979765866032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46.9474068481705</v>
      </c>
      <c r="Z925" s="18" t="n">
        <f aca="false">IF(D925="","",MAX(0,IF(P925&gt;=0,P925,IF(K925+P925&gt;=0,0,P925+K925))))</f>
        <v>9.99979765866032</v>
      </c>
      <c r="AA925" s="18" t="n">
        <f aca="false">IF(D925="","",IF(H925&lt;=$B$16,1,IF(H925&gt;=$B$17,$B$21,MATCH(H925,Aux_CAV!$A$2:$A$121,1))))</f>
        <v>5</v>
      </c>
      <c r="AB925" s="18" t="n">
        <f aca="false">IF(D925="","",IF(L925&lt;=$B$16,1,IF(L925&gt;=$B$17,$B$21,MATCH(L925,Aux_CAV!$A$2:$A$121,1))))</f>
        <v>5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2.55090518506601</v>
      </c>
      <c r="E926" s="16" t="n">
        <f aca="false">IF(D926="","",D926*$B$15)</f>
        <v>6.6119462396911</v>
      </c>
      <c r="F926" s="16" t="n">
        <f aca="false" t="array" ref="F926:F926">IF(D926="","",IFERROR(INDEX(Dados_Evap!$C$2:$N$15,MATCH($B$9,Dados_Evap!$A$2:$A$15,0),C926),0))</f>
        <v>88.2</v>
      </c>
      <c r="G926" s="16" t="n">
        <f aca="false">IF(F926="","",F926/1000)</f>
        <v>0.0882</v>
      </c>
      <c r="H926" s="16" t="n">
        <f aca="false">IF(D926="","",MAX(0,MIN($B$8,IFERROR(LOOKUP(2,1/($U$24:U925&lt;&gt;""),$U$24:U925),$B$11))))</f>
        <v>9.99979765866032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0.929506559468816</v>
      </c>
      <c r="J926" s="16" t="n">
        <f aca="false">IF(D926="","",$B$12)</f>
        <v>0.25</v>
      </c>
      <c r="K926" s="16" t="n">
        <f aca="false">IF(J926="","",J926*$B$15)</f>
        <v>0.648</v>
      </c>
      <c r="L926" s="16" t="n">
        <f aca="false">IF(D926="","",H926+E926-K926-G926*I926)</f>
        <v>15.8817614198063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1.11981085848149</v>
      </c>
      <c r="N926" s="16" t="n">
        <f aca="false">IF(D926="","",(I926+M926)/2)</f>
        <v>1.02465870897515</v>
      </c>
      <c r="O926" s="16" t="n">
        <f aca="false">IF(D926="","",G926*N926)</f>
        <v>0.0903748981316083</v>
      </c>
      <c r="P926" s="16" t="n">
        <f aca="false">IF(D926="","",H926+E926-K926-O926)</f>
        <v>15.8733690002198</v>
      </c>
      <c r="Q926" s="16" t="n">
        <f aca="false">IF(D926="","",IF(P926&gt;=0,K926,MAX(0,K926+P926)))</f>
        <v>0.648</v>
      </c>
      <c r="R926" s="16" t="n">
        <f aca="false">IF(D926="","",Q926/$B$15)</f>
        <v>0.25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15.8733690002198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74.5228591559615</v>
      </c>
      <c r="Z926" s="18" t="n">
        <f aca="false">IF(D926="","",MAX(0,IF(P926&gt;=0,P926,IF(K926+P926&gt;=0,0,P926+K926))))</f>
        <v>15.8733690002198</v>
      </c>
      <c r="AA926" s="18" t="n">
        <f aca="false">IF(D926="","",IF(H926&lt;=$B$16,1,IF(H926&gt;=$B$17,$B$21,MATCH(H926,Aux_CAV!$A$2:$A$121,1))))</f>
        <v>5</v>
      </c>
      <c r="AB926" s="18" t="n">
        <f aca="false">IF(D926="","",IF(L926&lt;=$B$16,1,IF(L926&gt;=$B$17,$B$21,MATCH(L926,Aux_CAV!$A$2:$A$121,1))))</f>
        <v>6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3.2477717471823</v>
      </c>
      <c r="E927" s="16" t="n">
        <f aca="false">IF(D927="","",D927*$B$15)</f>
        <v>8.41822436869652</v>
      </c>
      <c r="F927" s="16" t="n">
        <f aca="false" t="array" ref="F927:F927">IF(D927="","",IFERROR(INDEX(Dados_Evap!$C$2:$N$15,MATCH($B$9,Dados_Evap!$A$2:$A$15,0),C927),0))</f>
        <v>88.2</v>
      </c>
      <c r="G927" s="16" t="n">
        <f aca="false">IF(F927="","",F927/1000)</f>
        <v>0.0882</v>
      </c>
      <c r="H927" s="16" t="n">
        <f aca="false">IF(D927="","",MAX(0,MIN($B$8,IFERROR(LOOKUP(2,1/($U$24:U926&lt;&gt;""),$U$24:U926),$B$11))))</f>
        <v>15.8733690002198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1.11954115879723</v>
      </c>
      <c r="J927" s="16" t="n">
        <f aca="false">IF(D927="","",$B$12)</f>
        <v>0.25</v>
      </c>
      <c r="K927" s="16" t="n">
        <f aca="false">IF(J927="","",J927*$B$15)</f>
        <v>0.648</v>
      </c>
      <c r="L927" s="16" t="n">
        <f aca="false">IF(D927="","",H927+E927-K927-G927*I927)</f>
        <v>23.5448498387104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1.27506386419695</v>
      </c>
      <c r="N927" s="16" t="n">
        <f aca="false">IF(D927="","",(I927+M927)/2)</f>
        <v>1.19730251149709</v>
      </c>
      <c r="O927" s="16" t="n">
        <f aca="false">IF(D927="","",G927*N927)</f>
        <v>0.105602081514044</v>
      </c>
      <c r="P927" s="16" t="n">
        <f aca="false">IF(D927="","",H927+E927-K927-O927)</f>
        <v>23.5379912874023</v>
      </c>
      <c r="Q927" s="16" t="n">
        <f aca="false">IF(D927="","",IF(P927&gt;=0,K927,MAX(0,K927+P927)))</f>
        <v>0.648</v>
      </c>
      <c r="R927" s="16" t="n">
        <f aca="false">IF(D927="","",Q927/$B$15)</f>
        <v>0.25</v>
      </c>
      <c r="S927" s="16" t="n">
        <f aca="false">IF(D927="","",MAX(0,J927-R927))</f>
        <v>0</v>
      </c>
      <c r="T927" s="16" t="n">
        <f aca="false">IF(D927="","",MAX(0,Z927-$B$8))</f>
        <v>2.23799128740228</v>
      </c>
      <c r="U927" s="16" t="n">
        <f aca="false">IF(D927="","",MAX(0,MIN($B$8,Z927)))</f>
        <v>21.3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23.5379912874023</v>
      </c>
      <c r="AA927" s="18" t="n">
        <f aca="false">IF(D927="","",IF(H927&lt;=$B$16,1,IF(H927&gt;=$B$17,$B$21,MATCH(H927,Aux_CAV!$A$2:$A$121,1))))</f>
        <v>6</v>
      </c>
      <c r="AB927" s="18" t="n">
        <f aca="false">IF(D927="","",IF(L927&lt;=$B$16,1,IF(L927&gt;=$B$17,$B$21,MATCH(L927,Aux_CAV!$A$2:$A$121,1))))</f>
        <v>9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1.57498033498297</v>
      </c>
      <c r="E928" s="16" t="n">
        <f aca="false">IF(D928="","",D928*$B$15)</f>
        <v>4.08234902827586</v>
      </c>
      <c r="F928" s="16" t="n">
        <f aca="false" t="array" ref="F928:F928">IF(D928="","",IFERROR(INDEX(Dados_Evap!$C$2:$N$15,MATCH($B$9,Dados_Evap!$A$2:$A$15,0),C928),0))</f>
        <v>83.9</v>
      </c>
      <c r="G928" s="16" t="n">
        <f aca="false">IF(F928="","",F928/1000)</f>
        <v>0.0839</v>
      </c>
      <c r="H928" s="16" t="n">
        <f aca="false">IF(D928="","",MAX(0,MIN($B$8,IFERROR(LOOKUP(2,1/($U$24:U927&lt;&gt;""),$U$24:U927),$B$11))))</f>
        <v>21.3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1.23</v>
      </c>
      <c r="J928" s="16" t="n">
        <f aca="false">IF(D928="","",$B$12)</f>
        <v>0.25</v>
      </c>
      <c r="K928" s="16" t="n">
        <f aca="false">IF(J928="","",J928*$B$15)</f>
        <v>0.648</v>
      </c>
      <c r="L928" s="16" t="n">
        <f aca="false">IF(D928="","",H928+E928-K928-G928*I928)</f>
        <v>24.6311520282759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1.3011220876348</v>
      </c>
      <c r="N928" s="16" t="n">
        <f aca="false">IF(D928="","",(I928+M928)/2)</f>
        <v>1.2655610438174</v>
      </c>
      <c r="O928" s="16" t="n">
        <f aca="false">IF(D928="","",G928*N928)</f>
        <v>0.10618057157628</v>
      </c>
      <c r="P928" s="16" t="n">
        <f aca="false">IF(D928="","",H928+E928-K928-O928)</f>
        <v>24.6281684566996</v>
      </c>
      <c r="Q928" s="16" t="n">
        <f aca="false">IF(D928="","",IF(P928&gt;=0,K928,MAX(0,K928+P928)))</f>
        <v>0.648</v>
      </c>
      <c r="R928" s="16" t="n">
        <f aca="false">IF(D928="","",Q928/$B$15)</f>
        <v>0.25</v>
      </c>
      <c r="S928" s="16" t="n">
        <f aca="false">IF(D928="","",MAX(0,J928-R928))</f>
        <v>0</v>
      </c>
      <c r="T928" s="16" t="n">
        <f aca="false">IF(D928="","",MAX(0,Z928-$B$8))</f>
        <v>3.32816845669958</v>
      </c>
      <c r="U928" s="16" t="n">
        <f aca="false">IF(D928="","",MAX(0,MIN($B$8,Z928)))</f>
        <v>21.3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24.6281684566996</v>
      </c>
      <c r="AA928" s="18" t="n">
        <f aca="false">IF(D928="","",IF(H928&lt;=$B$16,1,IF(H928&gt;=$B$17,$B$21,MATCH(H928,Aux_CAV!$A$2:$A$121,1))))</f>
        <v>8</v>
      </c>
      <c r="AB928" s="18" t="n">
        <f aca="false">IF(D928="","",IF(L928&lt;=$B$16,1,IF(L928&gt;=$B$17,$B$21,MATCH(L928,Aux_CAV!$A$2:$A$121,1))))</f>
        <v>9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0.992467841080278</v>
      </c>
      <c r="E929" s="16" t="n">
        <f aca="false">IF(D929="","",D929*$B$15)</f>
        <v>2.57247664408008</v>
      </c>
      <c r="F929" s="16" t="n">
        <f aca="false" t="array" ref="F929:F929">IF(D929="","",IFERROR(INDEX(Dados_Evap!$C$2:$N$15,MATCH($B$9,Dados_Evap!$A$2:$A$15,0),C929),0))</f>
        <v>104.7</v>
      </c>
      <c r="G929" s="16" t="n">
        <f aca="false">IF(F929="","",F929/1000)</f>
        <v>0.1047</v>
      </c>
      <c r="H929" s="16" t="n">
        <f aca="false">IF(D929="","",MAX(0,MIN($B$8,IFERROR(LOOKUP(2,1/($U$24:U928&lt;&gt;""),$U$24:U928),$B$11))))</f>
        <v>21.3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1.23</v>
      </c>
      <c r="J929" s="16" t="n">
        <f aca="false">IF(D929="","",$B$12)</f>
        <v>0.25</v>
      </c>
      <c r="K929" s="16" t="n">
        <f aca="false">IF(J929="","",J929*$B$15)</f>
        <v>0.648</v>
      </c>
      <c r="L929" s="16" t="n">
        <f aca="false">IF(D929="","",H929+E929-K929-G929*I929)</f>
        <v>23.0956956440801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1.26428955068258</v>
      </c>
      <c r="N929" s="16" t="n">
        <f aca="false">IF(D929="","",(I929+M929)/2)</f>
        <v>1.24714477534129</v>
      </c>
      <c r="O929" s="16" t="n">
        <f aca="false">IF(D929="","",G929*N929)</f>
        <v>0.130576057978233</v>
      </c>
      <c r="P929" s="16" t="n">
        <f aca="false">IF(D929="","",H929+E929-K929-O929)</f>
        <v>23.0939005861019</v>
      </c>
      <c r="Q929" s="16" t="n">
        <f aca="false">IF(D929="","",IF(P929&gt;=0,K929,MAX(0,K929+P929)))</f>
        <v>0.648</v>
      </c>
      <c r="R929" s="16" t="n">
        <f aca="false">IF(D929="","",Q929/$B$15)</f>
        <v>0.25</v>
      </c>
      <c r="S929" s="16" t="n">
        <f aca="false">IF(D929="","",MAX(0,J929-R929))</f>
        <v>0</v>
      </c>
      <c r="T929" s="16" t="n">
        <f aca="false">IF(D929="","",MAX(0,Z929-$B$8))</f>
        <v>1.79390058610185</v>
      </c>
      <c r="U929" s="16" t="n">
        <f aca="false">IF(D929="","",MAX(0,MIN($B$8,Z929)))</f>
        <v>21.3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23.0939005861019</v>
      </c>
      <c r="AA929" s="18" t="n">
        <f aca="false">IF(D929="","",IF(H929&lt;=$B$16,1,IF(H929&gt;=$B$17,$B$21,MATCH(H929,Aux_CAV!$A$2:$A$121,1))))</f>
        <v>8</v>
      </c>
      <c r="AB929" s="18" t="n">
        <f aca="false">IF(D929="","",IF(L929&lt;=$B$16,1,IF(L929&gt;=$B$17,$B$21,MATCH(L929,Aux_CAV!$A$2:$A$121,1))))</f>
        <v>9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0.696179418568346</v>
      </c>
      <c r="E930" s="16" t="n">
        <f aca="false">IF(D930="","",D930*$B$15)</f>
        <v>1.80449705292915</v>
      </c>
      <c r="F930" s="16" t="n">
        <f aca="false" t="array" ref="F930:F930">IF(D930="","",IFERROR(INDEX(Dados_Evap!$C$2:$N$15,MATCH($B$9,Dados_Evap!$A$2:$A$15,0),C930),0))</f>
        <v>145.2</v>
      </c>
      <c r="G930" s="16" t="n">
        <f aca="false">IF(F930="","",F930/1000)</f>
        <v>0.1452</v>
      </c>
      <c r="H930" s="16" t="n">
        <f aca="false">IF(D930="","",MAX(0,MIN($B$8,IFERROR(LOOKUP(2,1/($U$24:U929&lt;&gt;""),$U$24:U929),$B$11))))</f>
        <v>21.3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1.23</v>
      </c>
      <c r="J930" s="16" t="n">
        <f aca="false">IF(D930="","",$B$12)</f>
        <v>0.25</v>
      </c>
      <c r="K930" s="16" t="n">
        <f aca="false">IF(J930="","",J930*$B$15)</f>
        <v>0.648</v>
      </c>
      <c r="L930" s="16" t="n">
        <f aca="false">IF(D930="","",H930+E930-K930-G930*I930)</f>
        <v>22.2779010529292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1.24629835088215</v>
      </c>
      <c r="N930" s="16" t="n">
        <f aca="false">IF(D930="","",(I930+M930)/2)</f>
        <v>1.23814917544108</v>
      </c>
      <c r="O930" s="16" t="n">
        <f aca="false">IF(D930="","",G930*N930)</f>
        <v>0.179779260274044</v>
      </c>
      <c r="P930" s="16" t="n">
        <f aca="false">IF(D930="","",H930+E930-K930-O930)</f>
        <v>22.2767177926551</v>
      </c>
      <c r="Q930" s="16" t="n">
        <f aca="false">IF(D930="","",IF(P930&gt;=0,K930,MAX(0,K930+P930)))</f>
        <v>0.648</v>
      </c>
      <c r="R930" s="16" t="n">
        <f aca="false">IF(D930="","",Q930/$B$15)</f>
        <v>0.25</v>
      </c>
      <c r="S930" s="16" t="n">
        <f aca="false">IF(D930="","",MAX(0,J930-R930))</f>
        <v>0</v>
      </c>
      <c r="T930" s="16" t="n">
        <f aca="false">IF(D930="","",MAX(0,Z930-$B$8))</f>
        <v>0.976717792655109</v>
      </c>
      <c r="U930" s="16" t="n">
        <f aca="false">IF(D930="","",MAX(0,MIN($B$8,Z930)))</f>
        <v>21.3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22.2767177926551</v>
      </c>
      <c r="AA930" s="18" t="n">
        <f aca="false">IF(D930="","",IF(H930&lt;=$B$16,1,IF(H930&gt;=$B$17,$B$21,MATCH(H930,Aux_CAV!$A$2:$A$121,1))))</f>
        <v>8</v>
      </c>
      <c r="AB930" s="18" t="n">
        <f aca="false">IF(D930="","",IF(L930&lt;=$B$16,1,IF(L930&gt;=$B$17,$B$21,MATCH(L930,Aux_CAV!$A$2:$A$121,1))))</f>
        <v>8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0.285843355483621</v>
      </c>
      <c r="E931" s="16" t="n">
        <f aca="false">IF(D931="","",D931*$B$15)</f>
        <v>0.740905977413546</v>
      </c>
      <c r="F931" s="16" t="n">
        <f aca="false" t="array" ref="F931:F931">IF(D931="","",IFERROR(INDEX(Dados_Evap!$C$2:$N$15,MATCH($B$9,Dados_Evap!$A$2:$A$15,0),C931),0))</f>
        <v>180.9</v>
      </c>
      <c r="G931" s="16" t="n">
        <f aca="false">IF(F931="","",F931/1000)</f>
        <v>0.1809</v>
      </c>
      <c r="H931" s="16" t="n">
        <f aca="false">IF(D931="","",MAX(0,MIN($B$8,IFERROR(LOOKUP(2,1/($U$24:U930&lt;&gt;""),$U$24:U930),$B$11))))</f>
        <v>21.3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1.23</v>
      </c>
      <c r="J931" s="16" t="n">
        <f aca="false">IF(D931="","",$B$12)</f>
        <v>0.25</v>
      </c>
      <c r="K931" s="16" t="n">
        <f aca="false">IF(J931="","",J931*$B$15)</f>
        <v>0.648</v>
      </c>
      <c r="L931" s="16" t="n">
        <f aca="false">IF(D931="","",H931+E931-K931-G931*I931)</f>
        <v>21.1703989774135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1.22756490771758</v>
      </c>
      <c r="N931" s="16" t="n">
        <f aca="false">IF(D931="","",(I931+M931)/2)</f>
        <v>1.22878245385879</v>
      </c>
      <c r="O931" s="16" t="n">
        <f aca="false">IF(D931="","",G931*N931)</f>
        <v>0.222286745903055</v>
      </c>
      <c r="P931" s="16" t="n">
        <f aca="false">IF(D931="","",H931+E931-K931-O931)</f>
        <v>21.1706192315105</v>
      </c>
      <c r="Q931" s="16" t="n">
        <f aca="false">IF(D931="","",IF(P931&gt;=0,K931,MAX(0,K931+P931)))</f>
        <v>0.648</v>
      </c>
      <c r="R931" s="16" t="n">
        <f aca="false">IF(D931="","",Q931/$B$15)</f>
        <v>0.25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21.1706192315105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99.3925785516925</v>
      </c>
      <c r="Z931" s="18" t="n">
        <f aca="false">IF(D931="","",MAX(0,IF(P931&gt;=0,P931,IF(K931+P931&gt;=0,0,P931+K931))))</f>
        <v>21.1706192315105</v>
      </c>
      <c r="AA931" s="18" t="n">
        <f aca="false">IF(D931="","",IF(H931&lt;=$B$16,1,IF(H931&gt;=$B$17,$B$21,MATCH(H931,Aux_CAV!$A$2:$A$121,1))))</f>
        <v>8</v>
      </c>
      <c r="AB931" s="18" t="n">
        <f aca="false">IF(D931="","",IF(L931&lt;=$B$16,1,IF(L931&gt;=$B$17,$B$21,MATCH(L931,Aux_CAV!$A$2:$A$121,1))))</f>
        <v>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0.188620080140847</v>
      </c>
      <c r="E932" s="16" t="n">
        <f aca="false">IF(D932="","",D932*$B$15)</f>
        <v>0.488903247725075</v>
      </c>
      <c r="F932" s="16" t="n">
        <f aca="false" t="array" ref="F932:F932">IF(D932="","",IFERROR(INDEX(Dados_Evap!$C$2:$N$15,MATCH($B$9,Dados_Evap!$A$2:$A$15,0),C932),0))</f>
        <v>208.9</v>
      </c>
      <c r="G932" s="16" t="n">
        <f aca="false">IF(F932="","",F932/1000)</f>
        <v>0.2089</v>
      </c>
      <c r="H932" s="16" t="n">
        <f aca="false">IF(D932="","",MAX(0,MIN($B$8,IFERROR(LOOKUP(2,1/($U$24:U931&lt;&gt;""),$U$24:U931),$B$11))))</f>
        <v>21.1706192315105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1.22756904610354</v>
      </c>
      <c r="J932" s="16" t="n">
        <f aca="false">IF(D932="","",$B$12)</f>
        <v>0.25</v>
      </c>
      <c r="K932" s="16" t="n">
        <f aca="false">IF(J932="","",J932*$B$15)</f>
        <v>0.648</v>
      </c>
      <c r="L932" s="16" t="n">
        <f aca="false">IF(D932="","",H932+E932-K932-G932*I932)</f>
        <v>20.7550833055045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1.21976148173182</v>
      </c>
      <c r="N932" s="16" t="n">
        <f aca="false">IF(D932="","",(I932+M932)/2)</f>
        <v>1.22366526391768</v>
      </c>
      <c r="O932" s="16" t="n">
        <f aca="false">IF(D932="","",G932*N932)</f>
        <v>0.255623673632403</v>
      </c>
      <c r="P932" s="16" t="n">
        <f aca="false">IF(D932="","",H932+E932-K932-O932)</f>
        <v>20.7558988056032</v>
      </c>
      <c r="Q932" s="16" t="n">
        <f aca="false">IF(D932="","",IF(P932&gt;=0,K932,MAX(0,K932+P932)))</f>
        <v>0.648</v>
      </c>
      <c r="R932" s="16" t="n">
        <f aca="false">IF(D932="","",Q932/$B$15)</f>
        <v>0.25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20.7558988056032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97.4455342986064</v>
      </c>
      <c r="Z932" s="18" t="n">
        <f aca="false">IF(D932="","",MAX(0,IF(P932&gt;=0,P932,IF(K932+P932&gt;=0,0,P932+K932))))</f>
        <v>20.7558988056032</v>
      </c>
      <c r="AA932" s="18" t="n">
        <f aca="false">IF(D932="","",IF(H932&lt;=$B$16,1,IF(H932&gt;=$B$17,$B$21,MATCH(H932,Aux_CAV!$A$2:$A$121,1))))</f>
        <v>7</v>
      </c>
      <c r="AB932" s="18" t="n">
        <f aca="false">IF(D932="","",IF(L932&lt;=$B$16,1,IF(L932&gt;=$B$17,$B$21,MATCH(L932,Aux_CAV!$A$2:$A$121,1))))</f>
        <v>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0.0982582026624006</v>
      </c>
      <c r="E933" s="16" t="n">
        <f aca="false">IF(D933="","",D933*$B$15)</f>
        <v>0.254685261300942</v>
      </c>
      <c r="F933" s="16" t="n">
        <f aca="false" t="array" ref="F933:F933">IF(D933="","",IFERROR(INDEX(Dados_Evap!$C$2:$N$15,MATCH($B$9,Dados_Evap!$A$2:$A$15,0),C933),0))</f>
        <v>235.9</v>
      </c>
      <c r="G933" s="16" t="n">
        <f aca="false">IF(F933="","",F933/1000)</f>
        <v>0.2359</v>
      </c>
      <c r="H933" s="16" t="n">
        <f aca="false">IF(D933="","",MAX(0,MIN($B$8,IFERROR(LOOKUP(2,1/($U$24:U932&lt;&gt;""),$U$24:U932),$B$11))))</f>
        <v>20.7558988056032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1.21977680428064</v>
      </c>
      <c r="J933" s="16" t="n">
        <f aca="false">IF(D933="","",$B$12)</f>
        <v>0.25</v>
      </c>
      <c r="K933" s="16" t="n">
        <f aca="false">IF(J933="","",J933*$B$15)</f>
        <v>0.648</v>
      </c>
      <c r="L933" s="16" t="n">
        <f aca="false">IF(D933="","",H933+E933-K933-G933*I933)</f>
        <v>20.0748387187743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1.20698026820244</v>
      </c>
      <c r="N933" s="16" t="n">
        <f aca="false">IF(D933="","",(I933+M933)/2)</f>
        <v>1.21337853624154</v>
      </c>
      <c r="O933" s="16" t="n">
        <f aca="false">IF(D933="","",G933*N933)</f>
        <v>0.28623599669938</v>
      </c>
      <c r="P933" s="16" t="n">
        <f aca="false">IF(D933="","",H933+E933-K933-O933)</f>
        <v>20.0763480702047</v>
      </c>
      <c r="Q933" s="16" t="n">
        <f aca="false">IF(D933="","",IF(P933&gt;=0,K933,MAX(0,K933+P933)))</f>
        <v>0.648</v>
      </c>
      <c r="R933" s="16" t="n">
        <f aca="false">IF(D933="","",Q933/$B$15)</f>
        <v>0.25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20.0763480702047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94.2551552591771</v>
      </c>
      <c r="Z933" s="18" t="n">
        <f aca="false">IF(D933="","",MAX(0,IF(P933&gt;=0,P933,IF(K933+P933&gt;=0,0,P933+K933))))</f>
        <v>20.0763480702047</v>
      </c>
      <c r="AA933" s="18" t="n">
        <f aca="false">IF(D933="","",IF(H933&lt;=$B$16,1,IF(H933&gt;=$B$17,$B$21,MATCH(H933,Aux_CAV!$A$2:$A$121,1))))</f>
        <v>7</v>
      </c>
      <c r="AB933" s="18" t="n">
        <f aca="false">IF(D933="","",IF(L933&lt;=$B$16,1,IF(L933&gt;=$B$17,$B$21,MATCH(L933,Aux_CAV!$A$2:$A$121,1))))</f>
        <v>7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0.0547767639159735</v>
      </c>
      <c r="E934" s="16" t="n">
        <f aca="false">IF(D934="","",D934*$B$15)</f>
        <v>0.141981372070203</v>
      </c>
      <c r="F934" s="16" t="n">
        <f aca="false" t="array" ref="F934:F934">IF(D934="","",IFERROR(INDEX(Dados_Evap!$C$2:$N$15,MATCH($B$9,Dados_Evap!$A$2:$A$15,0),C934),0))</f>
        <v>225.9</v>
      </c>
      <c r="G934" s="16" t="n">
        <f aca="false">IF(F934="","",F934/1000)</f>
        <v>0.2259</v>
      </c>
      <c r="H934" s="16" t="n">
        <f aca="false">IF(D934="","",MAX(0,MIN($B$8,IFERROR(LOOKUP(2,1/($U$24:U933&lt;&gt;""),$U$24:U933),$B$11))))</f>
        <v>20.0763480702047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1.20700862762389</v>
      </c>
      <c r="J934" s="16" t="n">
        <f aca="false">IF(D934="","",$B$12)</f>
        <v>0.25</v>
      </c>
      <c r="K934" s="16" t="n">
        <f aca="false">IF(J934="","",J934*$B$15)</f>
        <v>0.648</v>
      </c>
      <c r="L934" s="16" t="n">
        <f aca="false">IF(D934="","",H934+E934-K934-G934*I934)</f>
        <v>19.2976661932947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1.19237786166942</v>
      </c>
      <c r="N934" s="16" t="n">
        <f aca="false">IF(D934="","",(I934+M934)/2)</f>
        <v>1.19969324464665</v>
      </c>
      <c r="O934" s="16" t="n">
        <f aca="false">IF(D934="","",G934*N934)</f>
        <v>0.271010703965679</v>
      </c>
      <c r="P934" s="16" t="n">
        <f aca="false">IF(D934="","",H934+E934-K934-O934)</f>
        <v>19.2993187383093</v>
      </c>
      <c r="Q934" s="16" t="n">
        <f aca="false">IF(D934="","",IF(P934&gt;=0,K934,MAX(0,K934+P934)))</f>
        <v>0.648</v>
      </c>
      <c r="R934" s="16" t="n">
        <f aca="false">IF(D934="","",Q934/$B$15)</f>
        <v>0.25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19.2993187383093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90.607130226804</v>
      </c>
      <c r="Z934" s="18" t="n">
        <f aca="false">IF(D934="","",MAX(0,IF(P934&gt;=0,P934,IF(K934+P934&gt;=0,0,P934+K934))))</f>
        <v>19.2993187383093</v>
      </c>
      <c r="AA934" s="18" t="n">
        <f aca="false">IF(D934="","",IF(H934&lt;=$B$16,1,IF(H934&gt;=$B$17,$B$21,MATCH(H934,Aux_CAV!$A$2:$A$121,1))))</f>
        <v>7</v>
      </c>
      <c r="AB934" s="18" t="n">
        <f aca="false">IF(D934="","",IF(L934&lt;=$B$16,1,IF(L934&gt;=$B$17,$B$21,MATCH(L934,Aux_CAV!$A$2:$A$121,1))))</f>
        <v>7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0.24843478863518</v>
      </c>
      <c r="E935" s="16" t="n">
        <f aca="false">IF(D935="","",D935*$B$15)</f>
        <v>0.643942972142387</v>
      </c>
      <c r="F935" s="16" t="n">
        <f aca="false" t="array" ref="F935:F935">IF(D935="","",IFERROR(INDEX(Dados_Evap!$C$2:$N$15,MATCH($B$9,Dados_Evap!$A$2:$A$15,0),C935),0))</f>
        <v>206</v>
      </c>
      <c r="G935" s="16" t="n">
        <f aca="false">IF(F935="","",F935/1000)</f>
        <v>0.206</v>
      </c>
      <c r="H935" s="16" t="n">
        <f aca="false">IF(D935="","",MAX(0,MIN($B$8,IFERROR(LOOKUP(2,1/($U$24:U934&lt;&gt;""),$U$24:U934),$B$11))))</f>
        <v>19.2993187383093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1.19240891157575</v>
      </c>
      <c r="J935" s="16" t="n">
        <f aca="false">IF(D935="","",$B$12)</f>
        <v>0.25</v>
      </c>
      <c r="K935" s="16" t="n">
        <f aca="false">IF(J935="","",J935*$B$15)</f>
        <v>0.648</v>
      </c>
      <c r="L935" s="16" t="n">
        <f aca="false">IF(D935="","",H935+E935-K935-G935*I935)</f>
        <v>19.049625474667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1.18771738887683</v>
      </c>
      <c r="N935" s="16" t="n">
        <f aca="false">IF(D935="","",(I935+M935)/2)</f>
        <v>1.19006315022629</v>
      </c>
      <c r="O935" s="16" t="n">
        <f aca="false">IF(D935="","",G935*N935)</f>
        <v>0.245153008946616</v>
      </c>
      <c r="P935" s="16" t="n">
        <f aca="false">IF(D935="","",H935+E935-K935-O935)</f>
        <v>19.050108701505</v>
      </c>
      <c r="Q935" s="16" t="n">
        <f aca="false">IF(D935="","",IF(P935&gt;=0,K935,MAX(0,K935+P935)))</f>
        <v>0.648</v>
      </c>
      <c r="R935" s="16" t="n">
        <f aca="false">IF(D935="","",Q935/$B$15)</f>
        <v>0.25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19.050108701505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89.4371300540142</v>
      </c>
      <c r="Z935" s="18" t="n">
        <f aca="false">IF(D935="","",MAX(0,IF(P935&gt;=0,P935,IF(K935+P935&gt;=0,0,P935+K935))))</f>
        <v>19.050108701505</v>
      </c>
      <c r="AA935" s="18" t="n">
        <f aca="false">IF(D935="","",IF(H935&lt;=$B$16,1,IF(H935&gt;=$B$17,$B$21,MATCH(H935,Aux_CAV!$A$2:$A$121,1))))</f>
        <v>7</v>
      </c>
      <c r="AB935" s="18" t="n">
        <f aca="false">IF(D935="","",IF(L935&lt;=$B$16,1,IF(L935&gt;=$B$17,$B$21,MATCH(L935,Aux_CAV!$A$2:$A$121,1))))</f>
        <v>7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0.220877818055993</v>
      </c>
      <c r="E936" s="16" t="n">
        <f aca="false">IF(D936="","",D936*$B$15)</f>
        <v>0.572515304401134</v>
      </c>
      <c r="F936" s="16" t="n">
        <f aca="false" t="array" ref="F936:F936">IF(D936="","",IFERROR(INDEX(Dados_Evap!$C$2:$N$15,MATCH($B$9,Dados_Evap!$A$2:$A$15,0),C936),0))</f>
        <v>165.6</v>
      </c>
      <c r="G936" s="16" t="n">
        <f aca="false">IF(F936="","",F936/1000)</f>
        <v>0.1656</v>
      </c>
      <c r="H936" s="16" t="n">
        <f aca="false">IF(D936="","",MAX(0,MIN($B$8,IFERROR(LOOKUP(2,1/($U$24:U935&lt;&gt;""),$U$24:U935),$B$11))))</f>
        <v>19.050108701505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1.1877264682955</v>
      </c>
      <c r="J936" s="16" t="n">
        <f aca="false">IF(D936="","",$B$12)</f>
        <v>0.25</v>
      </c>
      <c r="K936" s="16" t="n">
        <f aca="false">IF(J936="","",J936*$B$15)</f>
        <v>0.648</v>
      </c>
      <c r="L936" s="16" t="n">
        <f aca="false">IF(D936="","",H936+E936-K936-G936*I936)</f>
        <v>18.7779365027564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1.18261258564678</v>
      </c>
      <c r="N936" s="16" t="n">
        <f aca="false">IF(D936="","",(I936+M936)/2)</f>
        <v>1.18516952697114</v>
      </c>
      <c r="O936" s="16" t="n">
        <f aca="false">IF(D936="","",G936*N936)</f>
        <v>0.196264073666421</v>
      </c>
      <c r="P936" s="16" t="n">
        <f aca="false">IF(D936="","",H936+E936-K936-O936)</f>
        <v>18.7783599322397</v>
      </c>
      <c r="Q936" s="16" t="n">
        <f aca="false">IF(D936="","",IF(P936&gt;=0,K936,MAX(0,K936+P936)))</f>
        <v>0.648</v>
      </c>
      <c r="R936" s="16" t="n">
        <f aca="false">IF(D936="","",Q936/$B$15)</f>
        <v>0.25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18.7783599322397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88.1613142358673</v>
      </c>
      <c r="Z936" s="18" t="n">
        <f aca="false">IF(D936="","",MAX(0,IF(P936&gt;=0,P936,IF(K936+P936&gt;=0,0,P936+K936))))</f>
        <v>18.7783599322397</v>
      </c>
      <c r="AA936" s="18" t="n">
        <f aca="false">IF(D936="","",IF(H936&lt;=$B$16,1,IF(H936&gt;=$B$17,$B$21,MATCH(H936,Aux_CAV!$A$2:$A$121,1))))</f>
        <v>7</v>
      </c>
      <c r="AB936" s="18" t="n">
        <f aca="false">IF(D936="","",IF(L936&lt;=$B$16,1,IF(L936&gt;=$B$17,$B$21,MATCH(L936,Aux_CAV!$A$2:$A$121,1))))</f>
        <v>7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0.943522533061274</v>
      </c>
      <c r="E937" s="16" t="n">
        <f aca="false">IF(D937="","",D937*$B$15)</f>
        <v>2.44561040569482</v>
      </c>
      <c r="F937" s="16" t="n">
        <f aca="false" t="array" ref="F937:F937">IF(D937="","",IFERROR(INDEX(Dados_Evap!$C$2:$N$15,MATCH($B$9,Dados_Evap!$A$2:$A$15,0),C937),0))</f>
        <v>124.9</v>
      </c>
      <c r="G937" s="16" t="n">
        <f aca="false">IF(F937="","",F937/1000)</f>
        <v>0.1249</v>
      </c>
      <c r="H937" s="16" t="n">
        <f aca="false">IF(D937="","",MAX(0,MIN($B$8,IFERROR(LOOKUP(2,1/($U$24:U936&lt;&gt;""),$U$24:U936),$B$11))))</f>
        <v>18.7783599322397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1.18262054152434</v>
      </c>
      <c r="J937" s="16" t="n">
        <f aca="false">IF(D937="","",$B$12)</f>
        <v>0.25</v>
      </c>
      <c r="K937" s="16" t="n">
        <f aca="false">IF(J937="","",J937*$B$15)</f>
        <v>0.648</v>
      </c>
      <c r="L937" s="16" t="n">
        <f aca="false">IF(D937="","",H937+E937-K937-G937*I937)</f>
        <v>20.4282610322982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1.21362077096176</v>
      </c>
      <c r="N937" s="16" t="n">
        <f aca="false">IF(D937="","",(I937+M937)/2)</f>
        <v>1.19812065624305</v>
      </c>
      <c r="O937" s="16" t="n">
        <f aca="false">IF(D937="","",G937*N937)</f>
        <v>0.149645269964757</v>
      </c>
      <c r="P937" s="16" t="n">
        <f aca="false">IF(D937="","",H937+E937-K937-O937)</f>
        <v>20.4263250679698</v>
      </c>
      <c r="Q937" s="16" t="n">
        <f aca="false">IF(D937="","",IF(P937&gt;=0,K937,MAX(0,K937+P937)))</f>
        <v>0.648</v>
      </c>
      <c r="R937" s="16" t="n">
        <f aca="false">IF(D937="","",Q937/$B$15)</f>
        <v>0.25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20.4263250679698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95.8982397557268</v>
      </c>
      <c r="Z937" s="18" t="n">
        <f aca="false">IF(D937="","",MAX(0,IF(P937&gt;=0,P937,IF(K937+P937&gt;=0,0,P937+K937))))</f>
        <v>20.4263250679698</v>
      </c>
      <c r="AA937" s="18" t="n">
        <f aca="false">IF(D937="","",IF(H937&lt;=$B$16,1,IF(H937&gt;=$B$17,$B$21,MATCH(H937,Aux_CAV!$A$2:$A$121,1))))</f>
        <v>7</v>
      </c>
      <c r="AB937" s="18" t="n">
        <f aca="false">IF(D937="","",IF(L937&lt;=$B$16,1,IF(L937&gt;=$B$17,$B$21,MATCH(L937,Aux_CAV!$A$2:$A$121,1))))</f>
        <v>7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2.93553310384196</v>
      </c>
      <c r="E938" s="16" t="n">
        <f aca="false">IF(D938="","",D938*$B$15)</f>
        <v>7.60890180515836</v>
      </c>
      <c r="F938" s="16" t="n">
        <f aca="false" t="array" ref="F938:F938">IF(D938="","",IFERROR(INDEX(Dados_Evap!$C$2:$N$15,MATCH($B$9,Dados_Evap!$A$2:$A$15,0),C938),0))</f>
        <v>88.2</v>
      </c>
      <c r="G938" s="16" t="n">
        <f aca="false">IF(F938="","",F938/1000)</f>
        <v>0.0882</v>
      </c>
      <c r="H938" s="16" t="n">
        <f aca="false">IF(D938="","",MAX(0,MIN($B$8,IFERROR(LOOKUP(2,1/($U$24:U937&lt;&gt;""),$U$24:U937),$B$11))))</f>
        <v>20.4263250679698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1.21358439584912</v>
      </c>
      <c r="J938" s="16" t="n">
        <f aca="false">IF(D938="","",$B$12)</f>
        <v>0.25</v>
      </c>
      <c r="K938" s="16" t="n">
        <f aca="false">IF(J938="","",J938*$B$15)</f>
        <v>0.648</v>
      </c>
      <c r="L938" s="16" t="n">
        <f aca="false">IF(D938="","",H938+E938-K938-G938*I938)</f>
        <v>27.2801887294143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1.36466719590799</v>
      </c>
      <c r="N938" s="16" t="n">
        <f aca="false">IF(D938="","",(I938+M938)/2)</f>
        <v>1.28912579587855</v>
      </c>
      <c r="O938" s="16" t="n">
        <f aca="false">IF(D938="","",G938*N938)</f>
        <v>0.113700895196488</v>
      </c>
      <c r="P938" s="16" t="n">
        <f aca="false">IF(D938="","",H938+E938-K938-O938)</f>
        <v>27.2735259779317</v>
      </c>
      <c r="Q938" s="16" t="n">
        <f aca="false">IF(D938="","",IF(P938&gt;=0,K938,MAX(0,K938+P938)))</f>
        <v>0.648</v>
      </c>
      <c r="R938" s="16" t="n">
        <f aca="false">IF(D938="","",Q938/$B$15)</f>
        <v>0.25</v>
      </c>
      <c r="S938" s="16" t="n">
        <f aca="false">IF(D938="","",MAX(0,J938-R938))</f>
        <v>0</v>
      </c>
      <c r="T938" s="16" t="n">
        <f aca="false">IF(D938="","",MAX(0,Z938-$B$8))</f>
        <v>5.97352597793168</v>
      </c>
      <c r="U938" s="16" t="n">
        <f aca="false">IF(D938="","",MAX(0,MIN($B$8,Z938)))</f>
        <v>21.3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27.2735259779317</v>
      </c>
      <c r="AA938" s="18" t="n">
        <f aca="false">IF(D938="","",IF(H938&lt;=$B$16,1,IF(H938&gt;=$B$17,$B$21,MATCH(H938,Aux_CAV!$A$2:$A$121,1))))</f>
        <v>7</v>
      </c>
      <c r="AB938" s="18" t="n">
        <f aca="false">IF(D938="","",IF(L938&lt;=$B$16,1,IF(L938&gt;=$B$17,$B$21,MATCH(L938,Aux_CAV!$A$2:$A$121,1))))</f>
        <v>9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2.51041570749417</v>
      </c>
      <c r="E939" s="16" t="n">
        <f aca="false">IF(D939="","",D939*$B$15)</f>
        <v>6.50699751382489</v>
      </c>
      <c r="F939" s="16" t="n">
        <f aca="false" t="array" ref="F939:F939">IF(D939="","",IFERROR(INDEX(Dados_Evap!$C$2:$N$15,MATCH($B$9,Dados_Evap!$A$2:$A$15,0),C939),0))</f>
        <v>88.2</v>
      </c>
      <c r="G939" s="16" t="n">
        <f aca="false">IF(F939="","",F939/1000)</f>
        <v>0.0882</v>
      </c>
      <c r="H939" s="16" t="n">
        <f aca="false">IF(D939="","",MAX(0,MIN($B$8,IFERROR(LOOKUP(2,1/($U$24:U938&lt;&gt;""),$U$24:U938),$B$11))))</f>
        <v>21.3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1.23</v>
      </c>
      <c r="J939" s="16" t="n">
        <f aca="false">IF(D939="","",$B$12)</f>
        <v>0.25</v>
      </c>
      <c r="K939" s="16" t="n">
        <f aca="false">IF(J939="","",J939*$B$15)</f>
        <v>0.648</v>
      </c>
      <c r="L939" s="16" t="n">
        <f aca="false">IF(D939="","",H939+E939-K939-G939*I939)</f>
        <v>27.0505115138249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1.35915769748306</v>
      </c>
      <c r="N939" s="16" t="n">
        <f aca="false">IF(D939="","",(I939+M939)/2)</f>
        <v>1.29457884874153</v>
      </c>
      <c r="O939" s="16" t="n">
        <f aca="false">IF(D939="","",G939*N939)</f>
        <v>0.114181854459003</v>
      </c>
      <c r="P939" s="16" t="n">
        <f aca="false">IF(D939="","",H939+E939-K939-O939)</f>
        <v>27.0448156593659</v>
      </c>
      <c r="Q939" s="16" t="n">
        <f aca="false">IF(D939="","",IF(P939&gt;=0,K939,MAX(0,K939+P939)))</f>
        <v>0.648</v>
      </c>
      <c r="R939" s="16" t="n">
        <f aca="false">IF(D939="","",Q939/$B$15)</f>
        <v>0.25</v>
      </c>
      <c r="S939" s="16" t="n">
        <f aca="false">IF(D939="","",MAX(0,J939-R939))</f>
        <v>0</v>
      </c>
      <c r="T939" s="16" t="n">
        <f aca="false">IF(D939="","",MAX(0,Z939-$B$8))</f>
        <v>5.74481565936589</v>
      </c>
      <c r="U939" s="16" t="n">
        <f aca="false">IF(D939="","",MAX(0,MIN($B$8,Z939)))</f>
        <v>21.3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27.0448156593659</v>
      </c>
      <c r="AA939" s="18" t="n">
        <f aca="false">IF(D939="","",IF(H939&lt;=$B$16,1,IF(H939&gt;=$B$17,$B$21,MATCH(H939,Aux_CAV!$A$2:$A$121,1))))</f>
        <v>8</v>
      </c>
      <c r="AB939" s="18" t="n">
        <f aca="false">IF(D939="","",IF(L939&lt;=$B$16,1,IF(L939&gt;=$B$17,$B$21,MATCH(L939,Aux_CAV!$A$2:$A$121,1))))</f>
        <v>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1.46185083206138</v>
      </c>
      <c r="E940" s="16" t="n">
        <f aca="false">IF(D940="","",D940*$B$15)</f>
        <v>3.7891173567031</v>
      </c>
      <c r="F940" s="16" t="n">
        <f aca="false" t="array" ref="F940:F940">IF(D940="","",IFERROR(INDEX(Dados_Evap!$C$2:$N$15,MATCH($B$9,Dados_Evap!$A$2:$A$15,0),C940),0))</f>
        <v>83.9</v>
      </c>
      <c r="G940" s="16" t="n">
        <f aca="false">IF(F940="","",F940/1000)</f>
        <v>0.0839</v>
      </c>
      <c r="H940" s="16" t="n">
        <f aca="false">IF(D940="","",MAX(0,MIN($B$8,IFERROR(LOOKUP(2,1/($U$24:U939&lt;&gt;""),$U$24:U939),$B$11))))</f>
        <v>21.3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1.23</v>
      </c>
      <c r="J940" s="16" t="n">
        <f aca="false">IF(D940="","",$B$12)</f>
        <v>0.25</v>
      </c>
      <c r="K940" s="16" t="n">
        <f aca="false">IF(J940="","",J940*$B$15)</f>
        <v>0.648</v>
      </c>
      <c r="L940" s="16" t="n">
        <f aca="false">IF(D940="","",H940+E940-K940-G940*I940)</f>
        <v>24.3379203567031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1.29408804453861</v>
      </c>
      <c r="N940" s="16" t="n">
        <f aca="false">IF(D940="","",(I940+M940)/2)</f>
        <v>1.2620440222693</v>
      </c>
      <c r="O940" s="16" t="n">
        <f aca="false">IF(D940="","",G940*N940)</f>
        <v>0.105885493468394</v>
      </c>
      <c r="P940" s="16" t="n">
        <f aca="false">IF(D940="","",H940+E940-K940-O940)</f>
        <v>24.3352318632347</v>
      </c>
      <c r="Q940" s="16" t="n">
        <f aca="false">IF(D940="","",IF(P940&gt;=0,K940,MAX(0,K940+P940)))</f>
        <v>0.648</v>
      </c>
      <c r="R940" s="16" t="n">
        <f aca="false">IF(D940="","",Q940/$B$15)</f>
        <v>0.25</v>
      </c>
      <c r="S940" s="16" t="n">
        <f aca="false">IF(D940="","",MAX(0,J940-R940))</f>
        <v>0</v>
      </c>
      <c r="T940" s="16" t="n">
        <f aca="false">IF(D940="","",MAX(0,Z940-$B$8))</f>
        <v>3.0352318632347</v>
      </c>
      <c r="U940" s="16" t="n">
        <f aca="false">IF(D940="","",MAX(0,MIN($B$8,Z940)))</f>
        <v>21.3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24.3352318632347</v>
      </c>
      <c r="AA940" s="18" t="n">
        <f aca="false">IF(D940="","",IF(H940&lt;=$B$16,1,IF(H940&gt;=$B$17,$B$21,MATCH(H940,Aux_CAV!$A$2:$A$121,1))))</f>
        <v>8</v>
      </c>
      <c r="AB940" s="18" t="n">
        <f aca="false">IF(D940="","",IF(L940&lt;=$B$16,1,IF(L940&gt;=$B$17,$B$21,MATCH(L940,Aux_CAV!$A$2:$A$121,1))))</f>
        <v>9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1.48404546170585</v>
      </c>
      <c r="E941" s="16" t="n">
        <f aca="false">IF(D941="","",D941*$B$15)</f>
        <v>3.84664583674156</v>
      </c>
      <c r="F941" s="16" t="n">
        <f aca="false" t="array" ref="F941:F941">IF(D941="","",IFERROR(INDEX(Dados_Evap!$C$2:$N$15,MATCH($B$9,Dados_Evap!$A$2:$A$15,0),C941),0))</f>
        <v>104.7</v>
      </c>
      <c r="G941" s="16" t="n">
        <f aca="false">IF(F941="","",F941/1000)</f>
        <v>0.1047</v>
      </c>
      <c r="H941" s="16" t="n">
        <f aca="false">IF(D941="","",MAX(0,MIN($B$8,IFERROR(LOOKUP(2,1/($U$24:U940&lt;&gt;""),$U$24:U940),$B$11))))</f>
        <v>21.3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1.23</v>
      </c>
      <c r="J941" s="16" t="n">
        <f aca="false">IF(D941="","",$B$12)</f>
        <v>0.25</v>
      </c>
      <c r="K941" s="16" t="n">
        <f aca="false">IF(J941="","",J941*$B$15)</f>
        <v>0.648</v>
      </c>
      <c r="L941" s="16" t="n">
        <f aca="false">IF(D941="","",H941+E941-K941-G941*I941)</f>
        <v>24.3698648367416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1.29485432891734</v>
      </c>
      <c r="N941" s="16" t="n">
        <f aca="false">IF(D941="","",(I941+M941)/2)</f>
        <v>1.26242716445867</v>
      </c>
      <c r="O941" s="16" t="n">
        <f aca="false">IF(D941="","",G941*N941)</f>
        <v>0.132176124118823</v>
      </c>
      <c r="P941" s="16" t="n">
        <f aca="false">IF(D941="","",H941+E941-K941-O941)</f>
        <v>24.3664697126227</v>
      </c>
      <c r="Q941" s="16" t="n">
        <f aca="false">IF(D941="","",IF(P941&gt;=0,K941,MAX(0,K941+P941)))</f>
        <v>0.648</v>
      </c>
      <c r="R941" s="16" t="n">
        <f aca="false">IF(D941="","",Q941/$B$15)</f>
        <v>0.25</v>
      </c>
      <c r="S941" s="16" t="n">
        <f aca="false">IF(D941="","",MAX(0,J941-R941))</f>
        <v>0</v>
      </c>
      <c r="T941" s="16" t="n">
        <f aca="false">IF(D941="","",MAX(0,Z941-$B$8))</f>
        <v>3.06646971262274</v>
      </c>
      <c r="U941" s="16" t="n">
        <f aca="false">IF(D941="","",MAX(0,MIN($B$8,Z941)))</f>
        <v>21.3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24.3664697126227</v>
      </c>
      <c r="AA941" s="18" t="n">
        <f aca="false">IF(D941="","",IF(H941&lt;=$B$16,1,IF(H941&gt;=$B$17,$B$21,MATCH(H941,Aux_CAV!$A$2:$A$121,1))))</f>
        <v>8</v>
      </c>
      <c r="AB941" s="18" t="n">
        <f aca="false">IF(D941="","",IF(L941&lt;=$B$16,1,IF(L941&gt;=$B$17,$B$21,MATCH(L941,Aux_CAV!$A$2:$A$121,1))))</f>
        <v>9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0.40884686654039</v>
      </c>
      <c r="E942" s="16" t="n">
        <f aca="false">IF(D942="","",D942*$B$15)</f>
        <v>1.05973107807269</v>
      </c>
      <c r="F942" s="16" t="n">
        <f aca="false" t="array" ref="F942:F942">IF(D942="","",IFERROR(INDEX(Dados_Evap!$C$2:$N$15,MATCH($B$9,Dados_Evap!$A$2:$A$15,0),C942),0))</f>
        <v>145.2</v>
      </c>
      <c r="G942" s="16" t="n">
        <f aca="false">IF(F942="","",F942/1000)</f>
        <v>0.1452</v>
      </c>
      <c r="H942" s="16" t="n">
        <f aca="false">IF(D942="","",MAX(0,MIN($B$8,IFERROR(LOOKUP(2,1/($U$24:U941&lt;&gt;""),$U$24:U941),$B$11))))</f>
        <v>21.3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1.23</v>
      </c>
      <c r="J942" s="16" t="n">
        <f aca="false">IF(D942="","",$B$12)</f>
        <v>0.25</v>
      </c>
      <c r="K942" s="16" t="n">
        <f aca="false">IF(J942="","",J942*$B$15)</f>
        <v>0.648</v>
      </c>
      <c r="L942" s="16" t="n">
        <f aca="false">IF(D942="","",H942+E942-K942-G942*I942)</f>
        <v>21.5331350780727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1.23388558463455</v>
      </c>
      <c r="N942" s="16" t="n">
        <f aca="false">IF(D942="","",(I942+M942)/2)</f>
        <v>1.23194279231727</v>
      </c>
      <c r="O942" s="16" t="n">
        <f aca="false">IF(D942="","",G942*N942)</f>
        <v>0.178878093444468</v>
      </c>
      <c r="P942" s="16" t="n">
        <f aca="false">IF(D942="","",H942+E942-K942-O942)</f>
        <v>21.5328529846282</v>
      </c>
      <c r="Q942" s="16" t="n">
        <f aca="false">IF(D942="","",IF(P942&gt;=0,K942,MAX(0,K942+P942)))</f>
        <v>0.648</v>
      </c>
      <c r="R942" s="16" t="n">
        <f aca="false">IF(D942="","",Q942/$B$15)</f>
        <v>0.25</v>
      </c>
      <c r="S942" s="16" t="n">
        <f aca="false">IF(D942="","",MAX(0,J942-R942))</f>
        <v>0</v>
      </c>
      <c r="T942" s="16" t="n">
        <f aca="false">IF(D942="","",MAX(0,Z942-$B$8))</f>
        <v>0.232852984628224</v>
      </c>
      <c r="U942" s="16" t="n">
        <f aca="false">IF(D942="","",MAX(0,MIN($B$8,Z942)))</f>
        <v>21.3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21.5328529846282</v>
      </c>
      <c r="AA942" s="18" t="n">
        <f aca="false">IF(D942="","",IF(H942&lt;=$B$16,1,IF(H942&gt;=$B$17,$B$21,MATCH(H942,Aux_CAV!$A$2:$A$121,1))))</f>
        <v>8</v>
      </c>
      <c r="AB942" s="18" t="n">
        <f aca="false">IF(D942="","",IF(L942&lt;=$B$16,1,IF(L942&gt;=$B$17,$B$21,MATCH(L942,Aux_CAV!$A$2:$A$121,1))))</f>
        <v>8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0.282784322521634</v>
      </c>
      <c r="E943" s="16" t="n">
        <f aca="false">IF(D943="","",D943*$B$15)</f>
        <v>0.732976963976075</v>
      </c>
      <c r="F943" s="16" t="n">
        <f aca="false" t="array" ref="F943:F943">IF(D943="","",IFERROR(INDEX(Dados_Evap!$C$2:$N$15,MATCH($B$9,Dados_Evap!$A$2:$A$15,0),C943),0))</f>
        <v>180.9</v>
      </c>
      <c r="G943" s="16" t="n">
        <f aca="false">IF(F943="","",F943/1000)</f>
        <v>0.1809</v>
      </c>
      <c r="H943" s="16" t="n">
        <f aca="false">IF(D943="","",MAX(0,MIN($B$8,IFERROR(LOOKUP(2,1/($U$24:U942&lt;&gt;""),$U$24:U942),$B$11))))</f>
        <v>21.3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1.23</v>
      </c>
      <c r="J943" s="16" t="n">
        <f aca="false">IF(D943="","",$B$12)</f>
        <v>0.25</v>
      </c>
      <c r="K943" s="16" t="n">
        <f aca="false">IF(J943="","",J943*$B$15)</f>
        <v>0.648</v>
      </c>
      <c r="L943" s="16" t="n">
        <f aca="false">IF(D943="","",H943+E943-K943-G943*I943)</f>
        <v>21.1624699639761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1.22741592834193</v>
      </c>
      <c r="N943" s="16" t="n">
        <f aca="false">IF(D943="","",(I943+M943)/2)</f>
        <v>1.22870796417097</v>
      </c>
      <c r="O943" s="16" t="n">
        <f aca="false">IF(D943="","",G943*N943)</f>
        <v>0.222273270718528</v>
      </c>
      <c r="P943" s="16" t="n">
        <f aca="false">IF(D943="","",H943+E943-K943-O943)</f>
        <v>21.1627036932575</v>
      </c>
      <c r="Q943" s="16" t="n">
        <f aca="false">IF(D943="","",IF(P943&gt;=0,K943,MAX(0,K943+P943)))</f>
        <v>0.648</v>
      </c>
      <c r="R943" s="16" t="n">
        <f aca="false">IF(D943="","",Q943/$B$15)</f>
        <v>0.25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21.1627036932575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99.3554164002702</v>
      </c>
      <c r="Z943" s="18" t="n">
        <f aca="false">IF(D943="","",MAX(0,IF(P943&gt;=0,P943,IF(K943+P943&gt;=0,0,P943+K943))))</f>
        <v>21.1627036932575</v>
      </c>
      <c r="AA943" s="18" t="n">
        <f aca="false">IF(D943="","",IF(H943&lt;=$B$16,1,IF(H943&gt;=$B$17,$B$21,MATCH(H943,Aux_CAV!$A$2:$A$121,1))))</f>
        <v>8</v>
      </c>
      <c r="AB943" s="18" t="n">
        <f aca="false">IF(D943="","",IF(L943&lt;=$B$16,1,IF(L943&gt;=$B$17,$B$21,MATCH(L943,Aux_CAV!$A$2:$A$121,1))))</f>
        <v>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0.162572483632078</v>
      </c>
      <c r="E944" s="16" t="n">
        <f aca="false">IF(D944="","",D944*$B$15)</f>
        <v>0.421387877574346</v>
      </c>
      <c r="F944" s="16" t="n">
        <f aca="false" t="array" ref="F944:F944">IF(D944="","",IFERROR(INDEX(Dados_Evap!$C$2:$N$15,MATCH($B$9,Dados_Evap!$A$2:$A$15,0),C944),0))</f>
        <v>208.9</v>
      </c>
      <c r="G944" s="16" t="n">
        <f aca="false">IF(F944="","",F944/1000)</f>
        <v>0.2089</v>
      </c>
      <c r="H944" s="16" t="n">
        <f aca="false">IF(D944="","",MAX(0,MIN($B$8,IFERROR(LOOKUP(2,1/($U$24:U943&lt;&gt;""),$U$24:U943),$B$11))))</f>
        <v>21.1627036932575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1.22742031991507</v>
      </c>
      <c r="J944" s="16" t="n">
        <f aca="false">IF(D944="","",$B$12)</f>
        <v>0.25</v>
      </c>
      <c r="K944" s="16" t="n">
        <f aca="false">IF(J944="","",J944*$B$15)</f>
        <v>0.648</v>
      </c>
      <c r="L944" s="16" t="n">
        <f aca="false">IF(D944="","",H944+E944-K944-G944*I944)</f>
        <v>20.6796834660016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1.21834478328604</v>
      </c>
      <c r="N944" s="16" t="n">
        <f aca="false">IF(D944="","",(I944+M944)/2)</f>
        <v>1.22288255160056</v>
      </c>
      <c r="O944" s="16" t="n">
        <f aca="false">IF(D944="","",G944*N944)</f>
        <v>0.255460165029356</v>
      </c>
      <c r="P944" s="16" t="n">
        <f aca="false">IF(D944="","",H944+E944-K944-O944)</f>
        <v>20.6806314058025</v>
      </c>
      <c r="Q944" s="16" t="n">
        <f aca="false">IF(D944="","",IF(P944&gt;=0,K944,MAX(0,K944+P944)))</f>
        <v>0.648</v>
      </c>
      <c r="R944" s="16" t="n">
        <f aca="false">IF(D944="","",Q944/$B$15)</f>
        <v>0.25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20.6806314058025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97.0921662244251</v>
      </c>
      <c r="Z944" s="18" t="n">
        <f aca="false">IF(D944="","",MAX(0,IF(P944&gt;=0,P944,IF(K944+P944&gt;=0,0,P944+K944))))</f>
        <v>20.6806314058025</v>
      </c>
      <c r="AA944" s="18" t="n">
        <f aca="false">IF(D944="","",IF(H944&lt;=$B$16,1,IF(H944&gt;=$B$17,$B$21,MATCH(H944,Aux_CAV!$A$2:$A$121,1))))</f>
        <v>7</v>
      </c>
      <c r="AB944" s="18" t="n">
        <f aca="false">IF(D944="","",IF(L944&lt;=$B$16,1,IF(L944&gt;=$B$17,$B$21,MATCH(L944,Aux_CAV!$A$2:$A$121,1))))</f>
        <v>7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0.10303257949101</v>
      </c>
      <c r="E945" s="16" t="n">
        <f aca="false">IF(D945="","",D945*$B$15)</f>
        <v>0.267060446040698</v>
      </c>
      <c r="F945" s="16" t="n">
        <f aca="false" t="array" ref="F945:F945">IF(D945="","",IFERROR(INDEX(Dados_Evap!$C$2:$N$15,MATCH($B$9,Dados_Evap!$A$2:$A$15,0),C945),0))</f>
        <v>235.9</v>
      </c>
      <c r="G945" s="16" t="n">
        <f aca="false">IF(F945="","",F945/1000)</f>
        <v>0.2359</v>
      </c>
      <c r="H945" s="16" t="n">
        <f aca="false">IF(D945="","",MAX(0,MIN($B$8,IFERROR(LOOKUP(2,1/($U$24:U944&lt;&gt;""),$U$24:U944),$B$11))))</f>
        <v>20.6806314058025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1.21836259426351</v>
      </c>
      <c r="J945" s="16" t="n">
        <f aca="false">IF(D945="","",$B$12)</f>
        <v>0.25</v>
      </c>
      <c r="K945" s="16" t="n">
        <f aca="false">IF(J945="","",J945*$B$15)</f>
        <v>0.648</v>
      </c>
      <c r="L945" s="16" t="n">
        <f aca="false">IF(D945="","",H945+E945-K945-G945*I945)</f>
        <v>20.0122801158565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1.20580484560064</v>
      </c>
      <c r="N945" s="16" t="n">
        <f aca="false">IF(D945="","",(I945+M945)/2)</f>
        <v>1.21208371993208</v>
      </c>
      <c r="O945" s="16" t="n">
        <f aca="false">IF(D945="","",G945*N945)</f>
        <v>0.285930549531977</v>
      </c>
      <c r="P945" s="16" t="n">
        <f aca="false">IF(D945="","",H945+E945-K945-O945)</f>
        <v>20.0137613023113</v>
      </c>
      <c r="Q945" s="16" t="n">
        <f aca="false">IF(D945="","",IF(P945&gt;=0,K945,MAX(0,K945+P945)))</f>
        <v>0.648</v>
      </c>
      <c r="R945" s="16" t="n">
        <f aca="false">IF(D945="","",Q945/$B$15)</f>
        <v>0.25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20.0137613023113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93.961320668128</v>
      </c>
      <c r="Z945" s="18" t="n">
        <f aca="false">IF(D945="","",MAX(0,IF(P945&gt;=0,P945,IF(K945+P945&gt;=0,0,P945+K945))))</f>
        <v>20.0137613023113</v>
      </c>
      <c r="AA945" s="18" t="n">
        <f aca="false">IF(D945="","",IF(H945&lt;=$B$16,1,IF(H945&gt;=$B$17,$B$21,MATCH(H945,Aux_CAV!$A$2:$A$121,1))))</f>
        <v>7</v>
      </c>
      <c r="AB945" s="18" t="n">
        <f aca="false">IF(D945="","",IF(L945&lt;=$B$16,1,IF(L945&gt;=$B$17,$B$21,MATCH(L945,Aux_CAV!$A$2:$A$121,1))))</f>
        <v>7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0.103835661099184</v>
      </c>
      <c r="E946" s="16" t="n">
        <f aca="false">IF(D946="","",D946*$B$15)</f>
        <v>0.269142033569085</v>
      </c>
      <c r="F946" s="16" t="n">
        <f aca="false" t="array" ref="F946:F946">IF(D946="","",IFERROR(INDEX(Dados_Evap!$C$2:$N$15,MATCH($B$9,Dados_Evap!$A$2:$A$15,0),C946),0))</f>
        <v>225.9</v>
      </c>
      <c r="G946" s="16" t="n">
        <f aca="false">IF(F946="","",F946/1000)</f>
        <v>0.2259</v>
      </c>
      <c r="H946" s="16" t="n">
        <f aca="false">IF(D946="","",MAX(0,MIN($B$8,IFERROR(LOOKUP(2,1/($U$24:U945&lt;&gt;""),$U$24:U945),$B$11))))</f>
        <v>20.0137613023113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1.20583267582631</v>
      </c>
      <c r="J946" s="16" t="n">
        <f aca="false">IF(D946="","",$B$12)</f>
        <v>0.25</v>
      </c>
      <c r="K946" s="16" t="n">
        <f aca="false">IF(J946="","",J946*$B$15)</f>
        <v>0.648</v>
      </c>
      <c r="L946" s="16" t="n">
        <f aca="false">IF(D946="","",H946+E946-K946-G946*I946)</f>
        <v>19.3625057344112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1.1935961411476</v>
      </c>
      <c r="N946" s="16" t="n">
        <f aca="false">IF(D946="","",(I946+M946)/2)</f>
        <v>1.19971440848695</v>
      </c>
      <c r="O946" s="16" t="n">
        <f aca="false">IF(D946="","",G946*N946)</f>
        <v>0.271015484877203</v>
      </c>
      <c r="P946" s="16" t="n">
        <f aca="false">IF(D946="","",H946+E946-K946-O946)</f>
        <v>19.3638878510031</v>
      </c>
      <c r="Q946" s="16" t="n">
        <f aca="false">IF(D946="","",IF(P946&gt;=0,K946,MAX(0,K946+P946)))</f>
        <v>0.648</v>
      </c>
      <c r="R946" s="16" t="n">
        <f aca="false">IF(D946="","",Q946/$B$15)</f>
        <v>0.25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19.3638878510031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90.9102716009537</v>
      </c>
      <c r="Z946" s="18" t="n">
        <f aca="false">IF(D946="","",MAX(0,IF(P946&gt;=0,P946,IF(K946+P946&gt;=0,0,P946+K946))))</f>
        <v>19.3638878510031</v>
      </c>
      <c r="AA946" s="18" t="n">
        <f aca="false">IF(D946="","",IF(H946&lt;=$B$16,1,IF(H946&gt;=$B$17,$B$21,MATCH(H946,Aux_CAV!$A$2:$A$121,1))))</f>
        <v>7</v>
      </c>
      <c r="AB946" s="18" t="n">
        <f aca="false">IF(D946="","",IF(L946&lt;=$B$16,1,IF(L946&gt;=$B$17,$B$21,MATCH(L946,Aux_CAV!$A$2:$A$121,1))))</f>
        <v>7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0.0808015213237476</v>
      </c>
      <c r="E947" s="16" t="n">
        <f aca="false">IF(D947="","",D947*$B$15)</f>
        <v>0.209437543271154</v>
      </c>
      <c r="F947" s="16" t="n">
        <f aca="false" t="array" ref="F947:F947">IF(D947="","",IFERROR(INDEX(Dados_Evap!$C$2:$N$15,MATCH($B$9,Dados_Evap!$A$2:$A$15,0),C947),0))</f>
        <v>206</v>
      </c>
      <c r="G947" s="16" t="n">
        <f aca="false">IF(F947="","",F947/1000)</f>
        <v>0.206</v>
      </c>
      <c r="H947" s="16" t="n">
        <f aca="false">IF(D947="","",MAX(0,MIN($B$8,IFERROR(LOOKUP(2,1/($U$24:U946&lt;&gt;""),$U$24:U946),$B$11))))</f>
        <v>19.3638878510031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1.19362210993534</v>
      </c>
      <c r="J947" s="16" t="n">
        <f aca="false">IF(D947="","",$B$12)</f>
        <v>0.25</v>
      </c>
      <c r="K947" s="16" t="n">
        <f aca="false">IF(J947="","",J947*$B$15)</f>
        <v>0.648</v>
      </c>
      <c r="L947" s="16" t="n">
        <f aca="false">IF(D947="","",H947+E947-K947-G947*I947)</f>
        <v>18.6794392396276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1.18076190638131</v>
      </c>
      <c r="N947" s="16" t="n">
        <f aca="false">IF(D947="","",(I947+M947)/2)</f>
        <v>1.18719200815833</v>
      </c>
      <c r="O947" s="16" t="n">
        <f aca="false">IF(D947="","",G947*N947)</f>
        <v>0.244561553680615</v>
      </c>
      <c r="P947" s="16" t="n">
        <f aca="false">IF(D947="","",H947+E947-K947-O947)</f>
        <v>18.6807638405937</v>
      </c>
      <c r="Q947" s="16" t="n">
        <f aca="false">IF(D947="","",IF(P947&gt;=0,K947,MAX(0,K947+P947)))</f>
        <v>0.648</v>
      </c>
      <c r="R947" s="16" t="n">
        <f aca="false">IF(D947="","",Q947/$B$15)</f>
        <v>0.25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18.6807638405937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87.7031166225056</v>
      </c>
      <c r="Z947" s="18" t="n">
        <f aca="false">IF(D947="","",MAX(0,IF(P947&gt;=0,P947,IF(K947+P947&gt;=0,0,P947+K947))))</f>
        <v>18.6807638405937</v>
      </c>
      <c r="AA947" s="18" t="n">
        <f aca="false">IF(D947="","",IF(H947&lt;=$B$16,1,IF(H947&gt;=$B$17,$B$21,MATCH(H947,Aux_CAV!$A$2:$A$121,1))))</f>
        <v>7</v>
      </c>
      <c r="AB947" s="18" t="n">
        <f aca="false">IF(D947="","",IF(L947&lt;=$B$16,1,IF(L947&gt;=$B$17,$B$21,MATCH(L947,Aux_CAV!$A$2:$A$121,1))))</f>
        <v>7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0.0773276629085475</v>
      </c>
      <c r="E948" s="16" t="n">
        <f aca="false">IF(D948="","",D948*$B$15)</f>
        <v>0.200433302258955</v>
      </c>
      <c r="F948" s="16" t="n">
        <f aca="false" t="array" ref="F948:F948">IF(D948="","",IFERROR(INDEX(Dados_Evap!$C$2:$N$15,MATCH($B$9,Dados_Evap!$A$2:$A$15,0),C948),0))</f>
        <v>165.6</v>
      </c>
      <c r="G948" s="16" t="n">
        <f aca="false">IF(F948="","",F948/1000)</f>
        <v>0.1656</v>
      </c>
      <c r="H948" s="16" t="n">
        <f aca="false">IF(D948="","",MAX(0,MIN($B$8,IFERROR(LOOKUP(2,1/($U$24:U947&lt;&gt;""),$U$24:U947),$B$11))))</f>
        <v>18.6807638405937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1.18078679449967</v>
      </c>
      <c r="J948" s="16" t="n">
        <f aca="false">IF(D948="","",$B$12)</f>
        <v>0.25</v>
      </c>
      <c r="K948" s="16" t="n">
        <f aca="false">IF(J948="","",J948*$B$15)</f>
        <v>0.648</v>
      </c>
      <c r="L948" s="16" t="n">
        <f aca="false">IF(D948="","",H948+E948-K948-G948*I948)</f>
        <v>18.0376588496835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1.16870340218612</v>
      </c>
      <c r="N948" s="16" t="n">
        <f aca="false">IF(D948="","",(I948+M948)/2)</f>
        <v>1.1747450983429</v>
      </c>
      <c r="O948" s="16" t="n">
        <f aca="false">IF(D948="","",G948*N948)</f>
        <v>0.194537788285584</v>
      </c>
      <c r="P948" s="16" t="n">
        <f aca="false">IF(D948="","",H948+E948-K948-O948)</f>
        <v>18.0386593545671</v>
      </c>
      <c r="Q948" s="16" t="n">
        <f aca="false">IF(D948="","",IF(P948&gt;=0,K948,MAX(0,K948+P948)))</f>
        <v>0.648</v>
      </c>
      <c r="R948" s="16" t="n">
        <f aca="false">IF(D948="","",Q948/$B$15)</f>
        <v>0.25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18.0386593545671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84.6885415707374</v>
      </c>
      <c r="Z948" s="18" t="n">
        <f aca="false">IF(D948="","",MAX(0,IF(P948&gt;=0,P948,IF(K948+P948&gt;=0,0,P948+K948))))</f>
        <v>18.0386593545671</v>
      </c>
      <c r="AA948" s="18" t="n">
        <f aca="false">IF(D948="","",IF(H948&lt;=$B$16,1,IF(H948&gt;=$B$17,$B$21,MATCH(H948,Aux_CAV!$A$2:$A$121,1))))</f>
        <v>7</v>
      </c>
      <c r="AB948" s="18" t="n">
        <f aca="false">IF(D948="","",IF(L948&lt;=$B$16,1,IF(L948&gt;=$B$17,$B$21,MATCH(L948,Aux_CAV!$A$2:$A$121,1))))</f>
        <v>7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0.15017907694896</v>
      </c>
      <c r="E949" s="16" t="n">
        <f aca="false">IF(D949="","",D949*$B$15)</f>
        <v>0.389264167451704</v>
      </c>
      <c r="F949" s="16" t="n">
        <f aca="false" t="array" ref="F949:F949">IF(D949="","",IFERROR(INDEX(Dados_Evap!$C$2:$N$15,MATCH($B$9,Dados_Evap!$A$2:$A$15,0),C949),0))</f>
        <v>124.9</v>
      </c>
      <c r="G949" s="16" t="n">
        <f aca="false">IF(F949="","",F949/1000)</f>
        <v>0.1249</v>
      </c>
      <c r="H949" s="16" t="n">
        <f aca="false">IF(D949="","",MAX(0,MIN($B$8,IFERROR(LOOKUP(2,1/($U$24:U948&lt;&gt;""),$U$24:U948),$B$11))))</f>
        <v>18.0386593545671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1.1687222008165</v>
      </c>
      <c r="J949" s="16" t="n">
        <f aca="false">IF(D949="","",$B$12)</f>
        <v>0.25</v>
      </c>
      <c r="K949" s="16" t="n">
        <f aca="false">IF(J949="","",J949*$B$15)</f>
        <v>0.648</v>
      </c>
      <c r="L949" s="16" t="n">
        <f aca="false">IF(D949="","",H949+E949-K949-G949*I949)</f>
        <v>17.6339501191368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1.16111806069359</v>
      </c>
      <c r="N949" s="16" t="n">
        <f aca="false">IF(D949="","",(I949+M949)/2)</f>
        <v>1.16492013075505</v>
      </c>
      <c r="O949" s="16" t="n">
        <f aca="false">IF(D949="","",G949*N949)</f>
        <v>0.145498524331305</v>
      </c>
      <c r="P949" s="16" t="n">
        <f aca="false">IF(D949="","",H949+E949-K949-O949)</f>
        <v>17.6344249976875</v>
      </c>
      <c r="Q949" s="16" t="n">
        <f aca="false">IF(D949="","",IF(P949&gt;=0,K949,MAX(0,K949+P949)))</f>
        <v>0.648</v>
      </c>
      <c r="R949" s="16" t="n">
        <f aca="false">IF(D949="","",Q949/$B$15)</f>
        <v>0.25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17.6344249976875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82.7907276886735</v>
      </c>
      <c r="Z949" s="18" t="n">
        <f aca="false">IF(D949="","",MAX(0,IF(P949&gt;=0,P949,IF(K949+P949&gt;=0,0,P949+K949))))</f>
        <v>17.6344249976875</v>
      </c>
      <c r="AA949" s="18" t="n">
        <f aca="false">IF(D949="","",IF(H949&lt;=$B$16,1,IF(H949&gt;=$B$17,$B$21,MATCH(H949,Aux_CAV!$A$2:$A$121,1))))</f>
        <v>7</v>
      </c>
      <c r="AB949" s="18" t="n">
        <f aca="false">IF(D949="","",IF(L949&lt;=$B$16,1,IF(L949&gt;=$B$17,$B$21,MATCH(L949,Aux_CAV!$A$2:$A$121,1))))</f>
        <v>7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1.12764663386214</v>
      </c>
      <c r="E950" s="16" t="n">
        <f aca="false">IF(D950="","",D950*$B$15)</f>
        <v>2.92286007497067</v>
      </c>
      <c r="F950" s="16" t="n">
        <f aca="false" t="array" ref="F950:F950">IF(D950="","",IFERROR(INDEX(Dados_Evap!$C$2:$N$15,MATCH($B$9,Dados_Evap!$A$2:$A$15,0),C950),0))</f>
        <v>88.2</v>
      </c>
      <c r="G950" s="16" t="n">
        <f aca="false">IF(F950="","",F950/1000)</f>
        <v>0.0882</v>
      </c>
      <c r="H950" s="16" t="n">
        <f aca="false">IF(D950="","",MAX(0,MIN($B$8,IFERROR(LOOKUP(2,1/($U$24:U949&lt;&gt;""),$U$24:U949),$B$11))))</f>
        <v>17.6344249976875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1.16112698325509</v>
      </c>
      <c r="J950" s="16" t="n">
        <f aca="false">IF(D950="","",$B$12)</f>
        <v>0.25</v>
      </c>
      <c r="K950" s="16" t="n">
        <f aca="false">IF(J950="","",J950*$B$15)</f>
        <v>0.648</v>
      </c>
      <c r="L950" s="16" t="n">
        <f aca="false">IF(D950="","",H950+E950-K950-G950*I950)</f>
        <v>19.806873672735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1.20194543435202</v>
      </c>
      <c r="N950" s="16" t="n">
        <f aca="false">IF(D950="","",(I950+M950)/2)</f>
        <v>1.18153620880355</v>
      </c>
      <c r="O950" s="16" t="n">
        <f aca="false">IF(D950="","",G950*N950)</f>
        <v>0.104211493616473</v>
      </c>
      <c r="P950" s="16" t="n">
        <f aca="false">IF(D950="","",H950+E950-K950-O950)</f>
        <v>19.8050735790417</v>
      </c>
      <c r="Q950" s="16" t="n">
        <f aca="false">IF(D950="","",IF(P950&gt;=0,K950,MAX(0,K950+P950)))</f>
        <v>0.648</v>
      </c>
      <c r="R950" s="16" t="n">
        <f aca="false">IF(D950="","",Q950/$B$15)</f>
        <v>0.25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19.8050735790417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92.9815660987871</v>
      </c>
      <c r="Z950" s="18" t="n">
        <f aca="false">IF(D950="","",MAX(0,IF(P950&gt;=0,P950,IF(K950+P950&gt;=0,0,P950+K950))))</f>
        <v>19.8050735790417</v>
      </c>
      <c r="AA950" s="18" t="n">
        <f aca="false">IF(D950="","",IF(H950&lt;=$B$16,1,IF(H950&gt;=$B$17,$B$21,MATCH(H950,Aux_CAV!$A$2:$A$121,1))))</f>
        <v>7</v>
      </c>
      <c r="AB950" s="18" t="n">
        <f aca="false">IF(D950="","",IF(L950&lt;=$B$16,1,IF(L950&gt;=$B$17,$B$21,MATCH(L950,Aux_CAV!$A$2:$A$121,1))))</f>
        <v>7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0.523995897533584</v>
      </c>
      <c r="E951" s="16" t="n">
        <f aca="false">IF(D951="","",D951*$B$15)</f>
        <v>1.35819736640705</v>
      </c>
      <c r="F951" s="16" t="n">
        <f aca="false" t="array" ref="F951:F951">IF(D951="","",IFERROR(INDEX(Dados_Evap!$C$2:$N$15,MATCH($B$9,Dados_Evap!$A$2:$A$15,0),C951),0))</f>
        <v>88.2</v>
      </c>
      <c r="G951" s="16" t="n">
        <f aca="false">IF(F951="","",F951/1000)</f>
        <v>0.0882</v>
      </c>
      <c r="H951" s="16" t="n">
        <f aca="false">IF(D951="","",MAX(0,MIN($B$8,IFERROR(LOOKUP(2,1/($U$24:U950&lt;&gt;""),$U$24:U950),$B$11))))</f>
        <v>19.8050735790417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1.20191161213231</v>
      </c>
      <c r="J951" s="16" t="n">
        <f aca="false">IF(D951="","",$B$12)</f>
        <v>0.25</v>
      </c>
      <c r="K951" s="16" t="n">
        <f aca="false">IF(J951="","",J951*$B$15)</f>
        <v>0.648</v>
      </c>
      <c r="L951" s="16" t="n">
        <f aca="false">IF(D951="","",H951+E951-K951-G951*I951)</f>
        <v>20.4092623412586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1.21326380181906</v>
      </c>
      <c r="N951" s="16" t="n">
        <f aca="false">IF(D951="","",(I951+M951)/2)</f>
        <v>1.20758770697568</v>
      </c>
      <c r="O951" s="16" t="n">
        <f aca="false">IF(D951="","",G951*N951)</f>
        <v>0.106509235755255</v>
      </c>
      <c r="P951" s="16" t="n">
        <f aca="false">IF(D951="","",H951+E951-K951-O951)</f>
        <v>20.4087617096934</v>
      </c>
      <c r="Q951" s="16" t="n">
        <f aca="false">IF(D951="","",IF(P951&gt;=0,K951,MAX(0,K951+P951)))</f>
        <v>0.648</v>
      </c>
      <c r="R951" s="16" t="n">
        <f aca="false">IF(D951="","",Q951/$B$15)</f>
        <v>0.25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20.4087617096934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95.8157826746171</v>
      </c>
      <c r="Z951" s="18" t="n">
        <f aca="false">IF(D951="","",MAX(0,IF(P951&gt;=0,P951,IF(K951+P951&gt;=0,0,P951+K951))))</f>
        <v>20.4087617096934</v>
      </c>
      <c r="AA951" s="18" t="n">
        <f aca="false">IF(D951="","",IF(H951&lt;=$B$16,1,IF(H951&gt;=$B$17,$B$21,MATCH(H951,Aux_CAV!$A$2:$A$121,1))))</f>
        <v>7</v>
      </c>
      <c r="AB951" s="18" t="n">
        <f aca="false">IF(D951="","",IF(L951&lt;=$B$16,1,IF(L951&gt;=$B$17,$B$21,MATCH(L951,Aux_CAV!$A$2:$A$121,1))))</f>
        <v>7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0.0990827291024524</v>
      </c>
      <c r="E952" s="16" t="n">
        <f aca="false">IF(D952="","",D952*$B$15)</f>
        <v>0.256822433833557</v>
      </c>
      <c r="F952" s="16" t="n">
        <f aca="false" t="array" ref="F952:F952">IF(D952="","",IFERROR(INDEX(Dados_Evap!$C$2:$N$15,MATCH($B$9,Dados_Evap!$A$2:$A$15,0),C952),0))</f>
        <v>83.9</v>
      </c>
      <c r="G952" s="16" t="n">
        <f aca="false">IF(F952="","",F952/1000)</f>
        <v>0.0839</v>
      </c>
      <c r="H952" s="16" t="n">
        <f aca="false">IF(D952="","",MAX(0,MIN($B$8,IFERROR(LOOKUP(2,1/($U$24:U951&lt;&gt;""),$U$24:U951),$B$11))))</f>
        <v>20.4087617096934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1.21325439538046</v>
      </c>
      <c r="J952" s="16" t="n">
        <f aca="false">IF(D952="","",$B$12)</f>
        <v>0.25</v>
      </c>
      <c r="K952" s="16" t="n">
        <f aca="false">IF(J952="","",J952*$B$15)</f>
        <v>0.648</v>
      </c>
      <c r="L952" s="16" t="n">
        <f aca="false">IF(D952="","",H952+E952-K952-G952*I952)</f>
        <v>19.9157920997546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1.203991918367</v>
      </c>
      <c r="N952" s="16" t="n">
        <f aca="false">IF(D952="","",(I952+M952)/2)</f>
        <v>1.20862315687373</v>
      </c>
      <c r="O952" s="16" t="n">
        <f aca="false">IF(D952="","",G952*N952)</f>
        <v>0.101403482861706</v>
      </c>
      <c r="P952" s="16" t="n">
        <f aca="false">IF(D952="","",H952+E952-K952-O952)</f>
        <v>19.9161806606653</v>
      </c>
      <c r="Q952" s="16" t="n">
        <f aca="false">IF(D952="","",IF(P952&gt;=0,K952,MAX(0,K952+P952)))</f>
        <v>0.648</v>
      </c>
      <c r="R952" s="16" t="n">
        <f aca="false">IF(D952="","",Q952/$B$15)</f>
        <v>0.25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19.9161806606653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93.5031955899779</v>
      </c>
      <c r="Z952" s="18" t="n">
        <f aca="false">IF(D952="","",MAX(0,IF(P952&gt;=0,P952,IF(K952+P952&gt;=0,0,P952+K952))))</f>
        <v>19.9161806606653</v>
      </c>
      <c r="AA952" s="18" t="n">
        <f aca="false">IF(D952="","",IF(H952&lt;=$B$16,1,IF(H952&gt;=$B$17,$B$21,MATCH(H952,Aux_CAV!$A$2:$A$121,1))))</f>
        <v>7</v>
      </c>
      <c r="AB952" s="18" t="n">
        <f aca="false">IF(D952="","",IF(L952&lt;=$B$16,1,IF(L952&gt;=$B$17,$B$21,MATCH(L952,Aux_CAV!$A$2:$A$121,1))))</f>
        <v>7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0.570762970731283</v>
      </c>
      <c r="E953" s="16" t="n">
        <f aca="false">IF(D953="","",D953*$B$15)</f>
        <v>1.47941762013549</v>
      </c>
      <c r="F953" s="16" t="n">
        <f aca="false" t="array" ref="F953:F953">IF(D953="","",IFERROR(INDEX(Dados_Evap!$C$2:$N$15,MATCH($B$9,Dados_Evap!$A$2:$A$15,0),C953),0))</f>
        <v>104.7</v>
      </c>
      <c r="G953" s="16" t="n">
        <f aca="false">IF(F953="","",F953/1000)</f>
        <v>0.1047</v>
      </c>
      <c r="H953" s="16" t="n">
        <f aca="false">IF(D953="","",MAX(0,MIN($B$8,IFERROR(LOOKUP(2,1/($U$24:U952&lt;&gt;""),$U$24:U952),$B$11))))</f>
        <v>19.9161806606653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1.20399921909392</v>
      </c>
      <c r="J953" s="16" t="n">
        <f aca="false">IF(D953="","",$B$12)</f>
        <v>0.25</v>
      </c>
      <c r="K953" s="16" t="n">
        <f aca="false">IF(J953="","",J953*$B$15)</f>
        <v>0.648</v>
      </c>
      <c r="L953" s="16" t="n">
        <f aca="false">IF(D953="","",H953+E953-K953-G953*I953)</f>
        <v>20.6215395625617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1.21725230910867</v>
      </c>
      <c r="N953" s="16" t="n">
        <f aca="false">IF(D953="","",(I953+M953)/2)</f>
        <v>1.2106257641013</v>
      </c>
      <c r="O953" s="16" t="n">
        <f aca="false">IF(D953="","",G953*N953)</f>
        <v>0.126752517501406</v>
      </c>
      <c r="P953" s="16" t="n">
        <f aca="false">IF(D953="","",H953+E953-K953-O953)</f>
        <v>20.6208457632994</v>
      </c>
      <c r="Q953" s="16" t="n">
        <f aca="false">IF(D953="","",IF(P953&gt;=0,K953,MAX(0,K953+P953)))</f>
        <v>0.648</v>
      </c>
      <c r="R953" s="16" t="n">
        <f aca="false">IF(D953="","",Q953/$B$15)</f>
        <v>0.25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20.6208457632994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96.8114824568046</v>
      </c>
      <c r="Z953" s="18" t="n">
        <f aca="false">IF(D953="","",MAX(0,IF(P953&gt;=0,P953,IF(K953+P953&gt;=0,0,P953+K953))))</f>
        <v>20.6208457632994</v>
      </c>
      <c r="AA953" s="18" t="n">
        <f aca="false">IF(D953="","",IF(H953&lt;=$B$16,1,IF(H953&gt;=$B$17,$B$21,MATCH(H953,Aux_CAV!$A$2:$A$121,1))))</f>
        <v>7</v>
      </c>
      <c r="AB953" s="18" t="n">
        <f aca="false">IF(D953="","",IF(L953&lt;=$B$16,1,IF(L953&gt;=$B$17,$B$21,MATCH(L953,Aux_CAV!$A$2:$A$121,1))))</f>
        <v>7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0.0979556061674858</v>
      </c>
      <c r="E954" s="16" t="n">
        <f aca="false">IF(D954="","",D954*$B$15)</f>
        <v>0.253900931186123</v>
      </c>
      <c r="F954" s="16" t="n">
        <f aca="false" t="array" ref="F954:F954">IF(D954="","",IFERROR(INDEX(Dados_Evap!$C$2:$N$15,MATCH($B$9,Dados_Evap!$A$2:$A$15,0),C954),0))</f>
        <v>145.2</v>
      </c>
      <c r="G954" s="16" t="n">
        <f aca="false">IF(F954="","",F954/1000)</f>
        <v>0.1452</v>
      </c>
      <c r="H954" s="16" t="n">
        <f aca="false">IF(D954="","",MAX(0,MIN($B$8,IFERROR(LOOKUP(2,1/($U$24:U953&lt;&gt;""),$U$24:U953),$B$11))))</f>
        <v>20.6208457632994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1.21723927321439</v>
      </c>
      <c r="J954" s="16" t="n">
        <f aca="false">IF(D954="","",$B$12)</f>
        <v>0.25</v>
      </c>
      <c r="K954" s="16" t="n">
        <f aca="false">IF(J954="","",J954*$B$15)</f>
        <v>0.648</v>
      </c>
      <c r="L954" s="16" t="n">
        <f aca="false">IF(D954="","",H954+E954-K954-G954*I954)</f>
        <v>20.0500035520148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1.20651363667669</v>
      </c>
      <c r="N954" s="16" t="n">
        <f aca="false">IF(D954="","",(I954+M954)/2)</f>
        <v>1.21187645494554</v>
      </c>
      <c r="O954" s="16" t="n">
        <f aca="false">IF(D954="","",G954*N954)</f>
        <v>0.175964461258092</v>
      </c>
      <c r="P954" s="16" t="n">
        <f aca="false">IF(D954="","",H954+E954-K954-O954)</f>
        <v>20.0507822332274</v>
      </c>
      <c r="Q954" s="16" t="n">
        <f aca="false">IF(D954="","",IF(P954&gt;=0,K954,MAX(0,K954+P954)))</f>
        <v>0.648</v>
      </c>
      <c r="R954" s="16" t="n">
        <f aca="false">IF(D954="","",Q954/$B$15)</f>
        <v>0.25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20.0507822332274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94.1351278555277</v>
      </c>
      <c r="Z954" s="18" t="n">
        <f aca="false">IF(D954="","",MAX(0,IF(P954&gt;=0,P954,IF(K954+P954&gt;=0,0,P954+K954))))</f>
        <v>20.0507822332274</v>
      </c>
      <c r="AA954" s="18" t="n">
        <f aca="false">IF(D954="","",IF(H954&lt;=$B$16,1,IF(H954&gt;=$B$17,$B$21,MATCH(H954,Aux_CAV!$A$2:$A$121,1))))</f>
        <v>7</v>
      </c>
      <c r="AB954" s="18" t="n">
        <f aca="false">IF(D954="","",IF(L954&lt;=$B$16,1,IF(L954&gt;=$B$17,$B$21,MATCH(L954,Aux_CAV!$A$2:$A$121,1))))</f>
        <v>7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0.0525957884332498</v>
      </c>
      <c r="E955" s="16" t="n">
        <f aca="false">IF(D955="","",D955*$B$15)</f>
        <v>0.136328283618984</v>
      </c>
      <c r="F955" s="16" t="n">
        <f aca="false" t="array" ref="F955:F955">IF(D955="","",IFERROR(INDEX(Dados_Evap!$C$2:$N$15,MATCH($B$9,Dados_Evap!$A$2:$A$15,0),C955),0))</f>
        <v>180.9</v>
      </c>
      <c r="G955" s="16" t="n">
        <f aca="false">IF(F955="","",F955/1000)</f>
        <v>0.1809</v>
      </c>
      <c r="H955" s="16" t="n">
        <f aca="false">IF(D955="","",MAX(0,MIN($B$8,IFERROR(LOOKUP(2,1/($U$24:U954&lt;&gt;""),$U$24:U954),$B$11))))</f>
        <v>20.0507822332274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1.20652826743016</v>
      </c>
      <c r="J955" s="16" t="n">
        <f aca="false">IF(D955="","",$B$12)</f>
        <v>0.25</v>
      </c>
      <c r="K955" s="16" t="n">
        <f aca="false">IF(J955="","",J955*$B$15)</f>
        <v>0.648</v>
      </c>
      <c r="L955" s="16" t="n">
        <f aca="false">IF(D955="","",H955+E955-K955-G955*I955)</f>
        <v>19.3208495532683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1.19281345715953</v>
      </c>
      <c r="N955" s="16" t="n">
        <f aca="false">IF(D955="","",(I955+M955)/2)</f>
        <v>1.19967086229484</v>
      </c>
      <c r="O955" s="16" t="n">
        <f aca="false">IF(D955="","",G955*N955)</f>
        <v>0.217020458989137</v>
      </c>
      <c r="P955" s="16" t="n">
        <f aca="false">IF(D955="","",H955+E955-K955-O955)</f>
        <v>19.3220900578573</v>
      </c>
      <c r="Q955" s="16" t="n">
        <f aca="false">IF(D955="","",IF(P955&gt;=0,K955,MAX(0,K955+P955)))</f>
        <v>0.648</v>
      </c>
      <c r="R955" s="16" t="n">
        <f aca="false">IF(D955="","",Q955/$B$15)</f>
        <v>0.25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19.3220900578573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90.7140378303158</v>
      </c>
      <c r="Z955" s="18" t="n">
        <f aca="false">IF(D955="","",MAX(0,IF(P955&gt;=0,P955,IF(K955+P955&gt;=0,0,P955+K955))))</f>
        <v>19.3220900578573</v>
      </c>
      <c r="AA955" s="18" t="n">
        <f aca="false">IF(D955="","",IF(H955&lt;=$B$16,1,IF(H955&gt;=$B$17,$B$21,MATCH(H955,Aux_CAV!$A$2:$A$121,1))))</f>
        <v>7</v>
      </c>
      <c r="AB955" s="18" t="n">
        <f aca="false">IF(D955="","",IF(L955&lt;=$B$16,1,IF(L955&gt;=$B$17,$B$21,MATCH(L955,Aux_CAV!$A$2:$A$121,1))))</f>
        <v>7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0.0380195255569855</v>
      </c>
      <c r="E956" s="16" t="n">
        <f aca="false">IF(D956="","",D956*$B$15)</f>
        <v>0.0985466102437064</v>
      </c>
      <c r="F956" s="16" t="n">
        <f aca="false" t="array" ref="F956:F956">IF(D956="","",IFERROR(INDEX(Dados_Evap!$C$2:$N$15,MATCH($B$9,Dados_Evap!$A$2:$A$15,0),C956),0))</f>
        <v>208.9</v>
      </c>
      <c r="G956" s="16" t="n">
        <f aca="false">IF(F956="","",F956/1000)</f>
        <v>0.2089</v>
      </c>
      <c r="H956" s="16" t="n">
        <f aca="false">IF(D956="","",MAX(0,MIN($B$8,IFERROR(LOOKUP(2,1/($U$24:U955&lt;&gt;""),$U$24:U955),$B$11))))</f>
        <v>19.3220900578573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1.19283676517895</v>
      </c>
      <c r="J956" s="16" t="n">
        <f aca="false">IF(D956="","",$B$12)</f>
        <v>0.25</v>
      </c>
      <c r="K956" s="16" t="n">
        <f aca="false">IF(J956="","",J956*$B$15)</f>
        <v>0.648</v>
      </c>
      <c r="L956" s="16" t="n">
        <f aca="false">IF(D956="","",H956+E956-K956-G956*I956)</f>
        <v>18.5234530678551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1.17783105973005</v>
      </c>
      <c r="N956" s="16" t="n">
        <f aca="false">IF(D956="","",(I956+M956)/2)</f>
        <v>1.1853339124545</v>
      </c>
      <c r="O956" s="16" t="n">
        <f aca="false">IF(D956="","",G956*N956)</f>
        <v>0.247616254311745</v>
      </c>
      <c r="P956" s="16" t="n">
        <f aca="false">IF(D956="","",H956+E956-K956-O956)</f>
        <v>18.5250204137892</v>
      </c>
      <c r="Q956" s="16" t="n">
        <f aca="false">IF(D956="","",IF(P956&gt;=0,K956,MAX(0,K956+P956)))</f>
        <v>0.648</v>
      </c>
      <c r="R956" s="16" t="n">
        <f aca="false">IF(D956="","",Q956/$B$15)</f>
        <v>0.25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18.5250204137892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86.9719268253015</v>
      </c>
      <c r="Z956" s="18" t="n">
        <f aca="false">IF(D956="","",MAX(0,IF(P956&gt;=0,P956,IF(K956+P956&gt;=0,0,P956+K956))))</f>
        <v>18.5250204137892</v>
      </c>
      <c r="AA956" s="18" t="n">
        <f aca="false">IF(D956="","",IF(H956&lt;=$B$16,1,IF(H956&gt;=$B$17,$B$21,MATCH(H956,Aux_CAV!$A$2:$A$121,1))))</f>
        <v>7</v>
      </c>
      <c r="AB956" s="18" t="n">
        <f aca="false">IF(D956="","",IF(L956&lt;=$B$16,1,IF(L956&gt;=$B$17,$B$21,MATCH(L956,Aux_CAV!$A$2:$A$121,1))))</f>
        <v>7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0.0219250580739385</v>
      </c>
      <c r="E957" s="16" t="n">
        <f aca="false">IF(D957="","",D957*$B$15)</f>
        <v>0.0568297505276486</v>
      </c>
      <c r="F957" s="16" t="n">
        <f aca="false" t="array" ref="F957:F957">IF(D957="","",IFERROR(INDEX(Dados_Evap!$C$2:$N$15,MATCH($B$9,Dados_Evap!$A$2:$A$15,0),C957),0))</f>
        <v>235.9</v>
      </c>
      <c r="G957" s="16" t="n">
        <f aca="false">IF(F957="","",F957/1000)</f>
        <v>0.2359</v>
      </c>
      <c r="H957" s="16" t="n">
        <f aca="false">IF(D957="","",MAX(0,MIN($B$8,IFERROR(LOOKUP(2,1/($U$24:U956&lt;&gt;""),$U$24:U956),$B$11))))</f>
        <v>18.5250204137892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1.17786050881859</v>
      </c>
      <c r="J957" s="16" t="n">
        <f aca="false">IF(D957="","",$B$12)</f>
        <v>0.25</v>
      </c>
      <c r="K957" s="16" t="n">
        <f aca="false">IF(J957="","",J957*$B$15)</f>
        <v>0.648</v>
      </c>
      <c r="L957" s="16" t="n">
        <f aca="false">IF(D957="","",H957+E957-K957-G957*I957)</f>
        <v>17.6559928702866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1.16153222512021</v>
      </c>
      <c r="N957" s="16" t="n">
        <f aca="false">IF(D957="","",(I957+M957)/2)</f>
        <v>1.1696963669694</v>
      </c>
      <c r="O957" s="16" t="n">
        <f aca="false">IF(D957="","",G957*N957)</f>
        <v>0.275931372968081</v>
      </c>
      <c r="P957" s="16" t="n">
        <f aca="false">IF(D957="","",H957+E957-K957-O957)</f>
        <v>17.6579187913488</v>
      </c>
      <c r="Q957" s="16" t="n">
        <f aca="false">IF(D957="","",IF(P957&gt;=0,K957,MAX(0,K957+P957)))</f>
        <v>0.648</v>
      </c>
      <c r="R957" s="16" t="n">
        <f aca="false">IF(D957="","",Q957/$B$15)</f>
        <v>0.25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17.6579187913488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82.9010271894309</v>
      </c>
      <c r="Z957" s="18" t="n">
        <f aca="false">IF(D957="","",MAX(0,IF(P957&gt;=0,P957,IF(K957+P957&gt;=0,0,P957+K957))))</f>
        <v>17.6579187913488</v>
      </c>
      <c r="AA957" s="18" t="n">
        <f aca="false">IF(D957="","",IF(H957&lt;=$B$16,1,IF(H957&gt;=$B$17,$B$21,MATCH(H957,Aux_CAV!$A$2:$A$121,1))))</f>
        <v>7</v>
      </c>
      <c r="AB957" s="18" t="n">
        <f aca="false">IF(D957="","",IF(L957&lt;=$B$16,1,IF(L957&gt;=$B$17,$B$21,MATCH(L957,Aux_CAV!$A$2:$A$121,1))))</f>
        <v>7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0.0123782532021323</v>
      </c>
      <c r="E958" s="16" t="n">
        <f aca="false">IF(D958="","",D958*$B$15)</f>
        <v>0.0320844322999269</v>
      </c>
      <c r="F958" s="16" t="n">
        <f aca="false" t="array" ref="F958:F958">IF(D958="","",IFERROR(INDEX(Dados_Evap!$C$2:$N$15,MATCH($B$9,Dados_Evap!$A$2:$A$15,0),C958),0))</f>
        <v>225.9</v>
      </c>
      <c r="G958" s="16" t="n">
        <f aca="false">IF(F958="","",F958/1000)</f>
        <v>0.2259</v>
      </c>
      <c r="H958" s="16" t="n">
        <f aca="false">IF(D958="","",MAX(0,MIN($B$8,IFERROR(LOOKUP(2,1/($U$24:U957&lt;&gt;""),$U$24:U957),$B$11))))</f>
        <v>17.6579187913488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1.16156841152847</v>
      </c>
      <c r="J958" s="16" t="n">
        <f aca="false">IF(D958="","",$B$12)</f>
        <v>0.25</v>
      </c>
      <c r="K958" s="16" t="n">
        <f aca="false">IF(J958="","",J958*$B$15)</f>
        <v>0.648</v>
      </c>
      <c r="L958" s="16" t="n">
        <f aca="false">IF(D958="","",H958+E958-K958-G958*I958)</f>
        <v>16.7796049194844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1.14506564566881</v>
      </c>
      <c r="N958" s="16" t="n">
        <f aca="false">IF(D958="","",(I958+M958)/2)</f>
        <v>1.15331702859864</v>
      </c>
      <c r="O958" s="16" t="n">
        <f aca="false">IF(D958="","",G958*N958)</f>
        <v>0.260534316760433</v>
      </c>
      <c r="P958" s="16" t="n">
        <f aca="false">IF(D958="","",H958+E958-K958-O958)</f>
        <v>16.7814689068883</v>
      </c>
      <c r="Q958" s="16" t="n">
        <f aca="false">IF(D958="","",IF(P958&gt;=0,K958,MAX(0,K958+P958)))</f>
        <v>0.648</v>
      </c>
      <c r="R958" s="16" t="n">
        <f aca="false">IF(D958="","",Q958/$B$15)</f>
        <v>0.25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16.7814689068883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78.7862389994755</v>
      </c>
      <c r="Z958" s="18" t="n">
        <f aca="false">IF(D958="","",MAX(0,IF(P958&gt;=0,P958,IF(K958+P958&gt;=0,0,P958+K958))))</f>
        <v>16.7814689068883</v>
      </c>
      <c r="AA958" s="18" t="n">
        <f aca="false">IF(D958="","",IF(H958&lt;=$B$16,1,IF(H958&gt;=$B$17,$B$21,MATCH(H958,Aux_CAV!$A$2:$A$121,1))))</f>
        <v>7</v>
      </c>
      <c r="AB958" s="18" t="n">
        <f aca="false">IF(D958="","",IF(L958&lt;=$B$16,1,IF(L958&gt;=$B$17,$B$21,MATCH(L958,Aux_CAV!$A$2:$A$121,1))))</f>
        <v>7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0.00661449999885465</v>
      </c>
      <c r="E959" s="16" t="n">
        <f aca="false">IF(D959="","",D959*$B$15)</f>
        <v>0.0171447839970313</v>
      </c>
      <c r="F959" s="16" t="n">
        <f aca="false" t="array" ref="F959:F959">IF(D959="","",IFERROR(INDEX(Dados_Evap!$C$2:$N$15,MATCH($B$9,Dados_Evap!$A$2:$A$15,0),C959),0))</f>
        <v>206</v>
      </c>
      <c r="G959" s="16" t="n">
        <f aca="false">IF(F959="","",F959/1000)</f>
        <v>0.206</v>
      </c>
      <c r="H959" s="16" t="n">
        <f aca="false">IF(D959="","",MAX(0,MIN($B$8,IFERROR(LOOKUP(2,1/($U$24:U958&lt;&gt;""),$U$24:U958),$B$11))))</f>
        <v>16.7814689068883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1.14510066839665</v>
      </c>
      <c r="J959" s="16" t="n">
        <f aca="false">IF(D959="","",$B$12)</f>
        <v>0.25</v>
      </c>
      <c r="K959" s="16" t="n">
        <f aca="false">IF(J959="","",J959*$B$15)</f>
        <v>0.648</v>
      </c>
      <c r="L959" s="16" t="n">
        <f aca="false">IF(D959="","",H959+E959-K959-G959*I959)</f>
        <v>15.9147229531956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1.1208701138078</v>
      </c>
      <c r="N959" s="16" t="n">
        <f aca="false">IF(D959="","",(I959+M959)/2)</f>
        <v>1.13298539110222</v>
      </c>
      <c r="O959" s="16" t="n">
        <f aca="false">IF(D959="","",G959*N959)</f>
        <v>0.233394990567058</v>
      </c>
      <c r="P959" s="16" t="n">
        <f aca="false">IF(D959="","",H959+E959-K959-O959)</f>
        <v>15.9172187003183</v>
      </c>
      <c r="Q959" s="16" t="n">
        <f aca="false">IF(D959="","",IF(P959&gt;=0,K959,MAX(0,K959+P959)))</f>
        <v>0.648</v>
      </c>
      <c r="R959" s="16" t="n">
        <f aca="false">IF(D959="","",Q959/$B$15)</f>
        <v>0.25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15.9172187003183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74.728726292574</v>
      </c>
      <c r="Z959" s="18" t="n">
        <f aca="false">IF(D959="","",MAX(0,IF(P959&gt;=0,P959,IF(K959+P959&gt;=0,0,P959+K959))))</f>
        <v>15.9172187003183</v>
      </c>
      <c r="AA959" s="18" t="n">
        <f aca="false">IF(D959="","",IF(H959&lt;=$B$16,1,IF(H959&gt;=$B$17,$B$21,MATCH(H959,Aux_CAV!$A$2:$A$121,1))))</f>
        <v>7</v>
      </c>
      <c r="AB959" s="18" t="n">
        <f aca="false">IF(D959="","",IF(L959&lt;=$B$16,1,IF(L959&gt;=$B$17,$B$21,MATCH(L959,Aux_CAV!$A$2:$A$121,1))))</f>
        <v>6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0.0953928025936734</v>
      </c>
      <c r="E960" s="16" t="n">
        <f aca="false">IF(D960="","",D960*$B$15)</f>
        <v>0.247258144322801</v>
      </c>
      <c r="F960" s="16" t="n">
        <f aca="false" t="array" ref="F960:F960">IF(D960="","",IFERROR(INDEX(Dados_Evap!$C$2:$N$15,MATCH($B$9,Dados_Evap!$A$2:$A$15,0),C960),0))</f>
        <v>165.6</v>
      </c>
      <c r="G960" s="16" t="n">
        <f aca="false">IF(F960="","",F960/1000)</f>
        <v>0.1656</v>
      </c>
      <c r="H960" s="16" t="n">
        <f aca="false">IF(D960="","",MAX(0,MIN($B$8,IFERROR(LOOKUP(2,1/($U$24:U959&lt;&gt;""),$U$24:U959),$B$11))))</f>
        <v>15.9172187003183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1.12095031740153</v>
      </c>
      <c r="J960" s="16" t="n">
        <f aca="false">IF(D960="","",$B$12)</f>
        <v>0.25</v>
      </c>
      <c r="K960" s="16" t="n">
        <f aca="false">IF(J960="","",J960*$B$15)</f>
        <v>0.648</v>
      </c>
      <c r="L960" s="16" t="n">
        <f aca="false">IF(D960="","",H960+E960-K960-G960*I960)</f>
        <v>15.3308474720794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1.10210662953752</v>
      </c>
      <c r="N960" s="16" t="n">
        <f aca="false">IF(D960="","",(I960+M960)/2)</f>
        <v>1.11152847346953</v>
      </c>
      <c r="O960" s="16" t="n">
        <f aca="false">IF(D960="","",G960*N960)</f>
        <v>0.184069115206554</v>
      </c>
      <c r="P960" s="16" t="n">
        <f aca="false">IF(D960="","",H960+E960-K960-O960)</f>
        <v>15.3324077294345</v>
      </c>
      <c r="Q960" s="16" t="n">
        <f aca="false">IF(D960="","",IF(P960&gt;=0,K960,MAX(0,K960+P960)))</f>
        <v>0.648</v>
      </c>
      <c r="R960" s="16" t="n">
        <f aca="false">IF(D960="","",Q960/$B$15)</f>
        <v>0.25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15.3324077294345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71.9831348799742</v>
      </c>
      <c r="Z960" s="18" t="n">
        <f aca="false">IF(D960="","",MAX(0,IF(P960&gt;=0,P960,IF(K960+P960&gt;=0,0,P960+K960))))</f>
        <v>15.3324077294345</v>
      </c>
      <c r="AA960" s="18" t="n">
        <f aca="false">IF(D960="","",IF(H960&lt;=$B$16,1,IF(H960&gt;=$B$17,$B$21,MATCH(H960,Aux_CAV!$A$2:$A$121,1))))</f>
        <v>6</v>
      </c>
      <c r="AB960" s="18" t="n">
        <f aca="false">IF(D960="","",IF(L960&lt;=$B$16,1,IF(L960&gt;=$B$17,$B$21,MATCH(L960,Aux_CAV!$A$2:$A$121,1))))</f>
        <v>6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0.200710825122375</v>
      </c>
      <c r="E961" s="16" t="n">
        <f aca="false">IF(D961="","",D961*$B$15)</f>
        <v>0.520242458717196</v>
      </c>
      <c r="F961" s="16" t="n">
        <f aca="false" t="array" ref="F961:F961">IF(D961="","",IFERROR(INDEX(Dados_Evap!$C$2:$N$15,MATCH($B$9,Dados_Evap!$A$2:$A$15,0),C961),0))</f>
        <v>124.9</v>
      </c>
      <c r="G961" s="16" t="n">
        <f aca="false">IF(F961="","",F961/1000)</f>
        <v>0.1249</v>
      </c>
      <c r="H961" s="16" t="n">
        <f aca="false">IF(D961="","",MAX(0,MIN($B$8,IFERROR(LOOKUP(2,1/($U$24:U960&lt;&gt;""),$U$24:U960),$B$11))))</f>
        <v>15.3324077294345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1.10215677013306</v>
      </c>
      <c r="J961" s="16" t="n">
        <f aca="false">IF(D961="","",$B$12)</f>
        <v>0.25</v>
      </c>
      <c r="K961" s="16" t="n">
        <f aca="false">IF(J961="","",J961*$B$15)</f>
        <v>0.648</v>
      </c>
      <c r="L961" s="16" t="n">
        <f aca="false">IF(D961="","",H961+E961-K961-G961*I961)</f>
        <v>15.0669908075621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1.0936273038347</v>
      </c>
      <c r="N961" s="16" t="n">
        <f aca="false">IF(D961="","",(I961+M961)/2)</f>
        <v>1.09789203698388</v>
      </c>
      <c r="O961" s="16" t="n">
        <f aca="false">IF(D961="","",G961*N961)</f>
        <v>0.137126715419286</v>
      </c>
      <c r="P961" s="16" t="n">
        <f aca="false">IF(D961="","",H961+E961-K961-O961)</f>
        <v>15.0675234727324</v>
      </c>
      <c r="Q961" s="16" t="n">
        <f aca="false">IF(D961="","",IF(P961&gt;=0,K961,MAX(0,K961+P961)))</f>
        <v>0.648</v>
      </c>
      <c r="R961" s="16" t="n">
        <f aca="false">IF(D961="","",Q961/$B$15)</f>
        <v>0.25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15.0675234727324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70.73954682034</v>
      </c>
      <c r="Z961" s="18" t="n">
        <f aca="false">IF(D961="","",MAX(0,IF(P961&gt;=0,P961,IF(K961+P961&gt;=0,0,P961+K961))))</f>
        <v>15.0675234727324</v>
      </c>
      <c r="AA961" s="18" t="n">
        <f aca="false">IF(D961="","",IF(H961&lt;=$B$16,1,IF(H961&gt;=$B$17,$B$21,MATCH(H961,Aux_CAV!$A$2:$A$121,1))))</f>
        <v>6</v>
      </c>
      <c r="AB961" s="18" t="n">
        <f aca="false">IF(D961="","",IF(L961&lt;=$B$16,1,IF(L961&gt;=$B$17,$B$21,MATCH(L961,Aux_CAV!$A$2:$A$121,1))))</f>
        <v>6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0.495914466666438</v>
      </c>
      <c r="E962" s="16" t="n">
        <f aca="false">IF(D962="","",D962*$B$15)</f>
        <v>1.28541029759941</v>
      </c>
      <c r="F962" s="16" t="n">
        <f aca="false" t="array" ref="F962:F962">IF(D962="","",IFERROR(INDEX(Dados_Evap!$C$2:$N$15,MATCH($B$9,Dados_Evap!$A$2:$A$15,0),C962),0))</f>
        <v>88.2</v>
      </c>
      <c r="G962" s="16" t="n">
        <f aca="false">IF(F962="","",F962/1000)</f>
        <v>0.0882</v>
      </c>
      <c r="H962" s="16" t="n">
        <f aca="false">IF(D962="","",MAX(0,MIN($B$8,IFERROR(LOOKUP(2,1/($U$24:U961&lt;&gt;""),$U$24:U961),$B$11))))</f>
        <v>15.0675234727324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1.093644421619</v>
      </c>
      <c r="J962" s="16" t="n">
        <f aca="false">IF(D962="","",$B$12)</f>
        <v>0.25</v>
      </c>
      <c r="K962" s="16" t="n">
        <f aca="false">IF(J962="","",J962*$B$15)</f>
        <v>0.648</v>
      </c>
      <c r="L962" s="16" t="n">
        <f aca="false">IF(D962="","",H962+E962-K962-G962*I962)</f>
        <v>15.608474332345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1.11102847570863</v>
      </c>
      <c r="N962" s="16" t="n">
        <f aca="false">IF(D962="","",(I962+M962)/2)</f>
        <v>1.10233644866382</v>
      </c>
      <c r="O962" s="16" t="n">
        <f aca="false">IF(D962="","",G962*N962)</f>
        <v>0.0972260747721485</v>
      </c>
      <c r="P962" s="16" t="n">
        <f aca="false">IF(D962="","",H962+E962-K962-O962)</f>
        <v>15.6077076955597</v>
      </c>
      <c r="Q962" s="16" t="n">
        <f aca="false">IF(D962="","",IF(P962&gt;=0,K962,MAX(0,K962+P962)))</f>
        <v>0.648</v>
      </c>
      <c r="R962" s="16" t="n">
        <f aca="false">IF(D962="","",Q962/$B$15)</f>
        <v>0.25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15.6077076955597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73.2756229838482</v>
      </c>
      <c r="Z962" s="18" t="n">
        <f aca="false">IF(D962="","",MAX(0,IF(P962&gt;=0,P962,IF(K962+P962&gt;=0,0,P962+K962))))</f>
        <v>15.6077076955597</v>
      </c>
      <c r="AA962" s="18" t="n">
        <f aca="false">IF(D962="","",IF(H962&lt;=$B$16,1,IF(H962&gt;=$B$17,$B$21,MATCH(H962,Aux_CAV!$A$2:$A$121,1))))</f>
        <v>6</v>
      </c>
      <c r="AB962" s="18" t="n">
        <f aca="false">IF(D962="","",IF(L962&lt;=$B$16,1,IF(L962&gt;=$B$17,$B$21,MATCH(L962,Aux_CAV!$A$2:$A$121,1))))</f>
        <v>6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1.59176885729562</v>
      </c>
      <c r="E963" s="16" t="n">
        <f aca="false">IF(D963="","",D963*$B$15)</f>
        <v>4.12586487811025</v>
      </c>
      <c r="F963" s="16" t="n">
        <f aca="false" t="array" ref="F963:F963">IF(D963="","",IFERROR(INDEX(Dados_Evap!$C$2:$N$15,MATCH($B$9,Dados_Evap!$A$2:$A$15,0),C963),0))</f>
        <v>88.2</v>
      </c>
      <c r="G963" s="16" t="n">
        <f aca="false">IF(F963="","",F963/1000)</f>
        <v>0.0882</v>
      </c>
      <c r="H963" s="16" t="n">
        <f aca="false">IF(D963="","",MAX(0,MIN($B$8,IFERROR(LOOKUP(2,1/($U$24:U962&lt;&gt;""),$U$24:U962),$B$11))))</f>
        <v>15.6077076955597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1.11100383898774</v>
      </c>
      <c r="J963" s="16" t="n">
        <f aca="false">IF(D963="","",$B$12)</f>
        <v>0.25</v>
      </c>
      <c r="K963" s="16" t="n">
        <f aca="false">IF(J963="","",J963*$B$15)</f>
        <v>0.648</v>
      </c>
      <c r="L963" s="16" t="n">
        <f aca="false">IF(D963="","",H963+E963-K963-G963*I963)</f>
        <v>18.9875820350712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1.1865516457529</v>
      </c>
      <c r="N963" s="16" t="n">
        <f aca="false">IF(D963="","",(I963+M963)/2)</f>
        <v>1.14877774237032</v>
      </c>
      <c r="O963" s="16" t="n">
        <f aca="false">IF(D963="","",G963*N963)</f>
        <v>0.101322196877062</v>
      </c>
      <c r="P963" s="16" t="n">
        <f aca="false">IF(D963="","",H963+E963-K963-O963)</f>
        <v>18.9842503767929</v>
      </c>
      <c r="Q963" s="16" t="n">
        <f aca="false">IF(D963="","",IF(P963&gt;=0,K963,MAX(0,K963+P963)))</f>
        <v>0.648</v>
      </c>
      <c r="R963" s="16" t="n">
        <f aca="false">IF(D963="","",Q963/$B$15)</f>
        <v>0.25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18.9842503767929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89.127936041281</v>
      </c>
      <c r="Z963" s="18" t="n">
        <f aca="false">IF(D963="","",MAX(0,IF(P963&gt;=0,P963,IF(K963+P963&gt;=0,0,P963+K963))))</f>
        <v>18.9842503767929</v>
      </c>
      <c r="AA963" s="18" t="n">
        <f aca="false">IF(D963="","",IF(H963&lt;=$B$16,1,IF(H963&gt;=$B$17,$B$21,MATCH(H963,Aux_CAV!$A$2:$A$121,1))))</f>
        <v>6</v>
      </c>
      <c r="AB963" s="18" t="n">
        <f aca="false">IF(D963="","",IF(L963&lt;=$B$16,1,IF(L963&gt;=$B$17,$B$21,MATCH(L963,Aux_CAV!$A$2:$A$121,1))))</f>
        <v>7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0.873108470877704</v>
      </c>
      <c r="E964" s="16" t="n">
        <f aca="false">IF(D964="","",D964*$B$15)</f>
        <v>2.26309715651501</v>
      </c>
      <c r="F964" s="16" t="n">
        <f aca="false" t="array" ref="F964:F964">IF(D964="","",IFERROR(INDEX(Dados_Evap!$C$2:$N$15,MATCH($B$9,Dados_Evap!$A$2:$A$15,0),C964),0))</f>
        <v>83.9</v>
      </c>
      <c r="G964" s="16" t="n">
        <f aca="false">IF(F964="","",F964/1000)</f>
        <v>0.0839</v>
      </c>
      <c r="H964" s="16" t="n">
        <f aca="false">IF(D964="","",MAX(0,MIN($B$8,IFERROR(LOOKUP(2,1/($U$24:U963&lt;&gt;""),$U$24:U963),$B$11))))</f>
        <v>18.9842503767929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1.18648904674559</v>
      </c>
      <c r="J964" s="16" t="n">
        <f aca="false">IF(D964="","",$B$12)</f>
        <v>0.25</v>
      </c>
      <c r="K964" s="16" t="n">
        <f aca="false">IF(J964="","",J964*$B$15)</f>
        <v>0.648</v>
      </c>
      <c r="L964" s="16" t="n">
        <f aca="false">IF(D964="","",H964+E964-K964-G964*I964)</f>
        <v>20.4998011022859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1.21496494764212</v>
      </c>
      <c r="N964" s="16" t="n">
        <f aca="false">IF(D964="","",(I964+M964)/2)</f>
        <v>1.20072699719385</v>
      </c>
      <c r="O964" s="16" t="n">
        <f aca="false">IF(D964="","",G964*N964)</f>
        <v>0.100740995064564</v>
      </c>
      <c r="P964" s="16" t="n">
        <f aca="false">IF(D964="","",H964+E964-K964-O964)</f>
        <v>20.4986065382433</v>
      </c>
      <c r="Q964" s="16" t="n">
        <f aca="false">IF(D964="","",IF(P964&gt;=0,K964,MAX(0,K964+P964)))</f>
        <v>0.648</v>
      </c>
      <c r="R964" s="16" t="n">
        <f aca="false">IF(D964="","",Q964/$B$15)</f>
        <v>0.25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20.4986065382433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96.2375893814239</v>
      </c>
      <c r="Z964" s="18" t="n">
        <f aca="false">IF(D964="","",MAX(0,IF(P964&gt;=0,P964,IF(K964+P964&gt;=0,0,P964+K964))))</f>
        <v>20.4986065382433</v>
      </c>
      <c r="AA964" s="18" t="n">
        <f aca="false">IF(D964="","",IF(H964&lt;=$B$16,1,IF(H964&gt;=$B$17,$B$21,MATCH(H964,Aux_CAV!$A$2:$A$121,1))))</f>
        <v>7</v>
      </c>
      <c r="AB964" s="18" t="n">
        <f aca="false">IF(D964="","",IF(L964&lt;=$B$16,1,IF(L964&gt;=$B$17,$B$21,MATCH(L964,Aux_CAV!$A$2:$A$121,1))))</f>
        <v>7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0.376320431896522</v>
      </c>
      <c r="E965" s="16" t="n">
        <f aca="false">IF(D965="","",D965*$B$15)</f>
        <v>0.975422559475785</v>
      </c>
      <c r="F965" s="16" t="n">
        <f aca="false" t="array" ref="F965:F965">IF(D965="","",IFERROR(INDEX(Dados_Evap!$C$2:$N$15,MATCH($B$9,Dados_Evap!$A$2:$A$15,0),C965),0))</f>
        <v>104.7</v>
      </c>
      <c r="G965" s="16" t="n">
        <f aca="false">IF(F965="","",F965/1000)</f>
        <v>0.1047</v>
      </c>
      <c r="H965" s="16" t="n">
        <f aca="false">IF(D965="","",MAX(0,MIN($B$8,IFERROR(LOOKUP(2,1/($U$24:U964&lt;&gt;""),$U$24:U964),$B$11))))</f>
        <v>20.4986065382433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1.21494250280624</v>
      </c>
      <c r="J965" s="16" t="n">
        <f aca="false">IF(D965="","",$B$12)</f>
        <v>0.25</v>
      </c>
      <c r="K965" s="16" t="n">
        <f aca="false">IF(J965="","",J965*$B$15)</f>
        <v>0.648</v>
      </c>
      <c r="L965" s="16" t="n">
        <f aca="false">IF(D965="","",H965+E965-K965-G965*I965)</f>
        <v>20.6988246176753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1.21870442914212</v>
      </c>
      <c r="N965" s="16" t="n">
        <f aca="false">IF(D965="","",(I965+M965)/2)</f>
        <v>1.21682346597418</v>
      </c>
      <c r="O965" s="16" t="n">
        <f aca="false">IF(D965="","",G965*N965)</f>
        <v>0.127401416887497</v>
      </c>
      <c r="P965" s="16" t="n">
        <f aca="false">IF(D965="","",H965+E965-K965-O965)</f>
        <v>20.6986276808316</v>
      </c>
      <c r="Q965" s="16" t="n">
        <f aca="false">IF(D965="","",IF(P965&gt;=0,K965,MAX(0,K965+P965)))</f>
        <v>0.648</v>
      </c>
      <c r="R965" s="16" t="n">
        <f aca="false">IF(D965="","",Q965/$B$15)</f>
        <v>0.25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20.6986276808316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97.1766557785521</v>
      </c>
      <c r="Z965" s="18" t="n">
        <f aca="false">IF(D965="","",MAX(0,IF(P965&gt;=0,P965,IF(K965+P965&gt;=0,0,P965+K965))))</f>
        <v>20.6986276808316</v>
      </c>
      <c r="AA965" s="18" t="n">
        <f aca="false">IF(D965="","",IF(H965&lt;=$B$16,1,IF(H965&gt;=$B$17,$B$21,MATCH(H965,Aux_CAV!$A$2:$A$121,1))))</f>
        <v>7</v>
      </c>
      <c r="AB965" s="18" t="n">
        <f aca="false">IF(D965="","",IF(L965&lt;=$B$16,1,IF(L965&gt;=$B$17,$B$21,MATCH(L965,Aux_CAV!$A$2:$A$121,1))))</f>
        <v>7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0.220609757188336</v>
      </c>
      <c r="E966" s="16" t="n">
        <f aca="false">IF(D966="","",D966*$B$15)</f>
        <v>0.571820490632167</v>
      </c>
      <c r="F966" s="16" t="n">
        <f aca="false" t="array" ref="F966:F966">IF(D966="","",IFERROR(INDEX(Dados_Evap!$C$2:$N$15,MATCH($B$9,Dados_Evap!$A$2:$A$15,0),C966),0))</f>
        <v>145.2</v>
      </c>
      <c r="G966" s="16" t="n">
        <f aca="false">IF(F966="","",F966/1000)</f>
        <v>0.1452</v>
      </c>
      <c r="H966" s="16" t="n">
        <f aca="false">IF(D966="","",MAX(0,MIN($B$8,IFERROR(LOOKUP(2,1/($U$24:U965&lt;&gt;""),$U$24:U965),$B$11))))</f>
        <v>20.6986276808316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1.2187007288674</v>
      </c>
      <c r="J966" s="16" t="n">
        <f aca="false">IF(D966="","",$B$12)</f>
        <v>0.25</v>
      </c>
      <c r="K966" s="16" t="n">
        <f aca="false">IF(J966="","",J966*$B$15)</f>
        <v>0.648</v>
      </c>
      <c r="L966" s="16" t="n">
        <f aca="false">IF(D966="","",H966+E966-K966-G966*I966)</f>
        <v>20.4454928256322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1.21394454160896</v>
      </c>
      <c r="N966" s="16" t="n">
        <f aca="false">IF(D966="","",(I966+M966)/2)</f>
        <v>1.21632263523818</v>
      </c>
      <c r="O966" s="16" t="n">
        <f aca="false">IF(D966="","",G966*N966)</f>
        <v>0.176610046636583</v>
      </c>
      <c r="P966" s="16" t="n">
        <f aca="false">IF(D966="","",H966+E966-K966-O966)</f>
        <v>20.4458381248272</v>
      </c>
      <c r="Q966" s="16" t="n">
        <f aca="false">IF(D966="","",IF(P966&gt;=0,K966,MAX(0,K966+P966)))</f>
        <v>0.648</v>
      </c>
      <c r="R966" s="16" t="n">
        <f aca="false">IF(D966="","",Q966/$B$15)</f>
        <v>0.25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20.4458381248272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95.9898503513013</v>
      </c>
      <c r="Z966" s="18" t="n">
        <f aca="false">IF(D966="","",MAX(0,IF(P966&gt;=0,P966,IF(K966+P966&gt;=0,0,P966+K966))))</f>
        <v>20.4458381248272</v>
      </c>
      <c r="AA966" s="18" t="n">
        <f aca="false">IF(D966="","",IF(H966&lt;=$B$16,1,IF(H966&gt;=$B$17,$B$21,MATCH(H966,Aux_CAV!$A$2:$A$121,1))))</f>
        <v>7</v>
      </c>
      <c r="AB966" s="18" t="n">
        <f aca="false">IF(D966="","",IF(L966&lt;=$B$16,1,IF(L966&gt;=$B$17,$B$21,MATCH(L966,Aux_CAV!$A$2:$A$121,1))))</f>
        <v>7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0.0976820050336876</v>
      </c>
      <c r="E967" s="16" t="n">
        <f aca="false">IF(D967="","",D967*$B$15)</f>
        <v>0.253191757047318</v>
      </c>
      <c r="F967" s="16" t="n">
        <f aca="false" t="array" ref="F967:F967">IF(D967="","",IFERROR(INDEX(Dados_Evap!$C$2:$N$15,MATCH($B$9,Dados_Evap!$A$2:$A$15,0),C967),0))</f>
        <v>180.9</v>
      </c>
      <c r="G967" s="16" t="n">
        <f aca="false">IF(F967="","",F967/1000)</f>
        <v>0.1809</v>
      </c>
      <c r="H967" s="16" t="n">
        <f aca="false">IF(D967="","",MAX(0,MIN($B$8,IFERROR(LOOKUP(2,1/($U$24:U966&lt;&gt;""),$U$24:U966),$B$11))))</f>
        <v>20.4458381248272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1.21395102948527</v>
      </c>
      <c r="J967" s="16" t="n">
        <f aca="false">IF(D967="","",$B$12)</f>
        <v>0.25</v>
      </c>
      <c r="K967" s="16" t="n">
        <f aca="false">IF(J967="","",J967*$B$15)</f>
        <v>0.648</v>
      </c>
      <c r="L967" s="16" t="n">
        <f aca="false">IF(D967="","",H967+E967-K967-G967*I967)</f>
        <v>19.8314261406406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1.20240675420828</v>
      </c>
      <c r="N967" s="16" t="n">
        <f aca="false">IF(D967="","",(I967+M967)/2)</f>
        <v>1.20817889184677</v>
      </c>
      <c r="O967" s="16" t="n">
        <f aca="false">IF(D967="","",G967*N967)</f>
        <v>0.218559561535082</v>
      </c>
      <c r="P967" s="16" t="n">
        <f aca="false">IF(D967="","",H967+E967-K967-O967)</f>
        <v>19.8324703203394</v>
      </c>
      <c r="Q967" s="16" t="n">
        <f aca="false">IF(D967="","",IF(P967&gt;=0,K967,MAX(0,K967+P967)))</f>
        <v>0.648</v>
      </c>
      <c r="R967" s="16" t="n">
        <f aca="false">IF(D967="","",Q967/$B$15)</f>
        <v>0.25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19.8324703203394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93.1101892973681</v>
      </c>
      <c r="Z967" s="18" t="n">
        <f aca="false">IF(D967="","",MAX(0,IF(P967&gt;=0,P967,IF(K967+P967&gt;=0,0,P967+K967))))</f>
        <v>19.8324703203394</v>
      </c>
      <c r="AA967" s="18" t="n">
        <f aca="false">IF(D967="","",IF(H967&lt;=$B$16,1,IF(H967&gt;=$B$17,$B$21,MATCH(H967,Aux_CAV!$A$2:$A$121,1))))</f>
        <v>7</v>
      </c>
      <c r="AB967" s="18" t="n">
        <f aca="false">IF(D967="","",IF(L967&lt;=$B$16,1,IF(L967&gt;=$B$17,$B$21,MATCH(L967,Aux_CAV!$A$2:$A$121,1))))</f>
        <v>7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0.0669463044890088</v>
      </c>
      <c r="E968" s="16" t="n">
        <f aca="false">IF(D968="","",D968*$B$15)</f>
        <v>0.173524821235511</v>
      </c>
      <c r="F968" s="16" t="n">
        <f aca="false" t="array" ref="F968:F968">IF(D968="","",IFERROR(INDEX(Dados_Evap!$C$2:$N$15,MATCH($B$9,Dados_Evap!$A$2:$A$15,0),C968),0))</f>
        <v>208.9</v>
      </c>
      <c r="G968" s="16" t="n">
        <f aca="false">IF(F968="","",F968/1000)</f>
        <v>0.2089</v>
      </c>
      <c r="H968" s="16" t="n">
        <f aca="false">IF(D968="","",MAX(0,MIN($B$8,IFERROR(LOOKUP(2,1/($U$24:U967&lt;&gt;""),$U$24:U967),$B$11))))</f>
        <v>19.8324703203394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1.20242637345105</v>
      </c>
      <c r="J968" s="16" t="n">
        <f aca="false">IF(D968="","",$B$12)</f>
        <v>0.25</v>
      </c>
      <c r="K968" s="16" t="n">
        <f aca="false">IF(J968="","",J968*$B$15)</f>
        <v>0.648</v>
      </c>
      <c r="L968" s="16" t="n">
        <f aca="false">IF(D968="","",H968+E968-K968-G968*I968)</f>
        <v>19.106808272161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1.18879180469614</v>
      </c>
      <c r="N968" s="16" t="n">
        <f aca="false">IF(D968="","",(I968+M968)/2)</f>
        <v>1.19560908907359</v>
      </c>
      <c r="O968" s="16" t="n">
        <f aca="false">IF(D968="","",G968*N968)</f>
        <v>0.249762738707474</v>
      </c>
      <c r="P968" s="16" t="n">
        <f aca="false">IF(D968="","",H968+E968-K968-O968)</f>
        <v>19.1082324028674</v>
      </c>
      <c r="Q968" s="16" t="n">
        <f aca="false">IF(D968="","",IF(P968&gt;=0,K968,MAX(0,K968+P968)))</f>
        <v>0.648</v>
      </c>
      <c r="R968" s="16" t="n">
        <f aca="false">IF(D968="","",Q968/$B$15)</f>
        <v>0.25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19.1082324028674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89.7100112810678</v>
      </c>
      <c r="Z968" s="18" t="n">
        <f aca="false">IF(D968="","",MAX(0,IF(P968&gt;=0,P968,IF(K968+P968&gt;=0,0,P968+K968))))</f>
        <v>19.1082324028674</v>
      </c>
      <c r="AA968" s="18" t="n">
        <f aca="false">IF(D968="","",IF(H968&lt;=$B$16,1,IF(H968&gt;=$B$17,$B$21,MATCH(H968,Aux_CAV!$A$2:$A$121,1))))</f>
        <v>7</v>
      </c>
      <c r="AB968" s="18" t="n">
        <f aca="false">IF(D968="","",IF(L968&lt;=$B$16,1,IF(L968&gt;=$B$17,$B$21,MATCH(L968,Aux_CAV!$A$2:$A$121,1))))</f>
        <v>7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0.0429648585023705</v>
      </c>
      <c r="E969" s="16" t="n">
        <f aca="false">IF(D969="","",D969*$B$15)</f>
        <v>0.111364913238144</v>
      </c>
      <c r="F969" s="16" t="n">
        <f aca="false" t="array" ref="F969:F969">IF(D969="","",IFERROR(INDEX(Dados_Evap!$C$2:$N$15,MATCH($B$9,Dados_Evap!$A$2:$A$15,0),C969),0))</f>
        <v>235.9</v>
      </c>
      <c r="G969" s="16" t="n">
        <f aca="false">IF(F969="","",F969/1000)</f>
        <v>0.2359</v>
      </c>
      <c r="H969" s="16" t="n">
        <f aca="false">IF(D969="","",MAX(0,MIN($B$8,IFERROR(LOOKUP(2,1/($U$24:U968&lt;&gt;""),$U$24:U968),$B$11))))</f>
        <v>19.1082324028674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1.18881856289313</v>
      </c>
      <c r="J969" s="16" t="n">
        <f aca="false">IF(D969="","",$B$12)</f>
        <v>0.25</v>
      </c>
      <c r="K969" s="16" t="n">
        <f aca="false">IF(J969="","",J969*$B$15)</f>
        <v>0.648</v>
      </c>
      <c r="L969" s="16" t="n">
        <f aca="false">IF(D969="","",H969+E969-K969-G969*I969)</f>
        <v>18.2911550171191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1.17346637819222</v>
      </c>
      <c r="N969" s="16" t="n">
        <f aca="false">IF(D969="","",(I969+M969)/2)</f>
        <v>1.18114247054267</v>
      </c>
      <c r="O969" s="16" t="n">
        <f aca="false">IF(D969="","",G969*N969)</f>
        <v>0.278631508801016</v>
      </c>
      <c r="P969" s="16" t="n">
        <f aca="false">IF(D969="","",H969+E969-K969-O969)</f>
        <v>18.2929658073046</v>
      </c>
      <c r="Q969" s="16" t="n">
        <f aca="false">IF(D969="","",IF(P969&gt;=0,K969,MAX(0,K969+P969)))</f>
        <v>0.648</v>
      </c>
      <c r="R969" s="16" t="n">
        <f aca="false">IF(D969="","",Q969/$B$15)</f>
        <v>0.25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18.2929658073046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85.8824685788947</v>
      </c>
      <c r="Z969" s="18" t="n">
        <f aca="false">IF(D969="","",MAX(0,IF(P969&gt;=0,P969,IF(K969+P969&gt;=0,0,P969+K969))))</f>
        <v>18.2929658073046</v>
      </c>
      <c r="AA969" s="18" t="n">
        <f aca="false">IF(D969="","",IF(H969&lt;=$B$16,1,IF(H969&gt;=$B$17,$B$21,MATCH(H969,Aux_CAV!$A$2:$A$121,1))))</f>
        <v>7</v>
      </c>
      <c r="AB969" s="18" t="n">
        <f aca="false">IF(D969="","",IF(L969&lt;=$B$16,1,IF(L969&gt;=$B$17,$B$21,MATCH(L969,Aux_CAV!$A$2:$A$121,1))))</f>
        <v>7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0.025817217779893</v>
      </c>
      <c r="E970" s="16" t="n">
        <f aca="false">IF(D970="","",D970*$B$15)</f>
        <v>0.0669182284854827</v>
      </c>
      <c r="F970" s="16" t="n">
        <f aca="false" t="array" ref="F970:F970">IF(D970="","",IFERROR(INDEX(Dados_Evap!$C$2:$N$15,MATCH($B$9,Dados_Evap!$A$2:$A$15,0),C970),0))</f>
        <v>225.9</v>
      </c>
      <c r="G970" s="16" t="n">
        <f aca="false">IF(F970="","",F970/1000)</f>
        <v>0.2259</v>
      </c>
      <c r="H970" s="16" t="n">
        <f aca="false">IF(D970="","",MAX(0,MIN($B$8,IFERROR(LOOKUP(2,1/($U$24:U969&lt;&gt;""),$U$24:U969),$B$11))))</f>
        <v>18.2929658073046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1.17350040138986</v>
      </c>
      <c r="J970" s="16" t="n">
        <f aca="false">IF(D970="","",$B$12)</f>
        <v>0.25</v>
      </c>
      <c r="K970" s="16" t="n">
        <f aca="false">IF(J970="","",J970*$B$15)</f>
        <v>0.648</v>
      </c>
      <c r="L970" s="16" t="n">
        <f aca="false">IF(D970="","",H970+E970-K970-G970*I970)</f>
        <v>17.4467902951161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1.15760148779968</v>
      </c>
      <c r="N970" s="16" t="n">
        <f aca="false">IF(D970="","",(I970+M970)/2)</f>
        <v>1.16555094459477</v>
      </c>
      <c r="O970" s="16" t="n">
        <f aca="false">IF(D970="","",G970*N970)</f>
        <v>0.263297958383958</v>
      </c>
      <c r="P970" s="16" t="n">
        <f aca="false">IF(D970="","",H970+E970-K970-O970)</f>
        <v>17.4485860774061</v>
      </c>
      <c r="Q970" s="16" t="n">
        <f aca="false">IF(D970="","",IF(P970&gt;=0,K970,MAX(0,K970+P970)))</f>
        <v>0.648</v>
      </c>
      <c r="R970" s="16" t="n">
        <f aca="false">IF(D970="","",Q970/$B$15)</f>
        <v>0.25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17.4485860774061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81.9182444948643</v>
      </c>
      <c r="Z970" s="18" t="n">
        <f aca="false">IF(D970="","",MAX(0,IF(P970&gt;=0,P970,IF(K970+P970&gt;=0,0,P970+K970))))</f>
        <v>17.4485860774061</v>
      </c>
      <c r="AA970" s="18" t="n">
        <f aca="false">IF(D970="","",IF(H970&lt;=$B$16,1,IF(H970&gt;=$B$17,$B$21,MATCH(H970,Aux_CAV!$A$2:$A$121,1))))</f>
        <v>7</v>
      </c>
      <c r="AB970" s="18" t="n">
        <f aca="false">IF(D970="","",IF(L970&lt;=$B$16,1,IF(L970&gt;=$B$17,$B$21,MATCH(L970,Aux_CAV!$A$2:$A$121,1))))</f>
        <v>7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0.0467533913554077</v>
      </c>
      <c r="E971" s="16" t="n">
        <f aca="false">IF(D971="","",D971*$B$15)</f>
        <v>0.121184790393217</v>
      </c>
      <c r="F971" s="16" t="n">
        <f aca="false" t="array" ref="F971:F971">IF(D971="","",IFERROR(INDEX(Dados_Evap!$C$2:$N$15,MATCH($B$9,Dados_Evap!$A$2:$A$15,0),C971),0))</f>
        <v>206</v>
      </c>
      <c r="G971" s="16" t="n">
        <f aca="false">IF(F971="","",F971/1000)</f>
        <v>0.206</v>
      </c>
      <c r="H971" s="16" t="n">
        <f aca="false">IF(D971="","",MAX(0,MIN($B$8,IFERROR(LOOKUP(2,1/($U$24:U970&lt;&gt;""),$U$24:U970),$B$11))))</f>
        <v>17.4485860774061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1.15763522901181</v>
      </c>
      <c r="J971" s="16" t="n">
        <f aca="false">IF(D971="","",$B$12)</f>
        <v>0.25</v>
      </c>
      <c r="K971" s="16" t="n">
        <f aca="false">IF(J971="","",J971*$B$15)</f>
        <v>0.648</v>
      </c>
      <c r="L971" s="16" t="n">
        <f aca="false">IF(D971="","",H971+E971-K971-G971*I971)</f>
        <v>16.6832980106229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1.14325612128519</v>
      </c>
      <c r="N971" s="16" t="n">
        <f aca="false">IF(D971="","",(I971+M971)/2)</f>
        <v>1.1504456751485</v>
      </c>
      <c r="O971" s="16" t="n">
        <f aca="false">IF(D971="","",G971*N971)</f>
        <v>0.23699180908059</v>
      </c>
      <c r="P971" s="16" t="n">
        <f aca="false">IF(D971="","",H971+E971-K971-O971)</f>
        <v>16.6847790587187</v>
      </c>
      <c r="Q971" s="16" t="n">
        <f aca="false">IF(D971="","",IF(P971&gt;=0,K971,MAX(0,K971+P971)))</f>
        <v>0.648</v>
      </c>
      <c r="R971" s="16" t="n">
        <f aca="false">IF(D971="","",Q971/$B$15)</f>
        <v>0.25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16.6847790587187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78.3322960503227</v>
      </c>
      <c r="Z971" s="18" t="n">
        <f aca="false">IF(D971="","",MAX(0,IF(P971&gt;=0,P971,IF(K971+P971&gt;=0,0,P971+K971))))</f>
        <v>16.6847790587187</v>
      </c>
      <c r="AA971" s="18" t="n">
        <f aca="false">IF(D971="","",IF(H971&lt;=$B$16,1,IF(H971&gt;=$B$17,$B$21,MATCH(H971,Aux_CAV!$A$2:$A$121,1))))</f>
        <v>7</v>
      </c>
      <c r="AB971" s="18" t="n">
        <f aca="false">IF(D971="","",IF(L971&lt;=$B$16,1,IF(L971&gt;=$B$17,$B$21,MATCH(L971,Aux_CAV!$A$2:$A$121,1))))</f>
        <v>7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0.168586572914367</v>
      </c>
      <c r="E972" s="16" t="n">
        <f aca="false">IF(D972="","",D972*$B$15)</f>
        <v>0.436976396994039</v>
      </c>
      <c r="F972" s="16" t="n">
        <f aca="false" t="array" ref="F972:F972">IF(D972="","",IFERROR(INDEX(Dados_Evap!$C$2:$N$15,MATCH($B$9,Dados_Evap!$A$2:$A$15,0),C972),0))</f>
        <v>165.6</v>
      </c>
      <c r="G972" s="16" t="n">
        <f aca="false">IF(F972="","",F972/1000)</f>
        <v>0.1656</v>
      </c>
      <c r="H972" s="16" t="n">
        <f aca="false">IF(D972="","",MAX(0,MIN($B$8,IFERROR(LOOKUP(2,1/($U$24:U971&lt;&gt;""),$U$24:U971),$B$11))))</f>
        <v>16.6847790587187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1.14328394891121</v>
      </c>
      <c r="J972" s="16" t="n">
        <f aca="false">IF(D972="","",$B$12)</f>
        <v>0.25</v>
      </c>
      <c r="K972" s="16" t="n">
        <f aca="false">IF(J972="","",J972*$B$15)</f>
        <v>0.648</v>
      </c>
      <c r="L972" s="16" t="n">
        <f aca="false">IF(D972="","",H972+E972-K972-G972*I972)</f>
        <v>16.2844276337731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1.13275098255982</v>
      </c>
      <c r="N972" s="16" t="n">
        <f aca="false">IF(D972="","",(I972+M972)/2)</f>
        <v>1.13801746573551</v>
      </c>
      <c r="O972" s="16" t="n">
        <f aca="false">IF(D972="","",G972*N972)</f>
        <v>0.188455692325801</v>
      </c>
      <c r="P972" s="16" t="n">
        <f aca="false">IF(D972="","",H972+E972-K972-O972)</f>
        <v>16.285299763387</v>
      </c>
      <c r="Q972" s="16" t="n">
        <f aca="false">IF(D972="","",IF(P972&gt;=0,K972,MAX(0,K972+P972)))</f>
        <v>0.648</v>
      </c>
      <c r="R972" s="16" t="n">
        <f aca="false">IF(D972="","",Q972/$B$15)</f>
        <v>0.25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16.285299763387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76.4568064008778</v>
      </c>
      <c r="Z972" s="18" t="n">
        <f aca="false">IF(D972="","",MAX(0,IF(P972&gt;=0,P972,IF(K972+P972&gt;=0,0,P972+K972))))</f>
        <v>16.285299763387</v>
      </c>
      <c r="AA972" s="18" t="n">
        <f aca="false">IF(D972="","",IF(H972&lt;=$B$16,1,IF(H972&gt;=$B$17,$B$21,MATCH(H972,Aux_CAV!$A$2:$A$121,1))))</f>
        <v>7</v>
      </c>
      <c r="AB972" s="18" t="n">
        <f aca="false">IF(D972="","",IF(L972&lt;=$B$16,1,IF(L972&gt;=$B$17,$B$21,MATCH(L972,Aux_CAV!$A$2:$A$121,1))))</f>
        <v>6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0.174075193124501</v>
      </c>
      <c r="E973" s="16" t="n">
        <f aca="false">IF(D973="","",D973*$B$15)</f>
        <v>0.451202900578707</v>
      </c>
      <c r="F973" s="16" t="n">
        <f aca="false" t="array" ref="F973:F973">IF(D973="","",IFERROR(INDEX(Dados_Evap!$C$2:$N$15,MATCH($B$9,Dados_Evap!$A$2:$A$15,0),C973),0))</f>
        <v>124.9</v>
      </c>
      <c r="G973" s="16" t="n">
        <f aca="false">IF(F973="","",F973/1000)</f>
        <v>0.1249</v>
      </c>
      <c r="H973" s="16" t="n">
        <f aca="false">IF(D973="","",MAX(0,MIN($B$8,IFERROR(LOOKUP(2,1/($U$24:U972&lt;&gt;""),$U$24:U972),$B$11))))</f>
        <v>16.285299763387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1.13277900940941</v>
      </c>
      <c r="J973" s="16" t="n">
        <f aca="false">IF(D973="","",$B$12)</f>
        <v>0.25</v>
      </c>
      <c r="K973" s="16" t="n">
        <f aca="false">IF(J973="","",J973*$B$15)</f>
        <v>0.648</v>
      </c>
      <c r="L973" s="16" t="n">
        <f aca="false">IF(D973="","",H973+E973-K973-G973*I973)</f>
        <v>15.9470185656904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1.12190796902975</v>
      </c>
      <c r="N973" s="16" t="n">
        <f aca="false">IF(D973="","",(I973+M973)/2)</f>
        <v>1.12734348921958</v>
      </c>
      <c r="O973" s="16" t="n">
        <f aca="false">IF(D973="","",G973*N973)</f>
        <v>0.140805201803526</v>
      </c>
      <c r="P973" s="16" t="n">
        <f aca="false">IF(D973="","",H973+E973-K973-O973)</f>
        <v>15.9476974621622</v>
      </c>
      <c r="Q973" s="16" t="n">
        <f aca="false">IF(D973="","",IF(P973&gt;=0,K973,MAX(0,K973+P973)))</f>
        <v>0.648</v>
      </c>
      <c r="R973" s="16" t="n">
        <f aca="false">IF(D973="","",Q973/$B$15)</f>
        <v>0.25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15.9476974621622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74.8718190711838</v>
      </c>
      <c r="Z973" s="18" t="n">
        <f aca="false">IF(D973="","",MAX(0,IF(P973&gt;=0,P973,IF(K973+P973&gt;=0,0,P973+K973))))</f>
        <v>15.9476974621622</v>
      </c>
      <c r="AA973" s="18" t="n">
        <f aca="false">IF(D973="","",IF(H973&lt;=$B$16,1,IF(H973&gt;=$B$17,$B$21,MATCH(H973,Aux_CAV!$A$2:$A$121,1))))</f>
        <v>6</v>
      </c>
      <c r="AB973" s="18" t="n">
        <f aca="false">IF(D973="","",IF(L973&lt;=$B$16,1,IF(L973&gt;=$B$17,$B$21,MATCH(L973,Aux_CAV!$A$2:$A$121,1))))</f>
        <v>6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0.808242080674069</v>
      </c>
      <c r="E974" s="16" t="n">
        <f aca="false">IF(D974="","",D974*$B$15)</f>
        <v>2.09496347310719</v>
      </c>
      <c r="F974" s="16" t="n">
        <f aca="false" t="array" ref="F974:F974">IF(D974="","",IFERROR(INDEX(Dados_Evap!$C$2:$N$15,MATCH($B$9,Dados_Evap!$A$2:$A$15,0),C974),0))</f>
        <v>88.2</v>
      </c>
      <c r="G974" s="16" t="n">
        <f aca="false">IF(F974="","",F974/1000)</f>
        <v>0.0882</v>
      </c>
      <c r="H974" s="16" t="n">
        <f aca="false">IF(D974="","",MAX(0,MIN($B$8,IFERROR(LOOKUP(2,1/($U$24:U973&lt;&gt;""),$U$24:U973),$B$11))))</f>
        <v>15.9476974621622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1.12192978611863</v>
      </c>
      <c r="J974" s="16" t="n">
        <f aca="false">IF(D974="","",$B$12)</f>
        <v>0.25</v>
      </c>
      <c r="K974" s="16" t="n">
        <f aca="false">IF(J974="","",J974*$B$15)</f>
        <v>0.648</v>
      </c>
      <c r="L974" s="16" t="n">
        <f aca="false">IF(D974="","",H974+E974-K974-G974*I974)</f>
        <v>17.2957067281337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1.15476275689604</v>
      </c>
      <c r="N974" s="16" t="n">
        <f aca="false">IF(D974="","",(I974+M974)/2)</f>
        <v>1.13834627150734</v>
      </c>
      <c r="O974" s="16" t="n">
        <f aca="false">IF(D974="","",G974*N974)</f>
        <v>0.100402141146947</v>
      </c>
      <c r="P974" s="16" t="n">
        <f aca="false">IF(D974="","",H974+E974-K974-O974)</f>
        <v>17.2942587941224</v>
      </c>
      <c r="Q974" s="16" t="n">
        <f aca="false">IF(D974="","",IF(P974&gt;=0,K974,MAX(0,K974+P974)))</f>
        <v>0.648</v>
      </c>
      <c r="R974" s="16" t="n">
        <f aca="false">IF(D974="","",Q974/$B$15)</f>
        <v>0.25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17.2942587941224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81.1937032587906</v>
      </c>
      <c r="Z974" s="18" t="n">
        <f aca="false">IF(D974="","",MAX(0,IF(P974&gt;=0,P974,IF(K974+P974&gt;=0,0,P974+K974))))</f>
        <v>17.2942587941224</v>
      </c>
      <c r="AA974" s="18" t="n">
        <f aca="false">IF(D974="","",IF(H974&lt;=$B$16,1,IF(H974&gt;=$B$17,$B$21,MATCH(H974,Aux_CAV!$A$2:$A$121,1))))</f>
        <v>6</v>
      </c>
      <c r="AB974" s="18" t="n">
        <f aca="false">IF(D974="","",IF(L974&lt;=$B$16,1,IF(L974&gt;=$B$17,$B$21,MATCH(L974,Aux_CAV!$A$2:$A$121,1))))</f>
        <v>7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1.27024264322097</v>
      </c>
      <c r="E975" s="16" t="n">
        <f aca="false">IF(D975="","",D975*$B$15)</f>
        <v>3.29246893122875</v>
      </c>
      <c r="F975" s="16" t="n">
        <f aca="false" t="array" ref="F975:F975">IF(D975="","",IFERROR(INDEX(Dados_Evap!$C$2:$N$15,MATCH($B$9,Dados_Evap!$A$2:$A$15,0),C975),0))</f>
        <v>88.2</v>
      </c>
      <c r="G975" s="16" t="n">
        <f aca="false">IF(F975="","",F975/1000)</f>
        <v>0.0882</v>
      </c>
      <c r="H975" s="16" t="n">
        <f aca="false">IF(D975="","",MAX(0,MIN($B$8,IFERROR(LOOKUP(2,1/($U$24:U974&lt;&gt;""),$U$24:U974),$B$11))))</f>
        <v>17.2942587941224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1.15473555145533</v>
      </c>
      <c r="J975" s="16" t="n">
        <f aca="false">IF(D975="","",$B$12)</f>
        <v>0.25</v>
      </c>
      <c r="K975" s="16" t="n">
        <f aca="false">IF(J975="","",J975*$B$15)</f>
        <v>0.648</v>
      </c>
      <c r="L975" s="16" t="n">
        <f aca="false">IF(D975="","",H975+E975-K975-G975*I975)</f>
        <v>19.8368800497128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1.20250922849147</v>
      </c>
      <c r="N975" s="16" t="n">
        <f aca="false">IF(D975="","",(I975+M975)/2)</f>
        <v>1.1786223899734</v>
      </c>
      <c r="O975" s="16" t="n">
        <f aca="false">IF(D975="","",G975*N975)</f>
        <v>0.103954494795654</v>
      </c>
      <c r="P975" s="16" t="n">
        <f aca="false">IF(D975="","",H975+E975-K975-O975)</f>
        <v>19.8347732305555</v>
      </c>
      <c r="Q975" s="16" t="n">
        <f aca="false">IF(D975="","",IF(P975&gt;=0,K975,MAX(0,K975+P975)))</f>
        <v>0.648</v>
      </c>
      <c r="R975" s="16" t="n">
        <f aca="false">IF(D975="","",Q975/$B$15)</f>
        <v>0.25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19.8347732305555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93.1210010824201</v>
      </c>
      <c r="Z975" s="18" t="n">
        <f aca="false">IF(D975="","",MAX(0,IF(P975&gt;=0,P975,IF(K975+P975&gt;=0,0,P975+K975))))</f>
        <v>19.8347732305555</v>
      </c>
      <c r="AA975" s="18" t="n">
        <f aca="false">IF(D975="","",IF(H975&lt;=$B$16,1,IF(H975&gt;=$B$17,$B$21,MATCH(H975,Aux_CAV!$A$2:$A$121,1))))</f>
        <v>7</v>
      </c>
      <c r="AB975" s="18" t="n">
        <f aca="false">IF(D975="","",IF(L975&lt;=$B$16,1,IF(L975&gt;=$B$17,$B$21,MATCH(L975,Aux_CAV!$A$2:$A$121,1))))</f>
        <v>7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1.28339203276138</v>
      </c>
      <c r="E976" s="16" t="n">
        <f aca="false">IF(D976="","",D976*$B$15)</f>
        <v>3.3265521489175</v>
      </c>
      <c r="F976" s="16" t="n">
        <f aca="false" t="array" ref="F976:F976">IF(D976="","",IFERROR(INDEX(Dados_Evap!$C$2:$N$15,MATCH($B$9,Dados_Evap!$A$2:$A$15,0),C976),0))</f>
        <v>83.9</v>
      </c>
      <c r="G976" s="16" t="n">
        <f aca="false">IF(F976="","",F976/1000)</f>
        <v>0.0839</v>
      </c>
      <c r="H976" s="16" t="n">
        <f aca="false">IF(D976="","",MAX(0,MIN($B$8,IFERROR(LOOKUP(2,1/($U$24:U975&lt;&gt;""),$U$24:U975),$B$11))))</f>
        <v>19.8347732305555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1.20246964316284</v>
      </c>
      <c r="J976" s="16" t="n">
        <f aca="false">IF(D976="","",$B$12)</f>
        <v>0.25</v>
      </c>
      <c r="K976" s="16" t="n">
        <f aca="false">IF(J976="","",J976*$B$15)</f>
        <v>0.648</v>
      </c>
      <c r="L976" s="16" t="n">
        <f aca="false">IF(D976="","",H976+E976-K976-G976*I976)</f>
        <v>22.4124381764116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1.24854063627353</v>
      </c>
      <c r="N976" s="16" t="n">
        <f aca="false">IF(D976="","",(I976+M976)/2)</f>
        <v>1.22550513971818</v>
      </c>
      <c r="O976" s="16" t="n">
        <f aca="false">IF(D976="","",G976*N976)</f>
        <v>0.102819881222356</v>
      </c>
      <c r="P976" s="16" t="n">
        <f aca="false">IF(D976="","",H976+E976-K976-O976)</f>
        <v>22.4105054982506</v>
      </c>
      <c r="Q976" s="16" t="n">
        <f aca="false">IF(D976="","",IF(P976&gt;=0,K976,MAX(0,K976+P976)))</f>
        <v>0.648</v>
      </c>
      <c r="R976" s="16" t="n">
        <f aca="false">IF(D976="","",Q976/$B$15)</f>
        <v>0.25</v>
      </c>
      <c r="S976" s="16" t="n">
        <f aca="false">IF(D976="","",MAX(0,J976-R976))</f>
        <v>0</v>
      </c>
      <c r="T976" s="16" t="n">
        <f aca="false">IF(D976="","",MAX(0,Z976-$B$8))</f>
        <v>1.11050549825063</v>
      </c>
      <c r="U976" s="16" t="n">
        <f aca="false">IF(D976="","",MAX(0,MIN($B$8,Z976)))</f>
        <v>21.3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22.4105054982506</v>
      </c>
      <c r="AA976" s="18" t="n">
        <f aca="false">IF(D976="","",IF(H976&lt;=$B$16,1,IF(H976&gt;=$B$17,$B$21,MATCH(H976,Aux_CAV!$A$2:$A$121,1))))</f>
        <v>7</v>
      </c>
      <c r="AB976" s="18" t="n">
        <f aca="false">IF(D976="","",IF(L976&lt;=$B$16,1,IF(L976&gt;=$B$17,$B$21,MATCH(L976,Aux_CAV!$A$2:$A$121,1))))</f>
        <v>8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0.522619253277764</v>
      </c>
      <c r="E977" s="16" t="n">
        <f aca="false">IF(D977="","",D977*$B$15)</f>
        <v>1.35462910449596</v>
      </c>
      <c r="F977" s="16" t="n">
        <f aca="false" t="array" ref="F977:F977">IF(D977="","",IFERROR(INDEX(Dados_Evap!$C$2:$N$15,MATCH($B$9,Dados_Evap!$A$2:$A$15,0),C977),0))</f>
        <v>104.7</v>
      </c>
      <c r="G977" s="16" t="n">
        <f aca="false">IF(F977="","",F977/1000)</f>
        <v>0.1047</v>
      </c>
      <c r="H977" s="16" t="n">
        <f aca="false">IF(D977="","",MAX(0,MIN($B$8,IFERROR(LOOKUP(2,1/($U$24:U976&lt;&gt;""),$U$24:U976),$B$11))))</f>
        <v>21.3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1.23</v>
      </c>
      <c r="J977" s="16" t="n">
        <f aca="false">IF(D977="","",$B$12)</f>
        <v>0.25</v>
      </c>
      <c r="K977" s="16" t="n">
        <f aca="false">IF(J977="","",J977*$B$15)</f>
        <v>0.648</v>
      </c>
      <c r="L977" s="16" t="n">
        <f aca="false">IF(D977="","",H977+E977-K977-G977*I977)</f>
        <v>21.877848104496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1.2396308017416</v>
      </c>
      <c r="N977" s="16" t="n">
        <f aca="false">IF(D977="","",(I977+M977)/2)</f>
        <v>1.2348154008708</v>
      </c>
      <c r="O977" s="16" t="n">
        <f aca="false">IF(D977="","",G977*N977)</f>
        <v>0.129285172471173</v>
      </c>
      <c r="P977" s="16" t="n">
        <f aca="false">IF(D977="","",H977+E977-K977-O977)</f>
        <v>21.8773439320248</v>
      </c>
      <c r="Q977" s="16" t="n">
        <f aca="false">IF(D977="","",IF(P977&gt;=0,K977,MAX(0,K977+P977)))</f>
        <v>0.648</v>
      </c>
      <c r="R977" s="16" t="n">
        <f aca="false">IF(D977="","",Q977/$B$15)</f>
        <v>0.25</v>
      </c>
      <c r="S977" s="16" t="n">
        <f aca="false">IF(D977="","",MAX(0,J977-R977))</f>
        <v>0</v>
      </c>
      <c r="T977" s="16" t="n">
        <f aca="false">IF(D977="","",MAX(0,Z977-$B$8))</f>
        <v>0.577343932024792</v>
      </c>
      <c r="U977" s="16" t="n">
        <f aca="false">IF(D977="","",MAX(0,MIN($B$8,Z977)))</f>
        <v>21.3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21.8773439320248</v>
      </c>
      <c r="AA977" s="18" t="n">
        <f aca="false">IF(D977="","",IF(H977&lt;=$B$16,1,IF(H977&gt;=$B$17,$B$21,MATCH(H977,Aux_CAV!$A$2:$A$121,1))))</f>
        <v>8</v>
      </c>
      <c r="AB977" s="18" t="n">
        <f aca="false">IF(D977="","",IF(L977&lt;=$B$16,1,IF(L977&gt;=$B$17,$B$21,MATCH(L977,Aux_CAV!$A$2:$A$121,1))))</f>
        <v>8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0.726771725006441</v>
      </c>
      <c r="E978" s="16" t="n">
        <f aca="false">IF(D978="","",D978*$B$15)</f>
        <v>1.8837923112167</v>
      </c>
      <c r="F978" s="16" t="n">
        <f aca="false" t="array" ref="F978:F978">IF(D978="","",IFERROR(INDEX(Dados_Evap!$C$2:$N$15,MATCH($B$9,Dados_Evap!$A$2:$A$15,0),C978),0))</f>
        <v>145.2</v>
      </c>
      <c r="G978" s="16" t="n">
        <f aca="false">IF(F978="","",F978/1000)</f>
        <v>0.1452</v>
      </c>
      <c r="H978" s="16" t="n">
        <f aca="false">IF(D978="","",MAX(0,MIN($B$8,IFERROR(LOOKUP(2,1/($U$24:U977&lt;&gt;""),$U$24:U977),$B$11))))</f>
        <v>21.3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1.23</v>
      </c>
      <c r="J978" s="16" t="n">
        <f aca="false">IF(D978="","",$B$12)</f>
        <v>0.25</v>
      </c>
      <c r="K978" s="16" t="n">
        <f aca="false">IF(J978="","",J978*$B$15)</f>
        <v>0.648</v>
      </c>
      <c r="L978" s="16" t="n">
        <f aca="false">IF(D978="","",H978+E978-K978-G978*I978)</f>
        <v>22.3571963112167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1.24761993852028</v>
      </c>
      <c r="N978" s="16" t="n">
        <f aca="false">IF(D978="","",(I978+M978)/2)</f>
        <v>1.23880996926014</v>
      </c>
      <c r="O978" s="16" t="n">
        <f aca="false">IF(D978="","",G978*N978)</f>
        <v>0.179875207536572</v>
      </c>
      <c r="P978" s="16" t="n">
        <f aca="false">IF(D978="","",H978+E978-K978-O978)</f>
        <v>22.3559171036801</v>
      </c>
      <c r="Q978" s="16" t="n">
        <f aca="false">IF(D978="","",IF(P978&gt;=0,K978,MAX(0,K978+P978)))</f>
        <v>0.648</v>
      </c>
      <c r="R978" s="16" t="n">
        <f aca="false">IF(D978="","",Q978/$B$15)</f>
        <v>0.25</v>
      </c>
      <c r="S978" s="16" t="n">
        <f aca="false">IF(D978="","",MAX(0,J978-R978))</f>
        <v>0</v>
      </c>
      <c r="T978" s="16" t="n">
        <f aca="false">IF(D978="","",MAX(0,Z978-$B$8))</f>
        <v>1.05591710368012</v>
      </c>
      <c r="U978" s="16" t="n">
        <f aca="false">IF(D978="","",MAX(0,MIN($B$8,Z978)))</f>
        <v>21.3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22.3559171036801</v>
      </c>
      <c r="AA978" s="18" t="n">
        <f aca="false">IF(D978="","",IF(H978&lt;=$B$16,1,IF(H978&gt;=$B$17,$B$21,MATCH(H978,Aux_CAV!$A$2:$A$121,1))))</f>
        <v>8</v>
      </c>
      <c r="AB978" s="18" t="n">
        <f aca="false">IF(D978="","",IF(L978&lt;=$B$16,1,IF(L978&gt;=$B$17,$B$21,MATCH(L978,Aux_CAV!$A$2:$A$121,1))))</f>
        <v>8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0.158599699495202</v>
      </c>
      <c r="E979" s="16" t="n">
        <f aca="false">IF(D979="","",D979*$B$15)</f>
        <v>0.411090421091564</v>
      </c>
      <c r="F979" s="16" t="n">
        <f aca="false" t="array" ref="F979:F979">IF(D979="","",IFERROR(INDEX(Dados_Evap!$C$2:$N$15,MATCH($B$9,Dados_Evap!$A$2:$A$15,0),C979),0))</f>
        <v>180.9</v>
      </c>
      <c r="G979" s="16" t="n">
        <f aca="false">IF(F979="","",F979/1000)</f>
        <v>0.1809</v>
      </c>
      <c r="H979" s="16" t="n">
        <f aca="false">IF(D979="","",MAX(0,MIN($B$8,IFERROR(LOOKUP(2,1/($U$24:U978&lt;&gt;""),$U$24:U978),$B$11))))</f>
        <v>21.3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1.23</v>
      </c>
      <c r="J979" s="16" t="n">
        <f aca="false">IF(D979="","",$B$12)</f>
        <v>0.25</v>
      </c>
      <c r="K979" s="16" t="n">
        <f aca="false">IF(J979="","",J979*$B$15)</f>
        <v>0.648</v>
      </c>
      <c r="L979" s="16" t="n">
        <f aca="false">IF(D979="","",H979+E979-K979-G979*I979)</f>
        <v>20.8405834210916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1.22136795571988</v>
      </c>
      <c r="N979" s="16" t="n">
        <f aca="false">IF(D979="","",(I979+M979)/2)</f>
        <v>1.22568397785994</v>
      </c>
      <c r="O979" s="16" t="n">
        <f aca="false">IF(D979="","",G979*N979)</f>
        <v>0.221726231594863</v>
      </c>
      <c r="P979" s="16" t="n">
        <f aca="false">IF(D979="","",H979+E979-K979-O979)</f>
        <v>20.8413641894967</v>
      </c>
      <c r="Q979" s="16" t="n">
        <f aca="false">IF(D979="","",IF(P979&gt;=0,K979,MAX(0,K979+P979)))</f>
        <v>0.648</v>
      </c>
      <c r="R979" s="16" t="n">
        <f aca="false">IF(D979="","",Q979/$B$15)</f>
        <v>0.25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20.8413641894967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97.8467802323789</v>
      </c>
      <c r="Z979" s="18" t="n">
        <f aca="false">IF(D979="","",MAX(0,IF(P979&gt;=0,P979,IF(K979+P979&gt;=0,0,P979+K979))))</f>
        <v>20.8413641894967</v>
      </c>
      <c r="AA979" s="18" t="n">
        <f aca="false">IF(D979="","",IF(H979&lt;=$B$16,1,IF(H979&gt;=$B$17,$B$21,MATCH(H979,Aux_CAV!$A$2:$A$121,1))))</f>
        <v>8</v>
      </c>
      <c r="AB979" s="18" t="n">
        <f aca="false">IF(D979="","",IF(L979&lt;=$B$16,1,IF(L979&gt;=$B$17,$B$21,MATCH(L979,Aux_CAV!$A$2:$A$121,1))))</f>
        <v>7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0.131630801281484</v>
      </c>
      <c r="E980" s="16" t="n">
        <f aca="false">IF(D980="","",D980*$B$15)</f>
        <v>0.341187036921607</v>
      </c>
      <c r="F980" s="16" t="n">
        <f aca="false" t="array" ref="F980:F980">IF(D980="","",IFERROR(INDEX(Dados_Evap!$C$2:$N$15,MATCH($B$9,Dados_Evap!$A$2:$A$15,0),C980),0))</f>
        <v>208.9</v>
      </c>
      <c r="G980" s="16" t="n">
        <f aca="false">IF(F980="","",F980/1000)</f>
        <v>0.2089</v>
      </c>
      <c r="H980" s="16" t="n">
        <f aca="false">IF(D980="","",MAX(0,MIN($B$8,IFERROR(LOOKUP(2,1/($U$24:U979&lt;&gt;""),$U$24:U979),$B$11))))</f>
        <v>20.8413641894967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1.22138262568992</v>
      </c>
      <c r="J980" s="16" t="n">
        <f aca="false">IF(D980="","",$B$12)</f>
        <v>0.25</v>
      </c>
      <c r="K980" s="16" t="n">
        <f aca="false">IF(J980="","",J980*$B$15)</f>
        <v>0.648</v>
      </c>
      <c r="L980" s="16" t="n">
        <f aca="false">IF(D980="","",H980+E980-K980-G980*I980)</f>
        <v>20.2794043959117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1.21082388217788</v>
      </c>
      <c r="N980" s="16" t="n">
        <f aca="false">IF(D980="","",(I980+M980)/2)</f>
        <v>1.2161032539339</v>
      </c>
      <c r="O980" s="16" t="n">
        <f aca="false">IF(D980="","",G980*N980)</f>
        <v>0.254043969746792</v>
      </c>
      <c r="P980" s="16" t="n">
        <f aca="false">IF(D980="","",H980+E980-K980-O980)</f>
        <v>20.2805072566715</v>
      </c>
      <c r="Q980" s="16" t="n">
        <f aca="false">IF(D980="","",IF(P980&gt;=0,K980,MAX(0,K980+P980)))</f>
        <v>0.648</v>
      </c>
      <c r="R980" s="16" t="n">
        <f aca="false">IF(D980="","",Q980/$B$15)</f>
        <v>0.25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20.2805072566715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95.2136490923545</v>
      </c>
      <c r="Z980" s="18" t="n">
        <f aca="false">IF(D980="","",MAX(0,IF(P980&gt;=0,P980,IF(K980+P980&gt;=0,0,P980+K980))))</f>
        <v>20.2805072566715</v>
      </c>
      <c r="AA980" s="18" t="n">
        <f aca="false">IF(D980="","",IF(H980&lt;=$B$16,1,IF(H980&gt;=$B$17,$B$21,MATCH(H980,Aux_CAV!$A$2:$A$121,1))))</f>
        <v>7</v>
      </c>
      <c r="AB980" s="18" t="n">
        <f aca="false">IF(D980="","",IF(L980&lt;=$B$16,1,IF(L980&gt;=$B$17,$B$21,MATCH(L980,Aux_CAV!$A$2:$A$121,1))))</f>
        <v>7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0.0672976176724247</v>
      </c>
      <c r="E981" s="16" t="n">
        <f aca="false">IF(D981="","",D981*$B$15)</f>
        <v>0.174435425006925</v>
      </c>
      <c r="F981" s="16" t="n">
        <f aca="false" t="array" ref="F981:F981">IF(D981="","",IFERROR(INDEX(Dados_Evap!$C$2:$N$15,MATCH($B$9,Dados_Evap!$A$2:$A$15,0),C981),0))</f>
        <v>235.9</v>
      </c>
      <c r="G981" s="16" t="n">
        <f aca="false">IF(F981="","",F981/1000)</f>
        <v>0.2359</v>
      </c>
      <c r="H981" s="16" t="n">
        <f aca="false">IF(D981="","",MAX(0,MIN($B$8,IFERROR(LOOKUP(2,1/($U$24:U980&lt;&gt;""),$U$24:U980),$B$11))))</f>
        <v>20.2805072566715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1.21084460398756</v>
      </c>
      <c r="J981" s="16" t="n">
        <f aca="false">IF(D981="","",$B$12)</f>
        <v>0.25</v>
      </c>
      <c r="K981" s="16" t="n">
        <f aca="false">IF(J981="","",J981*$B$15)</f>
        <v>0.648</v>
      </c>
      <c r="L981" s="16" t="n">
        <f aca="false">IF(D981="","",H981+E981-K981-G981*I981)</f>
        <v>19.5213044395978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1.19657983289432</v>
      </c>
      <c r="N981" s="16" t="n">
        <f aca="false">IF(D981="","",(I981+M981)/2)</f>
        <v>1.20371221844094</v>
      </c>
      <c r="O981" s="16" t="n">
        <f aca="false">IF(D981="","",G981*N981)</f>
        <v>0.283955712330218</v>
      </c>
      <c r="P981" s="16" t="n">
        <f aca="false">IF(D981="","",H981+E981-K981-O981)</f>
        <v>19.5229869693482</v>
      </c>
      <c r="Q981" s="16" t="n">
        <f aca="false">IF(D981="","",IF(P981&gt;=0,K981,MAX(0,K981+P981)))</f>
        <v>0.648</v>
      </c>
      <c r="R981" s="16" t="n">
        <f aca="false">IF(D981="","",Q981/$B$15)</f>
        <v>0.25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19.5229869693482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91.6572158185363</v>
      </c>
      <c r="Z981" s="18" t="n">
        <f aca="false">IF(D981="","",MAX(0,IF(P981&gt;=0,P981,IF(K981+P981&gt;=0,0,P981+K981))))</f>
        <v>19.5229869693482</v>
      </c>
      <c r="AA981" s="18" t="n">
        <f aca="false">IF(D981="","",IF(H981&lt;=$B$16,1,IF(H981&gt;=$B$17,$B$21,MATCH(H981,Aux_CAV!$A$2:$A$121,1))))</f>
        <v>7</v>
      </c>
      <c r="AB981" s="18" t="n">
        <f aca="false">IF(D981="","",IF(L981&lt;=$B$16,1,IF(L981&gt;=$B$17,$B$21,MATCH(L981,Aux_CAV!$A$2:$A$121,1))))</f>
        <v>7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0.0448337470853638</v>
      </c>
      <c r="E982" s="16" t="n">
        <f aca="false">IF(D982="","",D982*$B$15)</f>
        <v>0.116209072445263</v>
      </c>
      <c r="F982" s="16" t="n">
        <f aca="false" t="array" ref="F982:F982">IF(D982="","",IFERROR(INDEX(Dados_Evap!$C$2:$N$15,MATCH($B$9,Dados_Evap!$A$2:$A$15,0),C982),0))</f>
        <v>225.9</v>
      </c>
      <c r="G982" s="16" t="n">
        <f aca="false">IF(F982="","",F982/1000)</f>
        <v>0.2259</v>
      </c>
      <c r="H982" s="16" t="n">
        <f aca="false">IF(D982="","",MAX(0,MIN($B$8,IFERROR(LOOKUP(2,1/($U$24:U981&lt;&gt;""),$U$24:U981),$B$11))))</f>
        <v>19.5229869693482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1.19661144618817</v>
      </c>
      <c r="J982" s="16" t="n">
        <f aca="false">IF(D982="","",$B$12)</f>
        <v>0.25</v>
      </c>
      <c r="K982" s="16" t="n">
        <f aca="false">IF(J982="","",J982*$B$15)</f>
        <v>0.648</v>
      </c>
      <c r="L982" s="16" t="n">
        <f aca="false">IF(D982="","",H982+E982-K982-G982*I982)</f>
        <v>18.7208815160996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1.18154057128371</v>
      </c>
      <c r="N982" s="16" t="n">
        <f aca="false">IF(D982="","",(I982+M982)/2)</f>
        <v>1.18907600873594</v>
      </c>
      <c r="O982" s="16" t="n">
        <f aca="false">IF(D982="","",G982*N982)</f>
        <v>0.268612270373449</v>
      </c>
      <c r="P982" s="16" t="n">
        <f aca="false">IF(D982="","",H982+E982-K982-O982)</f>
        <v>18.72258377142</v>
      </c>
      <c r="Q982" s="16" t="n">
        <f aca="false">IF(D982="","",IF(P982&gt;=0,K982,MAX(0,K982+P982)))</f>
        <v>0.648</v>
      </c>
      <c r="R982" s="16" t="n">
        <f aca="false">IF(D982="","",Q982/$B$15)</f>
        <v>0.25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18.72258377142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87.8994543259157</v>
      </c>
      <c r="Z982" s="18" t="n">
        <f aca="false">IF(D982="","",MAX(0,IF(P982&gt;=0,P982,IF(K982+P982&gt;=0,0,P982+K982))))</f>
        <v>18.72258377142</v>
      </c>
      <c r="AA982" s="18" t="n">
        <f aca="false">IF(D982="","",IF(H982&lt;=$B$16,1,IF(H982&gt;=$B$17,$B$21,MATCH(H982,Aux_CAV!$A$2:$A$121,1))))</f>
        <v>7</v>
      </c>
      <c r="AB982" s="18" t="n">
        <f aca="false">IF(D982="","",IF(L982&lt;=$B$16,1,IF(L982&gt;=$B$17,$B$21,MATCH(L982,Aux_CAV!$A$2:$A$121,1))))</f>
        <v>7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0.179515510559966</v>
      </c>
      <c r="E983" s="16" t="n">
        <f aca="false">IF(D983="","",D983*$B$15)</f>
        <v>0.465304203371432</v>
      </c>
      <c r="F983" s="16" t="n">
        <f aca="false" t="array" ref="F983:F983">IF(D983="","",IFERROR(INDEX(Dados_Evap!$C$2:$N$15,MATCH($B$9,Dados_Evap!$A$2:$A$15,0),C983),0))</f>
        <v>206</v>
      </c>
      <c r="G983" s="16" t="n">
        <f aca="false">IF(F983="","",F983/1000)</f>
        <v>0.206</v>
      </c>
      <c r="H983" s="16" t="n">
        <f aca="false">IF(D983="","",MAX(0,MIN($B$8,IFERROR(LOOKUP(2,1/($U$24:U982&lt;&gt;""),$U$24:U982),$B$11))))</f>
        <v>18.72258377142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1.18157255520413</v>
      </c>
      <c r="J983" s="16" t="n">
        <f aca="false">IF(D983="","",$B$12)</f>
        <v>0.25</v>
      </c>
      <c r="K983" s="16" t="n">
        <f aca="false">IF(J983="","",J983*$B$15)</f>
        <v>0.648</v>
      </c>
      <c r="L983" s="16" t="n">
        <f aca="false">IF(D983="","",H983+E983-K983-G983*I983)</f>
        <v>18.2964840284194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1.17356650575318</v>
      </c>
      <c r="N983" s="16" t="n">
        <f aca="false">IF(D983="","",(I983+M983)/2)</f>
        <v>1.17756953047866</v>
      </c>
      <c r="O983" s="16" t="n">
        <f aca="false">IF(D983="","",G983*N983)</f>
        <v>0.242579323278604</v>
      </c>
      <c r="P983" s="16" t="n">
        <f aca="false">IF(D983="","",H983+E983-K983-O983)</f>
        <v>18.2973086515129</v>
      </c>
      <c r="Q983" s="16" t="n">
        <f aca="false">IF(D983="","",IF(P983&gt;=0,K983,MAX(0,K983+P983)))</f>
        <v>0.648</v>
      </c>
      <c r="R983" s="16" t="n">
        <f aca="false">IF(D983="","",Q983/$B$15)</f>
        <v>0.25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18.2973086515129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85.9028575188397</v>
      </c>
      <c r="Z983" s="18" t="n">
        <f aca="false">IF(D983="","",MAX(0,IF(P983&gt;=0,P983,IF(K983+P983&gt;=0,0,P983+K983))))</f>
        <v>18.2973086515129</v>
      </c>
      <c r="AA983" s="18" t="n">
        <f aca="false">IF(D983="","",IF(H983&lt;=$B$16,1,IF(H983&gt;=$B$17,$B$21,MATCH(H983,Aux_CAV!$A$2:$A$121,1))))</f>
        <v>7</v>
      </c>
      <c r="AB983" s="18" t="n">
        <f aca="false">IF(D983="","",IF(L983&lt;=$B$16,1,IF(L983&gt;=$B$17,$B$21,MATCH(L983,Aux_CAV!$A$2:$A$121,1))))</f>
        <v>7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0.0656586341650555</v>
      </c>
      <c r="E984" s="16" t="n">
        <f aca="false">IF(D984="","",D984*$B$15)</f>
        <v>0.170187179755824</v>
      </c>
      <c r="F984" s="16" t="n">
        <f aca="false" t="array" ref="F984:F984">IF(D984="","",IFERROR(INDEX(Dados_Evap!$C$2:$N$15,MATCH($B$9,Dados_Evap!$A$2:$A$15,0),C984),0))</f>
        <v>165.6</v>
      </c>
      <c r="G984" s="16" t="n">
        <f aca="false">IF(F984="","",F984/1000)</f>
        <v>0.1656</v>
      </c>
      <c r="H984" s="16" t="n">
        <f aca="false">IF(D984="","",MAX(0,MIN($B$8,IFERROR(LOOKUP(2,1/($U$24:U983&lt;&gt;""),$U$24:U983),$B$11))))</f>
        <v>18.2973086515129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1.17358199971527</v>
      </c>
      <c r="J984" s="16" t="n">
        <f aca="false">IF(D984="","",$B$12)</f>
        <v>0.25</v>
      </c>
      <c r="K984" s="16" t="n">
        <f aca="false">IF(J984="","",J984*$B$15)</f>
        <v>0.648</v>
      </c>
      <c r="L984" s="16" t="n">
        <f aca="false">IF(D984="","",H984+E984-K984-G984*I984)</f>
        <v>17.6251506521158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1.16095272624017</v>
      </c>
      <c r="N984" s="16" t="n">
        <f aca="false">IF(D984="","",(I984+M984)/2)</f>
        <v>1.16726736297772</v>
      </c>
      <c r="O984" s="16" t="n">
        <f aca="false">IF(D984="","",G984*N984)</f>
        <v>0.193299475309111</v>
      </c>
      <c r="P984" s="16" t="n">
        <f aca="false">IF(D984="","",H984+E984-K984-O984)</f>
        <v>17.6261963559596</v>
      </c>
      <c r="Q984" s="16" t="n">
        <f aca="false">IF(D984="","",IF(P984&gt;=0,K984,MAX(0,K984+P984)))</f>
        <v>0.648</v>
      </c>
      <c r="R984" s="16" t="n">
        <f aca="false">IF(D984="","",Q984/$B$15)</f>
        <v>0.25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17.6261963559596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82.7520955678854</v>
      </c>
      <c r="Z984" s="18" t="n">
        <f aca="false">IF(D984="","",MAX(0,IF(P984&gt;=0,P984,IF(K984+P984&gt;=0,0,P984+K984))))</f>
        <v>17.6261963559596</v>
      </c>
      <c r="AA984" s="18" t="n">
        <f aca="false">IF(D984="","",IF(H984&lt;=$B$16,1,IF(H984&gt;=$B$17,$B$21,MATCH(H984,Aux_CAV!$A$2:$A$121,1))))</f>
        <v>7</v>
      </c>
      <c r="AB984" s="18" t="n">
        <f aca="false">IF(D984="","",IF(L984&lt;=$B$16,1,IF(L984&gt;=$B$17,$B$21,MATCH(L984,Aux_CAV!$A$2:$A$121,1))))</f>
        <v>7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0.319120463611958</v>
      </c>
      <c r="E985" s="16" t="n">
        <f aca="false">IF(D985="","",D985*$B$15)</f>
        <v>0.827160241682195</v>
      </c>
      <c r="F985" s="16" t="n">
        <f aca="false" t="array" ref="F985:F985">IF(D985="","",IFERROR(INDEX(Dados_Evap!$C$2:$N$15,MATCH($B$9,Dados_Evap!$A$2:$A$15,0),C985),0))</f>
        <v>124.9</v>
      </c>
      <c r="G985" s="16" t="n">
        <f aca="false">IF(F985="","",F985/1000)</f>
        <v>0.1249</v>
      </c>
      <c r="H985" s="16" t="n">
        <f aca="false">IF(D985="","",MAX(0,MIN($B$8,IFERROR(LOOKUP(2,1/($U$24:U984&lt;&gt;""),$U$24:U984),$B$11))))</f>
        <v>17.6261963559596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1.16097237412033</v>
      </c>
      <c r="J985" s="16" t="n">
        <f aca="false">IF(D985="","",$B$12)</f>
        <v>0.25</v>
      </c>
      <c r="K985" s="16" t="n">
        <f aca="false">IF(J985="","",J985*$B$15)</f>
        <v>0.648</v>
      </c>
      <c r="L985" s="16" t="n">
        <f aca="false">IF(D985="","",H985+E985-K985-G985*I985)</f>
        <v>17.6603511481141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1.16161411343012</v>
      </c>
      <c r="N985" s="16" t="n">
        <f aca="false">IF(D985="","",(I985+M985)/2)</f>
        <v>1.16129324377522</v>
      </c>
      <c r="O985" s="16" t="n">
        <f aca="false">IF(D985="","",G985*N985)</f>
        <v>0.145045526147525</v>
      </c>
      <c r="P985" s="16" t="n">
        <f aca="false">IF(D985="","",H985+E985-K985-O985)</f>
        <v>17.6603110714942</v>
      </c>
      <c r="Q985" s="16" t="n">
        <f aca="false">IF(D985="","",IF(P985&gt;=0,K985,MAX(0,K985+P985)))</f>
        <v>0.648</v>
      </c>
      <c r="R985" s="16" t="n">
        <f aca="false">IF(D985="","",Q985/$B$15)</f>
        <v>0.25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17.6603110714942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82.9122585516162</v>
      </c>
      <c r="Z985" s="18" t="n">
        <f aca="false">IF(D985="","",MAX(0,IF(P985&gt;=0,P985,IF(K985+P985&gt;=0,0,P985+K985))))</f>
        <v>17.6603110714942</v>
      </c>
      <c r="AA985" s="18" t="n">
        <f aca="false">IF(D985="","",IF(H985&lt;=$B$16,1,IF(H985&gt;=$B$17,$B$21,MATCH(H985,Aux_CAV!$A$2:$A$121,1))))</f>
        <v>7</v>
      </c>
      <c r="AB985" s="18" t="n">
        <f aca="false">IF(D985="","",IF(L985&lt;=$B$16,1,IF(L985&gt;=$B$17,$B$21,MATCH(L985,Aux_CAV!$A$2:$A$121,1))))</f>
        <v>7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0.375097424473297</v>
      </c>
      <c r="E986" s="16" t="n">
        <f aca="false">IF(D986="","",D986*$B$15)</f>
        <v>0.972252524234786</v>
      </c>
      <c r="F986" s="16" t="n">
        <f aca="false" t="array" ref="F986:F986">IF(D986="","",IFERROR(INDEX(Dados_Evap!$C$2:$N$15,MATCH($B$9,Dados_Evap!$A$2:$A$15,0),C986),0))</f>
        <v>88.2</v>
      </c>
      <c r="G986" s="16" t="n">
        <f aca="false">IF(F986="","",F986/1000)</f>
        <v>0.0882</v>
      </c>
      <c r="H986" s="16" t="n">
        <f aca="false">IF(D986="","",MAX(0,MIN($B$8,IFERROR(LOOKUP(2,1/($U$24:U985&lt;&gt;""),$U$24:U985),$B$11))))</f>
        <v>17.6603110714942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1.16161336042474</v>
      </c>
      <c r="J986" s="16" t="n">
        <f aca="false">IF(D986="","",$B$12)</f>
        <v>0.25</v>
      </c>
      <c r="K986" s="16" t="n">
        <f aca="false">IF(J986="","",J986*$B$15)</f>
        <v>0.648</v>
      </c>
      <c r="L986" s="16" t="n">
        <f aca="false">IF(D986="","",H986+E986-K986-G986*I986)</f>
        <v>17.8821092973396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1.1657807592402</v>
      </c>
      <c r="N986" s="16" t="n">
        <f aca="false">IF(D986="","",(I986+M986)/2)</f>
        <v>1.16369705983247</v>
      </c>
      <c r="O986" s="16" t="n">
        <f aca="false">IF(D986="","",G986*N986)</f>
        <v>0.102638080677224</v>
      </c>
      <c r="P986" s="16" t="n">
        <f aca="false">IF(D986="","",H986+E986-K986-O986)</f>
        <v>17.8819255150518</v>
      </c>
      <c r="Q986" s="16" t="n">
        <f aca="false">IF(D986="","",IF(P986&gt;=0,K986,MAX(0,K986+P986)))</f>
        <v>0.648</v>
      </c>
      <c r="R986" s="16" t="n">
        <f aca="false">IF(D986="","",Q986/$B$15)</f>
        <v>0.25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17.8819255150518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83.9527019486</v>
      </c>
      <c r="Z986" s="18" t="n">
        <f aca="false">IF(D986="","",MAX(0,IF(P986&gt;=0,P986,IF(K986+P986&gt;=0,0,P986+K986))))</f>
        <v>17.8819255150518</v>
      </c>
      <c r="AA986" s="18" t="n">
        <f aca="false">IF(D986="","",IF(H986&lt;=$B$16,1,IF(H986&gt;=$B$17,$B$21,MATCH(H986,Aux_CAV!$A$2:$A$121,1))))</f>
        <v>7</v>
      </c>
      <c r="AB986" s="18" t="n">
        <f aca="false">IF(D986="","",IF(L986&lt;=$B$16,1,IF(L986&gt;=$B$17,$B$21,MATCH(L986,Aux_CAV!$A$2:$A$121,1))))</f>
        <v>7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0.60392386906088</v>
      </c>
      <c r="E987" s="16" t="n">
        <f aca="false">IF(D987="","",D987*$B$15)</f>
        <v>1.5653706686058</v>
      </c>
      <c r="F987" s="16" t="n">
        <f aca="false" t="array" ref="F987:F987">IF(D987="","",IFERROR(INDEX(Dados_Evap!$C$2:$N$15,MATCH($B$9,Dados_Evap!$A$2:$A$15,0),C987),0))</f>
        <v>88.2</v>
      </c>
      <c r="G987" s="16" t="n">
        <f aca="false">IF(F987="","",F987/1000)</f>
        <v>0.0882</v>
      </c>
      <c r="H987" s="16" t="n">
        <f aca="false">IF(D987="","",MAX(0,MIN($B$8,IFERROR(LOOKUP(2,1/($U$24:U986&lt;&gt;""),$U$24:U986),$B$11))))</f>
        <v>17.8819255150518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1.16577730612832</v>
      </c>
      <c r="J987" s="16" t="n">
        <f aca="false">IF(D987="","",$B$12)</f>
        <v>0.25</v>
      </c>
      <c r="K987" s="16" t="n">
        <f aca="false">IF(J987="","",J987*$B$15)</f>
        <v>0.648</v>
      </c>
      <c r="L987" s="16" t="n">
        <f aca="false">IF(D987="","",H987+E987-K987-G987*I987)</f>
        <v>18.6964746252571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1.18108198669585</v>
      </c>
      <c r="N987" s="16" t="n">
        <f aca="false">IF(D987="","",(I987+M987)/2)</f>
        <v>1.17342964641209</v>
      </c>
      <c r="O987" s="16" t="n">
        <f aca="false">IF(D987="","",G987*N987)</f>
        <v>0.103496494813546</v>
      </c>
      <c r="P987" s="16" t="n">
        <f aca="false">IF(D987="","",H987+E987-K987-O987)</f>
        <v>18.6957996888441</v>
      </c>
      <c r="Q987" s="16" t="n">
        <f aca="false">IF(D987="","",IF(P987&gt;=0,K987,MAX(0,K987+P987)))</f>
        <v>0.648</v>
      </c>
      <c r="R987" s="16" t="n">
        <f aca="false">IF(D987="","",Q987/$B$15)</f>
        <v>0.25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18.6957996888441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87.7737074593618</v>
      </c>
      <c r="Z987" s="18" t="n">
        <f aca="false">IF(D987="","",MAX(0,IF(P987&gt;=0,P987,IF(K987+P987&gt;=0,0,P987+K987))))</f>
        <v>18.6957996888441</v>
      </c>
      <c r="AA987" s="18" t="n">
        <f aca="false">IF(D987="","",IF(H987&lt;=$B$16,1,IF(H987&gt;=$B$17,$B$21,MATCH(H987,Aux_CAV!$A$2:$A$121,1))))</f>
        <v>7</v>
      </c>
      <c r="AB987" s="18" t="n">
        <f aca="false">IF(D987="","",IF(L987&lt;=$B$16,1,IF(L987&gt;=$B$17,$B$21,MATCH(L987,Aux_CAV!$A$2:$A$121,1))))</f>
        <v>7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0.716994956085782</v>
      </c>
      <c r="E988" s="16" t="n">
        <f aca="false">IF(D988="","",D988*$B$15)</f>
        <v>1.85845092617435</v>
      </c>
      <c r="F988" s="16" t="n">
        <f aca="false" t="array" ref="F988:F988">IF(D988="","",IFERROR(INDEX(Dados_Evap!$C$2:$N$15,MATCH($B$9,Dados_Evap!$A$2:$A$15,0),C988),0))</f>
        <v>83.9</v>
      </c>
      <c r="G988" s="16" t="n">
        <f aca="false">IF(F988="","",F988/1000)</f>
        <v>0.0839</v>
      </c>
      <c r="H988" s="16" t="n">
        <f aca="false">IF(D988="","",MAX(0,MIN($B$8,IFERROR(LOOKUP(2,1/($U$24:U987&lt;&gt;""),$U$24:U987),$B$11))))</f>
        <v>18.6957996888441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1.18106930521836</v>
      </c>
      <c r="J988" s="16" t="n">
        <f aca="false">IF(D988="","",$B$12)</f>
        <v>0.25</v>
      </c>
      <c r="K988" s="16" t="n">
        <f aca="false">IF(J988="","",J988*$B$15)</f>
        <v>0.648</v>
      </c>
      <c r="L988" s="16" t="n">
        <f aca="false">IF(D988="","",H988+E988-K988-G988*I988)</f>
        <v>19.8071589003106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1.20195079353402</v>
      </c>
      <c r="N988" s="16" t="n">
        <f aca="false">IF(D988="","",(I988+M988)/2)</f>
        <v>1.19151004937619</v>
      </c>
      <c r="O988" s="16" t="n">
        <f aca="false">IF(D988="","",G988*N988)</f>
        <v>0.0999676931426625</v>
      </c>
      <c r="P988" s="16" t="n">
        <f aca="false">IF(D988="","",H988+E988-K988-O988)</f>
        <v>19.8062829218758</v>
      </c>
      <c r="Q988" s="16" t="n">
        <f aca="false">IF(D988="","",IF(P988&gt;=0,K988,MAX(0,K988+P988)))</f>
        <v>0.648</v>
      </c>
      <c r="R988" s="16" t="n">
        <f aca="false">IF(D988="","",Q988/$B$15)</f>
        <v>0.25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19.8062829218758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92.9872437646749</v>
      </c>
      <c r="Z988" s="18" t="n">
        <f aca="false">IF(D988="","",MAX(0,IF(P988&gt;=0,P988,IF(K988+P988&gt;=0,0,P988+K988))))</f>
        <v>19.8062829218758</v>
      </c>
      <c r="AA988" s="18" t="n">
        <f aca="false">IF(D988="","",IF(H988&lt;=$B$16,1,IF(H988&gt;=$B$17,$B$21,MATCH(H988,Aux_CAV!$A$2:$A$121,1))))</f>
        <v>7</v>
      </c>
      <c r="AB988" s="18" t="n">
        <f aca="false">IF(D988="","",IF(L988&lt;=$B$16,1,IF(L988&gt;=$B$17,$B$21,MATCH(L988,Aux_CAV!$A$2:$A$121,1))))</f>
        <v>7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0.18893569876393</v>
      </c>
      <c r="E989" s="16" t="n">
        <f aca="false">IF(D989="","",D989*$B$15)</f>
        <v>0.489721331196107</v>
      </c>
      <c r="F989" s="16" t="n">
        <f aca="false" t="array" ref="F989:F989">IF(D989="","",IFERROR(INDEX(Dados_Evap!$C$2:$N$15,MATCH($B$9,Dados_Evap!$A$2:$A$15,0),C989),0))</f>
        <v>104.7</v>
      </c>
      <c r="G989" s="16" t="n">
        <f aca="false">IF(F989="","",F989/1000)</f>
        <v>0.1047</v>
      </c>
      <c r="H989" s="16" t="n">
        <f aca="false">IF(D989="","",MAX(0,MIN($B$8,IFERROR(LOOKUP(2,1/($U$24:U988&lt;&gt;""),$U$24:U988),$B$11))))</f>
        <v>19.8062829218758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1.20193433464902</v>
      </c>
      <c r="J989" s="16" t="n">
        <f aca="false">IF(D989="","",$B$12)</f>
        <v>0.25</v>
      </c>
      <c r="K989" s="16" t="n">
        <f aca="false">IF(J989="","",J989*$B$15)</f>
        <v>0.648</v>
      </c>
      <c r="L989" s="16" t="n">
        <f aca="false">IF(D989="","",H989+E989-K989-G989*I989)</f>
        <v>19.5221617282341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1.196595940614</v>
      </c>
      <c r="N989" s="16" t="n">
        <f aca="false">IF(D989="","",(I989+M989)/2)</f>
        <v>1.19926513763151</v>
      </c>
      <c r="O989" s="16" t="n">
        <f aca="false">IF(D989="","",G989*N989)</f>
        <v>0.125563059910019</v>
      </c>
      <c r="P989" s="16" t="n">
        <f aca="false">IF(D989="","",H989+E989-K989-O989)</f>
        <v>19.5224411931618</v>
      </c>
      <c r="Q989" s="16" t="n">
        <f aca="false">IF(D989="","",IF(P989&gt;=0,K989,MAX(0,K989+P989)))</f>
        <v>0.648</v>
      </c>
      <c r="R989" s="16" t="n">
        <f aca="false">IF(D989="","",Q989/$B$15)</f>
        <v>0.25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19.5224411931618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91.6546534890227</v>
      </c>
      <c r="Z989" s="18" t="n">
        <f aca="false">IF(D989="","",MAX(0,IF(P989&gt;=0,P989,IF(K989+P989&gt;=0,0,P989+K989))))</f>
        <v>19.5224411931618</v>
      </c>
      <c r="AA989" s="18" t="n">
        <f aca="false">IF(D989="","",IF(H989&lt;=$B$16,1,IF(H989&gt;=$B$17,$B$21,MATCH(H989,Aux_CAV!$A$2:$A$121,1))))</f>
        <v>7</v>
      </c>
      <c r="AB989" s="18" t="n">
        <f aca="false">IF(D989="","",IF(L989&lt;=$B$16,1,IF(L989&gt;=$B$17,$B$21,MATCH(L989,Aux_CAV!$A$2:$A$121,1))))</f>
        <v>7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0.243909703020454</v>
      </c>
      <c r="E990" s="16" t="n">
        <f aca="false">IF(D990="","",D990*$B$15)</f>
        <v>0.632213950229017</v>
      </c>
      <c r="F990" s="16" t="n">
        <f aca="false" t="array" ref="F990:F990">IF(D990="","",IFERROR(INDEX(Dados_Evap!$C$2:$N$15,MATCH($B$9,Dados_Evap!$A$2:$A$15,0),C990),0))</f>
        <v>145.2</v>
      </c>
      <c r="G990" s="16" t="n">
        <f aca="false">IF(F990="","",F990/1000)</f>
        <v>0.1452</v>
      </c>
      <c r="H990" s="16" t="n">
        <f aca="false">IF(D990="","",MAX(0,MIN($B$8,IFERROR(LOOKUP(2,1/($U$24:U989&lt;&gt;""),$U$24:U989),$B$11))))</f>
        <v>19.5224411931618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1.19660119152079</v>
      </c>
      <c r="J990" s="16" t="n">
        <f aca="false">IF(D990="","",$B$12)</f>
        <v>0.25</v>
      </c>
      <c r="K990" s="16" t="n">
        <f aca="false">IF(J990="","",J990*$B$15)</f>
        <v>0.648</v>
      </c>
      <c r="L990" s="16" t="n">
        <f aca="false">IF(D990="","",H990+E990-K990-G990*I990)</f>
        <v>19.332908650382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1.19304003727231</v>
      </c>
      <c r="N990" s="16" t="n">
        <f aca="false">IF(D990="","",(I990+M990)/2)</f>
        <v>1.19482061439655</v>
      </c>
      <c r="O990" s="16" t="n">
        <f aca="false">IF(D990="","",G990*N990)</f>
        <v>0.173487953210379</v>
      </c>
      <c r="P990" s="16" t="n">
        <f aca="false">IF(D990="","",H990+E990-K990-O990)</f>
        <v>19.3331671901805</v>
      </c>
      <c r="Q990" s="16" t="n">
        <f aca="false">IF(D990="","",IF(P990&gt;=0,K990,MAX(0,K990+P990)))</f>
        <v>0.648</v>
      </c>
      <c r="R990" s="16" t="n">
        <f aca="false">IF(D990="","",Q990/$B$15)</f>
        <v>0.25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19.3331671901805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90.7660431463872</v>
      </c>
      <c r="Z990" s="18" t="n">
        <f aca="false">IF(D990="","",MAX(0,IF(P990&gt;=0,P990,IF(K990+P990&gt;=0,0,P990+K990))))</f>
        <v>19.3331671901805</v>
      </c>
      <c r="AA990" s="18" t="n">
        <f aca="false">IF(D990="","",IF(H990&lt;=$B$16,1,IF(H990&gt;=$B$17,$B$21,MATCH(H990,Aux_CAV!$A$2:$A$121,1))))</f>
        <v>7</v>
      </c>
      <c r="AB990" s="18" t="n">
        <f aca="false">IF(D990="","",IF(L990&lt;=$B$16,1,IF(L990&gt;=$B$17,$B$21,MATCH(L990,Aux_CAV!$A$2:$A$121,1))))</f>
        <v>7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0.0649273068073974</v>
      </c>
      <c r="E991" s="16" t="n">
        <f aca="false">IF(D991="","",D991*$B$15)</f>
        <v>0.168291579244774</v>
      </c>
      <c r="F991" s="16" t="n">
        <f aca="false" t="array" ref="F991:F991">IF(D991="","",IFERROR(INDEX(Dados_Evap!$C$2:$N$15,MATCH($B$9,Dados_Evap!$A$2:$A$15,0),C991),0))</f>
        <v>180.9</v>
      </c>
      <c r="G991" s="16" t="n">
        <f aca="false">IF(F991="","",F991/1000)</f>
        <v>0.1809</v>
      </c>
      <c r="H991" s="16" t="n">
        <f aca="false">IF(D991="","",MAX(0,MIN($B$8,IFERROR(LOOKUP(2,1/($U$24:U990&lt;&gt;""),$U$24:U990),$B$11))))</f>
        <v>19.3331671901805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1.19304489501383</v>
      </c>
      <c r="J991" s="16" t="n">
        <f aca="false">IF(D991="","",$B$12)</f>
        <v>0.25</v>
      </c>
      <c r="K991" s="16" t="n">
        <f aca="false">IF(J991="","",J991*$B$15)</f>
        <v>0.648</v>
      </c>
      <c r="L991" s="16" t="n">
        <f aca="false">IF(D991="","",H991+E991-K991-G991*I991)</f>
        <v>18.6376369479172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1.17997647710074</v>
      </c>
      <c r="N991" s="16" t="n">
        <f aca="false">IF(D991="","",(I991+M991)/2)</f>
        <v>1.18651068605729</v>
      </c>
      <c r="O991" s="16" t="n">
        <f aca="false">IF(D991="","",G991*N991)</f>
        <v>0.214639783107763</v>
      </c>
      <c r="P991" s="16" t="n">
        <f aca="false">IF(D991="","",H991+E991-K991-O991)</f>
        <v>18.6388189863175</v>
      </c>
      <c r="Q991" s="16" t="n">
        <f aca="false">IF(D991="","",IF(P991&gt;=0,K991,MAX(0,K991+P991)))</f>
        <v>0.648</v>
      </c>
      <c r="R991" s="16" t="n">
        <f aca="false">IF(D991="","",Q991/$B$15)</f>
        <v>0.25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18.6388189863175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87.5061924240258</v>
      </c>
      <c r="Z991" s="18" t="n">
        <f aca="false">IF(D991="","",MAX(0,IF(P991&gt;=0,P991,IF(K991+P991&gt;=0,0,P991+K991))))</f>
        <v>18.6388189863175</v>
      </c>
      <c r="AA991" s="18" t="n">
        <f aca="false">IF(D991="","",IF(H991&lt;=$B$16,1,IF(H991&gt;=$B$17,$B$21,MATCH(H991,Aux_CAV!$A$2:$A$121,1))))</f>
        <v>7</v>
      </c>
      <c r="AB991" s="18" t="n">
        <f aca="false">IF(D991="","",IF(L991&lt;=$B$16,1,IF(L991&gt;=$B$17,$B$21,MATCH(L991,Aux_CAV!$A$2:$A$121,1))))</f>
        <v>7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0.0437028426471719</v>
      </c>
      <c r="E992" s="16" t="n">
        <f aca="false">IF(D992="","",D992*$B$15)</f>
        <v>0.11327776814147</v>
      </c>
      <c r="F992" s="16" t="n">
        <f aca="false" t="array" ref="F992:F992">IF(D992="","",IFERROR(INDEX(Dados_Evap!$C$2:$N$15,MATCH($B$9,Dados_Evap!$A$2:$A$15,0),C992),0))</f>
        <v>208.9</v>
      </c>
      <c r="G992" s="16" t="n">
        <f aca="false">IF(F992="","",F992/1000)</f>
        <v>0.2089</v>
      </c>
      <c r="H992" s="16" t="n">
        <f aca="false">IF(D992="","",MAX(0,MIN($B$8,IFERROR(LOOKUP(2,1/($U$24:U991&lt;&gt;""),$U$24:U991),$B$11))))</f>
        <v>18.6388189863175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1.17999868659052</v>
      </c>
      <c r="J992" s="16" t="n">
        <f aca="false">IF(D992="","",$B$12)</f>
        <v>0.25</v>
      </c>
      <c r="K992" s="16" t="n">
        <f aca="false">IF(J992="","",J992*$B$15)</f>
        <v>0.648</v>
      </c>
      <c r="L992" s="16" t="n">
        <f aca="false">IF(D992="","",H992+E992-K992-G992*I992)</f>
        <v>17.8575950288302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1.1653201571179</v>
      </c>
      <c r="N992" s="16" t="n">
        <f aca="false">IF(D992="","",(I992+M992)/2)</f>
        <v>1.17265942185421</v>
      </c>
      <c r="O992" s="16" t="n">
        <f aca="false">IF(D992="","",G992*N992)</f>
        <v>0.244968553225344</v>
      </c>
      <c r="P992" s="16" t="n">
        <f aca="false">IF(D992="","",H992+E992-K992-O992)</f>
        <v>17.8591282012336</v>
      </c>
      <c r="Q992" s="16" t="n">
        <f aca="false">IF(D992="","",IF(P992&gt;=0,K992,MAX(0,K992+P992)))</f>
        <v>0.648</v>
      </c>
      <c r="R992" s="16" t="n">
        <f aca="false">IF(D992="","",Q992/$B$15)</f>
        <v>0.25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17.8591282012336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83.8456723062611</v>
      </c>
      <c r="Z992" s="18" t="n">
        <f aca="false">IF(D992="","",MAX(0,IF(P992&gt;=0,P992,IF(K992+P992&gt;=0,0,P992+K992))))</f>
        <v>17.8591282012336</v>
      </c>
      <c r="AA992" s="18" t="n">
        <f aca="false">IF(D992="","",IF(H992&lt;=$B$16,1,IF(H992&gt;=$B$17,$B$21,MATCH(H992,Aux_CAV!$A$2:$A$121,1))))</f>
        <v>7</v>
      </c>
      <c r="AB992" s="18" t="n">
        <f aca="false">IF(D992="","",IF(L992&lt;=$B$16,1,IF(L992&gt;=$B$17,$B$21,MATCH(L992,Aux_CAV!$A$2:$A$121,1))))</f>
        <v>7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0.0256891750922118</v>
      </c>
      <c r="E993" s="16" t="n">
        <f aca="false">IF(D993="","",D993*$B$15)</f>
        <v>0.066586341839013</v>
      </c>
      <c r="F993" s="16" t="n">
        <f aca="false" t="array" ref="F993:F993">IF(D993="","",IFERROR(INDEX(Dados_Evap!$C$2:$N$15,MATCH($B$9,Dados_Evap!$A$2:$A$15,0),C993),0))</f>
        <v>235.9</v>
      </c>
      <c r="G993" s="16" t="n">
        <f aca="false">IF(F993="","",F993/1000)</f>
        <v>0.2359</v>
      </c>
      <c r="H993" s="16" t="n">
        <f aca="false">IF(D993="","",MAX(0,MIN($B$8,IFERROR(LOOKUP(2,1/($U$24:U992&lt;&gt;""),$U$24:U992),$B$11))))</f>
        <v>17.8591282012336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1.16534896411504</v>
      </c>
      <c r="J993" s="16" t="n">
        <f aca="false">IF(D993="","",$B$12)</f>
        <v>0.25</v>
      </c>
      <c r="K993" s="16" t="n">
        <f aca="false">IF(J993="","",J993*$B$15)</f>
        <v>0.648</v>
      </c>
      <c r="L993" s="16" t="n">
        <f aca="false">IF(D993="","",H993+E993-K993-G993*I993)</f>
        <v>17.0028087224379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1.14925945407503</v>
      </c>
      <c r="N993" s="16" t="n">
        <f aca="false">IF(D993="","",(I993+M993)/2)</f>
        <v>1.15730420909503</v>
      </c>
      <c r="O993" s="16" t="n">
        <f aca="false">IF(D993="","",G993*N993)</f>
        <v>0.273008062925519</v>
      </c>
      <c r="P993" s="16" t="n">
        <f aca="false">IF(D993="","",H993+E993-K993-O993)</f>
        <v>17.0047064801471</v>
      </c>
      <c r="Q993" s="16" t="n">
        <f aca="false">IF(D993="","",IF(P993&gt;=0,K993,MAX(0,K993+P993)))</f>
        <v>0.648</v>
      </c>
      <c r="R993" s="16" t="n">
        <f aca="false">IF(D993="","",Q993/$B$15)</f>
        <v>0.25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17.0047064801471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79.8343027236953</v>
      </c>
      <c r="Z993" s="18" t="n">
        <f aca="false">IF(D993="","",MAX(0,IF(P993&gt;=0,P993,IF(K993+P993&gt;=0,0,P993+K993))))</f>
        <v>17.0047064801471</v>
      </c>
      <c r="AA993" s="18" t="n">
        <f aca="false">IF(D993="","",IF(H993&lt;=$B$16,1,IF(H993&gt;=$B$17,$B$21,MATCH(H993,Aux_CAV!$A$2:$A$121,1))))</f>
        <v>7</v>
      </c>
      <c r="AB993" s="18" t="n">
        <f aca="false">IF(D993="","",IF(L993&lt;=$B$16,1,IF(L993&gt;=$B$17,$B$21,MATCH(L993,Aux_CAV!$A$2:$A$121,1))))</f>
        <v>7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0.0227726843105417</v>
      </c>
      <c r="E994" s="16" t="n">
        <f aca="false">IF(D994="","",D994*$B$15)</f>
        <v>0.0590267977329241</v>
      </c>
      <c r="F994" s="16" t="n">
        <f aca="false" t="array" ref="F994:F994">IF(D994="","",IFERROR(INDEX(Dados_Evap!$C$2:$N$15,MATCH($B$9,Dados_Evap!$A$2:$A$15,0),C994),0))</f>
        <v>225.9</v>
      </c>
      <c r="G994" s="16" t="n">
        <f aca="false">IF(F994="","",F994/1000)</f>
        <v>0.2259</v>
      </c>
      <c r="H994" s="16" t="n">
        <f aca="false">IF(D994="","",MAX(0,MIN($B$8,IFERROR(LOOKUP(2,1/($U$24:U993&lt;&gt;""),$U$24:U993),$B$11))))</f>
        <v>17.0047064801471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1.149295111318</v>
      </c>
      <c r="J994" s="16" t="n">
        <f aca="false">IF(D994="","",$B$12)</f>
        <v>0.25</v>
      </c>
      <c r="K994" s="16" t="n">
        <f aca="false">IF(J994="","",J994*$B$15)</f>
        <v>0.648</v>
      </c>
      <c r="L994" s="16" t="n">
        <f aca="false">IF(D994="","",H994+E994-K994-G994*I994)</f>
        <v>16.1561075122333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1.12862727355003</v>
      </c>
      <c r="N994" s="16" t="n">
        <f aca="false">IF(D994="","",(I994+M994)/2)</f>
        <v>1.13896119243402</v>
      </c>
      <c r="O994" s="16" t="n">
        <f aca="false">IF(D994="","",G994*N994)</f>
        <v>0.257291333370844</v>
      </c>
      <c r="P994" s="16" t="n">
        <f aca="false">IF(D994="","",H994+E994-K994-O994)</f>
        <v>16.1584419445092</v>
      </c>
      <c r="Q994" s="16" t="n">
        <f aca="false">IF(D994="","",IF(P994&gt;=0,K994,MAX(0,K994+P994)))</f>
        <v>0.648</v>
      </c>
      <c r="R994" s="16" t="n">
        <f aca="false">IF(D994="","",Q994/$B$15)</f>
        <v>0.25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16.1584419445092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75.8612297864281</v>
      </c>
      <c r="Z994" s="18" t="n">
        <f aca="false">IF(D994="","",MAX(0,IF(P994&gt;=0,P994,IF(K994+P994&gt;=0,0,P994+K994))))</f>
        <v>16.1584419445092</v>
      </c>
      <c r="AA994" s="18" t="n">
        <f aca="false">IF(D994="","",IF(H994&lt;=$B$16,1,IF(H994&gt;=$B$17,$B$21,MATCH(H994,Aux_CAV!$A$2:$A$121,1))))</f>
        <v>7</v>
      </c>
      <c r="AB994" s="18" t="n">
        <f aca="false">IF(D994="","",IF(L994&lt;=$B$16,1,IF(L994&gt;=$B$17,$B$21,MATCH(L994,Aux_CAV!$A$2:$A$121,1))))</f>
        <v>6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0.014732273939134</v>
      </c>
      <c r="E995" s="16" t="n">
        <f aca="false">IF(D995="","",D995*$B$15)</f>
        <v>0.0381860540502353</v>
      </c>
      <c r="F995" s="16" t="n">
        <f aca="false" t="array" ref="F995:F995">IF(D995="","",IFERROR(INDEX(Dados_Evap!$C$2:$N$15,MATCH($B$9,Dados_Evap!$A$2:$A$15,0),C995),0))</f>
        <v>206</v>
      </c>
      <c r="G995" s="16" t="n">
        <f aca="false">IF(F995="","",F995/1000)</f>
        <v>0.206</v>
      </c>
      <c r="H995" s="16" t="n">
        <f aca="false">IF(D995="","",MAX(0,MIN($B$8,IFERROR(LOOKUP(2,1/($U$24:U994&lt;&gt;""),$U$24:U994),$B$11))))</f>
        <v>16.1584419445092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1.12870229311277</v>
      </c>
      <c r="J995" s="16" t="n">
        <f aca="false">IF(D995="","",$B$12)</f>
        <v>0.25</v>
      </c>
      <c r="K995" s="16" t="n">
        <f aca="false">IF(J995="","",J995*$B$15)</f>
        <v>0.648</v>
      </c>
      <c r="L995" s="16" t="n">
        <f aca="false">IF(D995="","",H995+E995-K995-G995*I995)</f>
        <v>15.3161153261782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1.1016331957373</v>
      </c>
      <c r="N995" s="16" t="n">
        <f aca="false">IF(D995="","",(I995+M995)/2)</f>
        <v>1.11516774442503</v>
      </c>
      <c r="O995" s="16" t="n">
        <f aca="false">IF(D995="","",G995*N995)</f>
        <v>0.229724555351557</v>
      </c>
      <c r="P995" s="16" t="n">
        <f aca="false">IF(D995="","",H995+E995-K995-O995)</f>
        <v>15.3189034432079</v>
      </c>
      <c r="Q995" s="16" t="n">
        <f aca="false">IF(D995="","",IF(P995&gt;=0,K995,MAX(0,K995+P995)))</f>
        <v>0.648</v>
      </c>
      <c r="R995" s="16" t="n">
        <f aca="false">IF(D995="","",Q995/$B$15)</f>
        <v>0.25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15.3189034432079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71.9197344751543</v>
      </c>
      <c r="Z995" s="18" t="n">
        <f aca="false">IF(D995="","",MAX(0,IF(P995&gt;=0,P995,IF(K995+P995&gt;=0,0,P995+K995))))</f>
        <v>15.3189034432079</v>
      </c>
      <c r="AA995" s="18" t="n">
        <f aca="false">IF(D995="","",IF(H995&lt;=$B$16,1,IF(H995&gt;=$B$17,$B$21,MATCH(H995,Aux_CAV!$A$2:$A$121,1))))</f>
        <v>6</v>
      </c>
      <c r="AB995" s="18" t="n">
        <f aca="false">IF(D995="","",IF(L995&lt;=$B$16,1,IF(L995&gt;=$B$17,$B$21,MATCH(L995,Aux_CAV!$A$2:$A$121,1))))</f>
        <v>6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0.0795901833064289</v>
      </c>
      <c r="E996" s="16" t="n">
        <f aca="false">IF(D996="","",D996*$B$15)</f>
        <v>0.206297755130264</v>
      </c>
      <c r="F996" s="16" t="n">
        <f aca="false" t="array" ref="F996:F996">IF(D996="","",IFERROR(INDEX(Dados_Evap!$C$2:$N$15,MATCH($B$9,Dados_Evap!$A$2:$A$15,0),C996),0))</f>
        <v>165.6</v>
      </c>
      <c r="G996" s="16" t="n">
        <f aca="false">IF(F996="","",F996/1000)</f>
        <v>0.1656</v>
      </c>
      <c r="H996" s="16" t="n">
        <f aca="false">IF(D996="","",MAX(0,MIN($B$8,IFERROR(LOOKUP(2,1/($U$24:U995&lt;&gt;""),$U$24:U995),$B$11))))</f>
        <v>15.3189034432079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1.10172279496131</v>
      </c>
      <c r="J996" s="16" t="n">
        <f aca="false">IF(D996="","",$B$12)</f>
        <v>0.25</v>
      </c>
      <c r="K996" s="16" t="n">
        <f aca="false">IF(J996="","",J996*$B$15)</f>
        <v>0.648</v>
      </c>
      <c r="L996" s="16" t="n">
        <f aca="false">IF(D996="","",H996+E996-K996-G996*I996)</f>
        <v>14.6947559034925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1.08166512355269</v>
      </c>
      <c r="N996" s="16" t="n">
        <f aca="false">IF(D996="","",(I996+M996)/2)</f>
        <v>1.091693959257</v>
      </c>
      <c r="O996" s="16" t="n">
        <f aca="false">IF(D996="","",G996*N996)</f>
        <v>0.180784519652959</v>
      </c>
      <c r="P996" s="16" t="n">
        <f aca="false">IF(D996="","",H996+E996-K996-O996)</f>
        <v>14.6964166786852</v>
      </c>
      <c r="Q996" s="16" t="n">
        <f aca="false">IF(D996="","",IF(P996&gt;=0,K996,MAX(0,K996+P996)))</f>
        <v>0.648</v>
      </c>
      <c r="R996" s="16" t="n">
        <f aca="false">IF(D996="","",Q996/$B$15)</f>
        <v>0.25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14.6964166786852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68.9972614022778</v>
      </c>
      <c r="Z996" s="18" t="n">
        <f aca="false">IF(D996="","",MAX(0,IF(P996&gt;=0,P996,IF(K996+P996&gt;=0,0,P996+K996))))</f>
        <v>14.6964166786852</v>
      </c>
      <c r="AA996" s="18" t="n">
        <f aca="false">IF(D996="","",IF(H996&lt;=$B$16,1,IF(H996&gt;=$B$17,$B$21,MATCH(H996,Aux_CAV!$A$2:$A$121,1))))</f>
        <v>6</v>
      </c>
      <c r="AB996" s="18" t="n">
        <f aca="false">IF(D996="","",IF(L996&lt;=$B$16,1,IF(L996&gt;=$B$17,$B$21,MATCH(L996,Aux_CAV!$A$2:$A$121,1))))</f>
        <v>6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0.36725608276884</v>
      </c>
      <c r="E997" s="16" t="n">
        <f aca="false">IF(D997="","",D997*$B$15)</f>
        <v>0.951927766536833</v>
      </c>
      <c r="F997" s="16" t="n">
        <f aca="false" t="array" ref="F997:F997">IF(D997="","",IFERROR(INDEX(Dados_Evap!$C$2:$N$15,MATCH($B$9,Dados_Evap!$A$2:$A$15,0),C997),0))</f>
        <v>124.9</v>
      </c>
      <c r="G997" s="16" t="n">
        <f aca="false">IF(F997="","",F997/1000)</f>
        <v>0.1249</v>
      </c>
      <c r="H997" s="16" t="n">
        <f aca="false">IF(D997="","",MAX(0,MIN($B$8,IFERROR(LOOKUP(2,1/($U$24:U996&lt;&gt;""),$U$24:U996),$B$11))))</f>
        <v>14.6964166786852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1.08171849440009</v>
      </c>
      <c r="J997" s="16" t="n">
        <f aca="false">IF(D997="","",$B$12)</f>
        <v>0.25</v>
      </c>
      <c r="K997" s="16" t="n">
        <f aca="false">IF(J997="","",J997*$B$15)</f>
        <v>0.648</v>
      </c>
      <c r="L997" s="16" t="n">
        <f aca="false">IF(D997="","",H997+E997-K997-G997*I997)</f>
        <v>14.8652378052714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1.08714374799549</v>
      </c>
      <c r="N997" s="16" t="n">
        <f aca="false">IF(D997="","",(I997+M997)/2)</f>
        <v>1.08443112119779</v>
      </c>
      <c r="O997" s="16" t="n">
        <f aca="false">IF(D997="","",G997*N997)</f>
        <v>0.135445447037604</v>
      </c>
      <c r="P997" s="16" t="n">
        <f aca="false">IF(D997="","",H997+E997-K997-O997)</f>
        <v>14.8648989981844</v>
      </c>
      <c r="Q997" s="16" t="n">
        <f aca="false">IF(D997="","",IF(P997&gt;=0,K997,MAX(0,K997+P997)))</f>
        <v>0.648</v>
      </c>
      <c r="R997" s="16" t="n">
        <f aca="false">IF(D997="","",Q997/$B$15)</f>
        <v>0.25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14.8648989981844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69.7882582074385</v>
      </c>
      <c r="Z997" s="18" t="n">
        <f aca="false">IF(D997="","",MAX(0,IF(P997&gt;=0,P997,IF(K997+P997&gt;=0,0,P997+K997))))</f>
        <v>14.8648989981844</v>
      </c>
      <c r="AA997" s="18" t="n">
        <f aca="false">IF(D997="","",IF(H997&lt;=$B$16,1,IF(H997&gt;=$B$17,$B$21,MATCH(H997,Aux_CAV!$A$2:$A$121,1))))</f>
        <v>6</v>
      </c>
      <c r="AB997" s="18" t="n">
        <f aca="false">IF(D997="","",IF(L997&lt;=$B$16,1,IF(L997&gt;=$B$17,$B$21,MATCH(L997,Aux_CAV!$A$2:$A$121,1))))</f>
        <v>6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1.02956193489284</v>
      </c>
      <c r="E998" s="16" t="n">
        <f aca="false">IF(D998="","",D998*$B$15)</f>
        <v>2.66862453524224</v>
      </c>
      <c r="F998" s="16" t="n">
        <f aca="false" t="array" ref="F998:F998">IF(D998="","",IFERROR(INDEX(Dados_Evap!$C$2:$N$15,MATCH($B$9,Dados_Evap!$A$2:$A$15,0),C998),0))</f>
        <v>88.2</v>
      </c>
      <c r="G998" s="16" t="n">
        <f aca="false">IF(F998="","",F998/1000)</f>
        <v>0.0882</v>
      </c>
      <c r="H998" s="16" t="n">
        <f aca="false">IF(D998="","",MAX(0,MIN($B$8,IFERROR(LOOKUP(2,1/($U$24:U997&lt;&gt;""),$U$24:U997),$B$11))))</f>
        <v>14.8648989981844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1.08713286005508</v>
      </c>
      <c r="J998" s="16" t="n">
        <f aca="false">IF(D998="","",$B$12)</f>
        <v>0.25</v>
      </c>
      <c r="K998" s="16" t="n">
        <f aca="false">IF(J998="","",J998*$B$15)</f>
        <v>0.648</v>
      </c>
      <c r="L998" s="16" t="n">
        <f aca="false">IF(D998="","",H998+E998-K998-G998*I998)</f>
        <v>16.7896384151698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1.14525416646457</v>
      </c>
      <c r="N998" s="16" t="n">
        <f aca="false">IF(D998="","",(I998+M998)/2)</f>
        <v>1.11619351325982</v>
      </c>
      <c r="O998" s="16" t="n">
        <f aca="false">IF(D998="","",G998*N998)</f>
        <v>0.0984482678695162</v>
      </c>
      <c r="P998" s="16" t="n">
        <f aca="false">IF(D998="","",H998+E998-K998-O998)</f>
        <v>16.7870752655571</v>
      </c>
      <c r="Q998" s="16" t="n">
        <f aca="false">IF(D998="","",IF(P998&gt;=0,K998,MAX(0,K998+P998)))</f>
        <v>0.648</v>
      </c>
      <c r="R998" s="16" t="n">
        <f aca="false">IF(D998="","",Q998/$B$15)</f>
        <v>0.25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16.7870752655571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78.812559932193</v>
      </c>
      <c r="Z998" s="18" t="n">
        <f aca="false">IF(D998="","",MAX(0,IF(P998&gt;=0,P998,IF(K998+P998&gt;=0,0,P998+K998))))</f>
        <v>16.7870752655571</v>
      </c>
      <c r="AA998" s="18" t="n">
        <f aca="false">IF(D998="","",IF(H998&lt;=$B$16,1,IF(H998&gt;=$B$17,$B$21,MATCH(H998,Aux_CAV!$A$2:$A$121,1))))</f>
        <v>6</v>
      </c>
      <c r="AB998" s="18" t="n">
        <f aca="false">IF(D998="","",IF(L998&lt;=$B$16,1,IF(L998&gt;=$B$17,$B$21,MATCH(L998,Aux_CAV!$A$2:$A$121,1))))</f>
        <v>7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1.16948714952118</v>
      </c>
      <c r="E999" s="16" t="n">
        <f aca="false">IF(D999="","",D999*$B$15)</f>
        <v>3.0313106915589</v>
      </c>
      <c r="F999" s="16" t="n">
        <f aca="false" t="array" ref="F999:F999">IF(D999="","",IFERROR(INDEX(Dados_Evap!$C$2:$N$15,MATCH($B$9,Dados_Evap!$A$2:$A$15,0),C999),0))</f>
        <v>88.2</v>
      </c>
      <c r="G999" s="16" t="n">
        <f aca="false">IF(F999="","",F999/1000)</f>
        <v>0.0882</v>
      </c>
      <c r="H999" s="16" t="n">
        <f aca="false">IF(D999="","",MAX(0,MIN($B$8,IFERROR(LOOKUP(2,1/($U$24:U998&lt;&gt;""),$U$24:U998),$B$11))))</f>
        <v>16.7870752655571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1.14520600707727</v>
      </c>
      <c r="J999" s="16" t="n">
        <f aca="false">IF(D999="","",$B$12)</f>
        <v>0.25</v>
      </c>
      <c r="K999" s="16" t="n">
        <f aca="false">IF(J999="","",J999*$B$15)</f>
        <v>0.648</v>
      </c>
      <c r="L999" s="16" t="n">
        <f aca="false">IF(D999="","",H999+E999-K999-G999*I999)</f>
        <v>19.0693787872918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1.18808853671321</v>
      </c>
      <c r="N999" s="16" t="n">
        <f aca="false">IF(D999="","",(I999+M999)/2)</f>
        <v>1.16664727189524</v>
      </c>
      <c r="O999" s="16" t="n">
        <f aca="false">IF(D999="","",G999*N999)</f>
        <v>0.10289828938116</v>
      </c>
      <c r="P999" s="16" t="n">
        <f aca="false">IF(D999="","",H999+E999-K999-O999)</f>
        <v>19.0674876677349</v>
      </c>
      <c r="Q999" s="16" t="n">
        <f aca="false">IF(D999="","",IF(P999&gt;=0,K999,MAX(0,K999+P999)))</f>
        <v>0.648</v>
      </c>
      <c r="R999" s="16" t="n">
        <f aca="false">IF(D999="","",Q999/$B$15)</f>
        <v>0.25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19.0674876677349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89.5187214447646</v>
      </c>
      <c r="Z999" s="18" t="n">
        <f aca="false">IF(D999="","",MAX(0,IF(P999&gt;=0,P999,IF(K999+P999&gt;=0,0,P999+K999))))</f>
        <v>19.0674876677349</v>
      </c>
      <c r="AA999" s="18" t="n">
        <f aca="false">IF(D999="","",IF(H999&lt;=$B$16,1,IF(H999&gt;=$B$17,$B$21,MATCH(H999,Aux_CAV!$A$2:$A$121,1))))</f>
        <v>7</v>
      </c>
      <c r="AB999" s="18" t="n">
        <f aca="false">IF(D999="","",IF(L999&lt;=$B$16,1,IF(L999&gt;=$B$17,$B$21,MATCH(L999,Aux_CAV!$A$2:$A$121,1))))</f>
        <v>7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0.678945300295727</v>
      </c>
      <c r="E1000" s="16" t="n">
        <f aca="false">IF(D1000="","",D1000*$B$15)</f>
        <v>1.75982621836652</v>
      </c>
      <c r="F1000" s="16" t="n">
        <f aca="false" t="array" ref="F1000:F1000">IF(D1000="","",IFERROR(INDEX(Dados_Evap!$C$2:$N$15,MATCH($B$9,Dados_Evap!$A$2:$A$15,0),C1000),0))</f>
        <v>83.9</v>
      </c>
      <c r="G1000" s="16" t="n">
        <f aca="false">IF(F1000="","",F1000/1000)</f>
        <v>0.0839</v>
      </c>
      <c r="H1000" s="16" t="n">
        <f aca="false">IF(D1000="","",MAX(0,MIN($B$8,IFERROR(LOOKUP(2,1/($U$24:U999&lt;&gt;""),$U$24:U999),$B$11))))</f>
        <v>19.0674876677349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1.18805300419544</v>
      </c>
      <c r="J1000" s="16" t="n">
        <f aca="false">IF(D1000="","",$B$12)</f>
        <v>0.25</v>
      </c>
      <c r="K1000" s="16" t="n">
        <f aca="false">IF(J1000="","",J1000*$B$15)</f>
        <v>0.648</v>
      </c>
      <c r="L1000" s="16" t="n">
        <f aca="false">IF(D1000="","",H1000+E1000-K1000-G1000*I1000)</f>
        <v>20.0796362390494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1.20707040950197</v>
      </c>
      <c r="N1000" s="16" t="n">
        <f aca="false">IF(D1000="","",(I1000+M1000)/2)</f>
        <v>1.1975617068487</v>
      </c>
      <c r="O1000" s="16" t="n">
        <f aca="false">IF(D1000="","",G1000*N1000)</f>
        <v>0.100475427204606</v>
      </c>
      <c r="P1000" s="16" t="n">
        <f aca="false">IF(D1000="","",H1000+E1000-K1000-O1000)</f>
        <v>20.0788384588968</v>
      </c>
      <c r="Q1000" s="16" t="n">
        <f aca="false">IF(D1000="","",IF(P1000&gt;=0,K1000,MAX(0,K1000+P1000)))</f>
        <v>0.648</v>
      </c>
      <c r="R1000" s="16" t="n">
        <f aca="false">IF(D1000="","",Q1000/$B$15)</f>
        <v>0.25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20.0788384588968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94.2668472248675</v>
      </c>
      <c r="Z1000" s="18" t="n">
        <f aca="false">IF(D1000="","",MAX(0,IF(P1000&gt;=0,P1000,IF(K1000+P1000&gt;=0,0,P1000+K1000))))</f>
        <v>20.0788384588968</v>
      </c>
      <c r="AA1000" s="18" t="n">
        <f aca="false">IF(D1000="","",IF(H1000&lt;=$B$16,1,IF(H1000&gt;=$B$17,$B$21,MATCH(H1000,Aux_CAV!$A$2:$A$121,1))))</f>
        <v>7</v>
      </c>
      <c r="AB1000" s="18" t="n">
        <f aca="false">IF(D1000="","",IF(L1000&lt;=$B$16,1,IF(L1000&gt;=$B$17,$B$21,MATCH(L1000,Aux_CAV!$A$2:$A$121,1))))</f>
        <v>7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0.163729477717334</v>
      </c>
      <c r="E1001" s="16" t="n">
        <f aca="false">IF(D1001="","",D1001*$B$15)</f>
        <v>0.42438680624333</v>
      </c>
      <c r="F1001" s="16" t="n">
        <f aca="false" t="array" ref="F1001:F1001">IF(D1001="","",IFERROR(INDEX(Dados_Evap!$C$2:$N$15,MATCH($B$9,Dados_Evap!$A$2:$A$15,0),C1001),0))</f>
        <v>104.7</v>
      </c>
      <c r="G1001" s="16" t="n">
        <f aca="false">IF(F1001="","",F1001/1000)</f>
        <v>0.1047</v>
      </c>
      <c r="H1001" s="16" t="n">
        <f aca="false">IF(D1001="","",MAX(0,MIN($B$8,IFERROR(LOOKUP(2,1/($U$24:U1000&lt;&gt;""),$U$24:U1000),$B$11))))</f>
        <v>20.0788384588968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1.20705541989576</v>
      </c>
      <c r="J1001" s="16" t="n">
        <f aca="false">IF(D1001="","",$B$12)</f>
        <v>0.25</v>
      </c>
      <c r="K1001" s="16" t="n">
        <f aca="false">IF(J1001="","",J1001*$B$15)</f>
        <v>0.648</v>
      </c>
      <c r="L1001" s="16" t="n">
        <f aca="false">IF(D1001="","",H1001+E1001-K1001-G1001*I1001)</f>
        <v>19.728846562677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1.20047937174132</v>
      </c>
      <c r="N1001" s="16" t="n">
        <f aca="false">IF(D1001="","",(I1001+M1001)/2)</f>
        <v>1.20376739581854</v>
      </c>
      <c r="O1001" s="16" t="n">
        <f aca="false">IF(D1001="","",G1001*N1001)</f>
        <v>0.126034446342201</v>
      </c>
      <c r="P1001" s="16" t="n">
        <f aca="false">IF(D1001="","",H1001+E1001-K1001-O1001)</f>
        <v>19.7291908187979</v>
      </c>
      <c r="Q1001" s="16" t="n">
        <f aca="false">IF(D1001="","",IF(P1001&gt;=0,K1001,MAX(0,K1001+P1001)))</f>
        <v>0.648</v>
      </c>
      <c r="R1001" s="16" t="n">
        <f aca="false">IF(D1001="","",Q1001/$B$15)</f>
        <v>0.25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19.7291908187979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92.6253090084409</v>
      </c>
      <c r="Z1001" s="18" t="n">
        <f aca="false">IF(D1001="","",MAX(0,IF(P1001&gt;=0,P1001,IF(K1001+P1001&gt;=0,0,P1001+K1001))))</f>
        <v>19.7291908187979</v>
      </c>
      <c r="AA1001" s="18" t="n">
        <f aca="false">IF(D1001="","",IF(H1001&lt;=$B$16,1,IF(H1001&gt;=$B$17,$B$21,MATCH(H1001,Aux_CAV!$A$2:$A$121,1))))</f>
        <v>7</v>
      </c>
      <c r="AB1001" s="18" t="n">
        <f aca="false">IF(D1001="","",IF(L1001&lt;=$B$16,1,IF(L1001&gt;=$B$17,$B$21,MATCH(L1001,Aux_CAV!$A$2:$A$121,1))))</f>
        <v>7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0.11379257119067</v>
      </c>
      <c r="E1002" s="16" t="n">
        <f aca="false">IF(D1002="","",D1002*$B$15)</f>
        <v>0.294950344526217</v>
      </c>
      <c r="F1002" s="16" t="n">
        <f aca="false" t="array" ref="F1002:F1002">IF(D1002="","",IFERROR(INDEX(Dados_Evap!$C$2:$N$15,MATCH($B$9,Dados_Evap!$A$2:$A$15,0),C1002),0))</f>
        <v>145.2</v>
      </c>
      <c r="G1002" s="16" t="n">
        <f aca="false">IF(F1002="","",F1002/1000)</f>
        <v>0.1452</v>
      </c>
      <c r="H1002" s="16" t="n">
        <f aca="false">IF(D1002="","",MAX(0,MIN($B$8,IFERROR(LOOKUP(2,1/($U$24:U1001&lt;&gt;""),$U$24:U1001),$B$11))))</f>
        <v>19.7291908187979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1.20048584001917</v>
      </c>
      <c r="J1002" s="16" t="n">
        <f aca="false">IF(D1002="","",$B$12)</f>
        <v>0.25</v>
      </c>
      <c r="K1002" s="16" t="n">
        <f aca="false">IF(J1002="","",J1002*$B$15)</f>
        <v>0.648</v>
      </c>
      <c r="L1002" s="16" t="n">
        <f aca="false">IF(D1002="","",H1002+E1002-K1002-G1002*I1002)</f>
        <v>19.2018306193533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1.19057719326551</v>
      </c>
      <c r="N1002" s="16" t="n">
        <f aca="false">IF(D1002="","",(I1002+M1002)/2)</f>
        <v>1.19553151664234</v>
      </c>
      <c r="O1002" s="16" t="n">
        <f aca="false">IF(D1002="","",G1002*N1002)</f>
        <v>0.173591176216468</v>
      </c>
      <c r="P1002" s="16" t="n">
        <f aca="false">IF(D1002="","",H1002+E1002-K1002-O1002)</f>
        <v>19.2025499871077</v>
      </c>
      <c r="Q1002" s="16" t="n">
        <f aca="false">IF(D1002="","",IF(P1002&gt;=0,K1002,MAX(0,K1002+P1002)))</f>
        <v>0.648</v>
      </c>
      <c r="R1002" s="16" t="n">
        <f aca="false">IF(D1002="","",Q1002/$B$15)</f>
        <v>0.25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19.2025499871077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90.152816840881</v>
      </c>
      <c r="Z1002" s="18" t="n">
        <f aca="false">IF(D1002="","",MAX(0,IF(P1002&gt;=0,P1002,IF(K1002+P1002&gt;=0,0,P1002+K1002))))</f>
        <v>19.2025499871077</v>
      </c>
      <c r="AA1002" s="18" t="n">
        <f aca="false">IF(D1002="","",IF(H1002&lt;=$B$16,1,IF(H1002&gt;=$B$17,$B$21,MATCH(H1002,Aux_CAV!$A$2:$A$121,1))))</f>
        <v>7</v>
      </c>
      <c r="AB1002" s="18" t="n">
        <f aca="false">IF(D1002="","",IF(L1002&lt;=$B$16,1,IF(L1002&gt;=$B$17,$B$21,MATCH(L1002,Aux_CAV!$A$2:$A$121,1))))</f>
        <v>7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0.0788898693134023</v>
      </c>
      <c r="E1003" s="16" t="n">
        <f aca="false">IF(D1003="","",D1003*$B$15)</f>
        <v>0.204482541260339</v>
      </c>
      <c r="F1003" s="16" t="n">
        <f aca="false" t="array" ref="F1003:F1003">IF(D1003="","",IFERROR(INDEX(Dados_Evap!$C$2:$N$15,MATCH($B$9,Dados_Evap!$A$2:$A$15,0),C1003),0))</f>
        <v>180.9</v>
      </c>
      <c r="G1003" s="16" t="n">
        <f aca="false">IF(F1003="","",F1003/1000)</f>
        <v>0.1809</v>
      </c>
      <c r="H1003" s="16" t="n">
        <f aca="false">IF(D1003="","",MAX(0,MIN($B$8,IFERROR(LOOKUP(2,1/($U$24:U1002&lt;&gt;""),$U$24:U1002),$B$11))))</f>
        <v>19.2025499871077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1.19059070956987</v>
      </c>
      <c r="J1003" s="16" t="n">
        <f aca="false">IF(D1003="","",$B$12)</f>
        <v>0.25</v>
      </c>
      <c r="K1003" s="16" t="n">
        <f aca="false">IF(J1003="","",J1003*$B$15)</f>
        <v>0.648</v>
      </c>
      <c r="L1003" s="16" t="n">
        <f aca="false">IF(D1003="","",H1003+E1003-K1003-G1003*I1003)</f>
        <v>18.5436546690068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1.17821063052414</v>
      </c>
      <c r="N1003" s="16" t="n">
        <f aca="false">IF(D1003="","",(I1003+M1003)/2)</f>
        <v>1.184400670047</v>
      </c>
      <c r="O1003" s="16" t="n">
        <f aca="false">IF(D1003="","",G1003*N1003)</f>
        <v>0.214258081211503</v>
      </c>
      <c r="P1003" s="16" t="n">
        <f aca="false">IF(D1003="","",H1003+E1003-K1003-O1003)</f>
        <v>18.5447744471565</v>
      </c>
      <c r="Q1003" s="16" t="n">
        <f aca="false">IF(D1003="","",IF(P1003&gt;=0,K1003,MAX(0,K1003+P1003)))</f>
        <v>0.648</v>
      </c>
      <c r="R1003" s="16" t="n">
        <f aca="false">IF(D1003="","",Q1003/$B$15)</f>
        <v>0.25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18.5447744471565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87.0646687659929</v>
      </c>
      <c r="Z1003" s="18" t="n">
        <f aca="false">IF(D1003="","",MAX(0,IF(P1003&gt;=0,P1003,IF(K1003+P1003&gt;=0,0,P1003+K1003))))</f>
        <v>18.5447744471565</v>
      </c>
      <c r="AA1003" s="18" t="n">
        <f aca="false">IF(D1003="","",IF(H1003&lt;=$B$16,1,IF(H1003&gt;=$B$17,$B$21,MATCH(H1003,Aux_CAV!$A$2:$A$121,1))))</f>
        <v>7</v>
      </c>
      <c r="AB1003" s="18" t="n">
        <f aca="false">IF(D1003="","",IF(L1003&lt;=$B$16,1,IF(L1003&gt;=$B$17,$B$21,MATCH(L1003,Aux_CAV!$A$2:$A$121,1))))</f>
        <v>7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0.0492086710781274</v>
      </c>
      <c r="E1004" s="16" t="n">
        <f aca="false">IF(D1004="","",D1004*$B$15)</f>
        <v>0.127548875434506</v>
      </c>
      <c r="F1004" s="16" t="n">
        <f aca="false" t="array" ref="F1004:F1004">IF(D1004="","",IFERROR(INDEX(Dados_Evap!$C$2:$N$15,MATCH($B$9,Dados_Evap!$A$2:$A$15,0),C1004),0))</f>
        <v>208.9</v>
      </c>
      <c r="G1004" s="16" t="n">
        <f aca="false">IF(F1004="","",F1004/1000)</f>
        <v>0.2089</v>
      </c>
      <c r="H1004" s="16" t="n">
        <f aca="false">IF(D1004="","",MAX(0,MIN($B$8,IFERROR(LOOKUP(2,1/($U$24:U1003&lt;&gt;""),$U$24:U1003),$B$11))))</f>
        <v>18.5447744471565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1.17823167019709</v>
      </c>
      <c r="J1004" s="16" t="n">
        <f aca="false">IF(D1004="","",$B$12)</f>
        <v>0.25</v>
      </c>
      <c r="K1004" s="16" t="n">
        <f aca="false">IF(J1004="","",J1004*$B$15)</f>
        <v>0.648</v>
      </c>
      <c r="L1004" s="16" t="n">
        <f aca="false">IF(D1004="","",H1004+E1004-K1004-G1004*I1004)</f>
        <v>17.7781907266868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1.16382821824673</v>
      </c>
      <c r="N1004" s="16" t="n">
        <f aca="false">IF(D1004="","",(I1004+M1004)/2)</f>
        <v>1.17102994422191</v>
      </c>
      <c r="O1004" s="16" t="n">
        <f aca="false">IF(D1004="","",G1004*N1004)</f>
        <v>0.244628155347957</v>
      </c>
      <c r="P1004" s="16" t="n">
        <f aca="false">IF(D1004="","",H1004+E1004-K1004-O1004)</f>
        <v>17.779695167243</v>
      </c>
      <c r="Q1004" s="16" t="n">
        <f aca="false">IF(D1004="","",IF(P1004&gt;=0,K1004,MAX(0,K1004+P1004)))</f>
        <v>0.648</v>
      </c>
      <c r="R1004" s="16" t="n">
        <f aca="false">IF(D1004="","",Q1004/$B$15)</f>
        <v>0.25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17.779695167243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83.4727472640518</v>
      </c>
      <c r="Z1004" s="18" t="n">
        <f aca="false">IF(D1004="","",MAX(0,IF(P1004&gt;=0,P1004,IF(K1004+P1004&gt;=0,0,P1004+K1004))))</f>
        <v>17.779695167243</v>
      </c>
      <c r="AA1004" s="18" t="n">
        <f aca="false">IF(D1004="","",IF(H1004&lt;=$B$16,1,IF(H1004&gt;=$B$17,$B$21,MATCH(H1004,Aux_CAV!$A$2:$A$121,1))))</f>
        <v>7</v>
      </c>
      <c r="AB1004" s="18" t="n">
        <f aca="false">IF(D1004="","",IF(L1004&lt;=$B$16,1,IF(L1004&gt;=$B$17,$B$21,MATCH(L1004,Aux_CAV!$A$2:$A$121,1))))</f>
        <v>7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0.0367797975022404</v>
      </c>
      <c r="E1005" s="16" t="n">
        <f aca="false">IF(D1005="","",D1005*$B$15)</f>
        <v>0.0953332351258071</v>
      </c>
      <c r="F1005" s="16" t="n">
        <f aca="false" t="array" ref="F1005:F1005">IF(D1005="","",IFERROR(INDEX(Dados_Evap!$C$2:$N$15,MATCH($B$9,Dados_Evap!$A$2:$A$15,0),C1005),0))</f>
        <v>235.9</v>
      </c>
      <c r="G1005" s="16" t="n">
        <f aca="false">IF(F1005="","",F1005/1000)</f>
        <v>0.2359</v>
      </c>
      <c r="H1005" s="16" t="n">
        <f aca="false">IF(D1005="","",MAX(0,MIN($B$8,IFERROR(LOOKUP(2,1/($U$24:U1004&lt;&gt;""),$U$24:U1004),$B$11))))</f>
        <v>17.779695167243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1.16385648539705</v>
      </c>
      <c r="J1005" s="16" t="n">
        <f aca="false">IF(D1005="","",$B$12)</f>
        <v>0.25</v>
      </c>
      <c r="K1005" s="16" t="n">
        <f aca="false">IF(J1005="","",J1005*$B$15)</f>
        <v>0.648</v>
      </c>
      <c r="L1005" s="16" t="n">
        <f aca="false">IF(D1005="","",H1005+E1005-K1005-G1005*I1005)</f>
        <v>16.9524746574637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1.14831372007761</v>
      </c>
      <c r="N1005" s="16" t="n">
        <f aca="false">IF(D1005="","",(I1005+M1005)/2)</f>
        <v>1.15608510273733</v>
      </c>
      <c r="O1005" s="16" t="n">
        <f aca="false">IF(D1005="","",G1005*N1005)</f>
        <v>0.272720475735736</v>
      </c>
      <c r="P1005" s="16" t="n">
        <f aca="false">IF(D1005="","",H1005+E1005-K1005-O1005)</f>
        <v>16.9543079266331</v>
      </c>
      <c r="Q1005" s="16" t="n">
        <f aca="false">IF(D1005="","",IF(P1005&gt;=0,K1005,MAX(0,K1005+P1005)))</f>
        <v>0.648</v>
      </c>
      <c r="R1005" s="16" t="n">
        <f aca="false">IF(D1005="","",Q1005/$B$15)</f>
        <v>0.25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16.9543079266331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79.5976897963996</v>
      </c>
      <c r="Z1005" s="18" t="n">
        <f aca="false">IF(D1005="","",MAX(0,IF(P1005&gt;=0,P1005,IF(K1005+P1005&gt;=0,0,P1005+K1005))))</f>
        <v>16.9543079266331</v>
      </c>
      <c r="AA1005" s="18" t="n">
        <f aca="false">IF(D1005="","",IF(H1005&lt;=$B$16,1,IF(H1005&gt;=$B$17,$B$21,MATCH(H1005,Aux_CAV!$A$2:$A$121,1))))</f>
        <v>7</v>
      </c>
      <c r="AB1005" s="18" t="n">
        <f aca="false">IF(D1005="","",IF(L1005&lt;=$B$16,1,IF(L1005&gt;=$B$17,$B$21,MATCH(L1005,Aux_CAV!$A$2:$A$121,1))))</f>
        <v>7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0.0160136651727742</v>
      </c>
      <c r="E1006" s="16" t="n">
        <f aca="false">IF(D1006="","",D1006*$B$15)</f>
        <v>0.0415074201278307</v>
      </c>
      <c r="F1006" s="16" t="n">
        <f aca="false" t="array" ref="F1006:F1006">IF(D1006="","",IFERROR(INDEX(Dados_Evap!$C$2:$N$15,MATCH($B$9,Dados_Evap!$A$2:$A$15,0),C1006),0))</f>
        <v>225.9</v>
      </c>
      <c r="G1006" s="16" t="n">
        <f aca="false">IF(F1006="","",F1006/1000)</f>
        <v>0.2259</v>
      </c>
      <c r="H1006" s="16" t="n">
        <f aca="false">IF(D1006="","",MAX(0,MIN($B$8,IFERROR(LOOKUP(2,1/($U$24:U1005&lt;&gt;""),$U$24:U1005),$B$11))))</f>
        <v>16.9543079266331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1.14834816563611</v>
      </c>
      <c r="J1006" s="16" t="n">
        <f aca="false">IF(D1006="","",$B$12)</f>
        <v>0.25</v>
      </c>
      <c r="K1006" s="16" t="n">
        <f aca="false">IF(J1006="","",J1006*$B$15)</f>
        <v>0.648</v>
      </c>
      <c r="L1006" s="16" t="n">
        <f aca="false">IF(D1006="","",H1006+E1006-K1006-G1006*I1006)</f>
        <v>16.0884034961437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1.12645153012182</v>
      </c>
      <c r="N1006" s="16" t="n">
        <f aca="false">IF(D1006="","",(I1006+M1006)/2)</f>
        <v>1.13739984787897</v>
      </c>
      <c r="O1006" s="16" t="n">
        <f aca="false">IF(D1006="","",G1006*N1006)</f>
        <v>0.256938625635859</v>
      </c>
      <c r="P1006" s="16" t="n">
        <f aca="false">IF(D1006="","",H1006+E1006-K1006-O1006)</f>
        <v>16.0908767211251</v>
      </c>
      <c r="Q1006" s="16" t="n">
        <f aca="false">IF(D1006="","",IF(P1006&gt;=0,K1006,MAX(0,K1006+P1006)))</f>
        <v>0.648</v>
      </c>
      <c r="R1006" s="16" t="n">
        <f aca="false">IF(D1006="","",Q1006/$B$15)</f>
        <v>0.25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16.0908767211251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75.5440221649065</v>
      </c>
      <c r="Z1006" s="18" t="n">
        <f aca="false">IF(D1006="","",MAX(0,IF(P1006&gt;=0,P1006,IF(K1006+P1006&gt;=0,0,P1006+K1006))))</f>
        <v>16.0908767211251</v>
      </c>
      <c r="AA1006" s="18" t="n">
        <f aca="false">IF(D1006="","",IF(H1006&lt;=$B$16,1,IF(H1006&gt;=$B$17,$B$21,MATCH(H1006,Aux_CAV!$A$2:$A$121,1))))</f>
        <v>7</v>
      </c>
      <c r="AB1006" s="18" t="n">
        <f aca="false">IF(D1006="","",IF(L1006&lt;=$B$16,1,IF(L1006&gt;=$B$17,$B$21,MATCH(L1006,Aux_CAV!$A$2:$A$121,1))))</f>
        <v>6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0.00900541779926796</v>
      </c>
      <c r="E1007" s="16" t="n">
        <f aca="false">IF(D1007="","",D1007*$B$15)</f>
        <v>0.0233420429357026</v>
      </c>
      <c r="F1007" s="16" t="n">
        <f aca="false" t="array" ref="F1007:F1007">IF(D1007="","",IFERROR(INDEX(Dados_Evap!$C$2:$N$15,MATCH($B$9,Dados_Evap!$A$2:$A$15,0),C1007),0))</f>
        <v>206</v>
      </c>
      <c r="G1007" s="16" t="n">
        <f aca="false">IF(F1007="","",F1007/1000)</f>
        <v>0.206</v>
      </c>
      <c r="H1007" s="16" t="n">
        <f aca="false">IF(D1007="","",MAX(0,MIN($B$8,IFERROR(LOOKUP(2,1/($U$24:U1006&lt;&gt;""),$U$24:U1006),$B$11))))</f>
        <v>16.0908767211251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1.12653100994164</v>
      </c>
      <c r="J1007" s="16" t="n">
        <f aca="false">IF(D1007="","",$B$12)</f>
        <v>0.25</v>
      </c>
      <c r="K1007" s="16" t="n">
        <f aca="false">IF(J1007="","",J1007*$B$15)</f>
        <v>0.648</v>
      </c>
      <c r="L1007" s="16" t="n">
        <f aca="false">IF(D1007="","",H1007+E1007-K1007-G1007*I1007)</f>
        <v>15.2341533760128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1.09899925783028</v>
      </c>
      <c r="N1007" s="16" t="n">
        <f aca="false">IF(D1007="","",(I1007+M1007)/2)</f>
        <v>1.11276513388596</v>
      </c>
      <c r="O1007" s="16" t="n">
        <f aca="false">IF(D1007="","",G1007*N1007)</f>
        <v>0.229229617580507</v>
      </c>
      <c r="P1007" s="16" t="n">
        <f aca="false">IF(D1007="","",H1007+E1007-K1007-O1007)</f>
        <v>15.2369891464803</v>
      </c>
      <c r="Q1007" s="16" t="n">
        <f aca="false">IF(D1007="","",IF(P1007&gt;=0,K1007,MAX(0,K1007+P1007)))</f>
        <v>0.648</v>
      </c>
      <c r="R1007" s="16" t="n">
        <f aca="false">IF(D1007="","",Q1007/$B$15)</f>
        <v>0.25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15.2369891464803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71.535160312114</v>
      </c>
      <c r="Z1007" s="18" t="n">
        <f aca="false">IF(D1007="","",MAX(0,IF(P1007&gt;=0,P1007,IF(K1007+P1007&gt;=0,0,P1007+K1007))))</f>
        <v>15.2369891464803</v>
      </c>
      <c r="AA1007" s="18" t="n">
        <f aca="false">IF(D1007="","",IF(H1007&lt;=$B$16,1,IF(H1007&gt;=$B$17,$B$21,MATCH(H1007,Aux_CAV!$A$2:$A$121,1))))</f>
        <v>6</v>
      </c>
      <c r="AB1007" s="18" t="n">
        <f aca="false">IF(D1007="","",IF(L1007&lt;=$B$16,1,IF(L1007&gt;=$B$17,$B$21,MATCH(L1007,Aux_CAV!$A$2:$A$121,1))))</f>
        <v>6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0.147043717637678</v>
      </c>
      <c r="E1008" s="16" t="n">
        <f aca="false">IF(D1008="","",D1008*$B$15)</f>
        <v>0.381137316116861</v>
      </c>
      <c r="F1008" s="16" t="n">
        <f aca="false" t="array" ref="F1008:F1008">IF(D1008="","",IFERROR(INDEX(Dados_Evap!$C$2:$N$15,MATCH($B$9,Dados_Evap!$A$2:$A$15,0),C1008),0))</f>
        <v>165.6</v>
      </c>
      <c r="G1008" s="16" t="n">
        <f aca="false">IF(F1008="","",F1008/1000)</f>
        <v>0.1656</v>
      </c>
      <c r="H1008" s="16" t="n">
        <f aca="false">IF(D1008="","",MAX(0,MIN($B$8,IFERROR(LOOKUP(2,1/($U$24:U1007&lt;&gt;""),$U$24:U1007),$B$11))))</f>
        <v>15.2369891464803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1.09909038845022</v>
      </c>
      <c r="J1008" s="16" t="n">
        <f aca="false">IF(D1008="","",$B$12)</f>
        <v>0.25</v>
      </c>
      <c r="K1008" s="16" t="n">
        <f aca="false">IF(J1008="","",J1008*$B$15)</f>
        <v>0.648</v>
      </c>
      <c r="L1008" s="16" t="n">
        <f aca="false">IF(D1008="","",H1008+E1008-K1008-G1008*I1008)</f>
        <v>14.7881170942698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1.08466538866273</v>
      </c>
      <c r="N1008" s="16" t="n">
        <f aca="false">IF(D1008="","",(I1008+M1008)/2)</f>
        <v>1.09187788855648</v>
      </c>
      <c r="O1008" s="16" t="n">
        <f aca="false">IF(D1008="","",G1008*N1008)</f>
        <v>0.180814978344952</v>
      </c>
      <c r="P1008" s="16" t="n">
        <f aca="false">IF(D1008="","",H1008+E1008-K1008-O1008)</f>
        <v>14.7893114842522</v>
      </c>
      <c r="Q1008" s="16" t="n">
        <f aca="false">IF(D1008="","",IF(P1008&gt;=0,K1008,MAX(0,K1008+P1008)))</f>
        <v>0.648</v>
      </c>
      <c r="R1008" s="16" t="n">
        <f aca="false">IF(D1008="","",Q1008/$B$15)</f>
        <v>0.25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14.7893114842522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69.4333872500103</v>
      </c>
      <c r="Z1008" s="18" t="n">
        <f aca="false">IF(D1008="","",MAX(0,IF(P1008&gt;=0,P1008,IF(K1008+P1008&gt;=0,0,P1008+K1008))))</f>
        <v>14.7893114842522</v>
      </c>
      <c r="AA1008" s="18" t="n">
        <f aca="false">IF(D1008="","",IF(H1008&lt;=$B$16,1,IF(H1008&gt;=$B$17,$B$21,MATCH(H1008,Aux_CAV!$A$2:$A$121,1))))</f>
        <v>6</v>
      </c>
      <c r="AB1008" s="18" t="n">
        <f aca="false">IF(D1008="","",IF(L1008&lt;=$B$16,1,IF(L1008&gt;=$B$17,$B$21,MATCH(L1008,Aux_CAV!$A$2:$A$121,1))))</f>
        <v>6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0.488570437427733</v>
      </c>
      <c r="E1009" s="16" t="n">
        <f aca="false">IF(D1009="","",D1009*$B$15)</f>
        <v>1.26637457381268</v>
      </c>
      <c r="F1009" s="16" t="n">
        <f aca="false" t="array" ref="F1009:F1009">IF(D1009="","",IFERROR(INDEX(Dados_Evap!$C$2:$N$15,MATCH($B$9,Dados_Evap!$A$2:$A$15,0),C1009),0))</f>
        <v>124.9</v>
      </c>
      <c r="G1009" s="16" t="n">
        <f aca="false">IF(F1009="","",F1009/1000)</f>
        <v>0.1249</v>
      </c>
      <c r="H1009" s="16" t="n">
        <f aca="false">IF(D1009="","",MAX(0,MIN($B$8,IFERROR(LOOKUP(2,1/($U$24:U1008&lt;&gt;""),$U$24:U1008),$B$11))))</f>
        <v>14.7893114842522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1.08470377170565</v>
      </c>
      <c r="J1009" s="16" t="n">
        <f aca="false">IF(D1009="","",$B$12)</f>
        <v>0.25</v>
      </c>
      <c r="K1009" s="16" t="n">
        <f aca="false">IF(J1009="","",J1009*$B$15)</f>
        <v>0.648</v>
      </c>
      <c r="L1009" s="16" t="n">
        <f aca="false">IF(D1009="","",H1009+E1009-K1009-G1009*I1009)</f>
        <v>15.2722065569788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1.10022213888212</v>
      </c>
      <c r="N1009" s="16" t="n">
        <f aca="false">IF(D1009="","",(I1009+M1009)/2)</f>
        <v>1.09246295529388</v>
      </c>
      <c r="O1009" s="16" t="n">
        <f aca="false">IF(D1009="","",G1009*N1009)</f>
        <v>0.136448623116206</v>
      </c>
      <c r="P1009" s="16" t="n">
        <f aca="false">IF(D1009="","",H1009+E1009-K1009-O1009)</f>
        <v>15.2712374349487</v>
      </c>
      <c r="Q1009" s="16" t="n">
        <f aca="false">IF(D1009="","",IF(P1009&gt;=0,K1009,MAX(0,K1009+P1009)))</f>
        <v>0.648</v>
      </c>
      <c r="R1009" s="16" t="n">
        <f aca="false">IF(D1009="","",Q1009/$B$15)</f>
        <v>0.25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15.2712374349487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71.6959503988201</v>
      </c>
      <c r="Z1009" s="18" t="n">
        <f aca="false">IF(D1009="","",MAX(0,IF(P1009&gt;=0,P1009,IF(K1009+P1009&gt;=0,0,P1009+K1009))))</f>
        <v>15.2712374349487</v>
      </c>
      <c r="AA1009" s="18" t="n">
        <f aca="false">IF(D1009="","",IF(H1009&lt;=$B$16,1,IF(H1009&gt;=$B$17,$B$21,MATCH(H1009,Aux_CAV!$A$2:$A$121,1))))</f>
        <v>6</v>
      </c>
      <c r="AB1009" s="18" t="n">
        <f aca="false">IF(D1009="","",IF(L1009&lt;=$B$16,1,IF(L1009&gt;=$B$17,$B$21,MATCH(L1009,Aux_CAV!$A$2:$A$121,1))))</f>
        <v>6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0.991394493943345</v>
      </c>
      <c r="E1010" s="16" t="n">
        <f aca="false">IF(D1010="","",D1010*$B$15)</f>
        <v>2.56969452830115</v>
      </c>
      <c r="F1010" s="16" t="n">
        <f aca="false" t="array" ref="F1010:F1010">IF(D1010="","",IFERROR(INDEX(Dados_Evap!$C$2:$N$15,MATCH($B$9,Dados_Evap!$A$2:$A$15,0),C1010),0))</f>
        <v>88.2</v>
      </c>
      <c r="G1010" s="16" t="n">
        <f aca="false">IF(F1010="","",F1010/1000)</f>
        <v>0.0882</v>
      </c>
      <c r="H1010" s="16" t="n">
        <f aca="false">IF(D1010="","",MAX(0,MIN($B$8,IFERROR(LOOKUP(2,1/($U$24:U1009&lt;&gt;""),$U$24:U1009),$B$11))))</f>
        <v>15.2712374349487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1.10019099507396</v>
      </c>
      <c r="J1010" s="16" t="n">
        <f aca="false">IF(D1010="","",$B$12)</f>
        <v>0.25</v>
      </c>
      <c r="K1010" s="16" t="n">
        <f aca="false">IF(J1010="","",J1010*$B$15)</f>
        <v>0.648</v>
      </c>
      <c r="L1010" s="16" t="n">
        <f aca="false">IF(D1010="","",H1010+E1010-K1010-G1010*I1010)</f>
        <v>17.0958951174843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1.15100846776067</v>
      </c>
      <c r="N1010" s="16" t="n">
        <f aca="false">IF(D1010="","",(I1010+M1010)/2)</f>
        <v>1.12559973141732</v>
      </c>
      <c r="O1010" s="16" t="n">
        <f aca="false">IF(D1010="","",G1010*N1010)</f>
        <v>0.0992778963110072</v>
      </c>
      <c r="P1010" s="16" t="n">
        <f aca="false">IF(D1010="","",H1010+E1010-K1010-O1010)</f>
        <v>17.0936540669388</v>
      </c>
      <c r="Q1010" s="16" t="n">
        <f aca="false">IF(D1010="","",IF(P1010&gt;=0,K1010,MAX(0,K1010+P1010)))</f>
        <v>0.648</v>
      </c>
      <c r="R1010" s="16" t="n">
        <f aca="false">IF(D1010="","",Q1010/$B$15)</f>
        <v>0.25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17.0936540669388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80.2518970278818</v>
      </c>
      <c r="Z1010" s="18" t="n">
        <f aca="false">IF(D1010="","",MAX(0,IF(P1010&gt;=0,P1010,IF(K1010+P1010&gt;=0,0,P1010+K1010))))</f>
        <v>17.0936540669388</v>
      </c>
      <c r="AA1010" s="18" t="n">
        <f aca="false">IF(D1010="","",IF(H1010&lt;=$B$16,1,IF(H1010&gt;=$B$17,$B$21,MATCH(H1010,Aux_CAV!$A$2:$A$121,1))))</f>
        <v>6</v>
      </c>
      <c r="AB1010" s="18" t="n">
        <f aca="false">IF(D1010="","",IF(L1010&lt;=$B$16,1,IF(L1010&gt;=$B$17,$B$21,MATCH(L1010,Aux_CAV!$A$2:$A$121,1))))</f>
        <v>7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0.434665283140844</v>
      </c>
      <c r="E1011" s="16" t="n">
        <f aca="false">IF(D1011="","",D1011*$B$15)</f>
        <v>1.12665241390107</v>
      </c>
      <c r="F1011" s="16" t="n">
        <f aca="false" t="array" ref="F1011:F1011">IF(D1011="","",IFERROR(INDEX(Dados_Evap!$C$2:$N$15,MATCH($B$9,Dados_Evap!$A$2:$A$15,0),C1011),0))</f>
        <v>88.2</v>
      </c>
      <c r="G1011" s="16" t="n">
        <f aca="false">IF(F1011="","",F1011/1000)</f>
        <v>0.0882</v>
      </c>
      <c r="H1011" s="16" t="n">
        <f aca="false">IF(D1011="","",MAX(0,MIN($B$8,IFERROR(LOOKUP(2,1/($U$24:U1010&lt;&gt;""),$U$24:U1010),$B$11))))</f>
        <v>17.0936540669388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1.15096636033914</v>
      </c>
      <c r="J1011" s="16" t="n">
        <f aca="false">IF(D1011="","",$B$12)</f>
        <v>0.25</v>
      </c>
      <c r="K1011" s="16" t="n">
        <f aca="false">IF(J1011="","",J1011*$B$15)</f>
        <v>0.648</v>
      </c>
      <c r="L1011" s="16" t="n">
        <f aca="false">IF(D1011="","",H1011+E1011-K1011-G1011*I1011)</f>
        <v>17.470791247858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1.15805244515808</v>
      </c>
      <c r="N1011" s="16" t="n">
        <f aca="false">IF(D1011="","",(I1011+M1011)/2)</f>
        <v>1.15450940274861</v>
      </c>
      <c r="O1011" s="16" t="n">
        <f aca="false">IF(D1011="","",G1011*N1011)</f>
        <v>0.101827729322428</v>
      </c>
      <c r="P1011" s="16" t="n">
        <f aca="false">IF(D1011="","",H1011+E1011-K1011-O1011)</f>
        <v>17.4704787515175</v>
      </c>
      <c r="Q1011" s="16" t="n">
        <f aca="false">IF(D1011="","",IF(P1011&gt;=0,K1011,MAX(0,K1011+P1011)))</f>
        <v>0.648</v>
      </c>
      <c r="R1011" s="16" t="n">
        <f aca="false">IF(D1011="","",Q1011/$B$15)</f>
        <v>0.25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17.4704787515175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82.0210270024294</v>
      </c>
      <c r="Z1011" s="18" t="n">
        <f aca="false">IF(D1011="","",MAX(0,IF(P1011&gt;=0,P1011,IF(K1011+P1011&gt;=0,0,P1011+K1011))))</f>
        <v>17.4704787515175</v>
      </c>
      <c r="AA1011" s="18" t="n">
        <f aca="false">IF(D1011="","",IF(H1011&lt;=$B$16,1,IF(H1011&gt;=$B$17,$B$21,MATCH(H1011,Aux_CAV!$A$2:$A$121,1))))</f>
        <v>7</v>
      </c>
      <c r="AB1011" s="18" t="n">
        <f aca="false">IF(D1011="","",IF(L1011&lt;=$B$16,1,IF(L1011&gt;=$B$17,$B$21,MATCH(L1011,Aux_CAV!$A$2:$A$121,1))))</f>
        <v>7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0.170760123081102</v>
      </c>
      <c r="E1012" s="16" t="n">
        <f aca="false">IF(D1012="","",D1012*$B$15)</f>
        <v>0.442610239026216</v>
      </c>
      <c r="F1012" s="16" t="n">
        <f aca="false" t="array" ref="F1012:F1012">IF(D1012="","",IFERROR(INDEX(Dados_Evap!$C$2:$N$15,MATCH($B$9,Dados_Evap!$A$2:$A$15,0),C1012),0))</f>
        <v>83.9</v>
      </c>
      <c r="G1012" s="16" t="n">
        <f aca="false">IF(F1012="","",F1012/1000)</f>
        <v>0.0839</v>
      </c>
      <c r="H1012" s="16" t="n">
        <f aca="false">IF(D1012="","",MAX(0,MIN($B$8,IFERROR(LOOKUP(2,1/($U$24:U1011&lt;&gt;""),$U$24:U1011),$B$11))))</f>
        <v>17.4704787515175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1.15804657361933</v>
      </c>
      <c r="J1012" s="16" t="n">
        <f aca="false">IF(D1012="","",$B$12)</f>
        <v>0.25</v>
      </c>
      <c r="K1012" s="16" t="n">
        <f aca="false">IF(J1012="","",J1012*$B$15)</f>
        <v>0.648</v>
      </c>
      <c r="L1012" s="16" t="n">
        <f aca="false">IF(D1012="","",H1012+E1012-K1012-G1012*I1012)</f>
        <v>17.167928883017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1.15236192055773</v>
      </c>
      <c r="N1012" s="16" t="n">
        <f aca="false">IF(D1012="","",(I1012+M1012)/2)</f>
        <v>1.15520424708853</v>
      </c>
      <c r="O1012" s="16" t="n">
        <f aca="false">IF(D1012="","",G1012*N1012)</f>
        <v>0.0969216363307275</v>
      </c>
      <c r="P1012" s="16" t="n">
        <f aca="false">IF(D1012="","",H1012+E1012-K1012-O1012)</f>
        <v>17.1681673542129</v>
      </c>
      <c r="Q1012" s="16" t="n">
        <f aca="false">IF(D1012="","",IF(P1012&gt;=0,K1012,MAX(0,K1012+P1012)))</f>
        <v>0.648</v>
      </c>
      <c r="R1012" s="16" t="n">
        <f aca="false">IF(D1012="","",Q1012/$B$15)</f>
        <v>0.25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17.1681673542129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80.6017246676664</v>
      </c>
      <c r="Z1012" s="18" t="n">
        <f aca="false">IF(D1012="","",MAX(0,IF(P1012&gt;=0,P1012,IF(K1012+P1012&gt;=0,0,P1012+K1012))))</f>
        <v>17.1681673542129</v>
      </c>
      <c r="AA1012" s="18" t="n">
        <f aca="false">IF(D1012="","",IF(H1012&lt;=$B$16,1,IF(H1012&gt;=$B$17,$B$21,MATCH(H1012,Aux_CAV!$A$2:$A$121,1))))</f>
        <v>7</v>
      </c>
      <c r="AB1012" s="18" t="n">
        <f aca="false">IF(D1012="","",IF(L1012&lt;=$B$16,1,IF(L1012&gt;=$B$17,$B$21,MATCH(L1012,Aux_CAV!$A$2:$A$121,1))))</f>
        <v>7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0.212140503099048</v>
      </c>
      <c r="E1013" s="16" t="n">
        <f aca="false">IF(D1013="","",D1013*$B$15)</f>
        <v>0.549868184032732</v>
      </c>
      <c r="F1013" s="16" t="n">
        <f aca="false" t="array" ref="F1013:F1013">IF(D1013="","",IFERROR(INDEX(Dados_Evap!$C$2:$N$15,MATCH($B$9,Dados_Evap!$A$2:$A$15,0),C1013),0))</f>
        <v>104.7</v>
      </c>
      <c r="G1013" s="16" t="n">
        <f aca="false">IF(F1013="","",F1013/1000)</f>
        <v>0.1047</v>
      </c>
      <c r="H1013" s="16" t="n">
        <f aca="false">IF(D1013="","",MAX(0,MIN($B$8,IFERROR(LOOKUP(2,1/($U$24:U1012&lt;&gt;""),$U$24:U1012),$B$11))))</f>
        <v>17.1681673542129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1.15236640122738</v>
      </c>
      <c r="J1013" s="16" t="n">
        <f aca="false">IF(D1013="","",$B$12)</f>
        <v>0.25</v>
      </c>
      <c r="K1013" s="16" t="n">
        <f aca="false">IF(J1013="","",J1013*$B$15)</f>
        <v>0.648</v>
      </c>
      <c r="L1013" s="16" t="n">
        <f aca="false">IF(D1013="","",H1013+E1013-K1013-G1013*I1013)</f>
        <v>16.9493827760372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1.1482556262721</v>
      </c>
      <c r="N1013" s="16" t="n">
        <f aca="false">IF(D1013="","",(I1013+M1013)/2)</f>
        <v>1.15031101374974</v>
      </c>
      <c r="O1013" s="16" t="n">
        <f aca="false">IF(D1013="","",G1013*N1013)</f>
        <v>0.120437563139598</v>
      </c>
      <c r="P1013" s="16" t="n">
        <f aca="false">IF(D1013="","",H1013+E1013-K1013-O1013)</f>
        <v>16.9495979751061</v>
      </c>
      <c r="Q1013" s="16" t="n">
        <f aca="false">IF(D1013="","",IF(P1013&gt;=0,K1013,MAX(0,K1013+P1013)))</f>
        <v>0.648</v>
      </c>
      <c r="R1013" s="16" t="n">
        <f aca="false">IF(D1013="","",Q1013/$B$15)</f>
        <v>0.25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16.9495979751061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79.5755773479159</v>
      </c>
      <c r="Z1013" s="18" t="n">
        <f aca="false">IF(D1013="","",MAX(0,IF(P1013&gt;=0,P1013,IF(K1013+P1013&gt;=0,0,P1013+K1013))))</f>
        <v>16.9495979751061</v>
      </c>
      <c r="AA1013" s="18" t="n">
        <f aca="false">IF(D1013="","",IF(H1013&lt;=$B$16,1,IF(H1013&gt;=$B$17,$B$21,MATCH(H1013,Aux_CAV!$A$2:$A$121,1))))</f>
        <v>7</v>
      </c>
      <c r="AB1013" s="18" t="n">
        <f aca="false">IF(D1013="","",IF(L1013&lt;=$B$16,1,IF(L1013&gt;=$B$17,$B$21,MATCH(L1013,Aux_CAV!$A$2:$A$121,1))))</f>
        <v>7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0.0594658144227594</v>
      </c>
      <c r="E1014" s="16" t="n">
        <f aca="false">IF(D1014="","",D1014*$B$15)</f>
        <v>0.154135390983792</v>
      </c>
      <c r="F1014" s="16" t="n">
        <f aca="false" t="array" ref="F1014:F1014">IF(D1014="","",IFERROR(INDEX(Dados_Evap!$C$2:$N$15,MATCH($B$9,Dados_Evap!$A$2:$A$15,0),C1014),0))</f>
        <v>145.2</v>
      </c>
      <c r="G1014" s="16" t="n">
        <f aca="false">IF(F1014="","",F1014/1000)</f>
        <v>0.1452</v>
      </c>
      <c r="H1014" s="16" t="n">
        <f aca="false">IF(D1014="","",MAX(0,MIN($B$8,IFERROR(LOOKUP(2,1/($U$24:U1013&lt;&gt;""),$U$24:U1013),$B$11))))</f>
        <v>16.9495979751061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1.1482596696784</v>
      </c>
      <c r="J1014" s="16" t="n">
        <f aca="false">IF(D1014="","",$B$12)</f>
        <v>0.25</v>
      </c>
      <c r="K1014" s="16" t="n">
        <f aca="false">IF(J1014="","",J1014*$B$15)</f>
        <v>0.648</v>
      </c>
      <c r="L1014" s="16" t="n">
        <f aca="false">IF(D1014="","",H1014+E1014-K1014-G1014*I1014)</f>
        <v>16.2890060620526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1.13289811541568</v>
      </c>
      <c r="N1014" s="16" t="n">
        <f aca="false">IF(D1014="","",(I1014+M1014)/2)</f>
        <v>1.14057889254704</v>
      </c>
      <c r="O1014" s="16" t="n">
        <f aca="false">IF(D1014="","",G1014*N1014)</f>
        <v>0.16561205519783</v>
      </c>
      <c r="P1014" s="16" t="n">
        <f aca="false">IF(D1014="","",H1014+E1014-K1014-O1014)</f>
        <v>16.290121310892</v>
      </c>
      <c r="Q1014" s="16" t="n">
        <f aca="false">IF(D1014="","",IF(P1014&gt;=0,K1014,MAX(0,K1014+P1014)))</f>
        <v>0.648</v>
      </c>
      <c r="R1014" s="16" t="n">
        <f aca="false">IF(D1014="","",Q1014/$B$15)</f>
        <v>0.25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16.290121310892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76.4794427741411</v>
      </c>
      <c r="Z1014" s="18" t="n">
        <f aca="false">IF(D1014="","",MAX(0,IF(P1014&gt;=0,P1014,IF(K1014+P1014&gt;=0,0,P1014+K1014))))</f>
        <v>16.290121310892</v>
      </c>
      <c r="AA1014" s="18" t="n">
        <f aca="false">IF(D1014="","",IF(H1014&lt;=$B$16,1,IF(H1014&gt;=$B$17,$B$21,MATCH(H1014,Aux_CAV!$A$2:$A$121,1))))</f>
        <v>7</v>
      </c>
      <c r="AB1014" s="18" t="n">
        <f aca="false">IF(D1014="","",IF(L1014&lt;=$B$16,1,IF(L1014&gt;=$B$17,$B$21,MATCH(L1014,Aux_CAV!$A$2:$A$121,1))))</f>
        <v>6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0.0458865499956638</v>
      </c>
      <c r="E1015" s="16" t="n">
        <f aca="false">IF(D1015="","",D1015*$B$15)</f>
        <v>0.118937937588761</v>
      </c>
      <c r="F1015" s="16" t="n">
        <f aca="false" t="array" ref="F1015:F1015">IF(D1015="","",IFERROR(INDEX(Dados_Evap!$C$2:$N$15,MATCH($B$9,Dados_Evap!$A$2:$A$15,0),C1015),0))</f>
        <v>180.9</v>
      </c>
      <c r="G1015" s="16" t="n">
        <f aca="false">IF(F1015="","",F1015/1000)</f>
        <v>0.1809</v>
      </c>
      <c r="H1015" s="16" t="n">
        <f aca="false">IF(D1015="","",MAX(0,MIN($B$8,IFERROR(LOOKUP(2,1/($U$24:U1014&lt;&gt;""),$U$24:U1014),$B$11))))</f>
        <v>16.290121310892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1.13293395517044</v>
      </c>
      <c r="J1015" s="16" t="n">
        <f aca="false">IF(D1015="","",$B$12)</f>
        <v>0.25</v>
      </c>
      <c r="K1015" s="16" t="n">
        <f aca="false">IF(J1015="","",J1015*$B$15)</f>
        <v>0.648</v>
      </c>
      <c r="L1015" s="16" t="n">
        <f aca="false">IF(D1015="","",H1015+E1015-K1015-G1015*I1015)</f>
        <v>15.5561114959905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1.1093457380564</v>
      </c>
      <c r="N1015" s="16" t="n">
        <f aca="false">IF(D1015="","",(I1015+M1015)/2)</f>
        <v>1.12113984661342</v>
      </c>
      <c r="O1015" s="16" t="n">
        <f aca="false">IF(D1015="","",G1015*N1015)</f>
        <v>0.202814198252368</v>
      </c>
      <c r="P1015" s="16" t="n">
        <f aca="false">IF(D1015="","",H1015+E1015-K1015-O1015)</f>
        <v>15.5582450502284</v>
      </c>
      <c r="Q1015" s="16" t="n">
        <f aca="false">IF(D1015="","",IF(P1015&gt;=0,K1015,MAX(0,K1015+P1015)))</f>
        <v>0.648</v>
      </c>
      <c r="R1015" s="16" t="n">
        <f aca="false">IF(D1015="","",Q1015/$B$15)</f>
        <v>0.25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15.5582450502284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73.0434039916828</v>
      </c>
      <c r="Z1015" s="18" t="n">
        <f aca="false">IF(D1015="","",MAX(0,IF(P1015&gt;=0,P1015,IF(K1015+P1015&gt;=0,0,P1015+K1015))))</f>
        <v>15.5582450502284</v>
      </c>
      <c r="AA1015" s="18" t="n">
        <f aca="false">IF(D1015="","",IF(H1015&lt;=$B$16,1,IF(H1015&gt;=$B$17,$B$21,MATCH(H1015,Aux_CAV!$A$2:$A$121,1))))</f>
        <v>6</v>
      </c>
      <c r="AB1015" s="18" t="n">
        <f aca="false">IF(D1015="","",IF(L1015&lt;=$B$16,1,IF(L1015&gt;=$B$17,$B$21,MATCH(L1015,Aux_CAV!$A$2:$A$121,1))))</f>
        <v>6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0.0257391543738342</v>
      </c>
      <c r="E1016" s="16" t="n">
        <f aca="false">IF(D1016="","",D1016*$B$15)</f>
        <v>0.0667158881369783</v>
      </c>
      <c r="F1016" s="16" t="n">
        <f aca="false" t="array" ref="F1016:F1016">IF(D1016="","",IFERROR(INDEX(Dados_Evap!$C$2:$N$15,MATCH($B$9,Dados_Evap!$A$2:$A$15,0),C1016),0))</f>
        <v>208.9</v>
      </c>
      <c r="G1016" s="16" t="n">
        <f aca="false">IF(F1016="","",F1016/1000)</f>
        <v>0.2089</v>
      </c>
      <c r="H1016" s="16" t="n">
        <f aca="false">IF(D1016="","",MAX(0,MIN($B$8,IFERROR(LOOKUP(2,1/($U$24:U1015&lt;&gt;""),$U$24:U1015),$B$11))))</f>
        <v>15.5582450502284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1.10941430218125</v>
      </c>
      <c r="J1016" s="16" t="n">
        <f aca="false">IF(D1016="","",$B$12)</f>
        <v>0.25</v>
      </c>
      <c r="K1016" s="16" t="n">
        <f aca="false">IF(J1016="","",J1016*$B$15)</f>
        <v>0.648</v>
      </c>
      <c r="L1016" s="16" t="n">
        <f aca="false">IF(D1016="","",H1016+E1016-K1016-G1016*I1016)</f>
        <v>14.7452042906398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1.08328633826252</v>
      </c>
      <c r="N1016" s="16" t="n">
        <f aca="false">IF(D1016="","",(I1016+M1016)/2)</f>
        <v>1.09635032022189</v>
      </c>
      <c r="O1016" s="16" t="n">
        <f aca="false">IF(D1016="","",G1016*N1016)</f>
        <v>0.229027581894353</v>
      </c>
      <c r="P1016" s="16" t="n">
        <f aca="false">IF(D1016="","",H1016+E1016-K1016-O1016)</f>
        <v>14.7479333564711</v>
      </c>
      <c r="Q1016" s="16" t="n">
        <f aca="false">IF(D1016="","",IF(P1016&gt;=0,K1016,MAX(0,K1016+P1016)))</f>
        <v>0.648</v>
      </c>
      <c r="R1016" s="16" t="n">
        <f aca="false">IF(D1016="","",Q1016/$B$15)</f>
        <v>0.25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14.7479333564711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69.2391237393008</v>
      </c>
      <c r="Z1016" s="18" t="n">
        <f aca="false">IF(D1016="","",MAX(0,IF(P1016&gt;=0,P1016,IF(K1016+P1016&gt;=0,0,P1016+K1016))))</f>
        <v>14.7479333564711</v>
      </c>
      <c r="AA1016" s="18" t="n">
        <f aca="false">IF(D1016="","",IF(H1016&lt;=$B$16,1,IF(H1016&gt;=$B$17,$B$21,MATCH(H1016,Aux_CAV!$A$2:$A$121,1))))</f>
        <v>6</v>
      </c>
      <c r="AB1016" s="18" t="n">
        <f aca="false">IF(D1016="","",IF(L1016&lt;=$B$16,1,IF(L1016&gt;=$B$17,$B$21,MATCH(L1016,Aux_CAV!$A$2:$A$121,1))))</f>
        <v>6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0.0148418858230451</v>
      </c>
      <c r="E1017" s="16" t="n">
        <f aca="false">IF(D1017="","",D1017*$B$15)</f>
        <v>0.0384701680533329</v>
      </c>
      <c r="F1017" s="16" t="n">
        <f aca="false" t="array" ref="F1017:F1017">IF(D1017="","",IFERROR(INDEX(Dados_Evap!$C$2:$N$15,MATCH($B$9,Dados_Evap!$A$2:$A$15,0),C1017),0))</f>
        <v>235.9</v>
      </c>
      <c r="G1017" s="16" t="n">
        <f aca="false">IF(F1017="","",F1017/1000)</f>
        <v>0.2359</v>
      </c>
      <c r="H1017" s="16" t="n">
        <f aca="false">IF(D1017="","",MAX(0,MIN($B$8,IFERROR(LOOKUP(2,1/($U$24:U1016&lt;&gt;""),$U$24:U1016),$B$11))))</f>
        <v>14.7479333564711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1.08337403981098</v>
      </c>
      <c r="J1017" s="16" t="n">
        <f aca="false">IF(D1017="","",$B$12)</f>
        <v>0.25</v>
      </c>
      <c r="K1017" s="16" t="n">
        <f aca="false">IF(J1017="","",J1017*$B$15)</f>
        <v>0.648</v>
      </c>
      <c r="L1017" s="16" t="n">
        <f aca="false">IF(D1017="","",H1017+E1017-K1017-G1017*I1017)</f>
        <v>13.882835588533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1.05557316636117</v>
      </c>
      <c r="N1017" s="16" t="n">
        <f aca="false">IF(D1017="","",(I1017+M1017)/2)</f>
        <v>1.06947360308608</v>
      </c>
      <c r="O1017" s="16" t="n">
        <f aca="false">IF(D1017="","",G1017*N1017)</f>
        <v>0.252288822968005</v>
      </c>
      <c r="P1017" s="16" t="n">
        <f aca="false">IF(D1017="","",H1017+E1017-K1017-O1017)</f>
        <v>13.8861147015564</v>
      </c>
      <c r="Q1017" s="16" t="n">
        <f aca="false">IF(D1017="","",IF(P1017&gt;=0,K1017,MAX(0,K1017+P1017)))</f>
        <v>0.648</v>
      </c>
      <c r="R1017" s="16" t="n">
        <f aca="false">IF(D1017="","",Q1017/$B$15)</f>
        <v>0.25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13.8861147015564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65.1930267678704</v>
      </c>
      <c r="Z1017" s="18" t="n">
        <f aca="false">IF(D1017="","",MAX(0,IF(P1017&gt;=0,P1017,IF(K1017+P1017&gt;=0,0,P1017+K1017))))</f>
        <v>13.8861147015564</v>
      </c>
      <c r="AA1017" s="18" t="n">
        <f aca="false">IF(D1017="","",IF(H1017&lt;=$B$16,1,IF(H1017&gt;=$B$17,$B$21,MATCH(H1017,Aux_CAV!$A$2:$A$121,1))))</f>
        <v>6</v>
      </c>
      <c r="AB1017" s="18" t="n">
        <f aca="false">IF(D1017="","",IF(L1017&lt;=$B$16,1,IF(L1017&gt;=$B$17,$B$21,MATCH(L1017,Aux_CAV!$A$2:$A$121,1))))</f>
        <v>6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0.00820474341445569</v>
      </c>
      <c r="E1018" s="16" t="n">
        <f aca="false">IF(D1018="","",D1018*$B$15)</f>
        <v>0.0212666949302692</v>
      </c>
      <c r="F1018" s="16" t="n">
        <f aca="false" t="array" ref="F1018:F1018">IF(D1018="","",IFERROR(INDEX(Dados_Evap!$C$2:$N$15,MATCH($B$9,Dados_Evap!$A$2:$A$15,0),C1018),0))</f>
        <v>225.9</v>
      </c>
      <c r="G1018" s="16" t="n">
        <f aca="false">IF(F1018="","",F1018/1000)</f>
        <v>0.2259</v>
      </c>
      <c r="H1018" s="16" t="n">
        <f aca="false">IF(D1018="","",MAX(0,MIN($B$8,IFERROR(LOOKUP(2,1/($U$24:U1017&lt;&gt;""),$U$24:U1017),$B$11))))</f>
        <v>13.8861147015564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1.05567854428442</v>
      </c>
      <c r="J1018" s="16" t="n">
        <f aca="false">IF(D1018="","",$B$12)</f>
        <v>0.25</v>
      </c>
      <c r="K1018" s="16" t="n">
        <f aca="false">IF(J1018="","",J1018*$B$15)</f>
        <v>0.648</v>
      </c>
      <c r="L1018" s="16" t="n">
        <f aca="false">IF(D1018="","",H1018+E1018-K1018-G1018*I1018)</f>
        <v>13.0209036133328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1.02787402916192</v>
      </c>
      <c r="N1018" s="16" t="n">
        <f aca="false">IF(D1018="","",(I1018+M1018)/2)</f>
        <v>1.04177628672317</v>
      </c>
      <c r="O1018" s="16" t="n">
        <f aca="false">IF(D1018="","",G1018*N1018)</f>
        <v>0.235337263170765</v>
      </c>
      <c r="P1018" s="16" t="n">
        <f aca="false">IF(D1018="","",H1018+E1018-K1018-O1018)</f>
        <v>13.0240441333159</v>
      </c>
      <c r="Q1018" s="16" t="n">
        <f aca="false">IF(D1018="","",IF(P1018&gt;=0,K1018,MAX(0,K1018+P1018)))</f>
        <v>0.648</v>
      </c>
      <c r="R1018" s="16" t="n">
        <f aca="false">IF(D1018="","",Q1018/$B$15)</f>
        <v>0.25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13.0240441333159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61.1457471047695</v>
      </c>
      <c r="Z1018" s="18" t="n">
        <f aca="false">IF(D1018="","",MAX(0,IF(P1018&gt;=0,P1018,IF(K1018+P1018&gt;=0,0,P1018+K1018))))</f>
        <v>13.0240441333159</v>
      </c>
      <c r="AA1018" s="18" t="n">
        <f aca="false">IF(D1018="","",IF(H1018&lt;=$B$16,1,IF(H1018&gt;=$B$17,$B$21,MATCH(H1018,Aux_CAV!$A$2:$A$121,1))))</f>
        <v>6</v>
      </c>
      <c r="AB1018" s="18" t="n">
        <f aca="false">IF(D1018="","",IF(L1018&lt;=$B$16,1,IF(L1018&gt;=$B$17,$B$21,MATCH(L1018,Aux_CAV!$A$2:$A$121,1))))</f>
        <v>6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0.00487868961503816</v>
      </c>
      <c r="E1019" s="16" t="n">
        <f aca="false">IF(D1019="","",D1019*$B$15)</f>
        <v>0.0126455634821789</v>
      </c>
      <c r="F1019" s="16" t="n">
        <f aca="false" t="array" ref="F1019:F1019">IF(D1019="","",IFERROR(INDEX(Dados_Evap!$C$2:$N$15,MATCH($B$9,Dados_Evap!$A$2:$A$15,0),C1019),0))</f>
        <v>206</v>
      </c>
      <c r="G1019" s="16" t="n">
        <f aca="false">IF(F1019="","",F1019/1000)</f>
        <v>0.206</v>
      </c>
      <c r="H1019" s="16" t="n">
        <f aca="false">IF(D1019="","",MAX(0,MIN($B$8,IFERROR(LOOKUP(2,1/($U$24:U1018&lt;&gt;""),$U$24:U1018),$B$11))))</f>
        <v>13.0240441333159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1.02797495324456</v>
      </c>
      <c r="J1019" s="16" t="n">
        <f aca="false">IF(D1019="","",$B$12)</f>
        <v>0.25</v>
      </c>
      <c r="K1019" s="16" t="n">
        <f aca="false">IF(J1019="","",J1019*$B$15)</f>
        <v>0.648</v>
      </c>
      <c r="L1019" s="16" t="n">
        <f aca="false">IF(D1019="","",H1019+E1019-K1019-G1019*I1019)</f>
        <v>12.1769268564297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1.00075190275861</v>
      </c>
      <c r="N1019" s="16" t="n">
        <f aca="false">IF(D1019="","",(I1019+M1019)/2)</f>
        <v>1.01436342800158</v>
      </c>
      <c r="O1019" s="16" t="n">
        <f aca="false">IF(D1019="","",G1019*N1019)</f>
        <v>0.208958866168326</v>
      </c>
      <c r="P1019" s="16" t="n">
        <f aca="false">IF(D1019="","",H1019+E1019-K1019-O1019)</f>
        <v>12.1797308306297</v>
      </c>
      <c r="Q1019" s="16" t="n">
        <f aca="false">IF(D1019="","",IF(P1019&gt;=0,K1019,MAX(0,K1019+P1019)))</f>
        <v>0.648</v>
      </c>
      <c r="R1019" s="16" t="n">
        <f aca="false">IF(D1019="","",Q1019/$B$15)</f>
        <v>0.25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12.1797308306297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57.1818348855857</v>
      </c>
      <c r="Z1019" s="18" t="n">
        <f aca="false">IF(D1019="","",MAX(0,IF(P1019&gt;=0,P1019,IF(K1019+P1019&gt;=0,0,P1019+K1019))))</f>
        <v>12.1797308306297</v>
      </c>
      <c r="AA1019" s="18" t="n">
        <f aca="false">IF(D1019="","",IF(H1019&lt;=$B$16,1,IF(H1019&gt;=$B$17,$B$21,MATCH(H1019,Aux_CAV!$A$2:$A$121,1))))</f>
        <v>6</v>
      </c>
      <c r="AB1019" s="18" t="n">
        <f aca="false">IF(D1019="","",IF(L1019&lt;=$B$16,1,IF(L1019&gt;=$B$17,$B$21,MATCH(L1019,Aux_CAV!$A$2:$A$121,1))))</f>
        <v>6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0.0292491344340875</v>
      </c>
      <c r="E1020" s="16" t="n">
        <f aca="false">IF(D1020="","",D1020*$B$15)</f>
        <v>0.0758137564531548</v>
      </c>
      <c r="F1020" s="16" t="n">
        <f aca="false" t="array" ref="F1020:F1020">IF(D1020="","",IFERROR(INDEX(Dados_Evap!$C$2:$N$15,MATCH($B$9,Dados_Evap!$A$2:$A$15,0),C1020),0))</f>
        <v>165.6</v>
      </c>
      <c r="G1020" s="16" t="n">
        <f aca="false">IF(F1020="","",F1020/1000)</f>
        <v>0.1656</v>
      </c>
      <c r="H1020" s="16" t="n">
        <f aca="false">IF(D1020="","",MAX(0,MIN($B$8,IFERROR(LOOKUP(2,1/($U$24:U1019&lt;&gt;""),$U$24:U1019),$B$11))))</f>
        <v>12.1797308306297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1.00084201157033</v>
      </c>
      <c r="J1020" s="16" t="n">
        <f aca="false">IF(D1020="","",$B$12)</f>
        <v>0.25</v>
      </c>
      <c r="K1020" s="16" t="n">
        <f aca="false">IF(J1020="","",J1020*$B$15)</f>
        <v>0.648</v>
      </c>
      <c r="L1020" s="16" t="n">
        <f aca="false">IF(D1020="","",H1020+E1020-K1020-G1020*I1020)</f>
        <v>11.4418051499669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0.977127953779653</v>
      </c>
      <c r="N1020" s="16" t="n">
        <f aca="false">IF(D1020="","",(I1020+M1020)/2)</f>
        <v>0.988984982674993</v>
      </c>
      <c r="O1020" s="16" t="n">
        <f aca="false">IF(D1020="","",G1020*N1020)</f>
        <v>0.163775913130979</v>
      </c>
      <c r="P1020" s="16" t="n">
        <f aca="false">IF(D1020="","",H1020+E1020-K1020-O1020)</f>
        <v>11.4437686739519</v>
      </c>
      <c r="Q1020" s="16" t="n">
        <f aca="false">IF(D1020="","",IF(P1020&gt;=0,K1020,MAX(0,K1020+P1020)))</f>
        <v>0.648</v>
      </c>
      <c r="R1020" s="16" t="n">
        <f aca="false">IF(D1020="","",Q1020/$B$15)</f>
        <v>0.25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11.4437686739519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53.726613492732</v>
      </c>
      <c r="Z1020" s="18" t="n">
        <f aca="false">IF(D1020="","",MAX(0,IF(P1020&gt;=0,P1020,IF(K1020+P1020&gt;=0,0,P1020+K1020))))</f>
        <v>11.4437686739519</v>
      </c>
      <c r="AA1020" s="18" t="n">
        <f aca="false">IF(D1020="","",IF(H1020&lt;=$B$16,1,IF(H1020&gt;=$B$17,$B$21,MATCH(H1020,Aux_CAV!$A$2:$A$121,1))))</f>
        <v>6</v>
      </c>
      <c r="AB1020" s="18" t="n">
        <f aca="false">IF(D1020="","",IF(L1020&lt;=$B$16,1,IF(L1020&gt;=$B$17,$B$21,MATCH(L1020,Aux_CAV!$A$2:$A$121,1))))</f>
        <v>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0.0884402856381445</v>
      </c>
      <c r="E1021" s="16" t="n">
        <f aca="false">IF(D1021="","",D1021*$B$15)</f>
        <v>0.229237220374071</v>
      </c>
      <c r="F1021" s="16" t="n">
        <f aca="false" t="array" ref="F1021:F1021">IF(D1021="","",IFERROR(INDEX(Dados_Evap!$C$2:$N$15,MATCH($B$9,Dados_Evap!$A$2:$A$15,0),C1021),0))</f>
        <v>124.9</v>
      </c>
      <c r="G1021" s="16" t="n">
        <f aca="false">IF(F1021="","",F1021/1000)</f>
        <v>0.1249</v>
      </c>
      <c r="H1021" s="16" t="n">
        <f aca="false">IF(D1021="","",MAX(0,MIN($B$8,IFERROR(LOOKUP(2,1/($U$24:U1020&lt;&gt;""),$U$24:U1020),$B$11))))</f>
        <v>11.4437686739519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0.977191053794296</v>
      </c>
      <c r="J1021" s="16" t="n">
        <f aca="false">IF(D1021="","",$B$12)</f>
        <v>0.25</v>
      </c>
      <c r="K1021" s="16" t="n">
        <f aca="false">IF(J1021="","",J1021*$B$15)</f>
        <v>0.648</v>
      </c>
      <c r="L1021" s="16" t="n">
        <f aca="false">IF(D1021="","",H1021+E1021-K1021-G1021*I1021)</f>
        <v>10.9029547317071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0.959478586229217</v>
      </c>
      <c r="N1021" s="16" t="n">
        <f aca="false">IF(D1021="","",(I1021+M1021)/2)</f>
        <v>0.968334820011757</v>
      </c>
      <c r="O1021" s="16" t="n">
        <f aca="false">IF(D1021="","",G1021*N1021)</f>
        <v>0.120945019019468</v>
      </c>
      <c r="P1021" s="16" t="n">
        <f aca="false">IF(D1021="","",H1021+E1021-K1021-O1021)</f>
        <v>10.9040608753065</v>
      </c>
      <c r="Q1021" s="16" t="n">
        <f aca="false">IF(D1021="","",IF(P1021&gt;=0,K1021,MAX(0,K1021+P1021)))</f>
        <v>0.648</v>
      </c>
      <c r="R1021" s="16" t="n">
        <f aca="false">IF(D1021="","",Q1021/$B$15)</f>
        <v>0.25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10.9040608753065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51.192774062472</v>
      </c>
      <c r="Z1021" s="18" t="n">
        <f aca="false">IF(D1021="","",MAX(0,IF(P1021&gt;=0,P1021,IF(K1021+P1021&gt;=0,0,P1021+K1021))))</f>
        <v>10.9040608753065</v>
      </c>
      <c r="AA1021" s="18" t="n">
        <f aca="false">IF(D1021="","",IF(H1021&lt;=$B$16,1,IF(H1021&gt;=$B$17,$B$21,MATCH(H1021,Aux_CAV!$A$2:$A$121,1))))</f>
        <v>6</v>
      </c>
      <c r="AB1021" s="18" t="n">
        <f aca="false">IF(D1021="","",IF(L1021&lt;=$B$16,1,IF(L1021&gt;=$B$17,$B$21,MATCH(L1021,Aux_CAV!$A$2:$A$121,1))))</f>
        <v>5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0.256584937988404</v>
      </c>
      <c r="E1022" s="16" t="n">
        <f aca="false">IF(D1022="","",D1022*$B$15)</f>
        <v>0.665068159265943</v>
      </c>
      <c r="F1022" s="16" t="n">
        <f aca="false" t="array" ref="F1022:F1022">IF(D1022="","",IFERROR(INDEX(Dados_Evap!$C$2:$N$15,MATCH($B$9,Dados_Evap!$A$2:$A$15,0),C1022),0))</f>
        <v>88.2</v>
      </c>
      <c r="G1022" s="16" t="n">
        <f aca="false">IF(F1022="","",F1022/1000)</f>
        <v>0.0882</v>
      </c>
      <c r="H1022" s="16" t="n">
        <f aca="false">IF(D1022="","",MAX(0,MIN($B$8,IFERROR(LOOKUP(2,1/($U$24:U1021&lt;&gt;""),$U$24:U1021),$B$11))))</f>
        <v>10.9040608753065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0.959515294534509</v>
      </c>
      <c r="J1022" s="16" t="n">
        <f aca="false">IF(D1022="","",$B$12)</f>
        <v>0.25</v>
      </c>
      <c r="K1022" s="16" t="n">
        <f aca="false">IF(J1022="","",J1022*$B$15)</f>
        <v>0.648</v>
      </c>
      <c r="L1022" s="16" t="n">
        <f aca="false">IF(D1022="","",H1022+E1022-K1022-G1022*I1022)</f>
        <v>10.8364997855945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0.95727322297327</v>
      </c>
      <c r="N1022" s="16" t="n">
        <f aca="false">IF(D1022="","",(I1022+M1022)/2)</f>
        <v>0.958394258753889</v>
      </c>
      <c r="O1022" s="16" t="n">
        <f aca="false">IF(D1022="","",G1022*N1022)</f>
        <v>0.084530373622093</v>
      </c>
      <c r="P1022" s="16" t="n">
        <f aca="false">IF(D1022="","",H1022+E1022-K1022-O1022)</f>
        <v>10.8365986609504</v>
      </c>
      <c r="Q1022" s="16" t="n">
        <f aca="false">IF(D1022="","",IF(P1022&gt;=0,K1022,MAX(0,K1022+P1022)))</f>
        <v>0.648</v>
      </c>
      <c r="R1022" s="16" t="n">
        <f aca="false">IF(D1022="","",Q1022/$B$15)</f>
        <v>0.25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10.8365986609504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50.8760500514102</v>
      </c>
      <c r="Z1022" s="18" t="n">
        <f aca="false">IF(D1022="","",MAX(0,IF(P1022&gt;=0,P1022,IF(K1022+P1022&gt;=0,0,P1022+K1022))))</f>
        <v>10.8365986609504</v>
      </c>
      <c r="AA1022" s="18" t="n">
        <f aca="false">IF(D1022="","",IF(H1022&lt;=$B$16,1,IF(H1022&gt;=$B$17,$B$21,MATCH(H1022,Aux_CAV!$A$2:$A$121,1))))</f>
        <v>5</v>
      </c>
      <c r="AB1022" s="18" t="n">
        <f aca="false">IF(D1022="","",IF(L1022&lt;=$B$16,1,IF(L1022&gt;=$B$17,$B$21,MATCH(L1022,Aux_CAV!$A$2:$A$121,1))))</f>
        <v>5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0.342460048227414</v>
      </c>
      <c r="E1023" s="16" t="n">
        <f aca="false">IF(D1023="","",D1023*$B$15)</f>
        <v>0.887656445005457</v>
      </c>
      <c r="F1023" s="16" t="n">
        <f aca="false" t="array" ref="F1023:F1023">IF(D1023="","",IFERROR(INDEX(Dados_Evap!$C$2:$N$15,MATCH($B$9,Dados_Evap!$A$2:$A$15,0),C1023),0))</f>
        <v>88.2</v>
      </c>
      <c r="G1023" s="16" t="n">
        <f aca="false">IF(F1023="","",F1023/1000)</f>
        <v>0.0882</v>
      </c>
      <c r="H1023" s="16" t="n">
        <f aca="false">IF(D1023="","",MAX(0,MIN($B$8,IFERROR(LOOKUP(2,1/($U$24:U1022&lt;&gt;""),$U$24:U1022),$B$11))))</f>
        <v>10.8365986609504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0.957276504235079</v>
      </c>
      <c r="J1023" s="16" t="n">
        <f aca="false">IF(D1023="","",$B$12)</f>
        <v>0.25</v>
      </c>
      <c r="K1023" s="16" t="n">
        <f aca="false">IF(J1023="","",J1023*$B$15)</f>
        <v>0.648</v>
      </c>
      <c r="L1023" s="16" t="n">
        <f aca="false">IF(D1023="","",H1023+E1023-K1023-G1023*I1023)</f>
        <v>10.9918233182823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0.962427764987244</v>
      </c>
      <c r="N1023" s="16" t="n">
        <f aca="false">IF(D1023="","",(I1023+M1023)/2)</f>
        <v>0.959852134611162</v>
      </c>
      <c r="O1023" s="16" t="n">
        <f aca="false">IF(D1023="","",G1023*N1023)</f>
        <v>0.0846589582727045</v>
      </c>
      <c r="P1023" s="16" t="n">
        <f aca="false">IF(D1023="","",H1023+E1023-K1023-O1023)</f>
        <v>10.9915961476831</v>
      </c>
      <c r="Q1023" s="16" t="n">
        <f aca="false">IF(D1023="","",IF(P1023&gt;=0,K1023,MAX(0,K1023+P1023)))</f>
        <v>0.648</v>
      </c>
      <c r="R1023" s="16" t="n">
        <f aca="false">IF(D1023="","",Q1023/$B$15)</f>
        <v>0.25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10.9915961476831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51.6037377825499</v>
      </c>
      <c r="Z1023" s="18" t="n">
        <f aca="false">IF(D1023="","",MAX(0,IF(P1023&gt;=0,P1023,IF(K1023+P1023&gt;=0,0,P1023+K1023))))</f>
        <v>10.9915961476831</v>
      </c>
      <c r="AA1023" s="18" t="n">
        <f aca="false">IF(D1023="","",IF(H1023&lt;=$B$16,1,IF(H1023&gt;=$B$17,$B$21,MATCH(H1023,Aux_CAV!$A$2:$A$121,1))))</f>
        <v>5</v>
      </c>
      <c r="AB1023" s="18" t="n">
        <f aca="false">IF(D1023="","",IF(L1023&lt;=$B$16,1,IF(L1023&gt;=$B$17,$B$21,MATCH(L1023,Aux_CAV!$A$2:$A$121,1))))</f>
        <v>5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0.0761054923138577</v>
      </c>
      <c r="E1024" s="16" t="n">
        <f aca="false">IF(D1024="","",D1024*$B$15)</f>
        <v>0.197265436077519</v>
      </c>
      <c r="F1024" s="16" t="n">
        <f aca="false" t="array" ref="F1024:F1024">IF(D1024="","",IFERROR(INDEX(Dados_Evap!$C$2:$N$15,MATCH($B$9,Dados_Evap!$A$2:$A$15,0),C1024),0))</f>
        <v>83.9</v>
      </c>
      <c r="G1024" s="16" t="n">
        <f aca="false">IF(F1024="","",F1024/1000)</f>
        <v>0.0839</v>
      </c>
      <c r="H1024" s="16" t="n">
        <f aca="false">IF(D1024="","",MAX(0,MIN($B$8,IFERROR(LOOKUP(2,1/($U$24:U1023&lt;&gt;""),$U$24:U1023),$B$11))))</f>
        <v>10.9915961476831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0.962420226139927</v>
      </c>
      <c r="J1024" s="16" t="n">
        <f aca="false">IF(D1024="","",$B$12)</f>
        <v>0.25</v>
      </c>
      <c r="K1024" s="16" t="n">
        <f aca="false">IF(J1024="","",J1024*$B$15)</f>
        <v>0.648</v>
      </c>
      <c r="L1024" s="16" t="n">
        <f aca="false">IF(D1024="","",H1024+E1024-K1024-G1024*I1024)</f>
        <v>10.4601145267875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0.944782561729674</v>
      </c>
      <c r="N1024" s="16" t="n">
        <f aca="false">IF(D1024="","",(I1024+M1024)/2)</f>
        <v>0.9536013939348</v>
      </c>
      <c r="O1024" s="16" t="n">
        <f aca="false">IF(D1024="","",G1024*N1024)</f>
        <v>0.0800071569511298</v>
      </c>
      <c r="P1024" s="16" t="n">
        <f aca="false">IF(D1024="","",H1024+E1024-K1024-O1024)</f>
        <v>10.4608544268095</v>
      </c>
      <c r="Q1024" s="16" t="n">
        <f aca="false">IF(D1024="","",IF(P1024&gt;=0,K1024,MAX(0,K1024+P1024)))</f>
        <v>0.648</v>
      </c>
      <c r="R1024" s="16" t="n">
        <f aca="false">IF(D1024="","",Q1024/$B$15)</f>
        <v>0.25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10.4608544268095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49.1119926141292</v>
      </c>
      <c r="Z1024" s="18" t="n">
        <f aca="false">IF(D1024="","",MAX(0,IF(P1024&gt;=0,P1024,IF(K1024+P1024&gt;=0,0,P1024+K1024))))</f>
        <v>10.4608544268095</v>
      </c>
      <c r="AA1024" s="18" t="n">
        <f aca="false">IF(D1024="","",IF(H1024&lt;=$B$16,1,IF(H1024&gt;=$B$17,$B$21,MATCH(H1024,Aux_CAV!$A$2:$A$121,1))))</f>
        <v>5</v>
      </c>
      <c r="AB1024" s="18" t="n">
        <f aca="false">IF(D1024="","",IF(L1024&lt;=$B$16,1,IF(L1024&gt;=$B$17,$B$21,MATCH(L1024,Aux_CAV!$A$2:$A$121,1))))</f>
        <v>5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0.0329944194353745</v>
      </c>
      <c r="E1025" s="16" t="n">
        <f aca="false">IF(D1025="","",D1025*$B$15)</f>
        <v>0.0855215351764907</v>
      </c>
      <c r="F1025" s="16" t="n">
        <f aca="false" t="array" ref="F1025:F1025">IF(D1025="","",IFERROR(INDEX(Dados_Evap!$C$2:$N$15,MATCH($B$9,Dados_Evap!$A$2:$A$15,0),C1025),0))</f>
        <v>104.7</v>
      </c>
      <c r="G1025" s="16" t="n">
        <f aca="false">IF(F1025="","",F1025/1000)</f>
        <v>0.1047</v>
      </c>
      <c r="H1025" s="16" t="n">
        <f aca="false">IF(D1025="","",MAX(0,MIN($B$8,IFERROR(LOOKUP(2,1/($U$24:U1024&lt;&gt;""),$U$24:U1024),$B$11))))</f>
        <v>10.4608544268095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0.944807115933944</v>
      </c>
      <c r="J1025" s="16" t="n">
        <f aca="false">IF(D1025="","",$B$12)</f>
        <v>0.25</v>
      </c>
      <c r="K1025" s="16" t="n">
        <f aca="false">IF(J1025="","",J1025*$B$15)</f>
        <v>0.648</v>
      </c>
      <c r="L1025" s="16" t="n">
        <f aca="false">IF(D1025="","",H1025+E1025-K1025-G1025*I1025)</f>
        <v>9.79945465694773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0.922858008527026</v>
      </c>
      <c r="N1025" s="16" t="n">
        <f aca="false">IF(D1025="","",(I1025+M1025)/2)</f>
        <v>0.933832562230485</v>
      </c>
      <c r="O1025" s="16" t="n">
        <f aca="false">IF(D1025="","",G1025*N1025)</f>
        <v>0.0977722692655318</v>
      </c>
      <c r="P1025" s="16" t="n">
        <f aca="false">IF(D1025="","",H1025+E1025-K1025-O1025)</f>
        <v>9.80060369272048</v>
      </c>
      <c r="Q1025" s="16" t="n">
        <f aca="false">IF(D1025="","",IF(P1025&gt;=0,K1025,MAX(0,K1025+P1025)))</f>
        <v>0.648</v>
      </c>
      <c r="R1025" s="16" t="n">
        <f aca="false">IF(D1025="","",Q1025/$B$15)</f>
        <v>0.25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9.80060369272048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46.0122239094858</v>
      </c>
      <c r="Z1025" s="18" t="n">
        <f aca="false">IF(D1025="","",MAX(0,IF(P1025&gt;=0,P1025,IF(K1025+P1025&gt;=0,0,P1025+K1025))))</f>
        <v>9.80060369272048</v>
      </c>
      <c r="AA1025" s="18" t="n">
        <f aca="false">IF(D1025="","",IF(H1025&lt;=$B$16,1,IF(H1025&gt;=$B$17,$B$21,MATCH(H1025,Aux_CAV!$A$2:$A$121,1))))</f>
        <v>5</v>
      </c>
      <c r="AB1025" s="18" t="n">
        <f aca="false">IF(D1025="","",IF(L1025&lt;=$B$16,1,IF(L1025&gt;=$B$17,$B$21,MATCH(L1025,Aux_CAV!$A$2:$A$121,1))))</f>
        <v>5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0.107863028552656</v>
      </c>
      <c r="E1026" s="16" t="n">
        <f aca="false">IF(D1026="","",D1026*$B$15)</f>
        <v>0.279580970008484</v>
      </c>
      <c r="F1026" s="16" t="n">
        <f aca="false" t="array" ref="F1026:F1026">IF(D1026="","",IFERROR(INDEX(Dados_Evap!$C$2:$N$15,MATCH($B$9,Dados_Evap!$A$2:$A$15,0),C1026),0))</f>
        <v>145.2</v>
      </c>
      <c r="G1026" s="16" t="n">
        <f aca="false">IF(F1026="","",F1026/1000)</f>
        <v>0.1452</v>
      </c>
      <c r="H1026" s="16" t="n">
        <f aca="false">IF(D1026="","",MAX(0,MIN($B$8,IFERROR(LOOKUP(2,1/($U$24:U1025&lt;&gt;""),$U$24:U1025),$B$11))))</f>
        <v>9.80060369272048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0.922896140245149</v>
      </c>
      <c r="J1026" s="16" t="n">
        <f aca="false">IF(D1026="","",$B$12)</f>
        <v>0.25</v>
      </c>
      <c r="K1026" s="16" t="n">
        <f aca="false">IF(J1026="","",J1026*$B$15)</f>
        <v>0.648</v>
      </c>
      <c r="L1026" s="16" t="n">
        <f aca="false">IF(D1026="","",H1026+E1026-K1026-G1026*I1026)</f>
        <v>9.29818014316537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0.906222792361683</v>
      </c>
      <c r="N1026" s="16" t="n">
        <f aca="false">IF(D1026="","",(I1026+M1026)/2)</f>
        <v>0.914559466303416</v>
      </c>
      <c r="O1026" s="16" t="n">
        <f aca="false">IF(D1026="","",G1026*N1026)</f>
        <v>0.132794034507256</v>
      </c>
      <c r="P1026" s="16" t="n">
        <f aca="false">IF(D1026="","",H1026+E1026-K1026-O1026)</f>
        <v>9.29939062822171</v>
      </c>
      <c r="Q1026" s="16" t="n">
        <f aca="false">IF(D1026="","",IF(P1026&gt;=0,K1026,MAX(0,K1026+P1026)))</f>
        <v>0.648</v>
      </c>
      <c r="R1026" s="16" t="n">
        <f aca="false">IF(D1026="","",Q1026/$B$15)</f>
        <v>0.25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9.29939062822171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43.6591109306184</v>
      </c>
      <c r="Z1026" s="18" t="n">
        <f aca="false">IF(D1026="","",MAX(0,IF(P1026&gt;=0,P1026,IF(K1026+P1026&gt;=0,0,P1026+K1026))))</f>
        <v>9.29939062822171</v>
      </c>
      <c r="AA1026" s="18" t="n">
        <f aca="false">IF(D1026="","",IF(H1026&lt;=$B$16,1,IF(H1026&gt;=$B$17,$B$21,MATCH(H1026,Aux_CAV!$A$2:$A$121,1))))</f>
        <v>5</v>
      </c>
      <c r="AB1026" s="18" t="n">
        <f aca="false">IF(D1026="","",IF(L1026&lt;=$B$16,1,IF(L1026&gt;=$B$17,$B$21,MATCH(L1026,Aux_CAV!$A$2:$A$121,1))))</f>
        <v>5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0.0330506782633966</v>
      </c>
      <c r="E1027" s="16" t="n">
        <f aca="false">IF(D1027="","",D1027*$B$15)</f>
        <v>0.085667358058724</v>
      </c>
      <c r="F1027" s="16" t="n">
        <f aca="false" t="array" ref="F1027:F1027">IF(D1027="","",IFERROR(INDEX(Dados_Evap!$C$2:$N$15,MATCH($B$9,Dados_Evap!$A$2:$A$15,0),C1027),0))</f>
        <v>180.9</v>
      </c>
      <c r="G1027" s="16" t="n">
        <f aca="false">IF(F1027="","",F1027/1000)</f>
        <v>0.1809</v>
      </c>
      <c r="H1027" s="16" t="n">
        <f aca="false">IF(D1027="","",MAX(0,MIN($B$8,IFERROR(LOOKUP(2,1/($U$24:U1026&lt;&gt;""),$U$24:U1026),$B$11))))</f>
        <v>9.29939062822171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0.906262963325942</v>
      </c>
      <c r="J1027" s="16" t="n">
        <f aca="false">IF(D1027="","",$B$12)</f>
        <v>0.25</v>
      </c>
      <c r="K1027" s="16" t="n">
        <f aca="false">IF(J1027="","",J1027*$B$15)</f>
        <v>0.648</v>
      </c>
      <c r="L1027" s="16" t="n">
        <f aca="false">IF(D1027="","",H1027+E1027-K1027-G1027*I1027)</f>
        <v>8.57311501621477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0.8821608965558</v>
      </c>
      <c r="N1027" s="16" t="n">
        <f aca="false">IF(D1027="","",(I1027+M1027)/2)</f>
        <v>0.894211929940871</v>
      </c>
      <c r="O1027" s="16" t="n">
        <f aca="false">IF(D1027="","",G1027*N1027)</f>
        <v>0.161762938126304</v>
      </c>
      <c r="P1027" s="16" t="n">
        <f aca="false">IF(D1027="","",H1027+E1027-K1027-O1027)</f>
        <v>8.57529504815413</v>
      </c>
      <c r="Q1027" s="16" t="n">
        <f aca="false">IF(D1027="","",IF(P1027&gt;=0,K1027,MAX(0,K1027+P1027)))</f>
        <v>0.648</v>
      </c>
      <c r="R1027" s="16" t="n">
        <f aca="false">IF(D1027="","",Q1027/$B$15)</f>
        <v>0.25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8.57529504815413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40.2596011650429</v>
      </c>
      <c r="Z1027" s="18" t="n">
        <f aca="false">IF(D1027="","",MAX(0,IF(P1027&gt;=0,P1027,IF(K1027+P1027&gt;=0,0,P1027+K1027))))</f>
        <v>8.57529504815413</v>
      </c>
      <c r="AA1027" s="18" t="n">
        <f aca="false">IF(D1027="","",IF(H1027&lt;=$B$16,1,IF(H1027&gt;=$B$17,$B$21,MATCH(H1027,Aux_CAV!$A$2:$A$121,1))))</f>
        <v>5</v>
      </c>
      <c r="AB1027" s="18" t="n">
        <f aca="false">IF(D1027="","",IF(L1027&lt;=$B$16,1,IF(L1027&gt;=$B$17,$B$21,MATCH(L1027,Aux_CAV!$A$2:$A$121,1))))</f>
        <v>5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0.00830090181955385</v>
      </c>
      <c r="E1028" s="16" t="n">
        <f aca="false">IF(D1028="","",D1028*$B$15)</f>
        <v>0.0215159375162836</v>
      </c>
      <c r="F1028" s="16" t="n">
        <f aca="false" t="array" ref="F1028:F1028">IF(D1028="","",IFERROR(INDEX(Dados_Evap!$C$2:$N$15,MATCH($B$9,Dados_Evap!$A$2:$A$15,0),C1028),0))</f>
        <v>208.9</v>
      </c>
      <c r="G1028" s="16" t="n">
        <f aca="false">IF(F1028="","",F1028/1000)</f>
        <v>0.2089</v>
      </c>
      <c r="H1028" s="16" t="n">
        <f aca="false">IF(D1028="","",MAX(0,MIN($B$8,IFERROR(LOOKUP(2,1/($U$24:U1027&lt;&gt;""),$U$24:U1027),$B$11))))</f>
        <v>8.57529504815413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0.882233242748478</v>
      </c>
      <c r="J1028" s="16" t="n">
        <f aca="false">IF(D1028="","",$B$12)</f>
        <v>0.25</v>
      </c>
      <c r="K1028" s="16" t="n">
        <f aca="false">IF(J1028="","",J1028*$B$15)</f>
        <v>0.648</v>
      </c>
      <c r="L1028" s="16" t="n">
        <f aca="false">IF(D1028="","",H1028+E1028-K1028-G1028*I1028)</f>
        <v>7.76451246126026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0.855326740971026</v>
      </c>
      <c r="N1028" s="16" t="n">
        <f aca="false">IF(D1028="","",(I1028+M1028)/2)</f>
        <v>0.868779991859752</v>
      </c>
      <c r="O1028" s="16" t="n">
        <f aca="false">IF(D1028="","",G1028*N1028)</f>
        <v>0.181488140299502</v>
      </c>
      <c r="P1028" s="16" t="n">
        <f aca="false">IF(D1028="","",H1028+E1028-K1028-O1028)</f>
        <v>7.76732284537091</v>
      </c>
      <c r="Q1028" s="16" t="n">
        <f aca="false">IF(D1028="","",IF(P1028&gt;=0,K1028,MAX(0,K1028+P1028)))</f>
        <v>0.648</v>
      </c>
      <c r="R1028" s="16" t="n">
        <f aca="false">IF(D1028="","",Q1028/$B$15)</f>
        <v>0.25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7.76732284537091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36.4663044383611</v>
      </c>
      <c r="Z1028" s="18" t="n">
        <f aca="false">IF(D1028="","",MAX(0,IF(P1028&gt;=0,P1028,IF(K1028+P1028&gt;=0,0,P1028+K1028))))</f>
        <v>7.76732284537091</v>
      </c>
      <c r="AA1028" s="18" t="n">
        <f aca="false">IF(D1028="","",IF(H1028&lt;=$B$16,1,IF(H1028&gt;=$B$17,$B$21,MATCH(H1028,Aux_CAV!$A$2:$A$121,1))))</f>
        <v>5</v>
      </c>
      <c r="AB1028" s="18" t="n">
        <f aca="false">IF(D1028="","",IF(L1028&lt;=$B$16,1,IF(L1028&gt;=$B$17,$B$21,MATCH(L1028,Aux_CAV!$A$2:$A$121,1))))</f>
        <v>5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0.00579849454887318</v>
      </c>
      <c r="E1029" s="16" t="n">
        <f aca="false">IF(D1029="","",D1029*$B$15)</f>
        <v>0.0150296978706793</v>
      </c>
      <c r="F1029" s="16" t="n">
        <f aca="false" t="array" ref="F1029:F1029">IF(D1029="","",IFERROR(INDEX(Dados_Evap!$C$2:$N$15,MATCH($B$9,Dados_Evap!$A$2:$A$15,0),C1029),0))</f>
        <v>235.9</v>
      </c>
      <c r="G1029" s="16" t="n">
        <f aca="false">IF(F1029="","",F1029/1000)</f>
        <v>0.2359</v>
      </c>
      <c r="H1029" s="16" t="n">
        <f aca="false">IF(D1029="","",MAX(0,MIN($B$8,IFERROR(LOOKUP(2,1/($U$24:U1028&lt;&gt;""),$U$24:U1028),$B$11))))</f>
        <v>7.76732284537091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0.855420005930451</v>
      </c>
      <c r="J1029" s="16" t="n">
        <f aca="false">IF(D1029="","",$B$12)</f>
        <v>0.25</v>
      </c>
      <c r="K1029" s="16" t="n">
        <f aca="false">IF(J1029="","",J1029*$B$15)</f>
        <v>0.648</v>
      </c>
      <c r="L1029" s="16" t="n">
        <f aca="false">IF(D1029="","",H1029+E1029-K1029-G1029*I1029)</f>
        <v>6.9325589638426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0.82771766472929</v>
      </c>
      <c r="N1029" s="16" t="n">
        <f aca="false">IF(D1029="","",(I1029+M1029)/2)</f>
        <v>0.84156883532987</v>
      </c>
      <c r="O1029" s="16" t="n">
        <f aca="false">IF(D1029="","",G1029*N1029)</f>
        <v>0.198526088254316</v>
      </c>
      <c r="P1029" s="16" t="n">
        <f aca="false">IF(D1029="","",H1029+E1029-K1029-O1029)</f>
        <v>6.93582645498728</v>
      </c>
      <c r="Q1029" s="16" t="n">
        <f aca="false">IF(D1029="","",IF(P1029&gt;=0,K1029,MAX(0,K1029+P1029)))</f>
        <v>0.648</v>
      </c>
      <c r="R1029" s="16" t="n">
        <f aca="false">IF(D1029="","",Q1029/$B$15)</f>
        <v>0.25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6.93582645498728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32.5625655163722</v>
      </c>
      <c r="Z1029" s="18" t="n">
        <f aca="false">IF(D1029="","",MAX(0,IF(P1029&gt;=0,P1029,IF(K1029+P1029&gt;=0,0,P1029+K1029))))</f>
        <v>6.93582645498728</v>
      </c>
      <c r="AA1029" s="18" t="n">
        <f aca="false">IF(D1029="","",IF(H1029&lt;=$B$16,1,IF(H1029&gt;=$B$17,$B$21,MATCH(H1029,Aux_CAV!$A$2:$A$121,1))))</f>
        <v>5</v>
      </c>
      <c r="AB1029" s="18" t="n">
        <f aca="false">IF(D1029="","",IF(L1029&lt;=$B$16,1,IF(L1029&gt;=$B$17,$B$21,MATCH(L1029,Aux_CAV!$A$2:$A$121,1))))</f>
        <v>5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0.00395293958732177</v>
      </c>
      <c r="E1030" s="16" t="n">
        <f aca="false">IF(D1030="","",D1030*$B$15)</f>
        <v>0.010246019410338</v>
      </c>
      <c r="F1030" s="16" t="n">
        <f aca="false" t="array" ref="F1030:F1030">IF(D1030="","",IFERROR(INDEX(Dados_Evap!$C$2:$N$15,MATCH($B$9,Dados_Evap!$A$2:$A$15,0),C1030),0))</f>
        <v>225.9</v>
      </c>
      <c r="G1030" s="16" t="n">
        <f aca="false">IF(F1030="","",F1030/1000)</f>
        <v>0.2259</v>
      </c>
      <c r="H1030" s="16" t="n">
        <f aca="false">IF(D1030="","",MAX(0,MIN($B$8,IFERROR(LOOKUP(2,1/($U$24:U1029&lt;&gt;""),$U$24:U1029),$B$11))))</f>
        <v>6.93582645498728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0.827826099169932</v>
      </c>
      <c r="J1030" s="16" t="n">
        <f aca="false">IF(D1030="","",$B$12)</f>
        <v>0.25</v>
      </c>
      <c r="K1030" s="16" t="n">
        <f aca="false">IF(J1030="","",J1030*$B$15)</f>
        <v>0.648</v>
      </c>
      <c r="L1030" s="16" t="n">
        <f aca="false">IF(D1030="","",H1030+E1030-K1030-G1030*I1030)</f>
        <v>6.11106655859513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0.785645549251382</v>
      </c>
      <c r="N1030" s="16" t="n">
        <f aca="false">IF(D1030="","",(I1030+M1030)/2)</f>
        <v>0.806735824210657</v>
      </c>
      <c r="O1030" s="16" t="n">
        <f aca="false">IF(D1030="","",G1030*N1030)</f>
        <v>0.182241622689187</v>
      </c>
      <c r="P1030" s="16" t="n">
        <f aca="false">IF(D1030="","",H1030+E1030-K1030-O1030)</f>
        <v>6.11583085170843</v>
      </c>
      <c r="Q1030" s="16" t="n">
        <f aca="false">IF(D1030="","",IF(P1030&gt;=0,K1030,MAX(0,K1030+P1030)))</f>
        <v>0.648</v>
      </c>
      <c r="R1030" s="16" t="n">
        <f aca="false">IF(D1030="","",Q1030/$B$15)</f>
        <v>0.25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6.11583085170843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28.7128209000396</v>
      </c>
      <c r="Z1030" s="18" t="n">
        <f aca="false">IF(D1030="","",MAX(0,IF(P1030&gt;=0,P1030,IF(K1030+P1030&gt;=0,0,P1030+K1030))))</f>
        <v>6.11583085170843</v>
      </c>
      <c r="AA1030" s="18" t="n">
        <f aca="false">IF(D1030="","",IF(H1030&lt;=$B$16,1,IF(H1030&gt;=$B$17,$B$21,MATCH(H1030,Aux_CAV!$A$2:$A$121,1))))</f>
        <v>5</v>
      </c>
      <c r="AB1030" s="18" t="n">
        <f aca="false">IF(D1030="","",IF(L1030&lt;=$B$16,1,IF(L1030&gt;=$B$17,$B$21,MATCH(L1030,Aux_CAV!$A$2:$A$121,1))))</f>
        <v>4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0.0107676510144849</v>
      </c>
      <c r="E1031" s="16" t="n">
        <f aca="false">IF(D1031="","",D1031*$B$15)</f>
        <v>0.0279097514295449</v>
      </c>
      <c r="F1031" s="16" t="n">
        <f aca="false" t="array" ref="F1031:F1031">IF(D1031="","",IFERROR(INDEX(Dados_Evap!$C$2:$N$15,MATCH($B$9,Dados_Evap!$A$2:$A$15,0),C1031),0))</f>
        <v>206</v>
      </c>
      <c r="G1031" s="16" t="n">
        <f aca="false">IF(F1031="","",F1031/1000)</f>
        <v>0.206</v>
      </c>
      <c r="H1031" s="16" t="n">
        <f aca="false">IF(D1031="","",MAX(0,MIN($B$8,IFERROR(LOOKUP(2,1/($U$24:U1030&lt;&gt;""),$U$24:U1030),$B$11))))</f>
        <v>6.11583085170843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0.785923466349658</v>
      </c>
      <c r="J1031" s="16" t="n">
        <f aca="false">IF(D1031="","",$B$12)</f>
        <v>0.25</v>
      </c>
      <c r="K1031" s="16" t="n">
        <f aca="false">IF(J1031="","",J1031*$B$15)</f>
        <v>0.648</v>
      </c>
      <c r="L1031" s="16" t="n">
        <f aca="false">IF(D1031="","",H1031+E1031-K1031-G1031*I1031)</f>
        <v>5.33384036906994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0.740307354862413</v>
      </c>
      <c r="N1031" s="16" t="n">
        <f aca="false">IF(D1031="","",(I1031+M1031)/2)</f>
        <v>0.763115410606036</v>
      </c>
      <c r="O1031" s="16" t="n">
        <f aca="false">IF(D1031="","",G1031*N1031)</f>
        <v>0.157201774584843</v>
      </c>
      <c r="P1031" s="16" t="n">
        <f aca="false">IF(D1031="","",H1031+E1031-K1031-O1031)</f>
        <v>5.33853882855313</v>
      </c>
      <c r="Q1031" s="16" t="n">
        <f aca="false">IF(D1031="","",IF(P1031&gt;=0,K1031,MAX(0,K1031+P1031)))</f>
        <v>0.648</v>
      </c>
      <c r="R1031" s="16" t="n">
        <f aca="false">IF(D1031="","",Q1031/$B$15)</f>
        <v>0.25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5.33853882855313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25.0635625753668</v>
      </c>
      <c r="Z1031" s="18" t="n">
        <f aca="false">IF(D1031="","",MAX(0,IF(P1031&gt;=0,P1031,IF(K1031+P1031&gt;=0,0,P1031+K1031))))</f>
        <v>5.33853882855313</v>
      </c>
      <c r="AA1031" s="18" t="n">
        <f aca="false">IF(D1031="","",IF(H1031&lt;=$B$16,1,IF(H1031&gt;=$B$17,$B$21,MATCH(H1031,Aux_CAV!$A$2:$A$121,1))))</f>
        <v>4</v>
      </c>
      <c r="AB1031" s="18" t="n">
        <f aca="false">IF(D1031="","",IF(L1031&lt;=$B$16,1,IF(L1031&gt;=$B$17,$B$21,MATCH(L1031,Aux_CAV!$A$2:$A$121,1))))</f>
        <v>4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0.132605890629274</v>
      </c>
      <c r="E1032" s="16" t="n">
        <f aca="false">IF(D1032="","",D1032*$B$15)</f>
        <v>0.343714468511078</v>
      </c>
      <c r="F1032" s="16" t="n">
        <f aca="false" t="array" ref="F1032:F1032">IF(D1032="","",IFERROR(INDEX(Dados_Evap!$C$2:$N$15,MATCH($B$9,Dados_Evap!$A$2:$A$15,0),C1032),0))</f>
        <v>165.6</v>
      </c>
      <c r="G1032" s="16" t="n">
        <f aca="false">IF(F1032="","",F1032/1000)</f>
        <v>0.1656</v>
      </c>
      <c r="H1032" s="16" t="n">
        <f aca="false">IF(D1032="","",MAX(0,MIN($B$8,IFERROR(LOOKUP(2,1/($U$24:U1031&lt;&gt;""),$U$24:U1031),$B$11))))</f>
        <v>5.33853882855313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0.740581431665599</v>
      </c>
      <c r="J1032" s="16" t="n">
        <f aca="false">IF(D1032="","",$B$12)</f>
        <v>0.25</v>
      </c>
      <c r="K1032" s="16" t="n">
        <f aca="false">IF(J1032="","",J1032*$B$15)</f>
        <v>0.648</v>
      </c>
      <c r="L1032" s="16" t="n">
        <f aca="false">IF(D1032="","",H1032+E1032-K1032-G1032*I1032)</f>
        <v>4.91161301198038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0.715677425698856</v>
      </c>
      <c r="N1032" s="16" t="n">
        <f aca="false">IF(D1032="","",(I1032+M1032)/2)</f>
        <v>0.728129428682227</v>
      </c>
      <c r="O1032" s="16" t="n">
        <f aca="false">IF(D1032="","",G1032*N1032)</f>
        <v>0.120578233389777</v>
      </c>
      <c r="P1032" s="16" t="n">
        <f aca="false">IF(D1032="","",H1032+E1032-K1032-O1032)</f>
        <v>4.91367506367443</v>
      </c>
      <c r="Q1032" s="16" t="n">
        <f aca="false">IF(D1032="","",IF(P1032&gt;=0,K1032,MAX(0,K1032+P1032)))</f>
        <v>0.648</v>
      </c>
      <c r="R1032" s="16" t="n">
        <f aca="false">IF(D1032="","",Q1032/$B$15)</f>
        <v>0.25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4.91367506367443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23.068897012556</v>
      </c>
      <c r="Z1032" s="18" t="n">
        <f aca="false">IF(D1032="","",MAX(0,IF(P1032&gt;=0,P1032,IF(K1032+P1032&gt;=0,0,P1032+K1032))))</f>
        <v>4.91367506367443</v>
      </c>
      <c r="AA1032" s="18" t="n">
        <f aca="false">IF(D1032="","",IF(H1032&lt;=$B$16,1,IF(H1032&gt;=$B$17,$B$21,MATCH(H1032,Aux_CAV!$A$2:$A$121,1))))</f>
        <v>4</v>
      </c>
      <c r="AB1032" s="18" t="n">
        <f aca="false">IF(D1032="","",IF(L1032&lt;=$B$16,1,IF(L1032&gt;=$B$17,$B$21,MATCH(L1032,Aux_CAV!$A$2:$A$121,1))))</f>
        <v>4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0.611643210853795</v>
      </c>
      <c r="E1033" s="16" t="n">
        <f aca="false">IF(D1033="","",D1033*$B$15)</f>
        <v>1.58537920253304</v>
      </c>
      <c r="F1033" s="16" t="n">
        <f aca="false" t="array" ref="F1033:F1033">IF(D1033="","",IFERROR(INDEX(Dados_Evap!$C$2:$N$15,MATCH($B$9,Dados_Evap!$A$2:$A$15,0),C1033),0))</f>
        <v>124.9</v>
      </c>
      <c r="G1033" s="16" t="n">
        <f aca="false">IF(F1033="","",F1033/1000)</f>
        <v>0.1249</v>
      </c>
      <c r="H1033" s="16" t="n">
        <f aca="false">IF(D1033="","",MAX(0,MIN($B$8,IFERROR(LOOKUP(2,1/($U$24:U1032&lt;&gt;""),$U$24:U1032),$B$11))))</f>
        <v>4.91367506367443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0.715797712047675</v>
      </c>
      <c r="J1033" s="16" t="n">
        <f aca="false">IF(D1033="","",$B$12)</f>
        <v>0.25</v>
      </c>
      <c r="K1033" s="16" t="n">
        <f aca="false">IF(J1033="","",J1033*$B$15)</f>
        <v>0.648</v>
      </c>
      <c r="L1033" s="16" t="n">
        <f aca="false">IF(D1033="","",H1033+E1033-K1033-G1033*I1033)</f>
        <v>5.76165113197271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0.765262982698408</v>
      </c>
      <c r="N1033" s="16" t="n">
        <f aca="false">IF(D1033="","",(I1033+M1033)/2)</f>
        <v>0.740530347373042</v>
      </c>
      <c r="O1033" s="16" t="n">
        <f aca="false">IF(D1033="","",G1033*N1033)</f>
        <v>0.0924922403868929</v>
      </c>
      <c r="P1033" s="16" t="n">
        <f aca="false">IF(D1033="","",H1033+E1033-K1033-O1033)</f>
        <v>5.75856202582057</v>
      </c>
      <c r="Q1033" s="16" t="n">
        <f aca="false">IF(D1033="","",IF(P1033&gt;=0,K1033,MAX(0,K1033+P1033)))</f>
        <v>0.648</v>
      </c>
      <c r="R1033" s="16" t="n">
        <f aca="false">IF(D1033="","",Q1033/$B$15)</f>
        <v>0.25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5.75856202582057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27.0355024686412</v>
      </c>
      <c r="Z1033" s="18" t="n">
        <f aca="false">IF(D1033="","",MAX(0,IF(P1033&gt;=0,P1033,IF(K1033+P1033&gt;=0,0,P1033+K1033))))</f>
        <v>5.75856202582057</v>
      </c>
      <c r="AA1033" s="18" t="n">
        <f aca="false">IF(D1033="","",IF(H1033&lt;=$B$16,1,IF(H1033&gt;=$B$17,$B$21,MATCH(H1033,Aux_CAV!$A$2:$A$121,1))))</f>
        <v>4</v>
      </c>
      <c r="AB1033" s="18" t="n">
        <f aca="false">IF(D1033="","",IF(L1033&lt;=$B$16,1,IF(L1033&gt;=$B$17,$B$21,MATCH(L1033,Aux_CAV!$A$2:$A$121,1))))</f>
        <v>4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1.0707035843805</v>
      </c>
      <c r="E1034" s="16" t="n">
        <f aca="false">IF(D1034="","",D1034*$B$15)</f>
        <v>2.77526369071426</v>
      </c>
      <c r="F1034" s="16" t="n">
        <f aca="false" t="array" ref="F1034:F1034">IF(D1034="","",IFERROR(INDEX(Dados_Evap!$C$2:$N$15,MATCH($B$9,Dados_Evap!$A$2:$A$15,0),C1034),0))</f>
        <v>88.2</v>
      </c>
      <c r="G1034" s="16" t="n">
        <f aca="false">IF(F1034="","",F1034/1000)</f>
        <v>0.0882</v>
      </c>
      <c r="H1034" s="16" t="n">
        <f aca="false">IF(D1034="","",MAX(0,MIN($B$8,IFERROR(LOOKUP(2,1/($U$24:U1033&lt;&gt;""),$U$24:U1033),$B$11))))</f>
        <v>5.75856202582057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0.765082784839533</v>
      </c>
      <c r="J1034" s="16" t="n">
        <f aca="false">IF(D1034="","",$B$12)</f>
        <v>0.25</v>
      </c>
      <c r="K1034" s="16" t="n">
        <f aca="false">IF(J1034="","",J1034*$B$15)</f>
        <v>0.648</v>
      </c>
      <c r="L1034" s="16" t="n">
        <f aca="false">IF(D1034="","",H1034+E1034-K1034-G1034*I1034)</f>
        <v>7.81834541491198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0.857113232795752</v>
      </c>
      <c r="N1034" s="16" t="n">
        <f aca="false">IF(D1034="","",(I1034+M1034)/2)</f>
        <v>0.811098008817643</v>
      </c>
      <c r="O1034" s="16" t="n">
        <f aca="false">IF(D1034="","",G1034*N1034)</f>
        <v>0.0715388443777161</v>
      </c>
      <c r="P1034" s="16" t="n">
        <f aca="false">IF(D1034="","",H1034+E1034-K1034-O1034)</f>
        <v>7.81428687215711</v>
      </c>
      <c r="Q1034" s="16" t="n">
        <f aca="false">IF(D1034="","",IF(P1034&gt;=0,K1034,MAX(0,K1034+P1034)))</f>
        <v>0.648</v>
      </c>
      <c r="R1034" s="16" t="n">
        <f aca="false">IF(D1034="","",Q1034/$B$15)</f>
        <v>0.25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7.81428687215711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36.6867928270287</v>
      </c>
      <c r="Z1034" s="18" t="n">
        <f aca="false">IF(D1034="","",MAX(0,IF(P1034&gt;=0,P1034,IF(K1034+P1034&gt;=0,0,P1034+K1034))))</f>
        <v>7.81428687215711</v>
      </c>
      <c r="AA1034" s="18" t="n">
        <f aca="false">IF(D1034="","",IF(H1034&lt;=$B$16,1,IF(H1034&gt;=$B$17,$B$21,MATCH(H1034,Aux_CAV!$A$2:$A$121,1))))</f>
        <v>4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1.67522829800021</v>
      </c>
      <c r="E1035" s="16" t="n">
        <f aca="false">IF(D1035="","",D1035*$B$15)</f>
        <v>4.34219174841654</v>
      </c>
      <c r="F1035" s="16" t="n">
        <f aca="false" t="array" ref="F1035:F1035">IF(D1035="","",IFERROR(INDEX(Dados_Evap!$C$2:$N$15,MATCH($B$9,Dados_Evap!$A$2:$A$15,0),C1035),0))</f>
        <v>88.2</v>
      </c>
      <c r="G1035" s="16" t="n">
        <f aca="false">IF(F1035="","",F1035/1000)</f>
        <v>0.0882</v>
      </c>
      <c r="H1035" s="16" t="n">
        <f aca="false">IF(D1035="","",MAX(0,MIN($B$8,IFERROR(LOOKUP(2,1/($U$24:U1034&lt;&gt;""),$U$24:U1034),$B$11))))</f>
        <v>7.81428687215711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0.856978546642382</v>
      </c>
      <c r="J1035" s="16" t="n">
        <f aca="false">IF(D1035="","",$B$12)</f>
        <v>0.25</v>
      </c>
      <c r="K1035" s="16" t="n">
        <f aca="false">IF(J1035="","",J1035*$B$15)</f>
        <v>0.648</v>
      </c>
      <c r="L1035" s="16" t="n">
        <f aca="false">IF(D1035="","",H1035+E1035-K1035-G1035*I1035)</f>
        <v>11.4328931127598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0.976841555608538</v>
      </c>
      <c r="N1035" s="16" t="n">
        <f aca="false">IF(D1035="","",(I1035+M1035)/2)</f>
        <v>0.91691005112546</v>
      </c>
      <c r="O1035" s="16" t="n">
        <f aca="false">IF(D1035="","",G1035*N1035)</f>
        <v>0.0808714665092656</v>
      </c>
      <c r="P1035" s="16" t="n">
        <f aca="false">IF(D1035="","",H1035+E1035-K1035-O1035)</f>
        <v>11.4276071540644</v>
      </c>
      <c r="Q1035" s="16" t="n">
        <f aca="false">IF(D1035="","",IF(P1035&gt;=0,K1035,MAX(0,K1035+P1035)))</f>
        <v>0.648</v>
      </c>
      <c r="R1035" s="16" t="n">
        <f aca="false">IF(D1035="","",Q1035/$B$15)</f>
        <v>0.25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11.4276071540644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53.6507378125089</v>
      </c>
      <c r="Z1035" s="18" t="n">
        <f aca="false">IF(D1035="","",MAX(0,IF(P1035&gt;=0,P1035,IF(K1035+P1035&gt;=0,0,P1035+K1035))))</f>
        <v>11.4276071540644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6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1.34626634273196</v>
      </c>
      <c r="E1036" s="16" t="n">
        <f aca="false">IF(D1036="","",D1036*$B$15)</f>
        <v>3.48952236036124</v>
      </c>
      <c r="F1036" s="16" t="n">
        <f aca="false" t="array" ref="F1036:F1036">IF(D1036="","",IFERROR(INDEX(Dados_Evap!$C$2:$N$15,MATCH($B$9,Dados_Evap!$A$2:$A$15,0),C1036),0))</f>
        <v>83.9</v>
      </c>
      <c r="G1036" s="16" t="n">
        <f aca="false">IF(F1036="","",F1036/1000)</f>
        <v>0.0839</v>
      </c>
      <c r="H1036" s="16" t="n">
        <f aca="false">IF(D1036="","",MAX(0,MIN($B$8,IFERROR(LOOKUP(2,1/($U$24:U1035&lt;&gt;""),$U$24:U1035),$B$11))))</f>
        <v>11.4276071540644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0.97667168548033</v>
      </c>
      <c r="J1036" s="16" t="n">
        <f aca="false">IF(D1036="","",$B$12)</f>
        <v>0.25</v>
      </c>
      <c r="K1036" s="16" t="n">
        <f aca="false">IF(J1036="","",J1036*$B$15)</f>
        <v>0.648</v>
      </c>
      <c r="L1036" s="16" t="n">
        <f aca="false">IF(D1036="","",H1036+E1036-K1036-G1036*I1036)</f>
        <v>14.1871867600138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1.06535382782653</v>
      </c>
      <c r="N1036" s="16" t="n">
        <f aca="false">IF(D1036="","",(I1036+M1036)/2)</f>
        <v>1.02101275665343</v>
      </c>
      <c r="O1036" s="16" t="n">
        <f aca="false">IF(D1036="","",G1036*N1036)</f>
        <v>0.0856629702832229</v>
      </c>
      <c r="P1036" s="16" t="n">
        <f aca="false">IF(D1036="","",H1036+E1036-K1036-O1036)</f>
        <v>14.1834665441424</v>
      </c>
      <c r="Q1036" s="16" t="n">
        <f aca="false">IF(D1036="","",IF(P1036&gt;=0,K1036,MAX(0,K1036+P1036)))</f>
        <v>0.648</v>
      </c>
      <c r="R1036" s="16" t="n">
        <f aca="false">IF(D1036="","",Q1036/$B$15)</f>
        <v>0.25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14.1834665441424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66.5890448081803</v>
      </c>
      <c r="Z1036" s="18" t="n">
        <f aca="false">IF(D1036="","",MAX(0,IF(P1036&gt;=0,P1036,IF(K1036+P1036&gt;=0,0,P1036+K1036))))</f>
        <v>14.1834665441424</v>
      </c>
      <c r="AA1036" s="18" t="n">
        <f aca="false">IF(D1036="","",IF(H1036&lt;=$B$16,1,IF(H1036&gt;=$B$17,$B$21,MATCH(H1036,Aux_CAV!$A$2:$A$121,1))))</f>
        <v>6</v>
      </c>
      <c r="AB1036" s="18" t="n">
        <f aca="false">IF(D1036="","",IF(L1036&lt;=$B$16,1,IF(L1036&gt;=$B$17,$B$21,MATCH(L1036,Aux_CAV!$A$2:$A$121,1))))</f>
        <v>6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1.55922168076768</v>
      </c>
      <c r="E1037" s="16" t="n">
        <f aca="false">IF(D1037="","",D1037*$B$15)</f>
        <v>4.04150259654983</v>
      </c>
      <c r="F1037" s="16" t="n">
        <f aca="false" t="array" ref="F1037:F1037">IF(D1037="","",IFERROR(INDEX(Dados_Evap!$C$2:$N$15,MATCH($B$9,Dados_Evap!$A$2:$A$15,0),C1037),0))</f>
        <v>104.7</v>
      </c>
      <c r="G1037" s="16" t="n">
        <f aca="false">IF(F1037="","",F1037/1000)</f>
        <v>0.1047</v>
      </c>
      <c r="H1037" s="16" t="n">
        <f aca="false">IF(D1037="","",MAX(0,MIN($B$8,IFERROR(LOOKUP(2,1/($U$24:U1036&lt;&gt;""),$U$24:U1036),$B$11))))</f>
        <v>14.1834665441424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1.06523427457546</v>
      </c>
      <c r="J1037" s="16" t="n">
        <f aca="false">IF(D1037="","",$B$12)</f>
        <v>0.25</v>
      </c>
      <c r="K1037" s="16" t="n">
        <f aca="false">IF(J1037="","",J1037*$B$15)</f>
        <v>0.648</v>
      </c>
      <c r="L1037" s="16" t="n">
        <f aca="false">IF(D1037="","",H1037+E1037-K1037-G1037*I1037)</f>
        <v>17.4654391121442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1.15795188310918</v>
      </c>
      <c r="N1037" s="16" t="n">
        <f aca="false">IF(D1037="","",(I1037+M1037)/2)</f>
        <v>1.11159307884232</v>
      </c>
      <c r="O1037" s="16" t="n">
        <f aca="false">IF(D1037="","",G1037*N1037)</f>
        <v>0.116383795354791</v>
      </c>
      <c r="P1037" s="16" t="n">
        <f aca="false">IF(D1037="","",H1037+E1037-K1037-O1037)</f>
        <v>17.4605853453374</v>
      </c>
      <c r="Q1037" s="16" t="n">
        <f aca="false">IF(D1037="","",IF(P1037&gt;=0,K1037,MAX(0,K1037+P1037)))</f>
        <v>0.648</v>
      </c>
      <c r="R1037" s="16" t="n">
        <f aca="false">IF(D1037="","",Q1037/$B$15)</f>
        <v>0.25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17.4605853453374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81.9745790860913</v>
      </c>
      <c r="Z1037" s="18" t="n">
        <f aca="false">IF(D1037="","",MAX(0,IF(P1037&gt;=0,P1037,IF(K1037+P1037&gt;=0,0,P1037+K1037))))</f>
        <v>17.4605853453374</v>
      </c>
      <c r="AA1037" s="18" t="n">
        <f aca="false">IF(D1037="","",IF(H1037&lt;=$B$16,1,IF(H1037&gt;=$B$17,$B$21,MATCH(H1037,Aux_CAV!$A$2:$A$121,1))))</f>
        <v>6</v>
      </c>
      <c r="AB1037" s="18" t="n">
        <f aca="false">IF(D1037="","",IF(L1037&lt;=$B$16,1,IF(L1037&gt;=$B$17,$B$21,MATCH(L1037,Aux_CAV!$A$2:$A$121,1))))</f>
        <v>7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0.449201330640089</v>
      </c>
      <c r="E1038" s="16" t="n">
        <f aca="false">IF(D1038="","",D1038*$B$15)</f>
        <v>1.16432984901911</v>
      </c>
      <c r="F1038" s="16" t="n">
        <f aca="false" t="array" ref="F1038:F1038">IF(D1038="","",IFERROR(INDEX(Dados_Evap!$C$2:$N$15,MATCH($B$9,Dados_Evap!$A$2:$A$15,0),C1038),0))</f>
        <v>145.2</v>
      </c>
      <c r="G1038" s="16" t="n">
        <f aca="false">IF(F1038="","",F1038/1000)</f>
        <v>0.1452</v>
      </c>
      <c r="H1038" s="16" t="n">
        <f aca="false">IF(D1038="","",MAX(0,MIN($B$8,IFERROR(LOOKUP(2,1/($U$24:U1037&lt;&gt;""),$U$24:U1037),$B$11))))</f>
        <v>17.4605853453374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1.15786068498546</v>
      </c>
      <c r="J1038" s="16" t="n">
        <f aca="false">IF(D1038="","",$B$12)</f>
        <v>0.25</v>
      </c>
      <c r="K1038" s="16" t="n">
        <f aca="false">IF(J1038="","",J1038*$B$15)</f>
        <v>0.648</v>
      </c>
      <c r="L1038" s="16" t="n">
        <f aca="false">IF(D1038="","",H1038+E1038-K1038-G1038*I1038)</f>
        <v>17.8087938228967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1.16440322422979</v>
      </c>
      <c r="N1038" s="16" t="n">
        <f aca="false">IF(D1038="","",(I1038+M1038)/2)</f>
        <v>1.16113195460763</v>
      </c>
      <c r="O1038" s="16" t="n">
        <f aca="false">IF(D1038="","",G1038*N1038)</f>
        <v>0.168596359809027</v>
      </c>
      <c r="P1038" s="16" t="n">
        <f aca="false">IF(D1038="","",H1038+E1038-K1038-O1038)</f>
        <v>17.8083188345475</v>
      </c>
      <c r="Q1038" s="16" t="n">
        <f aca="false">IF(D1038="","",IF(P1038&gt;=0,K1038,MAX(0,K1038+P1038)))</f>
        <v>0.648</v>
      </c>
      <c r="R1038" s="16" t="n">
        <f aca="false">IF(D1038="","",Q1038/$B$15)</f>
        <v>0.25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17.8083188345475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83.6071306786269</v>
      </c>
      <c r="Z1038" s="18" t="n">
        <f aca="false">IF(D1038="","",MAX(0,IF(P1038&gt;=0,P1038,IF(K1038+P1038&gt;=0,0,P1038+K1038))))</f>
        <v>17.8083188345475</v>
      </c>
      <c r="AA1038" s="18" t="n">
        <f aca="false">IF(D1038="","",IF(H1038&lt;=$B$16,1,IF(H1038&gt;=$B$17,$B$21,MATCH(H1038,Aux_CAV!$A$2:$A$121,1))))</f>
        <v>7</v>
      </c>
      <c r="AB1038" s="18" t="n">
        <f aca="false">IF(D1038="","",IF(L1038&lt;=$B$16,1,IF(L1038&gt;=$B$17,$B$21,MATCH(L1038,Aux_CAV!$A$2:$A$121,1))))</f>
        <v>7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0.226229928208613</v>
      </c>
      <c r="E1039" s="16" t="n">
        <f aca="false">IF(D1039="","",D1039*$B$15)</f>
        <v>0.586387973916725</v>
      </c>
      <c r="F1039" s="16" t="n">
        <f aca="false" t="array" ref="F1039:F1039">IF(D1039="","",IFERROR(INDEX(Dados_Evap!$C$2:$N$15,MATCH($B$9,Dados_Evap!$A$2:$A$15,0),C1039),0))</f>
        <v>180.9</v>
      </c>
      <c r="G1039" s="16" t="n">
        <f aca="false">IF(F1039="","",F1039/1000)</f>
        <v>0.1809</v>
      </c>
      <c r="H1039" s="16" t="n">
        <f aca="false">IF(D1039="","",MAX(0,MIN($B$8,IFERROR(LOOKUP(2,1/($U$24:U1038&lt;&gt;""),$U$24:U1038),$B$11))))</f>
        <v>17.8083188345475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1.16439429960528</v>
      </c>
      <c r="J1039" s="16" t="n">
        <f aca="false">IF(D1039="","",$B$12)</f>
        <v>0.25</v>
      </c>
      <c r="K1039" s="16" t="n">
        <f aca="false">IF(J1039="","",J1039*$B$15)</f>
        <v>0.648</v>
      </c>
      <c r="L1039" s="16" t="n">
        <f aca="false">IF(D1039="","",H1039+E1039-K1039-G1039*I1039)</f>
        <v>17.5360678796657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1.15927893719622</v>
      </c>
      <c r="N1039" s="16" t="n">
        <f aca="false">IF(D1039="","",(I1039+M1039)/2)</f>
        <v>1.16183661840075</v>
      </c>
      <c r="O1039" s="16" t="n">
        <f aca="false">IF(D1039="","",G1039*N1039)</f>
        <v>0.210176244268696</v>
      </c>
      <c r="P1039" s="16" t="n">
        <f aca="false">IF(D1039="","",H1039+E1039-K1039-O1039)</f>
        <v>17.5365305641956</v>
      </c>
      <c r="Q1039" s="16" t="n">
        <f aca="false">IF(D1039="","",IF(P1039&gt;=0,K1039,MAX(0,K1039+P1039)))</f>
        <v>0.648</v>
      </c>
      <c r="R1039" s="16" t="n">
        <f aca="false">IF(D1039="","",Q1039/$B$15)</f>
        <v>0.25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17.5365305641956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82.3311294093688</v>
      </c>
      <c r="Z1039" s="18" t="n">
        <f aca="false">IF(D1039="","",MAX(0,IF(P1039&gt;=0,P1039,IF(K1039+P1039&gt;=0,0,P1039+K1039))))</f>
        <v>17.5365305641956</v>
      </c>
      <c r="AA1039" s="18" t="n">
        <f aca="false">IF(D1039="","",IF(H1039&lt;=$B$16,1,IF(H1039&gt;=$B$17,$B$21,MATCH(H1039,Aux_CAV!$A$2:$A$121,1))))</f>
        <v>7</v>
      </c>
      <c r="AB1039" s="18" t="n">
        <f aca="false">IF(D1039="","",IF(L1039&lt;=$B$16,1,IF(L1039&gt;=$B$17,$B$21,MATCH(L1039,Aux_CAV!$A$2:$A$121,1))))</f>
        <v>7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0.147498030662496</v>
      </c>
      <c r="E1040" s="16" t="n">
        <f aca="false">IF(D1040="","",D1040*$B$15)</f>
        <v>0.38231489547719</v>
      </c>
      <c r="F1040" s="16" t="n">
        <f aca="false" t="array" ref="F1040:F1040">IF(D1040="","",IFERROR(INDEX(Dados_Evap!$C$2:$N$15,MATCH($B$9,Dados_Evap!$A$2:$A$15,0),C1040),0))</f>
        <v>208.9</v>
      </c>
      <c r="G1040" s="16" t="n">
        <f aca="false">IF(F1040="","",F1040/1000)</f>
        <v>0.2089</v>
      </c>
      <c r="H1040" s="16" t="n">
        <f aca="false">IF(D1040="","",MAX(0,MIN($B$8,IFERROR(LOOKUP(2,1/($U$24:U1039&lt;&gt;""),$U$24:U1039),$B$11))))</f>
        <v>17.5365305641956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1.15928763064251</v>
      </c>
      <c r="J1040" s="16" t="n">
        <f aca="false">IF(D1040="","",$B$12)</f>
        <v>0.25</v>
      </c>
      <c r="K1040" s="16" t="n">
        <f aca="false">IF(J1040="","",J1040*$B$15)</f>
        <v>0.648</v>
      </c>
      <c r="L1040" s="16" t="n">
        <f aca="false">IF(D1040="","",H1040+E1040-K1040-G1040*I1040)</f>
        <v>17.0286702736315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1.14974537048577</v>
      </c>
      <c r="N1040" s="16" t="n">
        <f aca="false">IF(D1040="","",(I1040+M1040)/2)</f>
        <v>1.15451650056414</v>
      </c>
      <c r="O1040" s="16" t="n">
        <f aca="false">IF(D1040="","",G1040*N1040)</f>
        <v>0.241178496967848</v>
      </c>
      <c r="P1040" s="16" t="n">
        <f aca="false">IF(D1040="","",H1040+E1040-K1040-O1040)</f>
        <v>17.0296669627049</v>
      </c>
      <c r="Q1040" s="16" t="n">
        <f aca="false">IF(D1040="","",IF(P1040&gt;=0,K1040,MAX(0,K1040+P1040)))</f>
        <v>0.648</v>
      </c>
      <c r="R1040" s="16" t="n">
        <f aca="false">IF(D1040="","",Q1040/$B$15)</f>
        <v>0.25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17.0296669627049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79.9514880878164</v>
      </c>
      <c r="Z1040" s="18" t="n">
        <f aca="false">IF(D1040="","",MAX(0,IF(P1040&gt;=0,P1040,IF(K1040+P1040&gt;=0,0,P1040+K1040))))</f>
        <v>17.0296669627049</v>
      </c>
      <c r="AA1040" s="18" t="n">
        <f aca="false">IF(D1040="","",IF(H1040&lt;=$B$16,1,IF(H1040&gt;=$B$17,$B$21,MATCH(H1040,Aux_CAV!$A$2:$A$121,1))))</f>
        <v>7</v>
      </c>
      <c r="AB1040" s="18" t="n">
        <f aca="false">IF(D1040="","",IF(L1040&lt;=$B$16,1,IF(L1040&gt;=$B$17,$B$21,MATCH(L1040,Aux_CAV!$A$2:$A$121,1))))</f>
        <v>7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0.0867075255092325</v>
      </c>
      <c r="E1041" s="16" t="n">
        <f aca="false">IF(D1041="","",D1041*$B$15)</f>
        <v>0.224745906119931</v>
      </c>
      <c r="F1041" s="16" t="n">
        <f aca="false" t="array" ref="F1041:F1041">IF(D1041="","",IFERROR(INDEX(Dados_Evap!$C$2:$N$15,MATCH($B$9,Dados_Evap!$A$2:$A$15,0),C1041),0))</f>
        <v>235.9</v>
      </c>
      <c r="G1041" s="16" t="n">
        <f aca="false">IF(F1041="","",F1041/1000)</f>
        <v>0.2359</v>
      </c>
      <c r="H1041" s="16" t="n">
        <f aca="false">IF(D1041="","",MAX(0,MIN($B$8,IFERROR(LOOKUP(2,1/($U$24:U1040&lt;&gt;""),$U$24:U1040),$B$11))))</f>
        <v>17.0296669627049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1.14976409742034</v>
      </c>
      <c r="J1041" s="16" t="n">
        <f aca="false">IF(D1041="","",$B$12)</f>
        <v>0.25</v>
      </c>
      <c r="K1041" s="16" t="n">
        <f aca="false">IF(J1041="","",J1041*$B$15)</f>
        <v>0.648</v>
      </c>
      <c r="L1041" s="16" t="n">
        <f aca="false">IF(D1041="","",H1041+E1041-K1041-G1041*I1041)</f>
        <v>16.3351835182434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1.13438207903618</v>
      </c>
      <c r="N1041" s="16" t="n">
        <f aca="false">IF(D1041="","",(I1041+M1041)/2)</f>
        <v>1.14207308822826</v>
      </c>
      <c r="O1041" s="16" t="n">
        <f aca="false">IF(D1041="","",G1041*N1041)</f>
        <v>0.269415041513046</v>
      </c>
      <c r="P1041" s="16" t="n">
        <f aca="false">IF(D1041="","",H1041+E1041-K1041-O1041)</f>
        <v>16.3369978273118</v>
      </c>
      <c r="Q1041" s="16" t="n">
        <f aca="false">IF(D1041="","",IF(P1041&gt;=0,K1041,MAX(0,K1041+P1041)))</f>
        <v>0.648</v>
      </c>
      <c r="R1041" s="16" t="n">
        <f aca="false">IF(D1041="","",Q1041/$B$15)</f>
        <v>0.25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16.3369978273118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76.6995203160178</v>
      </c>
      <c r="Z1041" s="18" t="n">
        <f aca="false">IF(D1041="","",MAX(0,IF(P1041&gt;=0,P1041,IF(K1041+P1041&gt;=0,0,P1041+K1041))))</f>
        <v>16.3369978273118</v>
      </c>
      <c r="AA1041" s="18" t="n">
        <f aca="false">IF(D1041="","",IF(H1041&lt;=$B$16,1,IF(H1041&gt;=$B$17,$B$21,MATCH(H1041,Aux_CAV!$A$2:$A$121,1))))</f>
        <v>7</v>
      </c>
      <c r="AB1041" s="18" t="n">
        <f aca="false">IF(D1041="","",IF(L1041&lt;=$B$16,1,IF(L1041&gt;=$B$17,$B$21,MATCH(L1041,Aux_CAV!$A$2:$A$121,1))))</f>
        <v>6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0.0489110021815941</v>
      </c>
      <c r="E1042" s="16" t="n">
        <f aca="false">IF(D1042="","",D1042*$B$15)</f>
        <v>0.126777317654692</v>
      </c>
      <c r="F1042" s="16" t="n">
        <f aca="false" t="array" ref="F1042:F1042">IF(D1042="","",IFERROR(INDEX(Dados_Evap!$C$2:$N$15,MATCH($B$9,Dados_Evap!$A$2:$A$15,0),C1042),0))</f>
        <v>225.9</v>
      </c>
      <c r="G1042" s="16" t="n">
        <f aca="false">IF(F1042="","",F1042/1000)</f>
        <v>0.2259</v>
      </c>
      <c r="H1042" s="16" t="n">
        <f aca="false">IF(D1042="","",MAX(0,MIN($B$8,IFERROR(LOOKUP(2,1/($U$24:U1041&lt;&gt;""),$U$24:U1041),$B$11))))</f>
        <v>16.3369978273118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1.13444038386446</v>
      </c>
      <c r="J1042" s="16" t="n">
        <f aca="false">IF(D1042="","",$B$12)</f>
        <v>0.25</v>
      </c>
      <c r="K1042" s="16" t="n">
        <f aca="false">IF(J1042="","",J1042*$B$15)</f>
        <v>0.648</v>
      </c>
      <c r="L1042" s="16" t="n">
        <f aca="false">IF(D1042="","",H1042+E1042-K1042-G1042*I1042)</f>
        <v>15.5595050622515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1.10945479406101</v>
      </c>
      <c r="N1042" s="16" t="n">
        <f aca="false">IF(D1042="","",(I1042+M1042)/2)</f>
        <v>1.12194758896274</v>
      </c>
      <c r="O1042" s="16" t="n">
        <f aca="false">IF(D1042="","",G1042*N1042)</f>
        <v>0.253447960346682</v>
      </c>
      <c r="P1042" s="16" t="n">
        <f aca="false">IF(D1042="","",H1042+E1042-K1042-O1042)</f>
        <v>15.5623271846198</v>
      </c>
      <c r="Q1042" s="16" t="n">
        <f aca="false">IF(D1042="","",IF(P1042&gt;=0,K1042,MAX(0,K1042+P1042)))</f>
        <v>0.648</v>
      </c>
      <c r="R1042" s="16" t="n">
        <f aca="false">IF(D1042="","",Q1042/$B$15)</f>
        <v>0.25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15.5623271846198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73.062568941877</v>
      </c>
      <c r="Z1042" s="18" t="n">
        <f aca="false">IF(D1042="","",MAX(0,IF(P1042&gt;=0,P1042,IF(K1042+P1042&gt;=0,0,P1042+K1042))))</f>
        <v>15.5623271846198</v>
      </c>
      <c r="AA1042" s="18" t="n">
        <f aca="false">IF(D1042="","",IF(H1042&lt;=$B$16,1,IF(H1042&gt;=$B$17,$B$21,MATCH(H1042,Aux_CAV!$A$2:$A$121,1))))</f>
        <v>6</v>
      </c>
      <c r="AB1042" s="18" t="n">
        <f aca="false">IF(D1042="","",IF(L1042&lt;=$B$16,1,IF(L1042&gt;=$B$17,$B$21,MATCH(L1042,Aux_CAV!$A$2:$A$121,1))))</f>
        <v>6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0.123885111728192</v>
      </c>
      <c r="E1043" s="16" t="n">
        <f aca="false">IF(D1043="","",D1043*$B$15)</f>
        <v>0.321110209599474</v>
      </c>
      <c r="F1043" s="16" t="n">
        <f aca="false" t="array" ref="F1043:F1043">IF(D1043="","",IFERROR(INDEX(Dados_Evap!$C$2:$N$15,MATCH($B$9,Dados_Evap!$A$2:$A$15,0),C1043),0))</f>
        <v>206</v>
      </c>
      <c r="G1043" s="16" t="n">
        <f aca="false">IF(F1043="","",F1043/1000)</f>
        <v>0.206</v>
      </c>
      <c r="H1043" s="16" t="n">
        <f aca="false">IF(D1043="","",MAX(0,MIN($B$8,IFERROR(LOOKUP(2,1/($U$24:U1042&lt;&gt;""),$U$24:U1042),$B$11))))</f>
        <v>15.5623271846198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1.10954548608419</v>
      </c>
      <c r="J1043" s="16" t="n">
        <f aca="false">IF(D1043="","",$B$12)</f>
        <v>0.25</v>
      </c>
      <c r="K1043" s="16" t="n">
        <f aca="false">IF(J1043="","",J1043*$B$15)</f>
        <v>0.648</v>
      </c>
      <c r="L1043" s="16" t="n">
        <f aca="false">IF(D1043="","",H1043+E1043-K1043-G1043*I1043)</f>
        <v>15.0068710240859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1.09169528810862</v>
      </c>
      <c r="N1043" s="16" t="n">
        <f aca="false">IF(D1043="","",(I1043+M1043)/2)</f>
        <v>1.10062038709641</v>
      </c>
      <c r="O1043" s="16" t="n">
        <f aca="false">IF(D1043="","",G1043*N1043)</f>
        <v>0.22672779974186</v>
      </c>
      <c r="P1043" s="16" t="n">
        <f aca="false">IF(D1043="","",H1043+E1043-K1043-O1043)</f>
        <v>15.0087095944774</v>
      </c>
      <c r="Q1043" s="16" t="n">
        <f aca="false">IF(D1043="","",IF(P1043&gt;=0,K1043,MAX(0,K1043+P1043)))</f>
        <v>0.648</v>
      </c>
      <c r="R1043" s="16" t="n">
        <f aca="false">IF(D1043="","",Q1043/$B$15)</f>
        <v>0.25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15.0087095944774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70.4634253261851</v>
      </c>
      <c r="Z1043" s="18" t="n">
        <f aca="false">IF(D1043="","",MAX(0,IF(P1043&gt;=0,P1043,IF(K1043+P1043&gt;=0,0,P1043+K1043))))</f>
        <v>15.0087095944774</v>
      </c>
      <c r="AA1043" s="18" t="n">
        <f aca="false">IF(D1043="","",IF(H1043&lt;=$B$16,1,IF(H1043&gt;=$B$17,$B$21,MATCH(H1043,Aux_CAV!$A$2:$A$121,1))))</f>
        <v>6</v>
      </c>
      <c r="AB1043" s="18" t="n">
        <f aca="false">IF(D1043="","",IF(L1043&lt;=$B$16,1,IF(L1043&gt;=$B$17,$B$21,MATCH(L1043,Aux_CAV!$A$2:$A$121,1))))</f>
        <v>6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0.133497642300489</v>
      </c>
      <c r="E1044" s="16" t="n">
        <f aca="false">IF(D1044="","",D1044*$B$15)</f>
        <v>0.346025888842868</v>
      </c>
      <c r="F1044" s="16" t="n">
        <f aca="false" t="array" ref="F1044:F1044">IF(D1044="","",IFERROR(INDEX(Dados_Evap!$C$2:$N$15,MATCH($B$9,Dados_Evap!$A$2:$A$15,0),C1044),0))</f>
        <v>165.6</v>
      </c>
      <c r="G1044" s="16" t="n">
        <f aca="false">IF(F1044="","",F1044/1000)</f>
        <v>0.1656</v>
      </c>
      <c r="H1044" s="16" t="n">
        <f aca="false">IF(D1044="","",MAX(0,MIN($B$8,IFERROR(LOOKUP(2,1/($U$24:U1043&lt;&gt;""),$U$24:U1043),$B$11))))</f>
        <v>15.0087095944774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1.09175437260135</v>
      </c>
      <c r="J1044" s="16" t="n">
        <f aca="false">IF(D1044="","",$B$12)</f>
        <v>0.25</v>
      </c>
      <c r="K1044" s="16" t="n">
        <f aca="false">IF(J1044="","",J1044*$B$15)</f>
        <v>0.648</v>
      </c>
      <c r="L1044" s="16" t="n">
        <f aca="false">IF(D1044="","",H1044+E1044-K1044-G1044*I1044)</f>
        <v>14.5259409592175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1.0762400686327</v>
      </c>
      <c r="N1044" s="16" t="n">
        <f aca="false">IF(D1044="","",(I1044+M1044)/2)</f>
        <v>1.08399722061703</v>
      </c>
      <c r="O1044" s="16" t="n">
        <f aca="false">IF(D1044="","",G1044*N1044)</f>
        <v>0.179509939734179</v>
      </c>
      <c r="P1044" s="16" t="n">
        <f aca="false">IF(D1044="","",H1044+E1044-K1044-O1044)</f>
        <v>14.5272255435861</v>
      </c>
      <c r="Q1044" s="16" t="n">
        <f aca="false">IF(D1044="","",IF(P1044&gt;=0,K1044,MAX(0,K1044+P1044)))</f>
        <v>0.648</v>
      </c>
      <c r="R1044" s="16" t="n">
        <f aca="false">IF(D1044="","",Q1044/$B$15)</f>
        <v>0.25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14.5272255435861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68.2029368243479</v>
      </c>
      <c r="Z1044" s="18" t="n">
        <f aca="false">IF(D1044="","",MAX(0,IF(P1044&gt;=0,P1044,IF(K1044+P1044&gt;=0,0,P1044+K1044))))</f>
        <v>14.5272255435861</v>
      </c>
      <c r="AA1044" s="18" t="n">
        <f aca="false">IF(D1044="","",IF(H1044&lt;=$B$16,1,IF(H1044&gt;=$B$17,$B$21,MATCH(H1044,Aux_CAV!$A$2:$A$121,1))))</f>
        <v>6</v>
      </c>
      <c r="AB1044" s="18" t="n">
        <f aca="false">IF(D1044="","",IF(L1044&lt;=$B$16,1,IF(L1044&gt;=$B$17,$B$21,MATCH(L1044,Aux_CAV!$A$2:$A$121,1))))</f>
        <v>6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0.478215207515255</v>
      </c>
      <c r="E1045" s="16" t="n">
        <f aca="false">IF(D1045="","",D1045*$B$15)</f>
        <v>1.23953381787954</v>
      </c>
      <c r="F1045" s="16" t="n">
        <f aca="false" t="array" ref="F1045:F1045">IF(D1045="","",IFERROR(INDEX(Dados_Evap!$C$2:$N$15,MATCH($B$9,Dados_Evap!$A$2:$A$15,0),C1045),0))</f>
        <v>124.9</v>
      </c>
      <c r="G1045" s="16" t="n">
        <f aca="false">IF(F1045="","",F1045/1000)</f>
        <v>0.1249</v>
      </c>
      <c r="H1045" s="16" t="n">
        <f aca="false">IF(D1045="","",MAX(0,MIN($B$8,IFERROR(LOOKUP(2,1/($U$24:U1044&lt;&gt;""),$U$24:U1044),$B$11))))</f>
        <v>14.5272255435861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1.07628135017195</v>
      </c>
      <c r="J1045" s="16" t="n">
        <f aca="false">IF(D1045="","",$B$12)</f>
        <v>0.25</v>
      </c>
      <c r="K1045" s="16" t="n">
        <f aca="false">IF(J1045="","",J1045*$B$15)</f>
        <v>0.648</v>
      </c>
      <c r="L1045" s="16" t="n">
        <f aca="false">IF(D1045="","",H1045+E1045-K1045-G1045*I1045)</f>
        <v>14.9843318208292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1.09097096588676</v>
      </c>
      <c r="N1045" s="16" t="n">
        <f aca="false">IF(D1045="","",(I1045+M1045)/2)</f>
        <v>1.08362615802936</v>
      </c>
      <c r="O1045" s="16" t="n">
        <f aca="false">IF(D1045="","",G1045*N1045)</f>
        <v>0.135344907137867</v>
      </c>
      <c r="P1045" s="16" t="n">
        <f aca="false">IF(D1045="","",H1045+E1045-K1045-O1045)</f>
        <v>14.9834144543278</v>
      </c>
      <c r="Q1045" s="16" t="n">
        <f aca="false">IF(D1045="","",IF(P1045&gt;=0,K1045,MAX(0,K1045+P1045)))</f>
        <v>0.648</v>
      </c>
      <c r="R1045" s="16" t="n">
        <f aca="false">IF(D1045="","",Q1045/$B$15)</f>
        <v>0.25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14.9834144543278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70.3446687996609</v>
      </c>
      <c r="Z1045" s="18" t="n">
        <f aca="false">IF(D1045="","",MAX(0,IF(P1045&gt;=0,P1045,IF(K1045+P1045&gt;=0,0,P1045+K1045))))</f>
        <v>14.9834144543278</v>
      </c>
      <c r="AA1045" s="18" t="n">
        <f aca="false">IF(D1045="","",IF(H1045&lt;=$B$16,1,IF(H1045&gt;=$B$17,$B$21,MATCH(H1045,Aux_CAV!$A$2:$A$121,1))))</f>
        <v>6</v>
      </c>
      <c r="AB1045" s="18" t="n">
        <f aca="false">IF(D1045="","",IF(L1045&lt;=$B$16,1,IF(L1045&gt;=$B$17,$B$21,MATCH(L1045,Aux_CAV!$A$2:$A$121,1))))</f>
        <v>6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0.903818843233656</v>
      </c>
      <c r="E1046" s="16" t="n">
        <f aca="false">IF(D1046="","",D1046*$B$15)</f>
        <v>2.34269844166164</v>
      </c>
      <c r="F1046" s="16" t="n">
        <f aca="false" t="array" ref="F1046:F1046">IF(D1046="","",IFERROR(INDEX(Dados_Evap!$C$2:$N$15,MATCH($B$9,Dados_Evap!$A$2:$A$15,0),C1046),0))</f>
        <v>88.2</v>
      </c>
      <c r="G1046" s="16" t="n">
        <f aca="false">IF(F1046="","",F1046/1000)</f>
        <v>0.0882</v>
      </c>
      <c r="H1046" s="16" t="n">
        <f aca="false">IF(D1046="","",MAX(0,MIN($B$8,IFERROR(LOOKUP(2,1/($U$24:U1045&lt;&gt;""),$U$24:U1045),$B$11))))</f>
        <v>14.9834144543278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1.09094148529976</v>
      </c>
      <c r="J1046" s="16" t="n">
        <f aca="false">IF(D1046="","",$B$12)</f>
        <v>0.25</v>
      </c>
      <c r="K1046" s="16" t="n">
        <f aca="false">IF(J1046="","",J1046*$B$15)</f>
        <v>0.648</v>
      </c>
      <c r="L1046" s="16" t="n">
        <f aca="false">IF(D1046="","",H1046+E1046-K1046-G1046*I1046)</f>
        <v>16.581891856986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1.14135078645694</v>
      </c>
      <c r="N1046" s="16" t="n">
        <f aca="false">IF(D1046="","",(I1046+M1046)/2)</f>
        <v>1.11614613587835</v>
      </c>
      <c r="O1046" s="16" t="n">
        <f aca="false">IF(D1046="","",G1046*N1046)</f>
        <v>0.0984440891844704</v>
      </c>
      <c r="P1046" s="16" t="n">
        <f aca="false">IF(D1046="","",H1046+E1046-K1046-O1046)</f>
        <v>16.5796688068049</v>
      </c>
      <c r="Q1046" s="16" t="n">
        <f aca="false">IF(D1046="","",IF(P1046&gt;=0,K1046,MAX(0,K1046+P1046)))</f>
        <v>0.648</v>
      </c>
      <c r="R1046" s="16" t="n">
        <f aca="false">IF(D1046="","",Q1046/$B$15)</f>
        <v>0.25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16.5796688068049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77.8388206892251</v>
      </c>
      <c r="Z1046" s="18" t="n">
        <f aca="false">IF(D1046="","",MAX(0,IF(P1046&gt;=0,P1046,IF(K1046+P1046&gt;=0,0,P1046+K1046))))</f>
        <v>16.5796688068049</v>
      </c>
      <c r="AA1046" s="18" t="n">
        <f aca="false">IF(D1046="","",IF(H1046&lt;=$B$16,1,IF(H1046&gt;=$B$17,$B$21,MATCH(H1046,Aux_CAV!$A$2:$A$121,1))))</f>
        <v>6</v>
      </c>
      <c r="AB1046" s="18" t="n">
        <f aca="false">IF(D1046="","",IF(L1046&lt;=$B$16,1,IF(L1046&gt;=$B$17,$B$21,MATCH(L1046,Aux_CAV!$A$2:$A$121,1))))</f>
        <v>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2.33860498585026</v>
      </c>
      <c r="E1047" s="16" t="n">
        <f aca="false">IF(D1047="","",D1047*$B$15)</f>
        <v>6.06166412332388</v>
      </c>
      <c r="F1047" s="16" t="n">
        <f aca="false" t="array" ref="F1047:F1047">IF(D1047="","",IFERROR(INDEX(Dados_Evap!$C$2:$N$15,MATCH($B$9,Dados_Evap!$A$2:$A$15,0),C1047),0))</f>
        <v>88.2</v>
      </c>
      <c r="G1047" s="16" t="n">
        <f aca="false">IF(F1047="","",F1047/1000)</f>
        <v>0.0882</v>
      </c>
      <c r="H1047" s="16" t="n">
        <f aca="false">IF(D1047="","",MAX(0,MIN($B$8,IFERROR(LOOKUP(2,1/($U$24:U1046&lt;&gt;""),$U$24:U1046),$B$11))))</f>
        <v>16.5796688068049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1.14130901724686</v>
      </c>
      <c r="J1047" s="16" t="n">
        <f aca="false">IF(D1047="","",$B$12)</f>
        <v>0.25</v>
      </c>
      <c r="K1047" s="16" t="n">
        <f aca="false">IF(J1047="","",J1047*$B$15)</f>
        <v>0.648</v>
      </c>
      <c r="L1047" s="16" t="n">
        <f aca="false">IF(D1047="","",H1047+E1047-K1047-G1047*I1047)</f>
        <v>21.8926694748076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1.23987782458013</v>
      </c>
      <c r="N1047" s="16" t="n">
        <f aca="false">IF(D1047="","",(I1047+M1047)/2)</f>
        <v>1.19059342091349</v>
      </c>
      <c r="O1047" s="16" t="n">
        <f aca="false">IF(D1047="","",G1047*N1047)</f>
        <v>0.10501033972457</v>
      </c>
      <c r="P1047" s="16" t="n">
        <f aca="false">IF(D1047="","",H1047+E1047-K1047-O1047)</f>
        <v>21.8883225904043</v>
      </c>
      <c r="Q1047" s="16" t="n">
        <f aca="false">IF(D1047="","",IF(P1047&gt;=0,K1047,MAX(0,K1047+P1047)))</f>
        <v>0.648</v>
      </c>
      <c r="R1047" s="16" t="n">
        <f aca="false">IF(D1047="","",Q1047/$B$15)</f>
        <v>0.25</v>
      </c>
      <c r="S1047" s="16" t="n">
        <f aca="false">IF(D1047="","",MAX(0,J1047-R1047))</f>
        <v>0</v>
      </c>
      <c r="T1047" s="16" t="n">
        <f aca="false">IF(D1047="","",MAX(0,Z1047-$B$8))</f>
        <v>0.58832259040425</v>
      </c>
      <c r="U1047" s="16" t="n">
        <f aca="false">IF(D1047="","",MAX(0,MIN($B$8,Z1047)))</f>
        <v>21.3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21.8883225904043</v>
      </c>
      <c r="AA1047" s="18" t="n">
        <f aca="false">IF(D1047="","",IF(H1047&lt;=$B$16,1,IF(H1047&gt;=$B$17,$B$21,MATCH(H1047,Aux_CAV!$A$2:$A$121,1))))</f>
        <v>7</v>
      </c>
      <c r="AB1047" s="18" t="n">
        <f aca="false">IF(D1047="","",IF(L1047&lt;=$B$16,1,IF(L1047&gt;=$B$17,$B$21,MATCH(L1047,Aux_CAV!$A$2:$A$121,1))))</f>
        <v>8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1.65080695975863</v>
      </c>
      <c r="E1048" s="16" t="n">
        <f aca="false">IF(D1048="","",D1048*$B$15)</f>
        <v>4.27889163969437</v>
      </c>
      <c r="F1048" s="16" t="n">
        <f aca="false" t="array" ref="F1048:F1048">IF(D1048="","",IFERROR(INDEX(Dados_Evap!$C$2:$N$15,MATCH($B$9,Dados_Evap!$A$2:$A$15,0),C1048),0))</f>
        <v>83.9</v>
      </c>
      <c r="G1048" s="16" t="n">
        <f aca="false">IF(F1048="","",F1048/1000)</f>
        <v>0.0839</v>
      </c>
      <c r="H1048" s="16" t="n">
        <f aca="false">IF(D1048="","",MAX(0,MIN($B$8,IFERROR(LOOKUP(2,1/($U$24:U1047&lt;&gt;""),$U$24:U1047),$B$11))))</f>
        <v>21.3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1.23</v>
      </c>
      <c r="J1048" s="16" t="n">
        <f aca="false">IF(D1048="","",$B$12)</f>
        <v>0.25</v>
      </c>
      <c r="K1048" s="16" t="n">
        <f aca="false">IF(J1048="","",J1048*$B$15)</f>
        <v>0.648</v>
      </c>
      <c r="L1048" s="16" t="n">
        <f aca="false">IF(D1048="","",H1048+E1048-K1048-G1048*I1048)</f>
        <v>24.8276946396944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1.30583675297618</v>
      </c>
      <c r="N1048" s="16" t="n">
        <f aca="false">IF(D1048="","",(I1048+M1048)/2)</f>
        <v>1.26791837648809</v>
      </c>
      <c r="O1048" s="16" t="n">
        <f aca="false">IF(D1048="","",G1048*N1048)</f>
        <v>0.106378351787351</v>
      </c>
      <c r="P1048" s="16" t="n">
        <f aca="false">IF(D1048="","",H1048+E1048-K1048-O1048)</f>
        <v>24.824513287907</v>
      </c>
      <c r="Q1048" s="16" t="n">
        <f aca="false">IF(D1048="","",IF(P1048&gt;=0,K1048,MAX(0,K1048+P1048)))</f>
        <v>0.648</v>
      </c>
      <c r="R1048" s="16" t="n">
        <f aca="false">IF(D1048="","",Q1048/$B$15)</f>
        <v>0.25</v>
      </c>
      <c r="S1048" s="16" t="n">
        <f aca="false">IF(D1048="","",MAX(0,J1048-R1048))</f>
        <v>0</v>
      </c>
      <c r="T1048" s="16" t="n">
        <f aca="false">IF(D1048="","",MAX(0,Z1048-$B$8))</f>
        <v>3.52451328790702</v>
      </c>
      <c r="U1048" s="16" t="n">
        <f aca="false">IF(D1048="","",MAX(0,MIN($B$8,Z1048)))</f>
        <v>21.3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24.824513287907</v>
      </c>
      <c r="AA1048" s="18" t="n">
        <f aca="false">IF(D1048="","",IF(H1048&lt;=$B$16,1,IF(H1048&gt;=$B$17,$B$21,MATCH(H1048,Aux_CAV!$A$2:$A$121,1))))</f>
        <v>8</v>
      </c>
      <c r="AB1048" s="18" t="n">
        <f aca="false">IF(D1048="","",IF(L1048&lt;=$B$16,1,IF(L1048&gt;=$B$17,$B$21,MATCH(L1048,Aux_CAV!$A$2:$A$121,1))))</f>
        <v>9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0.450924871958584</v>
      </c>
      <c r="E1049" s="16" t="n">
        <f aca="false">IF(D1049="","",D1049*$B$15)</f>
        <v>1.16879726811665</v>
      </c>
      <c r="F1049" s="16" t="n">
        <f aca="false" t="array" ref="F1049:F1049">IF(D1049="","",IFERROR(INDEX(Dados_Evap!$C$2:$N$15,MATCH($B$9,Dados_Evap!$A$2:$A$15,0),C1049),0))</f>
        <v>104.7</v>
      </c>
      <c r="G1049" s="16" t="n">
        <f aca="false">IF(F1049="","",F1049/1000)</f>
        <v>0.1047</v>
      </c>
      <c r="H1049" s="16" t="n">
        <f aca="false">IF(D1049="","",MAX(0,MIN($B$8,IFERROR(LOOKUP(2,1/($U$24:U1048&lt;&gt;""),$U$24:U1048),$B$11))))</f>
        <v>21.3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1.23</v>
      </c>
      <c r="J1049" s="16" t="n">
        <f aca="false">IF(D1049="","",$B$12)</f>
        <v>0.25</v>
      </c>
      <c r="K1049" s="16" t="n">
        <f aca="false">IF(J1049="","",J1049*$B$15)</f>
        <v>0.648</v>
      </c>
      <c r="L1049" s="16" t="n">
        <f aca="false">IF(D1049="","",H1049+E1049-K1049-G1049*I1049)</f>
        <v>21.6920162681167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1.23653360446861</v>
      </c>
      <c r="N1049" s="16" t="n">
        <f aca="false">IF(D1049="","",(I1049+M1049)/2)</f>
        <v>1.23326680223431</v>
      </c>
      <c r="O1049" s="16" t="n">
        <f aca="false">IF(D1049="","",G1049*N1049)</f>
        <v>0.129123034193932</v>
      </c>
      <c r="P1049" s="16" t="n">
        <f aca="false">IF(D1049="","",H1049+E1049-K1049-O1049)</f>
        <v>21.6916742339227</v>
      </c>
      <c r="Q1049" s="16" t="n">
        <f aca="false">IF(D1049="","",IF(P1049&gt;=0,K1049,MAX(0,K1049+P1049)))</f>
        <v>0.648</v>
      </c>
      <c r="R1049" s="16" t="n">
        <f aca="false">IF(D1049="","",Q1049/$B$15)</f>
        <v>0.25</v>
      </c>
      <c r="S1049" s="16" t="n">
        <f aca="false">IF(D1049="","",MAX(0,J1049-R1049))</f>
        <v>0</v>
      </c>
      <c r="T1049" s="16" t="n">
        <f aca="false">IF(D1049="","",MAX(0,Z1049-$B$8))</f>
        <v>0.391674233922718</v>
      </c>
      <c r="U1049" s="16" t="n">
        <f aca="false">IF(D1049="","",MAX(0,MIN($B$8,Z1049)))</f>
        <v>21.3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21.6916742339227</v>
      </c>
      <c r="AA1049" s="18" t="n">
        <f aca="false">IF(D1049="","",IF(H1049&lt;=$B$16,1,IF(H1049&gt;=$B$17,$B$21,MATCH(H1049,Aux_CAV!$A$2:$A$121,1))))</f>
        <v>8</v>
      </c>
      <c r="AB1049" s="18" t="n">
        <f aca="false">IF(D1049="","",IF(L1049&lt;=$B$16,1,IF(L1049&gt;=$B$17,$B$21,MATCH(L1049,Aux_CAV!$A$2:$A$121,1))))</f>
        <v>8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0.320779084945661</v>
      </c>
      <c r="E1050" s="16" t="n">
        <f aca="false">IF(D1050="","",D1050*$B$15)</f>
        <v>0.831459388179153</v>
      </c>
      <c r="F1050" s="16" t="n">
        <f aca="false" t="array" ref="F1050:F1050">IF(D1050="","",IFERROR(INDEX(Dados_Evap!$C$2:$N$15,MATCH($B$9,Dados_Evap!$A$2:$A$15,0),C1050),0))</f>
        <v>145.2</v>
      </c>
      <c r="G1050" s="16" t="n">
        <f aca="false">IF(F1050="","",F1050/1000)</f>
        <v>0.1452</v>
      </c>
      <c r="H1050" s="16" t="n">
        <f aca="false">IF(D1050="","",MAX(0,MIN($B$8,IFERROR(LOOKUP(2,1/($U$24:U1049&lt;&gt;""),$U$24:U1049),$B$11))))</f>
        <v>21.3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1.23</v>
      </c>
      <c r="J1050" s="16" t="n">
        <f aca="false">IF(D1050="","",$B$12)</f>
        <v>0.25</v>
      </c>
      <c r="K1050" s="16" t="n">
        <f aca="false">IF(J1050="","",J1050*$B$15)</f>
        <v>0.648</v>
      </c>
      <c r="L1050" s="16" t="n">
        <f aca="false">IF(D1050="","",H1050+E1050-K1050-G1050*I1050)</f>
        <v>21.3048633881792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1.23008105646965</v>
      </c>
      <c r="N1050" s="16" t="n">
        <f aca="false">IF(D1050="","",(I1050+M1050)/2)</f>
        <v>1.23004052823483</v>
      </c>
      <c r="O1050" s="16" t="n">
        <f aca="false">IF(D1050="","",G1050*N1050)</f>
        <v>0.178601884699697</v>
      </c>
      <c r="P1050" s="16" t="n">
        <f aca="false">IF(D1050="","",H1050+E1050-K1050-O1050)</f>
        <v>21.3048575034795</v>
      </c>
      <c r="Q1050" s="16" t="n">
        <f aca="false">IF(D1050="","",IF(P1050&gt;=0,K1050,MAX(0,K1050+P1050)))</f>
        <v>0.648</v>
      </c>
      <c r="R1050" s="16" t="n">
        <f aca="false">IF(D1050="","",Q1050/$B$15)</f>
        <v>0.25</v>
      </c>
      <c r="S1050" s="16" t="n">
        <f aca="false">IF(D1050="","",MAX(0,J1050-R1050))</f>
        <v>0</v>
      </c>
      <c r="T1050" s="16" t="n">
        <f aca="false">IF(D1050="","",MAX(0,Z1050-$B$8))</f>
        <v>0.00485750347945668</v>
      </c>
      <c r="U1050" s="16" t="n">
        <f aca="false">IF(D1050="","",MAX(0,MIN($B$8,Z1050)))</f>
        <v>21.3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21.3048575034795</v>
      </c>
      <c r="AA1050" s="18" t="n">
        <f aca="false">IF(D1050="","",IF(H1050&lt;=$B$16,1,IF(H1050&gt;=$B$17,$B$21,MATCH(H1050,Aux_CAV!$A$2:$A$121,1))))</f>
        <v>8</v>
      </c>
      <c r="AB1050" s="18" t="n">
        <f aca="false">IF(D1050="","",IF(L1050&lt;=$B$16,1,IF(L1050&gt;=$B$17,$B$21,MATCH(L1050,Aux_CAV!$A$2:$A$121,1))))</f>
        <v>8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0.16173296385211</v>
      </c>
      <c r="E1051" s="16" t="n">
        <f aca="false">IF(D1051="","",D1051*$B$15)</f>
        <v>0.419211842304669</v>
      </c>
      <c r="F1051" s="16" t="n">
        <f aca="false" t="array" ref="F1051:F1051">IF(D1051="","",IFERROR(INDEX(Dados_Evap!$C$2:$N$15,MATCH($B$9,Dados_Evap!$A$2:$A$15,0),C1051),0))</f>
        <v>180.9</v>
      </c>
      <c r="G1051" s="16" t="n">
        <f aca="false">IF(F1051="","",F1051/1000)</f>
        <v>0.1809</v>
      </c>
      <c r="H1051" s="16" t="n">
        <f aca="false">IF(D1051="","",MAX(0,MIN($B$8,IFERROR(LOOKUP(2,1/($U$24:U1050&lt;&gt;""),$U$24:U1050),$B$11))))</f>
        <v>21.3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1.23</v>
      </c>
      <c r="J1051" s="16" t="n">
        <f aca="false">IF(D1051="","",$B$12)</f>
        <v>0.25</v>
      </c>
      <c r="K1051" s="16" t="n">
        <f aca="false">IF(J1051="","",J1051*$B$15)</f>
        <v>0.648</v>
      </c>
      <c r="L1051" s="16" t="n">
        <f aca="false">IF(D1051="","",H1051+E1051-K1051-G1051*I1051)</f>
        <v>20.8487048423047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1.22152055027295</v>
      </c>
      <c r="N1051" s="16" t="n">
        <f aca="false">IF(D1051="","",(I1051+M1051)/2)</f>
        <v>1.22576027513647</v>
      </c>
      <c r="O1051" s="16" t="n">
        <f aca="false">IF(D1051="","",G1051*N1051)</f>
        <v>0.221740033772188</v>
      </c>
      <c r="P1051" s="16" t="n">
        <f aca="false">IF(D1051="","",H1051+E1051-K1051-O1051)</f>
        <v>20.8494718085325</v>
      </c>
      <c r="Q1051" s="16" t="n">
        <f aca="false">IF(D1051="","",IF(P1051&gt;=0,K1051,MAX(0,K1051+P1051)))</f>
        <v>0.648</v>
      </c>
      <c r="R1051" s="16" t="n">
        <f aca="false">IF(D1051="","",Q1051/$B$15)</f>
        <v>0.25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20.8494718085325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97.884844171514</v>
      </c>
      <c r="Z1051" s="18" t="n">
        <f aca="false">IF(D1051="","",MAX(0,IF(P1051&gt;=0,P1051,IF(K1051+P1051&gt;=0,0,P1051+K1051))))</f>
        <v>20.8494718085325</v>
      </c>
      <c r="AA1051" s="18" t="n">
        <f aca="false">IF(D1051="","",IF(H1051&lt;=$B$16,1,IF(H1051&gt;=$B$17,$B$21,MATCH(H1051,Aux_CAV!$A$2:$A$121,1))))</f>
        <v>8</v>
      </c>
      <c r="AB1051" s="18" t="n">
        <f aca="false">IF(D1051="","",IF(L1051&lt;=$B$16,1,IF(L1051&gt;=$B$17,$B$21,MATCH(L1051,Aux_CAV!$A$2:$A$121,1))))</f>
        <v>7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0.105679893752981</v>
      </c>
      <c r="E1052" s="16" t="n">
        <f aca="false">IF(D1052="","",D1052*$B$15)</f>
        <v>0.273922284607727</v>
      </c>
      <c r="F1052" s="16" t="n">
        <f aca="false" t="array" ref="F1052:F1052">IF(D1052="","",IFERROR(INDEX(Dados_Evap!$C$2:$N$15,MATCH($B$9,Dados_Evap!$A$2:$A$15,0),C1052),0))</f>
        <v>208.9</v>
      </c>
      <c r="G1052" s="16" t="n">
        <f aca="false">IF(F1052="","",F1052/1000)</f>
        <v>0.2089</v>
      </c>
      <c r="H1052" s="16" t="n">
        <f aca="false">IF(D1052="","",MAX(0,MIN($B$8,IFERROR(LOOKUP(2,1/($U$24:U1051&lt;&gt;""),$U$24:U1051),$B$11))))</f>
        <v>20.8494718085325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1.22153496091188</v>
      </c>
      <c r="J1052" s="16" t="n">
        <f aca="false">IF(D1052="","",$B$12)</f>
        <v>0.25</v>
      </c>
      <c r="K1052" s="16" t="n">
        <f aca="false">IF(J1052="","",J1052*$B$15)</f>
        <v>0.648</v>
      </c>
      <c r="L1052" s="16" t="n">
        <f aca="false">IF(D1052="","",H1052+E1052-K1052-G1052*I1052)</f>
        <v>20.2202154398057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1.20971177235543</v>
      </c>
      <c r="N1052" s="16" t="n">
        <f aca="false">IF(D1052="","",(I1052+M1052)/2)</f>
        <v>1.21562336663366</v>
      </c>
      <c r="O1052" s="16" t="n">
        <f aca="false">IF(D1052="","",G1052*N1052)</f>
        <v>0.253943721289771</v>
      </c>
      <c r="P1052" s="16" t="n">
        <f aca="false">IF(D1052="","",H1052+E1052-K1052-O1052)</f>
        <v>20.2214503718504</v>
      </c>
      <c r="Q1052" s="16" t="n">
        <f aca="false">IF(D1052="","",IF(P1052&gt;=0,K1052,MAX(0,K1052+P1052)))</f>
        <v>0.648</v>
      </c>
      <c r="R1052" s="16" t="n">
        <f aca="false">IF(D1052="","",Q1052/$B$15)</f>
        <v>0.25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20.2214503718504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94.9363867223025</v>
      </c>
      <c r="Z1052" s="18" t="n">
        <f aca="false">IF(D1052="","",MAX(0,IF(P1052&gt;=0,P1052,IF(K1052+P1052&gt;=0,0,P1052+K1052))))</f>
        <v>20.2214503718504</v>
      </c>
      <c r="AA1052" s="18" t="n">
        <f aca="false">IF(D1052="","",IF(H1052&lt;=$B$16,1,IF(H1052&gt;=$B$17,$B$21,MATCH(H1052,Aux_CAV!$A$2:$A$121,1))))</f>
        <v>7</v>
      </c>
      <c r="AB1052" s="18" t="n">
        <f aca="false">IF(D1052="","",IF(L1052&lt;=$B$16,1,IF(L1052&gt;=$B$17,$B$21,MATCH(L1052,Aux_CAV!$A$2:$A$121,1))))</f>
        <v>7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0.0622964758363909</v>
      </c>
      <c r="E1053" s="16" t="n">
        <f aca="false">IF(D1053="","",D1053*$B$15)</f>
        <v>0.161472465367925</v>
      </c>
      <c r="F1053" s="16" t="n">
        <f aca="false" t="array" ref="F1053:F1053">IF(D1053="","",IFERROR(INDEX(Dados_Evap!$C$2:$N$15,MATCH($B$9,Dados_Evap!$A$2:$A$15,0),C1053),0))</f>
        <v>235.9</v>
      </c>
      <c r="G1053" s="16" t="n">
        <f aca="false">IF(F1053="","",F1053/1000)</f>
        <v>0.2359</v>
      </c>
      <c r="H1053" s="16" t="n">
        <f aca="false">IF(D1053="","",MAX(0,MIN($B$8,IFERROR(LOOKUP(2,1/($U$24:U1052&lt;&gt;""),$U$24:U1052),$B$11))))</f>
        <v>20.2214503718504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1.20973497567151</v>
      </c>
      <c r="J1053" s="16" t="n">
        <f aca="false">IF(D1053="","",$B$12)</f>
        <v>0.25</v>
      </c>
      <c r="K1053" s="16" t="n">
        <f aca="false">IF(J1053="","",J1053*$B$15)</f>
        <v>0.648</v>
      </c>
      <c r="L1053" s="16" t="n">
        <f aca="false">IF(D1053="","",H1053+E1053-K1053-G1053*I1053)</f>
        <v>19.4495463564575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1.19523155993344</v>
      </c>
      <c r="N1053" s="16" t="n">
        <f aca="false">IF(D1053="","",(I1053+M1053)/2)</f>
        <v>1.20248326780247</v>
      </c>
      <c r="O1053" s="16" t="n">
        <f aca="false">IF(D1053="","",G1053*N1053)</f>
        <v>0.283665802874604</v>
      </c>
      <c r="P1053" s="16" t="n">
        <f aca="false">IF(D1053="","",H1053+E1053-K1053-O1053)</f>
        <v>19.4512570343438</v>
      </c>
      <c r="Q1053" s="16" t="n">
        <f aca="false">IF(D1053="","",IF(P1053&gt;=0,K1053,MAX(0,K1053+P1053)))</f>
        <v>0.648</v>
      </c>
      <c r="R1053" s="16" t="n">
        <f aca="false">IF(D1053="","",Q1053/$B$15)</f>
        <v>0.25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19.4512570343438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91.3204555602993</v>
      </c>
      <c r="Z1053" s="18" t="n">
        <f aca="false">IF(D1053="","",MAX(0,IF(P1053&gt;=0,P1053,IF(K1053+P1053&gt;=0,0,P1053+K1053))))</f>
        <v>19.4512570343438</v>
      </c>
      <c r="AA1053" s="18" t="n">
        <f aca="false">IF(D1053="","",IF(H1053&lt;=$B$16,1,IF(H1053&gt;=$B$17,$B$21,MATCH(H1053,Aux_CAV!$A$2:$A$121,1))))</f>
        <v>7</v>
      </c>
      <c r="AB1053" s="18" t="n">
        <f aca="false">IF(D1053="","",IF(L1053&lt;=$B$16,1,IF(L1053&gt;=$B$17,$B$21,MATCH(L1053,Aux_CAV!$A$2:$A$121,1))))</f>
        <v>7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0.0353673839498309</v>
      </c>
      <c r="E1054" s="16" t="n">
        <f aca="false">IF(D1054="","",D1054*$B$15)</f>
        <v>0.0916722591979617</v>
      </c>
      <c r="F1054" s="16" t="n">
        <f aca="false" t="array" ref="F1054:F1054">IF(D1054="","",IFERROR(INDEX(Dados_Evap!$C$2:$N$15,MATCH($B$9,Dados_Evap!$A$2:$A$15,0),C1054),0))</f>
        <v>225.9</v>
      </c>
      <c r="G1054" s="16" t="n">
        <f aca="false">IF(F1054="","",F1054/1000)</f>
        <v>0.2259</v>
      </c>
      <c r="H1054" s="16" t="n">
        <f aca="false">IF(D1054="","",MAX(0,MIN($B$8,IFERROR(LOOKUP(2,1/($U$24:U1053&lt;&gt;""),$U$24:U1053),$B$11))))</f>
        <v>19.4512570343438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1.19526370210667</v>
      </c>
      <c r="J1054" s="16" t="n">
        <f aca="false">IF(D1054="","",$B$12)</f>
        <v>0.25</v>
      </c>
      <c r="K1054" s="16" t="n">
        <f aca="false">IF(J1054="","",J1054*$B$15)</f>
        <v>0.648</v>
      </c>
      <c r="L1054" s="16" t="n">
        <f aca="false">IF(D1054="","",H1054+E1054-K1054-G1054*I1054)</f>
        <v>18.6249192232358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1.17973752193971</v>
      </c>
      <c r="N1054" s="16" t="n">
        <f aca="false">IF(D1054="","",(I1054+M1054)/2)</f>
        <v>1.18750061202319</v>
      </c>
      <c r="O1054" s="16" t="n">
        <f aca="false">IF(D1054="","",G1054*N1054)</f>
        <v>0.268256388256039</v>
      </c>
      <c r="P1054" s="16" t="n">
        <f aca="false">IF(D1054="","",H1054+E1054-K1054-O1054)</f>
        <v>18.6266729052857</v>
      </c>
      <c r="Q1054" s="16" t="n">
        <f aca="false">IF(D1054="","",IF(P1054&gt;=0,K1054,MAX(0,K1054+P1054)))</f>
        <v>0.648</v>
      </c>
      <c r="R1054" s="16" t="n">
        <f aca="false">IF(D1054="","",Q1054/$B$15)</f>
        <v>0.25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18.6266729052857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87.4491685694163</v>
      </c>
      <c r="Z1054" s="18" t="n">
        <f aca="false">IF(D1054="","",MAX(0,IF(P1054&gt;=0,P1054,IF(K1054+P1054&gt;=0,0,P1054+K1054))))</f>
        <v>18.6266729052857</v>
      </c>
      <c r="AA1054" s="18" t="n">
        <f aca="false">IF(D1054="","",IF(H1054&lt;=$B$16,1,IF(H1054&gt;=$B$17,$B$21,MATCH(H1054,Aux_CAV!$A$2:$A$121,1))))</f>
        <v>7</v>
      </c>
      <c r="AB1054" s="18" t="n">
        <f aca="false">IF(D1054="","",IF(L1054&lt;=$B$16,1,IF(L1054&gt;=$B$17,$B$21,MATCH(L1054,Aux_CAV!$A$2:$A$121,1))))</f>
        <v>7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0.0234840389286975</v>
      </c>
      <c r="E1055" s="16" t="n">
        <f aca="false">IF(D1055="","",D1055*$B$15)</f>
        <v>0.0608706289031839</v>
      </c>
      <c r="F1055" s="16" t="n">
        <f aca="false" t="array" ref="F1055:F1055">IF(D1055="","",IFERROR(INDEX(Dados_Evap!$C$2:$N$15,MATCH($B$9,Dados_Evap!$A$2:$A$15,0),C1055),0))</f>
        <v>206</v>
      </c>
      <c r="G1055" s="16" t="n">
        <f aca="false">IF(F1055="","",F1055/1000)</f>
        <v>0.206</v>
      </c>
      <c r="H1055" s="16" t="n">
        <f aca="false">IF(D1055="","",MAX(0,MIN($B$8,IFERROR(LOOKUP(2,1/($U$24:U1054&lt;&gt;""),$U$24:U1054),$B$11))))</f>
        <v>18.6266729052857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1.17977047212437</v>
      </c>
      <c r="J1055" s="16" t="n">
        <f aca="false">IF(D1055="","",$B$12)</f>
        <v>0.25</v>
      </c>
      <c r="K1055" s="16" t="n">
        <f aca="false">IF(J1055="","",J1055*$B$15)</f>
        <v>0.648</v>
      </c>
      <c r="L1055" s="16" t="n">
        <f aca="false">IF(D1055="","",H1055+E1055-K1055-G1055*I1055)</f>
        <v>17.7965108169312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1.16417243706134</v>
      </c>
      <c r="N1055" s="16" t="n">
        <f aca="false">IF(D1055="","",(I1055+M1055)/2)</f>
        <v>1.17197145459285</v>
      </c>
      <c r="O1055" s="16" t="n">
        <f aca="false">IF(D1055="","",G1055*N1055)</f>
        <v>0.241426119646127</v>
      </c>
      <c r="P1055" s="16" t="n">
        <f aca="false">IF(D1055="","",H1055+E1055-K1055-O1055)</f>
        <v>17.7981174145427</v>
      </c>
      <c r="Q1055" s="16" t="n">
        <f aca="false">IF(D1055="","",IF(P1055&gt;=0,K1055,MAX(0,K1055+P1055)))</f>
        <v>0.648</v>
      </c>
      <c r="R1055" s="16" t="n">
        <f aca="false">IF(D1055="","",Q1055/$B$15)</f>
        <v>0.25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17.7981174145427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83.5592366879941</v>
      </c>
      <c r="Z1055" s="18" t="n">
        <f aca="false">IF(D1055="","",MAX(0,IF(P1055&gt;=0,P1055,IF(K1055+P1055&gt;=0,0,P1055+K1055))))</f>
        <v>17.7981174145427</v>
      </c>
      <c r="AA1055" s="18" t="n">
        <f aca="false">IF(D1055="","",IF(H1055&lt;=$B$16,1,IF(H1055&gt;=$B$17,$B$21,MATCH(H1055,Aux_CAV!$A$2:$A$121,1))))</f>
        <v>7</v>
      </c>
      <c r="AB1055" s="18" t="n">
        <f aca="false">IF(D1055="","",IF(L1055&lt;=$B$16,1,IF(L1055&gt;=$B$17,$B$21,MATCH(L1055,Aux_CAV!$A$2:$A$121,1))))</f>
        <v>7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0.201559250343638</v>
      </c>
      <c r="E1056" s="16" t="n">
        <f aca="false">IF(D1056="","",D1056*$B$15)</f>
        <v>0.52244157689071</v>
      </c>
      <c r="F1056" s="16" t="n">
        <f aca="false" t="array" ref="F1056:F1056">IF(D1056="","",IFERROR(INDEX(Dados_Evap!$C$2:$N$15,MATCH($B$9,Dados_Evap!$A$2:$A$15,0),C1056),0))</f>
        <v>165.6</v>
      </c>
      <c r="G1056" s="16" t="n">
        <f aca="false">IF(F1056="","",F1056/1000)</f>
        <v>0.1656</v>
      </c>
      <c r="H1056" s="16" t="n">
        <f aca="false">IF(D1056="","",MAX(0,MIN($B$8,IFERROR(LOOKUP(2,1/($U$24:U1055&lt;&gt;""),$U$24:U1055),$B$11))))</f>
        <v>17.7981174145427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1.16420262365529</v>
      </c>
      <c r="J1056" s="16" t="n">
        <f aca="false">IF(D1056="","",$B$12)</f>
        <v>0.25</v>
      </c>
      <c r="K1056" s="16" t="n">
        <f aca="false">IF(J1056="","",J1056*$B$15)</f>
        <v>0.648</v>
      </c>
      <c r="L1056" s="16" t="n">
        <f aca="false">IF(D1056="","",H1056+E1056-K1056-G1056*I1056)</f>
        <v>17.4797670369561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1.15822109255241</v>
      </c>
      <c r="N1056" s="16" t="n">
        <f aca="false">IF(D1056="","",(I1056+M1056)/2)</f>
        <v>1.16121185810385</v>
      </c>
      <c r="O1056" s="16" t="n">
        <f aca="false">IF(D1056="","",G1056*N1056)</f>
        <v>0.192296683701998</v>
      </c>
      <c r="P1056" s="16" t="n">
        <f aca="false">IF(D1056="","",H1056+E1056-K1056-O1056)</f>
        <v>17.4802623077315</v>
      </c>
      <c r="Q1056" s="16" t="n">
        <f aca="false">IF(D1056="","",IF(P1056&gt;=0,K1056,MAX(0,K1056+P1056)))</f>
        <v>0.648</v>
      </c>
      <c r="R1056" s="16" t="n">
        <f aca="false">IF(D1056="","",Q1056/$B$15)</f>
        <v>0.25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17.4802623077315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82.0669591912275</v>
      </c>
      <c r="Z1056" s="18" t="n">
        <f aca="false">IF(D1056="","",MAX(0,IF(P1056&gt;=0,P1056,IF(K1056+P1056&gt;=0,0,P1056+K1056))))</f>
        <v>17.4802623077315</v>
      </c>
      <c r="AA1056" s="18" t="n">
        <f aca="false">IF(D1056="","",IF(H1056&lt;=$B$16,1,IF(H1056&gt;=$B$17,$B$21,MATCH(H1056,Aux_CAV!$A$2:$A$121,1))))</f>
        <v>7</v>
      </c>
      <c r="AB1056" s="18" t="n">
        <f aca="false">IF(D1056="","",IF(L1056&lt;=$B$16,1,IF(L1056&gt;=$B$17,$B$21,MATCH(L1056,Aux_CAV!$A$2:$A$121,1))))</f>
        <v>7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0.347784664368257</v>
      </c>
      <c r="E1057" s="16" t="n">
        <f aca="false">IF(D1057="","",D1057*$B$15)</f>
        <v>0.901457850042522</v>
      </c>
      <c r="F1057" s="16" t="n">
        <f aca="false" t="array" ref="F1057:F1057">IF(D1057="","",IFERROR(INDEX(Dados_Evap!$C$2:$N$15,MATCH($B$9,Dados_Evap!$A$2:$A$15,0),C1057),0))</f>
        <v>124.9</v>
      </c>
      <c r="G1057" s="16" t="n">
        <f aca="false">IF(F1057="","",F1057/1000)</f>
        <v>0.1249</v>
      </c>
      <c r="H1057" s="16" t="n">
        <f aca="false">IF(D1057="","",MAX(0,MIN($B$8,IFERROR(LOOKUP(2,1/($U$24:U1056&lt;&gt;""),$U$24:U1056),$B$11))))</f>
        <v>17.4802623077315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1.15823039826635</v>
      </c>
      <c r="J1057" s="16" t="n">
        <f aca="false">IF(D1057="","",$B$12)</f>
        <v>0.25</v>
      </c>
      <c r="K1057" s="16" t="n">
        <f aca="false">IF(J1057="","",J1057*$B$15)</f>
        <v>0.648</v>
      </c>
      <c r="L1057" s="16" t="n">
        <f aca="false">IF(D1057="","",H1057+E1057-K1057-G1057*I1057)</f>
        <v>17.5890571810305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1.16027456081268</v>
      </c>
      <c r="N1057" s="16" t="n">
        <f aca="false">IF(D1057="","",(I1057+M1057)/2)</f>
        <v>1.15925247953952</v>
      </c>
      <c r="O1057" s="16" t="n">
        <f aca="false">IF(D1057="","",G1057*N1057)</f>
        <v>0.144790634694486</v>
      </c>
      <c r="P1057" s="16" t="n">
        <f aca="false">IF(D1057="","",H1057+E1057-K1057-O1057)</f>
        <v>17.5889295230795</v>
      </c>
      <c r="Q1057" s="16" t="n">
        <f aca="false">IF(D1057="","",IF(P1057&gt;=0,K1057,MAX(0,K1057+P1057)))</f>
        <v>0.648</v>
      </c>
      <c r="R1057" s="16" t="n">
        <f aca="false">IF(D1057="","",Q1057/$B$15)</f>
        <v>0.25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17.5889295230795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82.5771339111713</v>
      </c>
      <c r="Z1057" s="18" t="n">
        <f aca="false">IF(D1057="","",MAX(0,IF(P1057&gt;=0,P1057,IF(K1057+P1057&gt;=0,0,P1057+K1057))))</f>
        <v>17.5889295230795</v>
      </c>
      <c r="AA1057" s="18" t="n">
        <f aca="false">IF(D1057="","",IF(H1057&lt;=$B$16,1,IF(H1057&gt;=$B$17,$B$21,MATCH(H1057,Aux_CAV!$A$2:$A$121,1))))</f>
        <v>7</v>
      </c>
      <c r="AB1057" s="18" t="n">
        <f aca="false">IF(D1057="","",IF(L1057&lt;=$B$16,1,IF(L1057&gt;=$B$17,$B$21,MATCH(L1057,Aux_CAV!$A$2:$A$121,1))))</f>
        <v>7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1.52585745512521</v>
      </c>
      <c r="E1058" s="16" t="n">
        <f aca="false">IF(D1058="","",D1058*$B$15)</f>
        <v>3.95502252368454</v>
      </c>
      <c r="F1058" s="16" t="n">
        <f aca="false" t="array" ref="F1058:F1058">IF(D1058="","",IFERROR(INDEX(Dados_Evap!$C$2:$N$15,MATCH($B$9,Dados_Evap!$A$2:$A$15,0),C1058),0))</f>
        <v>88.2</v>
      </c>
      <c r="G1058" s="16" t="n">
        <f aca="false">IF(F1058="","",F1058/1000)</f>
        <v>0.0882</v>
      </c>
      <c r="H1058" s="16" t="n">
        <f aca="false">IF(D1058="","",MAX(0,MIN($B$8,IFERROR(LOOKUP(2,1/($U$24:U1057&lt;&gt;""),$U$24:U1057),$B$11))))</f>
        <v>17.5889295230795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1.16027216222905</v>
      </c>
      <c r="J1058" s="16" t="n">
        <f aca="false">IF(D1058="","",$B$12)</f>
        <v>0.25</v>
      </c>
      <c r="K1058" s="16" t="n">
        <f aca="false">IF(J1058="","",J1058*$B$15)</f>
        <v>0.648</v>
      </c>
      <c r="L1058" s="16" t="n">
        <f aca="false">IF(D1058="","",H1058+E1058-K1058-G1058*I1058)</f>
        <v>20.7936160420554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1.22048547886952</v>
      </c>
      <c r="N1058" s="16" t="n">
        <f aca="false">IF(D1058="","",(I1058+M1058)/2)</f>
        <v>1.19037882054928</v>
      </c>
      <c r="O1058" s="16" t="n">
        <f aca="false">IF(D1058="","",G1058*N1058)</f>
        <v>0.104991411972447</v>
      </c>
      <c r="P1058" s="16" t="n">
        <f aca="false">IF(D1058="","",H1058+E1058-K1058-O1058)</f>
        <v>20.7909606347916</v>
      </c>
      <c r="Q1058" s="16" t="n">
        <f aca="false">IF(D1058="","",IF(P1058&gt;=0,K1058,MAX(0,K1058+P1058)))</f>
        <v>0.648</v>
      </c>
      <c r="R1058" s="16" t="n">
        <f aca="false">IF(D1058="","",Q1058/$B$15)</f>
        <v>0.25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20.7909606347916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97.6101438253126</v>
      </c>
      <c r="Z1058" s="18" t="n">
        <f aca="false">IF(D1058="","",MAX(0,IF(P1058&gt;=0,P1058,IF(K1058+P1058&gt;=0,0,P1058+K1058))))</f>
        <v>20.7909606347916</v>
      </c>
      <c r="AA1058" s="18" t="n">
        <f aca="false">IF(D1058="","",IF(H1058&lt;=$B$16,1,IF(H1058&gt;=$B$17,$B$21,MATCH(H1058,Aux_CAV!$A$2:$A$121,1))))</f>
        <v>7</v>
      </c>
      <c r="AB1058" s="18" t="n">
        <f aca="false">IF(D1058="","",IF(L1058&lt;=$B$16,1,IF(L1058&gt;=$B$17,$B$21,MATCH(L1058,Aux_CAV!$A$2:$A$121,1))))</f>
        <v>7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2.19693488930005</v>
      </c>
      <c r="E1059" s="16" t="n">
        <f aca="false">IF(D1059="","",D1059*$B$15)</f>
        <v>5.69445523306573</v>
      </c>
      <c r="F1059" s="16" t="n">
        <f aca="false" t="array" ref="F1059:F1059">IF(D1059="","",IFERROR(INDEX(Dados_Evap!$C$2:$N$15,MATCH($B$9,Dados_Evap!$A$2:$A$15,0),C1059),0))</f>
        <v>88.2</v>
      </c>
      <c r="G1059" s="16" t="n">
        <f aca="false">IF(F1059="","",F1059/1000)</f>
        <v>0.0882</v>
      </c>
      <c r="H1059" s="16" t="n">
        <f aca="false">IF(D1059="","",MAX(0,MIN($B$8,IFERROR(LOOKUP(2,1/($U$24:U1058&lt;&gt;""),$U$24:U1058),$B$11))))</f>
        <v>20.7909606347916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1.22043558603993</v>
      </c>
      <c r="J1059" s="16" t="n">
        <f aca="false">IF(D1059="","",$B$12)</f>
        <v>0.25</v>
      </c>
      <c r="K1059" s="16" t="n">
        <f aca="false">IF(J1059="","",J1059*$B$15)</f>
        <v>0.648</v>
      </c>
      <c r="L1059" s="16" t="n">
        <f aca="false">IF(D1059="","",H1059+E1059-K1059-G1059*I1059)</f>
        <v>25.7297734491686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1.32747582486761</v>
      </c>
      <c r="N1059" s="16" t="n">
        <f aca="false">IF(D1059="","",(I1059+M1059)/2)</f>
        <v>1.27395570545377</v>
      </c>
      <c r="O1059" s="16" t="n">
        <f aca="false">IF(D1059="","",G1059*N1059)</f>
        <v>0.112362893221022</v>
      </c>
      <c r="P1059" s="16" t="n">
        <f aca="false">IF(D1059="","",H1059+E1059-K1059-O1059)</f>
        <v>25.7250529746363</v>
      </c>
      <c r="Q1059" s="16" t="n">
        <f aca="false">IF(D1059="","",IF(P1059&gt;=0,K1059,MAX(0,K1059+P1059)))</f>
        <v>0.648</v>
      </c>
      <c r="R1059" s="16" t="n">
        <f aca="false">IF(D1059="","",Q1059/$B$15)</f>
        <v>0.25</v>
      </c>
      <c r="S1059" s="16" t="n">
        <f aca="false">IF(D1059="","",MAX(0,J1059-R1059))</f>
        <v>0</v>
      </c>
      <c r="T1059" s="16" t="n">
        <f aca="false">IF(D1059="","",MAX(0,Z1059-$B$8))</f>
        <v>4.4250529746363</v>
      </c>
      <c r="U1059" s="16" t="n">
        <f aca="false">IF(D1059="","",MAX(0,MIN($B$8,Z1059)))</f>
        <v>21.3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25.7250529746363</v>
      </c>
      <c r="AA1059" s="18" t="n">
        <f aca="false">IF(D1059="","",IF(H1059&lt;=$B$16,1,IF(H1059&gt;=$B$17,$B$21,MATCH(H1059,Aux_CAV!$A$2:$A$121,1))))</f>
        <v>7</v>
      </c>
      <c r="AB1059" s="18" t="n">
        <f aca="false">IF(D1059="","",IF(L1059&lt;=$B$16,1,IF(L1059&gt;=$B$17,$B$21,MATCH(L1059,Aux_CAV!$A$2:$A$121,1))))</f>
        <v>9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1.03012321554083</v>
      </c>
      <c r="E1060" s="16" t="n">
        <f aca="false">IF(D1060="","",D1060*$B$15)</f>
        <v>2.67007937468183</v>
      </c>
      <c r="F1060" s="16" t="n">
        <f aca="false" t="array" ref="F1060:F1060">IF(D1060="","",IFERROR(INDEX(Dados_Evap!$C$2:$N$15,MATCH($B$9,Dados_Evap!$A$2:$A$15,0),C1060),0))</f>
        <v>83.9</v>
      </c>
      <c r="G1060" s="16" t="n">
        <f aca="false">IF(F1060="","",F1060/1000)</f>
        <v>0.0839</v>
      </c>
      <c r="H1060" s="16" t="n">
        <f aca="false">IF(D1060="","",MAX(0,MIN($B$8,IFERROR(LOOKUP(2,1/($U$24:U1059&lt;&gt;""),$U$24:U1059),$B$11))))</f>
        <v>21.3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1.23</v>
      </c>
      <c r="J1060" s="16" t="n">
        <f aca="false">IF(D1060="","",$B$12)</f>
        <v>0.25</v>
      </c>
      <c r="K1060" s="16" t="n">
        <f aca="false">IF(J1060="","",J1060*$B$15)</f>
        <v>0.648</v>
      </c>
      <c r="L1060" s="16" t="n">
        <f aca="false">IF(D1060="","",H1060+E1060-K1060-G1060*I1060)</f>
        <v>23.2188823746818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1.26724455471501</v>
      </c>
      <c r="N1060" s="16" t="n">
        <f aca="false">IF(D1060="","",(I1060+M1060)/2)</f>
        <v>1.2486222773575</v>
      </c>
      <c r="O1060" s="16" t="n">
        <f aca="false">IF(D1060="","",G1060*N1060)</f>
        <v>0.104759409070295</v>
      </c>
      <c r="P1060" s="16" t="n">
        <f aca="false">IF(D1060="","",H1060+E1060-K1060-O1060)</f>
        <v>23.2173199656115</v>
      </c>
      <c r="Q1060" s="16" t="n">
        <f aca="false">IF(D1060="","",IF(P1060&gt;=0,K1060,MAX(0,K1060+P1060)))</f>
        <v>0.648</v>
      </c>
      <c r="R1060" s="16" t="n">
        <f aca="false">IF(D1060="","",Q1060/$B$15)</f>
        <v>0.25</v>
      </c>
      <c r="S1060" s="16" t="n">
        <f aca="false">IF(D1060="","",MAX(0,J1060-R1060))</f>
        <v>0</v>
      </c>
      <c r="T1060" s="16" t="n">
        <f aca="false">IF(D1060="","",MAX(0,Z1060-$B$8))</f>
        <v>1.91731996561154</v>
      </c>
      <c r="U1060" s="16" t="n">
        <f aca="false">IF(D1060="","",MAX(0,MIN($B$8,Z1060)))</f>
        <v>21.3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23.2173199656115</v>
      </c>
      <c r="AA1060" s="18" t="n">
        <f aca="false">IF(D1060="","",IF(H1060&lt;=$B$16,1,IF(H1060&gt;=$B$17,$B$21,MATCH(H1060,Aux_CAV!$A$2:$A$121,1))))</f>
        <v>8</v>
      </c>
      <c r="AB1060" s="18" t="n">
        <f aca="false">IF(D1060="","",IF(L1060&lt;=$B$16,1,IF(L1060&gt;=$B$17,$B$21,MATCH(L1060,Aux_CAV!$A$2:$A$121,1))))</f>
        <v>9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0.215344981848291</v>
      </c>
      <c r="E1061" s="16" t="n">
        <f aca="false">IF(D1061="","",D1061*$B$15)</f>
        <v>0.55817419295077</v>
      </c>
      <c r="F1061" s="16" t="n">
        <f aca="false" t="array" ref="F1061:F1061">IF(D1061="","",IFERROR(INDEX(Dados_Evap!$C$2:$N$15,MATCH($B$9,Dados_Evap!$A$2:$A$15,0),C1061),0))</f>
        <v>104.7</v>
      </c>
      <c r="G1061" s="16" t="n">
        <f aca="false">IF(F1061="","",F1061/1000)</f>
        <v>0.1047</v>
      </c>
      <c r="H1061" s="16" t="n">
        <f aca="false">IF(D1061="","",MAX(0,MIN($B$8,IFERROR(LOOKUP(2,1/($U$24:U1060&lt;&gt;""),$U$24:U1060),$B$11))))</f>
        <v>21.3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1.23</v>
      </c>
      <c r="J1061" s="16" t="n">
        <f aca="false">IF(D1061="","",$B$12)</f>
        <v>0.25</v>
      </c>
      <c r="K1061" s="16" t="n">
        <f aca="false">IF(J1061="","",J1061*$B$15)</f>
        <v>0.648</v>
      </c>
      <c r="L1061" s="16" t="n">
        <f aca="false">IF(D1061="","",H1061+E1061-K1061-G1061*I1061)</f>
        <v>21.0813931929508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1.22589256521202</v>
      </c>
      <c r="N1061" s="16" t="n">
        <f aca="false">IF(D1061="","",(I1061+M1061)/2)</f>
        <v>1.22794628260601</v>
      </c>
      <c r="O1061" s="16" t="n">
        <f aca="false">IF(D1061="","",G1061*N1061)</f>
        <v>0.128565975788849</v>
      </c>
      <c r="P1061" s="16" t="n">
        <f aca="false">IF(D1061="","",H1061+E1061-K1061-O1061)</f>
        <v>21.0816082171619</v>
      </c>
      <c r="Q1061" s="16" t="n">
        <f aca="false">IF(D1061="","",IF(P1061&gt;=0,K1061,MAX(0,K1061+P1061)))</f>
        <v>0.648</v>
      </c>
      <c r="R1061" s="16" t="n">
        <f aca="false">IF(D1061="","",Q1061/$B$15)</f>
        <v>0.25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21.0816082171619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98.9746864655489</v>
      </c>
      <c r="Z1061" s="18" t="n">
        <f aca="false">IF(D1061="","",MAX(0,IF(P1061&gt;=0,P1061,IF(K1061+P1061&gt;=0,0,P1061+K1061))))</f>
        <v>21.0816082171619</v>
      </c>
      <c r="AA1061" s="18" t="n">
        <f aca="false">IF(D1061="","",IF(H1061&lt;=$B$16,1,IF(H1061&gt;=$B$17,$B$21,MATCH(H1061,Aux_CAV!$A$2:$A$121,1))))</f>
        <v>8</v>
      </c>
      <c r="AB1061" s="18" t="n">
        <f aca="false">IF(D1061="","",IF(L1061&lt;=$B$16,1,IF(L1061&gt;=$B$17,$B$21,MATCH(L1061,Aux_CAV!$A$2:$A$121,1))))</f>
        <v>7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0.223045330066229</v>
      </c>
      <c r="E1062" s="16" t="n">
        <f aca="false">IF(D1062="","",D1062*$B$15)</f>
        <v>0.578133495531666</v>
      </c>
      <c r="F1062" s="16" t="n">
        <f aca="false" t="array" ref="F1062:F1062">IF(D1062="","",IFERROR(INDEX(Dados_Evap!$C$2:$N$15,MATCH($B$9,Dados_Evap!$A$2:$A$15,0),C1062),0))</f>
        <v>145.2</v>
      </c>
      <c r="G1062" s="16" t="n">
        <f aca="false">IF(F1062="","",F1062/1000)</f>
        <v>0.1452</v>
      </c>
      <c r="H1062" s="16" t="n">
        <f aca="false">IF(D1062="","",MAX(0,MIN($B$8,IFERROR(LOOKUP(2,1/($U$24:U1061&lt;&gt;""),$U$24:U1061),$B$11))))</f>
        <v>21.0816082171619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1.2258966053329</v>
      </c>
      <c r="J1062" s="16" t="n">
        <f aca="false">IF(D1062="","",$B$12)</f>
        <v>0.25</v>
      </c>
      <c r="K1062" s="16" t="n">
        <f aca="false">IF(J1062="","",J1062*$B$15)</f>
        <v>0.648</v>
      </c>
      <c r="L1062" s="16" t="n">
        <f aca="false">IF(D1062="","",H1062+E1062-K1062-G1062*I1062)</f>
        <v>20.8337415255993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1.2212394023599</v>
      </c>
      <c r="N1062" s="16" t="n">
        <f aca="false">IF(D1062="","",(I1062+M1062)/2)</f>
        <v>1.2235680038464</v>
      </c>
      <c r="O1062" s="16" t="n">
        <f aca="false">IF(D1062="","",G1062*N1062)</f>
        <v>0.177662074158497</v>
      </c>
      <c r="P1062" s="16" t="n">
        <f aca="false">IF(D1062="","",H1062+E1062-K1062-O1062)</f>
        <v>20.8340796385351</v>
      </c>
      <c r="Q1062" s="16" t="n">
        <f aca="false">IF(D1062="","",IF(P1062&gt;=0,K1062,MAX(0,K1062+P1062)))</f>
        <v>0.648</v>
      </c>
      <c r="R1062" s="16" t="n">
        <f aca="false">IF(D1062="","",Q1062/$B$15)</f>
        <v>0.25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20.8340796385351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97.8125804626061</v>
      </c>
      <c r="Z1062" s="18" t="n">
        <f aca="false">IF(D1062="","",MAX(0,IF(P1062&gt;=0,P1062,IF(K1062+P1062&gt;=0,0,P1062+K1062))))</f>
        <v>20.8340796385351</v>
      </c>
      <c r="AA1062" s="18" t="n">
        <f aca="false">IF(D1062="","",IF(H1062&lt;=$B$16,1,IF(H1062&gt;=$B$17,$B$21,MATCH(H1062,Aux_CAV!$A$2:$A$121,1))))</f>
        <v>7</v>
      </c>
      <c r="AB1062" s="18" t="n">
        <f aca="false">IF(D1062="","",IF(L1062&lt;=$B$16,1,IF(L1062&gt;=$B$17,$B$21,MATCH(L1062,Aux_CAV!$A$2:$A$121,1))))</f>
        <v>7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0.136028672905202</v>
      </c>
      <c r="E1063" s="16" t="n">
        <f aca="false">IF(D1063="","",D1063*$B$15)</f>
        <v>0.352586320170284</v>
      </c>
      <c r="F1063" s="16" t="n">
        <f aca="false" t="array" ref="F1063:F1063">IF(D1063="","",IFERROR(INDEX(Dados_Evap!$C$2:$N$15,MATCH($B$9,Dados_Evap!$A$2:$A$15,0),C1063),0))</f>
        <v>180.9</v>
      </c>
      <c r="G1063" s="16" t="n">
        <f aca="false">IF(F1063="","",F1063/1000)</f>
        <v>0.1809</v>
      </c>
      <c r="H1063" s="16" t="n">
        <f aca="false">IF(D1063="","",MAX(0,MIN($B$8,IFERROR(LOOKUP(2,1/($U$24:U1062&lt;&gt;""),$U$24:U1062),$B$11))))</f>
        <v>20.8340796385351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1.22124575521256</v>
      </c>
      <c r="J1063" s="16" t="n">
        <f aca="false">IF(D1063="","",$B$12)</f>
        <v>0.25</v>
      </c>
      <c r="K1063" s="16" t="n">
        <f aca="false">IF(J1063="","",J1063*$B$15)</f>
        <v>0.648</v>
      </c>
      <c r="L1063" s="16" t="n">
        <f aca="false">IF(D1063="","",H1063+E1063-K1063-G1063*I1063)</f>
        <v>20.3177426015874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1.21154422424695</v>
      </c>
      <c r="N1063" s="16" t="n">
        <f aca="false">IF(D1063="","",(I1063+M1063)/2)</f>
        <v>1.21639498972975</v>
      </c>
      <c r="O1063" s="16" t="n">
        <f aca="false">IF(D1063="","",G1063*N1063)</f>
        <v>0.220045853642112</v>
      </c>
      <c r="P1063" s="16" t="n">
        <f aca="false">IF(D1063="","",H1063+E1063-K1063-O1063)</f>
        <v>20.3186201050633</v>
      </c>
      <c r="Q1063" s="16" t="n">
        <f aca="false">IF(D1063="","",IF(P1063&gt;=0,K1063,MAX(0,K1063+P1063)))</f>
        <v>0.648</v>
      </c>
      <c r="R1063" s="16" t="n">
        <f aca="false">IF(D1063="","",Q1063/$B$15)</f>
        <v>0.25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20.3186201050633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95.3925826528792</v>
      </c>
      <c r="Z1063" s="18" t="n">
        <f aca="false">IF(D1063="","",MAX(0,IF(P1063&gt;=0,P1063,IF(K1063+P1063&gt;=0,0,P1063+K1063))))</f>
        <v>20.3186201050633</v>
      </c>
      <c r="AA1063" s="18" t="n">
        <f aca="false">IF(D1063="","",IF(H1063&lt;=$B$16,1,IF(H1063&gt;=$B$17,$B$21,MATCH(H1063,Aux_CAV!$A$2:$A$121,1))))</f>
        <v>7</v>
      </c>
      <c r="AB1063" s="18" t="n">
        <f aca="false">IF(D1063="","",IF(L1063&lt;=$B$16,1,IF(L1063&gt;=$B$17,$B$21,MATCH(L1063,Aux_CAV!$A$2:$A$121,1))))</f>
        <v>7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0.0806484184430625</v>
      </c>
      <c r="E1064" s="16" t="n">
        <f aca="false">IF(D1064="","",D1064*$B$15)</f>
        <v>0.209040700604418</v>
      </c>
      <c r="F1064" s="16" t="n">
        <f aca="false" t="array" ref="F1064:F1064">IF(D1064="","",IFERROR(INDEX(Dados_Evap!$C$2:$N$15,MATCH($B$9,Dados_Evap!$A$2:$A$15,0),C1064),0))</f>
        <v>208.9</v>
      </c>
      <c r="G1064" s="16" t="n">
        <f aca="false">IF(F1064="","",F1064/1000)</f>
        <v>0.2089</v>
      </c>
      <c r="H1064" s="16" t="n">
        <f aca="false">IF(D1064="","",MAX(0,MIN($B$8,IFERROR(LOOKUP(2,1/($U$24:U1063&lt;&gt;""),$U$24:U1063),$B$11))))</f>
        <v>20.3186201050633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1.21156071178616</v>
      </c>
      <c r="J1064" s="16" t="n">
        <f aca="false">IF(D1064="","",$B$12)</f>
        <v>0.25</v>
      </c>
      <c r="K1064" s="16" t="n">
        <f aca="false">IF(J1064="","",J1064*$B$15)</f>
        <v>0.648</v>
      </c>
      <c r="L1064" s="16" t="n">
        <f aca="false">IF(D1064="","",H1064+E1064-K1064-G1064*I1064)</f>
        <v>19.6265657729756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1.19855760325006</v>
      </c>
      <c r="N1064" s="16" t="n">
        <f aca="false">IF(D1064="","",(I1064+M1064)/2)</f>
        <v>1.20505915751811</v>
      </c>
      <c r="O1064" s="16" t="n">
        <f aca="false">IF(D1064="","",G1064*N1064)</f>
        <v>0.251736858005533</v>
      </c>
      <c r="P1064" s="16" t="n">
        <f aca="false">IF(D1064="","",H1064+E1064-K1064-O1064)</f>
        <v>19.6279239476621</v>
      </c>
      <c r="Q1064" s="16" t="n">
        <f aca="false">IF(D1064="","",IF(P1064&gt;=0,K1064,MAX(0,K1064+P1064)))</f>
        <v>0.648</v>
      </c>
      <c r="R1064" s="16" t="n">
        <f aca="false">IF(D1064="","",Q1064/$B$15)</f>
        <v>0.25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19.6279239476621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92.1498776885547</v>
      </c>
      <c r="Z1064" s="18" t="n">
        <f aca="false">IF(D1064="","",MAX(0,IF(P1064&gt;=0,P1064,IF(K1064+P1064&gt;=0,0,P1064+K1064))))</f>
        <v>19.6279239476621</v>
      </c>
      <c r="AA1064" s="18" t="n">
        <f aca="false">IF(D1064="","",IF(H1064&lt;=$B$16,1,IF(H1064&gt;=$B$17,$B$21,MATCH(H1064,Aux_CAV!$A$2:$A$121,1))))</f>
        <v>7</v>
      </c>
      <c r="AB1064" s="18" t="n">
        <f aca="false">IF(D1064="","",IF(L1064&lt;=$B$16,1,IF(L1064&gt;=$B$17,$B$21,MATCH(L1064,Aux_CAV!$A$2:$A$121,1))))</f>
        <v>7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0.0466027410854107</v>
      </c>
      <c r="E1065" s="16" t="n">
        <f aca="false">IF(D1065="","",D1065*$B$15)</f>
        <v>0.120794304893385</v>
      </c>
      <c r="F1065" s="16" t="n">
        <f aca="false" t="array" ref="F1065:F1065">IF(D1065="","",IFERROR(INDEX(Dados_Evap!$C$2:$N$15,MATCH($B$9,Dados_Evap!$A$2:$A$15,0),C1065),0))</f>
        <v>235.9</v>
      </c>
      <c r="G1065" s="16" t="n">
        <f aca="false">IF(F1065="","",F1065/1000)</f>
        <v>0.2359</v>
      </c>
      <c r="H1065" s="16" t="n">
        <f aca="false">IF(D1065="","",MAX(0,MIN($B$8,IFERROR(LOOKUP(2,1/($U$24:U1064&lt;&gt;""),$U$24:U1064),$B$11))))</f>
        <v>19.6279239476621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1.19858312218989</v>
      </c>
      <c r="J1065" s="16" t="n">
        <f aca="false">IF(D1065="","",$B$12)</f>
        <v>0.25</v>
      </c>
      <c r="K1065" s="16" t="n">
        <f aca="false">IF(J1065="","",J1065*$B$15)</f>
        <v>0.648</v>
      </c>
      <c r="L1065" s="16" t="n">
        <f aca="false">IF(D1065="","",H1065+E1065-K1065-G1065*I1065)</f>
        <v>18.8179724940309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1.18336482765403</v>
      </c>
      <c r="N1065" s="16" t="n">
        <f aca="false">IF(D1065="","",(I1065+M1065)/2)</f>
        <v>1.19097397492196</v>
      </c>
      <c r="O1065" s="16" t="n">
        <f aca="false">IF(D1065="","",G1065*N1065)</f>
        <v>0.28095076068409</v>
      </c>
      <c r="P1065" s="16" t="n">
        <f aca="false">IF(D1065="","",H1065+E1065-K1065-O1065)</f>
        <v>18.8197674918714</v>
      </c>
      <c r="Q1065" s="16" t="n">
        <f aca="false">IF(D1065="","",IF(P1065&gt;=0,K1065,MAX(0,K1065+P1065)))</f>
        <v>0.648</v>
      </c>
      <c r="R1065" s="16" t="n">
        <f aca="false">IF(D1065="","",Q1065/$B$15)</f>
        <v>0.25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18.8197674918714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88.3557159242791</v>
      </c>
      <c r="Z1065" s="18" t="n">
        <f aca="false">IF(D1065="","",MAX(0,IF(P1065&gt;=0,P1065,IF(K1065+P1065&gt;=0,0,P1065+K1065))))</f>
        <v>18.8197674918714</v>
      </c>
      <c r="AA1065" s="18" t="n">
        <f aca="false">IF(D1065="","",IF(H1065&lt;=$B$16,1,IF(H1065&gt;=$B$17,$B$21,MATCH(H1065,Aux_CAV!$A$2:$A$121,1))))</f>
        <v>7</v>
      </c>
      <c r="AB1065" s="18" t="n">
        <f aca="false">IF(D1065="","",IF(L1065&lt;=$B$16,1,IF(L1065&gt;=$B$17,$B$21,MATCH(L1065,Aux_CAV!$A$2:$A$121,1))))</f>
        <v>7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0.0289031092448038</v>
      </c>
      <c r="E1066" s="16" t="n">
        <f aca="false">IF(D1066="","",D1066*$B$15)</f>
        <v>0.0749168591625315</v>
      </c>
      <c r="F1066" s="16" t="n">
        <f aca="false" t="array" ref="F1066:F1066">IF(D1066="","",IFERROR(INDEX(Dados_Evap!$C$2:$N$15,MATCH($B$9,Dados_Evap!$A$2:$A$15,0),C1066),0))</f>
        <v>225.9</v>
      </c>
      <c r="G1066" s="16" t="n">
        <f aca="false">IF(F1066="","",F1066/1000)</f>
        <v>0.2259</v>
      </c>
      <c r="H1066" s="16" t="n">
        <f aca="false">IF(D1066="","",MAX(0,MIN($B$8,IFERROR(LOOKUP(2,1/($U$24:U1065&lt;&gt;""),$U$24:U1065),$B$11))))</f>
        <v>18.8197674918714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1.18339855412702</v>
      </c>
      <c r="J1066" s="16" t="n">
        <f aca="false">IF(D1066="","",$B$12)</f>
        <v>0.25</v>
      </c>
      <c r="K1066" s="16" t="n">
        <f aca="false">IF(J1066="","",J1066*$B$15)</f>
        <v>0.648</v>
      </c>
      <c r="L1066" s="16" t="n">
        <f aca="false">IF(D1066="","",H1066+E1066-K1066-G1066*I1066)</f>
        <v>17.9793546176567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1.16760791557184</v>
      </c>
      <c r="N1066" s="16" t="n">
        <f aca="false">IF(D1066="","",(I1066+M1066)/2)</f>
        <v>1.17550323484943</v>
      </c>
      <c r="O1066" s="16" t="n">
        <f aca="false">IF(D1066="","",G1066*N1066)</f>
        <v>0.265546180752486</v>
      </c>
      <c r="P1066" s="16" t="n">
        <f aca="false">IF(D1066="","",H1066+E1066-K1066-O1066)</f>
        <v>17.9811381702815</v>
      </c>
      <c r="Q1066" s="16" t="n">
        <f aca="false">IF(D1066="","",IF(P1066&gt;=0,K1066,MAX(0,K1066+P1066)))</f>
        <v>0.648</v>
      </c>
      <c r="R1066" s="16" t="n">
        <f aca="false">IF(D1066="","",Q1066/$B$15)</f>
        <v>0.25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17.9811381702815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84.4184890623544</v>
      </c>
      <c r="Z1066" s="18" t="n">
        <f aca="false">IF(D1066="","",MAX(0,IF(P1066&gt;=0,P1066,IF(K1066+P1066&gt;=0,0,P1066+K1066))))</f>
        <v>17.9811381702815</v>
      </c>
      <c r="AA1066" s="18" t="n">
        <f aca="false">IF(D1066="","",IF(H1066&lt;=$B$16,1,IF(H1066&gt;=$B$17,$B$21,MATCH(H1066,Aux_CAV!$A$2:$A$121,1))))</f>
        <v>7</v>
      </c>
      <c r="AB1066" s="18" t="n">
        <f aca="false">IF(D1066="","",IF(L1066&lt;=$B$16,1,IF(L1066&gt;=$B$17,$B$21,MATCH(L1066,Aux_CAV!$A$2:$A$121,1))))</f>
        <v>7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0.0139269960725748</v>
      </c>
      <c r="E1067" s="16" t="n">
        <f aca="false">IF(D1067="","",D1067*$B$15)</f>
        <v>0.0360987738201139</v>
      </c>
      <c r="F1067" s="16" t="n">
        <f aca="false" t="array" ref="F1067:F1067">IF(D1067="","",IFERROR(INDEX(Dados_Evap!$C$2:$N$15,MATCH($B$9,Dados_Evap!$A$2:$A$15,0),C1067),0))</f>
        <v>206</v>
      </c>
      <c r="G1067" s="16" t="n">
        <f aca="false">IF(F1067="","",F1067/1000)</f>
        <v>0.206</v>
      </c>
      <c r="H1067" s="16" t="n">
        <f aca="false">IF(D1067="","",MAX(0,MIN($B$8,IFERROR(LOOKUP(2,1/($U$24:U1066&lt;&gt;""),$U$24:U1066),$B$11))))</f>
        <v>17.9811381702815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1.16764142699903</v>
      </c>
      <c r="J1067" s="16" t="n">
        <f aca="false">IF(D1067="","",$B$12)</f>
        <v>0.25</v>
      </c>
      <c r="K1067" s="16" t="n">
        <f aca="false">IF(J1067="","",J1067*$B$15)</f>
        <v>0.648</v>
      </c>
      <c r="L1067" s="16" t="n">
        <f aca="false">IF(D1067="","",H1067+E1067-K1067-G1067*I1067)</f>
        <v>17.1287028101398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1.15162489622392</v>
      </c>
      <c r="N1067" s="16" t="n">
        <f aca="false">IF(D1067="","",(I1067+M1067)/2)</f>
        <v>1.15963316161147</v>
      </c>
      <c r="O1067" s="16" t="n">
        <f aca="false">IF(D1067="","",G1067*N1067)</f>
        <v>0.238884431291964</v>
      </c>
      <c r="P1067" s="16" t="n">
        <f aca="false">IF(D1067="","",H1067+E1067-K1067-O1067)</f>
        <v>17.1303525128096</v>
      </c>
      <c r="Q1067" s="16" t="n">
        <f aca="false">IF(D1067="","",IF(P1067&gt;=0,K1067,MAX(0,K1067+P1067)))</f>
        <v>0.648</v>
      </c>
      <c r="R1067" s="16" t="n">
        <f aca="false">IF(D1067="","",Q1067/$B$15)</f>
        <v>0.25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17.1303525128096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80.4241902009842</v>
      </c>
      <c r="Z1067" s="18" t="n">
        <f aca="false">IF(D1067="","",MAX(0,IF(P1067&gt;=0,P1067,IF(K1067+P1067&gt;=0,0,P1067+K1067))))</f>
        <v>17.1303525128096</v>
      </c>
      <c r="AA1067" s="18" t="n">
        <f aca="false">IF(D1067="","",IF(H1067&lt;=$B$16,1,IF(H1067&gt;=$B$17,$B$21,MATCH(H1067,Aux_CAV!$A$2:$A$121,1))))</f>
        <v>7</v>
      </c>
      <c r="AB1067" s="18" t="n">
        <f aca="false">IF(D1067="","",IF(L1067&lt;=$B$16,1,IF(L1067&gt;=$B$17,$B$21,MATCH(L1067,Aux_CAV!$A$2:$A$121,1))))</f>
        <v>7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0.0509659372898951</v>
      </c>
      <c r="E1068" s="16" t="n">
        <f aca="false">IF(D1068="","",D1068*$B$15)</f>
        <v>0.132103709455408</v>
      </c>
      <c r="F1068" s="16" t="n">
        <f aca="false" t="array" ref="F1068:F1068">IF(D1068="","",IFERROR(INDEX(Dados_Evap!$C$2:$N$15,MATCH($B$9,Dados_Evap!$A$2:$A$15,0),C1068),0))</f>
        <v>165.6</v>
      </c>
      <c r="G1068" s="16" t="n">
        <f aca="false">IF(F1068="","",F1068/1000)</f>
        <v>0.1656</v>
      </c>
      <c r="H1068" s="16" t="n">
        <f aca="false">IF(D1068="","",MAX(0,MIN($B$8,IFERROR(LOOKUP(2,1/($U$24:U1067&lt;&gt;""),$U$24:U1067),$B$11))))</f>
        <v>17.1303525128096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1.15165589272502</v>
      </c>
      <c r="J1068" s="16" t="n">
        <f aca="false">IF(D1068="","",$B$12)</f>
        <v>0.25</v>
      </c>
      <c r="K1068" s="16" t="n">
        <f aca="false">IF(J1068="","",J1068*$B$15)</f>
        <v>0.648</v>
      </c>
      <c r="L1068" s="16" t="n">
        <f aca="false">IF(D1068="","",H1068+E1068-K1068-G1068*I1068)</f>
        <v>16.4237420064298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1.13722800398735</v>
      </c>
      <c r="N1068" s="16" t="n">
        <f aca="false">IF(D1068="","",(I1068+M1068)/2)</f>
        <v>1.14444194835619</v>
      </c>
      <c r="O1068" s="16" t="n">
        <f aca="false">IF(D1068="","",G1068*N1068)</f>
        <v>0.189519586647784</v>
      </c>
      <c r="P1068" s="16" t="n">
        <f aca="false">IF(D1068="","",H1068+E1068-K1068-O1068)</f>
        <v>16.4249366356173</v>
      </c>
      <c r="Q1068" s="16" t="n">
        <f aca="false">IF(D1068="","",IF(P1068&gt;=0,K1068,MAX(0,K1068+P1068)))</f>
        <v>0.648</v>
      </c>
      <c r="R1068" s="16" t="n">
        <f aca="false">IF(D1068="","",Q1068/$B$15)</f>
        <v>0.25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16.4249366356173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77.1123785709731</v>
      </c>
      <c r="Z1068" s="18" t="n">
        <f aca="false">IF(D1068="","",MAX(0,IF(P1068&gt;=0,P1068,IF(K1068+P1068&gt;=0,0,P1068+K1068))))</f>
        <v>16.4249366356173</v>
      </c>
      <c r="AA1068" s="18" t="n">
        <f aca="false">IF(D1068="","",IF(H1068&lt;=$B$16,1,IF(H1068&gt;=$B$17,$B$21,MATCH(H1068,Aux_CAV!$A$2:$A$121,1))))</f>
        <v>7</v>
      </c>
      <c r="AB1068" s="18" t="n">
        <f aca="false">IF(D1068="","",IF(L1068&lt;=$B$16,1,IF(L1068&gt;=$B$17,$B$21,MATCH(L1068,Aux_CAV!$A$2:$A$121,1))))</f>
        <v>6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0.0379940223126483</v>
      </c>
      <c r="E1069" s="16" t="n">
        <f aca="false">IF(D1069="","",D1069*$B$15)</f>
        <v>0.0984805058343844</v>
      </c>
      <c r="F1069" s="16" t="n">
        <f aca="false" t="array" ref="F1069:F1069">IF(D1069="","",IFERROR(INDEX(Dados_Evap!$C$2:$N$15,MATCH($B$9,Dados_Evap!$A$2:$A$15,0),C1069),0))</f>
        <v>124.9</v>
      </c>
      <c r="G1069" s="16" t="n">
        <f aca="false">IF(F1069="","",F1069/1000)</f>
        <v>0.1249</v>
      </c>
      <c r="H1069" s="16" t="n">
        <f aca="false">IF(D1069="","",MAX(0,MIN($B$8,IFERROR(LOOKUP(2,1/($U$24:U1068&lt;&gt;""),$U$24:U1068),$B$11))))</f>
        <v>16.4249366356173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1.13726639471738</v>
      </c>
      <c r="J1069" s="16" t="n">
        <f aca="false">IF(D1069="","",$B$12)</f>
        <v>0.25</v>
      </c>
      <c r="K1069" s="16" t="n">
        <f aca="false">IF(J1069="","",J1069*$B$15)</f>
        <v>0.648</v>
      </c>
      <c r="L1069" s="16" t="n">
        <f aca="false">IF(D1069="","",H1069+E1069-K1069-G1069*I1069)</f>
        <v>15.7333725687514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1.11504221865553</v>
      </c>
      <c r="N1069" s="16" t="n">
        <f aca="false">IF(D1069="","",(I1069+M1069)/2)</f>
        <v>1.12615430668645</v>
      </c>
      <c r="O1069" s="16" t="n">
        <f aca="false">IF(D1069="","",G1069*N1069)</f>
        <v>0.140656672905138</v>
      </c>
      <c r="P1069" s="16" t="n">
        <f aca="false">IF(D1069="","",H1069+E1069-K1069-O1069)</f>
        <v>15.7347604685465</v>
      </c>
      <c r="Q1069" s="16" t="n">
        <f aca="false">IF(D1069="","",IF(P1069&gt;=0,K1069,MAX(0,K1069+P1069)))</f>
        <v>0.648</v>
      </c>
      <c r="R1069" s="16" t="n">
        <f aca="false">IF(D1069="","",Q1069/$B$15)</f>
        <v>0.25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15.7347604685465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73.8721148758052</v>
      </c>
      <c r="Z1069" s="18" t="n">
        <f aca="false">IF(D1069="","",MAX(0,IF(P1069&gt;=0,P1069,IF(K1069+P1069&gt;=0,0,P1069+K1069))))</f>
        <v>15.7347604685465</v>
      </c>
      <c r="AA1069" s="18" t="n">
        <f aca="false">IF(D1069="","",IF(H1069&lt;=$B$16,1,IF(H1069&gt;=$B$17,$B$21,MATCH(H1069,Aux_CAV!$A$2:$A$121,1))))</f>
        <v>6</v>
      </c>
      <c r="AB1069" s="18" t="n">
        <f aca="false">IF(D1069="","",IF(L1069&lt;=$B$16,1,IF(L1069&gt;=$B$17,$B$21,MATCH(L1069,Aux_CAV!$A$2:$A$121,1))))</f>
        <v>6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0.359945981399114</v>
      </c>
      <c r="E1070" s="16" t="n">
        <f aca="false">IF(D1070="","",D1070*$B$15)</f>
        <v>0.932979983786504</v>
      </c>
      <c r="F1070" s="16" t="n">
        <f aca="false" t="array" ref="F1070:F1070">IF(D1070="","",IFERROR(INDEX(Dados_Evap!$C$2:$N$15,MATCH($B$9,Dados_Evap!$A$2:$A$15,0),C1070),0))</f>
        <v>88.2</v>
      </c>
      <c r="G1070" s="16" t="n">
        <f aca="false">IF(F1070="","",F1070/1000)</f>
        <v>0.0882</v>
      </c>
      <c r="H1070" s="16" t="n">
        <f aca="false">IF(D1070="","",MAX(0,MIN($B$8,IFERROR(LOOKUP(2,1/($U$24:U1069&lt;&gt;""),$U$24:U1069),$B$11))))</f>
        <v>15.7347604685465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1.11508682035027</v>
      </c>
      <c r="J1070" s="16" t="n">
        <f aca="false">IF(D1070="","",$B$12)</f>
        <v>0.25</v>
      </c>
      <c r="K1070" s="16" t="n">
        <f aca="false">IF(J1070="","",J1070*$B$15)</f>
        <v>0.648</v>
      </c>
      <c r="L1070" s="16" t="n">
        <f aca="false">IF(D1070="","",H1070+E1070-K1070-G1070*I1070)</f>
        <v>15.9213897947781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1.12108436013465</v>
      </c>
      <c r="N1070" s="16" t="n">
        <f aca="false">IF(D1070="","",(I1070+M1070)/2)</f>
        <v>1.11808559024246</v>
      </c>
      <c r="O1070" s="16" t="n">
        <f aca="false">IF(D1070="","",G1070*N1070)</f>
        <v>0.0986151490593846</v>
      </c>
      <c r="P1070" s="16" t="n">
        <f aca="false">IF(D1070="","",H1070+E1070-K1070-O1070)</f>
        <v>15.9211253032736</v>
      </c>
      <c r="Q1070" s="16" t="n">
        <f aca="false">IF(D1070="","",IF(P1070&gt;=0,K1070,MAX(0,K1070+P1070)))</f>
        <v>0.648</v>
      </c>
      <c r="R1070" s="16" t="n">
        <f aca="false">IF(D1070="","",Q1070/$B$15)</f>
        <v>0.25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15.9211253032736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74.7470671515194</v>
      </c>
      <c r="Z1070" s="18" t="n">
        <f aca="false">IF(D1070="","",MAX(0,IF(P1070&gt;=0,P1070,IF(K1070+P1070&gt;=0,0,P1070+K1070))))</f>
        <v>15.9211253032736</v>
      </c>
      <c r="AA1070" s="18" t="n">
        <f aca="false">IF(D1070="","",IF(H1070&lt;=$B$16,1,IF(H1070&gt;=$B$17,$B$21,MATCH(H1070,Aux_CAV!$A$2:$A$121,1))))</f>
        <v>6</v>
      </c>
      <c r="AB1070" s="18" t="n">
        <f aca="false">IF(D1070="","",IF(L1070&lt;=$B$16,1,IF(L1070&gt;=$B$17,$B$21,MATCH(L1070,Aux_CAV!$A$2:$A$121,1))))</f>
        <v>6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0.568729667885918</v>
      </c>
      <c r="E1071" s="16" t="n">
        <f aca="false">IF(D1071="","",D1071*$B$15)</f>
        <v>1.4741472991603</v>
      </c>
      <c r="F1071" s="16" t="n">
        <f aca="false" t="array" ref="F1071:F1071">IF(D1071="","",IFERROR(INDEX(Dados_Evap!$C$2:$N$15,MATCH($B$9,Dados_Evap!$A$2:$A$15,0),C1071),0))</f>
        <v>88.2</v>
      </c>
      <c r="G1071" s="16" t="n">
        <f aca="false">IF(F1071="","",F1071/1000)</f>
        <v>0.0882</v>
      </c>
      <c r="H1071" s="16" t="n">
        <f aca="false">IF(D1071="","",MAX(0,MIN($B$8,IFERROR(LOOKUP(2,1/($U$24:U1070&lt;&gt;""),$U$24:U1070),$B$11))))</f>
        <v>15.9211253032736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1.12107586040766</v>
      </c>
      <c r="J1071" s="16" t="n">
        <f aca="false">IF(D1071="","",$B$12)</f>
        <v>0.25</v>
      </c>
      <c r="K1071" s="16" t="n">
        <f aca="false">IF(J1071="","",J1071*$B$15)</f>
        <v>0.648</v>
      </c>
      <c r="L1071" s="16" t="n">
        <f aca="false">IF(D1071="","",H1071+E1071-K1071-G1071*I1071)</f>
        <v>16.648393711546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1.14260029938187</v>
      </c>
      <c r="N1071" s="16" t="n">
        <f aca="false">IF(D1071="","",(I1071+M1071)/2)</f>
        <v>1.13183807989476</v>
      </c>
      <c r="O1071" s="16" t="n">
        <f aca="false">IF(D1071="","",G1071*N1071)</f>
        <v>0.0998281186467181</v>
      </c>
      <c r="P1071" s="16" t="n">
        <f aca="false">IF(D1071="","",H1071+E1071-K1071-O1071)</f>
        <v>16.6474444837872</v>
      </c>
      <c r="Q1071" s="16" t="n">
        <f aca="false">IF(D1071="","",IF(P1071&gt;=0,K1071,MAX(0,K1071+P1071)))</f>
        <v>0.648</v>
      </c>
      <c r="R1071" s="16" t="n">
        <f aca="false">IF(D1071="","",Q1071/$B$15)</f>
        <v>0.25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16.6474444837872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78.1570163558085</v>
      </c>
      <c r="Z1071" s="18" t="n">
        <f aca="false">IF(D1071="","",MAX(0,IF(P1071&gt;=0,P1071,IF(K1071+P1071&gt;=0,0,P1071+K1071))))</f>
        <v>16.6474444837872</v>
      </c>
      <c r="AA1071" s="18" t="n">
        <f aca="false">IF(D1071="","",IF(H1071&lt;=$B$16,1,IF(H1071&gt;=$B$17,$B$21,MATCH(H1071,Aux_CAV!$A$2:$A$121,1))))</f>
        <v>6</v>
      </c>
      <c r="AB1071" s="18" t="n">
        <f aca="false">IF(D1071="","",IF(L1071&lt;=$B$16,1,IF(L1071&gt;=$B$17,$B$21,MATCH(L1071,Aux_CAV!$A$2:$A$121,1))))</f>
        <v>7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0.385027124607162</v>
      </c>
      <c r="E1072" s="16" t="n">
        <f aca="false">IF(D1072="","",D1072*$B$15)</f>
        <v>0.997990306981764</v>
      </c>
      <c r="F1072" s="16" t="n">
        <f aca="false" t="array" ref="F1072:F1072">IF(D1072="","",IFERROR(INDEX(Dados_Evap!$C$2:$N$15,MATCH($B$9,Dados_Evap!$A$2:$A$15,0),C1072),0))</f>
        <v>83.9</v>
      </c>
      <c r="G1072" s="16" t="n">
        <f aca="false">IF(F1072="","",F1072/1000)</f>
        <v>0.0839</v>
      </c>
      <c r="H1072" s="16" t="n">
        <f aca="false">IF(D1072="","",MAX(0,MIN($B$8,IFERROR(LOOKUP(2,1/($U$24:U1071&lt;&gt;""),$U$24:U1071),$B$11))))</f>
        <v>16.6474444837872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1.14258246420477</v>
      </c>
      <c r="J1072" s="16" t="n">
        <f aca="false">IF(D1072="","",$B$12)</f>
        <v>0.25</v>
      </c>
      <c r="K1072" s="16" t="n">
        <f aca="false">IF(J1072="","",J1072*$B$15)</f>
        <v>0.648</v>
      </c>
      <c r="L1072" s="16" t="n">
        <f aca="false">IF(D1072="","",H1072+E1072-K1072-G1072*I1072)</f>
        <v>16.9015721220222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1.14735730500668</v>
      </c>
      <c r="N1072" s="16" t="n">
        <f aca="false">IF(D1072="","",(I1072+M1072)/2)</f>
        <v>1.14496988460572</v>
      </c>
      <c r="O1072" s="16" t="n">
        <f aca="false">IF(D1072="","",G1072*N1072)</f>
        <v>0.0960629733184203</v>
      </c>
      <c r="P1072" s="16" t="n">
        <f aca="false">IF(D1072="","",H1072+E1072-K1072-O1072)</f>
        <v>16.9013718174506</v>
      </c>
      <c r="Q1072" s="16" t="n">
        <f aca="false">IF(D1072="","",IF(P1072&gt;=0,K1072,MAX(0,K1072+P1072)))</f>
        <v>0.648</v>
      </c>
      <c r="R1072" s="16" t="n">
        <f aca="false">IF(D1072="","",Q1072/$B$15)</f>
        <v>0.25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16.9013718174506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79.3491634622092</v>
      </c>
      <c r="Z1072" s="18" t="n">
        <f aca="false">IF(D1072="","",MAX(0,IF(P1072&gt;=0,P1072,IF(K1072+P1072&gt;=0,0,P1072+K1072))))</f>
        <v>16.9013718174506</v>
      </c>
      <c r="AA1072" s="18" t="n">
        <f aca="false">IF(D1072="","",IF(H1072&lt;=$B$16,1,IF(H1072&gt;=$B$17,$B$21,MATCH(H1072,Aux_CAV!$A$2:$A$121,1))))</f>
        <v>7</v>
      </c>
      <c r="AB1072" s="18" t="n">
        <f aca="false">IF(D1072="","",IF(L1072&lt;=$B$16,1,IF(L1072&gt;=$B$17,$B$21,MATCH(L1072,Aux_CAV!$A$2:$A$121,1))))</f>
        <v>7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0.0350522617281532</v>
      </c>
      <c r="E1073" s="16" t="n">
        <f aca="false">IF(D1073="","",D1073*$B$15)</f>
        <v>0.0908554623993731</v>
      </c>
      <c r="F1073" s="16" t="n">
        <f aca="false" t="array" ref="F1073:F1073">IF(D1073="","",IFERROR(INDEX(Dados_Evap!$C$2:$N$15,MATCH($B$9,Dados_Evap!$A$2:$A$15,0),C1073),0))</f>
        <v>104.7</v>
      </c>
      <c r="G1073" s="16" t="n">
        <f aca="false">IF(F1073="","",F1073/1000)</f>
        <v>0.1047</v>
      </c>
      <c r="H1073" s="16" t="n">
        <f aca="false">IF(D1073="","",MAX(0,MIN($B$8,IFERROR(LOOKUP(2,1/($U$24:U1072&lt;&gt;""),$U$24:U1072),$B$11))))</f>
        <v>16.9013718174506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1.14735354145523</v>
      </c>
      <c r="J1073" s="16" t="n">
        <f aca="false">IF(D1073="","",$B$12)</f>
        <v>0.25</v>
      </c>
      <c r="K1073" s="16" t="n">
        <f aca="false">IF(J1073="","",J1073*$B$15)</f>
        <v>0.648</v>
      </c>
      <c r="L1073" s="16" t="n">
        <f aca="false">IF(D1073="","",H1073+E1073-K1073-G1073*I1073)</f>
        <v>16.2240993640596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1.13081226689794</v>
      </c>
      <c r="N1073" s="16" t="n">
        <f aca="false">IF(D1073="","",(I1073+M1073)/2)</f>
        <v>1.13908290417659</v>
      </c>
      <c r="O1073" s="16" t="n">
        <f aca="false">IF(D1073="","",G1073*N1073)</f>
        <v>0.119261980067289</v>
      </c>
      <c r="P1073" s="16" t="n">
        <f aca="false">IF(D1073="","",H1073+E1073-K1073-O1073)</f>
        <v>16.2249652997826</v>
      </c>
      <c r="Q1073" s="16" t="n">
        <f aca="false">IF(D1073="","",IF(P1073&gt;=0,K1073,MAX(0,K1073+P1073)))</f>
        <v>0.648</v>
      </c>
      <c r="R1073" s="16" t="n">
        <f aca="false">IF(D1073="","",Q1073/$B$15)</f>
        <v>0.25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16.2249652997826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76.1735460083692</v>
      </c>
      <c r="Z1073" s="18" t="n">
        <f aca="false">IF(D1073="","",MAX(0,IF(P1073&gt;=0,P1073,IF(K1073+P1073&gt;=0,0,P1073+K1073))))</f>
        <v>16.2249652997826</v>
      </c>
      <c r="AA1073" s="18" t="n">
        <f aca="false">IF(D1073="","",IF(H1073&lt;=$B$16,1,IF(H1073&gt;=$B$17,$B$21,MATCH(H1073,Aux_CAV!$A$2:$A$121,1))))</f>
        <v>7</v>
      </c>
      <c r="AB1073" s="18" t="n">
        <f aca="false">IF(D1073="","",IF(L1073&lt;=$B$16,1,IF(L1073&gt;=$B$17,$B$21,MATCH(L1073,Aux_CAV!$A$2:$A$121,1))))</f>
        <v>6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0.0377284226892086</v>
      </c>
      <c r="E1074" s="16" t="n">
        <f aca="false">IF(D1074="","",D1074*$B$15)</f>
        <v>0.0977920716104287</v>
      </c>
      <c r="F1074" s="16" t="n">
        <f aca="false" t="array" ref="F1074:F1074">IF(D1074="","",IFERROR(INDEX(Dados_Evap!$C$2:$N$15,MATCH($B$9,Dados_Evap!$A$2:$A$15,0),C1074),0))</f>
        <v>145.2</v>
      </c>
      <c r="G1074" s="16" t="n">
        <f aca="false">IF(F1074="","",F1074/1000)</f>
        <v>0.1452</v>
      </c>
      <c r="H1074" s="16" t="n">
        <f aca="false">IF(D1074="","",MAX(0,MIN($B$8,IFERROR(LOOKUP(2,1/($U$24:U1073&lt;&gt;""),$U$24:U1073),$B$11))))</f>
        <v>16.2249652997826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1.13084009470001</v>
      </c>
      <c r="J1074" s="16" t="n">
        <f aca="false">IF(D1074="","",$B$12)</f>
        <v>0.25</v>
      </c>
      <c r="K1074" s="16" t="n">
        <f aca="false">IF(J1074="","",J1074*$B$15)</f>
        <v>0.648</v>
      </c>
      <c r="L1074" s="16" t="n">
        <f aca="false">IF(D1074="","",H1074+E1074-K1074-G1074*I1074)</f>
        <v>15.5105593896426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1.10788187074466</v>
      </c>
      <c r="N1074" s="16" t="n">
        <f aca="false">IF(D1074="","",(I1074+M1074)/2)</f>
        <v>1.11936098272233</v>
      </c>
      <c r="O1074" s="16" t="n">
        <f aca="false">IF(D1074="","",G1074*N1074)</f>
        <v>0.162531214691283</v>
      </c>
      <c r="P1074" s="16" t="n">
        <f aca="false">IF(D1074="","",H1074+E1074-K1074-O1074)</f>
        <v>15.5122261567018</v>
      </c>
      <c r="Q1074" s="16" t="n">
        <f aca="false">IF(D1074="","",IF(P1074&gt;=0,K1074,MAX(0,K1074+P1074)))</f>
        <v>0.648</v>
      </c>
      <c r="R1074" s="16" t="n">
        <f aca="false">IF(D1074="","",Q1074/$B$15)</f>
        <v>0.25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15.5122261567018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72.8273528483652</v>
      </c>
      <c r="Z1074" s="18" t="n">
        <f aca="false">IF(D1074="","",MAX(0,IF(P1074&gt;=0,P1074,IF(K1074+P1074&gt;=0,0,P1074+K1074))))</f>
        <v>15.5122261567018</v>
      </c>
      <c r="AA1074" s="18" t="n">
        <f aca="false">IF(D1074="","",IF(H1074&lt;=$B$16,1,IF(H1074&gt;=$B$17,$B$21,MATCH(H1074,Aux_CAV!$A$2:$A$121,1))))</f>
        <v>6</v>
      </c>
      <c r="AB1074" s="18" t="n">
        <f aca="false">IF(D1074="","",IF(L1074&lt;=$B$16,1,IF(L1074&gt;=$B$17,$B$21,MATCH(L1074,Aux_CAV!$A$2:$A$121,1))))</f>
        <v>6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0.036381914880585</v>
      </c>
      <c r="E1075" s="16" t="n">
        <f aca="false">IF(D1075="","",D1075*$B$15)</f>
        <v>0.0943019233704763</v>
      </c>
      <c r="F1075" s="16" t="n">
        <f aca="false" t="array" ref="F1075:F1075">IF(D1075="","",IFERROR(INDEX(Dados_Evap!$C$2:$N$15,MATCH($B$9,Dados_Evap!$A$2:$A$15,0),C1075),0))</f>
        <v>180.9</v>
      </c>
      <c r="G1075" s="16" t="n">
        <f aca="false">IF(F1075="","",F1075/1000)</f>
        <v>0.1809</v>
      </c>
      <c r="H1075" s="16" t="n">
        <f aca="false">IF(D1075="","",MAX(0,MIN($B$8,IFERROR(LOOKUP(2,1/($U$24:U1074&lt;&gt;""),$U$24:U1074),$B$11))))</f>
        <v>15.5122261567018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1.10793543414732</v>
      </c>
      <c r="J1075" s="16" t="n">
        <f aca="false">IF(D1075="","",$B$12)</f>
        <v>0.25</v>
      </c>
      <c r="K1075" s="16" t="n">
        <f aca="false">IF(J1075="","",J1075*$B$15)</f>
        <v>0.648</v>
      </c>
      <c r="L1075" s="16" t="n">
        <f aca="false">IF(D1075="","",H1075+E1075-K1075-G1075*I1075)</f>
        <v>14.758102560035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1.08370083841322</v>
      </c>
      <c r="N1075" s="16" t="n">
        <f aca="false">IF(D1075="","",(I1075+M1075)/2)</f>
        <v>1.09581813628027</v>
      </c>
      <c r="O1075" s="16" t="n">
        <f aca="false">IF(D1075="","",G1075*N1075)</f>
        <v>0.198233500853101</v>
      </c>
      <c r="P1075" s="16" t="n">
        <f aca="false">IF(D1075="","",H1075+E1075-K1075-O1075)</f>
        <v>14.7602945792192</v>
      </c>
      <c r="Q1075" s="16" t="n">
        <f aca="false">IF(D1075="","",IF(P1075&gt;=0,K1075,MAX(0,K1075+P1075)))</f>
        <v>0.648</v>
      </c>
      <c r="R1075" s="16" t="n">
        <f aca="false">IF(D1075="","",Q1075/$B$15)</f>
        <v>0.25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14.7602945792192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69.2971576489162</v>
      </c>
      <c r="Z1075" s="18" t="n">
        <f aca="false">IF(D1075="","",MAX(0,IF(P1075&gt;=0,P1075,IF(K1075+P1075&gt;=0,0,P1075+K1075))))</f>
        <v>14.7602945792192</v>
      </c>
      <c r="AA1075" s="18" t="n">
        <f aca="false">IF(D1075="","",IF(H1075&lt;=$B$16,1,IF(H1075&gt;=$B$17,$B$21,MATCH(H1075,Aux_CAV!$A$2:$A$121,1))))</f>
        <v>6</v>
      </c>
      <c r="AB1075" s="18" t="n">
        <f aca="false">IF(D1075="","",IF(L1075&lt;=$B$16,1,IF(L1075&gt;=$B$17,$B$21,MATCH(L1075,Aux_CAV!$A$2:$A$121,1))))</f>
        <v>6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0.0172121991258263</v>
      </c>
      <c r="E1076" s="16" t="n">
        <f aca="false">IF(D1076="","",D1076*$B$15)</f>
        <v>0.0446140201341418</v>
      </c>
      <c r="F1076" s="16" t="n">
        <f aca="false" t="array" ref="F1076:F1076">IF(D1076="","",IFERROR(INDEX(Dados_Evap!$C$2:$N$15,MATCH($B$9,Dados_Evap!$A$2:$A$15,0),C1076),0))</f>
        <v>208.9</v>
      </c>
      <c r="G1076" s="16" t="n">
        <f aca="false">IF(F1076="","",F1076/1000)</f>
        <v>0.2089</v>
      </c>
      <c r="H1076" s="16" t="n">
        <f aca="false">IF(D1076="","",MAX(0,MIN($B$8,IFERROR(LOOKUP(2,1/($U$24:U1075&lt;&gt;""),$U$24:U1075),$B$11))))</f>
        <v>14.7602945792192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1.08377128137377</v>
      </c>
      <c r="J1076" s="16" t="n">
        <f aca="false">IF(D1076="","",$B$12)</f>
        <v>0.25</v>
      </c>
      <c r="K1076" s="16" t="n">
        <f aca="false">IF(J1076="","",J1076*$B$15)</f>
        <v>0.648</v>
      </c>
      <c r="L1076" s="16" t="n">
        <f aca="false">IF(D1076="","",H1076+E1076-K1076-G1076*I1076)</f>
        <v>13.9305087786743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1.05710519704624</v>
      </c>
      <c r="N1076" s="16" t="n">
        <f aca="false">IF(D1076="","",(I1076+M1076)/2)</f>
        <v>1.07043823921001</v>
      </c>
      <c r="O1076" s="16" t="n">
        <f aca="false">IF(D1076="","",G1076*N1076)</f>
        <v>0.223614548170971</v>
      </c>
      <c r="P1076" s="16" t="n">
        <f aca="false">IF(D1076="","",H1076+E1076-K1076-O1076)</f>
        <v>13.9332940511823</v>
      </c>
      <c r="Q1076" s="16" t="n">
        <f aca="false">IF(D1076="","",IF(P1076&gt;=0,K1076,MAX(0,K1076+P1076)))</f>
        <v>0.648</v>
      </c>
      <c r="R1076" s="16" t="n">
        <f aca="false">IF(D1076="","",Q1076/$B$15)</f>
        <v>0.25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13.9332940511823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65.4145260618889</v>
      </c>
      <c r="Z1076" s="18" t="n">
        <f aca="false">IF(D1076="","",MAX(0,IF(P1076&gt;=0,P1076,IF(K1076+P1076&gt;=0,0,P1076+K1076))))</f>
        <v>13.9332940511823</v>
      </c>
      <c r="AA1076" s="18" t="n">
        <f aca="false">IF(D1076="","",IF(H1076&lt;=$B$16,1,IF(H1076&gt;=$B$17,$B$21,MATCH(H1076,Aux_CAV!$A$2:$A$121,1))))</f>
        <v>6</v>
      </c>
      <c r="AB1076" s="18" t="n">
        <f aca="false">IF(D1076="","",IF(L1076&lt;=$B$16,1,IF(L1076&gt;=$B$17,$B$21,MATCH(L1076,Aux_CAV!$A$2:$A$121,1))))</f>
        <v>6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0.0101890048880417</v>
      </c>
      <c r="E1077" s="16" t="n">
        <f aca="false">IF(D1077="","",D1077*$B$15)</f>
        <v>0.0264099006698041</v>
      </c>
      <c r="F1077" s="16" t="n">
        <f aca="false" t="array" ref="F1077:F1077">IF(D1077="","",IFERROR(INDEX(Dados_Evap!$C$2:$N$15,MATCH($B$9,Dados_Evap!$A$2:$A$15,0),C1077),0))</f>
        <v>235.9</v>
      </c>
      <c r="G1077" s="16" t="n">
        <f aca="false">IF(F1077="","",F1077/1000)</f>
        <v>0.2359</v>
      </c>
      <c r="H1077" s="16" t="n">
        <f aca="false">IF(D1077="","",MAX(0,MIN($B$8,IFERROR(LOOKUP(2,1/($U$24:U1076&lt;&gt;""),$U$24:U1076),$B$11))))</f>
        <v>13.9332940511823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1.05719470485841</v>
      </c>
      <c r="J1077" s="16" t="n">
        <f aca="false">IF(D1077="","",$B$12)</f>
        <v>0.25</v>
      </c>
      <c r="K1077" s="16" t="n">
        <f aca="false">IF(J1077="","",J1077*$B$15)</f>
        <v>0.648</v>
      </c>
      <c r="L1077" s="16" t="n">
        <f aca="false">IF(D1077="","",H1077+E1077-K1077-G1077*I1077)</f>
        <v>13.062311720976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1.02920472449261</v>
      </c>
      <c r="N1077" s="16" t="n">
        <f aca="false">IF(D1077="","",(I1077+M1077)/2)</f>
        <v>1.04319971467551</v>
      </c>
      <c r="O1077" s="16" t="n">
        <f aca="false">IF(D1077="","",G1077*N1077)</f>
        <v>0.246090812691953</v>
      </c>
      <c r="P1077" s="16" t="n">
        <f aca="false">IF(D1077="","",H1077+E1077-K1077-O1077)</f>
        <v>13.0656131391602</v>
      </c>
      <c r="Q1077" s="16" t="n">
        <f aca="false">IF(D1077="","",IF(P1077&gt;=0,K1077,MAX(0,K1077+P1077)))</f>
        <v>0.648</v>
      </c>
      <c r="R1077" s="16" t="n">
        <f aca="false">IF(D1077="","",Q1077/$B$15)</f>
        <v>0.25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13.0656131391602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61.3409067566205</v>
      </c>
      <c r="Z1077" s="18" t="n">
        <f aca="false">IF(D1077="","",MAX(0,IF(P1077&gt;=0,P1077,IF(K1077+P1077&gt;=0,0,P1077+K1077))))</f>
        <v>13.0656131391602</v>
      </c>
      <c r="AA1077" s="18" t="n">
        <f aca="false">IF(D1077="","",IF(H1077&lt;=$B$16,1,IF(H1077&gt;=$B$17,$B$21,MATCH(H1077,Aux_CAV!$A$2:$A$121,1))))</f>
        <v>6</v>
      </c>
      <c r="AB1077" s="18" t="n">
        <f aca="false">IF(D1077="","",IF(L1077&lt;=$B$16,1,IF(L1077&gt;=$B$17,$B$21,MATCH(L1077,Aux_CAV!$A$2:$A$121,1))))</f>
        <v>6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0.00758607567517324</v>
      </c>
      <c r="E1078" s="16" t="n">
        <f aca="false">IF(D1078="","",D1078*$B$15)</f>
        <v>0.019663108150049</v>
      </c>
      <c r="F1078" s="16" t="n">
        <f aca="false" t="array" ref="F1078:F1078">IF(D1078="","",IFERROR(INDEX(Dados_Evap!$C$2:$N$15,MATCH($B$9,Dados_Evap!$A$2:$A$15,0),C1078),0))</f>
        <v>225.9</v>
      </c>
      <c r="G1078" s="16" t="n">
        <f aca="false">IF(F1078="","",F1078/1000)</f>
        <v>0.2259</v>
      </c>
      <c r="H1078" s="16" t="n">
        <f aca="false">IF(D1078="","",MAX(0,MIN($B$8,IFERROR(LOOKUP(2,1/($U$24:U1077&lt;&gt;""),$U$24:U1077),$B$11))))</f>
        <v>13.0656131391602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1.02931081921687</v>
      </c>
      <c r="J1078" s="16" t="n">
        <f aca="false">IF(D1078="","",$B$12)</f>
        <v>0.25</v>
      </c>
      <c r="K1078" s="16" t="n">
        <f aca="false">IF(J1078="","",J1078*$B$15)</f>
        <v>0.648</v>
      </c>
      <c r="L1078" s="16" t="n">
        <f aca="false">IF(D1078="","",H1078+E1078-K1078-G1078*I1078)</f>
        <v>12.2047549332491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1.00164618878116</v>
      </c>
      <c r="N1078" s="16" t="n">
        <f aca="false">IF(D1078="","",(I1078+M1078)/2)</f>
        <v>1.01547850399902</v>
      </c>
      <c r="O1078" s="16" t="n">
        <f aca="false">IF(D1078="","",G1078*N1078)</f>
        <v>0.229396594053378</v>
      </c>
      <c r="P1078" s="16" t="n">
        <f aca="false">IF(D1078="","",H1078+E1078-K1078-O1078)</f>
        <v>12.2078796532568</v>
      </c>
      <c r="Q1078" s="16" t="n">
        <f aca="false">IF(D1078="","",IF(P1078&gt;=0,K1078,MAX(0,K1078+P1078)))</f>
        <v>0.648</v>
      </c>
      <c r="R1078" s="16" t="n">
        <f aca="false">IF(D1078="","",Q1078/$B$15)</f>
        <v>0.25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12.2078796532568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57.3139889824265</v>
      </c>
      <c r="Z1078" s="18" t="n">
        <f aca="false">IF(D1078="","",MAX(0,IF(P1078&gt;=0,P1078,IF(K1078+P1078&gt;=0,0,P1078+K1078))))</f>
        <v>12.2078796532568</v>
      </c>
      <c r="AA1078" s="18" t="n">
        <f aca="false">IF(D1078="","",IF(H1078&lt;=$B$16,1,IF(H1078&gt;=$B$17,$B$21,MATCH(H1078,Aux_CAV!$A$2:$A$121,1))))</f>
        <v>6</v>
      </c>
      <c r="AB1078" s="18" t="n">
        <f aca="false">IF(D1078="","",IF(L1078&lt;=$B$16,1,IF(L1078&gt;=$B$17,$B$21,MATCH(L1078,Aux_CAV!$A$2:$A$121,1))))</f>
        <v>6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0.0215754744789022</v>
      </c>
      <c r="E1079" s="16" t="n">
        <f aca="false">IF(D1079="","",D1079*$B$15)</f>
        <v>0.0559236298493145</v>
      </c>
      <c r="F1079" s="16" t="n">
        <f aca="false" t="array" ref="F1079:F1079">IF(D1079="","",IFERROR(INDEX(Dados_Evap!$C$2:$N$15,MATCH($B$9,Dados_Evap!$A$2:$A$15,0),C1079),0))</f>
        <v>206</v>
      </c>
      <c r="G1079" s="16" t="n">
        <f aca="false">IF(F1079="","",F1079/1000)</f>
        <v>0.206</v>
      </c>
      <c r="H1079" s="16" t="n">
        <f aca="false">IF(D1079="","",MAX(0,MIN($B$8,IFERROR(LOOKUP(2,1/($U$24:U1078&lt;&gt;""),$U$24:U1078),$B$11))))</f>
        <v>12.2078796532568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1.00174660511411</v>
      </c>
      <c r="J1079" s="16" t="n">
        <f aca="false">IF(D1079="","",$B$12)</f>
        <v>0.25</v>
      </c>
      <c r="K1079" s="16" t="n">
        <f aca="false">IF(J1079="","",J1079*$B$15)</f>
        <v>0.648</v>
      </c>
      <c r="L1079" s="16" t="n">
        <f aca="false">IF(D1079="","",H1079+E1079-K1079-G1079*I1079)</f>
        <v>11.4094434824527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0.976087975806607</v>
      </c>
      <c r="N1079" s="16" t="n">
        <f aca="false">IF(D1079="","",(I1079+M1079)/2)</f>
        <v>0.988917290460361</v>
      </c>
      <c r="O1079" s="16" t="n">
        <f aca="false">IF(D1079="","",G1079*N1079)</f>
        <v>0.203716961834834</v>
      </c>
      <c r="P1079" s="16" t="n">
        <f aca="false">IF(D1079="","",H1079+E1079-K1079-O1079)</f>
        <v>11.4120863212713</v>
      </c>
      <c r="Q1079" s="16" t="n">
        <f aca="false">IF(D1079="","",IF(P1079&gt;=0,K1079,MAX(0,K1079+P1079)))</f>
        <v>0.648</v>
      </c>
      <c r="R1079" s="16" t="n">
        <f aca="false">IF(D1079="","",Q1079/$B$15)</f>
        <v>0.25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11.4120863212713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53.577870052917</v>
      </c>
      <c r="Z1079" s="18" t="n">
        <f aca="false">IF(D1079="","",MAX(0,IF(P1079&gt;=0,P1079,IF(K1079+P1079&gt;=0,0,P1079+K1079))))</f>
        <v>11.4120863212713</v>
      </c>
      <c r="AA1079" s="18" t="n">
        <f aca="false">IF(D1079="","",IF(H1079&lt;=$B$16,1,IF(H1079&gt;=$B$17,$B$21,MATCH(H1079,Aux_CAV!$A$2:$A$121,1))))</f>
        <v>6</v>
      </c>
      <c r="AB1079" s="18" t="n">
        <f aca="false">IF(D1079="","",IF(L1079&lt;=$B$16,1,IF(L1079&gt;=$B$17,$B$21,MATCH(L1079,Aux_CAV!$A$2:$A$121,1))))</f>
        <v>6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0.306431285766535</v>
      </c>
      <c r="E1080" s="16" t="n">
        <f aca="false">IF(D1080="","",D1080*$B$15)</f>
        <v>0.794269892706859</v>
      </c>
      <c r="F1080" s="16" t="n">
        <f aca="false" t="array" ref="F1080:F1080">IF(D1080="","",IFERROR(INDEX(Dados_Evap!$C$2:$N$15,MATCH($B$9,Dados_Evap!$A$2:$A$15,0),C1080),0))</f>
        <v>165.6</v>
      </c>
      <c r="G1080" s="16" t="n">
        <f aca="false">IF(F1080="","",F1080/1000)</f>
        <v>0.1656</v>
      </c>
      <c r="H1080" s="16" t="n">
        <f aca="false">IF(D1080="","",MAX(0,MIN($B$8,IFERROR(LOOKUP(2,1/($U$24:U1079&lt;&gt;""),$U$24:U1079),$B$11))))</f>
        <v>11.4120863212713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0.976172906354655</v>
      </c>
      <c r="J1080" s="16" t="n">
        <f aca="false">IF(D1080="","",$B$12)</f>
        <v>0.25</v>
      </c>
      <c r="K1080" s="16" t="n">
        <f aca="false">IF(J1080="","",J1080*$B$15)</f>
        <v>0.648</v>
      </c>
      <c r="L1080" s="16" t="n">
        <f aca="false">IF(D1080="","",H1080+E1080-K1080-G1080*I1080)</f>
        <v>11.3967019806859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0.975678513557012</v>
      </c>
      <c r="N1080" s="16" t="n">
        <f aca="false">IF(D1080="","",(I1080+M1080)/2)</f>
        <v>0.975925709955834</v>
      </c>
      <c r="O1080" s="16" t="n">
        <f aca="false">IF(D1080="","",G1080*N1080)</f>
        <v>0.161613297568686</v>
      </c>
      <c r="P1080" s="16" t="n">
        <f aca="false">IF(D1080="","",H1080+E1080-K1080-O1080)</f>
        <v>11.3967429164095</v>
      </c>
      <c r="Q1080" s="16" t="n">
        <f aca="false">IF(D1080="","",IF(P1080&gt;=0,K1080,MAX(0,K1080+P1080)))</f>
        <v>0.648</v>
      </c>
      <c r="R1080" s="16" t="n">
        <f aca="false">IF(D1080="","",Q1080/$B$15)</f>
        <v>0.25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11.3967429164095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53.5058352883075</v>
      </c>
      <c r="Z1080" s="18" t="n">
        <f aca="false">IF(D1080="","",MAX(0,IF(P1080&gt;=0,P1080,IF(K1080+P1080&gt;=0,0,P1080+K1080))))</f>
        <v>11.3967429164095</v>
      </c>
      <c r="AA1080" s="18" t="n">
        <f aca="false">IF(D1080="","",IF(H1080&lt;=$B$16,1,IF(H1080&gt;=$B$17,$B$21,MATCH(H1080,Aux_CAV!$A$2:$A$121,1))))</f>
        <v>6</v>
      </c>
      <c r="AB1080" s="18" t="n">
        <f aca="false">IF(D1080="","",IF(L1080&lt;=$B$16,1,IF(L1080&gt;=$B$17,$B$21,MATCH(L1080,Aux_CAV!$A$2:$A$121,1))))</f>
        <v>6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0.282716256650567</v>
      </c>
      <c r="E1081" s="16" t="n">
        <f aca="false">IF(D1081="","",D1081*$B$15)</f>
        <v>0.73280053723827</v>
      </c>
      <c r="F1081" s="16" t="n">
        <f aca="false" t="array" ref="F1081:F1081">IF(D1081="","",IFERROR(INDEX(Dados_Evap!$C$2:$N$15,MATCH($B$9,Dados_Evap!$A$2:$A$15,0),C1081),0))</f>
        <v>124.9</v>
      </c>
      <c r="G1081" s="16" t="n">
        <f aca="false">IF(F1081="","",F1081/1000)</f>
        <v>0.1249</v>
      </c>
      <c r="H1081" s="16" t="n">
        <f aca="false">IF(D1081="","",MAX(0,MIN($B$8,IFERROR(LOOKUP(2,1/($U$24:U1080&lt;&gt;""),$U$24:U1080),$B$11))))</f>
        <v>11.3967429164095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0.975679829071761</v>
      </c>
      <c r="J1081" s="16" t="n">
        <f aca="false">IF(D1081="","",$B$12)</f>
        <v>0.25</v>
      </c>
      <c r="K1081" s="16" t="n">
        <f aca="false">IF(J1081="","",J1081*$B$15)</f>
        <v>0.648</v>
      </c>
      <c r="L1081" s="16" t="n">
        <f aca="false">IF(D1081="","",H1081+E1081-K1081-G1081*I1081)</f>
        <v>11.3596810429967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0.974488804784393</v>
      </c>
      <c r="N1081" s="16" t="n">
        <f aca="false">IF(D1081="","",(I1081+M1081)/2)</f>
        <v>0.975084316928077</v>
      </c>
      <c r="O1081" s="16" t="n">
        <f aca="false">IF(D1081="","",G1081*N1081)</f>
        <v>0.121788031184317</v>
      </c>
      <c r="P1081" s="16" t="n">
        <f aca="false">IF(D1081="","",H1081+E1081-K1081-O1081)</f>
        <v>11.3597554224635</v>
      </c>
      <c r="Q1081" s="16" t="n">
        <f aca="false">IF(D1081="","",IF(P1081&gt;=0,K1081,MAX(0,K1081+P1081)))</f>
        <v>0.648</v>
      </c>
      <c r="R1081" s="16" t="n">
        <f aca="false">IF(D1081="","",Q1081/$B$15)</f>
        <v>0.25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11.3597554224635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53.3321850819881</v>
      </c>
      <c r="Z1081" s="18" t="n">
        <f aca="false">IF(D1081="","",MAX(0,IF(P1081&gt;=0,P1081,IF(K1081+P1081&gt;=0,0,P1081+K1081))))</f>
        <v>11.3597554224635</v>
      </c>
      <c r="AA1081" s="18" t="n">
        <f aca="false">IF(D1081="","",IF(H1081&lt;=$B$16,1,IF(H1081&gt;=$B$17,$B$21,MATCH(H1081,Aux_CAV!$A$2:$A$121,1))))</f>
        <v>6</v>
      </c>
      <c r="AB1081" s="18" t="n">
        <f aca="false">IF(D1081="","",IF(L1081&lt;=$B$16,1,IF(L1081&gt;=$B$17,$B$21,MATCH(L1081,Aux_CAV!$A$2:$A$121,1))))</f>
        <v>6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0.692743148319118</v>
      </c>
      <c r="E1082" s="16" t="n">
        <f aca="false">IF(D1082="","",D1082*$B$15)</f>
        <v>1.79559024044315</v>
      </c>
      <c r="F1082" s="16" t="n">
        <f aca="false" t="array" ref="F1082:F1082">IF(D1082="","",IFERROR(INDEX(Dados_Evap!$C$2:$N$15,MATCH($B$9,Dados_Evap!$A$2:$A$15,0),C1082),0))</f>
        <v>88.2</v>
      </c>
      <c r="G1082" s="16" t="n">
        <f aca="false">IF(F1082="","",F1082/1000)</f>
        <v>0.0882</v>
      </c>
      <c r="H1082" s="16" t="n">
        <f aca="false">IF(D1082="","",MAX(0,MIN($B$8,IFERROR(LOOKUP(2,1/($U$24:U1081&lt;&gt;""),$U$24:U1081),$B$11))))</f>
        <v>11.3597554224635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0.97449119505081</v>
      </c>
      <c r="J1082" s="16" t="n">
        <f aca="false">IF(D1082="","",$B$12)</f>
        <v>0.25</v>
      </c>
      <c r="K1082" s="16" t="n">
        <f aca="false">IF(J1082="","",J1082*$B$15)</f>
        <v>0.648</v>
      </c>
      <c r="L1082" s="16" t="n">
        <f aca="false">IF(D1082="","",H1082+E1082-K1082-G1082*I1082)</f>
        <v>12.4213955395031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1.00860817423734</v>
      </c>
      <c r="N1082" s="16" t="n">
        <f aca="false">IF(D1082="","",(I1082+M1082)/2)</f>
        <v>0.991549684644075</v>
      </c>
      <c r="O1082" s="16" t="n">
        <f aca="false">IF(D1082="","",G1082*N1082)</f>
        <v>0.0874546821856075</v>
      </c>
      <c r="P1082" s="16" t="n">
        <f aca="false">IF(D1082="","",H1082+E1082-K1082-O1082)</f>
        <v>12.419890980721</v>
      </c>
      <c r="Q1082" s="16" t="n">
        <f aca="false">IF(D1082="","",IF(P1082&gt;=0,K1082,MAX(0,K1082+P1082)))</f>
        <v>0.648</v>
      </c>
      <c r="R1082" s="16" t="n">
        <f aca="false">IF(D1082="","",Q1082/$B$15)</f>
        <v>0.25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12.419890980721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58.3093473273286</v>
      </c>
      <c r="Z1082" s="18" t="n">
        <f aca="false">IF(D1082="","",MAX(0,IF(P1082&gt;=0,P1082,IF(K1082+P1082&gt;=0,0,P1082+K1082))))</f>
        <v>12.419890980721</v>
      </c>
      <c r="AA1082" s="18" t="n">
        <f aca="false">IF(D1082="","",IF(H1082&lt;=$B$16,1,IF(H1082&gt;=$B$17,$B$21,MATCH(H1082,Aux_CAV!$A$2:$A$121,1))))</f>
        <v>6</v>
      </c>
      <c r="AB1082" s="18" t="n">
        <f aca="false">IF(D1082="","",IF(L1082&lt;=$B$16,1,IF(L1082&gt;=$B$17,$B$21,MATCH(L1082,Aux_CAV!$A$2:$A$121,1))))</f>
        <v>6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0.477604579261345</v>
      </c>
      <c r="E1083" s="16" t="n">
        <f aca="false">IF(D1083="","",D1083*$B$15)</f>
        <v>1.23795106944541</v>
      </c>
      <c r="F1083" s="16" t="n">
        <f aca="false" t="array" ref="F1083:F1083">IF(D1083="","",IFERROR(INDEX(Dados_Evap!$C$2:$N$15,MATCH($B$9,Dados_Evap!$A$2:$A$15,0),C1083),0))</f>
        <v>88.2</v>
      </c>
      <c r="G1083" s="16" t="n">
        <f aca="false">IF(F1083="","",F1083/1000)</f>
        <v>0.0882</v>
      </c>
      <c r="H1083" s="16" t="n">
        <f aca="false">IF(D1083="","",MAX(0,MIN($B$8,IFERROR(LOOKUP(2,1/($U$24:U1082&lt;&gt;""),$U$24:U1082),$B$11))))</f>
        <v>12.419890980721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1.00855982357705</v>
      </c>
      <c r="J1083" s="16" t="n">
        <f aca="false">IF(D1083="","",$B$12)</f>
        <v>0.25</v>
      </c>
      <c r="K1083" s="16" t="n">
        <f aca="false">IF(J1083="","",J1083*$B$15)</f>
        <v>0.648</v>
      </c>
      <c r="L1083" s="16" t="n">
        <f aca="false">IF(D1083="","",H1083+E1083-K1083-G1083*I1083)</f>
        <v>12.9208870737269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1.02465988705739</v>
      </c>
      <c r="N1083" s="16" t="n">
        <f aca="false">IF(D1083="","",(I1083+M1083)/2)</f>
        <v>1.01660985531722</v>
      </c>
      <c r="O1083" s="16" t="n">
        <f aca="false">IF(D1083="","",G1083*N1083)</f>
        <v>0.0896649892389785</v>
      </c>
      <c r="P1083" s="16" t="n">
        <f aca="false">IF(D1083="","",H1083+E1083-K1083-O1083)</f>
        <v>12.9201770609274</v>
      </c>
      <c r="Q1083" s="16" t="n">
        <f aca="false">IF(D1083="","",IF(P1083&gt;=0,K1083,MAX(0,K1083+P1083)))</f>
        <v>0.648</v>
      </c>
      <c r="R1083" s="16" t="n">
        <f aca="false">IF(D1083="","",Q1083/$B$15)</f>
        <v>0.25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12.9201770609274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60.6581082672649</v>
      </c>
      <c r="Z1083" s="18" t="n">
        <f aca="false">IF(D1083="","",MAX(0,IF(P1083&gt;=0,P1083,IF(K1083+P1083&gt;=0,0,P1083+K1083))))</f>
        <v>12.9201770609274</v>
      </c>
      <c r="AA1083" s="18" t="n">
        <f aca="false">IF(D1083="","",IF(H1083&lt;=$B$16,1,IF(H1083&gt;=$B$17,$B$21,MATCH(H1083,Aux_CAV!$A$2:$A$121,1))))</f>
        <v>6</v>
      </c>
      <c r="AB1083" s="18" t="n">
        <f aca="false">IF(D1083="","",IF(L1083&lt;=$B$16,1,IF(L1083&gt;=$B$17,$B$21,MATCH(L1083,Aux_CAV!$A$2:$A$121,1))))</f>
        <v>6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0.281785349079236</v>
      </c>
      <c r="E1084" s="16" t="n">
        <f aca="false">IF(D1084="","",D1084*$B$15)</f>
        <v>0.73038762481338</v>
      </c>
      <c r="F1084" s="16" t="n">
        <f aca="false" t="array" ref="F1084:F1084">IF(D1084="","",IFERROR(INDEX(Dados_Evap!$C$2:$N$15,MATCH($B$9,Dados_Evap!$A$2:$A$15,0),C1084),0))</f>
        <v>83.9</v>
      </c>
      <c r="G1084" s="16" t="n">
        <f aca="false">IF(F1084="","",F1084/1000)</f>
        <v>0.0839</v>
      </c>
      <c r="H1084" s="16" t="n">
        <f aca="false">IF(D1084="","",MAX(0,MIN($B$8,IFERROR(LOOKUP(2,1/($U$24:U1083&lt;&gt;""),$U$24:U1083),$B$11))))</f>
        <v>12.9201770609274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1.0246370700109</v>
      </c>
      <c r="J1084" s="16" t="n">
        <f aca="false">IF(D1084="","",$B$12)</f>
        <v>0.25</v>
      </c>
      <c r="K1084" s="16" t="n">
        <f aca="false">IF(J1084="","",J1084*$B$15)</f>
        <v>0.648</v>
      </c>
      <c r="L1084" s="16" t="n">
        <f aca="false">IF(D1084="","",H1084+E1084-K1084-G1084*I1084)</f>
        <v>12.9165976355669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1.0245220412186</v>
      </c>
      <c r="N1084" s="16" t="n">
        <f aca="false">IF(D1084="","",(I1084+M1084)/2)</f>
        <v>1.02457955561475</v>
      </c>
      <c r="O1084" s="16" t="n">
        <f aca="false">IF(D1084="","",G1084*N1084)</f>
        <v>0.0859622247160774</v>
      </c>
      <c r="P1084" s="16" t="n">
        <f aca="false">IF(D1084="","",H1084+E1084-K1084-O1084)</f>
        <v>12.9166024610247</v>
      </c>
      <c r="Q1084" s="16" t="n">
        <f aca="false">IF(D1084="","",IF(P1084&gt;=0,K1084,MAX(0,K1084+P1084)))</f>
        <v>0.648</v>
      </c>
      <c r="R1084" s="16" t="n">
        <f aca="false">IF(D1084="","",Q1084/$B$15)</f>
        <v>0.25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12.9166024610247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60.6413261080973</v>
      </c>
      <c r="Z1084" s="18" t="n">
        <f aca="false">IF(D1084="","",MAX(0,IF(P1084&gt;=0,P1084,IF(K1084+P1084&gt;=0,0,P1084+K1084))))</f>
        <v>12.9166024610247</v>
      </c>
      <c r="AA1084" s="18" t="n">
        <f aca="false">IF(D1084="","",IF(H1084&lt;=$B$16,1,IF(H1084&gt;=$B$17,$B$21,MATCH(H1084,Aux_CAV!$A$2:$A$121,1))))</f>
        <v>6</v>
      </c>
      <c r="AB1084" s="18" t="n">
        <f aca="false">IF(D1084="","",IF(L1084&lt;=$B$16,1,IF(L1084&gt;=$B$17,$B$21,MATCH(L1084,Aux_CAV!$A$2:$A$121,1))))</f>
        <v>6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0.202312534670862</v>
      </c>
      <c r="E1085" s="16" t="n">
        <f aca="false">IF(D1085="","",D1085*$B$15)</f>
        <v>0.524394089866874</v>
      </c>
      <c r="F1085" s="16" t="n">
        <f aca="false" t="array" ref="F1085:F1085">IF(D1085="","",IFERROR(INDEX(Dados_Evap!$C$2:$N$15,MATCH($B$9,Dados_Evap!$A$2:$A$15,0),C1085),0))</f>
        <v>104.7</v>
      </c>
      <c r="G1085" s="16" t="n">
        <f aca="false">IF(F1085="","",F1085/1000)</f>
        <v>0.1047</v>
      </c>
      <c r="H1085" s="16" t="n">
        <f aca="false">IF(D1085="","",MAX(0,MIN($B$8,IFERROR(LOOKUP(2,1/($U$24:U1084&lt;&gt;""),$U$24:U1084),$B$11))))</f>
        <v>12.9166024610247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1.02452219629002</v>
      </c>
      <c r="J1085" s="16" t="n">
        <f aca="false">IF(D1085="","",$B$12)</f>
        <v>0.25</v>
      </c>
      <c r="K1085" s="16" t="n">
        <f aca="false">IF(J1085="","",J1085*$B$15)</f>
        <v>0.648</v>
      </c>
      <c r="L1085" s="16" t="n">
        <f aca="false">IF(D1085="","",H1085+E1085-K1085-G1085*I1085)</f>
        <v>12.68572907694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1.01710282477879</v>
      </c>
      <c r="N1085" s="16" t="n">
        <f aca="false">IF(D1085="","",(I1085+M1085)/2)</f>
        <v>1.02081251053441</v>
      </c>
      <c r="O1085" s="16" t="n">
        <f aca="false">IF(D1085="","",G1085*N1085)</f>
        <v>0.106879069852952</v>
      </c>
      <c r="P1085" s="16" t="n">
        <f aca="false">IF(D1085="","",H1085+E1085-K1085-O1085)</f>
        <v>12.6861174810387</v>
      </c>
      <c r="Q1085" s="16" t="n">
        <f aca="false">IF(D1085="","",IF(P1085&gt;=0,K1085,MAX(0,K1085+P1085)))</f>
        <v>0.648</v>
      </c>
      <c r="R1085" s="16" t="n">
        <f aca="false">IF(D1085="","",Q1085/$B$15)</f>
        <v>0.25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12.6861174810387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59.5592370001815</v>
      </c>
      <c r="Z1085" s="18" t="n">
        <f aca="false">IF(D1085="","",MAX(0,IF(P1085&gt;=0,P1085,IF(K1085+P1085&gt;=0,0,P1085+K1085))))</f>
        <v>12.6861174810387</v>
      </c>
      <c r="AA1085" s="18" t="n">
        <f aca="false">IF(D1085="","",IF(H1085&lt;=$B$16,1,IF(H1085&gt;=$B$17,$B$21,MATCH(H1085,Aux_CAV!$A$2:$A$121,1))))</f>
        <v>6</v>
      </c>
      <c r="AB1085" s="18" t="n">
        <f aca="false">IF(D1085="","",IF(L1085&lt;=$B$16,1,IF(L1085&gt;=$B$17,$B$21,MATCH(L1085,Aux_CAV!$A$2:$A$121,1))))</f>
        <v>6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0.0542086334087324</v>
      </c>
      <c r="E1086" s="16" t="n">
        <f aca="false">IF(D1086="","",D1086*$B$15)</f>
        <v>0.140508777795434</v>
      </c>
      <c r="F1086" s="16" t="n">
        <f aca="false" t="array" ref="F1086:F1086">IF(D1086="","",IFERROR(INDEX(Dados_Evap!$C$2:$N$15,MATCH($B$9,Dados_Evap!$A$2:$A$15,0),C1086),0))</f>
        <v>145.2</v>
      </c>
      <c r="G1086" s="16" t="n">
        <f aca="false">IF(F1086="","",F1086/1000)</f>
        <v>0.1452</v>
      </c>
      <c r="H1086" s="16" t="n">
        <f aca="false">IF(D1086="","",MAX(0,MIN($B$8,IFERROR(LOOKUP(2,1/($U$24:U1085&lt;&gt;""),$U$24:U1085),$B$11))))</f>
        <v>12.6861174810387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1.01711530657402</v>
      </c>
      <c r="J1086" s="16" t="n">
        <f aca="false">IF(D1086="","",$B$12)</f>
        <v>0.25</v>
      </c>
      <c r="K1086" s="16" t="n">
        <f aca="false">IF(J1086="","",J1086*$B$15)</f>
        <v>0.648</v>
      </c>
      <c r="L1086" s="16" t="n">
        <f aca="false">IF(D1086="","",H1086+E1086-K1086-G1086*I1086)</f>
        <v>12.0309411163195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0.996060489560363</v>
      </c>
      <c r="N1086" s="16" t="n">
        <f aca="false">IF(D1086="","",(I1086+M1086)/2)</f>
        <v>1.00658789806719</v>
      </c>
      <c r="O1086" s="16" t="n">
        <f aca="false">IF(D1086="","",G1086*N1086)</f>
        <v>0.146156562799356</v>
      </c>
      <c r="P1086" s="16" t="n">
        <f aca="false">IF(D1086="","",H1086+E1086-K1086-O1086)</f>
        <v>12.0324696960347</v>
      </c>
      <c r="Q1086" s="16" t="n">
        <f aca="false">IF(D1086="","",IF(P1086&gt;=0,K1086,MAX(0,K1086+P1086)))</f>
        <v>0.648</v>
      </c>
      <c r="R1086" s="16" t="n">
        <f aca="false">IF(D1086="","",Q1086/$B$15)</f>
        <v>0.25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12.0324696960347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56.4904680565011</v>
      </c>
      <c r="Z1086" s="18" t="n">
        <f aca="false">IF(D1086="","",MAX(0,IF(P1086&gt;=0,P1086,IF(K1086+P1086&gt;=0,0,P1086+K1086))))</f>
        <v>12.0324696960347</v>
      </c>
      <c r="AA1086" s="18" t="n">
        <f aca="false">IF(D1086="","",IF(H1086&lt;=$B$16,1,IF(H1086&gt;=$B$17,$B$21,MATCH(H1086,Aux_CAV!$A$2:$A$121,1))))</f>
        <v>6</v>
      </c>
      <c r="AB1086" s="18" t="n">
        <f aca="false">IF(D1086="","",IF(L1086&lt;=$B$16,1,IF(L1086&gt;=$B$17,$B$21,MATCH(L1086,Aux_CAV!$A$2:$A$121,1))))</f>
        <v>6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0.0402300739354852</v>
      </c>
      <c r="E1087" s="16" t="n">
        <f aca="false">IF(D1087="","",D1087*$B$15)</f>
        <v>0.104276351640778</v>
      </c>
      <c r="F1087" s="16" t="n">
        <f aca="false" t="array" ref="F1087:F1087">IF(D1087="","",IFERROR(INDEX(Dados_Evap!$C$2:$N$15,MATCH($B$9,Dados_Evap!$A$2:$A$15,0),C1087),0))</f>
        <v>180.9</v>
      </c>
      <c r="G1087" s="16" t="n">
        <f aca="false">IF(F1087="","",F1087/1000)</f>
        <v>0.1809</v>
      </c>
      <c r="H1087" s="16" t="n">
        <f aca="false">IF(D1087="","",MAX(0,MIN($B$8,IFERROR(LOOKUP(2,1/($U$24:U1086&lt;&gt;""),$U$24:U1086),$B$11))))</f>
        <v>12.0324696960347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0.996109612159906</v>
      </c>
      <c r="J1087" s="16" t="n">
        <f aca="false">IF(D1087="","",$B$12)</f>
        <v>0.25</v>
      </c>
      <c r="K1087" s="16" t="n">
        <f aca="false">IF(J1087="","",J1087*$B$15)</f>
        <v>0.648</v>
      </c>
      <c r="L1087" s="16" t="n">
        <f aca="false">IF(D1087="","",H1087+E1087-K1087-G1087*I1087)</f>
        <v>11.3085498188358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0.972845646352001</v>
      </c>
      <c r="N1087" s="16" t="n">
        <f aca="false">IF(D1087="","",(I1087+M1087)/2)</f>
        <v>0.984477629255953</v>
      </c>
      <c r="O1087" s="16" t="n">
        <f aca="false">IF(D1087="","",G1087*N1087)</f>
        <v>0.178092003132402</v>
      </c>
      <c r="P1087" s="16" t="n">
        <f aca="false">IF(D1087="","",H1087+E1087-K1087-O1087)</f>
        <v>11.3106540445431</v>
      </c>
      <c r="Q1087" s="16" t="n">
        <f aca="false">IF(D1087="","",IF(P1087&gt;=0,K1087,MAX(0,K1087+P1087)))</f>
        <v>0.648</v>
      </c>
      <c r="R1087" s="16" t="n">
        <f aca="false">IF(D1087="","",Q1087/$B$15)</f>
        <v>0.25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11.3106540445431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53.1016621809536</v>
      </c>
      <c r="Z1087" s="18" t="n">
        <f aca="false">IF(D1087="","",MAX(0,IF(P1087&gt;=0,P1087,IF(K1087+P1087&gt;=0,0,P1087+K1087))))</f>
        <v>11.3106540445431</v>
      </c>
      <c r="AA1087" s="18" t="n">
        <f aca="false">IF(D1087="","",IF(H1087&lt;=$B$16,1,IF(H1087&gt;=$B$17,$B$21,MATCH(H1087,Aux_CAV!$A$2:$A$121,1))))</f>
        <v>6</v>
      </c>
      <c r="AB1087" s="18" t="n">
        <f aca="false">IF(D1087="","",IF(L1087&lt;=$B$16,1,IF(L1087&gt;=$B$17,$B$21,MATCH(L1087,Aux_CAV!$A$2:$A$121,1))))</f>
        <v>6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0.0247350894983834</v>
      </c>
      <c r="E1088" s="16" t="n">
        <f aca="false">IF(D1088="","",D1088*$B$15)</f>
        <v>0.0641133519798098</v>
      </c>
      <c r="F1088" s="16" t="n">
        <f aca="false" t="array" ref="F1088:F1088">IF(D1088="","",IFERROR(INDEX(Dados_Evap!$C$2:$N$15,MATCH($B$9,Dados_Evap!$A$2:$A$15,0),C1088),0))</f>
        <v>208.9</v>
      </c>
      <c r="G1088" s="16" t="n">
        <f aca="false">IF(F1088="","",F1088/1000)</f>
        <v>0.2089</v>
      </c>
      <c r="H1088" s="16" t="n">
        <f aca="false">IF(D1088="","",MAX(0,MIN($B$8,IFERROR(LOOKUP(2,1/($U$24:U1087&lt;&gt;""),$U$24:U1087),$B$11))))</f>
        <v>11.3106540445431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0.972913267972085</v>
      </c>
      <c r="J1088" s="16" t="n">
        <f aca="false">IF(D1088="","",$B$12)</f>
        <v>0.25</v>
      </c>
      <c r="K1088" s="16" t="n">
        <f aca="false">IF(J1088="","",J1088*$B$15)</f>
        <v>0.648</v>
      </c>
      <c r="L1088" s="16" t="n">
        <f aca="false">IF(D1088="","",H1088+E1088-K1088-G1088*I1088)</f>
        <v>10.5235258148436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0.946886918634189</v>
      </c>
      <c r="N1088" s="16" t="n">
        <f aca="false">IF(D1088="","",(I1088+M1088)/2)</f>
        <v>0.959900093303137</v>
      </c>
      <c r="O1088" s="16" t="n">
        <f aca="false">IF(D1088="","",G1088*N1088)</f>
        <v>0.200523129491025</v>
      </c>
      <c r="P1088" s="16" t="n">
        <f aca="false">IF(D1088="","",H1088+E1088-K1088-O1088)</f>
        <v>10.5262442670319</v>
      </c>
      <c r="Q1088" s="16" t="n">
        <f aca="false">IF(D1088="","",IF(P1088&gt;=0,K1088,MAX(0,K1088+P1088)))</f>
        <v>0.648</v>
      </c>
      <c r="R1088" s="16" t="n">
        <f aca="false">IF(D1088="","",Q1088/$B$15)</f>
        <v>0.25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10.5262442670319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49.4189871691638</v>
      </c>
      <c r="Z1088" s="18" t="n">
        <f aca="false">IF(D1088="","",MAX(0,IF(P1088&gt;=0,P1088,IF(K1088+P1088&gt;=0,0,P1088+K1088))))</f>
        <v>10.5262442670319</v>
      </c>
      <c r="AA1088" s="18" t="n">
        <f aca="false">IF(D1088="","",IF(H1088&lt;=$B$16,1,IF(H1088&gt;=$B$17,$B$21,MATCH(H1088,Aux_CAV!$A$2:$A$121,1))))</f>
        <v>6</v>
      </c>
      <c r="AB1088" s="18" t="n">
        <f aca="false">IF(D1088="","",IF(L1088&lt;=$B$16,1,IF(L1088&gt;=$B$17,$B$21,MATCH(L1088,Aux_CAV!$A$2:$A$121,1))))</f>
        <v>5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0.0145840856932339</v>
      </c>
      <c r="E1089" s="16" t="n">
        <f aca="false">IF(D1089="","",D1089*$B$15)</f>
        <v>0.0378019501168623</v>
      </c>
      <c r="F1089" s="16" t="n">
        <f aca="false" t="array" ref="F1089:F1089">IF(D1089="","",IFERROR(INDEX(Dados_Evap!$C$2:$N$15,MATCH($B$9,Dados_Evap!$A$2:$A$15,0),C1089),0))</f>
        <v>235.9</v>
      </c>
      <c r="G1089" s="16" t="n">
        <f aca="false">IF(F1089="","",F1089/1000)</f>
        <v>0.2359</v>
      </c>
      <c r="H1089" s="16" t="n">
        <f aca="false">IF(D1089="","",MAX(0,MIN($B$8,IFERROR(LOOKUP(2,1/($U$24:U1088&lt;&gt;""),$U$24:U1088),$B$11))))</f>
        <v>10.5262442670319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0.946977132755483</v>
      </c>
      <c r="J1089" s="16" t="n">
        <f aca="false">IF(D1089="","",$B$12)</f>
        <v>0.25</v>
      </c>
      <c r="K1089" s="16" t="n">
        <f aca="false">IF(J1089="","",J1089*$B$15)</f>
        <v>0.648</v>
      </c>
      <c r="L1089" s="16" t="n">
        <f aca="false">IF(D1089="","",H1089+E1089-K1089-G1089*I1089)</f>
        <v>9.69265431153174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0.919313749276496</v>
      </c>
      <c r="N1089" s="16" t="n">
        <f aca="false">IF(D1089="","",(I1089+M1089)/2)</f>
        <v>0.933145441015989</v>
      </c>
      <c r="O1089" s="16" t="n">
        <f aca="false">IF(D1089="","",G1089*N1089)</f>
        <v>0.220129009535672</v>
      </c>
      <c r="P1089" s="16" t="n">
        <f aca="false">IF(D1089="","",H1089+E1089-K1089-O1089)</f>
        <v>9.69591720761308</v>
      </c>
      <c r="Q1089" s="16" t="n">
        <f aca="false">IF(D1089="","",IF(P1089&gt;=0,K1089,MAX(0,K1089+P1089)))</f>
        <v>0.648</v>
      </c>
      <c r="R1089" s="16" t="n">
        <f aca="false">IF(D1089="","",Q1089/$B$15)</f>
        <v>0.25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9.69591720761308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45.5207380639112</v>
      </c>
      <c r="Z1089" s="18" t="n">
        <f aca="false">IF(D1089="","",MAX(0,IF(P1089&gt;=0,P1089,IF(K1089+P1089&gt;=0,0,P1089+K1089))))</f>
        <v>9.69591720761308</v>
      </c>
      <c r="AA1089" s="18" t="n">
        <f aca="false">IF(D1089="","",IF(H1089&lt;=$B$16,1,IF(H1089&gt;=$B$17,$B$21,MATCH(H1089,Aux_CAV!$A$2:$A$121,1))))</f>
        <v>5</v>
      </c>
      <c r="AB1089" s="18" t="n">
        <f aca="false">IF(D1089="","",IF(L1089&lt;=$B$16,1,IF(L1089&gt;=$B$17,$B$21,MATCH(L1089,Aux_CAV!$A$2:$A$121,1))))</f>
        <v>5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0.0101934797014313</v>
      </c>
      <c r="E1090" s="16" t="n">
        <f aca="false">IF(D1090="","",D1090*$B$15)</f>
        <v>0.0264214993861099</v>
      </c>
      <c r="F1090" s="16" t="n">
        <f aca="false" t="array" ref="F1090:F1090">IF(D1090="","",IFERROR(INDEX(Dados_Evap!$C$2:$N$15,MATCH($B$9,Dados_Evap!$A$2:$A$15,0),C1090),0))</f>
        <v>225.9</v>
      </c>
      <c r="G1090" s="16" t="n">
        <f aca="false">IF(F1090="","",F1090/1000)</f>
        <v>0.2259</v>
      </c>
      <c r="H1090" s="16" t="n">
        <f aca="false">IF(D1090="","",MAX(0,MIN($B$8,IFERROR(LOOKUP(2,1/($U$24:U1089&lt;&gt;""),$U$24:U1089),$B$11))))</f>
        <v>9.69591720761308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0.919422031226098</v>
      </c>
      <c r="J1090" s="16" t="n">
        <f aca="false">IF(D1090="","",$B$12)</f>
        <v>0.25</v>
      </c>
      <c r="K1090" s="16" t="n">
        <f aca="false">IF(J1090="","",J1090*$B$15)</f>
        <v>0.648</v>
      </c>
      <c r="L1090" s="16" t="n">
        <f aca="false">IF(D1090="","",H1090+E1090-K1090-G1090*I1090)</f>
        <v>8.86664127014522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0.891901812062341</v>
      </c>
      <c r="N1090" s="16" t="n">
        <f aca="false">IF(D1090="","",(I1090+M1090)/2)</f>
        <v>0.90566192164422</v>
      </c>
      <c r="O1090" s="16" t="n">
        <f aca="false">IF(D1090="","",G1090*N1090)</f>
        <v>0.204589028099429</v>
      </c>
      <c r="P1090" s="16" t="n">
        <f aca="false">IF(D1090="","",H1090+E1090-K1090-O1090)</f>
        <v>8.86974967889977</v>
      </c>
      <c r="Q1090" s="16" t="n">
        <f aca="false">IF(D1090="","",IF(P1090&gt;=0,K1090,MAX(0,K1090+P1090)))</f>
        <v>0.648</v>
      </c>
      <c r="R1090" s="16" t="n">
        <f aca="false">IF(D1090="","",Q1090/$B$15)</f>
        <v>0.25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8.86974967889977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41.6420172718299</v>
      </c>
      <c r="Z1090" s="18" t="n">
        <f aca="false">IF(D1090="","",MAX(0,IF(P1090&gt;=0,P1090,IF(K1090+P1090&gt;=0,0,P1090+K1090))))</f>
        <v>8.86974967889977</v>
      </c>
      <c r="AA1090" s="18" t="n">
        <f aca="false">IF(D1090="","",IF(H1090&lt;=$B$16,1,IF(H1090&gt;=$B$17,$B$21,MATCH(H1090,Aux_CAV!$A$2:$A$121,1))))</f>
        <v>5</v>
      </c>
      <c r="AB1090" s="18" t="n">
        <f aca="false">IF(D1090="","",IF(L1090&lt;=$B$16,1,IF(L1090&gt;=$B$17,$B$21,MATCH(L1090,Aux_CAV!$A$2:$A$121,1))))</f>
        <v>5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0.039268972674457</v>
      </c>
      <c r="E1091" s="16" t="n">
        <f aca="false">IF(D1091="","",D1091*$B$15)</f>
        <v>0.101785177172193</v>
      </c>
      <c r="F1091" s="16" t="n">
        <f aca="false" t="array" ref="F1091:F1091">IF(D1091="","",IFERROR(INDEX(Dados_Evap!$C$2:$N$15,MATCH($B$9,Dados_Evap!$A$2:$A$15,0),C1091),0))</f>
        <v>206</v>
      </c>
      <c r="G1091" s="16" t="n">
        <f aca="false">IF(F1091="","",F1091/1000)</f>
        <v>0.206</v>
      </c>
      <c r="H1091" s="16" t="n">
        <f aca="false">IF(D1091="","",MAX(0,MIN($B$8,IFERROR(LOOKUP(2,1/($U$24:U1090&lt;&gt;""),$U$24:U1090),$B$11))))</f>
        <v>8.86974967889977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0.892004967220125</v>
      </c>
      <c r="J1091" s="16" t="n">
        <f aca="false">IF(D1091="","",$B$12)</f>
        <v>0.25</v>
      </c>
      <c r="K1091" s="16" t="n">
        <f aca="false">IF(J1091="","",J1091*$B$15)</f>
        <v>0.648</v>
      </c>
      <c r="L1091" s="16" t="n">
        <f aca="false">IF(D1091="","",H1091+E1091-K1091-G1091*I1091)</f>
        <v>8.13978183282461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0.867780370558339</v>
      </c>
      <c r="N1091" s="16" t="n">
        <f aca="false">IF(D1091="","",(I1091+M1091)/2)</f>
        <v>0.879892668889232</v>
      </c>
      <c r="O1091" s="16" t="n">
        <f aca="false">IF(D1091="","",G1091*N1091)</f>
        <v>0.181257889791182</v>
      </c>
      <c r="P1091" s="16" t="n">
        <f aca="false">IF(D1091="","",H1091+E1091-K1091-O1091)</f>
        <v>8.14227696628078</v>
      </c>
      <c r="Q1091" s="16" t="n">
        <f aca="false">IF(D1091="","",IF(P1091&gt;=0,K1091,MAX(0,K1091+P1091)))</f>
        <v>0.648</v>
      </c>
      <c r="R1091" s="16" t="n">
        <f aca="false">IF(D1091="","",Q1091/$B$15)</f>
        <v>0.25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8.14227696628078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38.2266524238534</v>
      </c>
      <c r="Z1091" s="18" t="n">
        <f aca="false">IF(D1091="","",MAX(0,IF(P1091&gt;=0,P1091,IF(K1091+P1091&gt;=0,0,P1091+K1091))))</f>
        <v>8.14227696628078</v>
      </c>
      <c r="AA1091" s="18" t="n">
        <f aca="false">IF(D1091="","",IF(H1091&lt;=$B$16,1,IF(H1091&gt;=$B$17,$B$21,MATCH(H1091,Aux_CAV!$A$2:$A$121,1))))</f>
        <v>5</v>
      </c>
      <c r="AB1091" s="18" t="n">
        <f aca="false">IF(D1091="","",IF(L1091&lt;=$B$16,1,IF(L1091&gt;=$B$17,$B$21,MATCH(L1091,Aux_CAV!$A$2:$A$121,1))))</f>
        <v>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0.0966058117533686</v>
      </c>
      <c r="E1092" s="16" t="n">
        <f aca="false">IF(D1092="","",D1092*$B$15)</f>
        <v>0.250402264064731</v>
      </c>
      <c r="F1092" s="16" t="n">
        <f aca="false" t="array" ref="F1092:F1092">IF(D1092="","",IFERROR(INDEX(Dados_Evap!$C$2:$N$15,MATCH($B$9,Dados_Evap!$A$2:$A$15,0),C1092),0))</f>
        <v>165.6</v>
      </c>
      <c r="G1092" s="16" t="n">
        <f aca="false">IF(F1092="","",F1092/1000)</f>
        <v>0.1656</v>
      </c>
      <c r="H1092" s="16" t="n">
        <f aca="false">IF(D1092="","",MAX(0,MIN($B$8,IFERROR(LOOKUP(2,1/($U$24:U1091&lt;&gt;""),$U$24:U1091),$B$11))))</f>
        <v>8.14227696628078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0.86786317365976</v>
      </c>
      <c r="J1092" s="16" t="n">
        <f aca="false">IF(D1092="","",$B$12)</f>
        <v>0.25</v>
      </c>
      <c r="K1092" s="16" t="n">
        <f aca="false">IF(J1092="","",J1092*$B$15)</f>
        <v>0.648</v>
      </c>
      <c r="L1092" s="16" t="n">
        <f aca="false">IF(D1092="","",H1092+E1092-K1092-G1092*I1092)</f>
        <v>7.60096108878745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0.849899151176575</v>
      </c>
      <c r="N1092" s="16" t="n">
        <f aca="false">IF(D1092="","",(I1092+M1092)/2)</f>
        <v>0.858881162418168</v>
      </c>
      <c r="O1092" s="16" t="n">
        <f aca="false">IF(D1092="","",G1092*N1092)</f>
        <v>0.142230720496449</v>
      </c>
      <c r="P1092" s="16" t="n">
        <f aca="false">IF(D1092="","",H1092+E1092-K1092-O1092)</f>
        <v>7.60244850984906</v>
      </c>
      <c r="Q1092" s="16" t="n">
        <f aca="false">IF(D1092="","",IF(P1092&gt;=0,K1092,MAX(0,K1092+P1092)))</f>
        <v>0.648</v>
      </c>
      <c r="R1092" s="16" t="n">
        <f aca="false">IF(D1092="","",Q1092/$B$15)</f>
        <v>0.25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7.60244850984906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35.692246525113</v>
      </c>
      <c r="Z1092" s="18" t="n">
        <f aca="false">IF(D1092="","",MAX(0,IF(P1092&gt;=0,P1092,IF(K1092+P1092&gt;=0,0,P1092+K1092))))</f>
        <v>7.60244850984906</v>
      </c>
      <c r="AA1092" s="18" t="n">
        <f aca="false">IF(D1092="","",IF(H1092&lt;=$B$16,1,IF(H1092&gt;=$B$17,$B$21,MATCH(H1092,Aux_CAV!$A$2:$A$121,1))))</f>
        <v>5</v>
      </c>
      <c r="AB1092" s="18" t="n">
        <f aca="false">IF(D1092="","",IF(L1092&lt;=$B$16,1,IF(L1092&gt;=$B$17,$B$21,MATCH(L1092,Aux_CAV!$A$2:$A$121,1))))</f>
        <v>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0.391839143348107</v>
      </c>
      <c r="E1093" s="16" t="n">
        <f aca="false">IF(D1093="","",D1093*$B$15)</f>
        <v>1.01564705955829</v>
      </c>
      <c r="F1093" s="16" t="n">
        <f aca="false" t="array" ref="F1093:F1093">IF(D1093="","",IFERROR(INDEX(Dados_Evap!$C$2:$N$15,MATCH($B$9,Dados_Evap!$A$2:$A$15,0),C1093),0))</f>
        <v>124.9</v>
      </c>
      <c r="G1093" s="16" t="n">
        <f aca="false">IF(F1093="","",F1093/1000)</f>
        <v>0.1249</v>
      </c>
      <c r="H1093" s="16" t="n">
        <f aca="false">IF(D1093="","",MAX(0,MIN($B$8,IFERROR(LOOKUP(2,1/($U$24:U1092&lt;&gt;""),$U$24:U1092),$B$11))))</f>
        <v>7.60244850984906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0.849948512494991</v>
      </c>
      <c r="J1093" s="16" t="n">
        <f aca="false">IF(D1093="","",$B$12)</f>
        <v>0.25</v>
      </c>
      <c r="K1093" s="16" t="n">
        <f aca="false">IF(J1093="","",J1093*$B$15)</f>
        <v>0.648</v>
      </c>
      <c r="L1093" s="16" t="n">
        <f aca="false">IF(D1093="","",H1093+E1093-K1093-G1093*I1093)</f>
        <v>7.86393700019673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0.858626227882635</v>
      </c>
      <c r="N1093" s="16" t="n">
        <f aca="false">IF(D1093="","",(I1093+M1093)/2)</f>
        <v>0.854287370188813</v>
      </c>
      <c r="O1093" s="16" t="n">
        <f aca="false">IF(D1093="","",G1093*N1093)</f>
        <v>0.106700492536583</v>
      </c>
      <c r="P1093" s="16" t="n">
        <f aca="false">IF(D1093="","",H1093+E1093-K1093-O1093)</f>
        <v>7.86339507687077</v>
      </c>
      <c r="Q1093" s="16" t="n">
        <f aca="false">IF(D1093="","",IF(P1093&gt;=0,K1093,MAX(0,K1093+P1093)))</f>
        <v>0.648</v>
      </c>
      <c r="R1093" s="16" t="n">
        <f aca="false">IF(D1093="","",Q1093/$B$15)</f>
        <v>0.25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7.86339507687077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36.917347778736</v>
      </c>
      <c r="Z1093" s="18" t="n">
        <f aca="false">IF(D1093="","",MAX(0,IF(P1093&gt;=0,P1093,IF(K1093+P1093&gt;=0,0,P1093+K1093))))</f>
        <v>7.86339507687077</v>
      </c>
      <c r="AA1093" s="18" t="n">
        <f aca="false">IF(D1093="","",IF(H1093&lt;=$B$16,1,IF(H1093&gt;=$B$17,$B$21,MATCH(H1093,Aux_CAV!$A$2:$A$121,1))))</f>
        <v>5</v>
      </c>
      <c r="AB1093" s="18" t="n">
        <f aca="false">IF(D1093="","",IF(L1093&lt;=$B$16,1,IF(L1093&gt;=$B$17,$B$21,MATCH(L1093,Aux_CAV!$A$2:$A$121,1))))</f>
        <v>5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1.53700908083656</v>
      </c>
      <c r="E1094" s="16" t="n">
        <f aca="false">IF(D1094="","",D1094*$B$15)</f>
        <v>3.98392753752836</v>
      </c>
      <c r="F1094" s="16" t="n">
        <f aca="false" t="array" ref="F1094:F1094">IF(D1094="","",IFERROR(INDEX(Dados_Evap!$C$2:$N$15,MATCH($B$9,Dados_Evap!$A$2:$A$15,0),C1094),0))</f>
        <v>88.2</v>
      </c>
      <c r="G1094" s="16" t="n">
        <f aca="false">IF(F1094="","",F1094/1000)</f>
        <v>0.0882</v>
      </c>
      <c r="H1094" s="16" t="n">
        <f aca="false">IF(D1094="","",MAX(0,MIN($B$8,IFERROR(LOOKUP(2,1/($U$24:U1093&lt;&gt;""),$U$24:U1093),$B$11))))</f>
        <v>7.86339507687077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0.858608243701464</v>
      </c>
      <c r="J1094" s="16" t="n">
        <f aca="false">IF(D1094="","",$B$12)</f>
        <v>0.25</v>
      </c>
      <c r="K1094" s="16" t="n">
        <f aca="false">IF(J1094="","",J1094*$B$15)</f>
        <v>0.648</v>
      </c>
      <c r="L1094" s="16" t="n">
        <f aca="false">IF(D1094="","",H1094+E1094-K1094-G1094*I1094)</f>
        <v>11.1235933673047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0.966800664844181</v>
      </c>
      <c r="N1094" s="16" t="n">
        <f aca="false">IF(D1094="","",(I1094+M1094)/2)</f>
        <v>0.912704454272822</v>
      </c>
      <c r="O1094" s="16" t="n">
        <f aca="false">IF(D1094="","",G1094*N1094)</f>
        <v>0.0805005328668629</v>
      </c>
      <c r="P1094" s="16" t="n">
        <f aca="false">IF(D1094="","",H1094+E1094-K1094-O1094)</f>
        <v>11.1188220815323</v>
      </c>
      <c r="Q1094" s="16" t="n">
        <f aca="false">IF(D1094="","",IF(P1094&gt;=0,K1094,MAX(0,K1094+P1094)))</f>
        <v>0.648</v>
      </c>
      <c r="R1094" s="16" t="n">
        <f aca="false">IF(D1094="","",Q1094/$B$15)</f>
        <v>0.25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11.1188220815323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52.2010426363017</v>
      </c>
      <c r="Z1094" s="18" t="n">
        <f aca="false">IF(D1094="","",MAX(0,IF(P1094&gt;=0,P1094,IF(K1094+P1094&gt;=0,0,P1094+K1094))))</f>
        <v>11.1188220815323</v>
      </c>
      <c r="AA1094" s="18" t="n">
        <f aca="false">IF(D1094="","",IF(H1094&lt;=$B$16,1,IF(H1094&gt;=$B$17,$B$21,MATCH(H1094,Aux_CAV!$A$2:$A$121,1))))</f>
        <v>5</v>
      </c>
      <c r="AB1094" s="18" t="n">
        <f aca="false">IF(D1094="","",IF(L1094&lt;=$B$16,1,IF(L1094&gt;=$B$17,$B$21,MATCH(L1094,Aux_CAV!$A$2:$A$121,1))))</f>
        <v>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1.01417524695825</v>
      </c>
      <c r="E1095" s="16" t="n">
        <f aca="false">IF(D1095="","",D1095*$B$15)</f>
        <v>2.62874224011578</v>
      </c>
      <c r="F1095" s="16" t="n">
        <f aca="false" t="array" ref="F1095:F1095">IF(D1095="","",IFERROR(INDEX(Dados_Evap!$C$2:$N$15,MATCH($B$9,Dados_Evap!$A$2:$A$15,0),C1095),0))</f>
        <v>88.2</v>
      </c>
      <c r="G1095" s="16" t="n">
        <f aca="false">IF(F1095="","",F1095/1000)</f>
        <v>0.0882</v>
      </c>
      <c r="H1095" s="16" t="n">
        <f aca="false">IF(D1095="","",MAX(0,MIN($B$8,IFERROR(LOOKUP(2,1/($U$24:U1094&lt;&gt;""),$U$24:U1094),$B$11))))</f>
        <v>11.1188220815323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0.966642325714567</v>
      </c>
      <c r="J1095" s="16" t="n">
        <f aca="false">IF(D1095="","",$B$12)</f>
        <v>0.25</v>
      </c>
      <c r="K1095" s="16" t="n">
        <f aca="false">IF(J1095="","",J1095*$B$15)</f>
        <v>0.648</v>
      </c>
      <c r="L1095" s="16" t="n">
        <f aca="false">IF(D1095="","",H1095+E1095-K1095-G1095*I1095)</f>
        <v>13.01430646852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1.02766202261785</v>
      </c>
      <c r="N1095" s="16" t="n">
        <f aca="false">IF(D1095="","",(I1095+M1095)/2)</f>
        <v>0.997152174166206</v>
      </c>
      <c r="O1095" s="16" t="n">
        <f aca="false">IF(D1095="","",G1095*N1095)</f>
        <v>0.0879488217614594</v>
      </c>
      <c r="P1095" s="16" t="n">
        <f aca="false">IF(D1095="","",H1095+E1095-K1095-O1095)</f>
        <v>13.0116154998866</v>
      </c>
      <c r="Q1095" s="16" t="n">
        <f aca="false">IF(D1095="","",IF(P1095&gt;=0,K1095,MAX(0,K1095+P1095)))</f>
        <v>0.648</v>
      </c>
      <c r="R1095" s="16" t="n">
        <f aca="false">IF(D1095="","",Q1095/$B$15)</f>
        <v>0.25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13.0116154998866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61.0873967130826</v>
      </c>
      <c r="Z1095" s="18" t="n">
        <f aca="false">IF(D1095="","",MAX(0,IF(P1095&gt;=0,P1095,IF(K1095+P1095&gt;=0,0,P1095+K1095))))</f>
        <v>13.0116154998866</v>
      </c>
      <c r="AA1095" s="18" t="n">
        <f aca="false">IF(D1095="","",IF(H1095&lt;=$B$16,1,IF(H1095&gt;=$B$17,$B$21,MATCH(H1095,Aux_CAV!$A$2:$A$121,1))))</f>
        <v>5</v>
      </c>
      <c r="AB1095" s="18" t="n">
        <f aca="false">IF(D1095="","",IF(L1095&lt;=$B$16,1,IF(L1095&gt;=$B$17,$B$21,MATCH(L1095,Aux_CAV!$A$2:$A$121,1))))</f>
        <v>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1.04444082296849</v>
      </c>
      <c r="E1096" s="16" t="n">
        <f aca="false">IF(D1096="","",D1096*$B$15)</f>
        <v>2.70719061313433</v>
      </c>
      <c r="F1096" s="16" t="n">
        <f aca="false" t="array" ref="F1096:F1096">IF(D1096="","",IFERROR(INDEX(Dados_Evap!$C$2:$N$15,MATCH($B$9,Dados_Evap!$A$2:$A$15,0),C1096),0))</f>
        <v>83.9</v>
      </c>
      <c r="G1096" s="16" t="n">
        <f aca="false">IF(F1096="","",F1096/1000)</f>
        <v>0.0839</v>
      </c>
      <c r="H1096" s="16" t="n">
        <f aca="false">IF(D1096="","",MAX(0,MIN($B$8,IFERROR(LOOKUP(2,1/($U$24:U1095&lt;&gt;""),$U$24:U1095),$B$11))))</f>
        <v>13.0116154998866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1.02757554536498</v>
      </c>
      <c r="J1096" s="16" t="n">
        <f aca="false">IF(D1096="","",$B$12)</f>
        <v>0.25</v>
      </c>
      <c r="K1096" s="16" t="n">
        <f aca="false">IF(J1096="","",J1096*$B$15)</f>
        <v>0.648</v>
      </c>
      <c r="L1096" s="16" t="n">
        <f aca="false">IF(D1096="","",H1096+E1096-K1096-G1096*I1096)</f>
        <v>14.9845925247648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1.09097934389603</v>
      </c>
      <c r="N1096" s="16" t="n">
        <f aca="false">IF(D1096="","",(I1096+M1096)/2)</f>
        <v>1.0592774446305</v>
      </c>
      <c r="O1096" s="16" t="n">
        <f aca="false">IF(D1096="","",G1096*N1096)</f>
        <v>0.0888733776044993</v>
      </c>
      <c r="P1096" s="16" t="n">
        <f aca="false">IF(D1096="","",H1096+E1096-K1096-O1096)</f>
        <v>14.9819327354164</v>
      </c>
      <c r="Q1096" s="16" t="n">
        <f aca="false">IF(D1096="","",IF(P1096&gt;=0,K1096,MAX(0,K1096+P1096)))</f>
        <v>0.648</v>
      </c>
      <c r="R1096" s="16" t="n">
        <f aca="false">IF(D1096="","",Q1096/$B$15)</f>
        <v>0.25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14.9819327354164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70.3377123728471</v>
      </c>
      <c r="Z1096" s="18" t="n">
        <f aca="false">IF(D1096="","",MAX(0,IF(P1096&gt;=0,P1096,IF(K1096+P1096&gt;=0,0,P1096+K1096))))</f>
        <v>14.9819327354164</v>
      </c>
      <c r="AA1096" s="18" t="n">
        <f aca="false">IF(D1096="","",IF(H1096&lt;=$B$16,1,IF(H1096&gt;=$B$17,$B$21,MATCH(H1096,Aux_CAV!$A$2:$A$121,1))))</f>
        <v>6</v>
      </c>
      <c r="AB1096" s="18" t="n">
        <f aca="false">IF(D1096="","",IF(L1096&lt;=$B$16,1,IF(L1096&gt;=$B$17,$B$21,MATCH(L1096,Aux_CAV!$A$2:$A$121,1))))</f>
        <v>6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0.329309165165932</v>
      </c>
      <c r="E1097" s="16" t="n">
        <f aca="false">IF(D1097="","",D1097*$B$15)</f>
        <v>0.853569356110096</v>
      </c>
      <c r="F1097" s="16" t="n">
        <f aca="false" t="array" ref="F1097:F1097">IF(D1097="","",IFERROR(INDEX(Dados_Evap!$C$2:$N$15,MATCH($B$9,Dados_Evap!$A$2:$A$15,0),C1097),0))</f>
        <v>104.7</v>
      </c>
      <c r="G1097" s="16" t="n">
        <f aca="false">IF(F1097="","",F1097/1000)</f>
        <v>0.1047</v>
      </c>
      <c r="H1097" s="16" t="n">
        <f aca="false">IF(D1097="","",MAX(0,MIN($B$8,IFERROR(LOOKUP(2,1/($U$24:U1096&lt;&gt;""),$U$24:U1096),$B$11))))</f>
        <v>14.9819327354164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1.09089386862397</v>
      </c>
      <c r="J1097" s="16" t="n">
        <f aca="false">IF(D1097="","",$B$12)</f>
        <v>0.25</v>
      </c>
      <c r="K1097" s="16" t="n">
        <f aca="false">IF(J1097="","",J1097*$B$15)</f>
        <v>0.648</v>
      </c>
      <c r="L1097" s="16" t="n">
        <f aca="false">IF(D1097="","",H1097+E1097-K1097-G1097*I1097)</f>
        <v>15.0732855034816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1.09382959084912</v>
      </c>
      <c r="N1097" s="16" t="n">
        <f aca="false">IF(D1097="","",(I1097+M1097)/2)</f>
        <v>1.09236172973655</v>
      </c>
      <c r="O1097" s="16" t="n">
        <f aca="false">IF(D1097="","",G1097*N1097)</f>
        <v>0.114370273103416</v>
      </c>
      <c r="P1097" s="16" t="n">
        <f aca="false">IF(D1097="","",H1097+E1097-K1097-O1097)</f>
        <v>15.0731318184231</v>
      </c>
      <c r="Q1097" s="16" t="n">
        <f aca="false">IF(D1097="","",IF(P1097&gt;=0,K1097,MAX(0,K1097+P1097)))</f>
        <v>0.648</v>
      </c>
      <c r="R1097" s="16" t="n">
        <f aca="false">IF(D1097="","",Q1097/$B$15)</f>
        <v>0.25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15.0731318184231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70.7658770817986</v>
      </c>
      <c r="Z1097" s="18" t="n">
        <f aca="false">IF(D1097="","",MAX(0,IF(P1097&gt;=0,P1097,IF(K1097+P1097&gt;=0,0,P1097+K1097))))</f>
        <v>15.0731318184231</v>
      </c>
      <c r="AA1097" s="18" t="n">
        <f aca="false">IF(D1097="","",IF(H1097&lt;=$B$16,1,IF(H1097&gt;=$B$17,$B$21,MATCH(H1097,Aux_CAV!$A$2:$A$121,1))))</f>
        <v>6</v>
      </c>
      <c r="AB1097" s="18" t="n">
        <f aca="false">IF(D1097="","",IF(L1097&lt;=$B$16,1,IF(L1097&gt;=$B$17,$B$21,MATCH(L1097,Aux_CAV!$A$2:$A$121,1))))</f>
        <v>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0.142773585593344</v>
      </c>
      <c r="E1098" s="16" t="n">
        <f aca="false">IF(D1098="","",D1098*$B$15)</f>
        <v>0.370069133857948</v>
      </c>
      <c r="F1098" s="16" t="n">
        <f aca="false" t="array" ref="F1098:F1098">IF(D1098="","",IFERROR(INDEX(Dados_Evap!$C$2:$N$15,MATCH($B$9,Dados_Evap!$A$2:$A$15,0),C1098),0))</f>
        <v>145.2</v>
      </c>
      <c r="G1098" s="16" t="n">
        <f aca="false">IF(F1098="","",F1098/1000)</f>
        <v>0.1452</v>
      </c>
      <c r="H1098" s="16" t="n">
        <f aca="false">IF(D1098="","",MAX(0,MIN($B$8,IFERROR(LOOKUP(2,1/($U$24:U1097&lt;&gt;""),$U$24:U1097),$B$11))))</f>
        <v>15.0731318184231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1.09382465200982</v>
      </c>
      <c r="J1098" s="16" t="n">
        <f aca="false">IF(D1098="","",$B$12)</f>
        <v>0.25</v>
      </c>
      <c r="K1098" s="16" t="n">
        <f aca="false">IF(J1098="","",J1098*$B$15)</f>
        <v>0.648</v>
      </c>
      <c r="L1098" s="16" t="n">
        <f aca="false">IF(D1098="","",H1098+E1098-K1098-G1098*I1098)</f>
        <v>14.6363776128092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1.07978907262336</v>
      </c>
      <c r="N1098" s="16" t="n">
        <f aca="false">IF(D1098="","",(I1098+M1098)/2)</f>
        <v>1.08680686231659</v>
      </c>
      <c r="O1098" s="16" t="n">
        <f aca="false">IF(D1098="","",G1098*N1098)</f>
        <v>0.157804356408368</v>
      </c>
      <c r="P1098" s="16" t="n">
        <f aca="false">IF(D1098="","",H1098+E1098-K1098-O1098)</f>
        <v>14.6373965958727</v>
      </c>
      <c r="Q1098" s="16" t="n">
        <f aca="false">IF(D1098="","",IF(P1098&gt;=0,K1098,MAX(0,K1098+P1098)))</f>
        <v>0.648</v>
      </c>
      <c r="R1098" s="16" t="n">
        <f aca="false">IF(D1098="","",Q1098/$B$15)</f>
        <v>0.25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14.6373965958727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68.7201718116089</v>
      </c>
      <c r="Z1098" s="18" t="n">
        <f aca="false">IF(D1098="","",MAX(0,IF(P1098&gt;=0,P1098,IF(K1098+P1098&gt;=0,0,P1098+K1098))))</f>
        <v>14.6373965958727</v>
      </c>
      <c r="AA1098" s="18" t="n">
        <f aca="false">IF(D1098="","",IF(H1098&lt;=$B$16,1,IF(H1098&gt;=$B$17,$B$21,MATCH(H1098,Aux_CAV!$A$2:$A$121,1))))</f>
        <v>6</v>
      </c>
      <c r="AB1098" s="18" t="n">
        <f aca="false">IF(D1098="","",IF(L1098&lt;=$B$16,1,IF(L1098&gt;=$B$17,$B$21,MATCH(L1098,Aux_CAV!$A$2:$A$121,1))))</f>
        <v>6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0.106950148356596</v>
      </c>
      <c r="E1099" s="16" t="n">
        <f aca="false">IF(D1099="","",D1099*$B$15)</f>
        <v>0.277214784540297</v>
      </c>
      <c r="F1099" s="16" t="n">
        <f aca="false" t="array" ref="F1099:F1099">IF(D1099="","",IFERROR(INDEX(Dados_Evap!$C$2:$N$15,MATCH($B$9,Dados_Evap!$A$2:$A$15,0),C1099),0))</f>
        <v>180.9</v>
      </c>
      <c r="G1099" s="16" t="n">
        <f aca="false">IF(F1099="","",F1099/1000)</f>
        <v>0.1809</v>
      </c>
      <c r="H1099" s="16" t="n">
        <f aca="false">IF(D1099="","",MAX(0,MIN($B$8,IFERROR(LOOKUP(2,1/($U$24:U1098&lt;&gt;""),$U$24:U1098),$B$11))))</f>
        <v>14.6373965958727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1.07982181877096</v>
      </c>
      <c r="J1099" s="16" t="n">
        <f aca="false">IF(D1099="","",$B$12)</f>
        <v>0.25</v>
      </c>
      <c r="K1099" s="16" t="n">
        <f aca="false">IF(J1099="","",J1099*$B$15)</f>
        <v>0.648</v>
      </c>
      <c r="L1099" s="16" t="n">
        <f aca="false">IF(D1099="","",H1099+E1099-K1099-G1099*I1099)</f>
        <v>14.0712716133973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1.06162876640407</v>
      </c>
      <c r="N1099" s="16" t="n">
        <f aca="false">IF(D1099="","",(I1099+M1099)/2)</f>
        <v>1.07072529258751</v>
      </c>
      <c r="O1099" s="16" t="n">
        <f aca="false">IF(D1099="","",G1099*N1099)</f>
        <v>0.193694205429081</v>
      </c>
      <c r="P1099" s="16" t="n">
        <f aca="false">IF(D1099="","",H1099+E1099-K1099-O1099)</f>
        <v>14.0729171749839</v>
      </c>
      <c r="Q1099" s="16" t="n">
        <f aca="false">IF(D1099="","",IF(P1099&gt;=0,K1099,MAX(0,K1099+P1099)))</f>
        <v>0.648</v>
      </c>
      <c r="R1099" s="16" t="n">
        <f aca="false">IF(D1099="","",Q1099/$B$15)</f>
        <v>0.25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14.0729171749839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66.0700336853704</v>
      </c>
      <c r="Z1099" s="18" t="n">
        <f aca="false">IF(D1099="","",MAX(0,IF(P1099&gt;=0,P1099,IF(K1099+P1099&gt;=0,0,P1099+K1099))))</f>
        <v>14.0729171749839</v>
      </c>
      <c r="AA1099" s="18" t="n">
        <f aca="false">IF(D1099="","",IF(H1099&lt;=$B$16,1,IF(H1099&gt;=$B$17,$B$21,MATCH(H1099,Aux_CAV!$A$2:$A$121,1))))</f>
        <v>6</v>
      </c>
      <c r="AB1099" s="18" t="n">
        <f aca="false">IF(D1099="","",IF(L1099&lt;=$B$16,1,IF(L1099&gt;=$B$17,$B$21,MATCH(L1099,Aux_CAV!$A$2:$A$121,1))))</f>
        <v>6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0.0730757769696838</v>
      </c>
      <c r="E1100" s="16" t="n">
        <f aca="false">IF(D1100="","",D1100*$B$15)</f>
        <v>0.18941241390542</v>
      </c>
      <c r="F1100" s="16" t="n">
        <f aca="false" t="array" ref="F1100:F1100">IF(D1100="","",IFERROR(INDEX(Dados_Evap!$C$2:$N$15,MATCH($B$9,Dados_Evap!$A$2:$A$15,0),C1100),0))</f>
        <v>208.9</v>
      </c>
      <c r="G1100" s="16" t="n">
        <f aca="false">IF(F1100="","",F1100/1000)</f>
        <v>0.2089</v>
      </c>
      <c r="H1100" s="16" t="n">
        <f aca="false">IF(D1100="","",MAX(0,MIN($B$8,IFERROR(LOOKUP(2,1/($U$24:U1099&lt;&gt;""),$U$24:U1099),$B$11))))</f>
        <v>14.0729171749839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1.06168164834542</v>
      </c>
      <c r="J1100" s="16" t="n">
        <f aca="false">IF(D1100="","",$B$12)</f>
        <v>0.25</v>
      </c>
      <c r="K1100" s="16" t="n">
        <f aca="false">IF(J1100="","",J1100*$B$15)</f>
        <v>0.648</v>
      </c>
      <c r="L1100" s="16" t="n">
        <f aca="false">IF(D1100="","",H1100+E1100-K1100-G1100*I1100)</f>
        <v>13.39254429255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1.03981711337117</v>
      </c>
      <c r="N1100" s="16" t="n">
        <f aca="false">IF(D1100="","",(I1100+M1100)/2)</f>
        <v>1.05074938085829</v>
      </c>
      <c r="O1100" s="16" t="n">
        <f aca="false">IF(D1100="","",G1100*N1100)</f>
        <v>0.219501545661298</v>
      </c>
      <c r="P1100" s="16" t="n">
        <f aca="false">IF(D1100="","",H1100+E1100-K1100-O1100)</f>
        <v>13.394828043228</v>
      </c>
      <c r="Q1100" s="16" t="n">
        <f aca="false">IF(D1100="","",IF(P1100&gt;=0,K1100,MAX(0,K1100+P1100)))</f>
        <v>0.648</v>
      </c>
      <c r="R1100" s="16" t="n">
        <f aca="false">IF(D1100="","",Q1100/$B$15)</f>
        <v>0.25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13.394828043228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62.8865166348733</v>
      </c>
      <c r="Z1100" s="18" t="n">
        <f aca="false">IF(D1100="","",MAX(0,IF(P1100&gt;=0,P1100,IF(K1100+P1100&gt;=0,0,P1100+K1100))))</f>
        <v>13.394828043228</v>
      </c>
      <c r="AA1100" s="18" t="n">
        <f aca="false">IF(D1100="","",IF(H1100&lt;=$B$16,1,IF(H1100&gt;=$B$17,$B$21,MATCH(H1100,Aux_CAV!$A$2:$A$121,1))))</f>
        <v>6</v>
      </c>
      <c r="AB1100" s="18" t="n">
        <f aca="false">IF(D1100="","",IF(L1100&lt;=$B$16,1,IF(L1100&gt;=$B$17,$B$21,MATCH(L1100,Aux_CAV!$A$2:$A$121,1))))</f>
        <v>6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0.0397622358999911</v>
      </c>
      <c r="E1101" s="16" t="n">
        <f aca="false">IF(D1101="","",D1101*$B$15)</f>
        <v>0.103063715452777</v>
      </c>
      <c r="F1101" s="16" t="n">
        <f aca="false" t="array" ref="F1101:F1101">IF(D1101="","",IFERROR(INDEX(Dados_Evap!$C$2:$N$15,MATCH($B$9,Dados_Evap!$A$2:$A$15,0),C1101),0))</f>
        <v>235.9</v>
      </c>
      <c r="G1101" s="16" t="n">
        <f aca="false">IF(F1101="","",F1101/1000)</f>
        <v>0.2359</v>
      </c>
      <c r="H1101" s="16" t="n">
        <f aca="false">IF(D1101="","",MAX(0,MIN($B$8,IFERROR(LOOKUP(2,1/($U$24:U1100&lt;&gt;""),$U$24:U1100),$B$11))))</f>
        <v>13.394828043228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1.03989050422472</v>
      </c>
      <c r="J1101" s="16" t="n">
        <f aca="false">IF(D1101="","",$B$12)</f>
        <v>0.25</v>
      </c>
      <c r="K1101" s="16" t="n">
        <f aca="false">IF(J1101="","",J1101*$B$15)</f>
        <v>0.648</v>
      </c>
      <c r="L1101" s="16" t="n">
        <f aca="false">IF(D1101="","",H1101+E1101-K1101-G1101*I1101)</f>
        <v>12.6045815887342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1.01449506050753</v>
      </c>
      <c r="N1101" s="16" t="n">
        <f aca="false">IF(D1101="","",(I1101+M1101)/2)</f>
        <v>1.02719278236612</v>
      </c>
      <c r="O1101" s="16" t="n">
        <f aca="false">IF(D1101="","",G1101*N1101)</f>
        <v>0.242314777360168</v>
      </c>
      <c r="P1101" s="16" t="n">
        <f aca="false">IF(D1101="","",H1101+E1101-K1101-O1101)</f>
        <v>12.6075769813206</v>
      </c>
      <c r="Q1101" s="16" t="n">
        <f aca="false">IF(D1101="","",IF(P1101&gt;=0,K1101,MAX(0,K1101+P1101)))</f>
        <v>0.648</v>
      </c>
      <c r="R1101" s="16" t="n">
        <f aca="false">IF(D1101="","",Q1101/$B$15)</f>
        <v>0.25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12.6075769813206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59.1905022597213</v>
      </c>
      <c r="Z1101" s="18" t="n">
        <f aca="false">IF(D1101="","",MAX(0,IF(P1101&gt;=0,P1101,IF(K1101+P1101&gt;=0,0,P1101+K1101))))</f>
        <v>12.6075769813206</v>
      </c>
      <c r="AA1101" s="18" t="n">
        <f aca="false">IF(D1101="","",IF(H1101&lt;=$B$16,1,IF(H1101&gt;=$B$17,$B$21,MATCH(H1101,Aux_CAV!$A$2:$A$121,1))))</f>
        <v>6</v>
      </c>
      <c r="AB1101" s="18" t="n">
        <f aca="false">IF(D1101="","",IF(L1101&lt;=$B$16,1,IF(L1101&gt;=$B$17,$B$21,MATCH(L1101,Aux_CAV!$A$2:$A$121,1))))</f>
        <v>6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0.0245144626470455</v>
      </c>
      <c r="E1102" s="16" t="n">
        <f aca="false">IF(D1102="","",D1102*$B$15)</f>
        <v>0.0635414871811419</v>
      </c>
      <c r="F1102" s="16" t="n">
        <f aca="false" t="array" ref="F1102:F1102">IF(D1102="","",IFERROR(INDEX(Dados_Evap!$C$2:$N$15,MATCH($B$9,Dados_Evap!$A$2:$A$15,0),C1102),0))</f>
        <v>225.9</v>
      </c>
      <c r="G1102" s="16" t="n">
        <f aca="false">IF(F1102="","",F1102/1000)</f>
        <v>0.2259</v>
      </c>
      <c r="H1102" s="16" t="n">
        <f aca="false">IF(D1102="","",MAX(0,MIN($B$8,IFERROR(LOOKUP(2,1/($U$24:U1101&lt;&gt;""),$U$24:U1101),$B$11))))</f>
        <v>12.6075769813206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1.01459132076078</v>
      </c>
      <c r="J1102" s="16" t="n">
        <f aca="false">IF(D1102="","",$B$12)</f>
        <v>0.25</v>
      </c>
      <c r="K1102" s="16" t="n">
        <f aca="false">IF(J1102="","",J1102*$B$15)</f>
        <v>0.648</v>
      </c>
      <c r="L1102" s="16" t="n">
        <f aca="false">IF(D1102="","",H1102+E1102-K1102-G1102*I1102)</f>
        <v>11.7939222891419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0.988443627439343</v>
      </c>
      <c r="N1102" s="16" t="n">
        <f aca="false">IF(D1102="","",(I1102+M1102)/2)</f>
        <v>1.00151747410006</v>
      </c>
      <c r="O1102" s="16" t="n">
        <f aca="false">IF(D1102="","",G1102*N1102)</f>
        <v>0.226242797399204</v>
      </c>
      <c r="P1102" s="16" t="n">
        <f aca="false">IF(D1102="","",H1102+E1102-K1102-O1102)</f>
        <v>11.7968756711026</v>
      </c>
      <c r="Q1102" s="16" t="n">
        <f aca="false">IF(D1102="","",IF(P1102&gt;=0,K1102,MAX(0,K1102+P1102)))</f>
        <v>0.648</v>
      </c>
      <c r="R1102" s="16" t="n">
        <f aca="false">IF(D1102="","",Q1102/$B$15)</f>
        <v>0.25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11.7968756711026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55.3843928220778</v>
      </c>
      <c r="Z1102" s="18" t="n">
        <f aca="false">IF(D1102="","",MAX(0,IF(P1102&gt;=0,P1102,IF(K1102+P1102&gt;=0,0,P1102+K1102))))</f>
        <v>11.7968756711026</v>
      </c>
      <c r="AA1102" s="18" t="n">
        <f aca="false">IF(D1102="","",IF(H1102&lt;=$B$16,1,IF(H1102&gt;=$B$17,$B$21,MATCH(H1102,Aux_CAV!$A$2:$A$121,1))))</f>
        <v>6</v>
      </c>
      <c r="AB1102" s="18" t="n">
        <f aca="false">IF(D1102="","",IF(L1102&lt;=$B$16,1,IF(L1102&gt;=$B$17,$B$21,MATCH(L1102,Aux_CAV!$A$2:$A$121,1))))</f>
        <v>6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0.0482396164382097</v>
      </c>
      <c r="E1103" s="16" t="n">
        <f aca="false">IF(D1103="","",D1103*$B$15)</f>
        <v>0.12503708580784</v>
      </c>
      <c r="F1103" s="16" t="n">
        <f aca="false" t="array" ref="F1103:F1103">IF(D1103="","",IFERROR(INDEX(Dados_Evap!$C$2:$N$15,MATCH($B$9,Dados_Evap!$A$2:$A$15,0),C1103),0))</f>
        <v>206</v>
      </c>
      <c r="G1103" s="16" t="n">
        <f aca="false">IF(F1103="","",F1103/1000)</f>
        <v>0.206</v>
      </c>
      <c r="H1103" s="16" t="n">
        <f aca="false">IF(D1103="","",MAX(0,MIN($B$8,IFERROR(LOOKUP(2,1/($U$24:U1102&lt;&gt;""),$U$24:U1102),$B$11))))</f>
        <v>11.7968756711026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0.988538537634676</v>
      </c>
      <c r="J1103" s="16" t="n">
        <f aca="false">IF(D1103="","",$B$12)</f>
        <v>0.25</v>
      </c>
      <c r="K1103" s="16" t="n">
        <f aca="false">IF(J1103="","",J1103*$B$15)</f>
        <v>0.648</v>
      </c>
      <c r="L1103" s="16" t="n">
        <f aca="false">IF(D1103="","",H1103+E1103-K1103-G1103*I1103)</f>
        <v>11.0702738181577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0.965031210779569</v>
      </c>
      <c r="N1103" s="16" t="n">
        <f aca="false">IF(D1103="","",(I1103+M1103)/2)</f>
        <v>0.976784874207122</v>
      </c>
      <c r="O1103" s="16" t="n">
        <f aca="false">IF(D1103="","",G1103*N1103)</f>
        <v>0.201217684086667</v>
      </c>
      <c r="P1103" s="16" t="n">
        <f aca="false">IF(D1103="","",H1103+E1103-K1103-O1103)</f>
        <v>11.0726950728237</v>
      </c>
      <c r="Q1103" s="16" t="n">
        <f aca="false">IF(D1103="","",IF(P1103&gt;=0,K1103,MAX(0,K1103+P1103)))</f>
        <v>0.648</v>
      </c>
      <c r="R1103" s="16" t="n">
        <f aca="false">IF(D1103="","",Q1103/$B$15)</f>
        <v>0.25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11.0726950728237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51.9844839099706</v>
      </c>
      <c r="Z1103" s="18" t="n">
        <f aca="false">IF(D1103="","",MAX(0,IF(P1103&gt;=0,P1103,IF(K1103+P1103&gt;=0,0,P1103+K1103))))</f>
        <v>11.0726950728237</v>
      </c>
      <c r="AA1103" s="18" t="n">
        <f aca="false">IF(D1103="","",IF(H1103&lt;=$B$16,1,IF(H1103&gt;=$B$17,$B$21,MATCH(H1103,Aux_CAV!$A$2:$A$121,1))))</f>
        <v>6</v>
      </c>
      <c r="AB1103" s="18" t="n">
        <f aca="false">IF(D1103="","",IF(L1103&lt;=$B$16,1,IF(L1103&gt;=$B$17,$B$21,MATCH(L1103,Aux_CAV!$A$2:$A$121,1))))</f>
        <v>5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0.235831520473559</v>
      </c>
      <c r="E1104" s="16" t="n">
        <f aca="false">IF(D1104="","",D1104*$B$15)</f>
        <v>0.611275301067465</v>
      </c>
      <c r="F1104" s="16" t="n">
        <f aca="false" t="array" ref="F1104:F1104">IF(D1104="","",IFERROR(INDEX(Dados_Evap!$C$2:$N$15,MATCH($B$9,Dados_Evap!$A$2:$A$15,0),C1104),0))</f>
        <v>165.6</v>
      </c>
      <c r="G1104" s="16" t="n">
        <f aca="false">IF(F1104="","",F1104/1000)</f>
        <v>0.1656</v>
      </c>
      <c r="H1104" s="16" t="n">
        <f aca="false">IF(D1104="","",MAX(0,MIN($B$8,IFERROR(LOOKUP(2,1/($U$24:U1103&lt;&gt;""),$U$24:U1103),$B$11))))</f>
        <v>11.0726950728237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0.96511156215123</v>
      </c>
      <c r="J1104" s="16" t="n">
        <f aca="false">IF(D1104="","",$B$12)</f>
        <v>0.25</v>
      </c>
      <c r="K1104" s="16" t="n">
        <f aca="false">IF(J1104="","",J1104*$B$15)</f>
        <v>0.648</v>
      </c>
      <c r="L1104" s="16" t="n">
        <f aca="false">IF(D1104="","",H1104+E1104-K1104-G1104*I1104)</f>
        <v>10.876147899199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0.958588978955718</v>
      </c>
      <c r="N1104" s="16" t="n">
        <f aca="false">IF(D1104="","",(I1104+M1104)/2)</f>
        <v>0.961850270553474</v>
      </c>
      <c r="O1104" s="16" t="n">
        <f aca="false">IF(D1104="","",G1104*N1104)</f>
        <v>0.159282404803655</v>
      </c>
      <c r="P1104" s="16" t="n">
        <f aca="false">IF(D1104="","",H1104+E1104-K1104-O1104)</f>
        <v>10.8766879690876</v>
      </c>
      <c r="Q1104" s="16" t="n">
        <f aca="false">IF(D1104="","",IF(P1104&gt;=0,K1104,MAX(0,K1104+P1104)))</f>
        <v>0.648</v>
      </c>
      <c r="R1104" s="16" t="n">
        <f aca="false">IF(D1104="","",Q1104/$B$15)</f>
        <v>0.25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10.8766879690876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51.0642627656693</v>
      </c>
      <c r="Z1104" s="18" t="n">
        <f aca="false">IF(D1104="","",MAX(0,IF(P1104&gt;=0,P1104,IF(K1104+P1104&gt;=0,0,P1104+K1104))))</f>
        <v>10.8766879690876</v>
      </c>
      <c r="AA1104" s="18" t="n">
        <f aca="false">IF(D1104="","",IF(H1104&lt;=$B$16,1,IF(H1104&gt;=$B$17,$B$21,MATCH(H1104,Aux_CAV!$A$2:$A$121,1))))</f>
        <v>5</v>
      </c>
      <c r="AB1104" s="18" t="n">
        <f aca="false">IF(D1104="","",IF(L1104&lt;=$B$16,1,IF(L1104&gt;=$B$17,$B$21,MATCH(L1104,Aux_CAV!$A$2:$A$121,1))))</f>
        <v>5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0.310790136793281</v>
      </c>
      <c r="E1105" s="16" t="n">
        <f aca="false">IF(D1105="","",D1105*$B$15)</f>
        <v>0.805568034568184</v>
      </c>
      <c r="F1105" s="16" t="n">
        <f aca="false" t="array" ref="F1105:F1105">IF(D1105="","",IFERROR(INDEX(Dados_Evap!$C$2:$N$15,MATCH($B$9,Dados_Evap!$A$2:$A$15,0),C1105),0))</f>
        <v>124.9</v>
      </c>
      <c r="G1105" s="16" t="n">
        <f aca="false">IF(F1105="","",F1105/1000)</f>
        <v>0.1249</v>
      </c>
      <c r="H1105" s="16" t="n">
        <f aca="false">IF(D1105="","",MAX(0,MIN($B$8,IFERROR(LOOKUP(2,1/($U$24:U1104&lt;&gt;""),$U$24:U1104),$B$11))))</f>
        <v>10.8766879690876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0.958606901629012</v>
      </c>
      <c r="J1105" s="16" t="n">
        <f aca="false">IF(D1105="","",$B$12)</f>
        <v>0.25</v>
      </c>
      <c r="K1105" s="16" t="n">
        <f aca="false">IF(J1105="","",J1105*$B$15)</f>
        <v>0.648</v>
      </c>
      <c r="L1105" s="16" t="n">
        <f aca="false">IF(D1105="","",H1105+E1105-K1105-G1105*I1105)</f>
        <v>10.9145260016423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0.959862588550075</v>
      </c>
      <c r="N1105" s="16" t="n">
        <f aca="false">IF(D1105="","",(I1105+M1105)/2)</f>
        <v>0.959234745089544</v>
      </c>
      <c r="O1105" s="16" t="n">
        <f aca="false">IF(D1105="","",G1105*N1105)</f>
        <v>0.119808419661684</v>
      </c>
      <c r="P1105" s="16" t="n">
        <f aca="false">IF(D1105="","",H1105+E1105-K1105-O1105)</f>
        <v>10.9144475839941</v>
      </c>
      <c r="Q1105" s="16" t="n">
        <f aca="false">IF(D1105="","",IF(P1105&gt;=0,K1105,MAX(0,K1105+P1105)))</f>
        <v>0.648</v>
      </c>
      <c r="R1105" s="16" t="n">
        <f aca="false">IF(D1105="","",Q1105/$B$15)</f>
        <v>0.25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10.9144475839941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51.2415379530237</v>
      </c>
      <c r="Z1105" s="18" t="n">
        <f aca="false">IF(D1105="","",MAX(0,IF(P1105&gt;=0,P1105,IF(K1105+P1105&gt;=0,0,P1105+K1105))))</f>
        <v>10.9144475839941</v>
      </c>
      <c r="AA1105" s="18" t="n">
        <f aca="false">IF(D1105="","",IF(H1105&lt;=$B$16,1,IF(H1105&gt;=$B$17,$B$21,MATCH(H1105,Aux_CAV!$A$2:$A$121,1))))</f>
        <v>5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0.898986967085835</v>
      </c>
      <c r="E1106" s="16" t="n">
        <f aca="false">IF(D1106="","",D1106*$B$15)</f>
        <v>2.33017421868648</v>
      </c>
      <c r="F1106" s="16" t="n">
        <f aca="false" t="array" ref="F1106:F1106">IF(D1106="","",IFERROR(INDEX(Dados_Evap!$C$2:$N$15,MATCH($B$9,Dados_Evap!$A$2:$A$15,0),C1106),0))</f>
        <v>88.2</v>
      </c>
      <c r="G1106" s="16" t="n">
        <f aca="false">IF(F1106="","",F1106/1000)</f>
        <v>0.0882</v>
      </c>
      <c r="H1106" s="16" t="n">
        <f aca="false">IF(D1106="","",MAX(0,MIN($B$8,IFERROR(LOOKUP(2,1/($U$24:U1105&lt;&gt;""),$U$24:U1105),$B$11))))</f>
        <v>10.9144475839941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0.959859986194493</v>
      </c>
      <c r="J1106" s="16" t="n">
        <f aca="false">IF(D1106="","",$B$12)</f>
        <v>0.25</v>
      </c>
      <c r="K1106" s="16" t="n">
        <f aca="false">IF(J1106="","",J1106*$B$15)</f>
        <v>0.648</v>
      </c>
      <c r="L1106" s="16" t="n">
        <f aca="false">IF(D1106="","",H1106+E1106-K1106-G1106*I1106)</f>
        <v>12.5119621518982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1.01151863248066</v>
      </c>
      <c r="N1106" s="16" t="n">
        <f aca="false">IF(D1106="","",(I1106+M1106)/2)</f>
        <v>0.985689309337577</v>
      </c>
      <c r="O1106" s="16" t="n">
        <f aca="false">IF(D1106="","",G1106*N1106)</f>
        <v>0.0869377970835742</v>
      </c>
      <c r="P1106" s="16" t="n">
        <f aca="false">IF(D1106="","",H1106+E1106-K1106-O1106)</f>
        <v>12.509684005597</v>
      </c>
      <c r="Q1106" s="16" t="n">
        <f aca="false">IF(D1106="","",IF(P1106&gt;=0,K1106,MAX(0,K1106+P1106)))</f>
        <v>0.648</v>
      </c>
      <c r="R1106" s="16" t="n">
        <f aca="false">IF(D1106="","",Q1106/$B$15)</f>
        <v>0.25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12.509684005597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58.7309108243989</v>
      </c>
      <c r="Z1106" s="18" t="n">
        <f aca="false">IF(D1106="","",MAX(0,IF(P1106&gt;=0,P1106,IF(K1106+P1106&gt;=0,0,P1106+K1106))))</f>
        <v>12.509684005597</v>
      </c>
      <c r="AA1106" s="18" t="n">
        <f aca="false">IF(D1106="","",IF(H1106&lt;=$B$16,1,IF(H1106&gt;=$B$17,$B$21,MATCH(H1106,Aux_CAV!$A$2:$A$121,1))))</f>
        <v>5</v>
      </c>
      <c r="AB1106" s="18" t="n">
        <f aca="false">IF(D1106="","",IF(L1106&lt;=$B$16,1,IF(L1106&gt;=$B$17,$B$21,MATCH(L1106,Aux_CAV!$A$2:$A$121,1))))</f>
        <v>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1.73871706434825</v>
      </c>
      <c r="E1107" s="16" t="n">
        <f aca="false">IF(D1107="","",D1107*$B$15)</f>
        <v>4.50675463079066</v>
      </c>
      <c r="F1107" s="16" t="n">
        <f aca="false" t="array" ref="F1107:F1107">IF(D1107="","",IFERROR(INDEX(Dados_Evap!$C$2:$N$15,MATCH($B$9,Dados_Evap!$A$2:$A$15,0),C1107),0))</f>
        <v>88.2</v>
      </c>
      <c r="G1107" s="16" t="n">
        <f aca="false">IF(F1107="","",F1107/1000)</f>
        <v>0.0882</v>
      </c>
      <c r="H1107" s="16" t="n">
        <f aca="false">IF(D1107="","",MAX(0,MIN($B$8,IFERROR(LOOKUP(2,1/($U$24:U1106&lt;&gt;""),$U$24:U1106),$B$11))))</f>
        <v>12.509684005597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1.01144542172996</v>
      </c>
      <c r="J1107" s="16" t="n">
        <f aca="false">IF(D1107="","",$B$12)</f>
        <v>0.25</v>
      </c>
      <c r="K1107" s="16" t="n">
        <f aca="false">IF(J1107="","",J1107*$B$15)</f>
        <v>0.648</v>
      </c>
      <c r="L1107" s="16" t="n">
        <f aca="false">IF(D1107="","",H1107+E1107-K1107-G1107*I1107)</f>
        <v>16.279229150191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1.13258392354111</v>
      </c>
      <c r="N1107" s="16" t="n">
        <f aca="false">IF(D1107="","",(I1107+M1107)/2)</f>
        <v>1.07201467263554</v>
      </c>
      <c r="O1107" s="16" t="n">
        <f aca="false">IF(D1107="","",G1107*N1107)</f>
        <v>0.0945516941264542</v>
      </c>
      <c r="P1107" s="16" t="n">
        <f aca="false">IF(D1107="","",H1107+E1107-K1107-O1107)</f>
        <v>16.2738869422612</v>
      </c>
      <c r="Q1107" s="16" t="n">
        <f aca="false">IF(D1107="","",IF(P1107&gt;=0,K1107,MAX(0,K1107+P1107)))</f>
        <v>0.648</v>
      </c>
      <c r="R1107" s="16" t="n">
        <f aca="false">IF(D1107="","",Q1107/$B$15)</f>
        <v>0.25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16.2738869422612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76.4032250810384</v>
      </c>
      <c r="Z1107" s="18" t="n">
        <f aca="false">IF(D1107="","",MAX(0,IF(P1107&gt;=0,P1107,IF(K1107+P1107&gt;=0,0,P1107+K1107))))</f>
        <v>16.2738869422612</v>
      </c>
      <c r="AA1107" s="18" t="n">
        <f aca="false">IF(D1107="","",IF(H1107&lt;=$B$16,1,IF(H1107&gt;=$B$17,$B$21,MATCH(H1107,Aux_CAV!$A$2:$A$121,1))))</f>
        <v>6</v>
      </c>
      <c r="AB1107" s="18" t="n">
        <f aca="false">IF(D1107="","",IF(L1107&lt;=$B$16,1,IF(L1107&gt;=$B$17,$B$21,MATCH(L1107,Aux_CAV!$A$2:$A$121,1))))</f>
        <v>6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0.559588147897285</v>
      </c>
      <c r="E1108" s="16" t="n">
        <f aca="false">IF(D1108="","",D1108*$B$15)</f>
        <v>1.45045247934976</v>
      </c>
      <c r="F1108" s="16" t="n">
        <f aca="false" t="array" ref="F1108:F1108">IF(D1108="","",IFERROR(INDEX(Dados_Evap!$C$2:$N$15,MATCH($B$9,Dados_Evap!$A$2:$A$15,0),C1108),0))</f>
        <v>83.9</v>
      </c>
      <c r="G1108" s="16" t="n">
        <f aca="false">IF(F1108="","",F1108/1000)</f>
        <v>0.0839</v>
      </c>
      <c r="H1108" s="16" t="n">
        <f aca="false">IF(D1108="","",MAX(0,MIN($B$8,IFERROR(LOOKUP(2,1/($U$24:U1107&lt;&gt;""),$U$24:U1107),$B$11))))</f>
        <v>16.2738869422612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1.13241224578155</v>
      </c>
      <c r="J1108" s="16" t="n">
        <f aca="false">IF(D1108="","",$B$12)</f>
        <v>0.25</v>
      </c>
      <c r="K1108" s="16" t="n">
        <f aca="false">IF(J1108="","",J1108*$B$15)</f>
        <v>0.648</v>
      </c>
      <c r="L1108" s="16" t="n">
        <f aca="false">IF(D1108="","",H1108+E1108-K1108-G1108*I1108)</f>
        <v>16.9813300341899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1.14885588790753</v>
      </c>
      <c r="N1108" s="16" t="n">
        <f aca="false">IF(D1108="","",(I1108+M1108)/2)</f>
        <v>1.14063406684454</v>
      </c>
      <c r="O1108" s="16" t="n">
        <f aca="false">IF(D1108="","",G1108*N1108)</f>
        <v>0.0956991982082571</v>
      </c>
      <c r="P1108" s="16" t="n">
        <f aca="false">IF(D1108="","",H1108+E1108-K1108-O1108)</f>
        <v>16.9806402234027</v>
      </c>
      <c r="Q1108" s="16" t="n">
        <f aca="false">IF(D1108="","",IF(P1108&gt;=0,K1108,MAX(0,K1108+P1108)))</f>
        <v>0.648</v>
      </c>
      <c r="R1108" s="16" t="n">
        <f aca="false">IF(D1108="","",Q1108/$B$15)</f>
        <v>0.25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16.9806402234027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79.7213156028295</v>
      </c>
      <c r="Z1108" s="18" t="n">
        <f aca="false">IF(D1108="","",MAX(0,IF(P1108&gt;=0,P1108,IF(K1108+P1108&gt;=0,0,P1108+K1108))))</f>
        <v>16.9806402234027</v>
      </c>
      <c r="AA1108" s="18" t="n">
        <f aca="false">IF(D1108="","",IF(H1108&lt;=$B$16,1,IF(H1108&gt;=$B$17,$B$21,MATCH(H1108,Aux_CAV!$A$2:$A$121,1))))</f>
        <v>6</v>
      </c>
      <c r="AB1108" s="18" t="n">
        <f aca="false">IF(D1108="","",IF(L1108&lt;=$B$16,1,IF(L1108&gt;=$B$17,$B$21,MATCH(L1108,Aux_CAV!$A$2:$A$121,1))))</f>
        <v>7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0.333774133356064</v>
      </c>
      <c r="E1109" s="16" t="n">
        <f aca="false">IF(D1109="","",D1109*$B$15)</f>
        <v>0.865142553658918</v>
      </c>
      <c r="F1109" s="16" t="n">
        <f aca="false" t="array" ref="F1109:F1109">IF(D1109="","",IFERROR(INDEX(Dados_Evap!$C$2:$N$15,MATCH($B$9,Dados_Evap!$A$2:$A$15,0),C1109),0))</f>
        <v>104.7</v>
      </c>
      <c r="G1109" s="16" t="n">
        <f aca="false">IF(F1109="","",F1109/1000)</f>
        <v>0.1047</v>
      </c>
      <c r="H1109" s="16" t="n">
        <f aca="false">IF(D1109="","",MAX(0,MIN($B$8,IFERROR(LOOKUP(2,1/($U$24:U1108&lt;&gt;""),$U$24:U1108),$B$11))))</f>
        <v>16.9806402234027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1.14884292695329</v>
      </c>
      <c r="J1109" s="16" t="n">
        <f aca="false">IF(D1109="","",$B$12)</f>
        <v>0.25</v>
      </c>
      <c r="K1109" s="16" t="n">
        <f aca="false">IF(J1109="","",J1109*$B$15)</f>
        <v>0.648</v>
      </c>
      <c r="L1109" s="16" t="n">
        <f aca="false">IF(D1109="","",H1109+E1109-K1109-G1109*I1109)</f>
        <v>17.0774989226096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1.15066281900519</v>
      </c>
      <c r="N1109" s="16" t="n">
        <f aca="false">IF(D1109="","",(I1109+M1109)/2)</f>
        <v>1.14975287297924</v>
      </c>
      <c r="O1109" s="16" t="n">
        <f aca="false">IF(D1109="","",G1109*N1109)</f>
        <v>0.120379125800926</v>
      </c>
      <c r="P1109" s="16" t="n">
        <f aca="false">IF(D1109="","",H1109+E1109-K1109-O1109)</f>
        <v>17.0774036512607</v>
      </c>
      <c r="Q1109" s="16" t="n">
        <f aca="false">IF(D1109="","",IF(P1109&gt;=0,K1109,MAX(0,K1109+P1109)))</f>
        <v>0.648</v>
      </c>
      <c r="R1109" s="16" t="n">
        <f aca="false">IF(D1109="","",Q1109/$B$15)</f>
        <v>0.25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17.0774036512607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80.175603996529</v>
      </c>
      <c r="Z1109" s="18" t="n">
        <f aca="false">IF(D1109="","",MAX(0,IF(P1109&gt;=0,P1109,IF(K1109+P1109&gt;=0,0,P1109+K1109))))</f>
        <v>17.0774036512607</v>
      </c>
      <c r="AA1109" s="18" t="n">
        <f aca="false">IF(D1109="","",IF(H1109&lt;=$B$16,1,IF(H1109&gt;=$B$17,$B$21,MATCH(H1109,Aux_CAV!$A$2:$A$121,1))))</f>
        <v>7</v>
      </c>
      <c r="AB1109" s="18" t="n">
        <f aca="false">IF(D1109="","",IF(L1109&lt;=$B$16,1,IF(L1109&gt;=$B$17,$B$21,MATCH(L1109,Aux_CAV!$A$2:$A$121,1))))</f>
        <v>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0.457974424190338</v>
      </c>
      <c r="E1110" s="16" t="n">
        <f aca="false">IF(D1110="","",D1110*$B$15)</f>
        <v>1.18706970750136</v>
      </c>
      <c r="F1110" s="16" t="n">
        <f aca="false" t="array" ref="F1110:F1110">IF(D1110="","",IFERROR(INDEX(Dados_Evap!$C$2:$N$15,MATCH($B$9,Dados_Evap!$A$2:$A$15,0),C1110),0))</f>
        <v>145.2</v>
      </c>
      <c r="G1110" s="16" t="n">
        <f aca="false">IF(F1110="","",F1110/1000)</f>
        <v>0.1452</v>
      </c>
      <c r="H1110" s="16" t="n">
        <f aca="false">IF(D1110="","",MAX(0,MIN($B$8,IFERROR(LOOKUP(2,1/($U$24:U1109&lt;&gt;""),$U$24:U1109),$B$11))))</f>
        <v>17.0774036512607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1.15066102893809</v>
      </c>
      <c r="J1110" s="16" t="n">
        <f aca="false">IF(D1110="","",$B$12)</f>
        <v>0.25</v>
      </c>
      <c r="K1110" s="16" t="n">
        <f aca="false">IF(J1110="","",J1110*$B$15)</f>
        <v>0.648</v>
      </c>
      <c r="L1110" s="16" t="n">
        <f aca="false">IF(D1110="","",H1110+E1110-K1110-G1110*I1110)</f>
        <v>17.4493973773602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1.15765047264351</v>
      </c>
      <c r="N1110" s="16" t="n">
        <f aca="false">IF(D1110="","",(I1110+M1110)/2)</f>
        <v>1.1541557507908</v>
      </c>
      <c r="O1110" s="16" t="n">
        <f aca="false">IF(D1110="","",G1110*N1110)</f>
        <v>0.167583415014824</v>
      </c>
      <c r="P1110" s="16" t="n">
        <f aca="false">IF(D1110="","",H1110+E1110-K1110-O1110)</f>
        <v>17.4488899437472</v>
      </c>
      <c r="Q1110" s="16" t="n">
        <f aca="false">IF(D1110="","",IF(P1110&gt;=0,K1110,MAX(0,K1110+P1110)))</f>
        <v>0.648</v>
      </c>
      <c r="R1110" s="16" t="n">
        <f aca="false">IF(D1110="","",Q1110/$B$15)</f>
        <v>0.25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17.4488899437472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81.9196710974047</v>
      </c>
      <c r="Z1110" s="18" t="n">
        <f aca="false">IF(D1110="","",MAX(0,IF(P1110&gt;=0,P1110,IF(K1110+P1110&gt;=0,0,P1110+K1110))))</f>
        <v>17.4488899437472</v>
      </c>
      <c r="AA1110" s="18" t="n">
        <f aca="false">IF(D1110="","",IF(H1110&lt;=$B$16,1,IF(H1110&gt;=$B$17,$B$21,MATCH(H1110,Aux_CAV!$A$2:$A$121,1))))</f>
        <v>7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0.286082489797151</v>
      </c>
      <c r="E1111" s="16" t="n">
        <f aca="false">IF(D1111="","",D1111*$B$15)</f>
        <v>0.741525813554215</v>
      </c>
      <c r="F1111" s="16" t="n">
        <f aca="false" t="array" ref="F1111:F1111">IF(D1111="","",IFERROR(INDEX(Dados_Evap!$C$2:$N$15,MATCH($B$9,Dados_Evap!$A$2:$A$15,0),C1111),0))</f>
        <v>180.9</v>
      </c>
      <c r="G1111" s="16" t="n">
        <f aca="false">IF(F1111="","",F1111/1000)</f>
        <v>0.1809</v>
      </c>
      <c r="H1111" s="16" t="n">
        <f aca="false">IF(D1111="","",MAX(0,MIN($B$8,IFERROR(LOOKUP(2,1/($U$24:U1110&lt;&gt;""),$U$24:U1110),$B$11))))</f>
        <v>17.4488899437472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1.15764093840026</v>
      </c>
      <c r="J1111" s="16" t="n">
        <f aca="false">IF(D1111="","",$B$12)</f>
        <v>0.25</v>
      </c>
      <c r="K1111" s="16" t="n">
        <f aca="false">IF(J1111="","",J1111*$B$15)</f>
        <v>0.648</v>
      </c>
      <c r="L1111" s="16" t="n">
        <f aca="false">IF(D1111="","",H1111+E1111-K1111-G1111*I1111)</f>
        <v>17.3329985115448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1.15546343758644</v>
      </c>
      <c r="N1111" s="16" t="n">
        <f aca="false">IF(D1111="","",(I1111+M1111)/2)</f>
        <v>1.15655218799335</v>
      </c>
      <c r="O1111" s="16" t="n">
        <f aca="false">IF(D1111="","",G1111*N1111)</f>
        <v>0.209220290807997</v>
      </c>
      <c r="P1111" s="16" t="n">
        <f aca="false">IF(D1111="","",H1111+E1111-K1111-O1111)</f>
        <v>17.3331954664934</v>
      </c>
      <c r="Q1111" s="16" t="n">
        <f aca="false">IF(D1111="","",IF(P1111&gt;=0,K1111,MAX(0,K1111+P1111)))</f>
        <v>0.648</v>
      </c>
      <c r="R1111" s="16" t="n">
        <f aca="false">IF(D1111="","",Q1111/$B$15)</f>
        <v>0.25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17.3331954664934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81.3765045375278</v>
      </c>
      <c r="Z1111" s="18" t="n">
        <f aca="false">IF(D1111="","",MAX(0,IF(P1111&gt;=0,P1111,IF(K1111+P1111&gt;=0,0,P1111+K1111))))</f>
        <v>17.3331954664934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0.102853255527835</v>
      </c>
      <c r="E1112" s="16" t="n">
        <f aca="false">IF(D1112="","",D1112*$B$15)</f>
        <v>0.266595638328148</v>
      </c>
      <c r="F1112" s="16" t="n">
        <f aca="false" t="array" ref="F1112:F1112">IF(D1112="","",IFERROR(INDEX(Dados_Evap!$C$2:$N$15,MATCH($B$9,Dados_Evap!$A$2:$A$15,0),C1112),0))</f>
        <v>208.9</v>
      </c>
      <c r="G1112" s="16" t="n">
        <f aca="false">IF(F1112="","",F1112/1000)</f>
        <v>0.2089</v>
      </c>
      <c r="H1112" s="16" t="n">
        <f aca="false">IF(D1112="","",MAX(0,MIN($B$8,IFERROR(LOOKUP(2,1/($U$24:U1111&lt;&gt;""),$U$24:U1111),$B$11))))</f>
        <v>17.3331954664934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1.15546713820134</v>
      </c>
      <c r="J1112" s="16" t="n">
        <f aca="false">IF(D1112="","",$B$12)</f>
        <v>0.25</v>
      </c>
      <c r="K1112" s="16" t="n">
        <f aca="false">IF(J1112="","",J1112*$B$15)</f>
        <v>0.648</v>
      </c>
      <c r="L1112" s="16" t="n">
        <f aca="false">IF(D1112="","",H1112+E1112-K1112-G1112*I1112)</f>
        <v>16.7104140196513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1.14376560788489</v>
      </c>
      <c r="N1112" s="16" t="n">
        <f aca="false">IF(D1112="","",(I1112+M1112)/2)</f>
        <v>1.14961637304311</v>
      </c>
      <c r="O1112" s="16" t="n">
        <f aca="false">IF(D1112="","",G1112*N1112)</f>
        <v>0.240154860328706</v>
      </c>
      <c r="P1112" s="16" t="n">
        <f aca="false">IF(D1112="","",H1112+E1112-K1112-O1112)</f>
        <v>16.7116362444929</v>
      </c>
      <c r="Q1112" s="16" t="n">
        <f aca="false">IF(D1112="","",IF(P1112&gt;=0,K1112,MAX(0,K1112+P1112)))</f>
        <v>0.648</v>
      </c>
      <c r="R1112" s="16" t="n">
        <f aca="false">IF(D1112="","",Q1112/$B$15)</f>
        <v>0.25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16.7116362444929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78.4583861243796</v>
      </c>
      <c r="Z1112" s="18" t="n">
        <f aca="false">IF(D1112="","",MAX(0,IF(P1112&gt;=0,P1112,IF(K1112+P1112&gt;=0,0,P1112+K1112))))</f>
        <v>16.7116362444929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7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0.051258236696755</v>
      </c>
      <c r="E1113" s="16" t="n">
        <f aca="false">IF(D1113="","",D1113*$B$15)</f>
        <v>0.132861349517989</v>
      </c>
      <c r="F1113" s="16" t="n">
        <f aca="false" t="array" ref="F1113:F1113">IF(D1113="","",IFERROR(INDEX(Dados_Evap!$C$2:$N$15,MATCH($B$9,Dados_Evap!$A$2:$A$15,0),C1113),0))</f>
        <v>235.9</v>
      </c>
      <c r="G1113" s="16" t="n">
        <f aca="false">IF(F1113="","",F1113/1000)</f>
        <v>0.2359</v>
      </c>
      <c r="H1113" s="16" t="n">
        <f aca="false">IF(D1113="","",MAX(0,MIN($B$8,IFERROR(LOOKUP(2,1/($U$24:U1112&lt;&gt;""),$U$24:U1112),$B$11))))</f>
        <v>16.7116362444929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1.1437885724435</v>
      </c>
      <c r="J1113" s="16" t="n">
        <f aca="false">IF(D1113="","",$B$12)</f>
        <v>0.25</v>
      </c>
      <c r="K1113" s="16" t="n">
        <f aca="false">IF(J1113="","",J1113*$B$15)</f>
        <v>0.648</v>
      </c>
      <c r="L1113" s="16" t="n">
        <f aca="false">IF(D1113="","",H1113+E1113-K1113-G1113*I1113)</f>
        <v>15.9266778697714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1.12125429827243</v>
      </c>
      <c r="N1113" s="16" t="n">
        <f aca="false">IF(D1113="","",(I1113+M1113)/2)</f>
        <v>1.13252143535796</v>
      </c>
      <c r="O1113" s="16" t="n">
        <f aca="false">IF(D1113="","",G1113*N1113)</f>
        <v>0.267161806600943</v>
      </c>
      <c r="P1113" s="16" t="n">
        <f aca="false">IF(D1113="","",H1113+E1113-K1113-O1113)</f>
        <v>15.9293357874099</v>
      </c>
      <c r="Q1113" s="16" t="n">
        <f aca="false">IF(D1113="","",IF(P1113&gt;=0,K1113,MAX(0,K1113+P1113)))</f>
        <v>0.648</v>
      </c>
      <c r="R1113" s="16" t="n">
        <f aca="false">IF(D1113="","",Q1113/$B$15)</f>
        <v>0.25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15.9293357874099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74.7856140253986</v>
      </c>
      <c r="Z1113" s="18" t="n">
        <f aca="false">IF(D1113="","",MAX(0,IF(P1113&gt;=0,P1113,IF(K1113+P1113&gt;=0,0,P1113+K1113))))</f>
        <v>15.9293357874099</v>
      </c>
      <c r="AA1113" s="18" t="n">
        <f aca="false">IF(D1113="","",IF(H1113&lt;=$B$16,1,IF(H1113&gt;=$B$17,$B$21,MATCH(H1113,Aux_CAV!$A$2:$A$121,1))))</f>
        <v>7</v>
      </c>
      <c r="AB1113" s="18" t="n">
        <f aca="false">IF(D1113="","",IF(L1113&lt;=$B$16,1,IF(L1113&gt;=$B$17,$B$21,MATCH(L1113,Aux_CAV!$A$2:$A$121,1))))</f>
        <v>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0.029654823122649</v>
      </c>
      <c r="E1114" s="16" t="n">
        <f aca="false">IF(D1114="","",D1114*$B$15)</f>
        <v>0.0768653015339062</v>
      </c>
      <c r="F1114" s="16" t="n">
        <f aca="false" t="array" ref="F1114:F1114">IF(D1114="","",IFERROR(INDEX(Dados_Evap!$C$2:$N$15,MATCH($B$9,Dados_Evap!$A$2:$A$15,0),C1114),0))</f>
        <v>225.9</v>
      </c>
      <c r="G1114" s="16" t="n">
        <f aca="false">IF(F1114="","",F1114/1000)</f>
        <v>0.2259</v>
      </c>
      <c r="H1114" s="16" t="n">
        <f aca="false">IF(D1114="","",MAX(0,MIN($B$8,IFERROR(LOOKUP(2,1/($U$24:U1113&lt;&gt;""),$U$24:U1113),$B$11))))</f>
        <v>15.9293357874099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1.12133971339503</v>
      </c>
      <c r="J1114" s="16" t="n">
        <f aca="false">IF(D1114="","",$B$12)</f>
        <v>0.25</v>
      </c>
      <c r="K1114" s="16" t="n">
        <f aca="false">IF(J1114="","",J1114*$B$15)</f>
        <v>0.648</v>
      </c>
      <c r="L1114" s="16" t="n">
        <f aca="false">IF(D1114="","",H1114+E1114-K1114-G1114*I1114)</f>
        <v>15.1048904476879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1.09484525068184</v>
      </c>
      <c r="N1114" s="16" t="n">
        <f aca="false">IF(D1114="","",(I1114+M1114)/2)</f>
        <v>1.10809248203843</v>
      </c>
      <c r="O1114" s="16" t="n">
        <f aca="false">IF(D1114="","",G1114*N1114)</f>
        <v>0.250318091692482</v>
      </c>
      <c r="P1114" s="16" t="n">
        <f aca="false">IF(D1114="","",H1114+E1114-K1114-O1114)</f>
        <v>15.1078829972513</v>
      </c>
      <c r="Q1114" s="16" t="n">
        <f aca="false">IF(D1114="","",IF(P1114&gt;=0,K1114,MAX(0,K1114+P1114)))</f>
        <v>0.648</v>
      </c>
      <c r="R1114" s="16" t="n">
        <f aca="false">IF(D1114="","",Q1114/$B$15)</f>
        <v>0.25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15.1078829972513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70.9290281561095</v>
      </c>
      <c r="Z1114" s="18" t="n">
        <f aca="false">IF(D1114="","",MAX(0,IF(P1114&gt;=0,P1114,IF(K1114+P1114&gt;=0,0,P1114+K1114))))</f>
        <v>15.1078829972513</v>
      </c>
      <c r="AA1114" s="18" t="n">
        <f aca="false">IF(D1114="","",IF(H1114&lt;=$B$16,1,IF(H1114&gt;=$B$17,$B$21,MATCH(H1114,Aux_CAV!$A$2:$A$121,1))))</f>
        <v>6</v>
      </c>
      <c r="AB1114" s="18" t="n">
        <f aca="false">IF(D1114="","",IF(L1114&lt;=$B$16,1,IF(L1114&gt;=$B$17,$B$21,MATCH(L1114,Aux_CAV!$A$2:$A$121,1))))</f>
        <v>6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0.0223888180385375</v>
      </c>
      <c r="E1115" s="16" t="n">
        <f aca="false">IF(D1115="","",D1115*$B$15)</f>
        <v>0.0580318163558892</v>
      </c>
      <c r="F1115" s="16" t="n">
        <f aca="false" t="array" ref="F1115:F1115">IF(D1115="","",IFERROR(INDEX(Dados_Evap!$C$2:$N$15,MATCH($B$9,Dados_Evap!$A$2:$A$15,0),C1115),0))</f>
        <v>206</v>
      </c>
      <c r="G1115" s="16" t="n">
        <f aca="false">IF(F1115="","",F1115/1000)</f>
        <v>0.206</v>
      </c>
      <c r="H1115" s="16" t="n">
        <f aca="false">IF(D1115="","",MAX(0,MIN($B$8,IFERROR(LOOKUP(2,1/($U$24:U1114&lt;&gt;""),$U$24:U1114),$B$11))))</f>
        <v>15.1078829972513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1.0949414195714</v>
      </c>
      <c r="J1115" s="16" t="n">
        <f aca="false">IF(D1115="","",$B$12)</f>
        <v>0.25</v>
      </c>
      <c r="K1115" s="16" t="n">
        <f aca="false">IF(J1115="","",J1115*$B$15)</f>
        <v>0.648</v>
      </c>
      <c r="L1115" s="16" t="n">
        <f aca="false">IF(D1115="","",H1115+E1115-K1115-G1115*I1115)</f>
        <v>14.2923568811755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1.0687335859735</v>
      </c>
      <c r="N1115" s="16" t="n">
        <f aca="false">IF(D1115="","",(I1115+M1115)/2)</f>
        <v>1.08183750277245</v>
      </c>
      <c r="O1115" s="16" t="n">
        <f aca="false">IF(D1115="","",G1115*N1115)</f>
        <v>0.222858525571125</v>
      </c>
      <c r="P1115" s="16" t="n">
        <f aca="false">IF(D1115="","",H1115+E1115-K1115-O1115)</f>
        <v>14.2950562880361</v>
      </c>
      <c r="Q1115" s="16" t="n">
        <f aca="false">IF(D1115="","",IF(P1115&gt;=0,K1115,MAX(0,K1115+P1115)))</f>
        <v>0.648</v>
      </c>
      <c r="R1115" s="16" t="n">
        <f aca="false">IF(D1115="","",Q1115/$B$15)</f>
        <v>0.25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14.2950562880361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67.1129403194183</v>
      </c>
      <c r="Z1115" s="18" t="n">
        <f aca="false">IF(D1115="","",MAX(0,IF(P1115&gt;=0,P1115,IF(K1115+P1115&gt;=0,0,P1115+K1115))))</f>
        <v>14.2950562880361</v>
      </c>
      <c r="AA1115" s="18" t="n">
        <f aca="false">IF(D1115="","",IF(H1115&lt;=$B$16,1,IF(H1115&gt;=$B$17,$B$21,MATCH(H1115,Aux_CAV!$A$2:$A$121,1))))</f>
        <v>6</v>
      </c>
      <c r="AB1115" s="18" t="n">
        <f aca="false">IF(D1115="","",IF(L1115&lt;=$B$16,1,IF(L1115&gt;=$B$17,$B$21,MATCH(L1115,Aux_CAV!$A$2:$A$121,1))))</f>
        <v>6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0.0899583028728382</v>
      </c>
      <c r="E1116" s="16" t="n">
        <f aca="false">IF(D1116="","",D1116*$B$15)</f>
        <v>0.233171921046397</v>
      </c>
      <c r="F1116" s="16" t="n">
        <f aca="false" t="array" ref="F1116:F1116">IF(D1116="","",IFERROR(INDEX(Dados_Evap!$C$2:$N$15,MATCH($B$9,Dados_Evap!$A$2:$A$15,0),C1116),0))</f>
        <v>165.6</v>
      </c>
      <c r="G1116" s="16" t="n">
        <f aca="false">IF(F1116="","",F1116/1000)</f>
        <v>0.1656</v>
      </c>
      <c r="H1116" s="16" t="n">
        <f aca="false">IF(D1116="","",MAX(0,MIN($B$8,IFERROR(LOOKUP(2,1/($U$24:U1115&lt;&gt;""),$U$24:U1115),$B$11))))</f>
        <v>14.2950562880361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1.06882033439814</v>
      </c>
      <c r="J1116" s="16" t="n">
        <f aca="false">IF(D1116="","",$B$12)</f>
        <v>0.25</v>
      </c>
      <c r="K1116" s="16" t="n">
        <f aca="false">IF(J1116="","",J1116*$B$15)</f>
        <v>0.648</v>
      </c>
      <c r="L1116" s="16" t="n">
        <f aca="false">IF(D1116="","",H1116+E1116-K1116-G1116*I1116)</f>
        <v>13.7032315617062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1.04980139234216</v>
      </c>
      <c r="N1116" s="16" t="n">
        <f aca="false">IF(D1116="","",(I1116+M1116)/2)</f>
        <v>1.05931086337015</v>
      </c>
      <c r="O1116" s="16" t="n">
        <f aca="false">IF(D1116="","",G1116*N1116)</f>
        <v>0.175421878974097</v>
      </c>
      <c r="P1116" s="16" t="n">
        <f aca="false">IF(D1116="","",H1116+E1116-K1116-O1116)</f>
        <v>13.7048063301084</v>
      </c>
      <c r="Q1116" s="16" t="n">
        <f aca="false">IF(D1116="","",IF(P1116&gt;=0,K1116,MAX(0,K1116+P1116)))</f>
        <v>0.648</v>
      </c>
      <c r="R1116" s="16" t="n">
        <f aca="false">IF(D1116="","",Q1116/$B$15)</f>
        <v>0.25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13.7048063301084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64.3418137563774</v>
      </c>
      <c r="Z1116" s="18" t="n">
        <f aca="false">IF(D1116="","",MAX(0,IF(P1116&gt;=0,P1116,IF(K1116+P1116&gt;=0,0,P1116+K1116))))</f>
        <v>13.7048063301084</v>
      </c>
      <c r="AA1116" s="18" t="n">
        <f aca="false">IF(D1116="","",IF(H1116&lt;=$B$16,1,IF(H1116&gt;=$B$17,$B$21,MATCH(H1116,Aux_CAV!$A$2:$A$121,1))))</f>
        <v>6</v>
      </c>
      <c r="AB1116" s="18" t="n">
        <f aca="false">IF(D1116="","",IF(L1116&lt;=$B$16,1,IF(L1116&gt;=$B$17,$B$21,MATCH(L1116,Aux_CAV!$A$2:$A$121,1))))</f>
        <v>6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0.133127230502632</v>
      </c>
      <c r="E1117" s="16" t="n">
        <f aca="false">IF(D1117="","",D1117*$B$15)</f>
        <v>0.345065781462822</v>
      </c>
      <c r="F1117" s="16" t="n">
        <f aca="false" t="array" ref="F1117:F1117">IF(D1117="","",IFERROR(INDEX(Dados_Evap!$C$2:$N$15,MATCH($B$9,Dados_Evap!$A$2:$A$15,0),C1117),0))</f>
        <v>124.9</v>
      </c>
      <c r="G1117" s="16" t="n">
        <f aca="false">IF(F1117="","",F1117/1000)</f>
        <v>0.1249</v>
      </c>
      <c r="H1117" s="16" t="n">
        <f aca="false">IF(D1117="","",MAX(0,MIN($B$8,IFERROR(LOOKUP(2,1/($U$24:U1116&lt;&gt;""),$U$24:U1116),$B$11))))</f>
        <v>13.7048063301084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1.04985199926624</v>
      </c>
      <c r="J1117" s="16" t="n">
        <f aca="false">IF(D1117="","",$B$12)</f>
        <v>0.25</v>
      </c>
      <c r="K1117" s="16" t="n">
        <f aca="false">IF(J1117="","",J1117*$B$15)</f>
        <v>0.648</v>
      </c>
      <c r="L1117" s="16" t="n">
        <f aca="false">IF(D1117="","",H1117+E1117-K1117-G1117*I1117)</f>
        <v>13.2707455968629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1.03590297759295</v>
      </c>
      <c r="N1117" s="16" t="n">
        <f aca="false">IF(D1117="","",(I1117+M1117)/2)</f>
        <v>1.04287748842959</v>
      </c>
      <c r="O1117" s="16" t="n">
        <f aca="false">IF(D1117="","",G1117*N1117)</f>
        <v>0.130255398304856</v>
      </c>
      <c r="P1117" s="16" t="n">
        <f aca="false">IF(D1117="","",H1117+E1117-K1117-O1117)</f>
        <v>13.2716167132664</v>
      </c>
      <c r="Q1117" s="16" t="n">
        <f aca="false">IF(D1117="","",IF(P1117&gt;=0,K1117,MAX(0,K1117+P1117)))</f>
        <v>0.648</v>
      </c>
      <c r="R1117" s="16" t="n">
        <f aca="false">IF(D1117="","",Q1117/$B$15)</f>
        <v>0.25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13.2716167132664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62.3080596866965</v>
      </c>
      <c r="Z1117" s="18" t="n">
        <f aca="false">IF(D1117="","",MAX(0,IF(P1117&gt;=0,P1117,IF(K1117+P1117&gt;=0,0,P1117+K1117))))</f>
        <v>13.2716167132664</v>
      </c>
      <c r="AA1117" s="18" t="n">
        <f aca="false">IF(D1117="","",IF(H1117&lt;=$B$16,1,IF(H1117&gt;=$B$17,$B$21,MATCH(H1117,Aux_CAV!$A$2:$A$121,1))))</f>
        <v>6</v>
      </c>
      <c r="AB1117" s="18" t="n">
        <f aca="false">IF(D1117="","",IF(L1117&lt;=$B$16,1,IF(L1117&gt;=$B$17,$B$21,MATCH(L1117,Aux_CAV!$A$2:$A$121,1))))</f>
        <v>6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0.377337593739597</v>
      </c>
      <c r="E1118" s="16" t="n">
        <f aca="false">IF(D1118="","",D1118*$B$15)</f>
        <v>0.978059042973036</v>
      </c>
      <c r="F1118" s="16" t="n">
        <f aca="false" t="array" ref="F1118:F1118">IF(D1118="","",IFERROR(INDEX(Dados_Evap!$C$2:$N$15,MATCH($B$9,Dados_Evap!$A$2:$A$15,0),C1118),0))</f>
        <v>88.2</v>
      </c>
      <c r="G1118" s="16" t="n">
        <f aca="false">IF(F1118="","",F1118/1000)</f>
        <v>0.0882</v>
      </c>
      <c r="H1118" s="16" t="n">
        <f aca="false">IF(D1118="","",MAX(0,MIN($B$8,IFERROR(LOOKUP(2,1/($U$24:U1117&lt;&gt;""),$U$24:U1117),$B$11))))</f>
        <v>13.2716167132664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1.03593097188191</v>
      </c>
      <c r="J1118" s="16" t="n">
        <f aca="false">IF(D1118="","",$B$12)</f>
        <v>0.25</v>
      </c>
      <c r="K1118" s="16" t="n">
        <f aca="false">IF(J1118="","",J1118*$B$15)</f>
        <v>0.648</v>
      </c>
      <c r="L1118" s="16" t="n">
        <f aca="false">IF(D1118="","",H1118+E1118-K1118-G1118*I1118)</f>
        <v>13.5103066445194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1.0436015367804</v>
      </c>
      <c r="N1118" s="16" t="n">
        <f aca="false">IF(D1118="","",(I1118+M1118)/2)</f>
        <v>1.03976625433115</v>
      </c>
      <c r="O1118" s="16" t="n">
        <f aca="false">IF(D1118="","",G1118*N1118)</f>
        <v>0.0917073836320075</v>
      </c>
      <c r="P1118" s="16" t="n">
        <f aca="false">IF(D1118="","",H1118+E1118-K1118-O1118)</f>
        <v>13.5099683726074</v>
      </c>
      <c r="Q1118" s="16" t="n">
        <f aca="false">IF(D1118="","",IF(P1118&gt;=0,K1118,MAX(0,K1118+P1118)))</f>
        <v>0.648</v>
      </c>
      <c r="R1118" s="16" t="n">
        <f aca="false">IF(D1118="","",Q1118/$B$15)</f>
        <v>0.25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13.5099683726074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63.427081561537</v>
      </c>
      <c r="Z1118" s="18" t="n">
        <f aca="false">IF(D1118="","",MAX(0,IF(P1118&gt;=0,P1118,IF(K1118+P1118&gt;=0,0,P1118+K1118))))</f>
        <v>13.5099683726074</v>
      </c>
      <c r="AA1118" s="18" t="n">
        <f aca="false">IF(D1118="","",IF(H1118&lt;=$B$16,1,IF(H1118&gt;=$B$17,$B$21,MATCH(H1118,Aux_CAV!$A$2:$A$121,1))))</f>
        <v>6</v>
      </c>
      <c r="AB1118" s="18" t="n">
        <f aca="false">IF(D1118="","",IF(L1118&lt;=$B$16,1,IF(L1118&gt;=$B$17,$B$21,MATCH(L1118,Aux_CAV!$A$2:$A$121,1))))</f>
        <v>6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1.16098323654899</v>
      </c>
      <c r="E1119" s="16" t="n">
        <f aca="false">IF(D1119="","",D1119*$B$15)</f>
        <v>3.00926854913498</v>
      </c>
      <c r="F1119" s="16" t="n">
        <f aca="false" t="array" ref="F1119:F1119">IF(D1119="","",IFERROR(INDEX(Dados_Evap!$C$2:$N$15,MATCH($B$9,Dados_Evap!$A$2:$A$15,0),C1119),0))</f>
        <v>88.2</v>
      </c>
      <c r="G1119" s="16" t="n">
        <f aca="false">IF(F1119="","",F1119/1000)</f>
        <v>0.0882</v>
      </c>
      <c r="H1119" s="16" t="n">
        <f aca="false">IF(D1119="","",MAX(0,MIN($B$8,IFERROR(LOOKUP(2,1/($U$24:U1118&lt;&gt;""),$U$24:U1118),$B$11))))</f>
        <v>13.5099683726074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1.04359066603842</v>
      </c>
      <c r="J1119" s="16" t="n">
        <f aca="false">IF(D1119="","",$B$12)</f>
        <v>0.25</v>
      </c>
      <c r="K1119" s="16" t="n">
        <f aca="false">IF(J1119="","",J1119*$B$15)</f>
        <v>0.648</v>
      </c>
      <c r="L1119" s="16" t="n">
        <f aca="false">IF(D1119="","",H1119+E1119-K1119-G1119*I1119)</f>
        <v>15.7791922249978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1.11651468397913</v>
      </c>
      <c r="N1119" s="16" t="n">
        <f aca="false">IF(D1119="","",(I1119+M1119)/2)</f>
        <v>1.08005267500878</v>
      </c>
      <c r="O1119" s="16" t="n">
        <f aca="false">IF(D1119="","",G1119*N1119)</f>
        <v>0.0952606459357743</v>
      </c>
      <c r="P1119" s="16" t="n">
        <f aca="false">IF(D1119="","",H1119+E1119-K1119-O1119)</f>
        <v>15.7759762758066</v>
      </c>
      <c r="Q1119" s="16" t="n">
        <f aca="false">IF(D1119="","",IF(P1119&gt;=0,K1119,MAX(0,K1119+P1119)))</f>
        <v>0.648</v>
      </c>
      <c r="R1119" s="16" t="n">
        <f aca="false">IF(D1119="","",Q1119/$B$15)</f>
        <v>0.25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15.7759762758066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74.0656163183408</v>
      </c>
      <c r="Z1119" s="18" t="n">
        <f aca="false">IF(D1119="","",MAX(0,IF(P1119&gt;=0,P1119,IF(K1119+P1119&gt;=0,0,P1119+K1119))))</f>
        <v>15.7759762758066</v>
      </c>
      <c r="AA1119" s="18" t="n">
        <f aca="false">IF(D1119="","",IF(H1119&lt;=$B$16,1,IF(H1119&gt;=$B$17,$B$21,MATCH(H1119,Aux_CAV!$A$2:$A$121,1))))</f>
        <v>6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0.161534453991477</v>
      </c>
      <c r="E1120" s="16" t="n">
        <f aca="false">IF(D1120="","",D1120*$B$15)</f>
        <v>0.418697304745908</v>
      </c>
      <c r="F1120" s="16" t="n">
        <f aca="false" t="array" ref="F1120:F1120">IF(D1120="","",IFERROR(INDEX(Dados_Evap!$C$2:$N$15,MATCH($B$9,Dados_Evap!$A$2:$A$15,0),C1120),0))</f>
        <v>83.9</v>
      </c>
      <c r="G1120" s="16" t="n">
        <f aca="false">IF(F1120="","",F1120/1000)</f>
        <v>0.0839</v>
      </c>
      <c r="H1120" s="16" t="n">
        <f aca="false">IF(D1120="","",MAX(0,MIN($B$8,IFERROR(LOOKUP(2,1/($U$24:U1119&lt;&gt;""),$U$24:U1119),$B$11))))</f>
        <v>15.7759762758066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1.11641133589549</v>
      </c>
      <c r="J1120" s="16" t="n">
        <f aca="false">IF(D1120="","",$B$12)</f>
        <v>0.25</v>
      </c>
      <c r="K1120" s="16" t="n">
        <f aca="false">IF(J1120="","",J1120*$B$15)</f>
        <v>0.648</v>
      </c>
      <c r="L1120" s="16" t="n">
        <f aca="false">IF(D1120="","",H1120+E1120-K1120-G1120*I1120)</f>
        <v>15.4530066694709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1.10603235043668</v>
      </c>
      <c r="N1120" s="16" t="n">
        <f aca="false">IF(D1120="","",(I1120+M1120)/2)</f>
        <v>1.11122184316608</v>
      </c>
      <c r="O1120" s="16" t="n">
        <f aca="false">IF(D1120="","",G1120*N1120)</f>
        <v>0.0932315126416345</v>
      </c>
      <c r="P1120" s="16" t="n">
        <f aca="false">IF(D1120="","",H1120+E1120-K1120-O1120)</f>
        <v>15.4534420679109</v>
      </c>
      <c r="Q1120" s="16" t="n">
        <f aca="false">IF(D1120="","",IF(P1120&gt;=0,K1120,MAX(0,K1120+P1120)))</f>
        <v>0.648</v>
      </c>
      <c r="R1120" s="16" t="n">
        <f aca="false">IF(D1120="","",Q1120/$B$15)</f>
        <v>0.25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15.4534420679109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72.5513712108491</v>
      </c>
      <c r="Z1120" s="18" t="n">
        <f aca="false">IF(D1120="","",MAX(0,IF(P1120&gt;=0,P1120,IF(K1120+P1120&gt;=0,0,P1120+K1120))))</f>
        <v>15.4534420679109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6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0.177449812328613</v>
      </c>
      <c r="E1121" s="16" t="n">
        <f aca="false">IF(D1121="","",D1121*$B$15)</f>
        <v>0.459949913555765</v>
      </c>
      <c r="F1121" s="16" t="n">
        <f aca="false" t="array" ref="F1121:F1121">IF(D1121="","",IFERROR(INDEX(Dados_Evap!$C$2:$N$15,MATCH($B$9,Dados_Evap!$A$2:$A$15,0),C1121),0))</f>
        <v>104.7</v>
      </c>
      <c r="G1121" s="16" t="n">
        <f aca="false">IF(F1121="","",F1121/1000)</f>
        <v>0.1047</v>
      </c>
      <c r="H1121" s="16" t="n">
        <f aca="false">IF(D1121="","",MAX(0,MIN($B$8,IFERROR(LOOKUP(2,1/($U$24:U1120&lt;&gt;""),$U$24:U1120),$B$11))))</f>
        <v>15.4534420679109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1.10604634244704</v>
      </c>
      <c r="J1121" s="16" t="n">
        <f aca="false">IF(D1121="","",$B$12)</f>
        <v>0.25</v>
      </c>
      <c r="K1121" s="16" t="n">
        <f aca="false">IF(J1121="","",J1121*$B$15)</f>
        <v>0.648</v>
      </c>
      <c r="L1121" s="16" t="n">
        <f aca="false">IF(D1121="","",H1121+E1121-K1121-G1121*I1121)</f>
        <v>15.1495889294124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1.09628168582233</v>
      </c>
      <c r="N1121" s="16" t="n">
        <f aca="false">IF(D1121="","",(I1121+M1121)/2)</f>
        <v>1.10116401413468</v>
      </c>
      <c r="O1121" s="16" t="n">
        <f aca="false">IF(D1121="","",G1121*N1121)</f>
        <v>0.115291872279901</v>
      </c>
      <c r="P1121" s="16" t="n">
        <f aca="false">IF(D1121="","",H1121+E1121-K1121-O1121)</f>
        <v>15.1501001091867</v>
      </c>
      <c r="Q1121" s="16" t="n">
        <f aca="false">IF(D1121="","",IF(P1121&gt;=0,K1121,MAX(0,K1121+P1121)))</f>
        <v>0.648</v>
      </c>
      <c r="R1121" s="16" t="n">
        <f aca="false">IF(D1121="","",Q1121/$B$15)</f>
        <v>0.25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15.1501001091867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71.1272305595621</v>
      </c>
      <c r="Z1121" s="18" t="n">
        <f aca="false">IF(D1121="","",MAX(0,IF(P1121&gt;=0,P1121,IF(K1121+P1121&gt;=0,0,P1121+K1121))))</f>
        <v>15.1501001091867</v>
      </c>
      <c r="AA1121" s="18" t="n">
        <f aca="false">IF(D1121="","",IF(H1121&lt;=$B$16,1,IF(H1121&gt;=$B$17,$B$21,MATCH(H1121,Aux_CAV!$A$2:$A$121,1))))</f>
        <v>6</v>
      </c>
      <c r="AB1121" s="18" t="n">
        <f aca="false">IF(D1121="","",IF(L1121&lt;=$B$16,1,IF(L1121&gt;=$B$17,$B$21,MATCH(L1121,Aux_CAV!$A$2:$A$121,1))))</f>
        <v>6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0.0896233693163659</v>
      </c>
      <c r="E1122" s="16" t="n">
        <f aca="false">IF(D1122="","",D1122*$B$15)</f>
        <v>0.23230377326802</v>
      </c>
      <c r="F1122" s="16" t="n">
        <f aca="false" t="array" ref="F1122:F1122">IF(D1122="","",IFERROR(INDEX(Dados_Evap!$C$2:$N$15,MATCH($B$9,Dados_Evap!$A$2:$A$15,0),C1122),0))</f>
        <v>145.2</v>
      </c>
      <c r="G1122" s="16" t="n">
        <f aca="false">IF(F1122="","",F1122/1000)</f>
        <v>0.1452</v>
      </c>
      <c r="H1122" s="16" t="n">
        <f aca="false">IF(D1122="","",MAX(0,MIN($B$8,IFERROR(LOOKUP(2,1/($U$24:U1121&lt;&gt;""),$U$24:U1121),$B$11))))</f>
        <v>15.1501001091867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1.09629811314967</v>
      </c>
      <c r="J1122" s="16" t="n">
        <f aca="false">IF(D1122="","",$B$12)</f>
        <v>0.25</v>
      </c>
      <c r="K1122" s="16" t="n">
        <f aca="false">IF(J1122="","",J1122*$B$15)</f>
        <v>0.648</v>
      </c>
      <c r="L1122" s="16" t="n">
        <f aca="false">IF(D1122="","",H1122+E1122-K1122-G1122*I1122)</f>
        <v>14.5752213964254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1.07782374997964</v>
      </c>
      <c r="N1122" s="16" t="n">
        <f aca="false">IF(D1122="","",(I1122+M1122)/2)</f>
        <v>1.08706093156466</v>
      </c>
      <c r="O1122" s="16" t="n">
        <f aca="false">IF(D1122="","",G1122*N1122)</f>
        <v>0.157841247263188</v>
      </c>
      <c r="P1122" s="16" t="n">
        <f aca="false">IF(D1122="","",H1122+E1122-K1122-O1122)</f>
        <v>14.5765626351916</v>
      </c>
      <c r="Q1122" s="16" t="n">
        <f aca="false">IF(D1122="","",IF(P1122&gt;=0,K1122,MAX(0,K1122+P1122)))</f>
        <v>0.648</v>
      </c>
      <c r="R1122" s="16" t="n">
        <f aca="false">IF(D1122="","",Q1122/$B$15)</f>
        <v>0.25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14.5765626351916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68.4345663624017</v>
      </c>
      <c r="Z1122" s="18" t="n">
        <f aca="false">IF(D1122="","",MAX(0,IF(P1122&gt;=0,P1122,IF(K1122+P1122&gt;=0,0,P1122+K1122))))</f>
        <v>14.5765626351916</v>
      </c>
      <c r="AA1122" s="18" t="n">
        <f aca="false">IF(D1122="","",IF(H1122&lt;=$B$16,1,IF(H1122&gt;=$B$17,$B$21,MATCH(H1122,Aux_CAV!$A$2:$A$121,1))))</f>
        <v>6</v>
      </c>
      <c r="AB1122" s="18" t="n">
        <f aca="false">IF(D1122="","",IF(L1122&lt;=$B$16,1,IF(L1122&gt;=$B$17,$B$21,MATCH(L1122,Aux_CAV!$A$2:$A$121,1))))</f>
        <v>6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0.0426234754223006</v>
      </c>
      <c r="E1123" s="16" t="n">
        <f aca="false">IF(D1123="","",D1123*$B$15)</f>
        <v>0.110480048294603</v>
      </c>
      <c r="F1123" s="16" t="n">
        <f aca="false" t="array" ref="F1123:F1123">IF(D1123="","",IFERROR(INDEX(Dados_Evap!$C$2:$N$15,MATCH($B$9,Dados_Evap!$A$2:$A$15,0),C1123),0))</f>
        <v>180.9</v>
      </c>
      <c r="G1123" s="16" t="n">
        <f aca="false">IF(F1123="","",F1123/1000)</f>
        <v>0.1809</v>
      </c>
      <c r="H1123" s="16" t="n">
        <f aca="false">IF(D1123="","",MAX(0,MIN($B$8,IFERROR(LOOKUP(2,1/($U$24:U1122&lt;&gt;""),$U$24:U1122),$B$11))))</f>
        <v>14.5765626351916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1.07786685217062</v>
      </c>
      <c r="J1123" s="16" t="n">
        <f aca="false">IF(D1123="","",$B$12)</f>
        <v>0.25</v>
      </c>
      <c r="K1123" s="16" t="n">
        <f aca="false">IF(J1123="","",J1123*$B$15)</f>
        <v>0.648</v>
      </c>
      <c r="L1123" s="16" t="n">
        <f aca="false">IF(D1123="","",H1123+E1123-K1123-G1123*I1123)</f>
        <v>13.8440565699285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1.05432695971415</v>
      </c>
      <c r="N1123" s="16" t="n">
        <f aca="false">IF(D1123="","",(I1123+M1123)/2)</f>
        <v>1.06609690594238</v>
      </c>
      <c r="O1123" s="16" t="n">
        <f aca="false">IF(D1123="","",G1123*N1123)</f>
        <v>0.192856930284977</v>
      </c>
      <c r="P1123" s="16" t="n">
        <f aca="false">IF(D1123="","",H1123+E1123-K1123-O1123)</f>
        <v>13.8461857532012</v>
      </c>
      <c r="Q1123" s="16" t="n">
        <f aca="false">IF(D1123="","",IF(P1123&gt;=0,K1123,MAX(0,K1123+P1123)))</f>
        <v>0.648</v>
      </c>
      <c r="R1123" s="16" t="n">
        <f aca="false">IF(D1123="","",Q1123/$B$15)</f>
        <v>0.25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13.8461857532012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65.0055669164375</v>
      </c>
      <c r="Z1123" s="18" t="n">
        <f aca="false">IF(D1123="","",MAX(0,IF(P1123&gt;=0,P1123,IF(K1123+P1123&gt;=0,0,P1123+K1123))))</f>
        <v>13.8461857532012</v>
      </c>
      <c r="AA1123" s="18" t="n">
        <f aca="false">IF(D1123="","",IF(H1123&lt;=$B$16,1,IF(H1123&gt;=$B$17,$B$21,MATCH(H1123,Aux_CAV!$A$2:$A$121,1))))</f>
        <v>6</v>
      </c>
      <c r="AB1123" s="18" t="n">
        <f aca="false">IF(D1123="","",IF(L1123&lt;=$B$16,1,IF(L1123&gt;=$B$17,$B$21,MATCH(L1123,Aux_CAV!$A$2:$A$121,1))))</f>
        <v>6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0.0305492243168866</v>
      </c>
      <c r="E1124" s="16" t="n">
        <f aca="false">IF(D1124="","",D1124*$B$15)</f>
        <v>0.0791835894293701</v>
      </c>
      <c r="F1124" s="16" t="n">
        <f aca="false" t="array" ref="F1124:F1124">IF(D1124="","",IFERROR(INDEX(Dados_Evap!$C$2:$N$15,MATCH($B$9,Dados_Evap!$A$2:$A$15,0),C1124),0))</f>
        <v>208.9</v>
      </c>
      <c r="G1124" s="16" t="n">
        <f aca="false">IF(F1124="","",F1124/1000)</f>
        <v>0.2089</v>
      </c>
      <c r="H1124" s="16" t="n">
        <f aca="false">IF(D1124="","",MAX(0,MIN($B$8,IFERROR(LOOKUP(2,1/($U$24:U1123&lt;&gt;""),$U$24:U1123),$B$11))))</f>
        <v>13.8461857532012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1.0543953833732</v>
      </c>
      <c r="J1124" s="16" t="n">
        <f aca="false">IF(D1124="","",$B$12)</f>
        <v>0.25</v>
      </c>
      <c r="K1124" s="16" t="n">
        <f aca="false">IF(J1124="","",J1124*$B$15)</f>
        <v>0.648</v>
      </c>
      <c r="L1124" s="16" t="n">
        <f aca="false">IF(D1124="","",H1124+E1124-K1124-G1124*I1124)</f>
        <v>13.0571061470439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1.02903743761767</v>
      </c>
      <c r="N1124" s="16" t="n">
        <f aca="false">IF(D1124="","",(I1124+M1124)/2)</f>
        <v>1.04171641049543</v>
      </c>
      <c r="O1124" s="16" t="n">
        <f aca="false">IF(D1124="","",G1124*N1124)</f>
        <v>0.217614558152496</v>
      </c>
      <c r="P1124" s="16" t="n">
        <f aca="false">IF(D1124="","",H1124+E1124-K1124-O1124)</f>
        <v>13.0597547844781</v>
      </c>
      <c r="Q1124" s="16" t="n">
        <f aca="false">IF(D1124="","",IF(P1124&gt;=0,K1124,MAX(0,K1124+P1124)))</f>
        <v>0.648</v>
      </c>
      <c r="R1124" s="16" t="n">
        <f aca="false">IF(D1124="","",Q1124/$B$15)</f>
        <v>0.25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13.0597547844781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61.3134027440285</v>
      </c>
      <c r="Z1124" s="18" t="n">
        <f aca="false">IF(D1124="","",MAX(0,IF(P1124&gt;=0,P1124,IF(K1124+P1124&gt;=0,0,P1124+K1124))))</f>
        <v>13.0597547844781</v>
      </c>
      <c r="AA1124" s="18" t="n">
        <f aca="false">IF(D1124="","",IF(H1124&lt;=$B$16,1,IF(H1124&gt;=$B$17,$B$21,MATCH(H1124,Aux_CAV!$A$2:$A$121,1))))</f>
        <v>6</v>
      </c>
      <c r="AB1124" s="18" t="n">
        <f aca="false">IF(D1124="","",IF(L1124&lt;=$B$16,1,IF(L1124&gt;=$B$17,$B$21,MATCH(L1124,Aux_CAV!$A$2:$A$121,1))))</f>
        <v>6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0.016235070336132</v>
      </c>
      <c r="E1125" s="16" t="n">
        <f aca="false">IF(D1125="","",D1125*$B$15)</f>
        <v>0.0420813023112542</v>
      </c>
      <c r="F1125" s="16" t="n">
        <f aca="false" t="array" ref="F1125:F1125">IF(D1125="","",IFERROR(INDEX(Dados_Evap!$C$2:$N$15,MATCH($B$9,Dados_Evap!$A$2:$A$15,0),C1125),0))</f>
        <v>235.9</v>
      </c>
      <c r="G1125" s="16" t="n">
        <f aca="false">IF(F1125="","",F1125/1000)</f>
        <v>0.2359</v>
      </c>
      <c r="H1125" s="16" t="n">
        <f aca="false">IF(D1125="","",MAX(0,MIN($B$8,IFERROR(LOOKUP(2,1/($U$24:U1124&lt;&gt;""),$U$24:U1124),$B$11))))</f>
        <v>13.0597547844781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1.02912255451064</v>
      </c>
      <c r="J1125" s="16" t="n">
        <f aca="false">IF(D1125="","",$B$12)</f>
        <v>0.25</v>
      </c>
      <c r="K1125" s="16" t="n">
        <f aca="false">IF(J1125="","",J1125*$B$15)</f>
        <v>0.648</v>
      </c>
      <c r="L1125" s="16" t="n">
        <f aca="false">IF(D1125="","",H1125+E1125-K1125-G1125*I1125)</f>
        <v>12.2110660761803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1.0018490043385</v>
      </c>
      <c r="N1125" s="16" t="n">
        <f aca="false">IF(D1125="","",(I1125+M1125)/2)</f>
        <v>1.01548577942457</v>
      </c>
      <c r="O1125" s="16" t="n">
        <f aca="false">IF(D1125="","",G1125*N1125)</f>
        <v>0.239553095366255</v>
      </c>
      <c r="P1125" s="16" t="n">
        <f aca="false">IF(D1125="","",H1125+E1125-K1125-O1125)</f>
        <v>12.2142829914231</v>
      </c>
      <c r="Q1125" s="16" t="n">
        <f aca="false">IF(D1125="","",IF(P1125&gt;=0,K1125,MAX(0,K1125+P1125)))</f>
        <v>0.648</v>
      </c>
      <c r="R1125" s="16" t="n">
        <f aca="false">IF(D1125="","",Q1125/$B$15)</f>
        <v>0.25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12.2142829914231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57.3440516029252</v>
      </c>
      <c r="Z1125" s="18" t="n">
        <f aca="false">IF(D1125="","",MAX(0,IF(P1125&gt;=0,P1125,IF(K1125+P1125&gt;=0,0,P1125+K1125))))</f>
        <v>12.2142829914231</v>
      </c>
      <c r="AA1125" s="18" t="n">
        <f aca="false">IF(D1125="","",IF(H1125&lt;=$B$16,1,IF(H1125&gt;=$B$17,$B$21,MATCH(H1125,Aux_CAV!$A$2:$A$121,1))))</f>
        <v>6</v>
      </c>
      <c r="AB1125" s="18" t="n">
        <f aca="false">IF(D1125="","",IF(L1125&lt;=$B$16,1,IF(L1125&gt;=$B$17,$B$21,MATCH(L1125,Aux_CAV!$A$2:$A$121,1))))</f>
        <v>6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0.00911111469074521</v>
      </c>
      <c r="E1126" s="16" t="n">
        <f aca="false">IF(D1126="","",D1126*$B$15)</f>
        <v>0.0236160092784116</v>
      </c>
      <c r="F1126" s="16" t="n">
        <f aca="false" t="array" ref="F1126:F1126">IF(D1126="","",IFERROR(INDEX(Dados_Evap!$C$2:$N$15,MATCH($B$9,Dados_Evap!$A$2:$A$15,0),C1126),0))</f>
        <v>225.9</v>
      </c>
      <c r="G1126" s="16" t="n">
        <f aca="false">IF(F1126="","",F1126/1000)</f>
        <v>0.2259</v>
      </c>
      <c r="H1126" s="16" t="n">
        <f aca="false">IF(D1126="","",MAX(0,MIN($B$8,IFERROR(LOOKUP(2,1/($U$24:U1125&lt;&gt;""),$U$24:U1125),$B$11))))</f>
        <v>12.2142829914231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1.00195238346728</v>
      </c>
      <c r="J1126" s="16" t="n">
        <f aca="false">IF(D1126="","",$B$12)</f>
        <v>0.25</v>
      </c>
      <c r="K1126" s="16" t="n">
        <f aca="false">IF(J1126="","",J1126*$B$15)</f>
        <v>0.648</v>
      </c>
      <c r="L1126" s="16" t="n">
        <f aca="false">IF(D1126="","",H1126+E1126-K1126-G1126*I1126)</f>
        <v>11.3635579572762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0.97461339371209</v>
      </c>
      <c r="N1126" s="16" t="n">
        <f aca="false">IF(D1126="","",(I1126+M1126)/2)</f>
        <v>0.988282888589686</v>
      </c>
      <c r="O1126" s="16" t="n">
        <f aca="false">IF(D1126="","",G1126*N1126)</f>
        <v>0.22325310453241</v>
      </c>
      <c r="P1126" s="16" t="n">
        <f aca="false">IF(D1126="","",H1126+E1126-K1126-O1126)</f>
        <v>11.3666458961691</v>
      </c>
      <c r="Q1126" s="16" t="n">
        <f aca="false">IF(D1126="","",IF(P1126&gt;=0,K1126,MAX(0,K1126+P1126)))</f>
        <v>0.648</v>
      </c>
      <c r="R1126" s="16" t="n">
        <f aca="false">IF(D1126="","",Q1126/$B$15)</f>
        <v>0.25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11.3666458961691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53.3645347237984</v>
      </c>
      <c r="Z1126" s="18" t="n">
        <f aca="false">IF(D1126="","",MAX(0,IF(P1126&gt;=0,P1126,IF(K1126+P1126&gt;=0,0,P1126+K1126))))</f>
        <v>11.3666458961691</v>
      </c>
      <c r="AA1126" s="18" t="n">
        <f aca="false">IF(D1126="","",IF(H1126&lt;=$B$16,1,IF(H1126&gt;=$B$17,$B$21,MATCH(H1126,Aux_CAV!$A$2:$A$121,1))))</f>
        <v>6</v>
      </c>
      <c r="AB1126" s="18" t="n">
        <f aca="false">IF(D1126="","",IF(L1126&lt;=$B$16,1,IF(L1126&gt;=$B$17,$B$21,MATCH(L1126,Aux_CAV!$A$2:$A$121,1))))</f>
        <v>6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0.00918895460782841</v>
      </c>
      <c r="E1127" s="16" t="n">
        <f aca="false">IF(D1127="","",D1127*$B$15)</f>
        <v>0.0238177703434912</v>
      </c>
      <c r="F1127" s="16" t="n">
        <f aca="false" t="array" ref="F1127:F1127">IF(D1127="","",IFERROR(INDEX(Dados_Evap!$C$2:$N$15,MATCH($B$9,Dados_Evap!$A$2:$A$15,0),C1127),0))</f>
        <v>206</v>
      </c>
      <c r="G1127" s="16" t="n">
        <f aca="false">IF(F1127="","",F1127/1000)</f>
        <v>0.206</v>
      </c>
      <c r="H1127" s="16" t="n">
        <f aca="false">IF(D1127="","",MAX(0,MIN($B$8,IFERROR(LOOKUP(2,1/($U$24:U1126&lt;&gt;""),$U$24:U1126),$B$11))))</f>
        <v>11.3666458961691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0.97471262804324</v>
      </c>
      <c r="J1127" s="16" t="n">
        <f aca="false">IF(D1127="","",$B$12)</f>
        <v>0.25</v>
      </c>
      <c r="K1127" s="16" t="n">
        <f aca="false">IF(J1127="","",J1127*$B$15)</f>
        <v>0.648</v>
      </c>
      <c r="L1127" s="16" t="n">
        <f aca="false">IF(D1127="","",H1127+E1127-K1127-G1127*I1127)</f>
        <v>10.5416728651356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0.947489143754502</v>
      </c>
      <c r="N1127" s="16" t="n">
        <f aca="false">IF(D1127="","",(I1127+M1127)/2)</f>
        <v>0.961100885898871</v>
      </c>
      <c r="O1127" s="16" t="n">
        <f aca="false">IF(D1127="","",G1127*N1127)</f>
        <v>0.197986782495167</v>
      </c>
      <c r="P1127" s="16" t="n">
        <f aca="false">IF(D1127="","",H1127+E1127-K1127-O1127)</f>
        <v>10.5444768840174</v>
      </c>
      <c r="Q1127" s="16" t="n">
        <f aca="false">IF(D1127="","",IF(P1127&gt;=0,K1127,MAX(0,K1127+P1127)))</f>
        <v>0.648</v>
      </c>
      <c r="R1127" s="16" t="n">
        <f aca="false">IF(D1127="","",Q1127/$B$15)</f>
        <v>0.25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10.5444768840174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49.5045863099408</v>
      </c>
      <c r="Z1127" s="18" t="n">
        <f aca="false">IF(D1127="","",MAX(0,IF(P1127&gt;=0,P1127,IF(K1127+P1127&gt;=0,0,P1127+K1127))))</f>
        <v>10.5444768840174</v>
      </c>
      <c r="AA1127" s="18" t="n">
        <f aca="false">IF(D1127="","",IF(H1127&lt;=$B$16,1,IF(H1127&gt;=$B$17,$B$21,MATCH(H1127,Aux_CAV!$A$2:$A$121,1))))</f>
        <v>6</v>
      </c>
      <c r="AB1127" s="18" t="n">
        <f aca="false">IF(D1127="","",IF(L1127&lt;=$B$16,1,IF(L1127&gt;=$B$17,$B$21,MATCH(L1127,Aux_CAV!$A$2:$A$121,1))))</f>
        <v>5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0.41503491714867</v>
      </c>
      <c r="E1128" s="16" t="n">
        <f aca="false">IF(D1128="","",D1128*$B$15)</f>
        <v>1.07577050524935</v>
      </c>
      <c r="F1128" s="16" t="n">
        <f aca="false" t="array" ref="F1128:F1128">IF(D1128="","",IFERROR(INDEX(Dados_Evap!$C$2:$N$15,MATCH($B$9,Dados_Evap!$A$2:$A$15,0),C1128),0))</f>
        <v>165.6</v>
      </c>
      <c r="G1128" s="16" t="n">
        <f aca="false">IF(F1128="","",F1128/1000)</f>
        <v>0.1656</v>
      </c>
      <c r="H1128" s="16" t="n">
        <f aca="false">IF(D1128="","",MAX(0,MIN($B$8,IFERROR(LOOKUP(2,1/($U$24:U1127&lt;&gt;""),$U$24:U1127),$B$11))))</f>
        <v>10.5444768840174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0.947582197478453</v>
      </c>
      <c r="J1128" s="16" t="n">
        <f aca="false">IF(D1128="","",$B$12)</f>
        <v>0.25</v>
      </c>
      <c r="K1128" s="16" t="n">
        <f aca="false">IF(J1128="","",J1128*$B$15)</f>
        <v>0.648</v>
      </c>
      <c r="L1128" s="16" t="n">
        <f aca="false">IF(D1128="","",H1128+E1128-K1128-G1128*I1128)</f>
        <v>10.8153277773643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0.956570612080674</v>
      </c>
      <c r="N1128" s="16" t="n">
        <f aca="false">IF(D1128="","",(I1128+M1128)/2)</f>
        <v>0.952076404779564</v>
      </c>
      <c r="O1128" s="16" t="n">
        <f aca="false">IF(D1128="","",G1128*N1128)</f>
        <v>0.157663852631496</v>
      </c>
      <c r="P1128" s="16" t="n">
        <f aca="false">IF(D1128="","",H1128+E1128-K1128-O1128)</f>
        <v>10.8145835366352</v>
      </c>
      <c r="Q1128" s="16" t="n">
        <f aca="false">IF(D1128="","",IF(P1128&gt;=0,K1128,MAX(0,K1128+P1128)))</f>
        <v>0.648</v>
      </c>
      <c r="R1128" s="16" t="n">
        <f aca="false">IF(D1128="","",Q1128/$B$15)</f>
        <v>0.25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10.8145835366352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50.7726926602594</v>
      </c>
      <c r="Z1128" s="18" t="n">
        <f aca="false">IF(D1128="","",MAX(0,IF(P1128&gt;=0,P1128,IF(K1128+P1128&gt;=0,0,P1128+K1128))))</f>
        <v>10.8145835366352</v>
      </c>
      <c r="AA1128" s="18" t="n">
        <f aca="false">IF(D1128="","",IF(H1128&lt;=$B$16,1,IF(H1128&gt;=$B$17,$B$21,MATCH(H1128,Aux_CAV!$A$2:$A$121,1))))</f>
        <v>5</v>
      </c>
      <c r="AB1128" s="18" t="n">
        <f aca="false">IF(D1128="","",IF(L1128&lt;=$B$16,1,IF(L1128&gt;=$B$17,$B$21,MATCH(L1128,Aux_CAV!$A$2:$A$121,1))))</f>
        <v>5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0.167348614928804</v>
      </c>
      <c r="E1129" s="16" t="n">
        <f aca="false">IF(D1129="","",D1129*$B$15)</f>
        <v>0.43376760989546</v>
      </c>
      <c r="F1129" s="16" t="n">
        <f aca="false" t="array" ref="F1129:F1129">IF(D1129="","",IFERROR(INDEX(Dados_Evap!$C$2:$N$15,MATCH($B$9,Dados_Evap!$A$2:$A$15,0),C1129),0))</f>
        <v>124.9</v>
      </c>
      <c r="G1129" s="16" t="n">
        <f aca="false">IF(F1129="","",F1129/1000)</f>
        <v>0.1249</v>
      </c>
      <c r="H1129" s="16" t="n">
        <f aca="false">IF(D1129="","",MAX(0,MIN($B$8,IFERROR(LOOKUP(2,1/($U$24:U1128&lt;&gt;""),$U$24:U1128),$B$11))))</f>
        <v>10.8145835366352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0.956545913826391</v>
      </c>
      <c r="J1129" s="16" t="n">
        <f aca="false">IF(D1129="","",$B$12)</f>
        <v>0.25</v>
      </c>
      <c r="K1129" s="16" t="n">
        <f aca="false">IF(J1129="","",J1129*$B$15)</f>
        <v>0.648</v>
      </c>
      <c r="L1129" s="16" t="n">
        <f aca="false">IF(D1129="","",H1129+E1129-K1129-G1129*I1129)</f>
        <v>10.4808785618938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0.945471633691166</v>
      </c>
      <c r="N1129" s="16" t="n">
        <f aca="false">IF(D1129="","",(I1129+M1129)/2)</f>
        <v>0.951008773758778</v>
      </c>
      <c r="O1129" s="16" t="n">
        <f aca="false">IF(D1129="","",G1129*N1129)</f>
        <v>0.118780995842471</v>
      </c>
      <c r="P1129" s="16" t="n">
        <f aca="false">IF(D1129="","",H1129+E1129-K1129-O1129)</f>
        <v>10.4815701506882</v>
      </c>
      <c r="Q1129" s="16" t="n">
        <f aca="false">IF(D1129="","",IF(P1129&gt;=0,K1129,MAX(0,K1129+P1129)))</f>
        <v>0.648</v>
      </c>
      <c r="R1129" s="16" t="n">
        <f aca="false">IF(D1129="","",Q1129/$B$15)</f>
        <v>0.25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10.4815701506882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49.2092495337476</v>
      </c>
      <c r="Z1129" s="18" t="n">
        <f aca="false">IF(D1129="","",MAX(0,IF(P1129&gt;=0,P1129,IF(K1129+P1129&gt;=0,0,P1129+K1129))))</f>
        <v>10.4815701506882</v>
      </c>
      <c r="AA1129" s="18" t="n">
        <f aca="false">IF(D1129="","",IF(H1129&lt;=$B$16,1,IF(H1129&gt;=$B$17,$B$21,MATCH(H1129,Aux_CAV!$A$2:$A$121,1))))</f>
        <v>5</v>
      </c>
      <c r="AB1129" s="18" t="n">
        <f aca="false">IF(D1129="","",IF(L1129&lt;=$B$16,1,IF(L1129&gt;=$B$17,$B$21,MATCH(L1129,Aux_CAV!$A$2:$A$121,1))))</f>
        <v>5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1.25189766180846</v>
      </c>
      <c r="E1130" s="16" t="n">
        <f aca="false">IF(D1130="","",D1130*$B$15)</f>
        <v>3.24491873940753</v>
      </c>
      <c r="F1130" s="16" t="n">
        <f aca="false" t="array" ref="F1130:F1130">IF(D1130="","",IFERROR(INDEX(Dados_Evap!$C$2:$N$15,MATCH($B$9,Dados_Evap!$A$2:$A$15,0),C1130),0))</f>
        <v>88.2</v>
      </c>
      <c r="G1130" s="16" t="n">
        <f aca="false">IF(F1130="","",F1130/1000)</f>
        <v>0.0882</v>
      </c>
      <c r="H1130" s="16" t="n">
        <f aca="false">IF(D1130="","",MAX(0,MIN($B$8,IFERROR(LOOKUP(2,1/($U$24:U1129&lt;&gt;""),$U$24:U1129),$B$11))))</f>
        <v>10.4815701506882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0.945494584646733</v>
      </c>
      <c r="J1130" s="16" t="n">
        <f aca="false">IF(D1130="","",$B$12)</f>
        <v>0.25</v>
      </c>
      <c r="K1130" s="16" t="n">
        <f aca="false">IF(J1130="","",J1130*$B$15)</f>
        <v>0.648</v>
      </c>
      <c r="L1130" s="16" t="n">
        <f aca="false">IF(D1130="","",H1130+E1130-K1130-G1130*I1130)</f>
        <v>12.9950962677299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1.02704468157166</v>
      </c>
      <c r="N1130" s="16" t="n">
        <f aca="false">IF(D1130="","",(I1130+M1130)/2)</f>
        <v>0.986269633109197</v>
      </c>
      <c r="O1130" s="16" t="n">
        <f aca="false">IF(D1130="","",G1130*N1130)</f>
        <v>0.0869889816402312</v>
      </c>
      <c r="P1130" s="16" t="n">
        <f aca="false">IF(D1130="","",H1130+E1130-K1130-O1130)</f>
        <v>12.9914999084555</v>
      </c>
      <c r="Q1130" s="16" t="n">
        <f aca="false">IF(D1130="","",IF(P1130&gt;=0,K1130,MAX(0,K1130+P1130)))</f>
        <v>0.648</v>
      </c>
      <c r="R1130" s="16" t="n">
        <f aca="false">IF(D1130="","",Q1130/$B$15)</f>
        <v>0.25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12.9914999084555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60.9929573166926</v>
      </c>
      <c r="Z1130" s="18" t="n">
        <f aca="false">IF(D1130="","",MAX(0,IF(P1130&gt;=0,P1130,IF(K1130+P1130&gt;=0,0,P1130+K1130))))</f>
        <v>12.9914999084555</v>
      </c>
      <c r="AA1130" s="18" t="n">
        <f aca="false">IF(D1130="","",IF(H1130&lt;=$B$16,1,IF(H1130&gt;=$B$17,$B$21,MATCH(H1130,Aux_CAV!$A$2:$A$121,1))))</f>
        <v>5</v>
      </c>
      <c r="AB1130" s="18" t="n">
        <f aca="false">IF(D1130="","",IF(L1130&lt;=$B$16,1,IF(L1130&gt;=$B$17,$B$21,MATCH(L1130,Aux_CAV!$A$2:$A$121,1))))</f>
        <v>6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0.974487515012174</v>
      </c>
      <c r="E1131" s="16" t="n">
        <f aca="false">IF(D1131="","",D1131*$B$15)</f>
        <v>2.52587163891156</v>
      </c>
      <c r="F1131" s="16" t="n">
        <f aca="false" t="array" ref="F1131:F1131">IF(D1131="","",IFERROR(INDEX(Dados_Evap!$C$2:$N$15,MATCH($B$9,Dados_Evap!$A$2:$A$15,0),C1131),0))</f>
        <v>88.2</v>
      </c>
      <c r="G1131" s="16" t="n">
        <f aca="false">IF(F1131="","",F1131/1000)</f>
        <v>0.0882</v>
      </c>
      <c r="H1131" s="16" t="n">
        <f aca="false">IF(D1131="","",MAX(0,MIN($B$8,IFERROR(LOOKUP(2,1/($U$24:U1130&lt;&gt;""),$U$24:U1130),$B$11))))</f>
        <v>12.9914999084555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1.02692910858931</v>
      </c>
      <c r="J1131" s="16" t="n">
        <f aca="false">IF(D1131="","",$B$12)</f>
        <v>0.25</v>
      </c>
      <c r="K1131" s="16" t="n">
        <f aca="false">IF(J1131="","",J1131*$B$15)</f>
        <v>0.648</v>
      </c>
      <c r="L1131" s="16" t="n">
        <f aca="false">IF(D1131="","",H1131+E1131-K1131-G1131*I1131)</f>
        <v>14.7787963999895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1.08436585784465</v>
      </c>
      <c r="N1131" s="16" t="n">
        <f aca="false">IF(D1131="","",(I1131+M1131)/2)</f>
        <v>1.05564748321698</v>
      </c>
      <c r="O1131" s="16" t="n">
        <f aca="false">IF(D1131="","",G1131*N1131)</f>
        <v>0.0931081080197377</v>
      </c>
      <c r="P1131" s="16" t="n">
        <f aca="false">IF(D1131="","",H1131+E1131-K1131-O1131)</f>
        <v>14.7762634393474</v>
      </c>
      <c r="Q1131" s="16" t="n">
        <f aca="false">IF(D1131="","",IF(P1131&gt;=0,K1131,MAX(0,K1131+P1131)))</f>
        <v>0.648</v>
      </c>
      <c r="R1131" s="16" t="n">
        <f aca="false">IF(D1131="","",Q1131/$B$15)</f>
        <v>0.25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14.7762634393474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69.372128823227</v>
      </c>
      <c r="Z1131" s="18" t="n">
        <f aca="false">IF(D1131="","",MAX(0,IF(P1131&gt;=0,P1131,IF(K1131+P1131&gt;=0,0,P1131+K1131))))</f>
        <v>14.7762634393474</v>
      </c>
      <c r="AA1131" s="18" t="n">
        <f aca="false">IF(D1131="","",IF(H1131&lt;=$B$16,1,IF(H1131&gt;=$B$17,$B$21,MATCH(H1131,Aux_CAV!$A$2:$A$121,1))))</f>
        <v>6</v>
      </c>
      <c r="AB1131" s="18" t="n">
        <f aca="false">IF(D1131="","",IF(L1131&lt;=$B$16,1,IF(L1131&gt;=$B$17,$B$21,MATCH(L1131,Aux_CAV!$A$2:$A$121,1))))</f>
        <v>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0.842107639517178</v>
      </c>
      <c r="E1132" s="16" t="n">
        <f aca="false">IF(D1132="","",D1132*$B$15)</f>
        <v>2.18274300162853</v>
      </c>
      <c r="F1132" s="16" t="n">
        <f aca="false" t="array" ref="F1132:F1132">IF(D1132="","",IFERROR(INDEX(Dados_Evap!$C$2:$N$15,MATCH($B$9,Dados_Evap!$A$2:$A$15,0),C1132),0))</f>
        <v>83.9</v>
      </c>
      <c r="G1132" s="16" t="n">
        <f aca="false">IF(F1132="","",F1132/1000)</f>
        <v>0.0839</v>
      </c>
      <c r="H1132" s="16" t="n">
        <f aca="false">IF(D1132="","",MAX(0,MIN($B$8,IFERROR(LOOKUP(2,1/($U$24:U1131&lt;&gt;""),$U$24:U1131),$B$11))))</f>
        <v>14.7762634393474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1.08428445835332</v>
      </c>
      <c r="J1132" s="16" t="n">
        <f aca="false">IF(D1132="","",$B$12)</f>
        <v>0.25</v>
      </c>
      <c r="K1132" s="16" t="n">
        <f aca="false">IF(J1132="","",J1132*$B$15)</f>
        <v>0.648</v>
      </c>
      <c r="L1132" s="16" t="n">
        <f aca="false">IF(D1132="","",H1132+E1132-K1132-G1132*I1132)</f>
        <v>16.22003497492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1.1306816532583</v>
      </c>
      <c r="N1132" s="16" t="n">
        <f aca="false">IF(D1132="","",(I1132+M1132)/2)</f>
        <v>1.10748305580581</v>
      </c>
      <c r="O1132" s="16" t="n">
        <f aca="false">IF(D1132="","",G1132*N1132)</f>
        <v>0.0929178283821073</v>
      </c>
      <c r="P1132" s="16" t="n">
        <f aca="false">IF(D1132="","",H1132+E1132-K1132-O1132)</f>
        <v>16.2180886125938</v>
      </c>
      <c r="Q1132" s="16" t="n">
        <f aca="false">IF(D1132="","",IF(P1132&gt;=0,K1132,MAX(0,K1132+P1132)))</f>
        <v>0.648</v>
      </c>
      <c r="R1132" s="16" t="n">
        <f aca="false">IF(D1132="","",Q1132/$B$15)</f>
        <v>0.25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16.2180886125938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76.1412610919895</v>
      </c>
      <c r="Z1132" s="18" t="n">
        <f aca="false">IF(D1132="","",MAX(0,IF(P1132&gt;=0,P1132,IF(K1132+P1132&gt;=0,0,P1132+K1132))))</f>
        <v>16.2180886125938</v>
      </c>
      <c r="AA1132" s="18" t="n">
        <f aca="false">IF(D1132="","",IF(H1132&lt;=$B$16,1,IF(H1132&gt;=$B$17,$B$21,MATCH(H1132,Aux_CAV!$A$2:$A$121,1))))</f>
        <v>6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0.38250360777897</v>
      </c>
      <c r="E1133" s="16" t="n">
        <f aca="false">IF(D1133="","",D1133*$B$15)</f>
        <v>0.99144935136309</v>
      </c>
      <c r="F1133" s="16" t="n">
        <f aca="false" t="array" ref="F1133:F1133">IF(D1133="","",IFERROR(INDEX(Dados_Evap!$C$2:$N$15,MATCH($B$9,Dados_Evap!$A$2:$A$15,0),C1133),0))</f>
        <v>104.7</v>
      </c>
      <c r="G1133" s="16" t="n">
        <f aca="false">IF(F1133="","",F1133/1000)</f>
        <v>0.1047</v>
      </c>
      <c r="H1133" s="16" t="n">
        <f aca="false">IF(D1133="","",MAX(0,MIN($B$8,IFERROR(LOOKUP(2,1/($U$24:U1132&lt;&gt;""),$U$24:U1132),$B$11))))</f>
        <v>16.2180886125938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1.13061910475254</v>
      </c>
      <c r="J1133" s="16" t="n">
        <f aca="false">IF(D1133="","",$B$12)</f>
        <v>0.25</v>
      </c>
      <c r="K1133" s="16" t="n">
        <f aca="false">IF(J1133="","",J1133*$B$15)</f>
        <v>0.648</v>
      </c>
      <c r="L1133" s="16" t="n">
        <f aca="false">IF(D1133="","",H1133+E1133-K1133-G1133*I1133)</f>
        <v>16.4431621436893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1.13785209157414</v>
      </c>
      <c r="N1133" s="16" t="n">
        <f aca="false">IF(D1133="","",(I1133+M1133)/2)</f>
        <v>1.13423559816334</v>
      </c>
      <c r="O1133" s="16" t="n">
        <f aca="false">IF(D1133="","",G1133*N1133)</f>
        <v>0.118754467127701</v>
      </c>
      <c r="P1133" s="16" t="n">
        <f aca="false">IF(D1133="","",H1133+E1133-K1133-O1133)</f>
        <v>16.4427834968292</v>
      </c>
      <c r="Q1133" s="16" t="n">
        <f aca="false">IF(D1133="","",IF(P1133&gt;=0,K1133,MAX(0,K1133+P1133)))</f>
        <v>0.648</v>
      </c>
      <c r="R1133" s="16" t="n">
        <f aca="false">IF(D1133="","",Q1133/$B$15)</f>
        <v>0.25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16.4427834968292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77.1961666517801</v>
      </c>
      <c r="Z1133" s="18" t="n">
        <f aca="false">IF(D1133="","",MAX(0,IF(P1133&gt;=0,P1133,IF(K1133+P1133&gt;=0,0,P1133+K1133))))</f>
        <v>16.4427834968292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0.343736759109554</v>
      </c>
      <c r="E1134" s="16" t="n">
        <f aca="false">IF(D1134="","",D1134*$B$15)</f>
        <v>0.890965679611964</v>
      </c>
      <c r="F1134" s="16" t="n">
        <f aca="false" t="array" ref="F1134:F1134">IF(D1134="","",IFERROR(INDEX(Dados_Evap!$C$2:$N$15,MATCH($B$9,Dados_Evap!$A$2:$A$15,0),C1134),0))</f>
        <v>145.2</v>
      </c>
      <c r="G1134" s="16" t="n">
        <f aca="false">IF(F1134="","",F1134/1000)</f>
        <v>0.1452</v>
      </c>
      <c r="H1134" s="16" t="n">
        <f aca="false">IF(D1134="","",MAX(0,MIN($B$8,IFERROR(LOOKUP(2,1/($U$24:U1133&lt;&gt;""),$U$24:U1133),$B$11))))</f>
        <v>16.4427834968292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1.13783992333856</v>
      </c>
      <c r="J1134" s="16" t="n">
        <f aca="false">IF(D1134="","",$B$12)</f>
        <v>0.25</v>
      </c>
      <c r="K1134" s="16" t="n">
        <f aca="false">IF(J1134="","",J1134*$B$15)</f>
        <v>0.648</v>
      </c>
      <c r="L1134" s="16" t="n">
        <f aca="false">IF(D1134="","",H1134+E1134-K1134-G1134*I1134)</f>
        <v>16.5205348195724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1.14019794024249</v>
      </c>
      <c r="N1134" s="16" t="n">
        <f aca="false">IF(D1134="","",(I1134+M1134)/2)</f>
        <v>1.13901893179052</v>
      </c>
      <c r="O1134" s="16" t="n">
        <f aca="false">IF(D1134="","",G1134*N1134)</f>
        <v>0.165385548895984</v>
      </c>
      <c r="P1134" s="16" t="n">
        <f aca="false">IF(D1134="","",H1134+E1134-K1134-O1134)</f>
        <v>16.5203636275451</v>
      </c>
      <c r="Q1134" s="16" t="n">
        <f aca="false">IF(D1134="","",IF(P1134&gt;=0,K1134,MAX(0,K1134+P1134)))</f>
        <v>0.648</v>
      </c>
      <c r="R1134" s="16" t="n">
        <f aca="false">IF(D1134="","",Q1134/$B$15)</f>
        <v>0.25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16.5203636275451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77.5603926175828</v>
      </c>
      <c r="Z1134" s="18" t="n">
        <f aca="false">IF(D1134="","",MAX(0,IF(P1134&gt;=0,P1134,IF(K1134+P1134&gt;=0,0,P1134+K1134))))</f>
        <v>16.5203636275451</v>
      </c>
      <c r="AA1134" s="18" t="n">
        <f aca="false">IF(D1134="","",IF(H1134&lt;=$B$16,1,IF(H1134&gt;=$B$17,$B$21,MATCH(H1134,Aux_CAV!$A$2:$A$121,1))))</f>
        <v>6</v>
      </c>
      <c r="AB1134" s="18" t="n">
        <f aca="false">IF(D1134="","",IF(L1134&lt;=$B$16,1,IF(L1134&gt;=$B$17,$B$21,MATCH(L1134,Aux_CAV!$A$2:$A$121,1))))</f>
        <v>7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0.0995071598734104</v>
      </c>
      <c r="E1135" s="16" t="n">
        <f aca="false">IF(D1135="","",D1135*$B$15)</f>
        <v>0.25792255839188</v>
      </c>
      <c r="F1135" s="16" t="n">
        <f aca="false" t="array" ref="F1135:F1135">IF(D1135="","",IFERROR(INDEX(Dados_Evap!$C$2:$N$15,MATCH($B$9,Dados_Evap!$A$2:$A$15,0),C1135),0))</f>
        <v>180.9</v>
      </c>
      <c r="G1135" s="16" t="n">
        <f aca="false">IF(F1135="","",F1135/1000)</f>
        <v>0.1809</v>
      </c>
      <c r="H1135" s="16" t="n">
        <f aca="false">IF(D1135="","",MAX(0,MIN($B$8,IFERROR(LOOKUP(2,1/($U$24:U1134&lt;&gt;""),$U$24:U1134),$B$11))))</f>
        <v>16.5203636275451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1.14019472369083</v>
      </c>
      <c r="J1135" s="16" t="n">
        <f aca="false">IF(D1135="","",$B$12)</f>
        <v>0.25</v>
      </c>
      <c r="K1135" s="16" t="n">
        <f aca="false">IF(J1135="","",J1135*$B$15)</f>
        <v>0.648</v>
      </c>
      <c r="L1135" s="16" t="n">
        <f aca="false">IF(D1135="","",H1135+E1135-K1135-G1135*I1135)</f>
        <v>15.9240249604213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1.12116904409672</v>
      </c>
      <c r="N1135" s="16" t="n">
        <f aca="false">IF(D1135="","",(I1135+M1135)/2)</f>
        <v>1.13068188389377</v>
      </c>
      <c r="O1135" s="16" t="n">
        <f aca="false">IF(D1135="","",G1135*N1135)</f>
        <v>0.204540352796383</v>
      </c>
      <c r="P1135" s="16" t="n">
        <f aca="false">IF(D1135="","",H1135+E1135-K1135-O1135)</f>
        <v>15.9257458331406</v>
      </c>
      <c r="Q1135" s="16" t="n">
        <f aca="false">IF(D1135="","",IF(P1135&gt;=0,K1135,MAX(0,K1135+P1135)))</f>
        <v>0.648</v>
      </c>
      <c r="R1135" s="16" t="n">
        <f aca="false">IF(D1135="","",Q1135/$B$15)</f>
        <v>0.25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15.9257458331406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74.768759780003</v>
      </c>
      <c r="Z1135" s="18" t="n">
        <f aca="false">IF(D1135="","",MAX(0,IF(P1135&gt;=0,P1135,IF(K1135+P1135&gt;=0,0,P1135+K1135))))</f>
        <v>15.9257458331406</v>
      </c>
      <c r="AA1135" s="18" t="n">
        <f aca="false">IF(D1135="","",IF(H1135&lt;=$B$16,1,IF(H1135&gt;=$B$17,$B$21,MATCH(H1135,Aux_CAV!$A$2:$A$121,1))))</f>
        <v>7</v>
      </c>
      <c r="AB1135" s="18" t="n">
        <f aca="false">IF(D1135="","",IF(L1135&lt;=$B$16,1,IF(L1135&gt;=$B$17,$B$21,MATCH(L1135,Aux_CAV!$A$2:$A$121,1))))</f>
        <v>6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0.0731724927647264</v>
      </c>
      <c r="E1136" s="16" t="n">
        <f aca="false">IF(D1136="","",D1136*$B$15)</f>
        <v>0.189663101246171</v>
      </c>
      <c r="F1136" s="16" t="n">
        <f aca="false" t="array" ref="F1136:F1136">IF(D1136="","",IFERROR(INDEX(Dados_Evap!$C$2:$N$15,MATCH($B$9,Dados_Evap!$A$2:$A$15,0),C1136),0))</f>
        <v>208.9</v>
      </c>
      <c r="G1136" s="16" t="n">
        <f aca="false">IF(F1136="","",F1136/1000)</f>
        <v>0.2089</v>
      </c>
      <c r="H1136" s="16" t="n">
        <f aca="false">IF(D1136="","",MAX(0,MIN($B$8,IFERROR(LOOKUP(2,1/($U$24:U1135&lt;&gt;""),$U$24:U1135),$B$11))))</f>
        <v>15.9257458331406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1.1212243462446</v>
      </c>
      <c r="J1136" s="16" t="n">
        <f aca="false">IF(D1136="","",$B$12)</f>
        <v>0.25</v>
      </c>
      <c r="K1136" s="16" t="n">
        <f aca="false">IF(J1136="","",J1136*$B$15)</f>
        <v>0.648</v>
      </c>
      <c r="L1136" s="16" t="n">
        <f aca="false">IF(D1136="","",H1136+E1136-K1136-G1136*I1136)</f>
        <v>15.2331851684563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1.09896814340975</v>
      </c>
      <c r="N1136" s="16" t="n">
        <f aca="false">IF(D1136="","",(I1136+M1136)/2)</f>
        <v>1.11009624482717</v>
      </c>
      <c r="O1136" s="16" t="n">
        <f aca="false">IF(D1136="","",G1136*N1136)</f>
        <v>0.231899105544396</v>
      </c>
      <c r="P1136" s="16" t="n">
        <f aca="false">IF(D1136="","",H1136+E1136-K1136-O1136)</f>
        <v>15.2355098288424</v>
      </c>
      <c r="Q1136" s="16" t="n">
        <f aca="false">IF(D1136="","",IF(P1136&gt;=0,K1136,MAX(0,K1136+P1136)))</f>
        <v>0.648</v>
      </c>
      <c r="R1136" s="16" t="n">
        <f aca="false">IF(D1136="","",Q1136/$B$15)</f>
        <v>0.25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15.2355098288424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71.5282151588846</v>
      </c>
      <c r="Z1136" s="18" t="n">
        <f aca="false">IF(D1136="","",MAX(0,IF(P1136&gt;=0,P1136,IF(K1136+P1136&gt;=0,0,P1136+K1136))))</f>
        <v>15.2355098288424</v>
      </c>
      <c r="AA1136" s="18" t="n">
        <f aca="false">IF(D1136="","",IF(H1136&lt;=$B$16,1,IF(H1136&gt;=$B$17,$B$21,MATCH(H1136,Aux_CAV!$A$2:$A$121,1))))</f>
        <v>6</v>
      </c>
      <c r="AB1136" s="18" t="n">
        <f aca="false">IF(D1136="","",IF(L1136&lt;=$B$16,1,IF(L1136&gt;=$B$17,$B$21,MATCH(L1136,Aux_CAV!$A$2:$A$121,1))))</f>
        <v>6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0.0433489773451278</v>
      </c>
      <c r="E1137" s="16" t="n">
        <f aca="false">IF(D1137="","",D1137*$B$15)</f>
        <v>0.112360549278571</v>
      </c>
      <c r="F1137" s="16" t="n">
        <f aca="false" t="array" ref="F1137:F1137">IF(D1137="","",IFERROR(INDEX(Dados_Evap!$C$2:$N$15,MATCH($B$9,Dados_Evap!$A$2:$A$15,0),C1137),0))</f>
        <v>235.9</v>
      </c>
      <c r="G1137" s="16" t="n">
        <f aca="false">IF(F1137="","",F1137/1000)</f>
        <v>0.2359</v>
      </c>
      <c r="H1137" s="16" t="n">
        <f aca="false">IF(D1137="","",MAX(0,MIN($B$8,IFERROR(LOOKUP(2,1/($U$24:U1136&lt;&gt;""),$U$24:U1136),$B$11))))</f>
        <v>15.2355098288424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1.09904284894201</v>
      </c>
      <c r="J1137" s="16" t="n">
        <f aca="false">IF(D1137="","",$B$12)</f>
        <v>0.25</v>
      </c>
      <c r="K1137" s="16" t="n">
        <f aca="false">IF(J1137="","",J1137*$B$15)</f>
        <v>0.648</v>
      </c>
      <c r="L1137" s="16" t="n">
        <f aca="false">IF(D1137="","",H1137+E1137-K1137-G1137*I1137)</f>
        <v>14.4406061700556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1.07349774081464</v>
      </c>
      <c r="N1137" s="16" t="n">
        <f aca="false">IF(D1137="","",(I1137+M1137)/2)</f>
        <v>1.08627029487832</v>
      </c>
      <c r="O1137" s="16" t="n">
        <f aca="false">IF(D1137="","",G1137*N1137)</f>
        <v>0.256251162561796</v>
      </c>
      <c r="P1137" s="16" t="n">
        <f aca="false">IF(D1137="","",H1137+E1137-K1137-O1137)</f>
        <v>14.4436192155592</v>
      </c>
      <c r="Q1137" s="16" t="n">
        <f aca="false">IF(D1137="","",IF(P1137&gt;=0,K1137,MAX(0,K1137+P1137)))</f>
        <v>0.648</v>
      </c>
      <c r="R1137" s="16" t="n">
        <f aca="false">IF(D1137="","",Q1137/$B$15)</f>
        <v>0.25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14.4436192155592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67.8104188523905</v>
      </c>
      <c r="Z1137" s="18" t="n">
        <f aca="false">IF(D1137="","",MAX(0,IF(P1137&gt;=0,P1137,IF(K1137+P1137&gt;=0,0,P1137+K1137))))</f>
        <v>14.4436192155592</v>
      </c>
      <c r="AA1137" s="18" t="n">
        <f aca="false">IF(D1137="","",IF(H1137&lt;=$B$16,1,IF(H1137&gt;=$B$17,$B$21,MATCH(H1137,Aux_CAV!$A$2:$A$121,1))))</f>
        <v>6</v>
      </c>
      <c r="AB1137" s="18" t="n">
        <f aca="false">IF(D1137="","",IF(L1137&lt;=$B$16,1,IF(L1137&gt;=$B$17,$B$21,MATCH(L1137,Aux_CAV!$A$2:$A$121,1))))</f>
        <v>6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0.0254722636766734</v>
      </c>
      <c r="E1138" s="16" t="n">
        <f aca="false">IF(D1138="","",D1138*$B$15)</f>
        <v>0.0660241074499375</v>
      </c>
      <c r="F1138" s="16" t="n">
        <f aca="false" t="array" ref="F1138:F1138">IF(D1138="","",IFERROR(INDEX(Dados_Evap!$C$2:$N$15,MATCH($B$9,Dados_Evap!$A$2:$A$15,0),C1138),0))</f>
        <v>225.9</v>
      </c>
      <c r="G1138" s="16" t="n">
        <f aca="false">IF(F1138="","",F1138/1000)</f>
        <v>0.2259</v>
      </c>
      <c r="H1138" s="16" t="n">
        <f aca="false">IF(D1138="","",MAX(0,MIN($B$8,IFERROR(LOOKUP(2,1/($U$24:U1137&lt;&gt;""),$U$24:U1137),$B$11))))</f>
        <v>14.4436192155592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1.07359456836391</v>
      </c>
      <c r="J1138" s="16" t="n">
        <f aca="false">IF(D1138="","",$B$12)</f>
        <v>0.25</v>
      </c>
      <c r="K1138" s="16" t="n">
        <f aca="false">IF(J1138="","",J1138*$B$15)</f>
        <v>0.648</v>
      </c>
      <c r="L1138" s="16" t="n">
        <f aca="false">IF(D1138="","",H1138+E1138-K1138-G1138*I1138)</f>
        <v>13.6191183100157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1.0470983199816</v>
      </c>
      <c r="N1138" s="16" t="n">
        <f aca="false">IF(D1138="","",(I1138+M1138)/2)</f>
        <v>1.06034644417275</v>
      </c>
      <c r="O1138" s="16" t="n">
        <f aca="false">IF(D1138="","",G1138*N1138)</f>
        <v>0.239532261738625</v>
      </c>
      <c r="P1138" s="16" t="n">
        <f aca="false">IF(D1138="","",H1138+E1138-K1138-O1138)</f>
        <v>13.6221110612705</v>
      </c>
      <c r="Q1138" s="16" t="n">
        <f aca="false">IF(D1138="","",IF(P1138&gt;=0,K1138,MAX(0,K1138+P1138)))</f>
        <v>0.648</v>
      </c>
      <c r="R1138" s="16" t="n">
        <f aca="false">IF(D1138="","",Q1138/$B$15)</f>
        <v>0.25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13.6221110612705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63.953573057608</v>
      </c>
      <c r="Z1138" s="18" t="n">
        <f aca="false">IF(D1138="","",MAX(0,IF(P1138&gt;=0,P1138,IF(K1138+P1138&gt;=0,0,P1138+K1138))))</f>
        <v>13.6221110612705</v>
      </c>
      <c r="AA1138" s="18" t="n">
        <f aca="false">IF(D1138="","",IF(H1138&lt;=$B$16,1,IF(H1138&gt;=$B$17,$B$21,MATCH(H1138,Aux_CAV!$A$2:$A$121,1))))</f>
        <v>6</v>
      </c>
      <c r="AB1138" s="18" t="n">
        <f aca="false">IF(D1138="","",IF(L1138&lt;=$B$16,1,IF(L1138&gt;=$B$17,$B$21,MATCH(L1138,Aux_CAV!$A$2:$A$121,1))))</f>
        <v>6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0.01540260477547</v>
      </c>
      <c r="E1139" s="16" t="n">
        <f aca="false">IF(D1139="","",D1139*$B$15)</f>
        <v>0.0399235515780182</v>
      </c>
      <c r="F1139" s="16" t="n">
        <f aca="false" t="array" ref="F1139:F1139">IF(D1139="","",IFERROR(INDEX(Dados_Evap!$C$2:$N$15,MATCH($B$9,Dados_Evap!$A$2:$A$15,0),C1139),0))</f>
        <v>206</v>
      </c>
      <c r="G1139" s="16" t="n">
        <f aca="false">IF(F1139="","",F1139/1000)</f>
        <v>0.206</v>
      </c>
      <c r="H1139" s="16" t="n">
        <f aca="false">IF(D1139="","",MAX(0,MIN($B$8,IFERROR(LOOKUP(2,1/($U$24:U1138&lt;&gt;""),$U$24:U1138),$B$11))))</f>
        <v>13.6221110612705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1.04719449535274</v>
      </c>
      <c r="J1139" s="16" t="n">
        <f aca="false">IF(D1139="","",$B$12)</f>
        <v>0.25</v>
      </c>
      <c r="K1139" s="16" t="n">
        <f aca="false">IF(J1139="","",J1139*$B$15)</f>
        <v>0.648</v>
      </c>
      <c r="L1139" s="16" t="n">
        <f aca="false">IF(D1139="","",H1139+E1139-K1139-G1139*I1139)</f>
        <v>12.7983125468059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1.0207208190845</v>
      </c>
      <c r="N1139" s="16" t="n">
        <f aca="false">IF(D1139="","",(I1139+M1139)/2)</f>
        <v>1.03395765721862</v>
      </c>
      <c r="O1139" s="16" t="n">
        <f aca="false">IF(D1139="","",G1139*N1139)</f>
        <v>0.212995277387035</v>
      </c>
      <c r="P1139" s="16" t="n">
        <f aca="false">IF(D1139="","",H1139+E1139-K1139-O1139)</f>
        <v>12.8010393354615</v>
      </c>
      <c r="Q1139" s="16" t="n">
        <f aca="false">IF(D1139="","",IF(P1139&gt;=0,K1139,MAX(0,K1139+P1139)))</f>
        <v>0.648</v>
      </c>
      <c r="R1139" s="16" t="n">
        <f aca="false">IF(D1139="","",Q1139/$B$15)</f>
        <v>0.25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12.8010393354615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60.0987762228239</v>
      </c>
      <c r="Z1139" s="18" t="n">
        <f aca="false">IF(D1139="","",MAX(0,IF(P1139&gt;=0,P1139,IF(K1139+P1139&gt;=0,0,P1139+K1139))))</f>
        <v>12.8010393354615</v>
      </c>
      <c r="AA1139" s="18" t="n">
        <f aca="false">IF(D1139="","",IF(H1139&lt;=$B$16,1,IF(H1139&gt;=$B$17,$B$21,MATCH(H1139,Aux_CAV!$A$2:$A$121,1))))</f>
        <v>6</v>
      </c>
      <c r="AB1139" s="18" t="n">
        <f aca="false">IF(D1139="","",IF(L1139&lt;=$B$16,1,IF(L1139&gt;=$B$17,$B$21,MATCH(L1139,Aux_CAV!$A$2:$A$121,1))))</f>
        <v>6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0.126163056349215</v>
      </c>
      <c r="E1140" s="16" t="n">
        <f aca="false">IF(D1140="","",D1140*$B$15)</f>
        <v>0.327014642057165</v>
      </c>
      <c r="F1140" s="16" t="n">
        <f aca="false" t="array" ref="F1140:F1140">IF(D1140="","",IFERROR(INDEX(Dados_Evap!$C$2:$N$15,MATCH($B$9,Dados_Evap!$A$2:$A$15,0),C1140),0))</f>
        <v>165.6</v>
      </c>
      <c r="G1140" s="16" t="n">
        <f aca="false">IF(F1140="","",F1140/1000)</f>
        <v>0.1656</v>
      </c>
      <c r="H1140" s="16" t="n">
        <f aca="false">IF(D1140="","",MAX(0,MIN($B$8,IFERROR(LOOKUP(2,1/($U$24:U1139&lt;&gt;""),$U$24:U1139),$B$11))))</f>
        <v>12.8010393354615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1.02080844745339</v>
      </c>
      <c r="J1140" s="16" t="n">
        <f aca="false">IF(D1140="","",$B$12)</f>
        <v>0.25</v>
      </c>
      <c r="K1140" s="16" t="n">
        <f aca="false">IF(J1140="","",J1140*$B$15)</f>
        <v>0.648</v>
      </c>
      <c r="L1140" s="16" t="n">
        <f aca="false">IF(D1140="","",H1140+E1140-K1140-G1140*I1140)</f>
        <v>12.3110080986204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1.00506075175151</v>
      </c>
      <c r="N1140" s="16" t="n">
        <f aca="false">IF(D1140="","",(I1140+M1140)/2)</f>
        <v>1.01293459960245</v>
      </c>
      <c r="O1140" s="16" t="n">
        <f aca="false">IF(D1140="","",G1140*N1140)</f>
        <v>0.167741969694166</v>
      </c>
      <c r="P1140" s="16" t="n">
        <f aca="false">IF(D1140="","",H1140+E1140-K1140-O1140)</f>
        <v>12.3123120078245</v>
      </c>
      <c r="Q1140" s="16" t="n">
        <f aca="false">IF(D1140="","",IF(P1140&gt;=0,K1140,MAX(0,K1140+P1140)))</f>
        <v>0.648</v>
      </c>
      <c r="R1140" s="16" t="n">
        <f aca="false">IF(D1140="","",Q1140/$B$15)</f>
        <v>0.25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12.3123120078245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57.8042817268755</v>
      </c>
      <c r="Z1140" s="18" t="n">
        <f aca="false">IF(D1140="","",MAX(0,IF(P1140&gt;=0,P1140,IF(K1140+P1140&gt;=0,0,P1140+K1140))))</f>
        <v>12.3123120078245</v>
      </c>
      <c r="AA1140" s="18" t="n">
        <f aca="false">IF(D1140="","",IF(H1140&lt;=$B$16,1,IF(H1140&gt;=$B$17,$B$21,MATCH(H1140,Aux_CAV!$A$2:$A$121,1))))</f>
        <v>6</v>
      </c>
      <c r="AB1140" s="18" t="n">
        <f aca="false">IF(D1140="","",IF(L1140&lt;=$B$16,1,IF(L1140&gt;=$B$17,$B$21,MATCH(L1140,Aux_CAV!$A$2:$A$121,1))))</f>
        <v>6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0.531035833988468</v>
      </c>
      <c r="E1141" s="16" t="n">
        <f aca="false">IF(D1141="","",D1141*$B$15)</f>
        <v>1.37644488169811</v>
      </c>
      <c r="F1141" s="16" t="n">
        <f aca="false" t="array" ref="F1141:F1141">IF(D1141="","",IFERROR(INDEX(Dados_Evap!$C$2:$N$15,MATCH($B$9,Dados_Evap!$A$2:$A$15,0),C1141),0))</f>
        <v>124.9</v>
      </c>
      <c r="G1141" s="16" t="n">
        <f aca="false">IF(F1141="","",F1141/1000)</f>
        <v>0.1249</v>
      </c>
      <c r="H1141" s="16" t="n">
        <f aca="false">IF(D1141="","",MAX(0,MIN($B$8,IFERROR(LOOKUP(2,1/($U$24:U1140&lt;&gt;""),$U$24:U1140),$B$11))))</f>
        <v>12.3123120078245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1.00510265431572</v>
      </c>
      <c r="J1141" s="16" t="n">
        <f aca="false">IF(D1141="","",$B$12)</f>
        <v>0.25</v>
      </c>
      <c r="K1141" s="16" t="n">
        <f aca="false">IF(J1141="","",J1141*$B$15)</f>
        <v>0.648</v>
      </c>
      <c r="L1141" s="16" t="n">
        <f aca="false">IF(D1141="","",H1141+E1141-K1141-G1141*I1141)</f>
        <v>12.9152195679986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1.02447775549334</v>
      </c>
      <c r="N1141" s="16" t="n">
        <f aca="false">IF(D1141="","",(I1141+M1141)/2)</f>
        <v>1.01479020490453</v>
      </c>
      <c r="O1141" s="16" t="n">
        <f aca="false">IF(D1141="","",G1141*N1141)</f>
        <v>0.126747296592576</v>
      </c>
      <c r="P1141" s="16" t="n">
        <f aca="false">IF(D1141="","",H1141+E1141-K1141-O1141)</f>
        <v>12.91400959293</v>
      </c>
      <c r="Q1141" s="16" t="n">
        <f aca="false">IF(D1141="","",IF(P1141&gt;=0,K1141,MAX(0,K1141+P1141)))</f>
        <v>0.648</v>
      </c>
      <c r="R1141" s="16" t="n">
        <f aca="false">IF(D1141="","",Q1141/$B$15)</f>
        <v>0.25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12.91400959293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60.6291530184508</v>
      </c>
      <c r="Z1141" s="18" t="n">
        <f aca="false">IF(D1141="","",MAX(0,IF(P1141&gt;=0,P1141,IF(K1141+P1141&gt;=0,0,P1141+K1141))))</f>
        <v>12.91400959293</v>
      </c>
      <c r="AA1141" s="18" t="n">
        <f aca="false">IF(D1141="","",IF(H1141&lt;=$B$16,1,IF(H1141&gt;=$B$17,$B$21,MATCH(H1141,Aux_CAV!$A$2:$A$121,1))))</f>
        <v>6</v>
      </c>
      <c r="AB1141" s="18" t="n">
        <f aca="false">IF(D1141="","",IF(L1141&lt;=$B$16,1,IF(L1141&gt;=$B$17,$B$21,MATCH(L1141,Aux_CAV!$A$2:$A$121,1))))</f>
        <v>6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2.47202310841946</v>
      </c>
      <c r="E1142" s="16" t="n">
        <f aca="false">IF(D1142="","",D1142*$B$15)</f>
        <v>6.40748389702324</v>
      </c>
      <c r="F1142" s="16" t="n">
        <f aca="false" t="array" ref="F1142:F1142">IF(D1142="","",IFERROR(INDEX(Dados_Evap!$C$2:$N$15,MATCH($B$9,Dados_Evap!$A$2:$A$15,0),C1142),0))</f>
        <v>88.2</v>
      </c>
      <c r="G1142" s="16" t="n">
        <f aca="false">IF(F1142="","",F1142/1000)</f>
        <v>0.0882</v>
      </c>
      <c r="H1142" s="16" t="n">
        <f aca="false">IF(D1142="","",MAX(0,MIN($B$8,IFERROR(LOOKUP(2,1/($U$24:U1141&lt;&gt;""),$U$24:U1141),$B$11))))</f>
        <v>12.91400959293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1.02443887160645</v>
      </c>
      <c r="J1142" s="16" t="n">
        <f aca="false">IF(D1142="","",$B$12)</f>
        <v>0.25</v>
      </c>
      <c r="K1142" s="16" t="n">
        <f aca="false">IF(J1142="","",J1142*$B$15)</f>
        <v>0.648</v>
      </c>
      <c r="L1142" s="16" t="n">
        <f aca="false">IF(D1142="","",H1142+E1142-K1142-G1142*I1142)</f>
        <v>18.5831379814776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1.17895248816972</v>
      </c>
      <c r="N1142" s="16" t="n">
        <f aca="false">IF(D1142="","",(I1142+M1142)/2)</f>
        <v>1.10169567988809</v>
      </c>
      <c r="O1142" s="16" t="n">
        <f aca="false">IF(D1142="","",G1142*N1142)</f>
        <v>0.0971695589661292</v>
      </c>
      <c r="P1142" s="16" t="n">
        <f aca="false">IF(D1142="","",H1142+E1142-K1142-O1142)</f>
        <v>18.5763239309871</v>
      </c>
      <c r="Q1142" s="16" t="n">
        <f aca="false">IF(D1142="","",IF(P1142&gt;=0,K1142,MAX(0,K1142+P1142)))</f>
        <v>0.648</v>
      </c>
      <c r="R1142" s="16" t="n">
        <f aca="false">IF(D1142="","",Q1142/$B$15)</f>
        <v>0.25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18.5763239309871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87.2127884083903</v>
      </c>
      <c r="Z1142" s="18" t="n">
        <f aca="false">IF(D1142="","",MAX(0,IF(P1142&gt;=0,P1142,IF(K1142+P1142&gt;=0,0,P1142+K1142))))</f>
        <v>18.5763239309871</v>
      </c>
      <c r="AA1142" s="18" t="n">
        <f aca="false">IF(D1142="","",IF(H1142&lt;=$B$16,1,IF(H1142&gt;=$B$17,$B$21,MATCH(H1142,Aux_CAV!$A$2:$A$121,1))))</f>
        <v>6</v>
      </c>
      <c r="AB1142" s="18" t="n">
        <f aca="false">IF(D1142="","",IF(L1142&lt;=$B$16,1,IF(L1142&gt;=$B$17,$B$21,MATCH(L1142,Aux_CAV!$A$2:$A$121,1))))</f>
        <v>7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1.77188853189425</v>
      </c>
      <c r="E1143" s="16" t="n">
        <f aca="false">IF(D1143="","",D1143*$B$15)</f>
        <v>4.5927350746699</v>
      </c>
      <c r="F1143" s="16" t="n">
        <f aca="false" t="array" ref="F1143:F1143">IF(D1143="","",IFERROR(INDEX(Dados_Evap!$C$2:$N$15,MATCH($B$9,Dados_Evap!$A$2:$A$15,0),C1143),0))</f>
        <v>88.2</v>
      </c>
      <c r="G1143" s="16" t="n">
        <f aca="false">IF(F1143="","",F1143/1000)</f>
        <v>0.0882</v>
      </c>
      <c r="H1143" s="16" t="n">
        <f aca="false">IF(D1143="","",MAX(0,MIN($B$8,IFERROR(LOOKUP(2,1/($U$24:U1142&lt;&gt;""),$U$24:U1142),$B$11))))</f>
        <v>18.5763239309871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1.1788244579935</v>
      </c>
      <c r="J1143" s="16" t="n">
        <f aca="false">IF(D1143="","",$B$12)</f>
        <v>0.25</v>
      </c>
      <c r="K1143" s="16" t="n">
        <f aca="false">IF(J1143="","",J1143*$B$15)</f>
        <v>0.648</v>
      </c>
      <c r="L1143" s="16" t="n">
        <f aca="false">IF(D1143="","",H1143+E1143-K1143-G1143*I1143)</f>
        <v>22.417086688462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1.24861811147437</v>
      </c>
      <c r="N1143" s="16" t="n">
        <f aca="false">IF(D1143="","",(I1143+M1143)/2)</f>
        <v>1.21372128473393</v>
      </c>
      <c r="O1143" s="16" t="n">
        <f aca="false">IF(D1143="","",G1143*N1143)</f>
        <v>0.107050217313533</v>
      </c>
      <c r="P1143" s="16" t="n">
        <f aca="false">IF(D1143="","",H1143+E1143-K1143-O1143)</f>
        <v>22.4140087883435</v>
      </c>
      <c r="Q1143" s="16" t="n">
        <f aca="false">IF(D1143="","",IF(P1143&gt;=0,K1143,MAX(0,K1143+P1143)))</f>
        <v>0.648</v>
      </c>
      <c r="R1143" s="16" t="n">
        <f aca="false">IF(D1143="","",Q1143/$B$15)</f>
        <v>0.25</v>
      </c>
      <c r="S1143" s="16" t="n">
        <f aca="false">IF(D1143="","",MAX(0,J1143-R1143))</f>
        <v>0</v>
      </c>
      <c r="T1143" s="16" t="n">
        <f aca="false">IF(D1143="","",MAX(0,Z1143-$B$8))</f>
        <v>1.11400878834349</v>
      </c>
      <c r="U1143" s="16" t="n">
        <f aca="false">IF(D1143="","",MAX(0,MIN($B$8,Z1143)))</f>
        <v>21.3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22.4140087883435</v>
      </c>
      <c r="AA1143" s="18" t="n">
        <f aca="false">IF(D1143="","",IF(H1143&lt;=$B$16,1,IF(H1143&gt;=$B$17,$B$21,MATCH(H1143,Aux_CAV!$A$2:$A$121,1))))</f>
        <v>7</v>
      </c>
      <c r="AB1143" s="18" t="n">
        <f aca="false">IF(D1143="","",IF(L1143&lt;=$B$16,1,IF(L1143&gt;=$B$17,$B$21,MATCH(L1143,Aux_CAV!$A$2:$A$121,1))))</f>
        <v>8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0.863289638169417</v>
      </c>
      <c r="E1144" s="16" t="n">
        <f aca="false">IF(D1144="","",D1144*$B$15)</f>
        <v>2.23764674213513</v>
      </c>
      <c r="F1144" s="16" t="n">
        <f aca="false" t="array" ref="F1144:F1144">IF(D1144="","",IFERROR(INDEX(Dados_Evap!$C$2:$N$15,MATCH($B$9,Dados_Evap!$A$2:$A$15,0),C1144),0))</f>
        <v>83.9</v>
      </c>
      <c r="G1144" s="16" t="n">
        <f aca="false">IF(F1144="","",F1144/1000)</f>
        <v>0.0839</v>
      </c>
      <c r="H1144" s="16" t="n">
        <f aca="false">IF(D1144="","",MAX(0,MIN($B$8,IFERROR(LOOKUP(2,1/($U$24:U1143&lt;&gt;""),$U$24:U1143),$B$11))))</f>
        <v>21.3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1.23</v>
      </c>
      <c r="J1144" s="16" t="n">
        <f aca="false">IF(D1144="","",$B$12)</f>
        <v>0.25</v>
      </c>
      <c r="K1144" s="16" t="n">
        <f aca="false">IF(J1144="","",J1144*$B$15)</f>
        <v>0.648</v>
      </c>
      <c r="L1144" s="16" t="n">
        <f aca="false">IF(D1144="","",H1144+E1144-K1144-G1144*I1144)</f>
        <v>22.7864497421351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1.25687135813218</v>
      </c>
      <c r="N1144" s="16" t="n">
        <f aca="false">IF(D1144="","",(I1144+M1144)/2)</f>
        <v>1.24343567906609</v>
      </c>
      <c r="O1144" s="16" t="n">
        <f aca="false">IF(D1144="","",G1144*N1144)</f>
        <v>0.104324253473645</v>
      </c>
      <c r="P1144" s="16" t="n">
        <f aca="false">IF(D1144="","",H1144+E1144-K1144-O1144)</f>
        <v>22.7853224886615</v>
      </c>
      <c r="Q1144" s="16" t="n">
        <f aca="false">IF(D1144="","",IF(P1144&gt;=0,K1144,MAX(0,K1144+P1144)))</f>
        <v>0.648</v>
      </c>
      <c r="R1144" s="16" t="n">
        <f aca="false">IF(D1144="","",Q1144/$B$15)</f>
        <v>0.25</v>
      </c>
      <c r="S1144" s="16" t="n">
        <f aca="false">IF(D1144="","",MAX(0,J1144-R1144))</f>
        <v>0</v>
      </c>
      <c r="T1144" s="16" t="n">
        <f aca="false">IF(D1144="","",MAX(0,Z1144-$B$8))</f>
        <v>1.48532248866148</v>
      </c>
      <c r="U1144" s="16" t="n">
        <f aca="false">IF(D1144="","",MAX(0,MIN($B$8,Z1144)))</f>
        <v>21.3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22.7853224886615</v>
      </c>
      <c r="AA1144" s="18" t="n">
        <f aca="false">IF(D1144="","",IF(H1144&lt;=$B$16,1,IF(H1144&gt;=$B$17,$B$21,MATCH(H1144,Aux_CAV!$A$2:$A$121,1))))</f>
        <v>8</v>
      </c>
      <c r="AB1144" s="18" t="n">
        <f aca="false">IF(D1144="","",IF(L1144&lt;=$B$16,1,IF(L1144&gt;=$B$17,$B$21,MATCH(L1144,Aux_CAV!$A$2:$A$121,1))))</f>
        <v>9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0.622348051795608</v>
      </c>
      <c r="E1145" s="16" t="n">
        <f aca="false">IF(D1145="","",D1145*$B$15)</f>
        <v>1.61312615025422</v>
      </c>
      <c r="F1145" s="16" t="n">
        <f aca="false" t="array" ref="F1145:F1145">IF(D1145="","",IFERROR(INDEX(Dados_Evap!$C$2:$N$15,MATCH($B$9,Dados_Evap!$A$2:$A$15,0),C1145),0))</f>
        <v>104.7</v>
      </c>
      <c r="G1145" s="16" t="n">
        <f aca="false">IF(F1145="","",F1145/1000)</f>
        <v>0.1047</v>
      </c>
      <c r="H1145" s="16" t="n">
        <f aca="false">IF(D1145="","",MAX(0,MIN($B$8,IFERROR(LOOKUP(2,1/($U$24:U1144&lt;&gt;""),$U$24:U1144),$B$11))))</f>
        <v>21.3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1.23</v>
      </c>
      <c r="J1145" s="16" t="n">
        <f aca="false">IF(D1145="","",$B$12)</f>
        <v>0.25</v>
      </c>
      <c r="K1145" s="16" t="n">
        <f aca="false">IF(J1145="","",J1145*$B$15)</f>
        <v>0.648</v>
      </c>
      <c r="L1145" s="16" t="n">
        <f aca="false">IF(D1145="","",H1145+E1145-K1145-G1145*I1145)</f>
        <v>22.1363451502542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1.24393908583757</v>
      </c>
      <c r="N1145" s="16" t="n">
        <f aca="false">IF(D1145="","",(I1145+M1145)/2)</f>
        <v>1.23696954291879</v>
      </c>
      <c r="O1145" s="16" t="n">
        <f aca="false">IF(D1145="","",G1145*N1145)</f>
        <v>0.129510711143597</v>
      </c>
      <c r="P1145" s="16" t="n">
        <f aca="false">IF(D1145="","",H1145+E1145-K1145-O1145)</f>
        <v>22.1356154391106</v>
      </c>
      <c r="Q1145" s="16" t="n">
        <f aca="false">IF(D1145="","",IF(P1145&gt;=0,K1145,MAX(0,K1145+P1145)))</f>
        <v>0.648</v>
      </c>
      <c r="R1145" s="16" t="n">
        <f aca="false">IF(D1145="","",Q1145/$B$15)</f>
        <v>0.25</v>
      </c>
      <c r="S1145" s="16" t="n">
        <f aca="false">IF(D1145="","",MAX(0,J1145-R1145))</f>
        <v>0</v>
      </c>
      <c r="T1145" s="16" t="n">
        <f aca="false">IF(D1145="","",MAX(0,Z1145-$B$8))</f>
        <v>0.835615439110622</v>
      </c>
      <c r="U1145" s="16" t="n">
        <f aca="false">IF(D1145="","",MAX(0,MIN($B$8,Z1145)))</f>
        <v>21.3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22.1356154391106</v>
      </c>
      <c r="AA1145" s="18" t="n">
        <f aca="false">IF(D1145="","",IF(H1145&lt;=$B$16,1,IF(H1145&gt;=$B$17,$B$21,MATCH(H1145,Aux_CAV!$A$2:$A$121,1))))</f>
        <v>8</v>
      </c>
      <c r="AB1145" s="18" t="n">
        <f aca="false">IF(D1145="","",IF(L1145&lt;=$B$16,1,IF(L1145&gt;=$B$17,$B$21,MATCH(L1145,Aux_CAV!$A$2:$A$121,1))))</f>
        <v>8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0.205469428451474</v>
      </c>
      <c r="E1146" s="16" t="n">
        <f aca="false">IF(D1146="","",D1146*$B$15)</f>
        <v>0.532576758546221</v>
      </c>
      <c r="F1146" s="16" t="n">
        <f aca="false" t="array" ref="F1146:F1146">IF(D1146="","",IFERROR(INDEX(Dados_Evap!$C$2:$N$15,MATCH($B$9,Dados_Evap!$A$2:$A$15,0),C1146),0))</f>
        <v>145.2</v>
      </c>
      <c r="G1146" s="16" t="n">
        <f aca="false">IF(F1146="","",F1146/1000)</f>
        <v>0.1452</v>
      </c>
      <c r="H1146" s="16" t="n">
        <f aca="false">IF(D1146="","",MAX(0,MIN($B$8,IFERROR(LOOKUP(2,1/($U$24:U1145&lt;&gt;""),$U$24:U1145),$B$11))))</f>
        <v>21.3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1.23</v>
      </c>
      <c r="J1146" s="16" t="n">
        <f aca="false">IF(D1146="","",$B$12)</f>
        <v>0.25</v>
      </c>
      <c r="K1146" s="16" t="n">
        <f aca="false">IF(J1146="","",J1146*$B$15)</f>
        <v>0.648</v>
      </c>
      <c r="L1146" s="16" t="n">
        <f aca="false">IF(D1146="","",H1146+E1146-K1146-G1146*I1146)</f>
        <v>21.0059807585462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1.22447563011882</v>
      </c>
      <c r="N1146" s="16" t="n">
        <f aca="false">IF(D1146="","",(I1146+M1146)/2)</f>
        <v>1.22723781505941</v>
      </c>
      <c r="O1146" s="16" t="n">
        <f aca="false">IF(D1146="","",G1146*N1146)</f>
        <v>0.178194930746627</v>
      </c>
      <c r="P1146" s="16" t="n">
        <f aca="false">IF(D1146="","",H1146+E1146-K1146-O1146)</f>
        <v>21.0063818277996</v>
      </c>
      <c r="Q1146" s="16" t="n">
        <f aca="false">IF(D1146="","",IF(P1146&gt;=0,K1146,MAX(0,K1146+P1146)))</f>
        <v>0.648</v>
      </c>
      <c r="R1146" s="16" t="n">
        <f aca="false">IF(D1146="","",Q1146/$B$15)</f>
        <v>0.25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21.0063818277996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98.6215109286366</v>
      </c>
      <c r="Z1146" s="18" t="n">
        <f aca="false">IF(D1146="","",MAX(0,IF(P1146&gt;=0,P1146,IF(K1146+P1146&gt;=0,0,P1146+K1146))))</f>
        <v>21.0063818277996</v>
      </c>
      <c r="AA1146" s="18" t="n">
        <f aca="false">IF(D1146="","",IF(H1146&lt;=$B$16,1,IF(H1146&gt;=$B$17,$B$21,MATCH(H1146,Aux_CAV!$A$2:$A$121,1))))</f>
        <v>8</v>
      </c>
      <c r="AB1146" s="18" t="n">
        <f aca="false">IF(D1146="","",IF(L1146&lt;=$B$16,1,IF(L1146&gt;=$B$17,$B$21,MATCH(L1146,Aux_CAV!$A$2:$A$121,1))))</f>
        <v>7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0.15672388094148</v>
      </c>
      <c r="E1147" s="16" t="n">
        <f aca="false">IF(D1147="","",D1147*$B$15)</f>
        <v>0.406228299400316</v>
      </c>
      <c r="F1147" s="16" t="n">
        <f aca="false" t="array" ref="F1147:F1147">IF(D1147="","",IFERROR(INDEX(Dados_Evap!$C$2:$N$15,MATCH($B$9,Dados_Evap!$A$2:$A$15,0),C1147),0))</f>
        <v>180.9</v>
      </c>
      <c r="G1147" s="16" t="n">
        <f aca="false">IF(F1147="","",F1147/1000)</f>
        <v>0.1809</v>
      </c>
      <c r="H1147" s="16" t="n">
        <f aca="false">IF(D1147="","",MAX(0,MIN($B$8,IFERROR(LOOKUP(2,1/($U$24:U1146&lt;&gt;""),$U$24:U1146),$B$11))))</f>
        <v>21.0063818277996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1.2244831658668</v>
      </c>
      <c r="J1147" s="16" t="n">
        <f aca="false">IF(D1147="","",$B$12)</f>
        <v>0.25</v>
      </c>
      <c r="K1147" s="16" t="n">
        <f aca="false">IF(J1147="","",J1147*$B$15)</f>
        <v>0.648</v>
      </c>
      <c r="L1147" s="16" t="n">
        <f aca="false">IF(D1147="","",H1147+E1147-K1147-G1147*I1147)</f>
        <v>20.5431011224946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1.21577851795919</v>
      </c>
      <c r="N1147" s="16" t="n">
        <f aca="false">IF(D1147="","",(I1147+M1147)/2)</f>
        <v>1.22013084191299</v>
      </c>
      <c r="O1147" s="16" t="n">
        <f aca="false">IF(D1147="","",G1147*N1147)</f>
        <v>0.220721669302061</v>
      </c>
      <c r="P1147" s="16" t="n">
        <f aca="false">IF(D1147="","",H1147+E1147-K1147-O1147)</f>
        <v>20.5438884578978</v>
      </c>
      <c r="Q1147" s="16" t="n">
        <f aca="false">IF(D1147="","",IF(P1147&gt;=0,K1147,MAX(0,K1147+P1147)))</f>
        <v>0.648</v>
      </c>
      <c r="R1147" s="16" t="n">
        <f aca="false">IF(D1147="","",Q1147/$B$15)</f>
        <v>0.25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20.5438884578978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96.450180553511</v>
      </c>
      <c r="Z1147" s="18" t="n">
        <f aca="false">IF(D1147="","",MAX(0,IF(P1147&gt;=0,P1147,IF(K1147+P1147&gt;=0,0,P1147+K1147))))</f>
        <v>20.5438884578978</v>
      </c>
      <c r="AA1147" s="18" t="n">
        <f aca="false">IF(D1147="","",IF(H1147&lt;=$B$16,1,IF(H1147&gt;=$B$17,$B$21,MATCH(H1147,Aux_CAV!$A$2:$A$121,1))))</f>
        <v>7</v>
      </c>
      <c r="AB1147" s="18" t="n">
        <f aca="false">IF(D1147="","",IF(L1147&lt;=$B$16,1,IF(L1147&gt;=$B$17,$B$21,MATCH(L1147,Aux_CAV!$A$2:$A$121,1))))</f>
        <v>7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0.0919291958994581</v>
      </c>
      <c r="E1148" s="16" t="n">
        <f aca="false">IF(D1148="","",D1148*$B$15)</f>
        <v>0.238280475771395</v>
      </c>
      <c r="F1148" s="16" t="n">
        <f aca="false" t="array" ref="F1148:F1148">IF(D1148="","",IFERROR(INDEX(Dados_Evap!$C$2:$N$15,MATCH($B$9,Dados_Evap!$A$2:$A$15,0),C1148),0))</f>
        <v>208.9</v>
      </c>
      <c r="G1148" s="16" t="n">
        <f aca="false">IF(F1148="","",F1148/1000)</f>
        <v>0.2089</v>
      </c>
      <c r="H1148" s="16" t="n">
        <f aca="false">IF(D1148="","",MAX(0,MIN($B$8,IFERROR(LOOKUP(2,1/($U$24:U1147&lt;&gt;""),$U$24:U1147),$B$11))))</f>
        <v>20.5438884578978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1.2157933113175</v>
      </c>
      <c r="J1148" s="16" t="n">
        <f aca="false">IF(D1148="","",$B$12)</f>
        <v>0.25</v>
      </c>
      <c r="K1148" s="16" t="n">
        <f aca="false">IF(J1148="","",J1148*$B$15)</f>
        <v>0.648</v>
      </c>
      <c r="L1148" s="16" t="n">
        <f aca="false">IF(D1148="","",H1148+E1148-K1148-G1148*I1148)</f>
        <v>19.880189710935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1.20332297995494</v>
      </c>
      <c r="N1148" s="16" t="n">
        <f aca="false">IF(D1148="","",(I1148+M1148)/2)</f>
        <v>1.20955814563622</v>
      </c>
      <c r="O1148" s="16" t="n">
        <f aca="false">IF(D1148="","",G1148*N1148)</f>
        <v>0.252676696623406</v>
      </c>
      <c r="P1148" s="16" t="n">
        <f aca="false">IF(D1148="","",H1148+E1148-K1148-O1148)</f>
        <v>19.8814922370458</v>
      </c>
      <c r="Q1148" s="16" t="n">
        <f aca="false">IF(D1148="","",IF(P1148&gt;=0,K1148,MAX(0,K1148+P1148)))</f>
        <v>0.648</v>
      </c>
      <c r="R1148" s="16" t="n">
        <f aca="false">IF(D1148="","",Q1148/$B$15)</f>
        <v>0.25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19.8814922370458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93.3403391410603</v>
      </c>
      <c r="Z1148" s="18" t="n">
        <f aca="false">IF(D1148="","",MAX(0,IF(P1148&gt;=0,P1148,IF(K1148+P1148&gt;=0,0,P1148+K1148))))</f>
        <v>19.8814922370458</v>
      </c>
      <c r="AA1148" s="18" t="n">
        <f aca="false">IF(D1148="","",IF(H1148&lt;=$B$16,1,IF(H1148&gt;=$B$17,$B$21,MATCH(H1148,Aux_CAV!$A$2:$A$121,1))))</f>
        <v>7</v>
      </c>
      <c r="AB1148" s="18" t="n">
        <f aca="false">IF(D1148="","",IF(L1148&lt;=$B$16,1,IF(L1148&gt;=$B$17,$B$21,MATCH(L1148,Aux_CAV!$A$2:$A$121,1))))</f>
        <v>7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0.053166985058641</v>
      </c>
      <c r="E1149" s="16" t="n">
        <f aca="false">IF(D1149="","",D1149*$B$15)</f>
        <v>0.137808825271997</v>
      </c>
      <c r="F1149" s="16" t="n">
        <f aca="false" t="array" ref="F1149:F1149">IF(D1149="","",IFERROR(INDEX(Dados_Evap!$C$2:$N$15,MATCH($B$9,Dados_Evap!$A$2:$A$15,0),C1149),0))</f>
        <v>235.9</v>
      </c>
      <c r="G1149" s="16" t="n">
        <f aca="false">IF(F1149="","",F1149/1000)</f>
        <v>0.2359</v>
      </c>
      <c r="H1149" s="16" t="n">
        <f aca="false">IF(D1149="","",MAX(0,MIN($B$8,IFERROR(LOOKUP(2,1/($U$24:U1148&lt;&gt;""),$U$24:U1148),$B$11))))</f>
        <v>19.8814922370458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1.20334745330566</v>
      </c>
      <c r="J1149" s="16" t="n">
        <f aca="false">IF(D1149="","",$B$12)</f>
        <v>0.25</v>
      </c>
      <c r="K1149" s="16" t="n">
        <f aca="false">IF(J1149="","",J1149*$B$15)</f>
        <v>0.648</v>
      </c>
      <c r="L1149" s="16" t="n">
        <f aca="false">IF(D1149="","",H1149+E1149-K1149-G1149*I1149)</f>
        <v>19.087431398083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1.18842772981784</v>
      </c>
      <c r="N1149" s="16" t="n">
        <f aca="false">IF(D1149="","",(I1149+M1149)/2)</f>
        <v>1.19588759156175</v>
      </c>
      <c r="O1149" s="16" t="n">
        <f aca="false">IF(D1149="","",G1149*N1149)</f>
        <v>0.282109882849418</v>
      </c>
      <c r="P1149" s="16" t="n">
        <f aca="false">IF(D1149="","",H1149+E1149-K1149-O1149)</f>
        <v>19.0891911794684</v>
      </c>
      <c r="Q1149" s="16" t="n">
        <f aca="false">IF(D1149="","",IF(P1149&gt;=0,K1149,MAX(0,K1149+P1149)))</f>
        <v>0.648</v>
      </c>
      <c r="R1149" s="16" t="n">
        <f aca="false">IF(D1149="","",Q1149/$B$15)</f>
        <v>0.25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19.0891911794684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89.6206158660489</v>
      </c>
      <c r="Z1149" s="18" t="n">
        <f aca="false">IF(D1149="","",MAX(0,IF(P1149&gt;=0,P1149,IF(K1149+P1149&gt;=0,0,P1149+K1149))))</f>
        <v>19.0891911794684</v>
      </c>
      <c r="AA1149" s="18" t="n">
        <f aca="false">IF(D1149="","",IF(H1149&lt;=$B$16,1,IF(H1149&gt;=$B$17,$B$21,MATCH(H1149,Aux_CAV!$A$2:$A$121,1))))</f>
        <v>7</v>
      </c>
      <c r="AB1149" s="18" t="n">
        <f aca="false">IF(D1149="","",IF(L1149&lt;=$B$16,1,IF(L1149&gt;=$B$17,$B$21,MATCH(L1149,Aux_CAV!$A$2:$A$121,1))))</f>
        <v>7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0.030882605815678</v>
      </c>
      <c r="E1150" s="16" t="n">
        <f aca="false">IF(D1150="","",D1150*$B$15)</f>
        <v>0.0800477142742374</v>
      </c>
      <c r="F1150" s="16" t="n">
        <f aca="false" t="array" ref="F1150:F1150">IF(D1150="","",IFERROR(INDEX(Dados_Evap!$C$2:$N$15,MATCH($B$9,Dados_Evap!$A$2:$A$15,0),C1150),0))</f>
        <v>225.9</v>
      </c>
      <c r="G1150" s="16" t="n">
        <f aca="false">IF(F1150="","",F1150/1000)</f>
        <v>0.2259</v>
      </c>
      <c r="H1150" s="16" t="n">
        <f aca="false">IF(D1150="","",MAX(0,MIN($B$8,IFERROR(LOOKUP(2,1/($U$24:U1149&lt;&gt;""),$U$24:U1149),$B$11))))</f>
        <v>19.0891911794684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1.18846079460379</v>
      </c>
      <c r="J1150" s="16" t="n">
        <f aca="false">IF(D1150="","",$B$12)</f>
        <v>0.25</v>
      </c>
      <c r="K1150" s="16" t="n">
        <f aca="false">IF(J1150="","",J1150*$B$15)</f>
        <v>0.648</v>
      </c>
      <c r="L1150" s="16" t="n">
        <f aca="false">IF(D1150="","",H1150+E1150-K1150-G1150*I1150)</f>
        <v>18.2527656002417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1.17274507390851</v>
      </c>
      <c r="N1150" s="16" t="n">
        <f aca="false">IF(D1150="","",(I1150+M1150)/2)</f>
        <v>1.18060293425615</v>
      </c>
      <c r="O1150" s="16" t="n">
        <f aca="false">IF(D1150="","",G1150*N1150)</f>
        <v>0.266698202848464</v>
      </c>
      <c r="P1150" s="16" t="n">
        <f aca="false">IF(D1150="","",H1150+E1150-K1150-O1150)</f>
        <v>18.2545406908942</v>
      </c>
      <c r="Q1150" s="16" t="n">
        <f aca="false">IF(D1150="","",IF(P1150&gt;=0,K1150,MAX(0,K1150+P1150)))</f>
        <v>0.648</v>
      </c>
      <c r="R1150" s="16" t="n">
        <f aca="false">IF(D1150="","",Q1150/$B$15)</f>
        <v>0.25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18.2545406908942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85.7020689713342</v>
      </c>
      <c r="Z1150" s="18" t="n">
        <f aca="false">IF(D1150="","",MAX(0,IF(P1150&gt;=0,P1150,IF(K1150+P1150&gt;=0,0,P1150+K1150))))</f>
        <v>18.2545406908942</v>
      </c>
      <c r="AA1150" s="18" t="n">
        <f aca="false">IF(D1150="","",IF(H1150&lt;=$B$16,1,IF(H1150&gt;=$B$17,$B$21,MATCH(H1150,Aux_CAV!$A$2:$A$121,1))))</f>
        <v>7</v>
      </c>
      <c r="AB1150" s="18" t="n">
        <f aca="false">IF(D1150="","",IF(L1150&lt;=$B$16,1,IF(L1150&gt;=$B$17,$B$21,MATCH(L1150,Aux_CAV!$A$2:$A$121,1))))</f>
        <v>7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0.0228742137136139</v>
      </c>
      <c r="E1151" s="16" t="n">
        <f aca="false">IF(D1151="","",D1151*$B$15)</f>
        <v>0.0592899619456872</v>
      </c>
      <c r="F1151" s="16" t="n">
        <f aca="false" t="array" ref="F1151:F1151">IF(D1151="","",IFERROR(INDEX(Dados_Evap!$C$2:$N$15,MATCH($B$9,Dados_Evap!$A$2:$A$15,0),C1151),0))</f>
        <v>206</v>
      </c>
      <c r="G1151" s="16" t="n">
        <f aca="false">IF(F1151="","",F1151/1000)</f>
        <v>0.206</v>
      </c>
      <c r="H1151" s="16" t="n">
        <f aca="false">IF(D1151="","",MAX(0,MIN($B$8,IFERROR(LOOKUP(2,1/($U$24:U1150&lt;&gt;""),$U$24:U1150),$B$11))))</f>
        <v>18.2545406908942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1.17277842634248</v>
      </c>
      <c r="J1151" s="16" t="n">
        <f aca="false">IF(D1151="","",$B$12)</f>
        <v>0.25</v>
      </c>
      <c r="K1151" s="16" t="n">
        <f aca="false">IF(J1151="","",J1151*$B$15)</f>
        <v>0.648</v>
      </c>
      <c r="L1151" s="16" t="n">
        <f aca="false">IF(D1151="","",H1151+E1151-K1151-G1151*I1151)</f>
        <v>17.4242382970133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1.15717775505871</v>
      </c>
      <c r="N1151" s="16" t="n">
        <f aca="false">IF(D1151="","",(I1151+M1151)/2)</f>
        <v>1.16497809070059</v>
      </c>
      <c r="O1151" s="16" t="n">
        <f aca="false">IF(D1151="","",G1151*N1151)</f>
        <v>0.239985486684322</v>
      </c>
      <c r="P1151" s="16" t="n">
        <f aca="false">IF(D1151="","",H1151+E1151-K1151-O1151)</f>
        <v>17.4258451661556</v>
      </c>
      <c r="Q1151" s="16" t="n">
        <f aca="false">IF(D1151="","",IF(P1151&gt;=0,K1151,MAX(0,K1151+P1151)))</f>
        <v>0.648</v>
      </c>
      <c r="R1151" s="16" t="n">
        <f aca="false">IF(D1151="","",Q1151/$B$15)</f>
        <v>0.25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17.4258451661556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81.8114796533125</v>
      </c>
      <c r="Z1151" s="18" t="n">
        <f aca="false">IF(D1151="","",MAX(0,IF(P1151&gt;=0,P1151,IF(K1151+P1151&gt;=0,0,P1151+K1151))))</f>
        <v>17.4258451661556</v>
      </c>
      <c r="AA1151" s="18" t="n">
        <f aca="false">IF(D1151="","",IF(H1151&lt;=$B$16,1,IF(H1151&gt;=$B$17,$B$21,MATCH(H1151,Aux_CAV!$A$2:$A$121,1))))</f>
        <v>7</v>
      </c>
      <c r="AB1151" s="18" t="n">
        <f aca="false">IF(D1151="","",IF(L1151&lt;=$B$16,1,IF(L1151&gt;=$B$17,$B$21,MATCH(L1151,Aux_CAV!$A$2:$A$121,1))))</f>
        <v>7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0.888597998093411</v>
      </c>
      <c r="E1152" s="16" t="n">
        <f aca="false">IF(D1152="","",D1152*$B$15)</f>
        <v>2.30324601105812</v>
      </c>
      <c r="F1152" s="16" t="n">
        <f aca="false" t="array" ref="F1152:F1152">IF(D1152="","",IFERROR(INDEX(Dados_Evap!$C$2:$N$15,MATCH($B$9,Dados_Evap!$A$2:$A$15,0),C1152),0))</f>
        <v>165.6</v>
      </c>
      <c r="G1152" s="16" t="n">
        <f aca="false">IF(F1152="","",F1152/1000)</f>
        <v>0.1656</v>
      </c>
      <c r="H1152" s="16" t="n">
        <f aca="false">IF(D1152="","",MAX(0,MIN($B$8,IFERROR(LOOKUP(2,1/($U$24:U1151&lt;&gt;""),$U$24:U1151),$B$11))))</f>
        <v>17.4258451661556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1.15720794675449</v>
      </c>
      <c r="J1152" s="16" t="n">
        <f aca="false">IF(D1152="","",$B$12)</f>
        <v>0.25</v>
      </c>
      <c r="K1152" s="16" t="n">
        <f aca="false">IF(J1152="","",J1152*$B$15)</f>
        <v>0.648</v>
      </c>
      <c r="L1152" s="16" t="n">
        <f aca="false">IF(D1152="","",H1152+E1152-K1152-G1152*I1152)</f>
        <v>18.8894575412311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1.1847079705033</v>
      </c>
      <c r="N1152" s="16" t="n">
        <f aca="false">IF(D1152="","",(I1152+M1152)/2)</f>
        <v>1.17095795862889</v>
      </c>
      <c r="O1152" s="16" t="n">
        <f aca="false">IF(D1152="","",G1152*N1152)</f>
        <v>0.193910637948945</v>
      </c>
      <c r="P1152" s="16" t="n">
        <f aca="false">IF(D1152="","",H1152+E1152-K1152-O1152)</f>
        <v>18.8871805392647</v>
      </c>
      <c r="Q1152" s="16" t="n">
        <f aca="false">IF(D1152="","",IF(P1152&gt;=0,K1152,MAX(0,K1152+P1152)))</f>
        <v>0.648</v>
      </c>
      <c r="R1152" s="16" t="n">
        <f aca="false">IF(D1152="","",Q1152/$B$15)</f>
        <v>0.25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18.8871805392647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88.6722091045292</v>
      </c>
      <c r="Z1152" s="18" t="n">
        <f aca="false">IF(D1152="","",MAX(0,IF(P1152&gt;=0,P1152,IF(K1152+P1152&gt;=0,0,P1152+K1152))))</f>
        <v>18.8871805392647</v>
      </c>
      <c r="AA1152" s="18" t="n">
        <f aca="false">IF(D1152="","",IF(H1152&lt;=$B$16,1,IF(H1152&gt;=$B$17,$B$21,MATCH(H1152,Aux_CAV!$A$2:$A$121,1))))</f>
        <v>7</v>
      </c>
      <c r="AB1152" s="18" t="n">
        <f aca="false">IF(D1152="","",IF(L1152&lt;=$B$16,1,IF(L1152&gt;=$B$17,$B$21,MATCH(L1152,Aux_CAV!$A$2:$A$121,1))))</f>
        <v>7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1.40141846723907</v>
      </c>
      <c r="E1153" s="16" t="n">
        <f aca="false">IF(D1153="","",D1153*$B$15)</f>
        <v>3.63247666708367</v>
      </c>
      <c r="F1153" s="16" t="n">
        <f aca="false" t="array" ref="F1153:F1153">IF(D1153="","",IFERROR(INDEX(Dados_Evap!$C$2:$N$15,MATCH($B$9,Dados_Evap!$A$2:$A$15,0),C1153),0))</f>
        <v>124.9</v>
      </c>
      <c r="G1153" s="16" t="n">
        <f aca="false">IF(F1153="","",F1153/1000)</f>
        <v>0.1249</v>
      </c>
      <c r="H1153" s="16" t="n">
        <f aca="false">IF(D1153="","",MAX(0,MIN($B$8,IFERROR(LOOKUP(2,1/($U$24:U1152&lt;&gt;""),$U$24:U1152),$B$11))))</f>
        <v>18.8871805392647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1.18466518758535</v>
      </c>
      <c r="J1153" s="16" t="n">
        <f aca="false">IF(D1153="","",$B$12)</f>
        <v>0.25</v>
      </c>
      <c r="K1153" s="16" t="n">
        <f aca="false">IF(J1153="","",J1153*$B$15)</f>
        <v>0.648</v>
      </c>
      <c r="L1153" s="16" t="n">
        <f aca="false">IF(D1153="","",H1153+E1153-K1153-G1153*I1153)</f>
        <v>21.723692524419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1.23706154207365</v>
      </c>
      <c r="N1153" s="16" t="n">
        <f aca="false">IF(D1153="","",(I1153+M1153)/2)</f>
        <v>1.2108633648295</v>
      </c>
      <c r="O1153" s="16" t="n">
        <f aca="false">IF(D1153="","",G1153*N1153)</f>
        <v>0.151236834267205</v>
      </c>
      <c r="P1153" s="16" t="n">
        <f aca="false">IF(D1153="","",H1153+E1153-K1153-O1153)</f>
        <v>21.7204203720812</v>
      </c>
      <c r="Q1153" s="16" t="n">
        <f aca="false">IF(D1153="","",IF(P1153&gt;=0,K1153,MAX(0,K1153+P1153)))</f>
        <v>0.648</v>
      </c>
      <c r="R1153" s="16" t="n">
        <f aca="false">IF(D1153="","",Q1153/$B$15)</f>
        <v>0.25</v>
      </c>
      <c r="S1153" s="16" t="n">
        <f aca="false">IF(D1153="","",MAX(0,J1153-R1153))</f>
        <v>0</v>
      </c>
      <c r="T1153" s="16" t="n">
        <f aca="false">IF(D1153="","",MAX(0,Z1153-$B$8))</f>
        <v>0.420420372081193</v>
      </c>
      <c r="U1153" s="16" t="n">
        <f aca="false">IF(D1153="","",MAX(0,MIN($B$8,Z1153)))</f>
        <v>21.3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21.7204203720812</v>
      </c>
      <c r="AA1153" s="18" t="n">
        <f aca="false">IF(D1153="","",IF(H1153&lt;=$B$16,1,IF(H1153&gt;=$B$17,$B$21,MATCH(H1153,Aux_CAV!$A$2:$A$121,1))))</f>
        <v>7</v>
      </c>
      <c r="AB1153" s="18" t="n">
        <f aca="false">IF(D1153="","",IF(L1153&lt;=$B$16,1,IF(L1153&gt;=$B$17,$B$21,MATCH(L1153,Aux_CAV!$A$2:$A$121,1))))</f>
        <v>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1.43373332658829</v>
      </c>
      <c r="E1154" s="16" t="n">
        <f aca="false">IF(D1154="","",D1154*$B$15)</f>
        <v>3.71623678251685</v>
      </c>
      <c r="F1154" s="16" t="n">
        <f aca="false" t="array" ref="F1154:F1154">IF(D1154="","",IFERROR(INDEX(Dados_Evap!$C$2:$N$15,MATCH($B$9,Dados_Evap!$A$2:$A$15,0),C1154),0))</f>
        <v>88.2</v>
      </c>
      <c r="G1154" s="16" t="n">
        <f aca="false">IF(F1154="","",F1154/1000)</f>
        <v>0.0882</v>
      </c>
      <c r="H1154" s="16" t="n">
        <f aca="false">IF(D1154="","",MAX(0,MIN($B$8,IFERROR(LOOKUP(2,1/($U$24:U1153&lt;&gt;""),$U$24:U1153),$B$11))))</f>
        <v>21.3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1.23</v>
      </c>
      <c r="J1154" s="16" t="n">
        <f aca="false">IF(D1154="","",$B$12)</f>
        <v>0.25</v>
      </c>
      <c r="K1154" s="16" t="n">
        <f aca="false">IF(J1154="","",J1154*$B$15)</f>
        <v>0.648</v>
      </c>
      <c r="L1154" s="16" t="n">
        <f aca="false">IF(D1154="","",H1154+E1154-K1154-G1154*I1154)</f>
        <v>24.2597507825169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1.29221291232424</v>
      </c>
      <c r="N1154" s="16" t="n">
        <f aca="false">IF(D1154="","",(I1154+M1154)/2)</f>
        <v>1.26110645616212</v>
      </c>
      <c r="O1154" s="16" t="n">
        <f aca="false">IF(D1154="","",G1154*N1154)</f>
        <v>0.111229589433499</v>
      </c>
      <c r="P1154" s="16" t="n">
        <f aca="false">IF(D1154="","",H1154+E1154-K1154-O1154)</f>
        <v>24.2570071930834</v>
      </c>
      <c r="Q1154" s="16" t="n">
        <f aca="false">IF(D1154="","",IF(P1154&gt;=0,K1154,MAX(0,K1154+P1154)))</f>
        <v>0.648</v>
      </c>
      <c r="R1154" s="16" t="n">
        <f aca="false">IF(D1154="","",Q1154/$B$15)</f>
        <v>0.25</v>
      </c>
      <c r="S1154" s="16" t="n">
        <f aca="false">IF(D1154="","",MAX(0,J1154-R1154))</f>
        <v>0</v>
      </c>
      <c r="T1154" s="16" t="n">
        <f aca="false">IF(D1154="","",MAX(0,Z1154-$B$8))</f>
        <v>2.95700719308335</v>
      </c>
      <c r="U1154" s="16" t="n">
        <f aca="false">IF(D1154="","",MAX(0,MIN($B$8,Z1154)))</f>
        <v>21.3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24.2570071930834</v>
      </c>
      <c r="AA1154" s="18" t="n">
        <f aca="false">IF(D1154="","",IF(H1154&lt;=$B$16,1,IF(H1154&gt;=$B$17,$B$21,MATCH(H1154,Aux_CAV!$A$2:$A$121,1))))</f>
        <v>8</v>
      </c>
      <c r="AB1154" s="18" t="n">
        <f aca="false">IF(D1154="","",IF(L1154&lt;=$B$16,1,IF(L1154&gt;=$B$17,$B$21,MATCH(L1154,Aux_CAV!$A$2:$A$121,1))))</f>
        <v>9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0.662996389838137</v>
      </c>
      <c r="E1155" s="16" t="n">
        <f aca="false">IF(D1155="","",D1155*$B$15)</f>
        <v>1.71848664246045</v>
      </c>
      <c r="F1155" s="16" t="n">
        <f aca="false" t="array" ref="F1155:F1155">IF(D1155="","",IFERROR(INDEX(Dados_Evap!$C$2:$N$15,MATCH($B$9,Dados_Evap!$A$2:$A$15,0),C1155),0))</f>
        <v>88.2</v>
      </c>
      <c r="G1155" s="16" t="n">
        <f aca="false">IF(F1155="","",F1155/1000)</f>
        <v>0.0882</v>
      </c>
      <c r="H1155" s="16" t="n">
        <f aca="false">IF(D1155="","",MAX(0,MIN($B$8,IFERROR(LOOKUP(2,1/($U$24:U1154&lt;&gt;""),$U$24:U1154),$B$11))))</f>
        <v>21.3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1.23</v>
      </c>
      <c r="J1155" s="16" t="n">
        <f aca="false">IF(D1155="","",$B$12)</f>
        <v>0.25</v>
      </c>
      <c r="K1155" s="16" t="n">
        <f aca="false">IF(J1155="","",J1155*$B$15)</f>
        <v>0.648</v>
      </c>
      <c r="L1155" s="16" t="n">
        <f aca="false">IF(D1155="","",H1155+E1155-K1155-G1155*I1155)</f>
        <v>22.2620006424605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1.24603334404101</v>
      </c>
      <c r="N1155" s="16" t="n">
        <f aca="false">IF(D1155="","",(I1155+M1155)/2)</f>
        <v>1.2380166720205</v>
      </c>
      <c r="O1155" s="16" t="n">
        <f aca="false">IF(D1155="","",G1155*N1155)</f>
        <v>0.109193070472208</v>
      </c>
      <c r="P1155" s="16" t="n">
        <f aca="false">IF(D1155="","",H1155+E1155-K1155-O1155)</f>
        <v>22.2612935719882</v>
      </c>
      <c r="Q1155" s="16" t="n">
        <f aca="false">IF(D1155="","",IF(P1155&gt;=0,K1155,MAX(0,K1155+P1155)))</f>
        <v>0.648</v>
      </c>
      <c r="R1155" s="16" t="n">
        <f aca="false">IF(D1155="","",Q1155/$B$15)</f>
        <v>0.25</v>
      </c>
      <c r="S1155" s="16" t="n">
        <f aca="false">IF(D1155="","",MAX(0,J1155-R1155))</f>
        <v>0</v>
      </c>
      <c r="T1155" s="16" t="n">
        <f aca="false">IF(D1155="","",MAX(0,Z1155-$B$8))</f>
        <v>0.961293571988243</v>
      </c>
      <c r="U1155" s="16" t="n">
        <f aca="false">IF(D1155="","",MAX(0,MIN($B$8,Z1155)))</f>
        <v>21.3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22.2612935719882</v>
      </c>
      <c r="AA1155" s="18" t="n">
        <f aca="false">IF(D1155="","",IF(H1155&lt;=$B$16,1,IF(H1155&gt;=$B$17,$B$21,MATCH(H1155,Aux_CAV!$A$2:$A$121,1))))</f>
        <v>8</v>
      </c>
      <c r="AB1155" s="18" t="n">
        <f aca="false">IF(D1155="","",IF(L1155&lt;=$B$16,1,IF(L1155&gt;=$B$17,$B$21,MATCH(L1155,Aux_CAV!$A$2:$A$121,1))))</f>
        <v>8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0.350567388577001</v>
      </c>
      <c r="E1156" s="16" t="n">
        <f aca="false">IF(D1156="","",D1156*$B$15)</f>
        <v>0.908670671191587</v>
      </c>
      <c r="F1156" s="16" t="n">
        <f aca="false" t="array" ref="F1156:F1156">IF(D1156="","",IFERROR(INDEX(Dados_Evap!$C$2:$N$15,MATCH($B$9,Dados_Evap!$A$2:$A$15,0),C1156),0))</f>
        <v>83.9</v>
      </c>
      <c r="G1156" s="16" t="n">
        <f aca="false">IF(F1156="","",F1156/1000)</f>
        <v>0.0839</v>
      </c>
      <c r="H1156" s="16" t="n">
        <f aca="false">IF(D1156="","",MAX(0,MIN($B$8,IFERROR(LOOKUP(2,1/($U$24:U1155&lt;&gt;""),$U$24:U1155),$B$11))))</f>
        <v>21.3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1.23</v>
      </c>
      <c r="J1156" s="16" t="n">
        <f aca="false">IF(D1156="","",$B$12)</f>
        <v>0.25</v>
      </c>
      <c r="K1156" s="16" t="n">
        <f aca="false">IF(J1156="","",J1156*$B$15)</f>
        <v>0.648</v>
      </c>
      <c r="L1156" s="16" t="n">
        <f aca="false">IF(D1156="","",H1156+E1156-K1156-G1156*I1156)</f>
        <v>21.4574736711916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1.23262456118653</v>
      </c>
      <c r="N1156" s="16" t="n">
        <f aca="false">IF(D1156="","",(I1156+M1156)/2)</f>
        <v>1.23131228059326</v>
      </c>
      <c r="O1156" s="16" t="n">
        <f aca="false">IF(D1156="","",G1156*N1156)</f>
        <v>0.103307100341775</v>
      </c>
      <c r="P1156" s="16" t="n">
        <f aca="false">IF(D1156="","",H1156+E1156-K1156-O1156)</f>
        <v>21.4573635708498</v>
      </c>
      <c r="Q1156" s="16" t="n">
        <f aca="false">IF(D1156="","",IF(P1156&gt;=0,K1156,MAX(0,K1156+P1156)))</f>
        <v>0.648</v>
      </c>
      <c r="R1156" s="16" t="n">
        <f aca="false">IF(D1156="","",Q1156/$B$15)</f>
        <v>0.25</v>
      </c>
      <c r="S1156" s="16" t="n">
        <f aca="false">IF(D1156="","",MAX(0,J1156-R1156))</f>
        <v>0</v>
      </c>
      <c r="T1156" s="16" t="n">
        <f aca="false">IF(D1156="","",MAX(0,Z1156-$B$8))</f>
        <v>0.157363570849814</v>
      </c>
      <c r="U1156" s="16" t="n">
        <f aca="false">IF(D1156="","",MAX(0,MIN($B$8,Z1156)))</f>
        <v>21.3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21.4573635708498</v>
      </c>
      <c r="AA1156" s="18" t="n">
        <f aca="false">IF(D1156="","",IF(H1156&lt;=$B$16,1,IF(H1156&gt;=$B$17,$B$21,MATCH(H1156,Aux_CAV!$A$2:$A$121,1))))</f>
        <v>8</v>
      </c>
      <c r="AB1156" s="18" t="n">
        <f aca="false">IF(D1156="","",IF(L1156&lt;=$B$16,1,IF(L1156&gt;=$B$17,$B$21,MATCH(L1156,Aux_CAV!$A$2:$A$121,1))))</f>
        <v>8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0.731998802163071</v>
      </c>
      <c r="E1157" s="16" t="n">
        <f aca="false">IF(D1157="","",D1157*$B$15)</f>
        <v>1.89734089520668</v>
      </c>
      <c r="F1157" s="16" t="n">
        <f aca="false" t="array" ref="F1157:F1157">IF(D1157="","",IFERROR(INDEX(Dados_Evap!$C$2:$N$15,MATCH($B$9,Dados_Evap!$A$2:$A$15,0),C1157),0))</f>
        <v>104.7</v>
      </c>
      <c r="G1157" s="16" t="n">
        <f aca="false">IF(F1157="","",F1157/1000)</f>
        <v>0.1047</v>
      </c>
      <c r="H1157" s="16" t="n">
        <f aca="false">IF(D1157="","",MAX(0,MIN($B$8,IFERROR(LOOKUP(2,1/($U$24:U1156&lt;&gt;""),$U$24:U1156),$B$11))))</f>
        <v>21.3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1.23</v>
      </c>
      <c r="J1157" s="16" t="n">
        <f aca="false">IF(D1157="","",$B$12)</f>
        <v>0.25</v>
      </c>
      <c r="K1157" s="16" t="n">
        <f aca="false">IF(J1157="","",J1157*$B$15)</f>
        <v>0.648</v>
      </c>
      <c r="L1157" s="16" t="n">
        <f aca="false">IF(D1157="","",H1157+E1157-K1157-G1157*I1157)</f>
        <v>22.4205598952067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1.24867599825344</v>
      </c>
      <c r="N1157" s="16" t="n">
        <f aca="false">IF(D1157="","",(I1157+M1157)/2)</f>
        <v>1.23933799912672</v>
      </c>
      <c r="O1157" s="16" t="n">
        <f aca="false">IF(D1157="","",G1157*N1157)</f>
        <v>0.129758688508568</v>
      </c>
      <c r="P1157" s="16" t="n">
        <f aca="false">IF(D1157="","",H1157+E1157-K1157-O1157)</f>
        <v>22.4195822066981</v>
      </c>
      <c r="Q1157" s="16" t="n">
        <f aca="false">IF(D1157="","",IF(P1157&gt;=0,K1157,MAX(0,K1157+P1157)))</f>
        <v>0.648</v>
      </c>
      <c r="R1157" s="16" t="n">
        <f aca="false">IF(D1157="","",Q1157/$B$15)</f>
        <v>0.25</v>
      </c>
      <c r="S1157" s="16" t="n">
        <f aca="false">IF(D1157="","",MAX(0,J1157-R1157))</f>
        <v>0</v>
      </c>
      <c r="T1157" s="16" t="n">
        <f aca="false">IF(D1157="","",MAX(0,Z1157-$B$8))</f>
        <v>1.11958220669811</v>
      </c>
      <c r="U1157" s="16" t="n">
        <f aca="false">IF(D1157="","",MAX(0,MIN($B$8,Z1157)))</f>
        <v>21.3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22.4195822066981</v>
      </c>
      <c r="AA1157" s="18" t="n">
        <f aca="false">IF(D1157="","",IF(H1157&lt;=$B$16,1,IF(H1157&gt;=$B$17,$B$21,MATCH(H1157,Aux_CAV!$A$2:$A$121,1))))</f>
        <v>8</v>
      </c>
      <c r="AB1157" s="18" t="n">
        <f aca="false">IF(D1157="","",IF(L1157&lt;=$B$16,1,IF(L1157&gt;=$B$17,$B$21,MATCH(L1157,Aux_CAV!$A$2:$A$121,1))))</f>
        <v>8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0.304367441392189</v>
      </c>
      <c r="E1158" s="16" t="n">
        <f aca="false">IF(D1158="","",D1158*$B$15)</f>
        <v>0.788920408088554</v>
      </c>
      <c r="F1158" s="16" t="n">
        <f aca="false" t="array" ref="F1158:F1158">IF(D1158="","",IFERROR(INDEX(Dados_Evap!$C$2:$N$15,MATCH($B$9,Dados_Evap!$A$2:$A$15,0),C1158),0))</f>
        <v>145.2</v>
      </c>
      <c r="G1158" s="16" t="n">
        <f aca="false">IF(F1158="","",F1158/1000)</f>
        <v>0.1452</v>
      </c>
      <c r="H1158" s="16" t="n">
        <f aca="false">IF(D1158="","",MAX(0,MIN($B$8,IFERROR(LOOKUP(2,1/($U$24:U1157&lt;&gt;""),$U$24:U1157),$B$11))))</f>
        <v>21.3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1.23</v>
      </c>
      <c r="J1158" s="16" t="n">
        <f aca="false">IF(D1158="","",$B$12)</f>
        <v>0.25</v>
      </c>
      <c r="K1158" s="16" t="n">
        <f aca="false">IF(J1158="","",J1158*$B$15)</f>
        <v>0.648</v>
      </c>
      <c r="L1158" s="16" t="n">
        <f aca="false">IF(D1158="","",H1158+E1158-K1158-G1158*I1158)</f>
        <v>21.2623244080886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1.2292921078764</v>
      </c>
      <c r="N1158" s="16" t="n">
        <f aca="false">IF(D1158="","",(I1158+M1158)/2)</f>
        <v>1.2296460539382</v>
      </c>
      <c r="O1158" s="16" t="n">
        <f aca="false">IF(D1158="","",G1158*N1158)</f>
        <v>0.178544607031827</v>
      </c>
      <c r="P1158" s="16" t="n">
        <f aca="false">IF(D1158="","",H1158+E1158-K1158-O1158)</f>
        <v>21.2623758010567</v>
      </c>
      <c r="Q1158" s="16" t="n">
        <f aca="false">IF(D1158="","",IF(P1158&gt;=0,K1158,MAX(0,K1158+P1158)))</f>
        <v>0.648</v>
      </c>
      <c r="R1158" s="16" t="n">
        <f aca="false">IF(D1158="","",Q1158/$B$15)</f>
        <v>0.25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21.2623758010567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99.8233605683414</v>
      </c>
      <c r="Z1158" s="18" t="n">
        <f aca="false">IF(D1158="","",MAX(0,IF(P1158&gt;=0,P1158,IF(K1158+P1158&gt;=0,0,P1158+K1158))))</f>
        <v>21.2623758010567</v>
      </c>
      <c r="AA1158" s="18" t="n">
        <f aca="false">IF(D1158="","",IF(H1158&lt;=$B$16,1,IF(H1158&gt;=$B$17,$B$21,MATCH(H1158,Aux_CAV!$A$2:$A$121,1))))</f>
        <v>8</v>
      </c>
      <c r="AB1158" s="18" t="n">
        <f aca="false">IF(D1158="","",IF(L1158&lt;=$B$16,1,IF(L1158&gt;=$B$17,$B$21,MATCH(L1158,Aux_CAV!$A$2:$A$121,1))))</f>
        <v>7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0.101162130890372</v>
      </c>
      <c r="E1159" s="16" t="n">
        <f aca="false">IF(D1159="","",D1159*$B$15)</f>
        <v>0.262212243267844</v>
      </c>
      <c r="F1159" s="16" t="n">
        <f aca="false" t="array" ref="F1159:F1159">IF(D1159="","",IFERROR(INDEX(Dados_Evap!$C$2:$N$15,MATCH($B$9,Dados_Evap!$A$2:$A$15,0),C1159),0))</f>
        <v>180.9</v>
      </c>
      <c r="G1159" s="16" t="n">
        <f aca="false">IF(F1159="","",F1159/1000)</f>
        <v>0.1809</v>
      </c>
      <c r="H1159" s="16" t="n">
        <f aca="false">IF(D1159="","",MAX(0,MIN($B$8,IFERROR(LOOKUP(2,1/($U$24:U1158&lt;&gt;""),$U$24:U1158),$B$11))))</f>
        <v>21.2623758010567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1.22929307350629</v>
      </c>
      <c r="J1159" s="16" t="n">
        <f aca="false">IF(D1159="","",$B$12)</f>
        <v>0.25</v>
      </c>
      <c r="K1159" s="16" t="n">
        <f aca="false">IF(J1159="","",J1159*$B$15)</f>
        <v>0.648</v>
      </c>
      <c r="L1159" s="16" t="n">
        <f aca="false">IF(D1159="","",H1159+E1159-K1159-G1159*I1159)</f>
        <v>20.6542089273273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1.21786613850928</v>
      </c>
      <c r="N1159" s="16" t="n">
        <f aca="false">IF(D1159="","",(I1159+M1159)/2)</f>
        <v>1.22357960600778</v>
      </c>
      <c r="O1159" s="16" t="n">
        <f aca="false">IF(D1159="","",G1159*N1159)</f>
        <v>0.221345550726808</v>
      </c>
      <c r="P1159" s="16" t="n">
        <f aca="false">IF(D1159="","",H1159+E1159-K1159-O1159)</f>
        <v>20.6552424935978</v>
      </c>
      <c r="Q1159" s="16" t="n">
        <f aca="false">IF(D1159="","",IF(P1159&gt;=0,K1159,MAX(0,K1159+P1159)))</f>
        <v>0.648</v>
      </c>
      <c r="R1159" s="16" t="n">
        <f aca="false">IF(D1159="","",Q1159/$B$15)</f>
        <v>0.25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20.6552424935978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96.9729694535106</v>
      </c>
      <c r="Z1159" s="18" t="n">
        <f aca="false">IF(D1159="","",MAX(0,IF(P1159&gt;=0,P1159,IF(K1159+P1159&gt;=0,0,P1159+K1159))))</f>
        <v>20.6552424935978</v>
      </c>
      <c r="AA1159" s="18" t="n">
        <f aca="false">IF(D1159="","",IF(H1159&lt;=$B$16,1,IF(H1159&gt;=$B$17,$B$21,MATCH(H1159,Aux_CAV!$A$2:$A$121,1))))</f>
        <v>7</v>
      </c>
      <c r="AB1159" s="18" t="n">
        <f aca="false">IF(D1159="","",IF(L1159&lt;=$B$16,1,IF(L1159&gt;=$B$17,$B$21,MATCH(L1159,Aux_CAV!$A$2:$A$121,1))))</f>
        <v>7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0.0774930380527192</v>
      </c>
      <c r="E1160" s="16" t="n">
        <f aca="false">IF(D1160="","",D1160*$B$15)</f>
        <v>0.200861954632648</v>
      </c>
      <c r="F1160" s="16" t="n">
        <f aca="false" t="array" ref="F1160:F1160">IF(D1160="","",IFERROR(INDEX(Dados_Evap!$C$2:$N$15,MATCH($B$9,Dados_Evap!$A$2:$A$15,0),C1160),0))</f>
        <v>208.9</v>
      </c>
      <c r="G1160" s="16" t="n">
        <f aca="false">IF(F1160="","",F1160/1000)</f>
        <v>0.2089</v>
      </c>
      <c r="H1160" s="16" t="n">
        <f aca="false">IF(D1160="","",MAX(0,MIN($B$8,IFERROR(LOOKUP(2,1/($U$24:U1159&lt;&gt;""),$U$24:U1159),$B$11))))</f>
        <v>20.6552424935978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1.21788555833482</v>
      </c>
      <c r="J1160" s="16" t="n">
        <f aca="false">IF(D1160="","",$B$12)</f>
        <v>0.25</v>
      </c>
      <c r="K1160" s="16" t="n">
        <f aca="false">IF(J1160="","",J1160*$B$15)</f>
        <v>0.648</v>
      </c>
      <c r="L1160" s="16" t="n">
        <f aca="false">IF(D1160="","",H1160+E1160-K1160-G1160*I1160)</f>
        <v>19.9536881550943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1.2047039528097</v>
      </c>
      <c r="N1160" s="16" t="n">
        <f aca="false">IF(D1160="","",(I1160+M1160)/2)</f>
        <v>1.21129475557226</v>
      </c>
      <c r="O1160" s="16" t="n">
        <f aca="false">IF(D1160="","",G1160*N1160)</f>
        <v>0.253039474439046</v>
      </c>
      <c r="P1160" s="16" t="n">
        <f aca="false">IF(D1160="","",H1160+E1160-K1160-O1160)</f>
        <v>19.9550649737914</v>
      </c>
      <c r="Q1160" s="16" t="n">
        <f aca="false">IF(D1160="","",IF(P1160&gt;=0,K1160,MAX(0,K1160+P1160)))</f>
        <v>0.648</v>
      </c>
      <c r="R1160" s="16" t="n">
        <f aca="false">IF(D1160="","",Q1160/$B$15)</f>
        <v>0.25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19.9550649737914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93.6857510506637</v>
      </c>
      <c r="Z1160" s="18" t="n">
        <f aca="false">IF(D1160="","",MAX(0,IF(P1160&gt;=0,P1160,IF(K1160+P1160&gt;=0,0,P1160+K1160))))</f>
        <v>19.9550649737914</v>
      </c>
      <c r="AA1160" s="18" t="n">
        <f aca="false">IF(D1160="","",IF(H1160&lt;=$B$16,1,IF(H1160&gt;=$B$17,$B$21,MATCH(H1160,Aux_CAV!$A$2:$A$121,1))))</f>
        <v>7</v>
      </c>
      <c r="AB1160" s="18" t="n">
        <f aca="false">IF(D1160="","",IF(L1160&lt;=$B$16,1,IF(L1160&gt;=$B$17,$B$21,MATCH(L1160,Aux_CAV!$A$2:$A$121,1))))</f>
        <v>7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0.0418504691540522</v>
      </c>
      <c r="E1161" s="16" t="n">
        <f aca="false">IF(D1161="","",D1161*$B$15)</f>
        <v>0.108476416047303</v>
      </c>
      <c r="F1161" s="16" t="n">
        <f aca="false" t="array" ref="F1161:F1161">IF(D1161="","",IFERROR(INDEX(Dados_Evap!$C$2:$N$15,MATCH($B$9,Dados_Evap!$A$2:$A$15,0),C1161),0))</f>
        <v>235.9</v>
      </c>
      <c r="G1161" s="16" t="n">
        <f aca="false">IF(F1161="","",F1161/1000)</f>
        <v>0.2359</v>
      </c>
      <c r="H1161" s="16" t="n">
        <f aca="false">IF(D1161="","",MAX(0,MIN($B$8,IFERROR(LOOKUP(2,1/($U$24:U1160&lt;&gt;""),$U$24:U1160),$B$11))))</f>
        <v>19.9550649737914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1.20472982205454</v>
      </c>
      <c r="J1161" s="16" t="n">
        <f aca="false">IF(D1161="","",$B$12)</f>
        <v>0.25</v>
      </c>
      <c r="K1161" s="16" t="n">
        <f aca="false">IF(J1161="","",J1161*$B$15)</f>
        <v>0.648</v>
      </c>
      <c r="L1161" s="16" t="n">
        <f aca="false">IF(D1161="","",H1161+E1161-K1161-G1161*I1161)</f>
        <v>19.131345624816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1.18925284054978</v>
      </c>
      <c r="N1161" s="16" t="n">
        <f aca="false">IF(D1161="","",(I1161+M1161)/2)</f>
        <v>1.19699133130216</v>
      </c>
      <c r="O1161" s="16" t="n">
        <f aca="false">IF(D1161="","",G1161*N1161)</f>
        <v>0.282370255054179</v>
      </c>
      <c r="P1161" s="16" t="n">
        <f aca="false">IF(D1161="","",H1161+E1161-K1161-O1161)</f>
        <v>19.1331711347845</v>
      </c>
      <c r="Q1161" s="16" t="n">
        <f aca="false">IF(D1161="","",IF(P1161&gt;=0,K1161,MAX(0,K1161+P1161)))</f>
        <v>0.648</v>
      </c>
      <c r="R1161" s="16" t="n">
        <f aca="false">IF(D1161="","",Q1161/$B$15)</f>
        <v>0.25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19.1331711347845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89.8270945295046</v>
      </c>
      <c r="Z1161" s="18" t="n">
        <f aca="false">IF(D1161="","",MAX(0,IF(P1161&gt;=0,P1161,IF(K1161+P1161&gt;=0,0,P1161+K1161))))</f>
        <v>19.1331711347845</v>
      </c>
      <c r="AA1161" s="18" t="n">
        <f aca="false">IF(D1161="","",IF(H1161&lt;=$B$16,1,IF(H1161&gt;=$B$17,$B$21,MATCH(H1161,Aux_CAV!$A$2:$A$121,1))))</f>
        <v>7</v>
      </c>
      <c r="AB1161" s="18" t="n">
        <f aca="false">IF(D1161="","",IF(L1161&lt;=$B$16,1,IF(L1161&gt;=$B$17,$B$21,MATCH(L1161,Aux_CAV!$A$2:$A$121,1))))</f>
        <v>7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0.0232333075071194</v>
      </c>
      <c r="E1162" s="16" t="n">
        <f aca="false">IF(D1162="","",D1162*$B$15)</f>
        <v>0.0602207330584535</v>
      </c>
      <c r="F1162" s="16" t="n">
        <f aca="false" t="array" ref="F1162:F1162">IF(D1162="","",IFERROR(INDEX(Dados_Evap!$C$2:$N$15,MATCH($B$9,Dados_Evap!$A$2:$A$15,0),C1162),0))</f>
        <v>225.9</v>
      </c>
      <c r="G1162" s="16" t="n">
        <f aca="false">IF(F1162="","",F1162/1000)</f>
        <v>0.2259</v>
      </c>
      <c r="H1162" s="16" t="n">
        <f aca="false">IF(D1162="","",MAX(0,MIN($B$8,IFERROR(LOOKUP(2,1/($U$24:U1161&lt;&gt;""),$U$24:U1161),$B$11))))</f>
        <v>19.1331711347845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1.18928714031954</v>
      </c>
      <c r="J1162" s="16" t="n">
        <f aca="false">IF(D1162="","",$B$12)</f>
        <v>0.25</v>
      </c>
      <c r="K1162" s="16" t="n">
        <f aca="false">IF(J1162="","",J1162*$B$15)</f>
        <v>0.648</v>
      </c>
      <c r="L1162" s="16" t="n">
        <f aca="false">IF(D1162="","",H1162+E1162-K1162-G1162*I1162)</f>
        <v>18.2767319028448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1.17319538022047</v>
      </c>
      <c r="N1162" s="16" t="n">
        <f aca="false">IF(D1162="","",(I1162+M1162)/2)</f>
        <v>1.18124126027</v>
      </c>
      <c r="O1162" s="16" t="n">
        <f aca="false">IF(D1162="","",G1162*N1162)</f>
        <v>0.266842400694994</v>
      </c>
      <c r="P1162" s="16" t="n">
        <f aca="false">IF(D1162="","",H1162+E1162-K1162-O1162)</f>
        <v>18.2785494671479</v>
      </c>
      <c r="Q1162" s="16" t="n">
        <f aca="false">IF(D1162="","",IF(P1162&gt;=0,K1162,MAX(0,K1162+P1162)))</f>
        <v>0.648</v>
      </c>
      <c r="R1162" s="16" t="n">
        <f aca="false">IF(D1162="","",Q1162/$B$15)</f>
        <v>0.25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18.2785494671479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85.8147862307415</v>
      </c>
      <c r="Z1162" s="18" t="n">
        <f aca="false">IF(D1162="","",MAX(0,IF(P1162&gt;=0,P1162,IF(K1162+P1162&gt;=0,0,P1162+K1162))))</f>
        <v>18.2785494671479</v>
      </c>
      <c r="AA1162" s="18" t="n">
        <f aca="false">IF(D1162="","",IF(H1162&lt;=$B$16,1,IF(H1162&gt;=$B$17,$B$21,MATCH(H1162,Aux_CAV!$A$2:$A$121,1))))</f>
        <v>7</v>
      </c>
      <c r="AB1162" s="18" t="n">
        <f aca="false">IF(D1162="","",IF(L1162&lt;=$B$16,1,IF(L1162&gt;=$B$17,$B$21,MATCH(L1162,Aux_CAV!$A$2:$A$121,1))))</f>
        <v>7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0.0169805971144421</v>
      </c>
      <c r="E1163" s="16" t="n">
        <f aca="false">IF(D1163="","",D1163*$B$15)</f>
        <v>0.0440137077206339</v>
      </c>
      <c r="F1163" s="16" t="n">
        <f aca="false" t="array" ref="F1163:F1163">IF(D1163="","",IFERROR(INDEX(Dados_Evap!$C$2:$N$15,MATCH($B$9,Dados_Evap!$A$2:$A$15,0),C1163),0))</f>
        <v>206</v>
      </c>
      <c r="G1163" s="16" t="n">
        <f aca="false">IF(F1163="","",F1163/1000)</f>
        <v>0.206</v>
      </c>
      <c r="H1163" s="16" t="n">
        <f aca="false">IF(D1163="","",MAX(0,MIN($B$8,IFERROR(LOOKUP(2,1/($U$24:U1162&lt;&gt;""),$U$24:U1162),$B$11))))</f>
        <v>18.2785494671479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1.17322953069798</v>
      </c>
      <c r="J1163" s="16" t="n">
        <f aca="false">IF(D1163="","",$B$12)</f>
        <v>0.25</v>
      </c>
      <c r="K1163" s="16" t="n">
        <f aca="false">IF(J1163="","",J1163*$B$15)</f>
        <v>0.648</v>
      </c>
      <c r="L1163" s="16" t="n">
        <f aca="false">IF(D1163="","",H1163+E1163-K1163-G1163*I1163)</f>
        <v>17.4328778915448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1.15734008564489</v>
      </c>
      <c r="N1163" s="16" t="n">
        <f aca="false">IF(D1163="","",(I1163+M1163)/2)</f>
        <v>1.16528480817143</v>
      </c>
      <c r="O1163" s="16" t="n">
        <f aca="false">IF(D1163="","",G1163*N1163)</f>
        <v>0.240048670483316</v>
      </c>
      <c r="P1163" s="16" t="n">
        <f aca="false">IF(D1163="","",H1163+E1163-K1163-O1163)</f>
        <v>17.4345145043853</v>
      </c>
      <c r="Q1163" s="16" t="n">
        <f aca="false">IF(D1163="","",IF(P1163&gt;=0,K1163,MAX(0,K1163+P1163)))</f>
        <v>0.648</v>
      </c>
      <c r="R1163" s="16" t="n">
        <f aca="false">IF(D1163="","",Q1163/$B$15)</f>
        <v>0.25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17.4345145043853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81.8521807717618</v>
      </c>
      <c r="Z1163" s="18" t="n">
        <f aca="false">IF(D1163="","",MAX(0,IF(P1163&gt;=0,P1163,IF(K1163+P1163&gt;=0,0,P1163+K1163))))</f>
        <v>17.4345145043853</v>
      </c>
      <c r="AA1163" s="18" t="n">
        <f aca="false">IF(D1163="","",IF(H1163&lt;=$B$16,1,IF(H1163&gt;=$B$17,$B$21,MATCH(H1163,Aux_CAV!$A$2:$A$121,1))))</f>
        <v>7</v>
      </c>
      <c r="AB1163" s="18" t="n">
        <f aca="false">IF(D1163="","",IF(L1163&lt;=$B$16,1,IF(L1163&gt;=$B$17,$B$21,MATCH(L1163,Aux_CAV!$A$2:$A$121,1))))</f>
        <v>7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0.0219123290952324</v>
      </c>
      <c r="E1164" s="16" t="n">
        <f aca="false">IF(D1164="","",D1164*$B$15)</f>
        <v>0.0567967570148424</v>
      </c>
      <c r="F1164" s="16" t="n">
        <f aca="false" t="array" ref="F1164:F1164">IF(D1164="","",IFERROR(INDEX(Dados_Evap!$C$2:$N$15,MATCH($B$9,Dados_Evap!$A$2:$A$15,0),C1164),0))</f>
        <v>165.6</v>
      </c>
      <c r="G1164" s="16" t="n">
        <f aca="false">IF(F1164="","",F1164/1000)</f>
        <v>0.1656</v>
      </c>
      <c r="H1164" s="16" t="n">
        <f aca="false">IF(D1164="","",MAX(0,MIN($B$8,IFERROR(LOOKUP(2,1/($U$24:U1163&lt;&gt;""),$U$24:U1163),$B$11))))</f>
        <v>17.4345145043853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1.15737083619931</v>
      </c>
      <c r="J1164" s="16" t="n">
        <f aca="false">IF(D1164="","",$B$12)</f>
        <v>0.25</v>
      </c>
      <c r="K1164" s="16" t="n">
        <f aca="false">IF(J1164="","",J1164*$B$15)</f>
        <v>0.648</v>
      </c>
      <c r="L1164" s="16" t="n">
        <f aca="false">IF(D1164="","",H1164+E1164-K1164-G1164*I1164)</f>
        <v>16.6516506509255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1.14266149448503</v>
      </c>
      <c r="N1164" s="16" t="n">
        <f aca="false">IF(D1164="","",(I1164+M1164)/2)</f>
        <v>1.15001616534217</v>
      </c>
      <c r="O1164" s="16" t="n">
        <f aca="false">IF(D1164="","",G1164*N1164)</f>
        <v>0.190442676980663</v>
      </c>
      <c r="P1164" s="16" t="n">
        <f aca="false">IF(D1164="","",H1164+E1164-K1164-O1164)</f>
        <v>16.6528685844194</v>
      </c>
      <c r="Q1164" s="16" t="n">
        <f aca="false">IF(D1164="","",IF(P1164&gt;=0,K1164,MAX(0,K1164+P1164)))</f>
        <v>0.648</v>
      </c>
      <c r="R1164" s="16" t="n">
        <f aca="false">IF(D1164="","",Q1164/$B$15)</f>
        <v>0.25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16.6528685844194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78.1824816169927</v>
      </c>
      <c r="Z1164" s="18" t="n">
        <f aca="false">IF(D1164="","",MAX(0,IF(P1164&gt;=0,P1164,IF(K1164+P1164&gt;=0,0,P1164+K1164))))</f>
        <v>16.6528685844194</v>
      </c>
      <c r="AA1164" s="18" t="n">
        <f aca="false">IF(D1164="","",IF(H1164&lt;=$B$16,1,IF(H1164&gt;=$B$17,$B$21,MATCH(H1164,Aux_CAV!$A$2:$A$121,1))))</f>
        <v>7</v>
      </c>
      <c r="AB1164" s="18" t="n">
        <f aca="false">IF(D1164="","",IF(L1164&lt;=$B$16,1,IF(L1164&gt;=$B$17,$B$21,MATCH(L1164,Aux_CAV!$A$2:$A$121,1))))</f>
        <v>7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0.10162218486232</v>
      </c>
      <c r="E1165" s="16" t="n">
        <f aca="false">IF(D1165="","",D1165*$B$15)</f>
        <v>0.263404703163133</v>
      </c>
      <c r="F1165" s="16" t="n">
        <f aca="false" t="array" ref="F1165:F1165">IF(D1165="","",IFERROR(INDEX(Dados_Evap!$C$2:$N$15,MATCH($B$9,Dados_Evap!$A$2:$A$15,0),C1165),0))</f>
        <v>124.9</v>
      </c>
      <c r="G1165" s="16" t="n">
        <f aca="false">IF(F1165="","",F1165/1000)</f>
        <v>0.1249</v>
      </c>
      <c r="H1165" s="16" t="n">
        <f aca="false">IF(D1165="","",MAX(0,MIN($B$8,IFERROR(LOOKUP(2,1/($U$24:U1164&lt;&gt;""),$U$24:U1164),$B$11))))</f>
        <v>16.6528685844194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1.14268437841289</v>
      </c>
      <c r="J1165" s="16" t="n">
        <f aca="false">IF(D1165="","",$B$12)</f>
        <v>0.25</v>
      </c>
      <c r="K1165" s="16" t="n">
        <f aca="false">IF(J1165="","",J1165*$B$15)</f>
        <v>0.648</v>
      </c>
      <c r="L1165" s="16" t="n">
        <f aca="false">IF(D1165="","",H1165+E1165-K1165-G1165*I1165)</f>
        <v>16.1255520087188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1.12764533865448</v>
      </c>
      <c r="N1165" s="16" t="n">
        <f aca="false">IF(D1165="","",(I1165+M1165)/2)</f>
        <v>1.13516485853369</v>
      </c>
      <c r="O1165" s="16" t="n">
        <f aca="false">IF(D1165="","",G1165*N1165)</f>
        <v>0.141782090830857</v>
      </c>
      <c r="P1165" s="16" t="n">
        <f aca="false">IF(D1165="","",H1165+E1165-K1165-O1165)</f>
        <v>16.1264911967517</v>
      </c>
      <c r="Q1165" s="16" t="n">
        <f aca="false">IF(D1165="","",IF(P1165&gt;=0,K1165,MAX(0,K1165+P1165)))</f>
        <v>0.648</v>
      </c>
      <c r="R1165" s="16" t="n">
        <f aca="false">IF(D1165="","",Q1165/$B$15)</f>
        <v>0.25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16.1264911967517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75.7112262758297</v>
      </c>
      <c r="Z1165" s="18" t="n">
        <f aca="false">IF(D1165="","",MAX(0,IF(P1165&gt;=0,P1165,IF(K1165+P1165&gt;=0,0,P1165+K1165))))</f>
        <v>16.1264911967517</v>
      </c>
      <c r="AA1165" s="18" t="n">
        <f aca="false">IF(D1165="","",IF(H1165&lt;=$B$16,1,IF(H1165&gt;=$B$17,$B$21,MATCH(H1165,Aux_CAV!$A$2:$A$121,1))))</f>
        <v>7</v>
      </c>
      <c r="AB1165" s="18" t="n">
        <f aca="false">IF(D1165="","",IF(L1165&lt;=$B$16,1,IF(L1165&gt;=$B$17,$B$21,MATCH(L1165,Aux_CAV!$A$2:$A$121,1))))</f>
        <v>6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0.167913899872067</v>
      </c>
      <c r="E1166" s="16" t="n">
        <f aca="false">IF(D1166="","",D1166*$B$15)</f>
        <v>0.435232828468398</v>
      </c>
      <c r="F1166" s="16" t="n">
        <f aca="false" t="array" ref="F1166:F1166">IF(D1166="","",IFERROR(INDEX(Dados_Evap!$C$2:$N$15,MATCH($B$9,Dados_Evap!$A$2:$A$15,0),C1166),0))</f>
        <v>88.2</v>
      </c>
      <c r="G1166" s="16" t="n">
        <f aca="false">IF(F1166="","",F1166/1000)</f>
        <v>0.0882</v>
      </c>
      <c r="H1166" s="16" t="n">
        <f aca="false">IF(D1166="","",MAX(0,MIN($B$8,IFERROR(LOOKUP(2,1/($U$24:U1165&lt;&gt;""),$U$24:U1165),$B$11))))</f>
        <v>16.1264911967517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1.12767552050053</v>
      </c>
      <c r="J1166" s="16" t="n">
        <f aca="false">IF(D1166="","",$B$12)</f>
        <v>0.25</v>
      </c>
      <c r="K1166" s="16" t="n">
        <f aca="false">IF(J1166="","",J1166*$B$15)</f>
        <v>0.648</v>
      </c>
      <c r="L1166" s="16" t="n">
        <f aca="false">IF(D1166="","",H1166+E1166-K1166-G1166*I1166)</f>
        <v>15.814263044312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1.11764172354122</v>
      </c>
      <c r="N1166" s="16" t="n">
        <f aca="false">IF(D1166="","",(I1166+M1166)/2)</f>
        <v>1.12265862202087</v>
      </c>
      <c r="O1166" s="16" t="n">
        <f aca="false">IF(D1166="","",G1166*N1166)</f>
        <v>0.0990184904622409</v>
      </c>
      <c r="P1166" s="16" t="n">
        <f aca="false">IF(D1166="","",H1166+E1166-K1166-O1166)</f>
        <v>15.8147055347579</v>
      </c>
      <c r="Q1166" s="16" t="n">
        <f aca="false">IF(D1166="","",IF(P1166&gt;=0,K1166,MAX(0,K1166+P1166)))</f>
        <v>0.648</v>
      </c>
      <c r="R1166" s="16" t="n">
        <f aca="false">IF(D1166="","",Q1166/$B$15)</f>
        <v>0.25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15.8147055347579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74.2474438251544</v>
      </c>
      <c r="Z1166" s="18" t="n">
        <f aca="false">IF(D1166="","",MAX(0,IF(P1166&gt;=0,P1166,IF(K1166+P1166&gt;=0,0,P1166+K1166))))</f>
        <v>15.8147055347579</v>
      </c>
      <c r="AA1166" s="18" t="n">
        <f aca="false">IF(D1166="","",IF(H1166&lt;=$B$16,1,IF(H1166&gt;=$B$17,$B$21,MATCH(H1166,Aux_CAV!$A$2:$A$121,1))))</f>
        <v>6</v>
      </c>
      <c r="AB1166" s="18" t="n">
        <f aca="false">IF(D1166="","",IF(L1166&lt;=$B$16,1,IF(L1166&gt;=$B$17,$B$21,MATCH(L1166,Aux_CAV!$A$2:$A$121,1))))</f>
        <v>6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0.566251368467525</v>
      </c>
      <c r="E1167" s="16" t="n">
        <f aca="false">IF(D1167="","",D1167*$B$15)</f>
        <v>1.46772354706783</v>
      </c>
      <c r="F1167" s="16" t="n">
        <f aca="false" t="array" ref="F1167:F1167">IF(D1167="","",IFERROR(INDEX(Dados_Evap!$C$2:$N$15,MATCH($B$9,Dados_Evap!$A$2:$A$15,0),C1167),0))</f>
        <v>88.2</v>
      </c>
      <c r="G1167" s="16" t="n">
        <f aca="false">IF(F1167="","",F1167/1000)</f>
        <v>0.0882</v>
      </c>
      <c r="H1167" s="16" t="n">
        <f aca="false">IF(D1167="","",MAX(0,MIN($B$8,IFERROR(LOOKUP(2,1/($U$24:U1166&lt;&gt;""),$U$24:U1166),$B$11))))</f>
        <v>15.8147055347579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1.11765594346103</v>
      </c>
      <c r="J1167" s="16" t="n">
        <f aca="false">IF(D1167="","",$B$12)</f>
        <v>0.25</v>
      </c>
      <c r="K1167" s="16" t="n">
        <f aca="false">IF(J1167="","",J1167*$B$15)</f>
        <v>0.648</v>
      </c>
      <c r="L1167" s="16" t="n">
        <f aca="false">IF(D1167="","",H1167+E1167-K1167-G1167*I1167)</f>
        <v>16.5358518276124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1.14048573371297</v>
      </c>
      <c r="N1167" s="16" t="n">
        <f aca="false">IF(D1167="","",(I1167+M1167)/2)</f>
        <v>1.129070838587</v>
      </c>
      <c r="O1167" s="16" t="n">
        <f aca="false">IF(D1167="","",G1167*N1167)</f>
        <v>0.0995840479633733</v>
      </c>
      <c r="P1167" s="16" t="n">
        <f aca="false">IF(D1167="","",H1167+E1167-K1167-O1167)</f>
        <v>16.5348450338623</v>
      </c>
      <c r="Q1167" s="16" t="n">
        <f aca="false">IF(D1167="","",IF(P1167&gt;=0,K1167,MAX(0,K1167+P1167)))</f>
        <v>0.648</v>
      </c>
      <c r="R1167" s="16" t="n">
        <f aca="false">IF(D1167="","",Q1167/$B$15)</f>
        <v>0.25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16.5348450338623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77.6283804406682</v>
      </c>
      <c r="Z1167" s="18" t="n">
        <f aca="false">IF(D1167="","",MAX(0,IF(P1167&gt;=0,P1167,IF(K1167+P1167&gt;=0,0,P1167+K1167))))</f>
        <v>16.5348450338623</v>
      </c>
      <c r="AA1167" s="18" t="n">
        <f aca="false">IF(D1167="","",IF(H1167&lt;=$B$16,1,IF(H1167&gt;=$B$17,$B$21,MATCH(H1167,Aux_CAV!$A$2:$A$121,1))))</f>
        <v>6</v>
      </c>
      <c r="AB1167" s="18" t="n">
        <f aca="false">IF(D1167="","",IF(L1167&lt;=$B$16,1,IF(L1167&gt;=$B$17,$B$21,MATCH(L1167,Aux_CAV!$A$2:$A$121,1))))</f>
        <v>7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0.703906492423361</v>
      </c>
      <c r="E1168" s="16" t="n">
        <f aca="false">IF(D1168="","",D1168*$B$15)</f>
        <v>1.82452562836135</v>
      </c>
      <c r="F1168" s="16" t="n">
        <f aca="false" t="array" ref="F1168:F1168">IF(D1168="","",IFERROR(INDEX(Dados_Evap!$C$2:$N$15,MATCH($B$9,Dados_Evap!$A$2:$A$15,0),C1168),0))</f>
        <v>83.9</v>
      </c>
      <c r="G1168" s="16" t="n">
        <f aca="false">IF(F1168="","",F1168/1000)</f>
        <v>0.0839</v>
      </c>
      <c r="H1168" s="16" t="n">
        <f aca="false">IF(D1168="","",MAX(0,MIN($B$8,IFERROR(LOOKUP(2,1/($U$24:U1167&lt;&gt;""),$U$24:U1167),$B$11))))</f>
        <v>16.5348450338623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1.14046681692017</v>
      </c>
      <c r="J1168" s="16" t="n">
        <f aca="false">IF(D1168="","",$B$12)</f>
        <v>0.25</v>
      </c>
      <c r="K1168" s="16" t="n">
        <f aca="false">IF(J1168="","",J1168*$B$15)</f>
        <v>0.648</v>
      </c>
      <c r="L1168" s="16" t="n">
        <f aca="false">IF(D1168="","",H1168+E1168-K1168-G1168*I1168)</f>
        <v>17.6156854962841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1.16077488406379</v>
      </c>
      <c r="N1168" s="16" t="n">
        <f aca="false">IF(D1168="","",(I1168+M1168)/2)</f>
        <v>1.15062085049198</v>
      </c>
      <c r="O1168" s="16" t="n">
        <f aca="false">IF(D1168="","",G1168*N1168)</f>
        <v>0.0965370893562772</v>
      </c>
      <c r="P1168" s="16" t="n">
        <f aca="false">IF(D1168="","",H1168+E1168-K1168-O1168)</f>
        <v>17.6148335728674</v>
      </c>
      <c r="Q1168" s="16" t="n">
        <f aca="false">IF(D1168="","",IF(P1168&gt;=0,K1168,MAX(0,K1168+P1168)))</f>
        <v>0.648</v>
      </c>
      <c r="R1168" s="16" t="n">
        <f aca="false">IF(D1168="","",Q1168/$B$15)</f>
        <v>0.25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17.6148335728674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82.6987491683916</v>
      </c>
      <c r="Z1168" s="18" t="n">
        <f aca="false">IF(D1168="","",MAX(0,IF(P1168&gt;=0,P1168,IF(K1168+P1168&gt;=0,0,P1168+K1168))))</f>
        <v>17.6148335728674</v>
      </c>
      <c r="AA1168" s="18" t="n">
        <f aca="false">IF(D1168="","",IF(H1168&lt;=$B$16,1,IF(H1168&gt;=$B$17,$B$21,MATCH(H1168,Aux_CAV!$A$2:$A$121,1))))</f>
        <v>7</v>
      </c>
      <c r="AB1168" s="18" t="n">
        <f aca="false">IF(D1168="","",IF(L1168&lt;=$B$16,1,IF(L1168&gt;=$B$17,$B$21,MATCH(L1168,Aux_CAV!$A$2:$A$121,1))))</f>
        <v>7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0.417542243627802</v>
      </c>
      <c r="E1169" s="16" t="n">
        <f aca="false">IF(D1169="","",D1169*$B$15)</f>
        <v>1.08226949548326</v>
      </c>
      <c r="F1169" s="16" t="n">
        <f aca="false" t="array" ref="F1169:F1169">IF(D1169="","",IFERROR(INDEX(Dados_Evap!$C$2:$N$15,MATCH($B$9,Dados_Evap!$A$2:$A$15,0),C1169),0))</f>
        <v>104.7</v>
      </c>
      <c r="G1169" s="16" t="n">
        <f aca="false">IF(F1169="","",F1169/1000)</f>
        <v>0.1047</v>
      </c>
      <c r="H1169" s="16" t="n">
        <f aca="false">IF(D1169="","",MAX(0,MIN($B$8,IFERROR(LOOKUP(2,1/($U$24:U1168&lt;&gt;""),$U$24:U1168),$B$11))))</f>
        <v>17.6148335728674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1.160758877152</v>
      </c>
      <c r="J1169" s="16" t="n">
        <f aca="false">IF(D1169="","",$B$12)</f>
        <v>0.25</v>
      </c>
      <c r="K1169" s="16" t="n">
        <f aca="false">IF(J1169="","",J1169*$B$15)</f>
        <v>0.648</v>
      </c>
      <c r="L1169" s="16" t="n">
        <f aca="false">IF(D1169="","",H1169+E1169-K1169-G1169*I1169)</f>
        <v>17.9275716139129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1.16663495725515</v>
      </c>
      <c r="N1169" s="16" t="n">
        <f aca="false">IF(D1169="","",(I1169+M1169)/2)</f>
        <v>1.16369691720357</v>
      </c>
      <c r="O1169" s="16" t="n">
        <f aca="false">IF(D1169="","",G1169*N1169)</f>
        <v>0.121839067231214</v>
      </c>
      <c r="P1169" s="16" t="n">
        <f aca="false">IF(D1169="","",H1169+E1169-K1169-O1169)</f>
        <v>17.9272640011195</v>
      </c>
      <c r="Q1169" s="16" t="n">
        <f aca="false">IF(D1169="","",IF(P1169&gt;=0,K1169,MAX(0,K1169+P1169)))</f>
        <v>0.648</v>
      </c>
      <c r="R1169" s="16" t="n">
        <f aca="false">IF(D1169="","",Q1169/$B$15)</f>
        <v>0.25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17.9272640011195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84.1655586907017</v>
      </c>
      <c r="Z1169" s="18" t="n">
        <f aca="false">IF(D1169="","",MAX(0,IF(P1169&gt;=0,P1169,IF(K1169+P1169&gt;=0,0,P1169+K1169))))</f>
        <v>17.9272640011195</v>
      </c>
      <c r="AA1169" s="18" t="n">
        <f aca="false">IF(D1169="","",IF(H1169&lt;=$B$16,1,IF(H1169&gt;=$B$17,$B$21,MATCH(H1169,Aux_CAV!$A$2:$A$121,1))))</f>
        <v>7</v>
      </c>
      <c r="AB1169" s="18" t="n">
        <f aca="false">IF(D1169="","",IF(L1169&lt;=$B$16,1,IF(L1169&gt;=$B$17,$B$21,MATCH(L1169,Aux_CAV!$A$2:$A$121,1))))</f>
        <v>7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0.0696128894577147</v>
      </c>
      <c r="E1170" s="16" t="n">
        <f aca="false">IF(D1170="","",D1170*$B$15)</f>
        <v>0.180436609474397</v>
      </c>
      <c r="F1170" s="16" t="n">
        <f aca="false" t="array" ref="F1170:F1170">IF(D1170="","",IFERROR(INDEX(Dados_Evap!$C$2:$N$15,MATCH($B$9,Dados_Evap!$A$2:$A$15,0),C1170),0))</f>
        <v>145.2</v>
      </c>
      <c r="G1170" s="16" t="n">
        <f aca="false">IF(F1170="","",F1170/1000)</f>
        <v>0.1452</v>
      </c>
      <c r="H1170" s="16" t="n">
        <f aca="false">IF(D1170="","",MAX(0,MIN($B$8,IFERROR(LOOKUP(2,1/($U$24:U1169&lt;&gt;""),$U$24:U1169),$B$11))))</f>
        <v>17.9272640011195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1.16662917747406</v>
      </c>
      <c r="J1170" s="16" t="n">
        <f aca="false">IF(D1170="","",$B$12)</f>
        <v>0.25</v>
      </c>
      <c r="K1170" s="16" t="n">
        <f aca="false">IF(J1170="","",J1170*$B$15)</f>
        <v>0.648</v>
      </c>
      <c r="L1170" s="16" t="n">
        <f aca="false">IF(D1170="","",H1170+E1170-K1170-G1170*I1170)</f>
        <v>17.2903060540246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1.15466128285224</v>
      </c>
      <c r="N1170" s="16" t="n">
        <f aca="false">IF(D1170="","",(I1170+M1170)/2)</f>
        <v>1.16064523016315</v>
      </c>
      <c r="O1170" s="16" t="n">
        <f aca="false">IF(D1170="","",G1170*N1170)</f>
        <v>0.168525687419689</v>
      </c>
      <c r="P1170" s="16" t="n">
        <f aca="false">IF(D1170="","",H1170+E1170-K1170-O1170)</f>
        <v>17.2911749231742</v>
      </c>
      <c r="Q1170" s="16" t="n">
        <f aca="false">IF(D1170="","",IF(P1170&gt;=0,K1170,MAX(0,K1170+P1170)))</f>
        <v>0.648</v>
      </c>
      <c r="R1170" s="16" t="n">
        <f aca="false">IF(D1170="","",Q1170/$B$15)</f>
        <v>0.25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17.2911749231742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81.179224991428</v>
      </c>
      <c r="Z1170" s="18" t="n">
        <f aca="false">IF(D1170="","",MAX(0,IF(P1170&gt;=0,P1170,IF(K1170+P1170&gt;=0,0,P1170+K1170))))</f>
        <v>17.2911749231742</v>
      </c>
      <c r="AA1170" s="18" t="n">
        <f aca="false">IF(D1170="","",IF(H1170&lt;=$B$16,1,IF(H1170&gt;=$B$17,$B$21,MATCH(H1170,Aux_CAV!$A$2:$A$121,1))))</f>
        <v>7</v>
      </c>
      <c r="AB1170" s="18" t="n">
        <f aca="false">IF(D1170="","",IF(L1170&lt;=$B$16,1,IF(L1170&gt;=$B$17,$B$21,MATCH(L1170,Aux_CAV!$A$2:$A$121,1))))</f>
        <v>7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0.0545840583205691</v>
      </c>
      <c r="E1171" s="16" t="n">
        <f aca="false">IF(D1171="","",D1171*$B$15)</f>
        <v>0.141481879166915</v>
      </c>
      <c r="F1171" s="16" t="n">
        <f aca="false" t="array" ref="F1171:F1171">IF(D1171="","",IFERROR(INDEX(Dados_Evap!$C$2:$N$15,MATCH($B$9,Dados_Evap!$A$2:$A$15,0),C1171),0))</f>
        <v>180.9</v>
      </c>
      <c r="G1171" s="16" t="n">
        <f aca="false">IF(F1171="","",F1171/1000)</f>
        <v>0.1809</v>
      </c>
      <c r="H1171" s="16" t="n">
        <f aca="false">IF(D1171="","",MAX(0,MIN($B$8,IFERROR(LOOKUP(2,1/($U$24:U1170&lt;&gt;""),$U$24:U1170),$B$11))))</f>
        <v>17.2911749231742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1.15467760815985</v>
      </c>
      <c r="J1171" s="16" t="n">
        <f aca="false">IF(D1171="","",$B$12)</f>
        <v>0.25</v>
      </c>
      <c r="K1171" s="16" t="n">
        <f aca="false">IF(J1171="","",J1171*$B$15)</f>
        <v>0.648</v>
      </c>
      <c r="L1171" s="16" t="n">
        <f aca="false">IF(D1171="","",H1171+E1171-K1171-G1171*I1171)</f>
        <v>16.575775623025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1.141235867656</v>
      </c>
      <c r="N1171" s="16" t="n">
        <f aca="false">IF(D1171="","",(I1171+M1171)/2)</f>
        <v>1.14795673790792</v>
      </c>
      <c r="O1171" s="16" t="n">
        <f aca="false">IF(D1171="","",G1171*N1171)</f>
        <v>0.207665373887544</v>
      </c>
      <c r="P1171" s="16" t="n">
        <f aca="false">IF(D1171="","",H1171+E1171-K1171-O1171)</f>
        <v>16.5769914284535</v>
      </c>
      <c r="Q1171" s="16" t="n">
        <f aca="false">IF(D1171="","",IF(P1171&gt;=0,K1171,MAX(0,K1171+P1171)))</f>
        <v>0.648</v>
      </c>
      <c r="R1171" s="16" t="n">
        <f aca="false">IF(D1171="","",Q1171/$B$15)</f>
        <v>0.25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16.5769914284535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77.82625083781</v>
      </c>
      <c r="Z1171" s="18" t="n">
        <f aca="false">IF(D1171="","",MAX(0,IF(P1171&gt;=0,P1171,IF(K1171+P1171&gt;=0,0,P1171+K1171))))</f>
        <v>16.5769914284535</v>
      </c>
      <c r="AA1171" s="18" t="n">
        <f aca="false">IF(D1171="","",IF(H1171&lt;=$B$16,1,IF(H1171&gt;=$B$17,$B$21,MATCH(H1171,Aux_CAV!$A$2:$A$121,1))))</f>
        <v>7</v>
      </c>
      <c r="AB1171" s="18" t="n">
        <f aca="false">IF(D1171="","",IF(L1171&lt;=$B$16,1,IF(L1171&gt;=$B$17,$B$21,MATCH(L1171,Aux_CAV!$A$2:$A$121,1))))</f>
        <v>7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0.0362765908546527</v>
      </c>
      <c r="E1172" s="16" t="n">
        <f aca="false">IF(D1172="","",D1172*$B$15)</f>
        <v>0.0940289234952598</v>
      </c>
      <c r="F1172" s="16" t="n">
        <f aca="false" t="array" ref="F1172:F1172">IF(D1172="","",IFERROR(INDEX(Dados_Evap!$C$2:$N$15,MATCH($B$9,Dados_Evap!$A$2:$A$15,0),C1172),0))</f>
        <v>208.9</v>
      </c>
      <c r="G1172" s="16" t="n">
        <f aca="false">IF(F1172="","",F1172/1000)</f>
        <v>0.2089</v>
      </c>
      <c r="H1172" s="16" t="n">
        <f aca="false">IF(D1172="","",MAX(0,MIN($B$8,IFERROR(LOOKUP(2,1/($U$24:U1171&lt;&gt;""),$U$24:U1171),$B$11))))</f>
        <v>16.5769914284535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1.14125871159934</v>
      </c>
      <c r="J1172" s="16" t="n">
        <f aca="false">IF(D1172="","",$B$12)</f>
        <v>0.25</v>
      </c>
      <c r="K1172" s="16" t="n">
        <f aca="false">IF(J1172="","",J1172*$B$15)</f>
        <v>0.648</v>
      </c>
      <c r="L1172" s="16" t="n">
        <f aca="false">IF(D1172="","",H1172+E1172-K1172-G1172*I1172)</f>
        <v>15.7846114070957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1.11668883538871</v>
      </c>
      <c r="N1172" s="16" t="n">
        <f aca="false">IF(D1172="","",(I1172+M1172)/2)</f>
        <v>1.12897377349402</v>
      </c>
      <c r="O1172" s="16" t="n">
        <f aca="false">IF(D1172="","",G1172*N1172)</f>
        <v>0.235842621282901</v>
      </c>
      <c r="P1172" s="16" t="n">
        <f aca="false">IF(D1172="","",H1172+E1172-K1172-O1172)</f>
        <v>15.7871777306659</v>
      </c>
      <c r="Q1172" s="16" t="n">
        <f aca="false">IF(D1172="","",IF(P1172&gt;=0,K1172,MAX(0,K1172+P1172)))</f>
        <v>0.648</v>
      </c>
      <c r="R1172" s="16" t="n">
        <f aca="false">IF(D1172="","",Q1172/$B$15)</f>
        <v>0.25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15.7871777306659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74.1182053082906</v>
      </c>
      <c r="Z1172" s="18" t="n">
        <f aca="false">IF(D1172="","",MAX(0,IF(P1172&gt;=0,P1172,IF(K1172+P1172&gt;=0,0,P1172+K1172))))</f>
        <v>15.7871777306659</v>
      </c>
      <c r="AA1172" s="18" t="n">
        <f aca="false">IF(D1172="","",IF(H1172&lt;=$B$16,1,IF(H1172&gt;=$B$17,$B$21,MATCH(H1172,Aux_CAV!$A$2:$A$121,1))))</f>
        <v>7</v>
      </c>
      <c r="AB1172" s="18" t="n">
        <f aca="false">IF(D1172="","",IF(L1172&lt;=$B$16,1,IF(L1172&gt;=$B$17,$B$21,MATCH(L1172,Aux_CAV!$A$2:$A$121,1))))</f>
        <v>6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0.0218463281586578</v>
      </c>
      <c r="E1173" s="16" t="n">
        <f aca="false">IF(D1173="","",D1173*$B$15)</f>
        <v>0.056625682587241</v>
      </c>
      <c r="F1173" s="16" t="n">
        <f aca="false" t="array" ref="F1173:F1173">IF(D1173="","",IFERROR(INDEX(Dados_Evap!$C$2:$N$15,MATCH($B$9,Dados_Evap!$A$2:$A$15,0),C1173),0))</f>
        <v>235.9</v>
      </c>
      <c r="G1173" s="16" t="n">
        <f aca="false">IF(F1173="","",F1173/1000)</f>
        <v>0.2359</v>
      </c>
      <c r="H1173" s="16" t="n">
        <f aca="false">IF(D1173="","",MAX(0,MIN($B$8,IFERROR(LOOKUP(2,1/($U$24:U1172&lt;&gt;""),$U$24:U1172),$B$11))))</f>
        <v>15.7871777306659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1.11677130703463</v>
      </c>
      <c r="J1173" s="16" t="n">
        <f aca="false">IF(D1173="","",$B$12)</f>
        <v>0.25</v>
      </c>
      <c r="K1173" s="16" t="n">
        <f aca="false">IF(J1173="","",J1173*$B$15)</f>
        <v>0.648</v>
      </c>
      <c r="L1173" s="16" t="n">
        <f aca="false">IF(D1173="","",H1173+E1173-K1173-G1173*I1173)</f>
        <v>14.9323570619237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1.08930069953252</v>
      </c>
      <c r="N1173" s="16" t="n">
        <f aca="false">IF(D1173="","",(I1173+M1173)/2)</f>
        <v>1.10303600328357</v>
      </c>
      <c r="O1173" s="16" t="n">
        <f aca="false">IF(D1173="","",G1173*N1173)</f>
        <v>0.260206193174595</v>
      </c>
      <c r="P1173" s="16" t="n">
        <f aca="false">IF(D1173="","",H1173+E1173-K1173-O1173)</f>
        <v>14.9355972200785</v>
      </c>
      <c r="Q1173" s="16" t="n">
        <f aca="false">IF(D1173="","",IF(P1173&gt;=0,K1173,MAX(0,K1173+P1173)))</f>
        <v>0.648</v>
      </c>
      <c r="R1173" s="16" t="n">
        <f aca="false">IF(D1173="","",Q1173/$B$15)</f>
        <v>0.25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14.9355972200785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70.1201747421528</v>
      </c>
      <c r="Z1173" s="18" t="n">
        <f aca="false">IF(D1173="","",MAX(0,IF(P1173&gt;=0,P1173,IF(K1173+P1173&gt;=0,0,P1173+K1173))))</f>
        <v>14.9355972200785</v>
      </c>
      <c r="AA1173" s="18" t="n">
        <f aca="false">IF(D1173="","",IF(H1173&lt;=$B$16,1,IF(H1173&gt;=$B$17,$B$21,MATCH(H1173,Aux_CAV!$A$2:$A$121,1))))</f>
        <v>6</v>
      </c>
      <c r="AB1173" s="18" t="n">
        <f aca="false">IF(D1173="","",IF(L1173&lt;=$B$16,1,IF(L1173&gt;=$B$17,$B$21,MATCH(L1173,Aux_CAV!$A$2:$A$121,1))))</f>
        <v>6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0.0122067498024266</v>
      </c>
      <c r="E1174" s="16" t="n">
        <f aca="false">IF(D1174="","",D1174*$B$15)</f>
        <v>0.0316398954878898</v>
      </c>
      <c r="F1174" s="16" t="n">
        <f aca="false" t="array" ref="F1174:F1174">IF(D1174="","",IFERROR(INDEX(Dados_Evap!$C$2:$N$15,MATCH($B$9,Dados_Evap!$A$2:$A$15,0),C1174),0))</f>
        <v>225.9</v>
      </c>
      <c r="G1174" s="16" t="n">
        <f aca="false">IF(F1174="","",F1174/1000)</f>
        <v>0.2259</v>
      </c>
      <c r="H1174" s="16" t="n">
        <f aca="false">IF(D1174="","",MAX(0,MIN($B$8,IFERROR(LOOKUP(2,1/($U$24:U1173&lt;&gt;""),$U$24:U1173),$B$11))))</f>
        <v>14.9355972200785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1.08940482559799</v>
      </c>
      <c r="J1174" s="16" t="n">
        <f aca="false">IF(D1174="","",$B$12)</f>
        <v>0.25</v>
      </c>
      <c r="K1174" s="16" t="n">
        <f aca="false">IF(J1174="","",J1174*$B$15)</f>
        <v>0.648</v>
      </c>
      <c r="L1174" s="16" t="n">
        <f aca="false">IF(D1174="","",H1174+E1174-K1174-G1174*I1174)</f>
        <v>14.0731405654638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1.06168882724553</v>
      </c>
      <c r="N1174" s="16" t="n">
        <f aca="false">IF(D1174="","",(I1174+M1174)/2)</f>
        <v>1.07554682642176</v>
      </c>
      <c r="O1174" s="16" t="n">
        <f aca="false">IF(D1174="","",G1174*N1174)</f>
        <v>0.242966028088675</v>
      </c>
      <c r="P1174" s="16" t="n">
        <f aca="false">IF(D1174="","",H1174+E1174-K1174-O1174)</f>
        <v>14.0762710874778</v>
      </c>
      <c r="Q1174" s="16" t="n">
        <f aca="false">IF(D1174="","",IF(P1174&gt;=0,K1174,MAX(0,K1174+P1174)))</f>
        <v>0.648</v>
      </c>
      <c r="R1174" s="16" t="n">
        <f aca="false">IF(D1174="","",Q1174/$B$15)</f>
        <v>0.25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14.0762710874778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66.0857797534167</v>
      </c>
      <c r="Z1174" s="18" t="n">
        <f aca="false">IF(D1174="","",MAX(0,IF(P1174&gt;=0,P1174,IF(K1174+P1174&gt;=0,0,P1174+K1174))))</f>
        <v>14.0762710874778</v>
      </c>
      <c r="AA1174" s="18" t="n">
        <f aca="false">IF(D1174="","",IF(H1174&lt;=$B$16,1,IF(H1174&gt;=$B$17,$B$21,MATCH(H1174,Aux_CAV!$A$2:$A$121,1))))</f>
        <v>6</v>
      </c>
      <c r="AB1174" s="18" t="n">
        <f aca="false">IF(D1174="","",IF(L1174&lt;=$B$16,1,IF(L1174&gt;=$B$17,$B$21,MATCH(L1174,Aux_CAV!$A$2:$A$121,1))))</f>
        <v>6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0.0110270294714574</v>
      </c>
      <c r="E1175" s="16" t="n">
        <f aca="false">IF(D1175="","",D1175*$B$15)</f>
        <v>0.0285820603900176</v>
      </c>
      <c r="F1175" s="16" t="n">
        <f aca="false" t="array" ref="F1175:F1175">IF(D1175="","",IFERROR(INDEX(Dados_Evap!$C$2:$N$15,MATCH($B$9,Dados_Evap!$A$2:$A$15,0),C1175),0))</f>
        <v>206</v>
      </c>
      <c r="G1175" s="16" t="n">
        <f aca="false">IF(F1175="","",F1175/1000)</f>
        <v>0.206</v>
      </c>
      <c r="H1175" s="16" t="n">
        <f aca="false">IF(D1175="","",MAX(0,MIN($B$8,IFERROR(LOOKUP(2,1/($U$24:U1174&lt;&gt;""),$U$24:U1174),$B$11))))</f>
        <v>14.0762710874778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1.06178943003237</v>
      </c>
      <c r="J1175" s="16" t="n">
        <f aca="false">IF(D1175="","",$B$12)</f>
        <v>0.25</v>
      </c>
      <c r="K1175" s="16" t="n">
        <f aca="false">IF(J1175="","",J1175*$B$15)</f>
        <v>0.648</v>
      </c>
      <c r="L1175" s="16" t="n">
        <f aca="false">IF(D1175="","",H1175+E1175-K1175-G1175*I1175)</f>
        <v>13.2381245252811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1.03485466338332</v>
      </c>
      <c r="N1175" s="16" t="n">
        <f aca="false">IF(D1175="","",(I1175+M1175)/2)</f>
        <v>1.04832204670785</v>
      </c>
      <c r="O1175" s="16" t="n">
        <f aca="false">IF(D1175="","",G1175*N1175)</f>
        <v>0.215954341621816</v>
      </c>
      <c r="P1175" s="16" t="n">
        <f aca="false">IF(D1175="","",H1175+E1175-K1175-O1175)</f>
        <v>13.240898806246</v>
      </c>
      <c r="Q1175" s="16" t="n">
        <f aca="false">IF(D1175="","",IF(P1175&gt;=0,K1175,MAX(0,K1175+P1175)))</f>
        <v>0.648</v>
      </c>
      <c r="R1175" s="16" t="n">
        <f aca="false">IF(D1175="","",Q1175/$B$15)</f>
        <v>0.25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13.240898806246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62.1638441607791</v>
      </c>
      <c r="Z1175" s="18" t="n">
        <f aca="false">IF(D1175="","",MAX(0,IF(P1175&gt;=0,P1175,IF(K1175+P1175&gt;=0,0,P1175+K1175))))</f>
        <v>13.240898806246</v>
      </c>
      <c r="AA1175" s="18" t="n">
        <f aca="false">IF(D1175="","",IF(H1175&lt;=$B$16,1,IF(H1175&gt;=$B$17,$B$21,MATCH(H1175,Aux_CAV!$A$2:$A$121,1))))</f>
        <v>6</v>
      </c>
      <c r="AB1175" s="18" t="n">
        <f aca="false">IF(D1175="","",IF(L1175&lt;=$B$16,1,IF(L1175&gt;=$B$17,$B$21,MATCH(L1175,Aux_CAV!$A$2:$A$121,1))))</f>
        <v>6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0.0219419571212485</v>
      </c>
      <c r="E1176" s="16" t="n">
        <f aca="false">IF(D1176="","",D1176*$B$15)</f>
        <v>0.0568735528582761</v>
      </c>
      <c r="F1176" s="16" t="n">
        <f aca="false" t="array" ref="F1176:F1176">IF(D1176="","",IFERROR(INDEX(Dados_Evap!$C$2:$N$15,MATCH($B$9,Dados_Evap!$A$2:$A$15,0),C1176),0))</f>
        <v>165.6</v>
      </c>
      <c r="G1176" s="16" t="n">
        <f aca="false">IF(F1176="","",F1176/1000)</f>
        <v>0.1656</v>
      </c>
      <c r="H1176" s="16" t="n">
        <f aca="false">IF(D1176="","",MAX(0,MIN($B$8,IFERROR(LOOKUP(2,1/($U$24:U1175&lt;&gt;""),$U$24:U1175),$B$11))))</f>
        <v>13.240898806246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1.0349438179701</v>
      </c>
      <c r="J1176" s="16" t="n">
        <f aca="false">IF(D1176="","",$B$12)</f>
        <v>0.25</v>
      </c>
      <c r="K1176" s="16" t="n">
        <f aca="false">IF(J1176="","",J1176*$B$15)</f>
        <v>0.648</v>
      </c>
      <c r="L1176" s="16" t="n">
        <f aca="false">IF(D1176="","",H1176+E1176-K1176-G1176*I1176)</f>
        <v>12.4783856628484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1.01043961487414</v>
      </c>
      <c r="N1176" s="16" t="n">
        <f aca="false">IF(D1176="","",(I1176+M1176)/2)</f>
        <v>1.02269171642212</v>
      </c>
      <c r="O1176" s="16" t="n">
        <f aca="false">IF(D1176="","",G1176*N1176)</f>
        <v>0.169357748239503</v>
      </c>
      <c r="P1176" s="16" t="n">
        <f aca="false">IF(D1176="","",H1176+E1176-K1176-O1176)</f>
        <v>12.4804146108647</v>
      </c>
      <c r="Q1176" s="16" t="n">
        <f aca="false">IF(D1176="","",IF(P1176&gt;=0,K1176,MAX(0,K1176+P1176)))</f>
        <v>0.648</v>
      </c>
      <c r="R1176" s="16" t="n">
        <f aca="false">IF(D1176="","",Q1176/$B$15)</f>
        <v>0.25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12.4804146108647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58.593495825656</v>
      </c>
      <c r="Z1176" s="18" t="n">
        <f aca="false">IF(D1176="","",MAX(0,IF(P1176&gt;=0,P1176,IF(K1176+P1176&gt;=0,0,P1176+K1176))))</f>
        <v>12.4804146108647</v>
      </c>
      <c r="AA1176" s="18" t="n">
        <f aca="false">IF(D1176="","",IF(H1176&lt;=$B$16,1,IF(H1176&gt;=$B$17,$B$21,MATCH(H1176,Aux_CAV!$A$2:$A$121,1))))</f>
        <v>6</v>
      </c>
      <c r="AB1176" s="18" t="n">
        <f aca="false">IF(D1176="","",IF(L1176&lt;=$B$16,1,IF(L1176&gt;=$B$17,$B$21,MATCH(L1176,Aux_CAV!$A$2:$A$121,1))))</f>
        <v>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0.193414324031578</v>
      </c>
      <c r="E1177" s="16" t="n">
        <f aca="false">IF(D1177="","",D1177*$B$15)</f>
        <v>0.50132992788985</v>
      </c>
      <c r="F1177" s="16" t="n">
        <f aca="false" t="array" ref="F1177:F1177">IF(D1177="","",IFERROR(INDEX(Dados_Evap!$C$2:$N$15,MATCH($B$9,Dados_Evap!$A$2:$A$15,0),C1177),0))</f>
        <v>124.9</v>
      </c>
      <c r="G1177" s="16" t="n">
        <f aca="false">IF(F1177="","",F1177/1000)</f>
        <v>0.1249</v>
      </c>
      <c r="H1177" s="16" t="n">
        <f aca="false">IF(D1177="","",MAX(0,MIN($B$8,IFERROR(LOOKUP(2,1/($U$24:U1176&lt;&gt;""),$U$24:U1176),$B$11))))</f>
        <v>12.4804146108647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1.01050481736238</v>
      </c>
      <c r="J1177" s="16" t="n">
        <f aca="false">IF(D1177="","",$B$12)</f>
        <v>0.25</v>
      </c>
      <c r="K1177" s="16" t="n">
        <f aca="false">IF(J1177="","",J1177*$B$15)</f>
        <v>0.648</v>
      </c>
      <c r="L1177" s="16" t="n">
        <f aca="false">IF(D1177="","",H1177+E1177-K1177-G1177*I1177)</f>
        <v>12.207532487066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1.00173544854465</v>
      </c>
      <c r="N1177" s="16" t="n">
        <f aca="false">IF(D1177="","",(I1177+M1177)/2)</f>
        <v>1.00612013295352</v>
      </c>
      <c r="O1177" s="16" t="n">
        <f aca="false">IF(D1177="","",G1177*N1177)</f>
        <v>0.125664404605894</v>
      </c>
      <c r="P1177" s="16" t="n">
        <f aca="false">IF(D1177="","",H1177+E1177-K1177-O1177)</f>
        <v>12.2080801341487</v>
      </c>
      <c r="Q1177" s="16" t="n">
        <f aca="false">IF(D1177="","",IF(P1177&gt;=0,K1177,MAX(0,K1177+P1177)))</f>
        <v>0.648</v>
      </c>
      <c r="R1177" s="16" t="n">
        <f aca="false">IF(D1177="","",Q1177/$B$15)</f>
        <v>0.25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12.2080801341487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57.3149302072708</v>
      </c>
      <c r="Z1177" s="18" t="n">
        <f aca="false">IF(D1177="","",MAX(0,IF(P1177&gt;=0,P1177,IF(K1177+P1177&gt;=0,0,P1177+K1177))))</f>
        <v>12.2080801341487</v>
      </c>
      <c r="AA1177" s="18" t="n">
        <f aca="false">IF(D1177="","",IF(H1177&lt;=$B$16,1,IF(H1177&gt;=$B$17,$B$21,MATCH(H1177,Aux_CAV!$A$2:$A$121,1))))</f>
        <v>6</v>
      </c>
      <c r="AB1177" s="18" t="n">
        <f aca="false">IF(D1177="","",IF(L1177&lt;=$B$16,1,IF(L1177&gt;=$B$17,$B$21,MATCH(L1177,Aux_CAV!$A$2:$A$121,1))))</f>
        <v>6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0.868695799135953</v>
      </c>
      <c r="E1178" s="16" t="n">
        <f aca="false">IF(D1178="","",D1178*$B$15)</f>
        <v>2.25165951136039</v>
      </c>
      <c r="F1178" s="16" t="n">
        <f aca="false" t="array" ref="F1178:F1178">IF(D1178="","",IFERROR(INDEX(Dados_Evap!$C$2:$N$15,MATCH($B$9,Dados_Evap!$A$2:$A$15,0),C1178),0))</f>
        <v>88.2</v>
      </c>
      <c r="G1178" s="16" t="n">
        <f aca="false">IF(F1178="","",F1178/1000)</f>
        <v>0.0882</v>
      </c>
      <c r="H1178" s="16" t="n">
        <f aca="false">IF(D1178="","",MAX(0,MIN($B$8,IFERROR(LOOKUP(2,1/($U$24:U1177&lt;&gt;""),$U$24:U1177),$B$11))))</f>
        <v>12.2080801341487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1.00175304778928</v>
      </c>
      <c r="J1178" s="16" t="n">
        <f aca="false">IF(D1178="","",$B$12)</f>
        <v>0.25</v>
      </c>
      <c r="K1178" s="16" t="n">
        <f aca="false">IF(J1178="","",J1178*$B$15)</f>
        <v>0.648</v>
      </c>
      <c r="L1178" s="16" t="n">
        <f aca="false">IF(D1178="","",H1178+E1178-K1178-G1178*I1178)</f>
        <v>13.7233850266941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1.05044904622646</v>
      </c>
      <c r="N1178" s="16" t="n">
        <f aca="false">IF(D1178="","",(I1178+M1178)/2)</f>
        <v>1.02610104700787</v>
      </c>
      <c r="O1178" s="16" t="n">
        <f aca="false">IF(D1178="","",G1178*N1178)</f>
        <v>0.0905021123460942</v>
      </c>
      <c r="P1178" s="16" t="n">
        <f aca="false">IF(D1178="","",H1178+E1178-K1178-O1178)</f>
        <v>13.721237533163</v>
      </c>
      <c r="Q1178" s="16" t="n">
        <f aca="false">IF(D1178="","",IF(P1178&gt;=0,K1178,MAX(0,K1178+P1178)))</f>
        <v>0.648</v>
      </c>
      <c r="R1178" s="16" t="n">
        <f aca="false">IF(D1178="","",Q1178/$B$15)</f>
        <v>0.25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13.721237533163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64.4189555547558</v>
      </c>
      <c r="Z1178" s="18" t="n">
        <f aca="false">IF(D1178="","",MAX(0,IF(P1178&gt;=0,P1178,IF(K1178+P1178&gt;=0,0,P1178+K1178))))</f>
        <v>13.721237533163</v>
      </c>
      <c r="AA1178" s="18" t="n">
        <f aca="false">IF(D1178="","",IF(H1178&lt;=$B$16,1,IF(H1178&gt;=$B$17,$B$21,MATCH(H1178,Aux_CAV!$A$2:$A$121,1))))</f>
        <v>6</v>
      </c>
      <c r="AB1178" s="18" t="n">
        <f aca="false">IF(D1178="","",IF(L1178&lt;=$B$16,1,IF(L1178&gt;=$B$17,$B$21,MATCH(L1178,Aux_CAV!$A$2:$A$121,1))))</f>
        <v>6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1.60887664726562</v>
      </c>
      <c r="E1179" s="16" t="n">
        <f aca="false">IF(D1179="","",D1179*$B$15)</f>
        <v>4.17020826971249</v>
      </c>
      <c r="F1179" s="16" t="n">
        <f aca="false" t="array" ref="F1179:F1179">IF(D1179="","",IFERROR(INDEX(Dados_Evap!$C$2:$N$15,MATCH($B$9,Dados_Evap!$A$2:$A$15,0),C1179),0))</f>
        <v>88.2</v>
      </c>
      <c r="G1179" s="16" t="n">
        <f aca="false">IF(F1179="","",F1179/1000)</f>
        <v>0.0882</v>
      </c>
      <c r="H1179" s="16" t="n">
        <f aca="false">IF(D1179="","",MAX(0,MIN($B$8,IFERROR(LOOKUP(2,1/($U$24:U1178&lt;&gt;""),$U$24:U1178),$B$11))))</f>
        <v>13.721237533163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1.05038003414701</v>
      </c>
      <c r="J1179" s="16" t="n">
        <f aca="false">IF(D1179="","",$B$12)</f>
        <v>0.25</v>
      </c>
      <c r="K1179" s="16" t="n">
        <f aca="false">IF(J1179="","",J1179*$B$15)</f>
        <v>0.648</v>
      </c>
      <c r="L1179" s="16" t="n">
        <f aca="false">IF(D1179="","",H1179+E1179-K1179-G1179*I1179)</f>
        <v>17.1508022838637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1.15204012641915</v>
      </c>
      <c r="N1179" s="16" t="n">
        <f aca="false">IF(D1179="","",(I1179+M1179)/2)</f>
        <v>1.10121008028308</v>
      </c>
      <c r="O1179" s="16" t="n">
        <f aca="false">IF(D1179="","",G1179*N1179)</f>
        <v>0.0971267290809679</v>
      </c>
      <c r="P1179" s="16" t="n">
        <f aca="false">IF(D1179="","",H1179+E1179-K1179-O1179)</f>
        <v>17.1463190737945</v>
      </c>
      <c r="Q1179" s="16" t="n">
        <f aca="false">IF(D1179="","",IF(P1179&gt;=0,K1179,MAX(0,K1179+P1179)))</f>
        <v>0.648</v>
      </c>
      <c r="R1179" s="16" t="n">
        <f aca="false">IF(D1179="","",Q1179/$B$15)</f>
        <v>0.25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17.1463190737945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80.4991505811948</v>
      </c>
      <c r="Z1179" s="18" t="n">
        <f aca="false">IF(D1179="","",MAX(0,IF(P1179&gt;=0,P1179,IF(K1179+P1179&gt;=0,0,P1179+K1179))))</f>
        <v>17.1463190737945</v>
      </c>
      <c r="AA1179" s="18" t="n">
        <f aca="false">IF(D1179="","",IF(H1179&lt;=$B$16,1,IF(H1179&gt;=$B$17,$B$21,MATCH(H1179,Aux_CAV!$A$2:$A$121,1))))</f>
        <v>6</v>
      </c>
      <c r="AB1179" s="18" t="n">
        <f aca="false">IF(D1179="","",IF(L1179&lt;=$B$16,1,IF(L1179&gt;=$B$17,$B$21,MATCH(L1179,Aux_CAV!$A$2:$A$121,1))))</f>
        <v>7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0.992538148976624</v>
      </c>
      <c r="E1180" s="16" t="n">
        <f aca="false">IF(D1180="","",D1180*$B$15)</f>
        <v>2.57265888214741</v>
      </c>
      <c r="F1180" s="16" t="n">
        <f aca="false" t="array" ref="F1180:F1180">IF(D1180="","",IFERROR(INDEX(Dados_Evap!$C$2:$N$15,MATCH($B$9,Dados_Evap!$A$2:$A$15,0),C1180),0))</f>
        <v>83.9</v>
      </c>
      <c r="G1180" s="16" t="n">
        <f aca="false">IF(F1180="","",F1180/1000)</f>
        <v>0.0839</v>
      </c>
      <c r="H1180" s="16" t="n">
        <f aca="false">IF(D1180="","",MAX(0,MIN($B$8,IFERROR(LOOKUP(2,1/($U$24:U1179&lt;&gt;""),$U$24:U1179),$B$11))))</f>
        <v>17.1463190737945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1.15195589073935</v>
      </c>
      <c r="J1180" s="16" t="n">
        <f aca="false">IF(D1180="","",$B$12)</f>
        <v>0.25</v>
      </c>
      <c r="K1180" s="16" t="n">
        <f aca="false">IF(J1180="","",J1180*$B$15)</f>
        <v>0.648</v>
      </c>
      <c r="L1180" s="16" t="n">
        <f aca="false">IF(D1180="","",H1180+E1180-K1180-G1180*I1180)</f>
        <v>18.9743288567089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1.18630262987553</v>
      </c>
      <c r="N1180" s="16" t="n">
        <f aca="false">IF(D1180="","",(I1180+M1180)/2)</f>
        <v>1.16912926030744</v>
      </c>
      <c r="O1180" s="16" t="n">
        <f aca="false">IF(D1180="","",G1180*N1180)</f>
        <v>0.0980899449397945</v>
      </c>
      <c r="P1180" s="16" t="n">
        <f aca="false">IF(D1180="","",H1180+E1180-K1180-O1180)</f>
        <v>18.9728880110021</v>
      </c>
      <c r="Q1180" s="16" t="n">
        <f aca="false">IF(D1180="","",IF(P1180&gt;=0,K1180,MAX(0,K1180+P1180)))</f>
        <v>0.648</v>
      </c>
      <c r="R1180" s="16" t="n">
        <f aca="false">IF(D1180="","",Q1180/$B$15)</f>
        <v>0.25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18.9728880110021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89.0745916009489</v>
      </c>
      <c r="Z1180" s="18" t="n">
        <f aca="false">IF(D1180="","",MAX(0,IF(P1180&gt;=0,P1180,IF(K1180+P1180&gt;=0,0,P1180+K1180))))</f>
        <v>18.9728880110021</v>
      </c>
      <c r="AA1180" s="18" t="n">
        <f aca="false">IF(D1180="","",IF(H1180&lt;=$B$16,1,IF(H1180&gt;=$B$17,$B$21,MATCH(H1180,Aux_CAV!$A$2:$A$121,1))))</f>
        <v>7</v>
      </c>
      <c r="AB1180" s="18" t="n">
        <f aca="false">IF(D1180="","",IF(L1180&lt;=$B$16,1,IF(L1180&gt;=$B$17,$B$21,MATCH(L1180,Aux_CAV!$A$2:$A$121,1))))</f>
        <v>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0.571573341516873</v>
      </c>
      <c r="E1181" s="16" t="n">
        <f aca="false">IF(D1181="","",D1181*$B$15)</f>
        <v>1.48151810121173</v>
      </c>
      <c r="F1181" s="16" t="n">
        <f aca="false" t="array" ref="F1181:F1181">IF(D1181="","",IFERROR(INDEX(Dados_Evap!$C$2:$N$15,MATCH($B$9,Dados_Evap!$A$2:$A$15,0),C1181),0))</f>
        <v>104.7</v>
      </c>
      <c r="G1181" s="16" t="n">
        <f aca="false">IF(F1181="","",F1181/1000)</f>
        <v>0.1047</v>
      </c>
      <c r="H1181" s="16" t="n">
        <f aca="false">IF(D1181="","",MAX(0,MIN($B$8,IFERROR(LOOKUP(2,1/($U$24:U1180&lt;&gt;""),$U$24:U1180),$B$11))))</f>
        <v>18.9728880110021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1.18627555761799</v>
      </c>
      <c r="J1181" s="16" t="n">
        <f aca="false">IF(D1181="","",$B$12)</f>
        <v>0.25</v>
      </c>
      <c r="K1181" s="16" t="n">
        <f aca="false">IF(J1181="","",J1181*$B$15)</f>
        <v>0.648</v>
      </c>
      <c r="L1181" s="16" t="n">
        <f aca="false">IF(D1181="","",H1181+E1181-K1181-G1181*I1181)</f>
        <v>19.6822030613312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1.19960298027553</v>
      </c>
      <c r="N1181" s="16" t="n">
        <f aca="false">IF(D1181="","",(I1181+M1181)/2)</f>
        <v>1.19293926894676</v>
      </c>
      <c r="O1181" s="16" t="n">
        <f aca="false">IF(D1181="","",G1181*N1181)</f>
        <v>0.124900741458726</v>
      </c>
      <c r="P1181" s="16" t="n">
        <f aca="false">IF(D1181="","",H1181+E1181-K1181-O1181)</f>
        <v>19.6815053707551</v>
      </c>
      <c r="Q1181" s="16" t="n">
        <f aca="false">IF(D1181="","",IF(P1181&gt;=0,K1181,MAX(0,K1181+P1181)))</f>
        <v>0.648</v>
      </c>
      <c r="R1181" s="16" t="n">
        <f aca="false">IF(D1181="","",Q1181/$B$15)</f>
        <v>0.25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19.6815053707551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92.401433665517</v>
      </c>
      <c r="Z1181" s="18" t="n">
        <f aca="false">IF(D1181="","",MAX(0,IF(P1181&gt;=0,P1181,IF(K1181+P1181&gt;=0,0,P1181+K1181))))</f>
        <v>19.6815053707551</v>
      </c>
      <c r="AA1181" s="18" t="n">
        <f aca="false">IF(D1181="","",IF(H1181&lt;=$B$16,1,IF(H1181&gt;=$B$17,$B$21,MATCH(H1181,Aux_CAV!$A$2:$A$121,1))))</f>
        <v>7</v>
      </c>
      <c r="AB1181" s="18" t="n">
        <f aca="false">IF(D1181="","",IF(L1181&lt;=$B$16,1,IF(L1181&gt;=$B$17,$B$21,MATCH(L1181,Aux_CAV!$A$2:$A$121,1))))</f>
        <v>7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0.231763692896125</v>
      </c>
      <c r="E1182" s="16" t="n">
        <f aca="false">IF(D1182="","",D1182*$B$15)</f>
        <v>0.600731491986756</v>
      </c>
      <c r="F1182" s="16" t="n">
        <f aca="false" t="array" ref="F1182:F1182">IF(D1182="","",IFERROR(INDEX(Dados_Evap!$C$2:$N$15,MATCH($B$9,Dados_Evap!$A$2:$A$15,0),C1182),0))</f>
        <v>145.2</v>
      </c>
      <c r="G1182" s="16" t="n">
        <f aca="false">IF(F1182="","",F1182/1000)</f>
        <v>0.1452</v>
      </c>
      <c r="H1182" s="16" t="n">
        <f aca="false">IF(D1182="","",MAX(0,MIN($B$8,IFERROR(LOOKUP(2,1/($U$24:U1181&lt;&gt;""),$U$24:U1181),$B$11))))</f>
        <v>19.6815053707551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1.1995898712668</v>
      </c>
      <c r="J1182" s="16" t="n">
        <f aca="false">IF(D1182="","",$B$12)</f>
        <v>0.25</v>
      </c>
      <c r="K1182" s="16" t="n">
        <f aca="false">IF(J1182="","",J1182*$B$15)</f>
        <v>0.648</v>
      </c>
      <c r="L1182" s="16" t="n">
        <f aca="false">IF(D1182="","",H1182+E1182-K1182-G1182*I1182)</f>
        <v>19.4600564134339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1.19542903490794</v>
      </c>
      <c r="N1182" s="16" t="n">
        <f aca="false">IF(D1182="","",(I1182+M1182)/2)</f>
        <v>1.19750945308737</v>
      </c>
      <c r="O1182" s="16" t="n">
        <f aca="false">IF(D1182="","",G1182*N1182)</f>
        <v>0.173878372588286</v>
      </c>
      <c r="P1182" s="16" t="n">
        <f aca="false">IF(D1182="","",H1182+E1182-K1182-O1182)</f>
        <v>19.4603584901536</v>
      </c>
      <c r="Q1182" s="16" t="n">
        <f aca="false">IF(D1182="","",IF(P1182&gt;=0,K1182,MAX(0,K1182+P1182)))</f>
        <v>0.648</v>
      </c>
      <c r="R1182" s="16" t="n">
        <f aca="false">IF(D1182="","",Q1182/$B$15)</f>
        <v>0.25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19.4603584901536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91.3631853997821</v>
      </c>
      <c r="Z1182" s="18" t="n">
        <f aca="false">IF(D1182="","",MAX(0,IF(P1182&gt;=0,P1182,IF(K1182+P1182&gt;=0,0,P1182+K1182))))</f>
        <v>19.4603584901536</v>
      </c>
      <c r="AA1182" s="18" t="n">
        <f aca="false">IF(D1182="","",IF(H1182&lt;=$B$16,1,IF(H1182&gt;=$B$17,$B$21,MATCH(H1182,Aux_CAV!$A$2:$A$121,1))))</f>
        <v>7</v>
      </c>
      <c r="AB1182" s="18" t="n">
        <f aca="false">IF(D1182="","",IF(L1182&lt;=$B$16,1,IF(L1182&gt;=$B$17,$B$21,MATCH(L1182,Aux_CAV!$A$2:$A$121,1))))</f>
        <v>7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0.139938036248809</v>
      </c>
      <c r="E1183" s="16" t="n">
        <f aca="false">IF(D1183="","",D1183*$B$15)</f>
        <v>0.362719389956913</v>
      </c>
      <c r="F1183" s="16" t="n">
        <f aca="false" t="array" ref="F1183:F1183">IF(D1183="","",IFERROR(INDEX(Dados_Evap!$C$2:$N$15,MATCH($B$9,Dados_Evap!$A$2:$A$15,0),C1183),0))</f>
        <v>180.9</v>
      </c>
      <c r="G1183" s="16" t="n">
        <f aca="false">IF(F1183="","",F1183/1000)</f>
        <v>0.1809</v>
      </c>
      <c r="H1183" s="16" t="n">
        <f aca="false">IF(D1183="","",MAX(0,MIN($B$8,IFERROR(LOOKUP(2,1/($U$24:U1182&lt;&gt;""),$U$24:U1182),$B$11))))</f>
        <v>19.4603584901536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1.19543471067094</v>
      </c>
      <c r="J1183" s="16" t="n">
        <f aca="false">IF(D1183="","",$B$12)</f>
        <v>0.25</v>
      </c>
      <c r="K1183" s="16" t="n">
        <f aca="false">IF(J1183="","",J1183*$B$15)</f>
        <v>0.648</v>
      </c>
      <c r="L1183" s="16" t="n">
        <f aca="false">IF(D1183="","",H1183+E1183-K1183-G1183*I1183)</f>
        <v>18.9588237409501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1.18601130202203</v>
      </c>
      <c r="N1183" s="16" t="n">
        <f aca="false">IF(D1183="","",(I1183+M1183)/2)</f>
        <v>1.19072300634649</v>
      </c>
      <c r="O1183" s="16" t="n">
        <f aca="false">IF(D1183="","",G1183*N1183)</f>
        <v>0.215401791848079</v>
      </c>
      <c r="P1183" s="16" t="n">
        <f aca="false">IF(D1183="","",H1183+E1183-K1183-O1183)</f>
        <v>18.9596760882624</v>
      </c>
      <c r="Q1183" s="16" t="n">
        <f aca="false">IF(D1183="","",IF(P1183&gt;=0,K1183,MAX(0,K1183+P1183)))</f>
        <v>0.648</v>
      </c>
      <c r="R1183" s="16" t="n">
        <f aca="false">IF(D1183="","",Q1183/$B$15)</f>
        <v>0.25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18.9596760882624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89.0125637946592</v>
      </c>
      <c r="Z1183" s="18" t="n">
        <f aca="false">IF(D1183="","",MAX(0,IF(P1183&gt;=0,P1183,IF(K1183+P1183&gt;=0,0,P1183+K1183))))</f>
        <v>18.9596760882624</v>
      </c>
      <c r="AA1183" s="18" t="n">
        <f aca="false">IF(D1183="","",IF(H1183&lt;=$B$16,1,IF(H1183&gt;=$B$17,$B$21,MATCH(H1183,Aux_CAV!$A$2:$A$121,1))))</f>
        <v>7</v>
      </c>
      <c r="AB1183" s="18" t="n">
        <f aca="false">IF(D1183="","",IF(L1183&lt;=$B$16,1,IF(L1183&gt;=$B$17,$B$21,MATCH(L1183,Aux_CAV!$A$2:$A$121,1))))</f>
        <v>7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0.0875135672306691</v>
      </c>
      <c r="E1184" s="16" t="n">
        <f aca="false">IF(D1184="","",D1184*$B$15)</f>
        <v>0.226835166261894</v>
      </c>
      <c r="F1184" s="16" t="n">
        <f aca="false" t="array" ref="F1184:F1184">IF(D1184="","",IFERROR(INDEX(Dados_Evap!$C$2:$N$15,MATCH($B$9,Dados_Evap!$A$2:$A$15,0),C1184),0))</f>
        <v>208.9</v>
      </c>
      <c r="G1184" s="16" t="n">
        <f aca="false">IF(F1184="","",F1184/1000)</f>
        <v>0.2089</v>
      </c>
      <c r="H1184" s="16" t="n">
        <f aca="false">IF(D1184="","",MAX(0,MIN($B$8,IFERROR(LOOKUP(2,1/($U$24:U1183&lt;&gt;""),$U$24:U1183),$B$11))))</f>
        <v>18.9596760882624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1.18602731689846</v>
      </c>
      <c r="J1184" s="16" t="n">
        <f aca="false">IF(D1184="","",$B$12)</f>
        <v>0.25</v>
      </c>
      <c r="K1184" s="16" t="n">
        <f aca="false">IF(J1184="","",J1184*$B$15)</f>
        <v>0.648</v>
      </c>
      <c r="L1184" s="16" t="n">
        <f aca="false">IF(D1184="","",H1184+E1184-K1184-G1184*I1184)</f>
        <v>18.2907501480242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1.17345877104847</v>
      </c>
      <c r="N1184" s="16" t="n">
        <f aca="false">IF(D1184="","",(I1184+M1184)/2)</f>
        <v>1.17974304397347</v>
      </c>
      <c r="O1184" s="16" t="n">
        <f aca="false">IF(D1184="","",G1184*N1184)</f>
        <v>0.246448321886057</v>
      </c>
      <c r="P1184" s="16" t="n">
        <f aca="false">IF(D1184="","",H1184+E1184-K1184-O1184)</f>
        <v>18.2920629326383</v>
      </c>
      <c r="Q1184" s="16" t="n">
        <f aca="false">IF(D1184="","",IF(P1184&gt;=0,K1184,MAX(0,K1184+P1184)))</f>
        <v>0.648</v>
      </c>
      <c r="R1184" s="16" t="n">
        <f aca="false">IF(D1184="","",Q1184/$B$15)</f>
        <v>0.25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18.2920629326383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85.878229730696</v>
      </c>
      <c r="Z1184" s="18" t="n">
        <f aca="false">IF(D1184="","",MAX(0,IF(P1184&gt;=0,P1184,IF(K1184+P1184&gt;=0,0,P1184+K1184))))</f>
        <v>18.2920629326383</v>
      </c>
      <c r="AA1184" s="18" t="n">
        <f aca="false">IF(D1184="","",IF(H1184&lt;=$B$16,1,IF(H1184&gt;=$B$17,$B$21,MATCH(H1184,Aux_CAV!$A$2:$A$121,1))))</f>
        <v>7</v>
      </c>
      <c r="AB1184" s="18" t="n">
        <f aca="false">IF(D1184="","",IF(L1184&lt;=$B$16,1,IF(L1184&gt;=$B$17,$B$21,MATCH(L1184,Aux_CAV!$A$2:$A$121,1))))</f>
        <v>7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0.0486219297225763</v>
      </c>
      <c r="E1185" s="16" t="n">
        <f aca="false">IF(D1185="","",D1185*$B$15)</f>
        <v>0.126028041840918</v>
      </c>
      <c r="F1185" s="16" t="n">
        <f aca="false" t="array" ref="F1185:F1185">IF(D1185="","",IFERROR(INDEX(Dados_Evap!$C$2:$N$15,MATCH($B$9,Dados_Evap!$A$2:$A$15,0),C1185),0))</f>
        <v>235.9</v>
      </c>
      <c r="G1185" s="16" t="n">
        <f aca="false">IF(F1185="","",F1185/1000)</f>
        <v>0.2359</v>
      </c>
      <c r="H1185" s="16" t="n">
        <f aca="false">IF(D1185="","",MAX(0,MIN($B$8,IFERROR(LOOKUP(2,1/($U$24:U1184&lt;&gt;""),$U$24:U1184),$B$11))))</f>
        <v>18.2920629326383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1.17348343714769</v>
      </c>
      <c r="J1185" s="16" t="n">
        <f aca="false">IF(D1185="","",$B$12)</f>
        <v>0.25</v>
      </c>
      <c r="K1185" s="16" t="n">
        <f aca="false">IF(J1185="","",J1185*$B$15)</f>
        <v>0.648</v>
      </c>
      <c r="L1185" s="16" t="n">
        <f aca="false">IF(D1185="","",H1185+E1185-K1185-G1185*I1185)</f>
        <v>17.493266231656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1.15847473086619</v>
      </c>
      <c r="N1185" s="16" t="n">
        <f aca="false">IF(D1185="","",(I1185+M1185)/2)</f>
        <v>1.16597908400694</v>
      </c>
      <c r="O1185" s="16" t="n">
        <f aca="false">IF(D1185="","",G1185*N1185)</f>
        <v>0.275054465917237</v>
      </c>
      <c r="P1185" s="16" t="n">
        <f aca="false">IF(D1185="","",H1185+E1185-K1185-O1185)</f>
        <v>17.4950365085619</v>
      </c>
      <c r="Q1185" s="16" t="n">
        <f aca="false">IF(D1185="","",IF(P1185&gt;=0,K1185,MAX(0,K1185+P1185)))</f>
        <v>0.648</v>
      </c>
      <c r="R1185" s="16" t="n">
        <f aca="false">IF(D1185="","",Q1185/$B$15)</f>
        <v>0.25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17.4950365085619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82.136321636441</v>
      </c>
      <c r="Z1185" s="18" t="n">
        <f aca="false">IF(D1185="","",MAX(0,IF(P1185&gt;=0,P1185,IF(K1185+P1185&gt;=0,0,P1185+K1185))))</f>
        <v>17.4950365085619</v>
      </c>
      <c r="AA1185" s="18" t="n">
        <f aca="false">IF(D1185="","",IF(H1185&lt;=$B$16,1,IF(H1185&gt;=$B$17,$B$21,MATCH(H1185,Aux_CAV!$A$2:$A$121,1))))</f>
        <v>7</v>
      </c>
      <c r="AB1185" s="18" t="n">
        <f aca="false">IF(D1185="","",IF(L1185&lt;=$B$16,1,IF(L1185&gt;=$B$17,$B$21,MATCH(L1185,Aux_CAV!$A$2:$A$121,1))))</f>
        <v>7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0.0316455017178857</v>
      </c>
      <c r="E1186" s="16" t="n">
        <f aca="false">IF(D1186="","",D1186*$B$15)</f>
        <v>0.0820251404527597</v>
      </c>
      <c r="F1186" s="16" t="n">
        <f aca="false" t="array" ref="F1186:F1186">IF(D1186="","",IFERROR(INDEX(Dados_Evap!$C$2:$N$15,MATCH($B$9,Dados_Evap!$A$2:$A$15,0),C1186),0))</f>
        <v>225.9</v>
      </c>
      <c r="G1186" s="16" t="n">
        <f aca="false">IF(F1186="","",F1186/1000)</f>
        <v>0.2259</v>
      </c>
      <c r="H1186" s="16" t="n">
        <f aca="false">IF(D1186="","",MAX(0,MIN($B$8,IFERROR(LOOKUP(2,1/($U$24:U1185&lt;&gt;""),$U$24:U1185),$B$11))))</f>
        <v>17.4950365085619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1.15850799285398</v>
      </c>
      <c r="J1186" s="16" t="n">
        <f aca="false">IF(D1186="","",$B$12)</f>
        <v>0.25</v>
      </c>
      <c r="K1186" s="16" t="n">
        <f aca="false">IF(J1186="","",J1186*$B$15)</f>
        <v>0.648</v>
      </c>
      <c r="L1186" s="16" t="n">
        <f aca="false">IF(D1186="","",H1186+E1186-K1186-G1186*I1186)</f>
        <v>16.667354693429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1.1429565600018</v>
      </c>
      <c r="N1186" s="16" t="n">
        <f aca="false">IF(D1186="","",(I1186+M1186)/2)</f>
        <v>1.15073227642789</v>
      </c>
      <c r="O1186" s="16" t="n">
        <f aca="false">IF(D1186="","",G1186*N1186)</f>
        <v>0.25995042124506</v>
      </c>
      <c r="P1186" s="16" t="n">
        <f aca="false">IF(D1186="","",H1186+E1186-K1186-O1186)</f>
        <v>16.6691112277696</v>
      </c>
      <c r="Q1186" s="16" t="n">
        <f aca="false">IF(D1186="","",IF(P1186&gt;=0,K1186,MAX(0,K1186+P1186)))</f>
        <v>0.648</v>
      </c>
      <c r="R1186" s="16" t="n">
        <f aca="false">IF(D1186="","",Q1186/$B$15)</f>
        <v>0.25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16.6691112277696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78.2587381585429</v>
      </c>
      <c r="Z1186" s="18" t="n">
        <f aca="false">IF(D1186="","",MAX(0,IF(P1186&gt;=0,P1186,IF(K1186+P1186&gt;=0,0,P1186+K1186))))</f>
        <v>16.6691112277696</v>
      </c>
      <c r="AA1186" s="18" t="n">
        <f aca="false">IF(D1186="","",IF(H1186&lt;=$B$16,1,IF(H1186&gt;=$B$17,$B$21,MATCH(H1186,Aux_CAV!$A$2:$A$121,1))))</f>
        <v>7</v>
      </c>
      <c r="AB1186" s="18" t="n">
        <f aca="false">IF(D1186="","",IF(L1186&lt;=$B$16,1,IF(L1186&gt;=$B$17,$B$21,MATCH(L1186,Aux_CAV!$A$2:$A$121,1))))</f>
        <v>7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0.0243678562866398</v>
      </c>
      <c r="E1187" s="16" t="n">
        <f aca="false">IF(D1187="","",D1187*$B$15)</f>
        <v>0.0631614834949704</v>
      </c>
      <c r="F1187" s="16" t="n">
        <f aca="false" t="array" ref="F1187:F1187">IF(D1187="","",IFERROR(INDEX(Dados_Evap!$C$2:$N$15,MATCH($B$9,Dados_Evap!$A$2:$A$15,0),C1187),0))</f>
        <v>206</v>
      </c>
      <c r="G1187" s="16" t="n">
        <f aca="false">IF(F1187="","",F1187/1000)</f>
        <v>0.206</v>
      </c>
      <c r="H1187" s="16" t="n">
        <f aca="false">IF(D1187="","",MAX(0,MIN($B$8,IFERROR(LOOKUP(2,1/($U$24:U1186&lt;&gt;""),$U$24:U1186),$B$11))))</f>
        <v>16.6691112277696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1.14298956377855</v>
      </c>
      <c r="J1187" s="16" t="n">
        <f aca="false">IF(D1187="","",$B$12)</f>
        <v>0.25</v>
      </c>
      <c r="K1187" s="16" t="n">
        <f aca="false">IF(J1187="","",J1187*$B$15)</f>
        <v>0.648</v>
      </c>
      <c r="L1187" s="16" t="n">
        <f aca="false">IF(D1187="","",H1187+E1187-K1187-G1187*I1187)</f>
        <v>15.8488168611262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1.11875214865623</v>
      </c>
      <c r="N1187" s="16" t="n">
        <f aca="false">IF(D1187="","",(I1187+M1187)/2)</f>
        <v>1.13087085621739</v>
      </c>
      <c r="O1187" s="16" t="n">
        <f aca="false">IF(D1187="","",G1187*N1187)</f>
        <v>0.232959396380783</v>
      </c>
      <c r="P1187" s="16" t="n">
        <f aca="false">IF(D1187="","",H1187+E1187-K1187-O1187)</f>
        <v>15.8513133148838</v>
      </c>
      <c r="Q1187" s="16" t="n">
        <f aca="false">IF(D1187="","",IF(P1187&gt;=0,K1187,MAX(0,K1187+P1187)))</f>
        <v>0.648</v>
      </c>
      <c r="R1187" s="16" t="n">
        <f aca="false">IF(D1187="","",Q1187/$B$15)</f>
        <v>0.25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15.8513133148838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74.4193113374827</v>
      </c>
      <c r="Z1187" s="18" t="n">
        <f aca="false">IF(D1187="","",MAX(0,IF(P1187&gt;=0,P1187,IF(K1187+P1187&gt;=0,0,P1187+K1187))))</f>
        <v>15.8513133148838</v>
      </c>
      <c r="AA1187" s="18" t="n">
        <f aca="false">IF(D1187="","",IF(H1187&lt;=$B$16,1,IF(H1187&gt;=$B$17,$B$21,MATCH(H1187,Aux_CAV!$A$2:$A$121,1))))</f>
        <v>7</v>
      </c>
      <c r="AB1187" s="18" t="n">
        <f aca="false">IF(D1187="","",IF(L1187&lt;=$B$16,1,IF(L1187&gt;=$B$17,$B$21,MATCH(L1187,Aux_CAV!$A$2:$A$121,1))))</f>
        <v>6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0.0509754601737343</v>
      </c>
      <c r="E1188" s="16" t="n">
        <f aca="false">IF(D1188="","",D1188*$B$15)</f>
        <v>0.132128392770319</v>
      </c>
      <c r="F1188" s="16" t="n">
        <f aca="false" t="array" ref="F1188:F1188">IF(D1188="","",IFERROR(INDEX(Dados_Evap!$C$2:$N$15,MATCH($B$9,Dados_Evap!$A$2:$A$15,0),C1188),0))</f>
        <v>165.6</v>
      </c>
      <c r="G1188" s="16" t="n">
        <f aca="false">IF(F1188="","",F1188/1000)</f>
        <v>0.1656</v>
      </c>
      <c r="H1188" s="16" t="n">
        <f aca="false">IF(D1188="","",MAX(0,MIN($B$8,IFERROR(LOOKUP(2,1/($U$24:U1187&lt;&gt;""),$U$24:U1187),$B$11))))</f>
        <v>15.8513133148838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1.11883237495846</v>
      </c>
      <c r="J1188" s="16" t="n">
        <f aca="false">IF(D1188="","",$B$12)</f>
        <v>0.25</v>
      </c>
      <c r="K1188" s="16" t="n">
        <f aca="false">IF(J1188="","",J1188*$B$15)</f>
        <v>0.648</v>
      </c>
      <c r="L1188" s="16" t="n">
        <f aca="false">IF(D1188="","",H1188+E1188-K1188-G1188*I1188)</f>
        <v>15.150163066361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1.09630013634809</v>
      </c>
      <c r="N1188" s="16" t="n">
        <f aca="false">IF(D1188="","",(I1188+M1188)/2)</f>
        <v>1.10756625565327</v>
      </c>
      <c r="O1188" s="16" t="n">
        <f aca="false">IF(D1188="","",G1188*N1188)</f>
        <v>0.183412971936182</v>
      </c>
      <c r="P1188" s="16" t="n">
        <f aca="false">IF(D1188="","",H1188+E1188-K1188-O1188)</f>
        <v>15.152028735718</v>
      </c>
      <c r="Q1188" s="16" t="n">
        <f aca="false">IF(D1188="","",IF(P1188&gt;=0,K1188,MAX(0,K1188+P1188)))</f>
        <v>0.648</v>
      </c>
      <c r="R1188" s="16" t="n">
        <f aca="false">IF(D1188="","",Q1188/$B$15)</f>
        <v>0.25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15.152028735718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71.1362851442158</v>
      </c>
      <c r="Z1188" s="18" t="n">
        <f aca="false">IF(D1188="","",MAX(0,IF(P1188&gt;=0,P1188,IF(K1188+P1188&gt;=0,0,P1188+K1188))))</f>
        <v>15.152028735718</v>
      </c>
      <c r="AA1188" s="18" t="n">
        <f aca="false">IF(D1188="","",IF(H1188&lt;=$B$16,1,IF(H1188&gt;=$B$17,$B$21,MATCH(H1188,Aux_CAV!$A$2:$A$121,1))))</f>
        <v>6</v>
      </c>
      <c r="AB1188" s="18" t="n">
        <f aca="false">IF(D1188="","",IF(L1188&lt;=$B$16,1,IF(L1188&gt;=$B$17,$B$21,MATCH(L1188,Aux_CAV!$A$2:$A$121,1))))</f>
        <v>6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0.556309112756596</v>
      </c>
      <c r="E1189" s="16" t="n">
        <f aca="false">IF(D1189="","",D1189*$B$15)</f>
        <v>1.4419532202651</v>
      </c>
      <c r="F1189" s="16" t="n">
        <f aca="false" t="array" ref="F1189:F1189">IF(D1189="","",IFERROR(INDEX(Dados_Evap!$C$2:$N$15,MATCH($B$9,Dados_Evap!$A$2:$A$15,0),C1189),0))</f>
        <v>124.9</v>
      </c>
      <c r="G1189" s="16" t="n">
        <f aca="false">IF(F1189="","",F1189/1000)</f>
        <v>0.1249</v>
      </c>
      <c r="H1189" s="16" t="n">
        <f aca="false">IF(D1189="","",MAX(0,MIN($B$8,IFERROR(LOOKUP(2,1/($U$24:U1188&lt;&gt;""),$U$24:U1188),$B$11))))</f>
        <v>15.152028735718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1.09636009169604</v>
      </c>
      <c r="J1189" s="16" t="n">
        <f aca="false">IF(D1189="","",$B$12)</f>
        <v>0.25</v>
      </c>
      <c r="K1189" s="16" t="n">
        <f aca="false">IF(J1189="","",J1189*$B$15)</f>
        <v>0.648</v>
      </c>
      <c r="L1189" s="16" t="n">
        <f aca="false">IF(D1189="","",H1189+E1189-K1189-G1189*I1189)</f>
        <v>15.8090465805302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1.11747408670891</v>
      </c>
      <c r="N1189" s="16" t="n">
        <f aca="false">IF(D1189="","",(I1189+M1189)/2)</f>
        <v>1.10691708920248</v>
      </c>
      <c r="O1189" s="16" t="n">
        <f aca="false">IF(D1189="","",G1189*N1189)</f>
        <v>0.138253944441389</v>
      </c>
      <c r="P1189" s="16" t="n">
        <f aca="false">IF(D1189="","",H1189+E1189-K1189-O1189)</f>
        <v>15.8077280115417</v>
      </c>
      <c r="Q1189" s="16" t="n">
        <f aca="false">IF(D1189="","",IF(P1189&gt;=0,K1189,MAX(0,K1189+P1189)))</f>
        <v>0.648</v>
      </c>
      <c r="R1189" s="16" t="n">
        <f aca="false">IF(D1189="","",Q1189/$B$15)</f>
        <v>0.25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15.8077280115417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74.2146855001956</v>
      </c>
      <c r="Z1189" s="18" t="n">
        <f aca="false">IF(D1189="","",MAX(0,IF(P1189&gt;=0,P1189,IF(K1189+P1189&gt;=0,0,P1189+K1189))))</f>
        <v>15.8077280115417</v>
      </c>
      <c r="AA1189" s="18" t="n">
        <f aca="false">IF(D1189="","",IF(H1189&lt;=$B$16,1,IF(H1189&gt;=$B$17,$B$21,MATCH(H1189,Aux_CAV!$A$2:$A$121,1))))</f>
        <v>6</v>
      </c>
      <c r="AB1189" s="18" t="n">
        <f aca="false">IF(D1189="","",IF(L1189&lt;=$B$16,1,IF(L1189&gt;=$B$17,$B$21,MATCH(L1189,Aux_CAV!$A$2:$A$121,1))))</f>
        <v>6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0.594483981112696</v>
      </c>
      <c r="E1190" s="16" t="n">
        <f aca="false">IF(D1190="","",D1190*$B$15)</f>
        <v>1.54090247904411</v>
      </c>
      <c r="F1190" s="16" t="n">
        <f aca="false" t="array" ref="F1190:F1190">IF(D1190="","",IFERROR(INDEX(Dados_Evap!$C$2:$N$15,MATCH($B$9,Dados_Evap!$A$2:$A$15,0),C1190),0))</f>
        <v>88.2</v>
      </c>
      <c r="G1190" s="16" t="n">
        <f aca="false">IF(F1190="","",F1190/1000)</f>
        <v>0.0882</v>
      </c>
      <c r="H1190" s="16" t="n">
        <f aca="false">IF(D1190="","",MAX(0,MIN($B$8,IFERROR(LOOKUP(2,1/($U$24:U1189&lt;&gt;""),$U$24:U1189),$B$11))))</f>
        <v>15.8077280115417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1.11743171303631</v>
      </c>
      <c r="J1190" s="16" t="n">
        <f aca="false">IF(D1190="","",$B$12)</f>
        <v>0.25</v>
      </c>
      <c r="K1190" s="16" t="n">
        <f aca="false">IF(J1190="","",J1190*$B$15)</f>
        <v>0.648</v>
      </c>
      <c r="L1190" s="16" t="n">
        <f aca="false">IF(D1190="","",H1190+E1190-K1190-G1190*I1190)</f>
        <v>16.602073013496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1.1417299731137</v>
      </c>
      <c r="N1190" s="16" t="n">
        <f aca="false">IF(D1190="","",(I1190+M1190)/2)</f>
        <v>1.12958084307501</v>
      </c>
      <c r="O1190" s="16" t="n">
        <f aca="false">IF(D1190="","",G1190*N1190)</f>
        <v>0.0996290303592156</v>
      </c>
      <c r="P1190" s="16" t="n">
        <f aca="false">IF(D1190="","",H1190+E1190-K1190-O1190)</f>
        <v>16.6010014602266</v>
      </c>
      <c r="Q1190" s="16" t="n">
        <f aca="false">IF(D1190="","",IF(P1190&gt;=0,K1190,MAX(0,K1190+P1190)))</f>
        <v>0.648</v>
      </c>
      <c r="R1190" s="16" t="n">
        <f aca="false">IF(D1190="","",Q1190/$B$15)</f>
        <v>0.25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16.6010014602266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77.938973991674</v>
      </c>
      <c r="Z1190" s="18" t="n">
        <f aca="false">IF(D1190="","",MAX(0,IF(P1190&gt;=0,P1190,IF(K1190+P1190&gt;=0,0,P1190+K1190))))</f>
        <v>16.6010014602266</v>
      </c>
      <c r="AA1190" s="18" t="n">
        <f aca="false">IF(D1190="","",IF(H1190&lt;=$B$16,1,IF(H1190&gt;=$B$17,$B$21,MATCH(H1190,Aux_CAV!$A$2:$A$121,1))))</f>
        <v>6</v>
      </c>
      <c r="AB1190" s="18" t="n">
        <f aca="false">IF(D1190="","",IF(L1190&lt;=$B$16,1,IF(L1190&gt;=$B$17,$B$21,MATCH(L1190,Aux_CAV!$A$2:$A$121,1))))</f>
        <v>7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0.780084244225236</v>
      </c>
      <c r="E1191" s="16" t="n">
        <f aca="false">IF(D1191="","",D1191*$B$15)</f>
        <v>2.02197836103181</v>
      </c>
      <c r="F1191" s="16" t="n">
        <f aca="false" t="array" ref="F1191:F1191">IF(D1191="","",IFERROR(INDEX(Dados_Evap!$C$2:$N$15,MATCH($B$9,Dados_Evap!$A$2:$A$15,0),C1191),0))</f>
        <v>88.2</v>
      </c>
      <c r="G1191" s="16" t="n">
        <f aca="false">IF(F1191="","",F1191/1000)</f>
        <v>0.0882</v>
      </c>
      <c r="H1191" s="16" t="n">
        <f aca="false">IF(D1191="","",MAX(0,MIN($B$8,IFERROR(LOOKUP(2,1/($U$24:U1190&lt;&gt;""),$U$24:U1190),$B$11))))</f>
        <v>16.6010014602266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1.14170983954497</v>
      </c>
      <c r="J1191" s="16" t="n">
        <f aca="false">IF(D1191="","",$B$12)</f>
        <v>0.25</v>
      </c>
      <c r="K1191" s="16" t="n">
        <f aca="false">IF(J1191="","",J1191*$B$15)</f>
        <v>0.648</v>
      </c>
      <c r="L1191" s="16" t="n">
        <f aca="false">IF(D1191="","",H1191+E1191-K1191-G1191*I1191)</f>
        <v>17.8742810134105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1.16563367248579</v>
      </c>
      <c r="N1191" s="16" t="n">
        <f aca="false">IF(D1191="","",(I1191+M1191)/2)</f>
        <v>1.15367175601538</v>
      </c>
      <c r="O1191" s="16" t="n">
        <f aca="false">IF(D1191="","",G1191*N1191)</f>
        <v>0.101753848880556</v>
      </c>
      <c r="P1191" s="16" t="n">
        <f aca="false">IF(D1191="","",H1191+E1191-K1191-O1191)</f>
        <v>17.8732259723778</v>
      </c>
      <c r="Q1191" s="16" t="n">
        <f aca="false">IF(D1191="","",IF(P1191&gt;=0,K1191,MAX(0,K1191+P1191)))</f>
        <v>0.648</v>
      </c>
      <c r="R1191" s="16" t="n">
        <f aca="false">IF(D1191="","",Q1191/$B$15)</f>
        <v>0.25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17.8732259723778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83.911859025248</v>
      </c>
      <c r="Z1191" s="18" t="n">
        <f aca="false">IF(D1191="","",MAX(0,IF(P1191&gt;=0,P1191,IF(K1191+P1191&gt;=0,0,P1191+K1191))))</f>
        <v>17.8732259723778</v>
      </c>
      <c r="AA1191" s="18" t="n">
        <f aca="false">IF(D1191="","",IF(H1191&lt;=$B$16,1,IF(H1191&gt;=$B$17,$B$21,MATCH(H1191,Aux_CAV!$A$2:$A$121,1))))</f>
        <v>7</v>
      </c>
      <c r="AB1191" s="18" t="n">
        <f aca="false">IF(D1191="","",IF(L1191&lt;=$B$16,1,IF(L1191&gt;=$B$17,$B$21,MATCH(L1191,Aux_CAV!$A$2:$A$121,1))))</f>
        <v>7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0.304753886001198</v>
      </c>
      <c r="E1192" s="16" t="n">
        <f aca="false">IF(D1192="","",D1192*$B$15)</f>
        <v>0.789922072515105</v>
      </c>
      <c r="F1192" s="16" t="n">
        <f aca="false" t="array" ref="F1192:F1192">IF(D1192="","",IFERROR(INDEX(Dados_Evap!$C$2:$N$15,MATCH($B$9,Dados_Evap!$A$2:$A$15,0),C1192),0))</f>
        <v>83.9</v>
      </c>
      <c r="G1192" s="16" t="n">
        <f aca="false">IF(F1192="","",F1192/1000)</f>
        <v>0.0839</v>
      </c>
      <c r="H1192" s="16" t="n">
        <f aca="false">IF(D1192="","",MAX(0,MIN($B$8,IFERROR(LOOKUP(2,1/($U$24:U1191&lt;&gt;""),$U$24:U1191),$B$11))))</f>
        <v>17.8732259723778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1.16561384916785</v>
      </c>
      <c r="J1192" s="16" t="n">
        <f aca="false">IF(D1192="","",$B$12)</f>
        <v>0.25</v>
      </c>
      <c r="K1192" s="16" t="n">
        <f aca="false">IF(J1192="","",J1192*$B$15)</f>
        <v>0.648</v>
      </c>
      <c r="L1192" s="16" t="n">
        <f aca="false">IF(D1192="","",H1192+E1192-K1192-G1192*I1192)</f>
        <v>17.9173530429477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1.1664429590533</v>
      </c>
      <c r="N1192" s="16" t="n">
        <f aca="false">IF(D1192="","",(I1192+M1192)/2)</f>
        <v>1.16602840411057</v>
      </c>
      <c r="O1192" s="16" t="n">
        <f aca="false">IF(D1192="","",G1192*N1192)</f>
        <v>0.0978297831048772</v>
      </c>
      <c r="P1192" s="16" t="n">
        <f aca="false">IF(D1192="","",H1192+E1192-K1192-O1192)</f>
        <v>17.917318261788</v>
      </c>
      <c r="Q1192" s="16" t="n">
        <f aca="false">IF(D1192="","",IF(P1192&gt;=0,K1192,MAX(0,K1192+P1192)))</f>
        <v>0.648</v>
      </c>
      <c r="R1192" s="16" t="n">
        <f aca="false">IF(D1192="","",Q1192/$B$15)</f>
        <v>0.25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17.917318261788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84.1188650788171</v>
      </c>
      <c r="Z1192" s="18" t="n">
        <f aca="false">IF(D1192="","",MAX(0,IF(P1192&gt;=0,P1192,IF(K1192+P1192&gt;=0,0,P1192+K1192))))</f>
        <v>17.917318261788</v>
      </c>
      <c r="AA1192" s="18" t="n">
        <f aca="false">IF(D1192="","",IF(H1192&lt;=$B$16,1,IF(H1192&gt;=$B$17,$B$21,MATCH(H1192,Aux_CAV!$A$2:$A$121,1))))</f>
        <v>7</v>
      </c>
      <c r="AB1192" s="18" t="n">
        <f aca="false">IF(D1192="","",IF(L1192&lt;=$B$16,1,IF(L1192&gt;=$B$17,$B$21,MATCH(L1192,Aux_CAV!$A$2:$A$121,1))))</f>
        <v>7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0.36573710802679</v>
      </c>
      <c r="E1193" s="16" t="n">
        <f aca="false">IF(D1193="","",D1193*$B$15)</f>
        <v>0.94799058400544</v>
      </c>
      <c r="F1193" s="16" t="n">
        <f aca="false" t="array" ref="F1193:F1193">IF(D1193="","",IFERROR(INDEX(Dados_Evap!$C$2:$N$15,MATCH($B$9,Dados_Evap!$A$2:$A$15,0),C1193),0))</f>
        <v>104.7</v>
      </c>
      <c r="G1193" s="16" t="n">
        <f aca="false">IF(F1193="","",F1193/1000)</f>
        <v>0.1047</v>
      </c>
      <c r="H1193" s="16" t="n">
        <f aca="false">IF(D1193="","",MAX(0,MIN($B$8,IFERROR(LOOKUP(2,1/($U$24:U1192&lt;&gt;""),$U$24:U1192),$B$11))))</f>
        <v>17.917318261788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1.16644230554508</v>
      </c>
      <c r="J1193" s="16" t="n">
        <f aca="false">IF(D1193="","",$B$12)</f>
        <v>0.25</v>
      </c>
      <c r="K1193" s="16" t="n">
        <f aca="false">IF(J1193="","",J1193*$B$15)</f>
        <v>0.648</v>
      </c>
      <c r="L1193" s="16" t="n">
        <f aca="false">IF(D1193="","",H1193+E1193-K1193-G1193*I1193)</f>
        <v>18.0951823364029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1.16978421926436</v>
      </c>
      <c r="N1193" s="16" t="n">
        <f aca="false">IF(D1193="","",(I1193+M1193)/2)</f>
        <v>1.16811326240472</v>
      </c>
      <c r="O1193" s="16" t="n">
        <f aca="false">IF(D1193="","",G1193*N1193)</f>
        <v>0.122301458573774</v>
      </c>
      <c r="P1193" s="16" t="n">
        <f aca="false">IF(D1193="","",H1193+E1193-K1193-O1193)</f>
        <v>18.0950073872197</v>
      </c>
      <c r="Q1193" s="16" t="n">
        <f aca="false">IF(D1193="","",IF(P1193&gt;=0,K1193,MAX(0,K1193+P1193)))</f>
        <v>0.648</v>
      </c>
      <c r="R1193" s="16" t="n">
        <f aca="false">IF(D1193="","",Q1193/$B$15)</f>
        <v>0.25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18.0950073872197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84.9530863249752</v>
      </c>
      <c r="Z1193" s="18" t="n">
        <f aca="false">IF(D1193="","",MAX(0,IF(P1193&gt;=0,P1193,IF(K1193+P1193&gt;=0,0,P1193+K1193))))</f>
        <v>18.0950073872197</v>
      </c>
      <c r="AA1193" s="18" t="n">
        <f aca="false">IF(D1193="","",IF(H1193&lt;=$B$16,1,IF(H1193&gt;=$B$17,$B$21,MATCH(H1193,Aux_CAV!$A$2:$A$121,1))))</f>
        <v>7</v>
      </c>
      <c r="AB1193" s="18" t="n">
        <f aca="false">IF(D1193="","",IF(L1193&lt;=$B$16,1,IF(L1193&gt;=$B$17,$B$21,MATCH(L1193,Aux_CAV!$A$2:$A$121,1))))</f>
        <v>7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0.0958108709673333</v>
      </c>
      <c r="E1194" s="16" t="n">
        <f aca="false">IF(D1194="","",D1194*$B$15)</f>
        <v>0.248341777547328</v>
      </c>
      <c r="F1194" s="16" t="n">
        <f aca="false" t="array" ref="F1194:F1194">IF(D1194="","",IFERROR(INDEX(Dados_Evap!$C$2:$N$15,MATCH($B$9,Dados_Evap!$A$2:$A$15,0),C1194),0))</f>
        <v>145.2</v>
      </c>
      <c r="G1194" s="16" t="n">
        <f aca="false">IF(F1194="","",F1194/1000)</f>
        <v>0.1452</v>
      </c>
      <c r="H1194" s="16" t="n">
        <f aca="false">IF(D1194="","",MAX(0,MIN($B$8,IFERROR(LOOKUP(2,1/($U$24:U1193&lt;&gt;""),$U$24:U1193),$B$11))))</f>
        <v>18.0950073872197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1.16978093211895</v>
      </c>
      <c r="J1194" s="16" t="n">
        <f aca="false">IF(D1194="","",$B$12)</f>
        <v>0.25</v>
      </c>
      <c r="K1194" s="16" t="n">
        <f aca="false">IF(J1194="","",J1194*$B$15)</f>
        <v>0.648</v>
      </c>
      <c r="L1194" s="16" t="n">
        <f aca="false">IF(D1194="","",H1194+E1194-K1194-G1194*I1194)</f>
        <v>17.5254969734234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1.1590803189161</v>
      </c>
      <c r="N1194" s="16" t="n">
        <f aca="false">IF(D1194="","",(I1194+M1194)/2)</f>
        <v>1.16443062551752</v>
      </c>
      <c r="O1194" s="16" t="n">
        <f aca="false">IF(D1194="","",G1194*N1194)</f>
        <v>0.169075326825144</v>
      </c>
      <c r="P1194" s="16" t="n">
        <f aca="false">IF(D1194="","",H1194+E1194-K1194-O1194)</f>
        <v>17.5262738379419</v>
      </c>
      <c r="Q1194" s="16" t="n">
        <f aca="false">IF(D1194="","",IF(P1194&gt;=0,K1194,MAX(0,K1194+P1194)))</f>
        <v>0.648</v>
      </c>
      <c r="R1194" s="16" t="n">
        <f aca="false">IF(D1194="","",Q1194/$B$15)</f>
        <v>0.25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17.5262738379419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82.2829757649854</v>
      </c>
      <c r="Z1194" s="18" t="n">
        <f aca="false">IF(D1194="","",MAX(0,IF(P1194&gt;=0,P1194,IF(K1194+P1194&gt;=0,0,P1194+K1194))))</f>
        <v>17.5262738379419</v>
      </c>
      <c r="AA1194" s="18" t="n">
        <f aca="false">IF(D1194="","",IF(H1194&lt;=$B$16,1,IF(H1194&gt;=$B$17,$B$21,MATCH(H1194,Aux_CAV!$A$2:$A$121,1))))</f>
        <v>7</v>
      </c>
      <c r="AB1194" s="18" t="n">
        <f aca="false">IF(D1194="","",IF(L1194&lt;=$B$16,1,IF(L1194&gt;=$B$17,$B$21,MATCH(L1194,Aux_CAV!$A$2:$A$121,1))))</f>
        <v>7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0.0550608263943703</v>
      </c>
      <c r="E1195" s="16" t="n">
        <f aca="false">IF(D1195="","",D1195*$B$15)</f>
        <v>0.142717662014208</v>
      </c>
      <c r="F1195" s="16" t="n">
        <f aca="false" t="array" ref="F1195:F1195">IF(D1195="","",IFERROR(INDEX(Dados_Evap!$C$2:$N$15,MATCH($B$9,Dados_Evap!$A$2:$A$15,0),C1195),0))</f>
        <v>180.9</v>
      </c>
      <c r="G1195" s="16" t="n">
        <f aca="false">IF(F1195="","",F1195/1000)</f>
        <v>0.1809</v>
      </c>
      <c r="H1195" s="16" t="n">
        <f aca="false">IF(D1195="","",MAX(0,MIN($B$8,IFERROR(LOOKUP(2,1/($U$24:U1194&lt;&gt;""),$U$24:U1194),$B$11))))</f>
        <v>17.5262738379419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1.15909491553544</v>
      </c>
      <c r="J1195" s="16" t="n">
        <f aca="false">IF(D1195="","",$B$12)</f>
        <v>0.25</v>
      </c>
      <c r="K1195" s="16" t="n">
        <f aca="false">IF(J1195="","",J1195*$B$15)</f>
        <v>0.648</v>
      </c>
      <c r="L1195" s="16" t="n">
        <f aca="false">IF(D1195="","",H1195+E1195-K1195-G1195*I1195)</f>
        <v>16.8113112297357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1.14566138009942</v>
      </c>
      <c r="N1195" s="16" t="n">
        <f aca="false">IF(D1195="","",(I1195+M1195)/2)</f>
        <v>1.15237814781743</v>
      </c>
      <c r="O1195" s="16" t="n">
        <f aca="false">IF(D1195="","",G1195*N1195)</f>
        <v>0.208465206940173</v>
      </c>
      <c r="P1195" s="16" t="n">
        <f aca="false">IF(D1195="","",H1195+E1195-K1195-O1195)</f>
        <v>16.8125262930159</v>
      </c>
      <c r="Q1195" s="16" t="n">
        <f aca="false">IF(D1195="","",IF(P1195&gt;=0,K1195,MAX(0,K1195+P1195)))</f>
        <v>0.648</v>
      </c>
      <c r="R1195" s="16" t="n">
        <f aca="false">IF(D1195="","",Q1195/$B$15)</f>
        <v>0.25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16.8125262930159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78.9320483240185</v>
      </c>
      <c r="Z1195" s="18" t="n">
        <f aca="false">IF(D1195="","",MAX(0,IF(P1195&gt;=0,P1195,IF(K1195+P1195&gt;=0,0,P1195+K1195))))</f>
        <v>16.8125262930159</v>
      </c>
      <c r="AA1195" s="18" t="n">
        <f aca="false">IF(D1195="","",IF(H1195&lt;=$B$16,1,IF(H1195&gt;=$B$17,$B$21,MATCH(H1195,Aux_CAV!$A$2:$A$121,1))))</f>
        <v>7</v>
      </c>
      <c r="AB1195" s="18" t="n">
        <f aca="false">IF(D1195="","",IF(L1195&lt;=$B$16,1,IF(L1195&gt;=$B$17,$B$21,MATCH(L1195,Aux_CAV!$A$2:$A$121,1))))</f>
        <v>7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0.0369865063768797</v>
      </c>
      <c r="E1196" s="16" t="n">
        <f aca="false">IF(D1196="","",D1196*$B$15)</f>
        <v>0.0958690245288722</v>
      </c>
      <c r="F1196" s="16" t="n">
        <f aca="false" t="array" ref="F1196:F1196">IF(D1196="","",IFERROR(INDEX(Dados_Evap!$C$2:$N$15,MATCH($B$9,Dados_Evap!$A$2:$A$15,0),C1196),0))</f>
        <v>208.9</v>
      </c>
      <c r="G1196" s="16" t="n">
        <f aca="false">IF(F1196="","",F1196/1000)</f>
        <v>0.2089</v>
      </c>
      <c r="H1196" s="16" t="n">
        <f aca="false">IF(D1196="","",MAX(0,MIN($B$8,IFERROR(LOOKUP(2,1/($U$24:U1195&lt;&gt;""),$U$24:U1195),$B$11))))</f>
        <v>16.8125262930159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1.14568421009842</v>
      </c>
      <c r="J1196" s="16" t="n">
        <f aca="false">IF(D1196="","",$B$12)</f>
        <v>0.25</v>
      </c>
      <c r="K1196" s="16" t="n">
        <f aca="false">IF(J1196="","",J1196*$B$15)</f>
        <v>0.648</v>
      </c>
      <c r="L1196" s="16" t="n">
        <f aca="false">IF(D1196="","",H1196+E1196-K1196-G1196*I1196)</f>
        <v>16.0210618860552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1.12428743301123</v>
      </c>
      <c r="N1196" s="16" t="n">
        <f aca="false">IF(D1196="","",(I1196+M1196)/2)</f>
        <v>1.13498582155482</v>
      </c>
      <c r="O1196" s="16" t="n">
        <f aca="false">IF(D1196="","",G1196*N1196)</f>
        <v>0.237098538122803</v>
      </c>
      <c r="P1196" s="16" t="n">
        <f aca="false">IF(D1196="","",H1196+E1196-K1196-O1196)</f>
        <v>16.023296779422</v>
      </c>
      <c r="Q1196" s="16" t="n">
        <f aca="false">IF(D1196="","",IF(P1196&gt;=0,K1196,MAX(0,K1196+P1196)))</f>
        <v>0.648</v>
      </c>
      <c r="R1196" s="16" t="n">
        <f aca="false">IF(D1196="","",Q1196/$B$15)</f>
        <v>0.25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16.023296779422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75.2267454432958</v>
      </c>
      <c r="Z1196" s="18" t="n">
        <f aca="false">IF(D1196="","",MAX(0,IF(P1196&gt;=0,P1196,IF(K1196+P1196&gt;=0,0,P1196+K1196))))</f>
        <v>16.023296779422</v>
      </c>
      <c r="AA1196" s="18" t="n">
        <f aca="false">IF(D1196="","",IF(H1196&lt;=$B$16,1,IF(H1196&gt;=$B$17,$B$21,MATCH(H1196,Aux_CAV!$A$2:$A$121,1))))</f>
        <v>7</v>
      </c>
      <c r="AB1196" s="18" t="n">
        <f aca="false">IF(D1196="","",IF(L1196&lt;=$B$16,1,IF(L1196&gt;=$B$17,$B$21,MATCH(L1196,Aux_CAV!$A$2:$A$121,1))))</f>
        <v>6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0.02201235164234</v>
      </c>
      <c r="E1197" s="16" t="n">
        <f aca="false">IF(D1197="","",D1197*$B$15)</f>
        <v>0.0570560154569453</v>
      </c>
      <c r="F1197" s="16" t="n">
        <f aca="false" t="array" ref="F1197:F1197">IF(D1197="","",IFERROR(INDEX(Dados_Evap!$C$2:$N$15,MATCH($B$9,Dados_Evap!$A$2:$A$15,0),C1197),0))</f>
        <v>235.9</v>
      </c>
      <c r="G1197" s="16" t="n">
        <f aca="false">IF(F1197="","",F1197/1000)</f>
        <v>0.2359</v>
      </c>
      <c r="H1197" s="16" t="n">
        <f aca="false">IF(D1197="","",MAX(0,MIN($B$8,IFERROR(LOOKUP(2,1/($U$24:U1196&lt;&gt;""),$U$24:U1196),$B$11))))</f>
        <v>16.023296779422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1.12435925378105</v>
      </c>
      <c r="J1197" s="16" t="n">
        <f aca="false">IF(D1197="","",$B$12)</f>
        <v>0.25</v>
      </c>
      <c r="K1197" s="16" t="n">
        <f aca="false">IF(J1197="","",J1197*$B$15)</f>
        <v>0.648</v>
      </c>
      <c r="L1197" s="16" t="n">
        <f aca="false">IF(D1197="","",H1197+E1197-K1197-G1197*I1197)</f>
        <v>15.167116446912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1.09684495198016</v>
      </c>
      <c r="N1197" s="16" t="n">
        <f aca="false">IF(D1197="","",(I1197+M1197)/2)</f>
        <v>1.1106021028806</v>
      </c>
      <c r="O1197" s="16" t="n">
        <f aca="false">IF(D1197="","",G1197*N1197)</f>
        <v>0.261991036069534</v>
      </c>
      <c r="P1197" s="16" t="n">
        <f aca="false">IF(D1197="","",H1197+E1197-K1197-O1197)</f>
        <v>15.1703617588094</v>
      </c>
      <c r="Q1197" s="16" t="n">
        <f aca="false">IF(D1197="","",IF(P1197&gt;=0,K1197,MAX(0,K1197+P1197)))</f>
        <v>0.648</v>
      </c>
      <c r="R1197" s="16" t="n">
        <f aca="false">IF(D1197="","",Q1197/$B$15)</f>
        <v>0.25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15.1703617588094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71.2223556751616</v>
      </c>
      <c r="Z1197" s="18" t="n">
        <f aca="false">IF(D1197="","",MAX(0,IF(P1197&gt;=0,P1197,IF(K1197+P1197&gt;=0,0,P1197+K1197))))</f>
        <v>15.1703617588094</v>
      </c>
      <c r="AA1197" s="18" t="n">
        <f aca="false">IF(D1197="","",IF(H1197&lt;=$B$16,1,IF(H1197&gt;=$B$17,$B$21,MATCH(H1197,Aux_CAV!$A$2:$A$121,1))))</f>
        <v>6</v>
      </c>
      <c r="AB1197" s="18" t="n">
        <f aca="false">IF(D1197="","",IF(L1197&lt;=$B$16,1,IF(L1197&gt;=$B$17,$B$21,MATCH(L1197,Aux_CAV!$A$2:$A$121,1))))</f>
        <v>6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0.0127077889454906</v>
      </c>
      <c r="E1198" s="16" t="n">
        <f aca="false">IF(D1198="","",D1198*$B$15)</f>
        <v>0.0329385889467116</v>
      </c>
      <c r="F1198" s="16" t="n">
        <f aca="false" t="array" ref="F1198:F1198">IF(D1198="","",IFERROR(INDEX(Dados_Evap!$C$2:$N$15,MATCH($B$9,Dados_Evap!$A$2:$A$15,0),C1198),0))</f>
        <v>225.9</v>
      </c>
      <c r="G1198" s="16" t="n">
        <f aca="false">IF(F1198="","",F1198/1000)</f>
        <v>0.2259</v>
      </c>
      <c r="H1198" s="16" t="n">
        <f aca="false">IF(D1198="","",MAX(0,MIN($B$8,IFERROR(LOOKUP(2,1/($U$24:U1197&lt;&gt;""),$U$24:U1197),$B$11))))</f>
        <v>15.1703617588094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1.09694924366684</v>
      </c>
      <c r="J1198" s="16" t="n">
        <f aca="false">IF(D1198="","",$B$12)</f>
        <v>0.25</v>
      </c>
      <c r="K1198" s="16" t="n">
        <f aca="false">IF(J1198="","",J1198*$B$15)</f>
        <v>0.648</v>
      </c>
      <c r="L1198" s="16" t="n">
        <f aca="false">IF(D1198="","",H1198+E1198-K1198-G1198*I1198)</f>
        <v>14.3074995136118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1.06922021121248</v>
      </c>
      <c r="N1198" s="16" t="n">
        <f aca="false">IF(D1198="","",(I1198+M1198)/2)</f>
        <v>1.08308472743966</v>
      </c>
      <c r="O1198" s="16" t="n">
        <f aca="false">IF(D1198="","",G1198*N1198)</f>
        <v>0.244668839928619</v>
      </c>
      <c r="P1198" s="16" t="n">
        <f aca="false">IF(D1198="","",H1198+E1198-K1198-O1198)</f>
        <v>14.3106315078275</v>
      </c>
      <c r="Q1198" s="16" t="n">
        <f aca="false">IF(D1198="","",IF(P1198&gt;=0,K1198,MAX(0,K1198+P1198)))</f>
        <v>0.648</v>
      </c>
      <c r="R1198" s="16" t="n">
        <f aca="false">IF(D1198="","",Q1198/$B$15)</f>
        <v>0.25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14.3106315078275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67.1860634170306</v>
      </c>
      <c r="Z1198" s="18" t="n">
        <f aca="false">IF(D1198="","",MAX(0,IF(P1198&gt;=0,P1198,IF(K1198+P1198&gt;=0,0,P1198+K1198))))</f>
        <v>14.3106315078275</v>
      </c>
      <c r="AA1198" s="18" t="n">
        <f aca="false">IF(D1198="","",IF(H1198&lt;=$B$16,1,IF(H1198&gt;=$B$17,$B$21,MATCH(H1198,Aux_CAV!$A$2:$A$121,1))))</f>
        <v>6</v>
      </c>
      <c r="AB1198" s="18" t="n">
        <f aca="false">IF(D1198="","",IF(L1198&lt;=$B$16,1,IF(L1198&gt;=$B$17,$B$21,MATCH(L1198,Aux_CAV!$A$2:$A$121,1))))</f>
        <v>6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0.0327390782216089</v>
      </c>
      <c r="E1199" s="16" t="n">
        <f aca="false">IF(D1199="","",D1199*$B$15)</f>
        <v>0.0848596907504103</v>
      </c>
      <c r="F1199" s="16" t="n">
        <f aca="false" t="array" ref="F1199:F1199">IF(D1199="","",IFERROR(INDEX(Dados_Evap!$C$2:$N$15,MATCH($B$9,Dados_Evap!$A$2:$A$15,0),C1199),0))</f>
        <v>206</v>
      </c>
      <c r="G1199" s="16" t="n">
        <f aca="false">IF(F1199="","",F1199/1000)</f>
        <v>0.206</v>
      </c>
      <c r="H1199" s="16" t="n">
        <f aca="false">IF(D1199="","",MAX(0,MIN($B$8,IFERROR(LOOKUP(2,1/($U$24:U1198&lt;&gt;""),$U$24:U1198),$B$11))))</f>
        <v>14.3106315078275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1.06932086131015</v>
      </c>
      <c r="J1199" s="16" t="n">
        <f aca="false">IF(D1199="","",$B$12)</f>
        <v>0.25</v>
      </c>
      <c r="K1199" s="16" t="n">
        <f aca="false">IF(J1199="","",J1199*$B$15)</f>
        <v>0.648</v>
      </c>
      <c r="L1199" s="16" t="n">
        <f aca="false">IF(D1199="","",H1199+E1199-K1199-G1199*I1199)</f>
        <v>13.527211101148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1.04414478018812</v>
      </c>
      <c r="N1199" s="16" t="n">
        <f aca="false">IF(D1199="","",(I1199+M1199)/2)</f>
        <v>1.05673282074913</v>
      </c>
      <c r="O1199" s="16" t="n">
        <f aca="false">IF(D1199="","",G1199*N1199)</f>
        <v>0.217686961074322</v>
      </c>
      <c r="P1199" s="16" t="n">
        <f aca="false">IF(D1199="","",H1199+E1199-K1199-O1199)</f>
        <v>13.5298042375036</v>
      </c>
      <c r="Q1199" s="16" t="n">
        <f aca="false">IF(D1199="","",IF(P1199&gt;=0,K1199,MAX(0,K1199+P1199)))</f>
        <v>0.648</v>
      </c>
      <c r="R1199" s="16" t="n">
        <f aca="false">IF(D1199="","",Q1199/$B$15)</f>
        <v>0.25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13.5298042375036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63.5202076878103</v>
      </c>
      <c r="Z1199" s="18" t="n">
        <f aca="false">IF(D1199="","",MAX(0,IF(P1199&gt;=0,P1199,IF(K1199+P1199&gt;=0,0,P1199+K1199))))</f>
        <v>13.5298042375036</v>
      </c>
      <c r="AA1199" s="18" t="n">
        <f aca="false">IF(D1199="","",IF(H1199&lt;=$B$16,1,IF(H1199&gt;=$B$17,$B$21,MATCH(H1199,Aux_CAV!$A$2:$A$121,1))))</f>
        <v>6</v>
      </c>
      <c r="AB1199" s="18" t="n">
        <f aca="false">IF(D1199="","",IF(L1199&lt;=$B$16,1,IF(L1199&gt;=$B$17,$B$21,MATCH(L1199,Aux_CAV!$A$2:$A$121,1))))</f>
        <v>6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0.176434056114341</v>
      </c>
      <c r="E1200" s="16" t="n">
        <f aca="false">IF(D1200="","",D1200*$B$15)</f>
        <v>0.457317073448372</v>
      </c>
      <c r="F1200" s="16" t="n">
        <f aca="false" t="array" ref="F1200:F1200">IF(D1200="","",IFERROR(INDEX(Dados_Evap!$C$2:$N$15,MATCH($B$9,Dados_Evap!$A$2:$A$15,0),C1200),0))</f>
        <v>165.6</v>
      </c>
      <c r="G1200" s="16" t="n">
        <f aca="false">IF(F1200="","",F1200/1000)</f>
        <v>0.1656</v>
      </c>
      <c r="H1200" s="16" t="n">
        <f aca="false">IF(D1200="","",MAX(0,MIN($B$8,IFERROR(LOOKUP(2,1/($U$24:U1199&lt;&gt;""),$U$24:U1199),$B$11))))</f>
        <v>13.5298042375036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1.04422811349255</v>
      </c>
      <c r="J1200" s="16" t="n">
        <f aca="false">IF(D1200="","",$B$12)</f>
        <v>0.25</v>
      </c>
      <c r="K1200" s="16" t="n">
        <f aca="false">IF(J1200="","",J1200*$B$15)</f>
        <v>0.648</v>
      </c>
      <c r="L1200" s="16" t="n">
        <f aca="false">IF(D1200="","",H1200+E1200-K1200-G1200*I1200)</f>
        <v>13.1661971353576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1.0325431971665</v>
      </c>
      <c r="N1200" s="16" t="n">
        <f aca="false">IF(D1200="","",(I1200+M1200)/2)</f>
        <v>1.03838565532953</v>
      </c>
      <c r="O1200" s="16" t="n">
        <f aca="false">IF(D1200="","",G1200*N1200)</f>
        <v>0.17195666452257</v>
      </c>
      <c r="P1200" s="16" t="n">
        <f aca="false">IF(D1200="","",H1200+E1200-K1200-O1200)</f>
        <v>13.1671646464294</v>
      </c>
      <c r="Q1200" s="16" t="n">
        <f aca="false">IF(D1200="","",IF(P1200&gt;=0,K1200,MAX(0,K1200+P1200)))</f>
        <v>0.648</v>
      </c>
      <c r="R1200" s="16" t="n">
        <f aca="false">IF(D1200="","",Q1200/$B$15)</f>
        <v>0.25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13.1671646464294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61.8176743963822</v>
      </c>
      <c r="Z1200" s="18" t="n">
        <f aca="false">IF(D1200="","",MAX(0,IF(P1200&gt;=0,P1200,IF(K1200+P1200&gt;=0,0,P1200+K1200))))</f>
        <v>13.1671646464294</v>
      </c>
      <c r="AA1200" s="18" t="n">
        <f aca="false">IF(D1200="","",IF(H1200&lt;=$B$16,1,IF(H1200&gt;=$B$17,$B$21,MATCH(H1200,Aux_CAV!$A$2:$A$121,1))))</f>
        <v>6</v>
      </c>
      <c r="AB1200" s="18" t="n">
        <f aca="false">IF(D1200="","",IF(L1200&lt;=$B$16,1,IF(L1200&gt;=$B$17,$B$21,MATCH(L1200,Aux_CAV!$A$2:$A$121,1))))</f>
        <v>6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0.102038770755937</v>
      </c>
      <c r="E1201" s="16" t="n">
        <f aca="false">IF(D1201="","",D1201*$B$15)</f>
        <v>0.264484493799389</v>
      </c>
      <c r="F1201" s="16" t="n">
        <f aca="false" t="array" ref="F1201:F1201">IF(D1201="","",IFERROR(INDEX(Dados_Evap!$C$2:$N$15,MATCH($B$9,Dados_Evap!$A$2:$A$15,0),C1201),0))</f>
        <v>124.9</v>
      </c>
      <c r="G1201" s="16" t="n">
        <f aca="false">IF(F1201="","",F1201/1000)</f>
        <v>0.1249</v>
      </c>
      <c r="H1201" s="16" t="n">
        <f aca="false">IF(D1201="","",MAX(0,MIN($B$8,IFERROR(LOOKUP(2,1/($U$24:U1200&lt;&gt;""),$U$24:U1200),$B$11))))</f>
        <v>13.1671646464294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1.03257428920473</v>
      </c>
      <c r="J1201" s="16" t="n">
        <f aca="false">IF(D1201="","",$B$12)</f>
        <v>0.25</v>
      </c>
      <c r="K1201" s="16" t="n">
        <f aca="false">IF(J1201="","",J1201*$B$15)</f>
        <v>0.648</v>
      </c>
      <c r="L1201" s="16" t="n">
        <f aca="false">IF(D1201="","",H1201+E1201-K1201-G1201*I1201)</f>
        <v>12.6546806115071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1.01610504800685</v>
      </c>
      <c r="N1201" s="16" t="n">
        <f aca="false">IF(D1201="","",(I1201+M1201)/2)</f>
        <v>1.02433966860579</v>
      </c>
      <c r="O1201" s="16" t="n">
        <f aca="false">IF(D1201="","",G1201*N1201)</f>
        <v>0.127940024608863</v>
      </c>
      <c r="P1201" s="16" t="n">
        <f aca="false">IF(D1201="","",H1201+E1201-K1201-O1201)</f>
        <v>12.6557091156199</v>
      </c>
      <c r="Q1201" s="16" t="n">
        <f aca="false">IF(D1201="","",IF(P1201&gt;=0,K1201,MAX(0,K1201+P1201)))</f>
        <v>0.648</v>
      </c>
      <c r="R1201" s="16" t="n">
        <f aca="false">IF(D1201="","",Q1201/$B$15)</f>
        <v>0.25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12.6557091156199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59.4164747212203</v>
      </c>
      <c r="Z1201" s="18" t="n">
        <f aca="false">IF(D1201="","",MAX(0,IF(P1201&gt;=0,P1201,IF(K1201+P1201&gt;=0,0,P1201+K1201))))</f>
        <v>12.6557091156199</v>
      </c>
      <c r="AA1201" s="18" t="n">
        <f aca="false">IF(D1201="","",IF(H1201&lt;=$B$16,1,IF(H1201&gt;=$B$17,$B$21,MATCH(H1201,Aux_CAV!$A$2:$A$121,1))))</f>
        <v>6</v>
      </c>
      <c r="AB1201" s="18" t="n">
        <f aca="false">IF(D1201="","",IF(L1201&lt;=$B$16,1,IF(L1201&gt;=$B$17,$B$21,MATCH(L1201,Aux_CAV!$A$2:$A$121,1))))</f>
        <v>6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1.04567326999066</v>
      </c>
      <c r="E1202" s="16" t="n">
        <f aca="false">IF(D1202="","",D1202*$B$15)</f>
        <v>2.71038511581579</v>
      </c>
      <c r="F1202" s="16" t="n">
        <f aca="false" t="array" ref="F1202:F1202">IF(D1202="","",IFERROR(INDEX(Dados_Evap!$C$2:$N$15,MATCH($B$9,Dados_Evap!$A$2:$A$15,0),C1202),0))</f>
        <v>88.2</v>
      </c>
      <c r="G1202" s="16" t="n">
        <f aca="false">IF(F1202="","",F1202/1000)</f>
        <v>0.0882</v>
      </c>
      <c r="H1202" s="16" t="n">
        <f aca="false">IF(D1202="","",MAX(0,MIN($B$8,IFERROR(LOOKUP(2,1/($U$24:U1201&lt;&gt;""),$U$24:U1201),$B$11))))</f>
        <v>12.6557091156199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1.01613810012389</v>
      </c>
      <c r="J1202" s="16" t="n">
        <f aca="false">IF(D1202="","",$B$12)</f>
        <v>0.25</v>
      </c>
      <c r="K1202" s="16" t="n">
        <f aca="false">IF(J1202="","",J1202*$B$15)</f>
        <v>0.648</v>
      </c>
      <c r="L1202" s="16" t="n">
        <f aca="false">IF(D1202="","",H1202+E1202-K1202-G1202*I1202)</f>
        <v>14.6284708510048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1.079534980089</v>
      </c>
      <c r="N1202" s="16" t="n">
        <f aca="false">IF(D1202="","",(I1202+M1202)/2)</f>
        <v>1.04783654010645</v>
      </c>
      <c r="O1202" s="16" t="n">
        <f aca="false">IF(D1202="","",G1202*N1202)</f>
        <v>0.0924191828373885</v>
      </c>
      <c r="P1202" s="16" t="n">
        <f aca="false">IF(D1202="","",H1202+E1202-K1202-O1202)</f>
        <v>14.6256750485983</v>
      </c>
      <c r="Q1202" s="16" t="n">
        <f aca="false">IF(D1202="","",IF(P1202&gt;=0,K1202,MAX(0,K1202+P1202)))</f>
        <v>0.648</v>
      </c>
      <c r="R1202" s="16" t="n">
        <f aca="false">IF(D1202="","",Q1202/$B$15)</f>
        <v>0.25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14.6256750485983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68.6651410732316</v>
      </c>
      <c r="Z1202" s="18" t="n">
        <f aca="false">IF(D1202="","",MAX(0,IF(P1202&gt;=0,P1202,IF(K1202+P1202&gt;=0,0,P1202+K1202))))</f>
        <v>14.6256750485983</v>
      </c>
      <c r="AA1202" s="18" t="n">
        <f aca="false">IF(D1202="","",IF(H1202&lt;=$B$16,1,IF(H1202&gt;=$B$17,$B$21,MATCH(H1202,Aux_CAV!$A$2:$A$121,1))))</f>
        <v>6</v>
      </c>
      <c r="AB1202" s="18" t="n">
        <f aca="false">IF(D1202="","",IF(L1202&lt;=$B$16,1,IF(L1202&gt;=$B$17,$B$21,MATCH(L1202,Aux_CAV!$A$2:$A$121,1))))</f>
        <v>6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1.23321108988005</v>
      </c>
      <c r="E1203" s="16" t="n">
        <f aca="false">IF(D1203="","",D1203*$B$15)</f>
        <v>3.19648314496909</v>
      </c>
      <c r="F1203" s="16" t="n">
        <f aca="false" t="array" ref="F1203:F1203">IF(D1203="","",IFERROR(INDEX(Dados_Evap!$C$2:$N$15,MATCH($B$9,Dados_Evap!$A$2:$A$15,0),C1203),0))</f>
        <v>88.2</v>
      </c>
      <c r="G1203" s="16" t="n">
        <f aca="false">IF(F1203="","",F1203/1000)</f>
        <v>0.0882</v>
      </c>
      <c r="H1203" s="16" t="n">
        <f aca="false">IF(D1203="","",MAX(0,MIN($B$8,IFERROR(LOOKUP(2,1/($U$24:U1202&lt;&gt;""),$U$24:U1202),$B$11))))</f>
        <v>14.6256750485983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1.0794451338869</v>
      </c>
      <c r="J1203" s="16" t="n">
        <f aca="false">IF(D1203="","",$B$12)</f>
        <v>0.25</v>
      </c>
      <c r="K1203" s="16" t="n">
        <f aca="false">IF(J1203="","",J1203*$B$15)</f>
        <v>0.648</v>
      </c>
      <c r="L1203" s="16" t="n">
        <f aca="false">IF(D1203="","",H1203+E1203-K1203-G1203*I1203)</f>
        <v>17.0789511327586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1.15069010479087</v>
      </c>
      <c r="N1203" s="16" t="n">
        <f aca="false">IF(D1203="","",(I1203+M1203)/2)</f>
        <v>1.11506761933889</v>
      </c>
      <c r="O1203" s="16" t="n">
        <f aca="false">IF(D1203="","",G1203*N1203)</f>
        <v>0.0983489640256898</v>
      </c>
      <c r="P1203" s="16" t="n">
        <f aca="false">IF(D1203="","",H1203+E1203-K1203-O1203)</f>
        <v>17.0758092295417</v>
      </c>
      <c r="Q1203" s="16" t="n">
        <f aca="false">IF(D1203="","",IF(P1203&gt;=0,K1203,MAX(0,K1203+P1203)))</f>
        <v>0.648</v>
      </c>
      <c r="R1203" s="16" t="n">
        <f aca="false">IF(D1203="","",Q1203/$B$15)</f>
        <v>0.25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17.0758092295417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80.1681184485527</v>
      </c>
      <c r="Z1203" s="18" t="n">
        <f aca="false">IF(D1203="","",MAX(0,IF(P1203&gt;=0,P1203,IF(K1203+P1203&gt;=0,0,P1203+K1203))))</f>
        <v>17.0758092295417</v>
      </c>
      <c r="AA1203" s="18" t="n">
        <f aca="false">IF(D1203="","",IF(H1203&lt;=$B$16,1,IF(H1203&gt;=$B$17,$B$21,MATCH(H1203,Aux_CAV!$A$2:$A$121,1))))</f>
        <v>6</v>
      </c>
      <c r="AB1203" s="18" t="n">
        <f aca="false">IF(D1203="","",IF(L1203&lt;=$B$16,1,IF(L1203&gt;=$B$17,$B$21,MATCH(L1203,Aux_CAV!$A$2:$A$121,1))))</f>
        <v>7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0.993636678524004</v>
      </c>
      <c r="E1204" s="16" t="n">
        <f aca="false">IF(D1204="","",D1204*$B$15)</f>
        <v>2.57550627073422</v>
      </c>
      <c r="F1204" s="16" t="n">
        <f aca="false" t="array" ref="F1204:F1204">IF(D1204="","",IFERROR(INDEX(Dados_Evap!$C$2:$N$15,MATCH($B$9,Dados_Evap!$A$2:$A$15,0),C1204),0))</f>
        <v>83.9</v>
      </c>
      <c r="G1204" s="16" t="n">
        <f aca="false">IF(F1204="","",F1204/1000)</f>
        <v>0.0839</v>
      </c>
      <c r="H1204" s="16" t="n">
        <f aca="false">IF(D1204="","",MAX(0,MIN($B$8,IFERROR(LOOKUP(2,1/($U$24:U1203&lt;&gt;""),$U$24:U1203),$B$11))))</f>
        <v>17.0758092295417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1.15063107111874</v>
      </c>
      <c r="J1204" s="16" t="n">
        <f aca="false">IF(D1204="","",$B$12)</f>
        <v>0.25</v>
      </c>
      <c r="K1204" s="16" t="n">
        <f aca="false">IF(J1204="","",J1204*$B$15)</f>
        <v>0.648</v>
      </c>
      <c r="L1204" s="16" t="n">
        <f aca="false">IF(D1204="","",H1204+E1204-K1204-G1204*I1204)</f>
        <v>18.9067775534091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1.18503339870706</v>
      </c>
      <c r="N1204" s="16" t="n">
        <f aca="false">IF(D1204="","",(I1204+M1204)/2)</f>
        <v>1.1678322349129</v>
      </c>
      <c r="O1204" s="16" t="n">
        <f aca="false">IF(D1204="","",G1204*N1204)</f>
        <v>0.0979811245091922</v>
      </c>
      <c r="P1204" s="16" t="n">
        <f aca="false">IF(D1204="","",H1204+E1204-K1204-O1204)</f>
        <v>18.9053343757668</v>
      </c>
      <c r="Q1204" s="16" t="n">
        <f aca="false">IF(D1204="","",IF(P1204&gt;=0,K1204,MAX(0,K1204+P1204)))</f>
        <v>0.648</v>
      </c>
      <c r="R1204" s="16" t="n">
        <f aca="false">IF(D1204="","",Q1204/$B$15)</f>
        <v>0.25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18.9053343757668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88.7574383838815</v>
      </c>
      <c r="Z1204" s="18" t="n">
        <f aca="false">IF(D1204="","",MAX(0,IF(P1204&gt;=0,P1204,IF(K1204+P1204&gt;=0,0,P1204+K1204))))</f>
        <v>18.9053343757668</v>
      </c>
      <c r="AA1204" s="18" t="n">
        <f aca="false">IF(D1204="","",IF(H1204&lt;=$B$16,1,IF(H1204&gt;=$B$17,$B$21,MATCH(H1204,Aux_CAV!$A$2:$A$121,1))))</f>
        <v>7</v>
      </c>
      <c r="AB1204" s="18" t="n">
        <f aca="false">IF(D1204="","",IF(L1204&lt;=$B$16,1,IF(L1204&gt;=$B$17,$B$21,MATCH(L1204,Aux_CAV!$A$2:$A$121,1))))</f>
        <v>7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0.244514810808247</v>
      </c>
      <c r="E1205" s="16" t="n">
        <f aca="false">IF(D1205="","",D1205*$B$15)</f>
        <v>0.633782389614976</v>
      </c>
      <c r="F1205" s="16" t="n">
        <f aca="false" t="array" ref="F1205:F1205">IF(D1205="","",IFERROR(INDEX(Dados_Evap!$C$2:$N$15,MATCH($B$9,Dados_Evap!$A$2:$A$15,0),C1205),0))</f>
        <v>104.7</v>
      </c>
      <c r="G1205" s="16" t="n">
        <f aca="false">IF(F1205="","",F1205/1000)</f>
        <v>0.1047</v>
      </c>
      <c r="H1205" s="16" t="n">
        <f aca="false">IF(D1205="","",MAX(0,MIN($B$8,IFERROR(LOOKUP(2,1/($U$24:U1204&lt;&gt;""),$U$24:U1204),$B$11))))</f>
        <v>18.9053343757668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1.18500628263445</v>
      </c>
      <c r="J1205" s="16" t="n">
        <f aca="false">IF(D1205="","",$B$12)</f>
        <v>0.25</v>
      </c>
      <c r="K1205" s="16" t="n">
        <f aca="false">IF(J1205="","",J1205*$B$15)</f>
        <v>0.648</v>
      </c>
      <c r="L1205" s="16" t="n">
        <f aca="false">IF(D1205="","",H1205+E1205-K1205-G1205*I1205)</f>
        <v>18.7670466075899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1.18240797383781</v>
      </c>
      <c r="N1205" s="16" t="n">
        <f aca="false">IF(D1205="","",(I1205+M1205)/2)</f>
        <v>1.18370712823613</v>
      </c>
      <c r="O1205" s="16" t="n">
        <f aca="false">IF(D1205="","",G1205*N1205)</f>
        <v>0.123934136326323</v>
      </c>
      <c r="P1205" s="16" t="n">
        <f aca="false">IF(D1205="","",H1205+E1205-K1205-O1205)</f>
        <v>18.7671826290554</v>
      </c>
      <c r="Q1205" s="16" t="n">
        <f aca="false">IF(D1205="","",IF(P1205&gt;=0,K1205,MAX(0,K1205+P1205)))</f>
        <v>0.648</v>
      </c>
      <c r="R1205" s="16" t="n">
        <f aca="false">IF(D1205="","",Q1205/$B$15)</f>
        <v>0.25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18.7671826290554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88.108838634063</v>
      </c>
      <c r="Z1205" s="18" t="n">
        <f aca="false">IF(D1205="","",MAX(0,IF(P1205&gt;=0,P1205,IF(K1205+P1205&gt;=0,0,P1205+K1205))))</f>
        <v>18.7671826290554</v>
      </c>
      <c r="AA1205" s="18" t="n">
        <f aca="false">IF(D1205="","",IF(H1205&lt;=$B$16,1,IF(H1205&gt;=$B$17,$B$21,MATCH(H1205,Aux_CAV!$A$2:$A$121,1))))</f>
        <v>7</v>
      </c>
      <c r="AB1205" s="18" t="n">
        <f aca="false">IF(D1205="","",IF(L1205&lt;=$B$16,1,IF(L1205&gt;=$B$17,$B$21,MATCH(L1205,Aux_CAV!$A$2:$A$121,1))))</f>
        <v>7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0.133563720977259</v>
      </c>
      <c r="E1206" s="16" t="n">
        <f aca="false">IF(D1206="","",D1206*$B$15)</f>
        <v>0.346197164773055</v>
      </c>
      <c r="F1206" s="16" t="n">
        <f aca="false" t="array" ref="F1206:F1206">IF(D1206="","",IFERROR(INDEX(Dados_Evap!$C$2:$N$15,MATCH($B$9,Dados_Evap!$A$2:$A$15,0),C1206),0))</f>
        <v>145.2</v>
      </c>
      <c r="G1206" s="16" t="n">
        <f aca="false">IF(F1206="","",F1206/1000)</f>
        <v>0.1452</v>
      </c>
      <c r="H1206" s="16" t="n">
        <f aca="false">IF(D1206="","",MAX(0,MIN($B$8,IFERROR(LOOKUP(2,1/($U$24:U1205&lt;&gt;""),$U$24:U1205),$B$11))))</f>
        <v>18.7671826290554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1.18241052956472</v>
      </c>
      <c r="J1206" s="16" t="n">
        <f aca="false">IF(D1206="","",$B$12)</f>
        <v>0.25</v>
      </c>
      <c r="K1206" s="16" t="n">
        <f aca="false">IF(J1206="","",J1206*$B$15)</f>
        <v>0.648</v>
      </c>
      <c r="L1206" s="16" t="n">
        <f aca="false">IF(D1206="","",H1206+E1206-K1206-G1206*I1206)</f>
        <v>18.2936937849357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1.17351407946643</v>
      </c>
      <c r="N1206" s="16" t="n">
        <f aca="false">IF(D1206="","",(I1206+M1206)/2)</f>
        <v>1.17796230451557</v>
      </c>
      <c r="O1206" s="16" t="n">
        <f aca="false">IF(D1206="","",G1206*N1206)</f>
        <v>0.171040126615661</v>
      </c>
      <c r="P1206" s="16" t="n">
        <f aca="false">IF(D1206="","",H1206+E1206-K1206-O1206)</f>
        <v>18.2943396672128</v>
      </c>
      <c r="Q1206" s="16" t="n">
        <f aca="false">IF(D1206="","",IF(P1206&gt;=0,K1206,MAX(0,K1206+P1206)))</f>
        <v>0.648</v>
      </c>
      <c r="R1206" s="16" t="n">
        <f aca="false">IF(D1206="","",Q1206/$B$15)</f>
        <v>0.25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18.2943396672128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85.8889186254122</v>
      </c>
      <c r="Z1206" s="18" t="n">
        <f aca="false">IF(D1206="","",MAX(0,IF(P1206&gt;=0,P1206,IF(K1206+P1206&gt;=0,0,P1206+K1206))))</f>
        <v>18.2943396672128</v>
      </c>
      <c r="AA1206" s="18" t="n">
        <f aca="false">IF(D1206="","",IF(H1206&lt;=$B$16,1,IF(H1206&gt;=$B$17,$B$21,MATCH(H1206,Aux_CAV!$A$2:$A$121,1))))</f>
        <v>7</v>
      </c>
      <c r="AB1206" s="18" t="n">
        <f aca="false">IF(D1206="","",IF(L1206&lt;=$B$16,1,IF(L1206&gt;=$B$17,$B$21,MATCH(L1206,Aux_CAV!$A$2:$A$121,1))))</f>
        <v>7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0.217501983582684</v>
      </c>
      <c r="E1207" s="16" t="n">
        <f aca="false">IF(D1207="","",D1207*$B$15)</f>
        <v>0.563765141446317</v>
      </c>
      <c r="F1207" s="16" t="n">
        <f aca="false" t="array" ref="F1207:F1207">IF(D1207="","",IFERROR(INDEX(Dados_Evap!$C$2:$N$15,MATCH($B$9,Dados_Evap!$A$2:$A$15,0),C1207),0))</f>
        <v>180.9</v>
      </c>
      <c r="G1207" s="16" t="n">
        <f aca="false">IF(F1207="","",F1207/1000)</f>
        <v>0.1809</v>
      </c>
      <c r="H1207" s="16" t="n">
        <f aca="false">IF(D1207="","",MAX(0,MIN($B$8,IFERROR(LOOKUP(2,1/($U$24:U1206&lt;&gt;""),$U$24:U1206),$B$11))))</f>
        <v>18.2943396672128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1.17352621504158</v>
      </c>
      <c r="J1207" s="16" t="n">
        <f aca="false">IF(D1207="","",$B$12)</f>
        <v>0.25</v>
      </c>
      <c r="K1207" s="16" t="n">
        <f aca="false">IF(J1207="","",J1207*$B$15)</f>
        <v>0.648</v>
      </c>
      <c r="L1207" s="16" t="n">
        <f aca="false">IF(D1207="","",H1207+E1207-K1207-G1207*I1207)</f>
        <v>17.9978139163581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1.1679547499942</v>
      </c>
      <c r="N1207" s="16" t="n">
        <f aca="false">IF(D1207="","",(I1207+M1207)/2)</f>
        <v>1.17074048251789</v>
      </c>
      <c r="O1207" s="16" t="n">
        <f aca="false">IF(D1207="","",G1207*N1207)</f>
        <v>0.211786953287486</v>
      </c>
      <c r="P1207" s="16" t="n">
        <f aca="false">IF(D1207="","",H1207+E1207-K1207-O1207)</f>
        <v>17.9983178553716</v>
      </c>
      <c r="Q1207" s="16" t="n">
        <f aca="false">IF(D1207="","",IF(P1207&gt;=0,K1207,MAX(0,K1207+P1207)))</f>
        <v>0.648</v>
      </c>
      <c r="R1207" s="16" t="n">
        <f aca="false">IF(D1207="","",Q1207/$B$15)</f>
        <v>0.25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17.9983178553716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84.4991448608997</v>
      </c>
      <c r="Z1207" s="18" t="n">
        <f aca="false">IF(D1207="","",MAX(0,IF(P1207&gt;=0,P1207,IF(K1207+P1207&gt;=0,0,P1207+K1207))))</f>
        <v>17.9983178553716</v>
      </c>
      <c r="AA1207" s="18" t="n">
        <f aca="false">IF(D1207="","",IF(H1207&lt;=$B$16,1,IF(H1207&gt;=$B$17,$B$21,MATCH(H1207,Aux_CAV!$A$2:$A$121,1))))</f>
        <v>7</v>
      </c>
      <c r="AB1207" s="18" t="n">
        <f aca="false">IF(D1207="","",IF(L1207&lt;=$B$16,1,IF(L1207&gt;=$B$17,$B$21,MATCH(L1207,Aux_CAV!$A$2:$A$121,1))))</f>
        <v>7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0.0628685350811394</v>
      </c>
      <c r="E1208" s="16" t="n">
        <f aca="false">IF(D1208="","",D1208*$B$15)</f>
        <v>0.162955242930313</v>
      </c>
      <c r="F1208" s="16" t="n">
        <f aca="false" t="array" ref="F1208:F1208">IF(D1208="","",IFERROR(INDEX(Dados_Evap!$C$2:$N$15,MATCH($B$9,Dados_Evap!$A$2:$A$15,0),C1208),0))</f>
        <v>208.9</v>
      </c>
      <c r="G1208" s="16" t="n">
        <f aca="false">IF(F1208="","",F1208/1000)</f>
        <v>0.2089</v>
      </c>
      <c r="H1208" s="16" t="n">
        <f aca="false">IF(D1208="","",MAX(0,MIN($B$8,IFERROR(LOOKUP(2,1/($U$24:U1207&lt;&gt;""),$U$24:U1207),$B$11))))</f>
        <v>17.9983178553716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1.16796421857692</v>
      </c>
      <c r="J1208" s="16" t="n">
        <f aca="false">IF(D1208="","",$B$12)</f>
        <v>0.25</v>
      </c>
      <c r="K1208" s="16" t="n">
        <f aca="false">IF(J1208="","",J1208*$B$15)</f>
        <v>0.648</v>
      </c>
      <c r="L1208" s="16" t="n">
        <f aca="false">IF(D1208="","",H1208+E1208-K1208-G1208*I1208)</f>
        <v>17.2692853730412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1.15426632224921</v>
      </c>
      <c r="N1208" s="16" t="n">
        <f aca="false">IF(D1208="","",(I1208+M1208)/2)</f>
        <v>1.16111527041306</v>
      </c>
      <c r="O1208" s="16" t="n">
        <f aca="false">IF(D1208="","",G1208*N1208)</f>
        <v>0.242556979989289</v>
      </c>
      <c r="P1208" s="16" t="n">
        <f aca="false">IF(D1208="","",H1208+E1208-K1208-O1208)</f>
        <v>17.2707161183127</v>
      </c>
      <c r="Q1208" s="16" t="n">
        <f aca="false">IF(D1208="","",IF(P1208&gt;=0,K1208,MAX(0,K1208+P1208)))</f>
        <v>0.648</v>
      </c>
      <c r="R1208" s="16" t="n">
        <f aca="false">IF(D1208="","",Q1208/$B$15)</f>
        <v>0.25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17.2707161183127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81.0831742643787</v>
      </c>
      <c r="Z1208" s="18" t="n">
        <f aca="false">IF(D1208="","",MAX(0,IF(P1208&gt;=0,P1208,IF(K1208+P1208&gt;=0,0,P1208+K1208))))</f>
        <v>17.2707161183127</v>
      </c>
      <c r="AA1208" s="18" t="n">
        <f aca="false">IF(D1208="","",IF(H1208&lt;=$B$16,1,IF(H1208&gt;=$B$17,$B$21,MATCH(H1208,Aux_CAV!$A$2:$A$121,1))))</f>
        <v>7</v>
      </c>
      <c r="AB1208" s="18" t="n">
        <f aca="false">IF(D1208="","",IF(L1208&lt;=$B$16,1,IF(L1208&gt;=$B$17,$B$21,MATCH(L1208,Aux_CAV!$A$2:$A$121,1))))</f>
        <v>7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0.0384418305907551</v>
      </c>
      <c r="E1209" s="16" t="n">
        <f aca="false">IF(D1209="","",D1209*$B$15)</f>
        <v>0.0996412248912372</v>
      </c>
      <c r="F1209" s="16" t="n">
        <f aca="false" t="array" ref="F1209:F1209">IF(D1209="","",IFERROR(INDEX(Dados_Evap!$C$2:$N$15,MATCH($B$9,Dados_Evap!$A$2:$A$15,0),C1209),0))</f>
        <v>235.9</v>
      </c>
      <c r="G1209" s="16" t="n">
        <f aca="false">IF(F1209="","",F1209/1000)</f>
        <v>0.2359</v>
      </c>
      <c r="H1209" s="16" t="n">
        <f aca="false">IF(D1209="","",MAX(0,MIN($B$8,IFERROR(LOOKUP(2,1/($U$24:U1208&lt;&gt;""),$U$24:U1208),$B$11))))</f>
        <v>17.2707161183127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1.15429320472821</v>
      </c>
      <c r="J1209" s="16" t="n">
        <f aca="false">IF(D1209="","",$B$12)</f>
        <v>0.25</v>
      </c>
      <c r="K1209" s="16" t="n">
        <f aca="false">IF(J1209="","",J1209*$B$15)</f>
        <v>0.648</v>
      </c>
      <c r="L1209" s="16" t="n">
        <f aca="false">IF(D1209="","",H1209+E1209-K1209-G1209*I1209)</f>
        <v>16.4500595762085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1.13807374819574</v>
      </c>
      <c r="N1209" s="16" t="n">
        <f aca="false">IF(D1209="","",(I1209+M1209)/2)</f>
        <v>1.14618347646197</v>
      </c>
      <c r="O1209" s="16" t="n">
        <f aca="false">IF(D1209="","",G1209*N1209)</f>
        <v>0.27038468209738</v>
      </c>
      <c r="P1209" s="16" t="n">
        <f aca="false">IF(D1209="","",H1209+E1209-K1209-O1209)</f>
        <v>16.4519726611065</v>
      </c>
      <c r="Q1209" s="16" t="n">
        <f aca="false">IF(D1209="","",IF(P1209&gt;=0,K1209,MAX(0,K1209+P1209)))</f>
        <v>0.648</v>
      </c>
      <c r="R1209" s="16" t="n">
        <f aca="false">IF(D1209="","",Q1209/$B$15)</f>
        <v>0.25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16.4519726611065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77.2393082681057</v>
      </c>
      <c r="Z1209" s="18" t="n">
        <f aca="false">IF(D1209="","",MAX(0,IF(P1209&gt;=0,P1209,IF(K1209+P1209&gt;=0,0,P1209+K1209))))</f>
        <v>16.4519726611065</v>
      </c>
      <c r="AA1209" s="18" t="n">
        <f aca="false">IF(D1209="","",IF(H1209&lt;=$B$16,1,IF(H1209&gt;=$B$17,$B$21,MATCH(H1209,Aux_CAV!$A$2:$A$121,1))))</f>
        <v>7</v>
      </c>
      <c r="AB1209" s="18" t="n">
        <f aca="false">IF(D1209="","",IF(L1209&lt;=$B$16,1,IF(L1209&gt;=$B$17,$B$21,MATCH(L1209,Aux_CAV!$A$2:$A$121,1))))</f>
        <v>6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0.0215632466572865</v>
      </c>
      <c r="E1210" s="16" t="n">
        <f aca="false">IF(D1210="","",D1210*$B$15)</f>
        <v>0.0558919353356866</v>
      </c>
      <c r="F1210" s="16" t="n">
        <f aca="false" t="array" ref="F1210:F1210">IF(D1210="","",IFERROR(INDEX(Dados_Evap!$C$2:$N$15,MATCH($B$9,Dados_Evap!$A$2:$A$15,0),C1210),0))</f>
        <v>225.9</v>
      </c>
      <c r="G1210" s="16" t="n">
        <f aca="false">IF(F1210="","",F1210/1000)</f>
        <v>0.2259</v>
      </c>
      <c r="H1210" s="16" t="n">
        <f aca="false">IF(D1210="","",MAX(0,MIN($B$8,IFERROR(LOOKUP(2,1/($U$24:U1209&lt;&gt;""),$U$24:U1209),$B$11))))</f>
        <v>16.4519726611065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1.13813522729454</v>
      </c>
      <c r="J1210" s="16" t="n">
        <f aca="false">IF(D1210="","",$B$12)</f>
        <v>0.25</v>
      </c>
      <c r="K1210" s="16" t="n">
        <f aca="false">IF(J1210="","",J1210*$B$15)</f>
        <v>0.648</v>
      </c>
      <c r="L1210" s="16" t="n">
        <f aca="false">IF(D1210="","",H1210+E1210-K1210-G1210*I1210)</f>
        <v>15.6027598485964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1.11084483445395</v>
      </c>
      <c r="N1210" s="16" t="n">
        <f aca="false">IF(D1210="","",(I1210+M1210)/2)</f>
        <v>1.12449003087424</v>
      </c>
      <c r="O1210" s="16" t="n">
        <f aca="false">IF(D1210="","",G1210*N1210)</f>
        <v>0.254022297974492</v>
      </c>
      <c r="P1210" s="16" t="n">
        <f aca="false">IF(D1210="","",H1210+E1210-K1210-O1210)</f>
        <v>15.6058422984677</v>
      </c>
      <c r="Q1210" s="16" t="n">
        <f aca="false">IF(D1210="","",IF(P1210&gt;=0,K1210,MAX(0,K1210+P1210)))</f>
        <v>0.648</v>
      </c>
      <c r="R1210" s="16" t="n">
        <f aca="false">IF(D1210="","",Q1210/$B$15)</f>
        <v>0.25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15.6058422984677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73.2668652510221</v>
      </c>
      <c r="Z1210" s="18" t="n">
        <f aca="false">IF(D1210="","",MAX(0,IF(P1210&gt;=0,P1210,IF(K1210+P1210&gt;=0,0,P1210+K1210))))</f>
        <v>15.6058422984677</v>
      </c>
      <c r="AA1210" s="18" t="n">
        <f aca="false">IF(D1210="","",IF(H1210&lt;=$B$16,1,IF(H1210&gt;=$B$17,$B$21,MATCH(H1210,Aux_CAV!$A$2:$A$121,1))))</f>
        <v>6</v>
      </c>
      <c r="AB1210" s="18" t="n">
        <f aca="false">IF(D1210="","",IF(L1210&lt;=$B$16,1,IF(L1210&gt;=$B$17,$B$21,MATCH(L1210,Aux_CAV!$A$2:$A$121,1))))</f>
        <v>6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0.0125468010097007</v>
      </c>
      <c r="E1211" s="16" t="n">
        <f aca="false">IF(D1211="","",D1211*$B$15)</f>
        <v>0.0325213082171442</v>
      </c>
      <c r="F1211" s="16" t="n">
        <f aca="false" t="array" ref="F1211:F1211">IF(D1211="","",IFERROR(INDEX(Dados_Evap!$C$2:$N$15,MATCH($B$9,Dados_Evap!$A$2:$A$15,0),C1211),0))</f>
        <v>206</v>
      </c>
      <c r="G1211" s="16" t="n">
        <f aca="false">IF(F1211="","",F1211/1000)</f>
        <v>0.206</v>
      </c>
      <c r="H1211" s="16" t="n">
        <f aca="false">IF(D1211="","",MAX(0,MIN($B$8,IFERROR(LOOKUP(2,1/($U$24:U1210&lt;&gt;""),$U$24:U1210),$B$11))))</f>
        <v>15.6058422984677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1.11094389238932</v>
      </c>
      <c r="J1211" s="16" t="n">
        <f aca="false">IF(D1211="","",$B$12)</f>
        <v>0.25</v>
      </c>
      <c r="K1211" s="16" t="n">
        <f aca="false">IF(J1211="","",J1211*$B$15)</f>
        <v>0.648</v>
      </c>
      <c r="L1211" s="16" t="n">
        <f aca="false">IF(D1211="","",H1211+E1211-K1211-G1211*I1211)</f>
        <v>14.7615091648527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1.08381031342627</v>
      </c>
      <c r="N1211" s="16" t="n">
        <f aca="false">IF(D1211="","",(I1211+M1211)/2)</f>
        <v>1.09737710290779</v>
      </c>
      <c r="O1211" s="16" t="n">
        <f aca="false">IF(D1211="","",G1211*N1211)</f>
        <v>0.226059683199006</v>
      </c>
      <c r="P1211" s="16" t="n">
        <f aca="false">IF(D1211="","",H1211+E1211-K1211-O1211)</f>
        <v>14.7643039234859</v>
      </c>
      <c r="Q1211" s="16" t="n">
        <f aca="false">IF(D1211="","",IF(P1211&gt;=0,K1211,MAX(0,K1211+P1211)))</f>
        <v>0.648</v>
      </c>
      <c r="R1211" s="16" t="n">
        <f aca="false">IF(D1211="","",Q1211/$B$15)</f>
        <v>0.25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14.7643039234859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69.3159808614359</v>
      </c>
      <c r="Z1211" s="18" t="n">
        <f aca="false">IF(D1211="","",MAX(0,IF(P1211&gt;=0,P1211,IF(K1211+P1211&gt;=0,0,P1211+K1211))))</f>
        <v>14.7643039234859</v>
      </c>
      <c r="AA1211" s="18" t="n">
        <f aca="false">IF(D1211="","",IF(H1211&lt;=$B$16,1,IF(H1211&gt;=$B$17,$B$21,MATCH(H1211,Aux_CAV!$A$2:$A$121,1))))</f>
        <v>6</v>
      </c>
      <c r="AB1211" s="18" t="n">
        <f aca="false">IF(D1211="","",IF(L1211&lt;=$B$16,1,IF(L1211&gt;=$B$17,$B$21,MATCH(L1211,Aux_CAV!$A$2:$A$121,1))))</f>
        <v>6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0.177449138696941</v>
      </c>
      <c r="E1212" s="16" t="n">
        <f aca="false">IF(D1212="","",D1212*$B$15)</f>
        <v>0.459948167502471</v>
      </c>
      <c r="F1212" s="16" t="n">
        <f aca="false" t="array" ref="F1212:F1212">IF(D1212="","",IFERROR(INDEX(Dados_Evap!$C$2:$N$15,MATCH($B$9,Dados_Evap!$A$2:$A$15,0),C1212),0))</f>
        <v>165.6</v>
      </c>
      <c r="G1212" s="16" t="n">
        <f aca="false">IF(F1212="","",F1212/1000)</f>
        <v>0.1656</v>
      </c>
      <c r="H1212" s="16" t="n">
        <f aca="false">IF(D1212="","",MAX(0,MIN($B$8,IFERROR(LOOKUP(2,1/($U$24:U1211&lt;&gt;""),$U$24:U1211),$B$11))))</f>
        <v>14.7643039234859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1.08390012608556</v>
      </c>
      <c r="J1212" s="16" t="n">
        <f aca="false">IF(D1212="","",$B$12)</f>
        <v>0.25</v>
      </c>
      <c r="K1212" s="16" t="n">
        <f aca="false">IF(J1212="","",J1212*$B$15)</f>
        <v>0.648</v>
      </c>
      <c r="L1212" s="16" t="n">
        <f aca="false">IF(D1212="","",H1212+E1212-K1212-G1212*I1212)</f>
        <v>14.3967582301086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1.07208863877475</v>
      </c>
      <c r="N1212" s="16" t="n">
        <f aca="false">IF(D1212="","",(I1212+M1212)/2)</f>
        <v>1.07799438243016</v>
      </c>
      <c r="O1212" s="16" t="n">
        <f aca="false">IF(D1212="","",G1212*N1212)</f>
        <v>0.178515869730434</v>
      </c>
      <c r="P1212" s="16" t="n">
        <f aca="false">IF(D1212="","",H1212+E1212-K1212-O1212)</f>
        <v>14.3977362212579</v>
      </c>
      <c r="Q1212" s="16" t="n">
        <f aca="false">IF(D1212="","",IF(P1212&gt;=0,K1212,MAX(0,K1212+P1212)))</f>
        <v>0.648</v>
      </c>
      <c r="R1212" s="16" t="n">
        <f aca="false">IF(D1212="","",Q1212/$B$15)</f>
        <v>0.25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14.3977362212579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67.5950057336051</v>
      </c>
      <c r="Z1212" s="18" t="n">
        <f aca="false">IF(D1212="","",MAX(0,IF(P1212&gt;=0,P1212,IF(K1212+P1212&gt;=0,0,P1212+K1212))))</f>
        <v>14.3977362212579</v>
      </c>
      <c r="AA1212" s="18" t="n">
        <f aca="false">IF(D1212="","",IF(H1212&lt;=$B$16,1,IF(H1212&gt;=$B$17,$B$21,MATCH(H1212,Aux_CAV!$A$2:$A$121,1))))</f>
        <v>6</v>
      </c>
      <c r="AB1212" s="18" t="n">
        <f aca="false">IF(D1212="","",IF(L1212&lt;=$B$16,1,IF(L1212&gt;=$B$17,$B$21,MATCH(L1212,Aux_CAV!$A$2:$A$121,1))))</f>
        <v>6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0.674947311891301</v>
      </c>
      <c r="E1213" s="16" t="n">
        <f aca="false">IF(D1213="","",D1213*$B$15)</f>
        <v>1.74946343242225</v>
      </c>
      <c r="F1213" s="16" t="n">
        <f aca="false" t="array" ref="F1213:F1213">IF(D1213="","",IFERROR(INDEX(Dados_Evap!$C$2:$N$15,MATCH($B$9,Dados_Evap!$A$2:$A$15,0),C1213),0))</f>
        <v>124.9</v>
      </c>
      <c r="G1213" s="16" t="n">
        <f aca="false">IF(F1213="","",F1213/1000)</f>
        <v>0.1249</v>
      </c>
      <c r="H1213" s="16" t="n">
        <f aca="false">IF(D1213="","",MAX(0,MIN($B$8,IFERROR(LOOKUP(2,1/($U$24:U1212&lt;&gt;""),$U$24:U1212),$B$11))))</f>
        <v>14.3977362212579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1.07212006760186</v>
      </c>
      <c r="J1213" s="16" t="n">
        <f aca="false">IF(D1213="","",$B$12)</f>
        <v>0.25</v>
      </c>
      <c r="K1213" s="16" t="n">
        <f aca="false">IF(J1213="","",J1213*$B$15)</f>
        <v>0.648</v>
      </c>
      <c r="L1213" s="16" t="n">
        <f aca="false">IF(D1213="","",H1213+E1213-K1213-G1213*I1213)</f>
        <v>15.3652918572367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1.10321353794522</v>
      </c>
      <c r="N1213" s="16" t="n">
        <f aca="false">IF(D1213="","",(I1213+M1213)/2)</f>
        <v>1.08766680277354</v>
      </c>
      <c r="O1213" s="16" t="n">
        <f aca="false">IF(D1213="","",G1213*N1213)</f>
        <v>0.135849583666415</v>
      </c>
      <c r="P1213" s="16" t="n">
        <f aca="false">IF(D1213="","",H1213+E1213-K1213-O1213)</f>
        <v>15.3633500700137</v>
      </c>
      <c r="Q1213" s="16" t="n">
        <f aca="false">IF(D1213="","",IF(P1213&gt;=0,K1213,MAX(0,K1213+P1213)))</f>
        <v>0.648</v>
      </c>
      <c r="R1213" s="16" t="n">
        <f aca="false">IF(D1213="","",Q1213/$B$15)</f>
        <v>0.25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15.3633500700137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72.1284040845715</v>
      </c>
      <c r="Z1213" s="18" t="n">
        <f aca="false">IF(D1213="","",MAX(0,IF(P1213&gt;=0,P1213,IF(K1213+P1213&gt;=0,0,P1213+K1213))))</f>
        <v>15.3633500700137</v>
      </c>
      <c r="AA1213" s="18" t="n">
        <f aca="false">IF(D1213="","",IF(H1213&lt;=$B$16,1,IF(H1213&gt;=$B$17,$B$21,MATCH(H1213,Aux_CAV!$A$2:$A$121,1))))</f>
        <v>6</v>
      </c>
      <c r="AB1213" s="18" t="n">
        <f aca="false">IF(D1213="","",IF(L1213&lt;=$B$16,1,IF(L1213&gt;=$B$17,$B$21,MATCH(L1213,Aux_CAV!$A$2:$A$121,1))))</f>
        <v>6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1.83899384115504</v>
      </c>
      <c r="E1214" s="16" t="n">
        <f aca="false">IF(D1214="","",D1214*$B$15)</f>
        <v>4.76667203627386</v>
      </c>
      <c r="F1214" s="16" t="n">
        <f aca="false" t="array" ref="F1214:F1214">IF(D1214="","",IFERROR(INDEX(Dados_Evap!$C$2:$N$15,MATCH($B$9,Dados_Evap!$A$2:$A$15,0),C1214),0))</f>
        <v>88.2</v>
      </c>
      <c r="G1214" s="16" t="n">
        <f aca="false">IF(F1214="","",F1214/1000)</f>
        <v>0.0882</v>
      </c>
      <c r="H1214" s="16" t="n">
        <f aca="false">IF(D1214="","",MAX(0,MIN($B$8,IFERROR(LOOKUP(2,1/($U$24:U1213&lt;&gt;""),$U$24:U1213),$B$11))))</f>
        <v>15.3633500700137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1.10315113646547</v>
      </c>
      <c r="J1214" s="16" t="n">
        <f aca="false">IF(D1214="","",$B$12)</f>
        <v>0.25</v>
      </c>
      <c r="K1214" s="16" t="n">
        <f aca="false">IF(J1214="","",J1214*$B$15)</f>
        <v>0.648</v>
      </c>
      <c r="L1214" s="16" t="n">
        <f aca="false">IF(D1214="","",H1214+E1214-K1214-G1214*I1214)</f>
        <v>19.3847241760513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1.19401360664815</v>
      </c>
      <c r="N1214" s="16" t="n">
        <f aca="false">IF(D1214="","",(I1214+M1214)/2)</f>
        <v>1.14858237155681</v>
      </c>
      <c r="O1214" s="16" t="n">
        <f aca="false">IF(D1214="","",G1214*N1214)</f>
        <v>0.10130496517131</v>
      </c>
      <c r="P1214" s="16" t="n">
        <f aca="false">IF(D1214="","",H1214+E1214-K1214-O1214)</f>
        <v>19.3807171411163</v>
      </c>
      <c r="Q1214" s="16" t="n">
        <f aca="false">IF(D1214="","",IF(P1214&gt;=0,K1214,MAX(0,K1214+P1214)))</f>
        <v>0.648</v>
      </c>
      <c r="R1214" s="16" t="n">
        <f aca="false">IF(D1214="","",Q1214/$B$15)</f>
        <v>0.25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19.3807171411163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90.9892823526586</v>
      </c>
      <c r="Z1214" s="18" t="n">
        <f aca="false">IF(D1214="","",MAX(0,IF(P1214&gt;=0,P1214,IF(K1214+P1214&gt;=0,0,P1214+K1214))))</f>
        <v>19.3807171411163</v>
      </c>
      <c r="AA1214" s="18" t="n">
        <f aca="false">IF(D1214="","",IF(H1214&lt;=$B$16,1,IF(H1214&gt;=$B$17,$B$21,MATCH(H1214,Aux_CAV!$A$2:$A$121,1))))</f>
        <v>6</v>
      </c>
      <c r="AB1214" s="18" t="n">
        <f aca="false">IF(D1214="","",IF(L1214&lt;=$B$16,1,IF(L1214&gt;=$B$17,$B$21,MATCH(L1214,Aux_CAV!$A$2:$A$121,1))))</f>
        <v>7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3.07410858211776</v>
      </c>
      <c r="E1215" s="16" t="n">
        <f aca="false">IF(D1215="","",D1215*$B$15)</f>
        <v>7.96808944484924</v>
      </c>
      <c r="F1215" s="16" t="n">
        <f aca="false" t="array" ref="F1215:F1215">IF(D1215="","",IFERROR(INDEX(Dados_Evap!$C$2:$N$15,MATCH($B$9,Dados_Evap!$A$2:$A$15,0),C1215),0))</f>
        <v>88.2</v>
      </c>
      <c r="G1215" s="16" t="n">
        <f aca="false">IF(F1215="","",F1215/1000)</f>
        <v>0.0882</v>
      </c>
      <c r="H1215" s="16" t="n">
        <f aca="false">IF(D1215="","",MAX(0,MIN($B$8,IFERROR(LOOKUP(2,1/($U$24:U1214&lt;&gt;""),$U$24:U1214),$B$11))))</f>
        <v>19.3807171411163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1.19393831789154</v>
      </c>
      <c r="J1215" s="16" t="n">
        <f aca="false">IF(D1215="","",$B$12)</f>
        <v>0.25</v>
      </c>
      <c r="K1215" s="16" t="n">
        <f aca="false">IF(J1215="","",J1215*$B$15)</f>
        <v>0.648</v>
      </c>
      <c r="L1215" s="16" t="n">
        <f aca="false">IF(D1215="","",H1215+E1215-K1215-G1215*I1215)</f>
        <v>26.5955012263275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1.34824290797787</v>
      </c>
      <c r="N1215" s="16" t="n">
        <f aca="false">IF(D1215="","",(I1215+M1215)/2)</f>
        <v>1.2710906129347</v>
      </c>
      <c r="O1215" s="16" t="n">
        <f aca="false">IF(D1215="","",G1215*N1215)</f>
        <v>0.112110192060841</v>
      </c>
      <c r="P1215" s="16" t="n">
        <f aca="false">IF(D1215="","",H1215+E1215-K1215-O1215)</f>
        <v>26.5886963939047</v>
      </c>
      <c r="Q1215" s="16" t="n">
        <f aca="false">IF(D1215="","",IF(P1215&gt;=0,K1215,MAX(0,K1215+P1215)))</f>
        <v>0.648</v>
      </c>
      <c r="R1215" s="16" t="n">
        <f aca="false">IF(D1215="","",Q1215/$B$15)</f>
        <v>0.25</v>
      </c>
      <c r="S1215" s="16" t="n">
        <f aca="false">IF(D1215="","",MAX(0,J1215-R1215))</f>
        <v>0</v>
      </c>
      <c r="T1215" s="16" t="n">
        <f aca="false">IF(D1215="","",MAX(0,Z1215-$B$8))</f>
        <v>5.28869639390468</v>
      </c>
      <c r="U1215" s="16" t="n">
        <f aca="false">IF(D1215="","",MAX(0,MIN($B$8,Z1215)))</f>
        <v>21.3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26.5886963939047</v>
      </c>
      <c r="AA1215" s="18" t="n">
        <f aca="false">IF(D1215="","",IF(H1215&lt;=$B$16,1,IF(H1215&gt;=$B$17,$B$21,MATCH(H1215,Aux_CAV!$A$2:$A$121,1))))</f>
        <v>7</v>
      </c>
      <c r="AB1215" s="18" t="n">
        <f aca="false">IF(D1215="","",IF(L1215&lt;=$B$16,1,IF(L1215&gt;=$B$17,$B$21,MATCH(L1215,Aux_CAV!$A$2:$A$121,1))))</f>
        <v>9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2.05525123554685</v>
      </c>
      <c r="E1216" s="16" t="n">
        <f aca="false">IF(D1216="","",D1216*$B$15)</f>
        <v>5.32721120253744</v>
      </c>
      <c r="F1216" s="16" t="n">
        <f aca="false" t="array" ref="F1216:F1216">IF(D1216="","",IFERROR(INDEX(Dados_Evap!$C$2:$N$15,MATCH($B$9,Dados_Evap!$A$2:$A$15,0),C1216),0))</f>
        <v>83.9</v>
      </c>
      <c r="G1216" s="16" t="n">
        <f aca="false">IF(F1216="","",F1216/1000)</f>
        <v>0.0839</v>
      </c>
      <c r="H1216" s="16" t="n">
        <f aca="false">IF(D1216="","",MAX(0,MIN($B$8,IFERROR(LOOKUP(2,1/($U$24:U1215&lt;&gt;""),$U$24:U1215),$B$11))))</f>
        <v>21.3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1.23</v>
      </c>
      <c r="J1216" s="16" t="n">
        <f aca="false">IF(D1216="","",$B$12)</f>
        <v>0.25</v>
      </c>
      <c r="K1216" s="16" t="n">
        <f aca="false">IF(J1216="","",J1216*$B$15)</f>
        <v>0.648</v>
      </c>
      <c r="L1216" s="16" t="n">
        <f aca="false">IF(D1216="","",H1216+E1216-K1216-G1216*I1216)</f>
        <v>25.8760142025374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1.33098384893643</v>
      </c>
      <c r="N1216" s="16" t="n">
        <f aca="false">IF(D1216="","",(I1216+M1216)/2)</f>
        <v>1.28049192446822</v>
      </c>
      <c r="O1216" s="16" t="n">
        <f aca="false">IF(D1216="","",G1216*N1216)</f>
        <v>0.107433272462883</v>
      </c>
      <c r="P1216" s="16" t="n">
        <f aca="false">IF(D1216="","",H1216+E1216-K1216-O1216)</f>
        <v>25.8717779300746</v>
      </c>
      <c r="Q1216" s="16" t="n">
        <f aca="false">IF(D1216="","",IF(P1216&gt;=0,K1216,MAX(0,K1216+P1216)))</f>
        <v>0.648</v>
      </c>
      <c r="R1216" s="16" t="n">
        <f aca="false">IF(D1216="","",Q1216/$B$15)</f>
        <v>0.25</v>
      </c>
      <c r="S1216" s="16" t="n">
        <f aca="false">IF(D1216="","",MAX(0,J1216-R1216))</f>
        <v>0</v>
      </c>
      <c r="T1216" s="16" t="n">
        <f aca="false">IF(D1216="","",MAX(0,Z1216-$B$8))</f>
        <v>4.57177793007455</v>
      </c>
      <c r="U1216" s="16" t="n">
        <f aca="false">IF(D1216="","",MAX(0,MIN($B$8,Z1216)))</f>
        <v>21.3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25.8717779300746</v>
      </c>
      <c r="AA1216" s="18" t="n">
        <f aca="false">IF(D1216="","",IF(H1216&lt;=$B$16,1,IF(H1216&gt;=$B$17,$B$21,MATCH(H1216,Aux_CAV!$A$2:$A$121,1))))</f>
        <v>8</v>
      </c>
      <c r="AB1216" s="18" t="n">
        <f aca="false">IF(D1216="","",IF(L1216&lt;=$B$16,1,IF(L1216&gt;=$B$17,$B$21,MATCH(L1216,Aux_CAV!$A$2:$A$121,1))))</f>
        <v>9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1.26883725808747</v>
      </c>
      <c r="E1217" s="16" t="n">
        <f aca="false">IF(D1217="","",D1217*$B$15)</f>
        <v>3.28882617296272</v>
      </c>
      <c r="F1217" s="16" t="n">
        <f aca="false" t="array" ref="F1217:F1217">IF(D1217="","",IFERROR(INDEX(Dados_Evap!$C$2:$N$15,MATCH($B$9,Dados_Evap!$A$2:$A$15,0),C1217),0))</f>
        <v>104.7</v>
      </c>
      <c r="G1217" s="16" t="n">
        <f aca="false">IF(F1217="","",F1217/1000)</f>
        <v>0.1047</v>
      </c>
      <c r="H1217" s="16" t="n">
        <f aca="false">IF(D1217="","",MAX(0,MIN($B$8,IFERROR(LOOKUP(2,1/($U$24:U1216&lt;&gt;""),$U$24:U1216),$B$11))))</f>
        <v>21.3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1.23</v>
      </c>
      <c r="J1217" s="16" t="n">
        <f aca="false">IF(D1217="","",$B$12)</f>
        <v>0.25</v>
      </c>
      <c r="K1217" s="16" t="n">
        <f aca="false">IF(J1217="","",J1217*$B$15)</f>
        <v>0.648</v>
      </c>
      <c r="L1217" s="16" t="n">
        <f aca="false">IF(D1217="","",H1217+E1217-K1217-G1217*I1217)</f>
        <v>23.8120451729627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1.28147334747737</v>
      </c>
      <c r="N1217" s="16" t="n">
        <f aca="false">IF(D1217="","",(I1217+M1217)/2)</f>
        <v>1.25573667373868</v>
      </c>
      <c r="O1217" s="16" t="n">
        <f aca="false">IF(D1217="","",G1217*N1217)</f>
        <v>0.13147562974044</v>
      </c>
      <c r="P1217" s="16" t="n">
        <f aca="false">IF(D1217="","",H1217+E1217-K1217-O1217)</f>
        <v>23.8093505432223</v>
      </c>
      <c r="Q1217" s="16" t="n">
        <f aca="false">IF(D1217="","",IF(P1217&gt;=0,K1217,MAX(0,K1217+P1217)))</f>
        <v>0.648</v>
      </c>
      <c r="R1217" s="16" t="n">
        <f aca="false">IF(D1217="","",Q1217/$B$15)</f>
        <v>0.25</v>
      </c>
      <c r="S1217" s="16" t="n">
        <f aca="false">IF(D1217="","",MAX(0,J1217-R1217))</f>
        <v>0</v>
      </c>
      <c r="T1217" s="16" t="n">
        <f aca="false">IF(D1217="","",MAX(0,Z1217-$B$8))</f>
        <v>2.50935054322228</v>
      </c>
      <c r="U1217" s="16" t="n">
        <f aca="false">IF(D1217="","",MAX(0,MIN($B$8,Z1217)))</f>
        <v>21.3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23.8093505432223</v>
      </c>
      <c r="AA1217" s="18" t="n">
        <f aca="false">IF(D1217="","",IF(H1217&lt;=$B$16,1,IF(H1217&gt;=$B$17,$B$21,MATCH(H1217,Aux_CAV!$A$2:$A$121,1))))</f>
        <v>8</v>
      </c>
      <c r="AB1217" s="18" t="n">
        <f aca="false">IF(D1217="","",IF(L1217&lt;=$B$16,1,IF(L1217&gt;=$B$17,$B$21,MATCH(L1217,Aux_CAV!$A$2:$A$121,1))))</f>
        <v>9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0.915955330150853</v>
      </c>
      <c r="E1218" s="16" t="n">
        <f aca="false">IF(D1218="","",D1218*$B$15)</f>
        <v>2.37415621575101</v>
      </c>
      <c r="F1218" s="16" t="n">
        <f aca="false" t="array" ref="F1218:F1218">IF(D1218="","",IFERROR(INDEX(Dados_Evap!$C$2:$N$15,MATCH($B$9,Dados_Evap!$A$2:$A$15,0),C1218),0))</f>
        <v>145.2</v>
      </c>
      <c r="G1218" s="16" t="n">
        <f aca="false">IF(F1218="","",F1218/1000)</f>
        <v>0.1452</v>
      </c>
      <c r="H1218" s="16" t="n">
        <f aca="false">IF(D1218="","",MAX(0,MIN($B$8,IFERROR(LOOKUP(2,1/($U$24:U1217&lt;&gt;""),$U$24:U1217),$B$11))))</f>
        <v>21.3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1.23</v>
      </c>
      <c r="J1218" s="16" t="n">
        <f aca="false">IF(D1218="","",$B$12)</f>
        <v>0.25</v>
      </c>
      <c r="K1218" s="16" t="n">
        <f aca="false">IF(J1218="","",J1218*$B$15)</f>
        <v>0.648</v>
      </c>
      <c r="L1218" s="16" t="n">
        <f aca="false">IF(D1218="","",H1218+E1218-K1218-G1218*I1218)</f>
        <v>22.847560215751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1.25833727653975</v>
      </c>
      <c r="N1218" s="16" t="n">
        <f aca="false">IF(D1218="","",(I1218+M1218)/2)</f>
        <v>1.24416863826988</v>
      </c>
      <c r="O1218" s="16" t="n">
        <f aca="false">IF(D1218="","",G1218*N1218)</f>
        <v>0.180653286276786</v>
      </c>
      <c r="P1218" s="16" t="n">
        <f aca="false">IF(D1218="","",H1218+E1218-K1218-O1218)</f>
        <v>22.8455029294742</v>
      </c>
      <c r="Q1218" s="16" t="n">
        <f aca="false">IF(D1218="","",IF(P1218&gt;=0,K1218,MAX(0,K1218+P1218)))</f>
        <v>0.648</v>
      </c>
      <c r="R1218" s="16" t="n">
        <f aca="false">IF(D1218="","",Q1218/$B$15)</f>
        <v>0.25</v>
      </c>
      <c r="S1218" s="16" t="n">
        <f aca="false">IF(D1218="","",MAX(0,J1218-R1218))</f>
        <v>0</v>
      </c>
      <c r="T1218" s="16" t="n">
        <f aca="false">IF(D1218="","",MAX(0,Z1218-$B$8))</f>
        <v>1.54550292947422</v>
      </c>
      <c r="U1218" s="16" t="n">
        <f aca="false">IF(D1218="","",MAX(0,MIN($B$8,Z1218)))</f>
        <v>21.3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22.8455029294742</v>
      </c>
      <c r="AA1218" s="18" t="n">
        <f aca="false">IF(D1218="","",IF(H1218&lt;=$B$16,1,IF(H1218&gt;=$B$17,$B$21,MATCH(H1218,Aux_CAV!$A$2:$A$121,1))))</f>
        <v>8</v>
      </c>
      <c r="AB1218" s="18" t="n">
        <f aca="false">IF(D1218="","",IF(L1218&lt;=$B$16,1,IF(L1218&gt;=$B$17,$B$21,MATCH(L1218,Aux_CAV!$A$2:$A$121,1))))</f>
        <v>9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0.29356737860412</v>
      </c>
      <c r="E1219" s="16" t="n">
        <f aca="false">IF(D1219="","",D1219*$B$15)</f>
        <v>0.760926645341879</v>
      </c>
      <c r="F1219" s="16" t="n">
        <f aca="false" t="array" ref="F1219:F1219">IF(D1219="","",IFERROR(INDEX(Dados_Evap!$C$2:$N$15,MATCH($B$9,Dados_Evap!$A$2:$A$15,0),C1219),0))</f>
        <v>180.9</v>
      </c>
      <c r="G1219" s="16" t="n">
        <f aca="false">IF(F1219="","",F1219/1000)</f>
        <v>0.1809</v>
      </c>
      <c r="H1219" s="16" t="n">
        <f aca="false">IF(D1219="","",MAX(0,MIN($B$8,IFERROR(LOOKUP(2,1/($U$24:U1218&lt;&gt;""),$U$24:U1218),$B$11))))</f>
        <v>21.3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1.23</v>
      </c>
      <c r="J1219" s="16" t="n">
        <f aca="false">IF(D1219="","",$B$12)</f>
        <v>0.25</v>
      </c>
      <c r="K1219" s="16" t="n">
        <f aca="false">IF(J1219="","",J1219*$B$15)</f>
        <v>0.648</v>
      </c>
      <c r="L1219" s="16" t="n">
        <f aca="false">IF(D1219="","",H1219+E1219-K1219-G1219*I1219)</f>
        <v>21.1904196453419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1.22794107893127</v>
      </c>
      <c r="N1219" s="16" t="n">
        <f aca="false">IF(D1219="","",(I1219+M1219)/2)</f>
        <v>1.22897053946563</v>
      </c>
      <c r="O1219" s="16" t="n">
        <f aca="false">IF(D1219="","",G1219*N1219)</f>
        <v>0.222320770589333</v>
      </c>
      <c r="P1219" s="16" t="n">
        <f aca="false">IF(D1219="","",H1219+E1219-K1219-O1219)</f>
        <v>21.1906058747525</v>
      </c>
      <c r="Q1219" s="16" t="n">
        <f aca="false">IF(D1219="","",IF(P1219&gt;=0,K1219,MAX(0,K1219+P1219)))</f>
        <v>0.648</v>
      </c>
      <c r="R1219" s="16" t="n">
        <f aca="false">IF(D1219="","",Q1219/$B$15)</f>
        <v>0.25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21.1906058747525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99.4864125575237</v>
      </c>
      <c r="Z1219" s="18" t="n">
        <f aca="false">IF(D1219="","",MAX(0,IF(P1219&gt;=0,P1219,IF(K1219+P1219&gt;=0,0,P1219+K1219))))</f>
        <v>21.1906058747525</v>
      </c>
      <c r="AA1219" s="18" t="n">
        <f aca="false">IF(D1219="","",IF(H1219&lt;=$B$16,1,IF(H1219&gt;=$B$17,$B$21,MATCH(H1219,Aux_CAV!$A$2:$A$121,1))))</f>
        <v>8</v>
      </c>
      <c r="AB1219" s="18" t="n">
        <f aca="false">IF(D1219="","",IF(L1219&lt;=$B$16,1,IF(L1219&gt;=$B$17,$B$21,MATCH(L1219,Aux_CAV!$A$2:$A$121,1))))</f>
        <v>7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0.187725184582384</v>
      </c>
      <c r="E1220" s="16" t="n">
        <f aca="false">IF(D1220="","",D1220*$B$15)</f>
        <v>0.486583678437539</v>
      </c>
      <c r="F1220" s="16" t="n">
        <f aca="false" t="array" ref="F1220:F1220">IF(D1220="","",IFERROR(INDEX(Dados_Evap!$C$2:$N$15,MATCH($B$9,Dados_Evap!$A$2:$A$15,0),C1220),0))</f>
        <v>208.9</v>
      </c>
      <c r="G1220" s="16" t="n">
        <f aca="false">IF(F1220="","",F1220/1000)</f>
        <v>0.2089</v>
      </c>
      <c r="H1220" s="16" t="n">
        <f aca="false">IF(D1220="","",MAX(0,MIN($B$8,IFERROR(LOOKUP(2,1/($U$24:U1219&lt;&gt;""),$U$24:U1219),$B$11))))</f>
        <v>21.1906058747525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1.22794457802249</v>
      </c>
      <c r="J1220" s="16" t="n">
        <f aca="false">IF(D1220="","",$B$12)</f>
        <v>0.25</v>
      </c>
      <c r="K1220" s="16" t="n">
        <f aca="false">IF(J1220="","",J1220*$B$15)</f>
        <v>0.648</v>
      </c>
      <c r="L1220" s="16" t="n">
        <f aca="false">IF(D1220="","",H1220+E1220-K1220-G1220*I1220)</f>
        <v>20.7726719308412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1.22009195694691</v>
      </c>
      <c r="N1220" s="16" t="n">
        <f aca="false">IF(D1220="","",(I1220+M1220)/2)</f>
        <v>1.2240182674847</v>
      </c>
      <c r="O1220" s="16" t="n">
        <f aca="false">IF(D1220="","",G1220*N1220)</f>
        <v>0.255697416077554</v>
      </c>
      <c r="P1220" s="16" t="n">
        <f aca="false">IF(D1220="","",H1220+E1220-K1220-O1220)</f>
        <v>20.7734921371125</v>
      </c>
      <c r="Q1220" s="16" t="n">
        <f aca="false">IF(D1220="","",IF(P1220&gt;=0,K1220,MAX(0,K1220+P1220)))</f>
        <v>0.648</v>
      </c>
      <c r="R1220" s="16" t="n">
        <f aca="false">IF(D1220="","",Q1220/$B$15)</f>
        <v>0.25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20.7734921371125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97.5281320991199</v>
      </c>
      <c r="Z1220" s="18" t="n">
        <f aca="false">IF(D1220="","",MAX(0,IF(P1220&gt;=0,P1220,IF(K1220+P1220&gt;=0,0,P1220+K1220))))</f>
        <v>20.7734921371125</v>
      </c>
      <c r="AA1220" s="18" t="n">
        <f aca="false">IF(D1220="","",IF(H1220&lt;=$B$16,1,IF(H1220&gt;=$B$17,$B$21,MATCH(H1220,Aux_CAV!$A$2:$A$121,1))))</f>
        <v>7</v>
      </c>
      <c r="AB1220" s="18" t="n">
        <f aca="false">IF(D1220="","",IF(L1220&lt;=$B$16,1,IF(L1220&gt;=$B$17,$B$21,MATCH(L1220,Aux_CAV!$A$2:$A$121,1))))</f>
        <v>7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0.11367813862555</v>
      </c>
      <c r="E1221" s="16" t="n">
        <f aca="false">IF(D1221="","",D1221*$B$15)</f>
        <v>0.294653735317426</v>
      </c>
      <c r="F1221" s="16" t="n">
        <f aca="false" t="array" ref="F1221:F1221">IF(D1221="","",IFERROR(INDEX(Dados_Evap!$C$2:$N$15,MATCH($B$9,Dados_Evap!$A$2:$A$15,0),C1221),0))</f>
        <v>235.9</v>
      </c>
      <c r="G1221" s="16" t="n">
        <f aca="false">IF(F1221="","",F1221/1000)</f>
        <v>0.2359</v>
      </c>
      <c r="H1221" s="16" t="n">
        <f aca="false">IF(D1221="","",MAX(0,MIN($B$8,IFERROR(LOOKUP(2,1/($U$24:U1220&lt;&gt;""),$U$24:U1220),$B$11))))</f>
        <v>20.7734921371125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1.22010736792069</v>
      </c>
      <c r="J1221" s="16" t="n">
        <f aca="false">IF(D1221="","",$B$12)</f>
        <v>0.25</v>
      </c>
      <c r="K1221" s="16" t="n">
        <f aca="false">IF(J1221="","",J1221*$B$15)</f>
        <v>0.648</v>
      </c>
      <c r="L1221" s="16" t="n">
        <f aca="false">IF(D1221="","",H1221+E1221-K1221-G1221*I1221)</f>
        <v>20.1323225443375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1.2080603400815</v>
      </c>
      <c r="N1221" s="16" t="n">
        <f aca="false">IF(D1221="","",(I1221+M1221)/2)</f>
        <v>1.2140838540011</v>
      </c>
      <c r="O1221" s="16" t="n">
        <f aca="false">IF(D1221="","",G1221*N1221)</f>
        <v>0.286402381158859</v>
      </c>
      <c r="P1221" s="16" t="n">
        <f aca="false">IF(D1221="","",H1221+E1221-K1221-O1221)</f>
        <v>20.1337434912711</v>
      </c>
      <c r="Q1221" s="16" t="n">
        <f aca="false">IF(D1221="","",IF(P1221&gt;=0,K1221,MAX(0,K1221+P1221)))</f>
        <v>0.648</v>
      </c>
      <c r="R1221" s="16" t="n">
        <f aca="false">IF(D1221="","",Q1221/$B$15)</f>
        <v>0.25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20.1337434912711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94.5246173299113</v>
      </c>
      <c r="Z1221" s="18" t="n">
        <f aca="false">IF(D1221="","",MAX(0,IF(P1221&gt;=0,P1221,IF(K1221+P1221&gt;=0,0,P1221+K1221))))</f>
        <v>20.1337434912711</v>
      </c>
      <c r="AA1221" s="18" t="n">
        <f aca="false">IF(D1221="","",IF(H1221&lt;=$B$16,1,IF(H1221&gt;=$B$17,$B$21,MATCH(H1221,Aux_CAV!$A$2:$A$121,1))))</f>
        <v>7</v>
      </c>
      <c r="AB1221" s="18" t="n">
        <f aca="false">IF(D1221="","",IF(L1221&lt;=$B$16,1,IF(L1221&gt;=$B$17,$B$21,MATCH(L1221,Aux_CAV!$A$2:$A$121,1))))</f>
        <v>7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0.0633740926630883</v>
      </c>
      <c r="E1222" s="16" t="n">
        <f aca="false">IF(D1222="","",D1222*$B$15)</f>
        <v>0.164265648182725</v>
      </c>
      <c r="F1222" s="16" t="n">
        <f aca="false" t="array" ref="F1222:F1222">IF(D1222="","",IFERROR(INDEX(Dados_Evap!$C$2:$N$15,MATCH($B$9,Dados_Evap!$A$2:$A$15,0),C1222),0))</f>
        <v>225.9</v>
      </c>
      <c r="G1222" s="16" t="n">
        <f aca="false">IF(F1222="","",F1222/1000)</f>
        <v>0.2259</v>
      </c>
      <c r="H1222" s="16" t="n">
        <f aca="false">IF(D1222="","",MAX(0,MIN($B$8,IFERROR(LOOKUP(2,1/($U$24:U1221&lt;&gt;""),$U$24:U1221),$B$11))))</f>
        <v>20.1337434912711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1.20808703845812</v>
      </c>
      <c r="J1222" s="16" t="n">
        <f aca="false">IF(D1222="","",$B$12)</f>
        <v>0.25</v>
      </c>
      <c r="K1222" s="16" t="n">
        <f aca="false">IF(J1222="","",J1222*$B$15)</f>
        <v>0.648</v>
      </c>
      <c r="L1222" s="16" t="n">
        <f aca="false">IF(D1222="","",H1222+E1222-K1222-G1222*I1222)</f>
        <v>19.3771022774661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1.19387039769769</v>
      </c>
      <c r="N1222" s="16" t="n">
        <f aca="false">IF(D1222="","",(I1222+M1222)/2)</f>
        <v>1.20097871807791</v>
      </c>
      <c r="O1222" s="16" t="n">
        <f aca="false">IF(D1222="","",G1222*N1222)</f>
        <v>0.271301092413799</v>
      </c>
      <c r="P1222" s="16" t="n">
        <f aca="false">IF(D1222="","",H1222+E1222-K1222-O1222)</f>
        <v>19.37870804704</v>
      </c>
      <c r="Q1222" s="16" t="n">
        <f aca="false">IF(D1222="","",IF(P1222&gt;=0,K1222,MAX(0,K1222+P1222)))</f>
        <v>0.648</v>
      </c>
      <c r="R1222" s="16" t="n">
        <f aca="false">IF(D1222="","",Q1222/$B$15)</f>
        <v>0.25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19.37870804704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90.9798499861034</v>
      </c>
      <c r="Z1222" s="18" t="n">
        <f aca="false">IF(D1222="","",MAX(0,IF(P1222&gt;=0,P1222,IF(K1222+P1222&gt;=0,0,P1222+K1222))))</f>
        <v>19.37870804704</v>
      </c>
      <c r="AA1222" s="18" t="n">
        <f aca="false">IF(D1222="","",IF(H1222&lt;=$B$16,1,IF(H1222&gt;=$B$17,$B$21,MATCH(H1222,Aux_CAV!$A$2:$A$121,1))))</f>
        <v>7</v>
      </c>
      <c r="AB1222" s="18" t="n">
        <f aca="false">IF(D1222="","",IF(L1222&lt;=$B$16,1,IF(L1222&gt;=$B$17,$B$21,MATCH(L1222,Aux_CAV!$A$2:$A$121,1))))</f>
        <v>7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0.0357286305817789</v>
      </c>
      <c r="E1223" s="16" t="n">
        <f aca="false">IF(D1223="","",D1223*$B$15)</f>
        <v>0.0926086104679709</v>
      </c>
      <c r="F1223" s="16" t="n">
        <f aca="false" t="array" ref="F1223:F1223">IF(D1223="","",IFERROR(INDEX(Dados_Evap!$C$2:$N$15,MATCH($B$9,Dados_Evap!$A$2:$A$15,0),C1223),0))</f>
        <v>206</v>
      </c>
      <c r="G1223" s="16" t="n">
        <f aca="false">IF(F1223="","",F1223/1000)</f>
        <v>0.206</v>
      </c>
      <c r="H1223" s="16" t="n">
        <f aca="false">IF(D1223="","",MAX(0,MIN($B$8,IFERROR(LOOKUP(2,1/($U$24:U1222&lt;&gt;""),$U$24:U1222),$B$11))))</f>
        <v>19.37870804704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1.19390056873353</v>
      </c>
      <c r="J1223" s="16" t="n">
        <f aca="false">IF(D1223="","",$B$12)</f>
        <v>0.25</v>
      </c>
      <c r="K1223" s="16" t="n">
        <f aca="false">IF(J1223="","",J1223*$B$15)</f>
        <v>0.648</v>
      </c>
      <c r="L1223" s="16" t="n">
        <f aca="false">IF(D1223="","",H1223+E1223-K1223-G1223*I1223)</f>
        <v>18.5773731403489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1.17884417173933</v>
      </c>
      <c r="N1223" s="16" t="n">
        <f aca="false">IF(D1223="","",(I1223+M1223)/2)</f>
        <v>1.18637237023643</v>
      </c>
      <c r="O1223" s="16" t="n">
        <f aca="false">IF(D1223="","",G1223*N1223)</f>
        <v>0.244392708268705</v>
      </c>
      <c r="P1223" s="16" t="n">
        <f aca="false">IF(D1223="","",H1223+E1223-K1223-O1223)</f>
        <v>18.5789239492393</v>
      </c>
      <c r="Q1223" s="16" t="n">
        <f aca="false">IF(D1223="","",IF(P1223&gt;=0,K1223,MAX(0,K1223+P1223)))</f>
        <v>0.648</v>
      </c>
      <c r="R1223" s="16" t="n">
        <f aca="false">IF(D1223="","",Q1223/$B$15)</f>
        <v>0.25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18.5789239492393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87.2249950668511</v>
      </c>
      <c r="Z1223" s="18" t="n">
        <f aca="false">IF(D1223="","",MAX(0,IF(P1223&gt;=0,P1223,IF(K1223+P1223&gt;=0,0,P1223+K1223))))</f>
        <v>18.5789239492393</v>
      </c>
      <c r="AA1223" s="18" t="n">
        <f aca="false">IF(D1223="","",IF(H1223&lt;=$B$16,1,IF(H1223&gt;=$B$17,$B$21,MATCH(H1223,Aux_CAV!$A$2:$A$121,1))))</f>
        <v>7</v>
      </c>
      <c r="AB1223" s="18" t="n">
        <f aca="false">IF(D1223="","",IF(L1223&lt;=$B$16,1,IF(L1223&gt;=$B$17,$B$21,MATCH(L1223,Aux_CAV!$A$2:$A$121,1))))</f>
        <v>7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0.126687057822123</v>
      </c>
      <c r="E1224" s="16" t="n">
        <f aca="false">IF(D1224="","",D1224*$B$15)</f>
        <v>0.328372853874943</v>
      </c>
      <c r="F1224" s="16" t="n">
        <f aca="false" t="array" ref="F1224:F1224">IF(D1224="","",IFERROR(INDEX(Dados_Evap!$C$2:$N$15,MATCH($B$9,Dados_Evap!$A$2:$A$15,0),C1224),0))</f>
        <v>165.6</v>
      </c>
      <c r="G1224" s="16" t="n">
        <f aca="false">IF(F1224="","",F1224/1000)</f>
        <v>0.1656</v>
      </c>
      <c r="H1224" s="16" t="n">
        <f aca="false">IF(D1224="","",MAX(0,MIN($B$8,IFERROR(LOOKUP(2,1/($U$24:U1223&lt;&gt;""),$U$24:U1223),$B$11))))</f>
        <v>18.5789239492393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1.17887331011097</v>
      </c>
      <c r="J1224" s="16" t="n">
        <f aca="false">IF(D1224="","",$B$12)</f>
        <v>0.25</v>
      </c>
      <c r="K1224" s="16" t="n">
        <f aca="false">IF(J1224="","",J1224*$B$15)</f>
        <v>0.648</v>
      </c>
      <c r="L1224" s="16" t="n">
        <f aca="false">IF(D1224="","",H1224+E1224-K1224-G1224*I1224)</f>
        <v>18.0640753829599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1.16919974623515</v>
      </c>
      <c r="N1224" s="16" t="n">
        <f aca="false">IF(D1224="","",(I1224+M1224)/2)</f>
        <v>1.17403652817306</v>
      </c>
      <c r="O1224" s="16" t="n">
        <f aca="false">IF(D1224="","",G1224*N1224)</f>
        <v>0.194420449065459</v>
      </c>
      <c r="P1224" s="16" t="n">
        <f aca="false">IF(D1224="","",H1224+E1224-K1224-O1224)</f>
        <v>18.0648763540488</v>
      </c>
      <c r="Q1224" s="16" t="n">
        <f aca="false">IF(D1224="","",IF(P1224&gt;=0,K1224,MAX(0,K1224+P1224)))</f>
        <v>0.648</v>
      </c>
      <c r="R1224" s="16" t="n">
        <f aca="false">IF(D1224="","",Q1224/$B$15)</f>
        <v>0.25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18.0648763540488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84.8116260753464</v>
      </c>
      <c r="Z1224" s="18" t="n">
        <f aca="false">IF(D1224="","",MAX(0,IF(P1224&gt;=0,P1224,IF(K1224+P1224&gt;=0,0,P1224+K1224))))</f>
        <v>18.0648763540488</v>
      </c>
      <c r="AA1224" s="18" t="n">
        <f aca="false">IF(D1224="","",IF(H1224&lt;=$B$16,1,IF(H1224&gt;=$B$17,$B$21,MATCH(H1224,Aux_CAV!$A$2:$A$121,1))))</f>
        <v>7</v>
      </c>
      <c r="AB1224" s="18" t="n">
        <f aca="false">IF(D1224="","",IF(L1224&lt;=$B$16,1,IF(L1224&gt;=$B$17,$B$21,MATCH(L1224,Aux_CAV!$A$2:$A$121,1))))</f>
        <v>7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0.0323318134199662</v>
      </c>
      <c r="E1225" s="16" t="n">
        <f aca="false">IF(D1225="","",D1225*$B$15)</f>
        <v>0.0838040603845524</v>
      </c>
      <c r="F1225" s="16" t="n">
        <f aca="false" t="array" ref="F1225:F1225">IF(D1225="","",IFERROR(INDEX(Dados_Evap!$C$2:$N$15,MATCH($B$9,Dados_Evap!$A$2:$A$15,0),C1225),0))</f>
        <v>124.9</v>
      </c>
      <c r="G1225" s="16" t="n">
        <f aca="false">IF(F1225="","",F1225/1000)</f>
        <v>0.1249</v>
      </c>
      <c r="H1225" s="16" t="n">
        <f aca="false">IF(D1225="","",MAX(0,MIN($B$8,IFERROR(LOOKUP(2,1/($U$24:U1224&lt;&gt;""),$U$24:U1224),$B$11))))</f>
        <v>18.0648763540488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1.16921479579632</v>
      </c>
      <c r="J1225" s="16" t="n">
        <f aca="false">IF(D1225="","",$B$12)</f>
        <v>0.25</v>
      </c>
      <c r="K1225" s="16" t="n">
        <f aca="false">IF(J1225="","",J1225*$B$15)</f>
        <v>0.648</v>
      </c>
      <c r="L1225" s="16" t="n">
        <f aca="false">IF(D1225="","",H1225+E1225-K1225-G1225*I1225)</f>
        <v>17.3546454864384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1.15587016571596</v>
      </c>
      <c r="N1225" s="16" t="n">
        <f aca="false">IF(D1225="","",(I1225+M1225)/2)</f>
        <v>1.16254248075614</v>
      </c>
      <c r="O1225" s="16" t="n">
        <f aca="false">IF(D1225="","",G1225*N1225)</f>
        <v>0.145201555846442</v>
      </c>
      <c r="P1225" s="16" t="n">
        <f aca="false">IF(D1225="","",H1225+E1225-K1225-O1225)</f>
        <v>17.3554788585869</v>
      </c>
      <c r="Q1225" s="16" t="n">
        <f aca="false">IF(D1225="","",IF(P1225&gt;=0,K1225,MAX(0,K1225+P1225)))</f>
        <v>0.648</v>
      </c>
      <c r="R1225" s="16" t="n">
        <f aca="false">IF(D1225="","",Q1225/$B$15)</f>
        <v>0.25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17.3554788585869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81.4811214018164</v>
      </c>
      <c r="Z1225" s="18" t="n">
        <f aca="false">IF(D1225="","",MAX(0,IF(P1225&gt;=0,P1225,IF(K1225+P1225&gt;=0,0,P1225+K1225))))</f>
        <v>17.3554788585869</v>
      </c>
      <c r="AA1225" s="18" t="n">
        <f aca="false">IF(D1225="","",IF(H1225&lt;=$B$16,1,IF(H1225&gt;=$B$17,$B$21,MATCH(H1225,Aux_CAV!$A$2:$A$121,1))))</f>
        <v>7</v>
      </c>
      <c r="AB1225" s="18" t="n">
        <f aca="false">IF(D1225="","",IF(L1225&lt;=$B$16,1,IF(L1225&gt;=$B$17,$B$21,MATCH(L1225,Aux_CAV!$A$2:$A$121,1))))</f>
        <v>7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0.220900404570426</v>
      </c>
      <c r="E1226" s="16" t="n">
        <f aca="false">IF(D1226="","",D1226*$B$15)</f>
        <v>0.572573848646544</v>
      </c>
      <c r="F1226" s="16" t="n">
        <f aca="false" t="array" ref="F1226:F1226">IF(D1226="","",IFERROR(INDEX(Dados_Evap!$C$2:$N$15,MATCH($B$9,Dados_Evap!$A$2:$A$15,0),C1226),0))</f>
        <v>88.2</v>
      </c>
      <c r="G1226" s="16" t="n">
        <f aca="false">IF(F1226="","",F1226/1000)</f>
        <v>0.0882</v>
      </c>
      <c r="H1226" s="16" t="n">
        <f aca="false">IF(D1226="","",MAX(0,MIN($B$8,IFERROR(LOOKUP(2,1/($U$24:U1225&lt;&gt;""),$U$24:U1225),$B$11))))</f>
        <v>17.3554788585869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1.15588582406531</v>
      </c>
      <c r="J1226" s="16" t="n">
        <f aca="false">IF(D1226="","",$B$12)</f>
        <v>0.25</v>
      </c>
      <c r="K1226" s="16" t="n">
        <f aca="false">IF(J1226="","",J1226*$B$15)</f>
        <v>0.648</v>
      </c>
      <c r="L1226" s="16" t="n">
        <f aca="false">IF(D1226="","",H1226+E1226-K1226-G1226*I1226)</f>
        <v>17.1781035775509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1.15255309435899</v>
      </c>
      <c r="N1226" s="16" t="n">
        <f aca="false">IF(D1226="","",(I1226+M1226)/2)</f>
        <v>1.15421945921215</v>
      </c>
      <c r="O1226" s="16" t="n">
        <f aca="false">IF(D1226="","",G1226*N1226)</f>
        <v>0.101802156302512</v>
      </c>
      <c r="P1226" s="16" t="n">
        <f aca="false">IF(D1226="","",H1226+E1226-K1226-O1226)</f>
        <v>17.1782505509309</v>
      </c>
      <c r="Q1226" s="16" t="n">
        <f aca="false">IF(D1226="","",IF(P1226&gt;=0,K1226,MAX(0,K1226+P1226)))</f>
        <v>0.648</v>
      </c>
      <c r="R1226" s="16" t="n">
        <f aca="false">IF(D1226="","",Q1226/$B$15)</f>
        <v>0.25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17.1782505509309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80.649063619394</v>
      </c>
      <c r="Z1226" s="18" t="n">
        <f aca="false">IF(D1226="","",MAX(0,IF(P1226&gt;=0,P1226,IF(K1226+P1226&gt;=0,0,P1226+K1226))))</f>
        <v>17.1782505509309</v>
      </c>
      <c r="AA1226" s="18" t="n">
        <f aca="false">IF(D1226="","",IF(H1226&lt;=$B$16,1,IF(H1226&gt;=$B$17,$B$21,MATCH(H1226,Aux_CAV!$A$2:$A$121,1))))</f>
        <v>7</v>
      </c>
      <c r="AB1226" s="18" t="n">
        <f aca="false">IF(D1226="","",IF(L1226&lt;=$B$16,1,IF(L1226&gt;=$B$17,$B$21,MATCH(L1226,Aux_CAV!$A$2:$A$121,1))))</f>
        <v>7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0.356286859980472</v>
      </c>
      <c r="E1227" s="16" t="n">
        <f aca="false">IF(D1227="","",D1227*$B$15)</f>
        <v>0.923495541069384</v>
      </c>
      <c r="F1227" s="16" t="n">
        <f aca="false" t="array" ref="F1227:F1227">IF(D1227="","",IFERROR(INDEX(Dados_Evap!$C$2:$N$15,MATCH($B$9,Dados_Evap!$A$2:$A$15,0),C1227),0))</f>
        <v>88.2</v>
      </c>
      <c r="G1227" s="16" t="n">
        <f aca="false">IF(F1227="","",F1227/1000)</f>
        <v>0.0882</v>
      </c>
      <c r="H1227" s="16" t="n">
        <f aca="false">IF(D1227="","",MAX(0,MIN($B$8,IFERROR(LOOKUP(2,1/($U$24:U1226&lt;&gt;""),$U$24:U1226),$B$11))))</f>
        <v>17.1782505509309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1.152555855863</v>
      </c>
      <c r="J1227" s="16" t="n">
        <f aca="false">IF(D1227="","",$B$12)</f>
        <v>0.25</v>
      </c>
      <c r="K1227" s="16" t="n">
        <f aca="false">IF(J1227="","",J1227*$B$15)</f>
        <v>0.648</v>
      </c>
      <c r="L1227" s="16" t="n">
        <f aca="false">IF(D1227="","",H1227+E1227-K1227-G1227*I1227)</f>
        <v>17.3520906655132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1.15582216281758</v>
      </c>
      <c r="N1227" s="16" t="n">
        <f aca="false">IF(D1227="","",(I1227+M1227)/2)</f>
        <v>1.15418900934029</v>
      </c>
      <c r="O1227" s="16" t="n">
        <f aca="false">IF(D1227="","",G1227*N1227)</f>
        <v>0.101799470623813</v>
      </c>
      <c r="P1227" s="16" t="n">
        <f aca="false">IF(D1227="","",H1227+E1227-K1227-O1227)</f>
        <v>17.3519466213765</v>
      </c>
      <c r="Q1227" s="16" t="n">
        <f aca="false">IF(D1227="","",IF(P1227&gt;=0,K1227,MAX(0,K1227+P1227)))</f>
        <v>0.648</v>
      </c>
      <c r="R1227" s="16" t="n">
        <f aca="false">IF(D1227="","",Q1227/$B$15)</f>
        <v>0.25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17.3519466213765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81.4645381285281</v>
      </c>
      <c r="Z1227" s="18" t="n">
        <f aca="false">IF(D1227="","",MAX(0,IF(P1227&gt;=0,P1227,IF(K1227+P1227&gt;=0,0,P1227+K1227))))</f>
        <v>17.3519466213765</v>
      </c>
      <c r="AA1227" s="18" t="n">
        <f aca="false">IF(D1227="","",IF(H1227&lt;=$B$16,1,IF(H1227&gt;=$B$17,$B$21,MATCH(H1227,Aux_CAV!$A$2:$A$121,1))))</f>
        <v>7</v>
      </c>
      <c r="AB1227" s="18" t="n">
        <f aca="false">IF(D1227="","",IF(L1227&lt;=$B$16,1,IF(L1227&gt;=$B$17,$B$21,MATCH(L1227,Aux_CAV!$A$2:$A$121,1))))</f>
        <v>7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0.3009744320914</v>
      </c>
      <c r="E1228" s="16" t="n">
        <f aca="false">IF(D1228="","",D1228*$B$15)</f>
        <v>0.780125727980909</v>
      </c>
      <c r="F1228" s="16" t="n">
        <f aca="false" t="array" ref="F1228:F1228">IF(D1228="","",IFERROR(INDEX(Dados_Evap!$C$2:$N$15,MATCH($B$9,Dados_Evap!$A$2:$A$15,0),C1228),0))</f>
        <v>83.9</v>
      </c>
      <c r="G1228" s="16" t="n">
        <f aca="false">IF(F1228="","",F1228/1000)</f>
        <v>0.0839</v>
      </c>
      <c r="H1228" s="16" t="n">
        <f aca="false">IF(D1228="","",MAX(0,MIN($B$8,IFERROR(LOOKUP(2,1/($U$24:U1227&lt;&gt;""),$U$24:U1227),$B$11))))</f>
        <v>17.3519466213765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1.15581945635154</v>
      </c>
      <c r="J1228" s="16" t="n">
        <f aca="false">IF(D1228="","",$B$12)</f>
        <v>0.25</v>
      </c>
      <c r="K1228" s="16" t="n">
        <f aca="false">IF(J1228="","",J1228*$B$15)</f>
        <v>0.648</v>
      </c>
      <c r="L1228" s="16" t="n">
        <f aca="false">IF(D1228="","",H1228+E1228-K1228-G1228*I1228)</f>
        <v>17.3870990969695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1.15647994127918</v>
      </c>
      <c r="N1228" s="16" t="n">
        <f aca="false">IF(D1228="","",(I1228+M1228)/2)</f>
        <v>1.15614969881536</v>
      </c>
      <c r="O1228" s="16" t="n">
        <f aca="false">IF(D1228="","",G1228*N1228)</f>
        <v>0.0970009597306086</v>
      </c>
      <c r="P1228" s="16" t="n">
        <f aca="false">IF(D1228="","",H1228+E1228-K1228-O1228)</f>
        <v>17.3870713896268</v>
      </c>
      <c r="Q1228" s="16" t="n">
        <f aca="false">IF(D1228="","",IF(P1228&gt;=0,K1228,MAX(0,K1228+P1228)))</f>
        <v>0.648</v>
      </c>
      <c r="R1228" s="16" t="n">
        <f aca="false">IF(D1228="","",Q1228/$B$15)</f>
        <v>0.25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17.3870713896268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81.6294431437877</v>
      </c>
      <c r="Z1228" s="18" t="n">
        <f aca="false">IF(D1228="","",MAX(0,IF(P1228&gt;=0,P1228,IF(K1228+P1228&gt;=0,0,P1228+K1228))))</f>
        <v>17.3870713896268</v>
      </c>
      <c r="AA1228" s="18" t="n">
        <f aca="false">IF(D1228="","",IF(H1228&lt;=$B$16,1,IF(H1228&gt;=$B$17,$B$21,MATCH(H1228,Aux_CAV!$A$2:$A$121,1))))</f>
        <v>7</v>
      </c>
      <c r="AB1228" s="18" t="n">
        <f aca="false">IF(D1228="","",IF(L1228&lt;=$B$16,1,IF(L1228&gt;=$B$17,$B$21,MATCH(L1228,Aux_CAV!$A$2:$A$121,1))))</f>
        <v>7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0.0793141158395027</v>
      </c>
      <c r="E1229" s="16" t="n">
        <f aca="false">IF(D1229="","",D1229*$B$15)</f>
        <v>0.205582188255991</v>
      </c>
      <c r="F1229" s="16" t="n">
        <f aca="false" t="array" ref="F1229:F1229">IF(D1229="","",IFERROR(INDEX(Dados_Evap!$C$2:$N$15,MATCH($B$9,Dados_Evap!$A$2:$A$15,0),C1229),0))</f>
        <v>104.7</v>
      </c>
      <c r="G1229" s="16" t="n">
        <f aca="false">IF(F1229="","",F1229/1000)</f>
        <v>0.1047</v>
      </c>
      <c r="H1229" s="16" t="n">
        <f aca="false">IF(D1229="","",MAX(0,MIN($B$8,IFERROR(LOOKUP(2,1/($U$24:U1228&lt;&gt;""),$U$24:U1228),$B$11))))</f>
        <v>17.3870713896268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1.15647942068192</v>
      </c>
      <c r="J1229" s="16" t="n">
        <f aca="false">IF(D1229="","",$B$12)</f>
        <v>0.25</v>
      </c>
      <c r="K1229" s="16" t="n">
        <f aca="false">IF(J1229="","",J1229*$B$15)</f>
        <v>0.648</v>
      </c>
      <c r="L1229" s="16" t="n">
        <f aca="false">IF(D1229="","",H1229+E1229-K1229-G1229*I1229)</f>
        <v>16.8235701825374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1.14589171532951</v>
      </c>
      <c r="N1229" s="16" t="n">
        <f aca="false">IF(D1229="","",(I1229+M1229)/2)</f>
        <v>1.15118556800572</v>
      </c>
      <c r="O1229" s="16" t="n">
        <f aca="false">IF(D1229="","",G1229*N1229)</f>
        <v>0.120529128970199</v>
      </c>
      <c r="P1229" s="16" t="n">
        <f aca="false">IF(D1229="","",H1229+E1229-K1229-O1229)</f>
        <v>16.8241244489126</v>
      </c>
      <c r="Q1229" s="16" t="n">
        <f aca="false">IF(D1229="","",IF(P1229&gt;=0,K1229,MAX(0,K1229+P1229)))</f>
        <v>0.648</v>
      </c>
      <c r="R1229" s="16" t="n">
        <f aca="false">IF(D1229="","",Q1229/$B$15)</f>
        <v>0.25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16.8241244489126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78.986499760153</v>
      </c>
      <c r="Z1229" s="18" t="n">
        <f aca="false">IF(D1229="","",MAX(0,IF(P1229&gt;=0,P1229,IF(K1229+P1229&gt;=0,0,P1229+K1229))))</f>
        <v>16.8241244489126</v>
      </c>
      <c r="AA1229" s="18" t="n">
        <f aca="false">IF(D1229="","",IF(H1229&lt;=$B$16,1,IF(H1229&gt;=$B$17,$B$21,MATCH(H1229,Aux_CAV!$A$2:$A$121,1))))</f>
        <v>7</v>
      </c>
      <c r="AB1229" s="18" t="n">
        <f aca="false">IF(D1229="","",IF(L1229&lt;=$B$16,1,IF(L1229&gt;=$B$17,$B$21,MATCH(L1229,Aux_CAV!$A$2:$A$121,1))))</f>
        <v>7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0.0284466129460652</v>
      </c>
      <c r="E1230" s="16" t="n">
        <f aca="false">IF(D1230="","",D1230*$B$15)</f>
        <v>0.073733620756201</v>
      </c>
      <c r="F1230" s="16" t="n">
        <f aca="false" t="array" ref="F1230:F1230">IF(D1230="","",IFERROR(INDEX(Dados_Evap!$C$2:$N$15,MATCH($B$9,Dados_Evap!$A$2:$A$15,0),C1230),0))</f>
        <v>145.2</v>
      </c>
      <c r="G1230" s="16" t="n">
        <f aca="false">IF(F1230="","",F1230/1000)</f>
        <v>0.1452</v>
      </c>
      <c r="H1230" s="16" t="n">
        <f aca="false">IF(D1230="","",MAX(0,MIN($B$8,IFERROR(LOOKUP(2,1/($U$24:U1229&lt;&gt;""),$U$24:U1229),$B$11))))</f>
        <v>16.8241244489126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1.14590212952028</v>
      </c>
      <c r="J1230" s="16" t="n">
        <f aca="false">IF(D1230="","",$B$12)</f>
        <v>0.25</v>
      </c>
      <c r="K1230" s="16" t="n">
        <f aca="false">IF(J1230="","",J1230*$B$15)</f>
        <v>0.648</v>
      </c>
      <c r="L1230" s="16" t="n">
        <f aca="false">IF(D1230="","",H1230+E1230-K1230-G1230*I1230)</f>
        <v>16.0834730804624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1.12629308576155</v>
      </c>
      <c r="N1230" s="16" t="n">
        <f aca="false">IF(D1230="","",(I1230+M1230)/2)</f>
        <v>1.13609760764092</v>
      </c>
      <c r="O1230" s="16" t="n">
        <f aca="false">IF(D1230="","",G1230*N1230)</f>
        <v>0.164961372629461</v>
      </c>
      <c r="P1230" s="16" t="n">
        <f aca="false">IF(D1230="","",H1230+E1230-K1230-O1230)</f>
        <v>16.0848966970393</v>
      </c>
      <c r="Q1230" s="16" t="n">
        <f aca="false">IF(D1230="","",IF(P1230&gt;=0,K1230,MAX(0,K1230+P1230)))</f>
        <v>0.648</v>
      </c>
      <c r="R1230" s="16" t="n">
        <f aca="false">IF(D1230="","",Q1230/$B$15)</f>
        <v>0.25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16.0848966970393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75.5159469344569</v>
      </c>
      <c r="Z1230" s="18" t="n">
        <f aca="false">IF(D1230="","",MAX(0,IF(P1230&gt;=0,P1230,IF(K1230+P1230&gt;=0,0,P1230+K1230))))</f>
        <v>16.0848966970393</v>
      </c>
      <c r="AA1230" s="18" t="n">
        <f aca="false">IF(D1230="","",IF(H1230&lt;=$B$16,1,IF(H1230&gt;=$B$17,$B$21,MATCH(H1230,Aux_CAV!$A$2:$A$121,1))))</f>
        <v>7</v>
      </c>
      <c r="AB1230" s="18" t="n">
        <f aca="false">IF(D1230="","",IF(L1230&lt;=$B$16,1,IF(L1230&gt;=$B$17,$B$21,MATCH(L1230,Aux_CAV!$A$2:$A$121,1))))</f>
        <v>6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0.0175435030544691</v>
      </c>
      <c r="E1231" s="16" t="n">
        <f aca="false">IF(D1231="","",D1231*$B$15)</f>
        <v>0.0454727599171839</v>
      </c>
      <c r="F1231" s="16" t="n">
        <f aca="false" t="array" ref="F1231:F1231">IF(D1231="","",IFERROR(INDEX(Dados_Evap!$C$2:$N$15,MATCH($B$9,Dados_Evap!$A$2:$A$15,0),C1231),0))</f>
        <v>180.9</v>
      </c>
      <c r="G1231" s="16" t="n">
        <f aca="false">IF(F1231="","",F1231/1000)</f>
        <v>0.1809</v>
      </c>
      <c r="H1231" s="16" t="n">
        <f aca="false">IF(D1231="","",MAX(0,MIN($B$8,IFERROR(LOOKUP(2,1/($U$24:U1230&lt;&gt;""),$U$24:U1230),$B$11))))</f>
        <v>16.0848966970393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1.12633883525457</v>
      </c>
      <c r="J1231" s="16" t="n">
        <f aca="false">IF(D1231="","",$B$12)</f>
        <v>0.25</v>
      </c>
      <c r="K1231" s="16" t="n">
        <f aca="false">IF(J1231="","",J1231*$B$15)</f>
        <v>0.648</v>
      </c>
      <c r="L1231" s="16" t="n">
        <f aca="false">IF(D1231="","",H1231+E1231-K1231-G1231*I1231)</f>
        <v>15.278614761659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1.10042807362609</v>
      </c>
      <c r="N1231" s="16" t="n">
        <f aca="false">IF(D1231="","",(I1231+M1231)/2)</f>
        <v>1.11338345444033</v>
      </c>
      <c r="O1231" s="16" t="n">
        <f aca="false">IF(D1231="","",G1231*N1231)</f>
        <v>0.201411066908256</v>
      </c>
      <c r="P1231" s="16" t="n">
        <f aca="false">IF(D1231="","",H1231+E1231-K1231-O1231)</f>
        <v>15.2809583900483</v>
      </c>
      <c r="Q1231" s="16" t="n">
        <f aca="false">IF(D1231="","",IF(P1231&gt;=0,K1231,MAX(0,K1231+P1231)))</f>
        <v>0.648</v>
      </c>
      <c r="R1231" s="16" t="n">
        <f aca="false">IF(D1231="","",Q1231/$B$15)</f>
        <v>0.25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15.2809583900483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71.7415886856726</v>
      </c>
      <c r="Z1231" s="18" t="n">
        <f aca="false">IF(D1231="","",MAX(0,IF(P1231&gt;=0,P1231,IF(K1231+P1231&gt;=0,0,P1231+K1231))))</f>
        <v>15.2809583900483</v>
      </c>
      <c r="AA1231" s="18" t="n">
        <f aca="false">IF(D1231="","",IF(H1231&lt;=$B$16,1,IF(H1231&gt;=$B$17,$B$21,MATCH(H1231,Aux_CAV!$A$2:$A$121,1))))</f>
        <v>6</v>
      </c>
      <c r="AB1231" s="18" t="n">
        <f aca="false">IF(D1231="","",IF(L1231&lt;=$B$16,1,IF(L1231&gt;=$B$17,$B$21,MATCH(L1231,Aux_CAV!$A$2:$A$121,1))))</f>
        <v>6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0.0116697279891484</v>
      </c>
      <c r="E1232" s="16" t="n">
        <f aca="false">IF(D1232="","",D1232*$B$15)</f>
        <v>0.0302479349478727</v>
      </c>
      <c r="F1232" s="16" t="n">
        <f aca="false" t="array" ref="F1232:F1232">IF(D1232="","",IFERROR(INDEX(Dados_Evap!$C$2:$N$15,MATCH($B$9,Dados_Evap!$A$2:$A$15,0),C1232),0))</f>
        <v>208.9</v>
      </c>
      <c r="G1232" s="16" t="n">
        <f aca="false">IF(F1232="","",F1232/1000)</f>
        <v>0.2089</v>
      </c>
      <c r="H1232" s="16" t="n">
        <f aca="false">IF(D1232="","",MAX(0,MIN($B$8,IFERROR(LOOKUP(2,1/($U$24:U1231&lt;&gt;""),$U$24:U1231),$B$11))))</f>
        <v>15.2809583900483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1.10050338871611</v>
      </c>
      <c r="J1232" s="16" t="n">
        <f aca="false">IF(D1232="","",$B$12)</f>
        <v>0.25</v>
      </c>
      <c r="K1232" s="16" t="n">
        <f aca="false">IF(J1232="","",J1232*$B$15)</f>
        <v>0.648</v>
      </c>
      <c r="L1232" s="16" t="n">
        <f aca="false">IF(D1232="","",H1232+E1232-K1232-G1232*I1232)</f>
        <v>14.4333111670933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1.0732633078272</v>
      </c>
      <c r="N1232" s="16" t="n">
        <f aca="false">IF(D1232="","",(I1232+M1232)/2)</f>
        <v>1.08688334827165</v>
      </c>
      <c r="O1232" s="16" t="n">
        <f aca="false">IF(D1232="","",G1232*N1232)</f>
        <v>0.227049931453948</v>
      </c>
      <c r="P1232" s="16" t="n">
        <f aca="false">IF(D1232="","",H1232+E1232-K1232-O1232)</f>
        <v>14.4361563935422</v>
      </c>
      <c r="Q1232" s="16" t="n">
        <f aca="false">IF(D1232="","",IF(P1232&gt;=0,K1232,MAX(0,K1232+P1232)))</f>
        <v>0.648</v>
      </c>
      <c r="R1232" s="16" t="n">
        <f aca="false">IF(D1232="","",Q1232/$B$15)</f>
        <v>0.25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14.4361563935422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67.775382129306</v>
      </c>
      <c r="Z1232" s="18" t="n">
        <f aca="false">IF(D1232="","",MAX(0,IF(P1232&gt;=0,P1232,IF(K1232+P1232&gt;=0,0,P1232+K1232))))</f>
        <v>14.4361563935422</v>
      </c>
      <c r="AA1232" s="18" t="n">
        <f aca="false">IF(D1232="","",IF(H1232&lt;=$B$16,1,IF(H1232&gt;=$B$17,$B$21,MATCH(H1232,Aux_CAV!$A$2:$A$121,1))))</f>
        <v>6</v>
      </c>
      <c r="AB1232" s="18" t="n">
        <f aca="false">IF(D1232="","",IF(L1232&lt;=$B$16,1,IF(L1232&gt;=$B$17,$B$21,MATCH(L1232,Aux_CAV!$A$2:$A$121,1))))</f>
        <v>6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0.00880833168033853</v>
      </c>
      <c r="E1233" s="16" t="n">
        <f aca="false">IF(D1233="","",D1233*$B$15)</f>
        <v>0.0228311957154375</v>
      </c>
      <c r="F1233" s="16" t="n">
        <f aca="false" t="array" ref="F1233:F1233">IF(D1233="","",IFERROR(INDEX(Dados_Evap!$C$2:$N$15,MATCH($B$9,Dados_Evap!$A$2:$A$15,0),C1233),0))</f>
        <v>235.9</v>
      </c>
      <c r="G1233" s="16" t="n">
        <f aca="false">IF(F1233="","",F1233/1000)</f>
        <v>0.2359</v>
      </c>
      <c r="H1233" s="16" t="n">
        <f aca="false">IF(D1233="","",MAX(0,MIN($B$8,IFERROR(LOOKUP(2,1/($U$24:U1232&lt;&gt;""),$U$24:U1232),$B$11))))</f>
        <v>14.4361563935422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1.07335474232555</v>
      </c>
      <c r="J1233" s="16" t="n">
        <f aca="false">IF(D1233="","",$B$12)</f>
        <v>0.25</v>
      </c>
      <c r="K1233" s="16" t="n">
        <f aca="false">IF(J1233="","",J1233*$B$15)</f>
        <v>0.648</v>
      </c>
      <c r="L1233" s="16" t="n">
        <f aca="false">IF(D1233="","",H1233+E1233-K1233-G1233*I1233)</f>
        <v>13.557783205543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1.04512724857133</v>
      </c>
      <c r="N1233" s="16" t="n">
        <f aca="false">IF(D1233="","",(I1233+M1233)/2)</f>
        <v>1.05924099544844</v>
      </c>
      <c r="O1233" s="16" t="n">
        <f aca="false">IF(D1233="","",G1233*N1233)</f>
        <v>0.249874950826287</v>
      </c>
      <c r="P1233" s="16" t="n">
        <f aca="false">IF(D1233="","",H1233+E1233-K1233-O1233)</f>
        <v>13.5611126384313</v>
      </c>
      <c r="Q1233" s="16" t="n">
        <f aca="false">IF(D1233="","",IF(P1233&gt;=0,K1233,MAX(0,K1233+P1233)))</f>
        <v>0.648</v>
      </c>
      <c r="R1233" s="16" t="n">
        <f aca="false">IF(D1233="","",Q1233/$B$15)</f>
        <v>0.25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13.5611126384313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63.6671954855931</v>
      </c>
      <c r="Z1233" s="18" t="n">
        <f aca="false">IF(D1233="","",MAX(0,IF(P1233&gt;=0,P1233,IF(K1233+P1233&gt;=0,0,P1233+K1233))))</f>
        <v>13.5611126384313</v>
      </c>
      <c r="AA1233" s="18" t="n">
        <f aca="false">IF(D1233="","",IF(H1233&lt;=$B$16,1,IF(H1233&gt;=$B$17,$B$21,MATCH(H1233,Aux_CAV!$A$2:$A$121,1))))</f>
        <v>6</v>
      </c>
      <c r="AB1233" s="18" t="n">
        <f aca="false">IF(D1233="","",IF(L1233&lt;=$B$16,1,IF(L1233&gt;=$B$17,$B$21,MATCH(L1233,Aux_CAV!$A$2:$A$121,1))))</f>
        <v>6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0.00387736207522701</v>
      </c>
      <c r="E1234" s="16" t="n">
        <f aca="false">IF(D1234="","",D1234*$B$15)</f>
        <v>0.0100501224989884</v>
      </c>
      <c r="F1234" s="16" t="n">
        <f aca="false" t="array" ref="F1234:F1234">IF(D1234="","",IFERROR(INDEX(Dados_Evap!$C$2:$N$15,MATCH($B$9,Dados_Evap!$A$2:$A$15,0),C1234),0))</f>
        <v>225.9</v>
      </c>
      <c r="G1234" s="16" t="n">
        <f aca="false">IF(F1234="","",F1234/1000)</f>
        <v>0.2259</v>
      </c>
      <c r="H1234" s="16" t="n">
        <f aca="false">IF(D1234="","",MAX(0,MIN($B$8,IFERROR(LOOKUP(2,1/($U$24:U1233&lt;&gt;""),$U$24:U1233),$B$11))))</f>
        <v>13.5611126384313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1.04523424357908</v>
      </c>
      <c r="J1234" s="16" t="n">
        <f aca="false">IF(D1234="","",$B$12)</f>
        <v>0.25</v>
      </c>
      <c r="K1234" s="16" t="n">
        <f aca="false">IF(J1234="","",J1234*$B$15)</f>
        <v>0.648</v>
      </c>
      <c r="L1234" s="16" t="n">
        <f aca="false">IF(D1234="","",H1234+E1234-K1234-G1234*I1234)</f>
        <v>12.6870443453058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1.01714509238223</v>
      </c>
      <c r="N1234" s="16" t="n">
        <f aca="false">IF(D1234="","",(I1234+M1234)/2)</f>
        <v>1.03118966798065</v>
      </c>
      <c r="O1234" s="16" t="n">
        <f aca="false">IF(D1234="","",G1234*N1234)</f>
        <v>0.23294574599683</v>
      </c>
      <c r="P1234" s="16" t="n">
        <f aca="false">IF(D1234="","",H1234+E1234-K1234-O1234)</f>
        <v>12.6902170149335</v>
      </c>
      <c r="Q1234" s="16" t="n">
        <f aca="false">IF(D1234="","",IF(P1234&gt;=0,K1234,MAX(0,K1234+P1234)))</f>
        <v>0.648</v>
      </c>
      <c r="R1234" s="16" t="n">
        <f aca="false">IF(D1234="","",Q1234/$B$15)</f>
        <v>0.25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12.6902170149335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59.5784836381854</v>
      </c>
      <c r="Z1234" s="18" t="n">
        <f aca="false">IF(D1234="","",MAX(0,IF(P1234&gt;=0,P1234,IF(K1234+P1234&gt;=0,0,P1234+K1234))))</f>
        <v>12.6902170149335</v>
      </c>
      <c r="AA1234" s="18" t="n">
        <f aca="false">IF(D1234="","",IF(H1234&lt;=$B$16,1,IF(H1234&gt;=$B$17,$B$21,MATCH(H1234,Aux_CAV!$A$2:$A$121,1))))</f>
        <v>6</v>
      </c>
      <c r="AB1234" s="18" t="n">
        <f aca="false">IF(D1234="","",IF(L1234&lt;=$B$16,1,IF(L1234&gt;=$B$17,$B$21,MATCH(L1234,Aux_CAV!$A$2:$A$121,1))))</f>
        <v>6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0.0203599643937275</v>
      </c>
      <c r="E1235" s="16" t="n">
        <f aca="false">IF(D1235="","",D1235*$B$15)</f>
        <v>0.0527730277085417</v>
      </c>
      <c r="F1235" s="16" t="n">
        <f aca="false" t="array" ref="F1235:F1235">IF(D1235="","",IFERROR(INDEX(Dados_Evap!$C$2:$N$15,MATCH($B$9,Dados_Evap!$A$2:$A$15,0),C1235),0))</f>
        <v>206</v>
      </c>
      <c r="G1235" s="16" t="n">
        <f aca="false">IF(F1235="","",F1235/1000)</f>
        <v>0.206</v>
      </c>
      <c r="H1235" s="16" t="n">
        <f aca="false">IF(D1235="","",MAX(0,MIN($B$8,IFERROR(LOOKUP(2,1/($U$24:U1234&lt;&gt;""),$U$24:U1234),$B$11))))</f>
        <v>12.6902170149335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1.01724704962924</v>
      </c>
      <c r="J1235" s="16" t="n">
        <f aca="false">IF(D1235="","",$B$12)</f>
        <v>0.25</v>
      </c>
      <c r="K1235" s="16" t="n">
        <f aca="false">IF(J1235="","",J1235*$B$15)</f>
        <v>0.648</v>
      </c>
      <c r="L1235" s="16" t="n">
        <f aca="false">IF(D1235="","",H1235+E1235-K1235-G1235*I1235)</f>
        <v>11.8854371504184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0.991384558709098</v>
      </c>
      <c r="N1235" s="16" t="n">
        <f aca="false">IF(D1235="","",(I1235+M1235)/2)</f>
        <v>1.00431580416917</v>
      </c>
      <c r="O1235" s="16" t="n">
        <f aca="false">IF(D1235="","",G1235*N1235)</f>
        <v>0.206889055658849</v>
      </c>
      <c r="P1235" s="16" t="n">
        <f aca="false">IF(D1235="","",H1235+E1235-K1235-O1235)</f>
        <v>11.8881009869832</v>
      </c>
      <c r="Q1235" s="16" t="n">
        <f aca="false">IF(D1235="","",IF(P1235&gt;=0,K1235,MAX(0,K1235+P1235)))</f>
        <v>0.648</v>
      </c>
      <c r="R1235" s="16" t="n">
        <f aca="false">IF(D1235="","",Q1235/$B$15)</f>
        <v>0.25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11.8881009869832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55.8126806900619</v>
      </c>
      <c r="Z1235" s="18" t="n">
        <f aca="false">IF(D1235="","",MAX(0,IF(P1235&gt;=0,P1235,IF(K1235+P1235&gt;=0,0,P1235+K1235))))</f>
        <v>11.8881009869832</v>
      </c>
      <c r="AA1235" s="18" t="n">
        <f aca="false">IF(D1235="","",IF(H1235&lt;=$B$16,1,IF(H1235&gt;=$B$17,$B$21,MATCH(H1235,Aux_CAV!$A$2:$A$121,1))))</f>
        <v>6</v>
      </c>
      <c r="AB1235" s="18" t="n">
        <f aca="false">IF(D1235="","",IF(L1235&lt;=$B$16,1,IF(L1235&gt;=$B$17,$B$21,MATCH(L1235,Aux_CAV!$A$2:$A$121,1))))</f>
        <v>6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0.3447207028266</v>
      </c>
      <c r="E1236" s="16" t="n">
        <f aca="false">IF(D1236="","",D1236*$B$15)</f>
        <v>0.893516061726547</v>
      </c>
      <c r="F1236" s="16" t="n">
        <f aca="false" t="array" ref="F1236:F1236">IF(D1236="","",IFERROR(INDEX(Dados_Evap!$C$2:$N$15,MATCH($B$9,Dados_Evap!$A$2:$A$15,0),C1236),0))</f>
        <v>165.6</v>
      </c>
      <c r="G1236" s="16" t="n">
        <f aca="false">IF(F1236="","",F1236/1000)</f>
        <v>0.1656</v>
      </c>
      <c r="H1236" s="16" t="n">
        <f aca="false">IF(D1236="","",MAX(0,MIN($B$8,IFERROR(LOOKUP(2,1/($U$24:U1235&lt;&gt;""),$U$24:U1235),$B$11))))</f>
        <v>11.8881009869832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0.991470164042938</v>
      </c>
      <c r="J1236" s="16" t="n">
        <f aca="false">IF(D1236="","",$B$12)</f>
        <v>0.25</v>
      </c>
      <c r="K1236" s="16" t="n">
        <f aca="false">IF(J1236="","",J1236*$B$15)</f>
        <v>0.648</v>
      </c>
      <c r="L1236" s="16" t="n">
        <f aca="false">IF(D1236="","",H1236+E1236-K1236-G1236*I1236)</f>
        <v>11.9694295895442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0.994083748624294</v>
      </c>
      <c r="N1236" s="16" t="n">
        <f aca="false">IF(D1236="","",(I1236+M1236)/2)</f>
        <v>0.992776956333616</v>
      </c>
      <c r="O1236" s="16" t="n">
        <f aca="false">IF(D1236="","",G1236*N1236)</f>
        <v>0.164403863968847</v>
      </c>
      <c r="P1236" s="16" t="n">
        <f aca="false">IF(D1236="","",H1236+E1236-K1236-O1236)</f>
        <v>11.9692131847409</v>
      </c>
      <c r="Q1236" s="16" t="n">
        <f aca="false">IF(D1236="","",IF(P1236&gt;=0,K1236,MAX(0,K1236+P1236)))</f>
        <v>0.648</v>
      </c>
      <c r="R1236" s="16" t="n">
        <f aca="false">IF(D1236="","",Q1236/$B$15)</f>
        <v>0.25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11.9692131847409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56.1934891302389</v>
      </c>
      <c r="Z1236" s="18" t="n">
        <f aca="false">IF(D1236="","",MAX(0,IF(P1236&gt;=0,P1236,IF(K1236+P1236&gt;=0,0,P1236+K1236))))</f>
        <v>11.9692131847409</v>
      </c>
      <c r="AA1236" s="18" t="n">
        <f aca="false">IF(D1236="","",IF(H1236&lt;=$B$16,1,IF(H1236&gt;=$B$17,$B$21,MATCH(H1236,Aux_CAV!$A$2:$A$121,1))))</f>
        <v>6</v>
      </c>
      <c r="AB1236" s="18" t="n">
        <f aca="false">IF(D1236="","",IF(L1236&lt;=$B$16,1,IF(L1236&gt;=$B$17,$B$21,MATCH(L1236,Aux_CAV!$A$2:$A$121,1))))</f>
        <v>6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0.822263237022043</v>
      </c>
      <c r="E1237" s="16" t="n">
        <f aca="false">IF(D1237="","",D1237*$B$15)</f>
        <v>2.13130631036114</v>
      </c>
      <c r="F1237" s="16" t="n">
        <f aca="false" t="array" ref="F1237:F1237">IF(D1237="","",IFERROR(INDEX(Dados_Evap!$C$2:$N$15,MATCH($B$9,Dados_Evap!$A$2:$A$15,0),C1237),0))</f>
        <v>124.9</v>
      </c>
      <c r="G1237" s="16" t="n">
        <f aca="false">IF(F1237="","",F1237/1000)</f>
        <v>0.1249</v>
      </c>
      <c r="H1237" s="16" t="n">
        <f aca="false">IF(D1237="","",MAX(0,MIN($B$8,IFERROR(LOOKUP(2,1/($U$24:U1236&lt;&gt;""),$U$24:U1236),$B$11))))</f>
        <v>11.9692131847409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0.994076794216626</v>
      </c>
      <c r="J1237" s="16" t="n">
        <f aca="false">IF(D1237="","",$B$12)</f>
        <v>0.25</v>
      </c>
      <c r="K1237" s="16" t="n">
        <f aca="false">IF(J1237="","",J1237*$B$15)</f>
        <v>0.648</v>
      </c>
      <c r="L1237" s="16" t="n">
        <f aca="false">IF(D1237="","",H1237+E1237-K1237-G1237*I1237)</f>
        <v>13.3283593035044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1.03775445776857</v>
      </c>
      <c r="N1237" s="16" t="n">
        <f aca="false">IF(D1237="","",(I1237+M1237)/2)</f>
        <v>1.0159156259926</v>
      </c>
      <c r="O1237" s="16" t="n">
        <f aca="false">IF(D1237="","",G1237*N1237)</f>
        <v>0.126887861686476</v>
      </c>
      <c r="P1237" s="16" t="n">
        <f aca="false">IF(D1237="","",H1237+E1237-K1237-O1237)</f>
        <v>13.3256316334155</v>
      </c>
      <c r="Q1237" s="16" t="n">
        <f aca="false">IF(D1237="","",IF(P1237&gt;=0,K1237,MAX(0,K1237+P1237)))</f>
        <v>0.648</v>
      </c>
      <c r="R1237" s="16" t="n">
        <f aca="false">IF(D1237="","",Q1237/$B$15)</f>
        <v>0.25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13.3256316334155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62.5616508611058</v>
      </c>
      <c r="Z1237" s="18" t="n">
        <f aca="false">IF(D1237="","",MAX(0,IF(P1237&gt;=0,P1237,IF(K1237+P1237&gt;=0,0,P1237+K1237))))</f>
        <v>13.3256316334155</v>
      </c>
      <c r="AA1237" s="18" t="n">
        <f aca="false">IF(D1237="","",IF(H1237&lt;=$B$16,1,IF(H1237&gt;=$B$17,$B$21,MATCH(H1237,Aux_CAV!$A$2:$A$121,1))))</f>
        <v>6</v>
      </c>
      <c r="AB1237" s="18" t="n">
        <f aca="false">IF(D1237="","",IF(L1237&lt;=$B$16,1,IF(L1237&gt;=$B$17,$B$21,MATCH(L1237,Aux_CAV!$A$2:$A$121,1))))</f>
        <v>6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1.52974883957904</v>
      </c>
      <c r="E1238" s="16" t="n">
        <f aca="false">IF(D1238="","",D1238*$B$15)</f>
        <v>3.96510899218887</v>
      </c>
      <c r="F1238" s="16" t="n">
        <f aca="false" t="array" ref="F1238:F1238">IF(D1238="","",IFERROR(INDEX(Dados_Evap!$C$2:$N$15,MATCH($B$9,Dados_Evap!$A$2:$A$15,0),C1238),0))</f>
        <v>88.2</v>
      </c>
      <c r="G1238" s="16" t="n">
        <f aca="false">IF(F1238="","",F1238/1000)</f>
        <v>0.0882</v>
      </c>
      <c r="H1238" s="16" t="n">
        <f aca="false">IF(D1238="","",MAX(0,MIN($B$8,IFERROR(LOOKUP(2,1/($U$24:U1237&lt;&gt;""),$U$24:U1237),$B$11))))</f>
        <v>13.3256316334155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1.03766680107385</v>
      </c>
      <c r="J1238" s="16" t="n">
        <f aca="false">IF(D1238="","",$B$12)</f>
        <v>0.25</v>
      </c>
      <c r="K1238" s="16" t="n">
        <f aca="false">IF(J1238="","",J1238*$B$15)</f>
        <v>0.648</v>
      </c>
      <c r="L1238" s="16" t="n">
        <f aca="false">IF(D1238="","",H1238+E1238-K1238-G1238*I1238)</f>
        <v>16.5512184137497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1.14077445871346</v>
      </c>
      <c r="N1238" s="16" t="n">
        <f aca="false">IF(D1238="","",(I1238+M1238)/2)</f>
        <v>1.08922062989365</v>
      </c>
      <c r="O1238" s="16" t="n">
        <f aca="false">IF(D1238="","",G1238*N1238)</f>
        <v>0.0960692595566202</v>
      </c>
      <c r="P1238" s="16" t="n">
        <f aca="false">IF(D1238="","",H1238+E1238-K1238-O1238)</f>
        <v>16.5466713660478</v>
      </c>
      <c r="Q1238" s="16" t="n">
        <f aca="false">IF(D1238="","",IF(P1238&gt;=0,K1238,MAX(0,K1238+P1238)))</f>
        <v>0.648</v>
      </c>
      <c r="R1238" s="16" t="n">
        <f aca="false">IF(D1238="","",Q1238/$B$15)</f>
        <v>0.25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16.5466713660478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77.683903126985</v>
      </c>
      <c r="Z1238" s="18" t="n">
        <f aca="false">IF(D1238="","",MAX(0,IF(P1238&gt;=0,P1238,IF(K1238+P1238&gt;=0,0,P1238+K1238))))</f>
        <v>16.5466713660478</v>
      </c>
      <c r="AA1238" s="18" t="n">
        <f aca="false">IF(D1238="","",IF(H1238&lt;=$B$16,1,IF(H1238&gt;=$B$17,$B$21,MATCH(H1238,Aux_CAV!$A$2:$A$121,1))))</f>
        <v>6</v>
      </c>
      <c r="AB1238" s="18" t="n">
        <f aca="false">IF(D1238="","",IF(L1238&lt;=$B$16,1,IF(L1238&gt;=$B$17,$B$21,MATCH(L1238,Aux_CAV!$A$2:$A$121,1))))</f>
        <v>7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1.92142814016265</v>
      </c>
      <c r="E1239" s="16" t="n">
        <f aca="false">IF(D1239="","",D1239*$B$15)</f>
        <v>4.98034173930159</v>
      </c>
      <c r="F1239" s="16" t="n">
        <f aca="false" t="array" ref="F1239:F1239">IF(D1239="","",IFERROR(INDEX(Dados_Evap!$C$2:$N$15,MATCH($B$9,Dados_Evap!$A$2:$A$15,0),C1239),0))</f>
        <v>88.2</v>
      </c>
      <c r="G1239" s="16" t="n">
        <f aca="false">IF(F1239="","",F1239/1000)</f>
        <v>0.0882</v>
      </c>
      <c r="H1239" s="16" t="n">
        <f aca="false">IF(D1239="","",MAX(0,MIN($B$8,IFERROR(LOOKUP(2,1/($U$24:U1238&lt;&gt;""),$U$24:U1238),$B$11))))</f>
        <v>16.5466713660478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1.14068902357919</v>
      </c>
      <c r="J1239" s="16" t="n">
        <f aca="false">IF(D1239="","",$B$12)</f>
        <v>0.25</v>
      </c>
      <c r="K1239" s="16" t="n">
        <f aca="false">IF(J1239="","",J1239*$B$15)</f>
        <v>0.648</v>
      </c>
      <c r="L1239" s="16" t="n">
        <f aca="false">IF(D1239="","",H1239+E1239-K1239-G1239*I1239)</f>
        <v>20.7784043334697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1.22019966388565</v>
      </c>
      <c r="N1239" s="16" t="n">
        <f aca="false">IF(D1239="","",(I1239+M1239)/2)</f>
        <v>1.18044434373242</v>
      </c>
      <c r="O1239" s="16" t="n">
        <f aca="false">IF(D1239="","",G1239*N1239)</f>
        <v>0.104115191117199</v>
      </c>
      <c r="P1239" s="16" t="n">
        <f aca="false">IF(D1239="","",H1239+E1239-K1239-O1239)</f>
        <v>20.7748979142322</v>
      </c>
      <c r="Q1239" s="16" t="n">
        <f aca="false">IF(D1239="","",IF(P1239&gt;=0,K1239,MAX(0,K1239+P1239)))</f>
        <v>0.648</v>
      </c>
      <c r="R1239" s="16" t="n">
        <f aca="false">IF(D1239="","",Q1239/$B$15)</f>
        <v>0.25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20.7748979142322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97.5347319917004</v>
      </c>
      <c r="Z1239" s="18" t="n">
        <f aca="false">IF(D1239="","",MAX(0,IF(P1239&gt;=0,P1239,IF(K1239+P1239&gt;=0,0,P1239+K1239))))</f>
        <v>20.7748979142322</v>
      </c>
      <c r="AA1239" s="18" t="n">
        <f aca="false">IF(D1239="","",IF(H1239&lt;=$B$16,1,IF(H1239&gt;=$B$17,$B$21,MATCH(H1239,Aux_CAV!$A$2:$A$121,1))))</f>
        <v>7</v>
      </c>
      <c r="AB1239" s="18" t="n">
        <f aca="false">IF(D1239="","",IF(L1239&lt;=$B$16,1,IF(L1239&gt;=$B$17,$B$21,MATCH(L1239,Aux_CAV!$A$2:$A$121,1))))</f>
        <v>7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1.12728597332114</v>
      </c>
      <c r="E1240" s="16" t="n">
        <f aca="false">IF(D1240="","",D1240*$B$15)</f>
        <v>2.9219252428484</v>
      </c>
      <c r="F1240" s="16" t="n">
        <f aca="false" t="array" ref="F1240:F1240">IF(D1240="","",IFERROR(INDEX(Dados_Evap!$C$2:$N$15,MATCH($B$9,Dados_Evap!$A$2:$A$15,0),C1240),0))</f>
        <v>83.9</v>
      </c>
      <c r="G1240" s="16" t="n">
        <f aca="false">IF(F1240="","",F1240/1000)</f>
        <v>0.0839</v>
      </c>
      <c r="H1240" s="16" t="n">
        <f aca="false">IF(D1240="","",MAX(0,MIN($B$8,IFERROR(LOOKUP(2,1/($U$24:U1239&lt;&gt;""),$U$24:U1239),$B$11))))</f>
        <v>20.7748979142322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1.2201337812695</v>
      </c>
      <c r="J1240" s="16" t="n">
        <f aca="false">IF(D1240="","",$B$12)</f>
        <v>0.25</v>
      </c>
      <c r="K1240" s="16" t="n">
        <f aca="false">IF(J1240="","",J1240*$B$15)</f>
        <v>0.648</v>
      </c>
      <c r="L1240" s="16" t="n">
        <f aca="false">IF(D1240="","",H1240+E1240-K1240-G1240*I1240)</f>
        <v>22.9464539328321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1.26070953961816</v>
      </c>
      <c r="N1240" s="16" t="n">
        <f aca="false">IF(D1240="","",(I1240+M1240)/2)</f>
        <v>1.24042166044383</v>
      </c>
      <c r="O1240" s="16" t="n">
        <f aca="false">IF(D1240="","",G1240*N1240)</f>
        <v>0.104071377311237</v>
      </c>
      <c r="P1240" s="16" t="n">
        <f aca="false">IF(D1240="","",H1240+E1240-K1240-O1240)</f>
        <v>22.9447517797693</v>
      </c>
      <c r="Q1240" s="16" t="n">
        <f aca="false">IF(D1240="","",IF(P1240&gt;=0,K1240,MAX(0,K1240+P1240)))</f>
        <v>0.648</v>
      </c>
      <c r="R1240" s="16" t="n">
        <f aca="false">IF(D1240="","",Q1240/$B$15)</f>
        <v>0.25</v>
      </c>
      <c r="S1240" s="16" t="n">
        <f aca="false">IF(D1240="","",MAX(0,J1240-R1240))</f>
        <v>0</v>
      </c>
      <c r="T1240" s="16" t="n">
        <f aca="false">IF(D1240="","",MAX(0,Z1240-$B$8))</f>
        <v>1.64475177976935</v>
      </c>
      <c r="U1240" s="16" t="n">
        <f aca="false">IF(D1240="","",MAX(0,MIN($B$8,Z1240)))</f>
        <v>21.3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22.9447517797693</v>
      </c>
      <c r="AA1240" s="18" t="n">
        <f aca="false">IF(D1240="","",IF(H1240&lt;=$B$16,1,IF(H1240&gt;=$B$17,$B$21,MATCH(H1240,Aux_CAV!$A$2:$A$121,1))))</f>
        <v>7</v>
      </c>
      <c r="AB1240" s="18" t="n">
        <f aca="false">IF(D1240="","",IF(L1240&lt;=$B$16,1,IF(L1240&gt;=$B$17,$B$21,MATCH(L1240,Aux_CAV!$A$2:$A$121,1))))</f>
        <v>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0.634715285619122</v>
      </c>
      <c r="E1241" s="16" t="n">
        <f aca="false">IF(D1241="","",D1241*$B$15)</f>
        <v>1.64518202032476</v>
      </c>
      <c r="F1241" s="16" t="n">
        <f aca="false" t="array" ref="F1241:F1241">IF(D1241="","",IFERROR(INDEX(Dados_Evap!$C$2:$N$15,MATCH($B$9,Dados_Evap!$A$2:$A$15,0),C1241),0))</f>
        <v>104.7</v>
      </c>
      <c r="G1241" s="16" t="n">
        <f aca="false">IF(F1241="","",F1241/1000)</f>
        <v>0.1047</v>
      </c>
      <c r="H1241" s="16" t="n">
        <f aca="false">IF(D1241="","",MAX(0,MIN($B$8,IFERROR(LOOKUP(2,1/($U$24:U1240&lt;&gt;""),$U$24:U1240),$B$11))))</f>
        <v>21.3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1.23</v>
      </c>
      <c r="J1241" s="16" t="n">
        <f aca="false">IF(D1241="","",$B$12)</f>
        <v>0.25</v>
      </c>
      <c r="K1241" s="16" t="n">
        <f aca="false">IF(J1241="","",J1241*$B$15)</f>
        <v>0.648</v>
      </c>
      <c r="L1241" s="16" t="n">
        <f aca="false">IF(D1241="","",H1241+E1241-K1241-G1241*I1241)</f>
        <v>22.1684010203248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1.24447335033875</v>
      </c>
      <c r="N1241" s="16" t="n">
        <f aca="false">IF(D1241="","",(I1241+M1241)/2)</f>
        <v>1.23723667516937</v>
      </c>
      <c r="O1241" s="16" t="n">
        <f aca="false">IF(D1241="","",G1241*N1241)</f>
        <v>0.129538679890233</v>
      </c>
      <c r="P1241" s="16" t="n">
        <f aca="false">IF(D1241="","",H1241+E1241-K1241-O1241)</f>
        <v>22.1676433404345</v>
      </c>
      <c r="Q1241" s="16" t="n">
        <f aca="false">IF(D1241="","",IF(P1241&gt;=0,K1241,MAX(0,K1241+P1241)))</f>
        <v>0.648</v>
      </c>
      <c r="R1241" s="16" t="n">
        <f aca="false">IF(D1241="","",Q1241/$B$15)</f>
        <v>0.25</v>
      </c>
      <c r="S1241" s="16" t="n">
        <f aca="false">IF(D1241="","",MAX(0,J1241-R1241))</f>
        <v>0</v>
      </c>
      <c r="T1241" s="16" t="n">
        <f aca="false">IF(D1241="","",MAX(0,Z1241-$B$8))</f>
        <v>0.86764334043453</v>
      </c>
      <c r="U1241" s="16" t="n">
        <f aca="false">IF(D1241="","",MAX(0,MIN($B$8,Z1241)))</f>
        <v>21.3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22.1676433404345</v>
      </c>
      <c r="AA1241" s="18" t="n">
        <f aca="false">IF(D1241="","",IF(H1241&lt;=$B$16,1,IF(H1241&gt;=$B$17,$B$21,MATCH(H1241,Aux_CAV!$A$2:$A$121,1))))</f>
        <v>8</v>
      </c>
      <c r="AB1241" s="18" t="n">
        <f aca="false">IF(D1241="","",IF(L1241&lt;=$B$16,1,IF(L1241&gt;=$B$17,$B$21,MATCH(L1241,Aux_CAV!$A$2:$A$121,1))))</f>
        <v>8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0.466201376206871</v>
      </c>
      <c r="E1242" s="16" t="n">
        <f aca="false">IF(D1242="","",D1242*$B$15)</f>
        <v>1.20839396712821</v>
      </c>
      <c r="F1242" s="16" t="n">
        <f aca="false" t="array" ref="F1242:F1242">IF(D1242="","",IFERROR(INDEX(Dados_Evap!$C$2:$N$15,MATCH($B$9,Dados_Evap!$A$2:$A$15,0),C1242),0))</f>
        <v>145.2</v>
      </c>
      <c r="G1242" s="16" t="n">
        <f aca="false">IF(F1242="","",F1242/1000)</f>
        <v>0.1452</v>
      </c>
      <c r="H1242" s="16" t="n">
        <f aca="false">IF(D1242="","",MAX(0,MIN($B$8,IFERROR(LOOKUP(2,1/($U$24:U1241&lt;&gt;""),$U$24:U1241),$B$11))))</f>
        <v>21.3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1.23</v>
      </c>
      <c r="J1242" s="16" t="n">
        <f aca="false">IF(D1242="","",$B$12)</f>
        <v>0.25</v>
      </c>
      <c r="K1242" s="16" t="n">
        <f aca="false">IF(J1242="","",J1242*$B$15)</f>
        <v>0.648</v>
      </c>
      <c r="L1242" s="16" t="n">
        <f aca="false">IF(D1242="","",H1242+E1242-K1242-G1242*I1242)</f>
        <v>21.6817979671282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1.23636329945214</v>
      </c>
      <c r="N1242" s="16" t="n">
        <f aca="false">IF(D1242="","",(I1242+M1242)/2)</f>
        <v>1.23318164972607</v>
      </c>
      <c r="O1242" s="16" t="n">
        <f aca="false">IF(D1242="","",G1242*N1242)</f>
        <v>0.179057975540225</v>
      </c>
      <c r="P1242" s="16" t="n">
        <f aca="false">IF(D1242="","",H1242+E1242-K1242-O1242)</f>
        <v>21.681335991588</v>
      </c>
      <c r="Q1242" s="16" t="n">
        <f aca="false">IF(D1242="","",IF(P1242&gt;=0,K1242,MAX(0,K1242+P1242)))</f>
        <v>0.648</v>
      </c>
      <c r="R1242" s="16" t="n">
        <f aca="false">IF(D1242="","",Q1242/$B$15)</f>
        <v>0.25</v>
      </c>
      <c r="S1242" s="16" t="n">
        <f aca="false">IF(D1242="","",MAX(0,J1242-R1242))</f>
        <v>0</v>
      </c>
      <c r="T1242" s="16" t="n">
        <f aca="false">IF(D1242="","",MAX(0,Z1242-$B$8))</f>
        <v>0.381335991587985</v>
      </c>
      <c r="U1242" s="16" t="n">
        <f aca="false">IF(D1242="","",MAX(0,MIN($B$8,Z1242)))</f>
        <v>21.3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21.681335991588</v>
      </c>
      <c r="AA1242" s="18" t="n">
        <f aca="false">IF(D1242="","",IF(H1242&lt;=$B$16,1,IF(H1242&gt;=$B$17,$B$21,MATCH(H1242,Aux_CAV!$A$2:$A$121,1))))</f>
        <v>8</v>
      </c>
      <c r="AB1242" s="18" t="n">
        <f aca="false">IF(D1242="","",IF(L1242&lt;=$B$16,1,IF(L1242&gt;=$B$17,$B$21,MATCH(L1242,Aux_CAV!$A$2:$A$121,1))))</f>
        <v>8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0.182435690725796</v>
      </c>
      <c r="E1243" s="16" t="n">
        <f aca="false">IF(D1243="","",D1243*$B$15)</f>
        <v>0.472873310361263</v>
      </c>
      <c r="F1243" s="16" t="n">
        <f aca="false" t="array" ref="F1243:F1243">IF(D1243="","",IFERROR(INDEX(Dados_Evap!$C$2:$N$15,MATCH($B$9,Dados_Evap!$A$2:$A$15,0),C1243),0))</f>
        <v>180.9</v>
      </c>
      <c r="G1243" s="16" t="n">
        <f aca="false">IF(F1243="","",F1243/1000)</f>
        <v>0.1809</v>
      </c>
      <c r="H1243" s="16" t="n">
        <f aca="false">IF(D1243="","",MAX(0,MIN($B$8,IFERROR(LOOKUP(2,1/($U$24:U1242&lt;&gt;""),$U$24:U1242),$B$11))))</f>
        <v>21.3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1.23</v>
      </c>
      <c r="J1243" s="16" t="n">
        <f aca="false">IF(D1243="","",$B$12)</f>
        <v>0.25</v>
      </c>
      <c r="K1243" s="16" t="n">
        <f aca="false">IF(J1243="","",J1243*$B$15)</f>
        <v>0.648</v>
      </c>
      <c r="L1243" s="16" t="n">
        <f aca="false">IF(D1243="","",H1243+E1243-K1243-G1243*I1243)</f>
        <v>20.9023663103613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1.2225288033262</v>
      </c>
      <c r="N1243" s="16" t="n">
        <f aca="false">IF(D1243="","",(I1243+M1243)/2)</f>
        <v>1.2262644016631</v>
      </c>
      <c r="O1243" s="16" t="n">
        <f aca="false">IF(D1243="","",G1243*N1243)</f>
        <v>0.221831230260855</v>
      </c>
      <c r="P1243" s="16" t="n">
        <f aca="false">IF(D1243="","",H1243+E1243-K1243-O1243)</f>
        <v>20.9030420801004</v>
      </c>
      <c r="Q1243" s="16" t="n">
        <f aca="false">IF(D1243="","",IF(P1243&gt;=0,K1243,MAX(0,K1243+P1243)))</f>
        <v>0.648</v>
      </c>
      <c r="R1243" s="16" t="n">
        <f aca="false">IF(D1243="","",Q1243/$B$15)</f>
        <v>0.25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20.9030420801004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98.1363477938986</v>
      </c>
      <c r="Z1243" s="18" t="n">
        <f aca="false">IF(D1243="","",MAX(0,IF(P1243&gt;=0,P1243,IF(K1243+P1243&gt;=0,0,P1243+K1243))))</f>
        <v>20.9030420801004</v>
      </c>
      <c r="AA1243" s="18" t="n">
        <f aca="false">IF(D1243="","",IF(H1243&lt;=$B$16,1,IF(H1243&gt;=$B$17,$B$21,MATCH(H1243,Aux_CAV!$A$2:$A$121,1))))</f>
        <v>8</v>
      </c>
      <c r="AB1243" s="18" t="n">
        <f aca="false">IF(D1243="","",IF(L1243&lt;=$B$16,1,IF(L1243&gt;=$B$17,$B$21,MATCH(L1243,Aux_CAV!$A$2:$A$121,1))))</f>
        <v>7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0.109991076232616</v>
      </c>
      <c r="E1244" s="16" t="n">
        <f aca="false">IF(D1244="","",D1244*$B$15)</f>
        <v>0.285096869594941</v>
      </c>
      <c r="F1244" s="16" t="n">
        <f aca="false" t="array" ref="F1244:F1244">IF(D1244="","",IFERROR(INDEX(Dados_Evap!$C$2:$N$15,MATCH($B$9,Dados_Evap!$A$2:$A$15,0),C1244),0))</f>
        <v>208.9</v>
      </c>
      <c r="G1244" s="16" t="n">
        <f aca="false">IF(F1244="","",F1244/1000)</f>
        <v>0.2089</v>
      </c>
      <c r="H1244" s="16" t="n">
        <f aca="false">IF(D1244="","",MAX(0,MIN($B$8,IFERROR(LOOKUP(2,1/($U$24:U1243&lt;&gt;""),$U$24:U1243),$B$11))))</f>
        <v>20.9030420801004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1.22254150046118</v>
      </c>
      <c r="J1244" s="16" t="n">
        <f aca="false">IF(D1244="","",$B$12)</f>
        <v>0.25</v>
      </c>
      <c r="K1244" s="16" t="n">
        <f aca="false">IF(J1244="","",J1244*$B$15)</f>
        <v>0.648</v>
      </c>
      <c r="L1244" s="16" t="n">
        <f aca="false">IF(D1244="","",H1244+E1244-K1244-G1244*I1244)</f>
        <v>20.284750030249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1.21092432207148</v>
      </c>
      <c r="N1244" s="16" t="n">
        <f aca="false">IF(D1244="","",(I1244+M1244)/2)</f>
        <v>1.21673291126633</v>
      </c>
      <c r="O1244" s="16" t="n">
        <f aca="false">IF(D1244="","",G1244*N1244)</f>
        <v>0.254175505163537</v>
      </c>
      <c r="P1244" s="16" t="n">
        <f aca="false">IF(D1244="","",H1244+E1244-K1244-O1244)</f>
        <v>20.2859634445318</v>
      </c>
      <c r="Q1244" s="16" t="n">
        <f aca="false">IF(D1244="","",IF(P1244&gt;=0,K1244,MAX(0,K1244+P1244)))</f>
        <v>0.648</v>
      </c>
      <c r="R1244" s="16" t="n">
        <f aca="false">IF(D1244="","",Q1244/$B$15)</f>
        <v>0.25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20.2859634445318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95.2392649978019</v>
      </c>
      <c r="Z1244" s="18" t="n">
        <f aca="false">IF(D1244="","",MAX(0,IF(P1244&gt;=0,P1244,IF(K1244+P1244&gt;=0,0,P1244+K1244))))</f>
        <v>20.2859634445318</v>
      </c>
      <c r="AA1244" s="18" t="n">
        <f aca="false">IF(D1244="","",IF(H1244&lt;=$B$16,1,IF(H1244&gt;=$B$17,$B$21,MATCH(H1244,Aux_CAV!$A$2:$A$121,1))))</f>
        <v>7</v>
      </c>
      <c r="AB1244" s="18" t="n">
        <f aca="false">IF(D1244="","",IF(L1244&lt;=$B$16,1,IF(L1244&gt;=$B$17,$B$21,MATCH(L1244,Aux_CAV!$A$2:$A$121,1))))</f>
        <v>7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0.0874029488926011</v>
      </c>
      <c r="E1245" s="16" t="n">
        <f aca="false">IF(D1245="","",D1245*$B$15)</f>
        <v>0.226548443529622</v>
      </c>
      <c r="F1245" s="16" t="n">
        <f aca="false" t="array" ref="F1245:F1245">IF(D1245="","",IFERROR(INDEX(Dados_Evap!$C$2:$N$15,MATCH($B$9,Dados_Evap!$A$2:$A$15,0),C1245),0))</f>
        <v>235.9</v>
      </c>
      <c r="G1245" s="16" t="n">
        <f aca="false">IF(F1245="","",F1245/1000)</f>
        <v>0.2359</v>
      </c>
      <c r="H1245" s="16" t="n">
        <f aca="false">IF(D1245="","",MAX(0,MIN($B$8,IFERROR(LOOKUP(2,1/($U$24:U1244&lt;&gt;""),$U$24:U1244),$B$11))))</f>
        <v>20.2859634445318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1.21094712108724</v>
      </c>
      <c r="J1245" s="16" t="n">
        <f aca="false">IF(D1245="","",$B$12)</f>
        <v>0.25</v>
      </c>
      <c r="K1245" s="16" t="n">
        <f aca="false">IF(J1245="","",J1245*$B$15)</f>
        <v>0.648</v>
      </c>
      <c r="L1245" s="16" t="n">
        <f aca="false">IF(D1245="","",H1245+E1245-K1245-G1245*I1245)</f>
        <v>19.578849462197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1.1976610546133</v>
      </c>
      <c r="N1245" s="16" t="n">
        <f aca="false">IF(D1245="","",(I1245+M1245)/2)</f>
        <v>1.20430408785027</v>
      </c>
      <c r="O1245" s="16" t="n">
        <f aca="false">IF(D1245="","",G1245*N1245)</f>
        <v>0.284095334323879</v>
      </c>
      <c r="P1245" s="16" t="n">
        <f aca="false">IF(D1245="","",H1245+E1245-K1245-O1245)</f>
        <v>19.5804165537376</v>
      </c>
      <c r="Q1245" s="16" t="n">
        <f aca="false">IF(D1245="","",IF(P1245&gt;=0,K1245,MAX(0,K1245+P1245)))</f>
        <v>0.648</v>
      </c>
      <c r="R1245" s="16" t="n">
        <f aca="false">IF(D1245="","",Q1245/$B$15)</f>
        <v>0.25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19.5804165537376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91.926838280458</v>
      </c>
      <c r="Z1245" s="18" t="n">
        <f aca="false">IF(D1245="","",MAX(0,IF(P1245&gt;=0,P1245,IF(K1245+P1245&gt;=0,0,P1245+K1245))))</f>
        <v>19.5804165537376</v>
      </c>
      <c r="AA1245" s="18" t="n">
        <f aca="false">IF(D1245="","",IF(H1245&lt;=$B$16,1,IF(H1245&gt;=$B$17,$B$21,MATCH(H1245,Aux_CAV!$A$2:$A$121,1))))</f>
        <v>7</v>
      </c>
      <c r="AB1245" s="18" t="n">
        <f aca="false">IF(D1245="","",IF(L1245&lt;=$B$16,1,IF(L1245&gt;=$B$17,$B$21,MATCH(L1245,Aux_CAV!$A$2:$A$121,1))))</f>
        <v>7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0.039427879192966</v>
      </c>
      <c r="E1246" s="16" t="n">
        <f aca="false">IF(D1246="","",D1246*$B$15)</f>
        <v>0.102197062868168</v>
      </c>
      <c r="F1246" s="16" t="n">
        <f aca="false" t="array" ref="F1246:F1246">IF(D1246="","",IFERROR(INDEX(Dados_Evap!$C$2:$N$15,MATCH($B$9,Dados_Evap!$A$2:$A$15,0),C1246),0))</f>
        <v>225.9</v>
      </c>
      <c r="G1246" s="16" t="n">
        <f aca="false">IF(F1246="","",F1246/1000)</f>
        <v>0.2259</v>
      </c>
      <c r="H1246" s="16" t="n">
        <f aca="false">IF(D1246="","",MAX(0,MIN($B$8,IFERROR(LOOKUP(2,1/($U$24:U1245&lt;&gt;""),$U$24:U1245),$B$11))))</f>
        <v>19.5804165537376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1.197690498922</v>
      </c>
      <c r="J1246" s="16" t="n">
        <f aca="false">IF(D1246="","",$B$12)</f>
        <v>0.25</v>
      </c>
      <c r="K1246" s="16" t="n">
        <f aca="false">IF(J1246="","",J1246*$B$15)</f>
        <v>0.648</v>
      </c>
      <c r="L1246" s="16" t="n">
        <f aca="false">IF(D1246="","",H1246+E1246-K1246-G1246*I1246)</f>
        <v>18.7640553328992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1.18235177034675</v>
      </c>
      <c r="N1246" s="16" t="n">
        <f aca="false">IF(D1246="","",(I1246+M1246)/2)</f>
        <v>1.19002113463438</v>
      </c>
      <c r="O1246" s="16" t="n">
        <f aca="false">IF(D1246="","",G1246*N1246)</f>
        <v>0.268825774313905</v>
      </c>
      <c r="P1246" s="16" t="n">
        <f aca="false">IF(D1246="","",H1246+E1246-K1246-O1246)</f>
        <v>18.7657878422918</v>
      </c>
      <c r="Q1246" s="16" t="n">
        <f aca="false">IF(D1246="","",IF(P1246&gt;=0,K1246,MAX(0,K1246+P1246)))</f>
        <v>0.648</v>
      </c>
      <c r="R1246" s="16" t="n">
        <f aca="false">IF(D1246="","",Q1246/$B$15)</f>
        <v>0.25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18.7657878422918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88.1022903393982</v>
      </c>
      <c r="Z1246" s="18" t="n">
        <f aca="false">IF(D1246="","",MAX(0,IF(P1246&gt;=0,P1246,IF(K1246+P1246&gt;=0,0,P1246+K1246))))</f>
        <v>18.7657878422918</v>
      </c>
      <c r="AA1246" s="18" t="n">
        <f aca="false">IF(D1246="","",IF(H1246&lt;=$B$16,1,IF(H1246&gt;=$B$17,$B$21,MATCH(H1246,Aux_CAV!$A$2:$A$121,1))))</f>
        <v>7</v>
      </c>
      <c r="AB1246" s="18" t="n">
        <f aca="false">IF(D1246="","",IF(L1246&lt;=$B$16,1,IF(L1246&gt;=$B$17,$B$21,MATCH(L1246,Aux_CAV!$A$2:$A$121,1))))</f>
        <v>7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0.0198916781733839</v>
      </c>
      <c r="E1247" s="16" t="n">
        <f aca="false">IF(D1247="","",D1247*$B$15)</f>
        <v>0.0515592298254111</v>
      </c>
      <c r="F1247" s="16" t="n">
        <f aca="false" t="array" ref="F1247:F1247">IF(D1247="","",IFERROR(INDEX(Dados_Evap!$C$2:$N$15,MATCH($B$9,Dados_Evap!$A$2:$A$15,0),C1247),0))</f>
        <v>206</v>
      </c>
      <c r="G1247" s="16" t="n">
        <f aca="false">IF(F1247="","",F1247/1000)</f>
        <v>0.206</v>
      </c>
      <c r="H1247" s="16" t="n">
        <f aca="false">IF(D1247="","",MAX(0,MIN($B$8,IFERROR(LOOKUP(2,1/($U$24:U1246&lt;&gt;""),$U$24:U1246),$B$11))))</f>
        <v>18.7657878422918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1.1823843227153</v>
      </c>
      <c r="J1247" s="16" t="n">
        <f aca="false">IF(D1247="","",$B$12)</f>
        <v>0.25</v>
      </c>
      <c r="K1247" s="16" t="n">
        <f aca="false">IF(J1247="","",J1247*$B$15)</f>
        <v>0.648</v>
      </c>
      <c r="L1247" s="16" t="n">
        <f aca="false">IF(D1247="","",H1247+E1247-K1247-G1247*I1247)</f>
        <v>17.9257759016379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1.16660121735854</v>
      </c>
      <c r="N1247" s="16" t="n">
        <f aca="false">IF(D1247="","",(I1247+M1247)/2)</f>
        <v>1.17449277003692</v>
      </c>
      <c r="O1247" s="16" t="n">
        <f aca="false">IF(D1247="","",G1247*N1247)</f>
        <v>0.241945510627605</v>
      </c>
      <c r="P1247" s="16" t="n">
        <f aca="false">IF(D1247="","",H1247+E1247-K1247-O1247)</f>
        <v>17.9274015614896</v>
      </c>
      <c r="Q1247" s="16" t="n">
        <f aca="false">IF(D1247="","",IF(P1247&gt;=0,K1247,MAX(0,K1247+P1247)))</f>
        <v>0.648</v>
      </c>
      <c r="R1247" s="16" t="n">
        <f aca="false">IF(D1247="","",Q1247/$B$15)</f>
        <v>0.25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17.9274015614896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84.1662045140358</v>
      </c>
      <c r="Z1247" s="18" t="n">
        <f aca="false">IF(D1247="","",MAX(0,IF(P1247&gt;=0,P1247,IF(K1247+P1247&gt;=0,0,P1247+K1247))))</f>
        <v>17.9274015614896</v>
      </c>
      <c r="AA1247" s="18" t="n">
        <f aca="false">IF(D1247="","",IF(H1247&lt;=$B$16,1,IF(H1247&gt;=$B$17,$B$21,MATCH(H1247,Aux_CAV!$A$2:$A$121,1))))</f>
        <v>7</v>
      </c>
      <c r="AB1247" s="18" t="n">
        <f aca="false">IF(D1247="","",IF(L1247&lt;=$B$16,1,IF(L1247&gt;=$B$17,$B$21,MATCH(L1247,Aux_CAV!$A$2:$A$121,1))))</f>
        <v>7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0.0467196373210178</v>
      </c>
      <c r="E1248" s="16" t="n">
        <f aca="false">IF(D1248="","",D1248*$B$15)</f>
        <v>0.121097299936078</v>
      </c>
      <c r="F1248" s="16" t="n">
        <f aca="false" t="array" ref="F1248:F1248">IF(D1248="","",IFERROR(INDEX(Dados_Evap!$C$2:$N$15,MATCH($B$9,Dados_Evap!$A$2:$A$15,0),C1248),0))</f>
        <v>165.6</v>
      </c>
      <c r="G1248" s="16" t="n">
        <f aca="false">IF(F1248="","",F1248/1000)</f>
        <v>0.1656</v>
      </c>
      <c r="H1248" s="16" t="n">
        <f aca="false">IF(D1248="","",MAX(0,MIN($B$8,IFERROR(LOOKUP(2,1/($U$24:U1247&lt;&gt;""),$U$24:U1247),$B$11))))</f>
        <v>17.9274015614896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1.16663176211567</v>
      </c>
      <c r="J1248" s="16" t="n">
        <f aca="false">IF(D1248="","",$B$12)</f>
        <v>0.25</v>
      </c>
      <c r="K1248" s="16" t="n">
        <f aca="false">IF(J1248="","",J1248*$B$15)</f>
        <v>0.648</v>
      </c>
      <c r="L1248" s="16" t="n">
        <f aca="false">IF(D1248="","",H1248+E1248-K1248-G1248*I1248)</f>
        <v>17.2073046416194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1.15310175735819</v>
      </c>
      <c r="N1248" s="16" t="n">
        <f aca="false">IF(D1248="","",(I1248+M1248)/2)</f>
        <v>1.15986675973693</v>
      </c>
      <c r="O1248" s="16" t="n">
        <f aca="false">IF(D1248="","",G1248*N1248)</f>
        <v>0.192073935412436</v>
      </c>
      <c r="P1248" s="16" t="n">
        <f aca="false">IF(D1248="","",H1248+E1248-K1248-O1248)</f>
        <v>17.2084249260133</v>
      </c>
      <c r="Q1248" s="16" t="n">
        <f aca="false">IF(D1248="","",IF(P1248&gt;=0,K1248,MAX(0,K1248+P1248)))</f>
        <v>0.648</v>
      </c>
      <c r="R1248" s="16" t="n">
        <f aca="false">IF(D1248="","",Q1248/$B$15)</f>
        <v>0.25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17.2084249260133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80.790727352175</v>
      </c>
      <c r="Z1248" s="18" t="n">
        <f aca="false">IF(D1248="","",MAX(0,IF(P1248&gt;=0,P1248,IF(K1248+P1248&gt;=0,0,P1248+K1248))))</f>
        <v>17.2084249260133</v>
      </c>
      <c r="AA1248" s="18" t="n">
        <f aca="false">IF(D1248="","",IF(H1248&lt;=$B$16,1,IF(H1248&gt;=$B$17,$B$21,MATCH(H1248,Aux_CAV!$A$2:$A$121,1))))</f>
        <v>7</v>
      </c>
      <c r="AB1248" s="18" t="n">
        <f aca="false">IF(D1248="","",IF(L1248&lt;=$B$16,1,IF(L1248&gt;=$B$17,$B$21,MATCH(L1248,Aux_CAV!$A$2:$A$121,1))))</f>
        <v>7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0.338340239652141</v>
      </c>
      <c r="E1249" s="16" t="n">
        <f aca="false">IF(D1249="","",D1249*$B$15)</f>
        <v>0.87697790117835</v>
      </c>
      <c r="F1249" s="16" t="n">
        <f aca="false" t="array" ref="F1249:F1249">IF(D1249="","",IFERROR(INDEX(Dados_Evap!$C$2:$N$15,MATCH($B$9,Dados_Evap!$A$2:$A$15,0),C1249),0))</f>
        <v>124.9</v>
      </c>
      <c r="G1249" s="16" t="n">
        <f aca="false">IF(F1249="","",F1249/1000)</f>
        <v>0.1249</v>
      </c>
      <c r="H1249" s="16" t="n">
        <f aca="false">IF(D1249="","",MAX(0,MIN($B$8,IFERROR(LOOKUP(2,1/($U$24:U1248&lt;&gt;""),$U$24:U1248),$B$11))))</f>
        <v>17.2084249260133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1.15312280654305</v>
      </c>
      <c r="J1249" s="16" t="n">
        <f aca="false">IF(D1249="","",$B$12)</f>
        <v>0.25</v>
      </c>
      <c r="K1249" s="16" t="n">
        <f aca="false">IF(J1249="","",J1249*$B$15)</f>
        <v>0.648</v>
      </c>
      <c r="L1249" s="16" t="n">
        <f aca="false">IF(D1249="","",H1249+E1249-K1249-G1249*I1249)</f>
        <v>17.2933777886544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1.15471899811668</v>
      </c>
      <c r="N1249" s="16" t="n">
        <f aca="false">IF(D1249="","",(I1249+M1249)/2)</f>
        <v>1.15392090232986</v>
      </c>
      <c r="O1249" s="16" t="n">
        <f aca="false">IF(D1249="","",G1249*N1249)</f>
        <v>0.144124720701</v>
      </c>
      <c r="P1249" s="16" t="n">
        <f aca="false">IF(D1249="","",H1249+E1249-K1249-O1249)</f>
        <v>17.2932781064906</v>
      </c>
      <c r="Q1249" s="16" t="n">
        <f aca="false">IF(D1249="","",IF(P1249&gt;=0,K1249,MAX(0,K1249+P1249)))</f>
        <v>0.648</v>
      </c>
      <c r="R1249" s="16" t="n">
        <f aca="false">IF(D1249="","",Q1249/$B$15)</f>
        <v>0.25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17.2932781064906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81.1890990915052</v>
      </c>
      <c r="Z1249" s="18" t="n">
        <f aca="false">IF(D1249="","",MAX(0,IF(P1249&gt;=0,P1249,IF(K1249+P1249&gt;=0,0,P1249+K1249))))</f>
        <v>17.2932781064906</v>
      </c>
      <c r="AA1249" s="18" t="n">
        <f aca="false">IF(D1249="","",IF(H1249&lt;=$B$16,1,IF(H1249&gt;=$B$17,$B$21,MATCH(H1249,Aux_CAV!$A$2:$A$121,1))))</f>
        <v>7</v>
      </c>
      <c r="AB1249" s="18" t="n">
        <f aca="false">IF(D1249="","",IF(L1249&lt;=$B$16,1,IF(L1249&gt;=$B$17,$B$21,MATCH(L1249,Aux_CAV!$A$2:$A$121,1))))</f>
        <v>7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0.311109293998156</v>
      </c>
      <c r="E1250" s="16" t="n">
        <f aca="false">IF(D1250="","",D1250*$B$15)</f>
        <v>0.80639529004322</v>
      </c>
      <c r="F1250" s="16" t="n">
        <f aca="false" t="array" ref="F1250:F1250">IF(D1250="","",IFERROR(INDEX(Dados_Evap!$C$2:$N$15,MATCH($B$9,Dados_Evap!$A$2:$A$15,0),C1250),0))</f>
        <v>88.2</v>
      </c>
      <c r="G1250" s="16" t="n">
        <f aca="false">IF(F1250="","",F1250/1000)</f>
        <v>0.0882</v>
      </c>
      <c r="H1250" s="16" t="n">
        <f aca="false">IF(D1250="","",MAX(0,MIN($B$8,IFERROR(LOOKUP(2,1/($U$24:U1249&lt;&gt;""),$U$24:U1249),$B$11))))</f>
        <v>17.2932781064906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1.15471712517415</v>
      </c>
      <c r="J1250" s="16" t="n">
        <f aca="false">IF(D1250="","",$B$12)</f>
        <v>0.25</v>
      </c>
      <c r="K1250" s="16" t="n">
        <f aca="false">IF(J1250="","",J1250*$B$15)</f>
        <v>0.648</v>
      </c>
      <c r="L1250" s="16" t="n">
        <f aca="false">IF(D1250="","",H1250+E1250-K1250-G1250*I1250)</f>
        <v>17.3498273460935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1.15577963698297</v>
      </c>
      <c r="N1250" s="16" t="n">
        <f aca="false">IF(D1250="","",(I1250+M1250)/2)</f>
        <v>1.15524838107856</v>
      </c>
      <c r="O1250" s="16" t="n">
        <f aca="false">IF(D1250="","",G1250*N1250)</f>
        <v>0.101892907211129</v>
      </c>
      <c r="P1250" s="16" t="n">
        <f aca="false">IF(D1250="","",H1250+E1250-K1250-O1250)</f>
        <v>17.3497804893227</v>
      </c>
      <c r="Q1250" s="16" t="n">
        <f aca="false">IF(D1250="","",IF(P1250&gt;=0,K1250,MAX(0,K1250+P1250)))</f>
        <v>0.648</v>
      </c>
      <c r="R1250" s="16" t="n">
        <f aca="false">IF(D1250="","",Q1250/$B$15)</f>
        <v>0.25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17.3497804893227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81.4543684944728</v>
      </c>
      <c r="Z1250" s="18" t="n">
        <f aca="false">IF(D1250="","",MAX(0,IF(P1250&gt;=0,P1250,IF(K1250+P1250&gt;=0,0,P1250+K1250))))</f>
        <v>17.3497804893227</v>
      </c>
      <c r="AA1250" s="18" t="n">
        <f aca="false">IF(D1250="","",IF(H1250&lt;=$B$16,1,IF(H1250&gt;=$B$17,$B$21,MATCH(H1250,Aux_CAV!$A$2:$A$121,1))))</f>
        <v>7</v>
      </c>
      <c r="AB1250" s="18" t="n">
        <f aca="false">IF(D1250="","",IF(L1250&lt;=$B$16,1,IF(L1250&gt;=$B$17,$B$21,MATCH(L1250,Aux_CAV!$A$2:$A$121,1))))</f>
        <v>7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0.402608959707577</v>
      </c>
      <c r="E1251" s="16" t="n">
        <f aca="false">IF(D1251="","",D1251*$B$15)</f>
        <v>1.04356242356204</v>
      </c>
      <c r="F1251" s="16" t="n">
        <f aca="false" t="array" ref="F1251:F1251">IF(D1251="","",IFERROR(INDEX(Dados_Evap!$C$2:$N$15,MATCH($B$9,Dados_Evap!$A$2:$A$15,0),C1251),0))</f>
        <v>88.2</v>
      </c>
      <c r="G1251" s="16" t="n">
        <f aca="false">IF(F1251="","",F1251/1000)</f>
        <v>0.0882</v>
      </c>
      <c r="H1251" s="16" t="n">
        <f aca="false">IF(D1251="","",MAX(0,MIN($B$8,IFERROR(LOOKUP(2,1/($U$24:U1250&lt;&gt;""),$U$24:U1250),$B$11))))</f>
        <v>17.3497804893227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1.15577875658435</v>
      </c>
      <c r="J1251" s="16" t="n">
        <f aca="false">IF(D1251="","",$B$12)</f>
        <v>0.25</v>
      </c>
      <c r="K1251" s="16" t="n">
        <f aca="false">IF(J1251="","",J1251*$B$15)</f>
        <v>0.648</v>
      </c>
      <c r="L1251" s="16" t="n">
        <f aca="false">IF(D1251="","",H1251+E1251-K1251-G1251*I1251)</f>
        <v>17.643403226554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1.16129567649058</v>
      </c>
      <c r="N1251" s="16" t="n">
        <f aca="false">IF(D1251="","",(I1251+M1251)/2)</f>
        <v>1.15853721653746</v>
      </c>
      <c r="O1251" s="16" t="n">
        <f aca="false">IF(D1251="","",G1251*N1251)</f>
        <v>0.102182982498604</v>
      </c>
      <c r="P1251" s="16" t="n">
        <f aca="false">IF(D1251="","",H1251+E1251-K1251-O1251)</f>
        <v>17.6431599303861</v>
      </c>
      <c r="Q1251" s="16" t="n">
        <f aca="false">IF(D1251="","",IF(P1251&gt;=0,K1251,MAX(0,K1251+P1251)))</f>
        <v>0.648</v>
      </c>
      <c r="R1251" s="16" t="n">
        <f aca="false">IF(D1251="","",Q1251/$B$15)</f>
        <v>0.25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17.6431599303861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82.8317367623763</v>
      </c>
      <c r="Z1251" s="18" t="n">
        <f aca="false">IF(D1251="","",MAX(0,IF(P1251&gt;=0,P1251,IF(K1251+P1251&gt;=0,0,P1251+K1251))))</f>
        <v>17.6431599303861</v>
      </c>
      <c r="AA1251" s="18" t="n">
        <f aca="false">IF(D1251="","",IF(H1251&lt;=$B$16,1,IF(H1251&gt;=$B$17,$B$21,MATCH(H1251,Aux_CAV!$A$2:$A$121,1))))</f>
        <v>7</v>
      </c>
      <c r="AB1251" s="18" t="n">
        <f aca="false">IF(D1251="","",IF(L1251&lt;=$B$16,1,IF(L1251&gt;=$B$17,$B$21,MATCH(L1251,Aux_CAV!$A$2:$A$121,1))))</f>
        <v>7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0.197440400339182</v>
      </c>
      <c r="E1252" s="16" t="n">
        <f aca="false">IF(D1252="","",D1252*$B$15)</f>
        <v>0.51176551767916</v>
      </c>
      <c r="F1252" s="16" t="n">
        <f aca="false" t="array" ref="F1252:F1252">IF(D1252="","",IFERROR(INDEX(Dados_Evap!$C$2:$N$15,MATCH($B$9,Dados_Evap!$A$2:$A$15,0),C1252),0))</f>
        <v>83.9</v>
      </c>
      <c r="G1252" s="16" t="n">
        <f aca="false">IF(F1252="","",F1252/1000)</f>
        <v>0.0839</v>
      </c>
      <c r="H1252" s="16" t="n">
        <f aca="false">IF(D1252="","",MAX(0,MIN($B$8,IFERROR(LOOKUP(2,1/($U$24:U1251&lt;&gt;""),$U$24:U1251),$B$11))))</f>
        <v>17.6431599303861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1.16129110516383</v>
      </c>
      <c r="J1252" s="16" t="n">
        <f aca="false">IF(D1252="","",$B$12)</f>
        <v>0.25</v>
      </c>
      <c r="K1252" s="16" t="n">
        <f aca="false">IF(J1252="","",J1252*$B$15)</f>
        <v>0.648</v>
      </c>
      <c r="L1252" s="16" t="n">
        <f aca="false">IF(D1252="","",H1252+E1252-K1252-G1252*I1252)</f>
        <v>17.4094931243421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1.15690070588534</v>
      </c>
      <c r="N1252" s="16" t="n">
        <f aca="false">IF(D1252="","",(I1252+M1252)/2)</f>
        <v>1.15909590552459</v>
      </c>
      <c r="O1252" s="16" t="n">
        <f aca="false">IF(D1252="","",G1252*N1252)</f>
        <v>0.0972481464735128</v>
      </c>
      <c r="P1252" s="16" t="n">
        <f aca="false">IF(D1252="","",H1252+E1252-K1252-O1252)</f>
        <v>17.4096773015918</v>
      </c>
      <c r="Q1252" s="16" t="n">
        <f aca="false">IF(D1252="","",IF(P1252&gt;=0,K1252,MAX(0,K1252+P1252)))</f>
        <v>0.648</v>
      </c>
      <c r="R1252" s="16" t="n">
        <f aca="false">IF(D1252="","",Q1252/$B$15)</f>
        <v>0.25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17.4096773015918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81.735574185877</v>
      </c>
      <c r="Z1252" s="18" t="n">
        <f aca="false">IF(D1252="","",MAX(0,IF(P1252&gt;=0,P1252,IF(K1252+P1252&gt;=0,0,P1252+K1252))))</f>
        <v>17.4096773015918</v>
      </c>
      <c r="AA1252" s="18" t="n">
        <f aca="false">IF(D1252="","",IF(H1252&lt;=$B$16,1,IF(H1252&gt;=$B$17,$B$21,MATCH(H1252,Aux_CAV!$A$2:$A$121,1))))</f>
        <v>7</v>
      </c>
      <c r="AB1252" s="18" t="n">
        <f aca="false">IF(D1252="","",IF(L1252&lt;=$B$16,1,IF(L1252&gt;=$B$17,$B$21,MATCH(L1252,Aux_CAV!$A$2:$A$121,1))))</f>
        <v>7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0.116601945416974</v>
      </c>
      <c r="E1253" s="16" t="n">
        <f aca="false">IF(D1253="","",D1253*$B$15)</f>
        <v>0.302232242520797</v>
      </c>
      <c r="F1253" s="16" t="n">
        <f aca="false" t="array" ref="F1253:F1253">IF(D1253="","",IFERROR(INDEX(Dados_Evap!$C$2:$N$15,MATCH($B$9,Dados_Evap!$A$2:$A$15,0),C1253),0))</f>
        <v>104.7</v>
      </c>
      <c r="G1253" s="16" t="n">
        <f aca="false">IF(F1253="","",F1253/1000)</f>
        <v>0.1047</v>
      </c>
      <c r="H1253" s="16" t="n">
        <f aca="false">IF(D1253="","",MAX(0,MIN($B$8,IFERROR(LOOKUP(2,1/($U$24:U1252&lt;&gt;""),$U$24:U1252),$B$11))))</f>
        <v>17.4096773015918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1.15690416641822</v>
      </c>
      <c r="J1253" s="16" t="n">
        <f aca="false">IF(D1253="","",$B$12)</f>
        <v>0.25</v>
      </c>
      <c r="K1253" s="16" t="n">
        <f aca="false">IF(J1253="","",J1253*$B$15)</f>
        <v>0.648</v>
      </c>
      <c r="L1253" s="16" t="n">
        <f aca="false">IF(D1253="","",H1253+E1253-K1253-G1253*I1253)</f>
        <v>16.9427816778886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1.14813159728809</v>
      </c>
      <c r="N1253" s="16" t="n">
        <f aca="false">IF(D1253="","",(I1253+M1253)/2)</f>
        <v>1.15251788185316</v>
      </c>
      <c r="O1253" s="16" t="n">
        <f aca="false">IF(D1253="","",G1253*N1253)</f>
        <v>0.120668622230025</v>
      </c>
      <c r="P1253" s="16" t="n">
        <f aca="false">IF(D1253="","",H1253+E1253-K1253-O1253)</f>
        <v>16.9432409218826</v>
      </c>
      <c r="Q1253" s="16" t="n">
        <f aca="false">IF(D1253="","",IF(P1253&gt;=0,K1253,MAX(0,K1253+P1253)))</f>
        <v>0.648</v>
      </c>
      <c r="R1253" s="16" t="n">
        <f aca="false">IF(D1253="","",Q1253/$B$15)</f>
        <v>0.25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16.9432409218826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79.5457320276177</v>
      </c>
      <c r="Z1253" s="18" t="n">
        <f aca="false">IF(D1253="","",MAX(0,IF(P1253&gt;=0,P1253,IF(K1253+P1253&gt;=0,0,P1253+K1253))))</f>
        <v>16.9432409218826</v>
      </c>
      <c r="AA1253" s="18" t="n">
        <f aca="false">IF(D1253="","",IF(H1253&lt;=$B$16,1,IF(H1253&gt;=$B$17,$B$21,MATCH(H1253,Aux_CAV!$A$2:$A$121,1))))</f>
        <v>7</v>
      </c>
      <c r="AB1253" s="18" t="n">
        <f aca="false">IF(D1253="","",IF(L1253&lt;=$B$16,1,IF(L1253&gt;=$B$17,$B$21,MATCH(L1253,Aux_CAV!$A$2:$A$121,1))))</f>
        <v>7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0.0311190403492765</v>
      </c>
      <c r="E1254" s="16" t="n">
        <f aca="false">IF(D1254="","",D1254*$B$15)</f>
        <v>0.0806605525853247</v>
      </c>
      <c r="F1254" s="16" t="n">
        <f aca="false" t="array" ref="F1254:F1254">IF(D1254="","",IFERROR(INDEX(Dados_Evap!$C$2:$N$15,MATCH($B$9,Dados_Evap!$A$2:$A$15,0),C1254),0))</f>
        <v>145.2</v>
      </c>
      <c r="G1254" s="16" t="n">
        <f aca="false">IF(F1254="","",F1254/1000)</f>
        <v>0.1452</v>
      </c>
      <c r="H1254" s="16" t="n">
        <f aca="false">IF(D1254="","",MAX(0,MIN($B$8,IFERROR(LOOKUP(2,1/($U$24:U1253&lt;&gt;""),$U$24:U1253),$B$11))))</f>
        <v>16.9432409218826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1.14814022608965</v>
      </c>
      <c r="J1254" s="16" t="n">
        <f aca="false">IF(D1254="","",$B$12)</f>
        <v>0.25</v>
      </c>
      <c r="K1254" s="16" t="n">
        <f aca="false">IF(J1254="","",J1254*$B$15)</f>
        <v>0.648</v>
      </c>
      <c r="L1254" s="16" t="n">
        <f aca="false">IF(D1254="","",H1254+E1254-K1254-G1254*I1254)</f>
        <v>16.2091915136397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1.1303331866387</v>
      </c>
      <c r="N1254" s="16" t="n">
        <f aca="false">IF(D1254="","",(I1254+M1254)/2)</f>
        <v>1.13923670636418</v>
      </c>
      <c r="O1254" s="16" t="n">
        <f aca="false">IF(D1254="","",G1254*N1254)</f>
        <v>0.165417169764079</v>
      </c>
      <c r="P1254" s="16" t="n">
        <f aca="false">IF(D1254="","",H1254+E1254-K1254-O1254)</f>
        <v>16.2104843047038</v>
      </c>
      <c r="Q1254" s="16" t="n">
        <f aca="false">IF(D1254="","",IF(P1254&gt;=0,K1254,MAX(0,K1254+P1254)))</f>
        <v>0.648</v>
      </c>
      <c r="R1254" s="16" t="n">
        <f aca="false">IF(D1254="","",Q1254/$B$15)</f>
        <v>0.25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16.2104843047038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76.1055601159804</v>
      </c>
      <c r="Z1254" s="18" t="n">
        <f aca="false">IF(D1254="","",MAX(0,IF(P1254&gt;=0,P1254,IF(K1254+P1254&gt;=0,0,P1254+K1254))))</f>
        <v>16.2104843047038</v>
      </c>
      <c r="AA1254" s="18" t="n">
        <f aca="false">IF(D1254="","",IF(H1254&lt;=$B$16,1,IF(H1254&gt;=$B$17,$B$21,MATCH(H1254,Aux_CAV!$A$2:$A$121,1))))</f>
        <v>7</v>
      </c>
      <c r="AB1254" s="18" t="n">
        <f aca="false">IF(D1254="","",IF(L1254&lt;=$B$16,1,IF(L1254&gt;=$B$17,$B$21,MATCH(L1254,Aux_CAV!$A$2:$A$121,1))))</f>
        <v>6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0.0213621641493597</v>
      </c>
      <c r="E1255" s="16" t="n">
        <f aca="false">IF(D1255="","",D1255*$B$15)</f>
        <v>0.0553707294751403</v>
      </c>
      <c r="F1255" s="16" t="n">
        <f aca="false" t="array" ref="F1255:F1255">IF(D1255="","",IFERROR(INDEX(Dados_Evap!$C$2:$N$15,MATCH($B$9,Dados_Evap!$A$2:$A$15,0),C1255),0))</f>
        <v>180.9</v>
      </c>
      <c r="G1255" s="16" t="n">
        <f aca="false">IF(F1255="","",F1255/1000)</f>
        <v>0.1809</v>
      </c>
      <c r="H1255" s="16" t="n">
        <f aca="false">IF(D1255="","",MAX(0,MIN($B$8,IFERROR(LOOKUP(2,1/($U$24:U1254&lt;&gt;""),$U$24:U1254),$B$11))))</f>
        <v>16.2104843047038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1.1303747319092</v>
      </c>
      <c r="J1255" s="16" t="n">
        <f aca="false">IF(D1255="","",$B$12)</f>
        <v>0.25</v>
      </c>
      <c r="K1255" s="16" t="n">
        <f aca="false">IF(J1255="","",J1255*$B$15)</f>
        <v>0.648</v>
      </c>
      <c r="L1255" s="16" t="n">
        <f aca="false">IF(D1255="","",H1255+E1255-K1255-G1255*I1255)</f>
        <v>15.4133702451766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1.10475859010964</v>
      </c>
      <c r="N1255" s="16" t="n">
        <f aca="false">IF(D1255="","",(I1255+M1255)/2)</f>
        <v>1.11756666100942</v>
      </c>
      <c r="O1255" s="16" t="n">
        <f aca="false">IF(D1255="","",G1255*N1255)</f>
        <v>0.202167808976604</v>
      </c>
      <c r="P1255" s="16" t="n">
        <f aca="false">IF(D1255="","",H1255+E1255-K1255-O1255)</f>
        <v>15.4156872252024</v>
      </c>
      <c r="Q1255" s="16" t="n">
        <f aca="false">IF(D1255="","",IF(P1255&gt;=0,K1255,MAX(0,K1255+P1255)))</f>
        <v>0.648</v>
      </c>
      <c r="R1255" s="16" t="n">
        <f aca="false">IF(D1255="","",Q1255/$B$15)</f>
        <v>0.25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15.4156872252024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72.37411842818</v>
      </c>
      <c r="Z1255" s="18" t="n">
        <f aca="false">IF(D1255="","",MAX(0,IF(P1255&gt;=0,P1255,IF(K1255+P1255&gt;=0,0,P1255+K1255))))</f>
        <v>15.4156872252024</v>
      </c>
      <c r="AA1255" s="18" t="n">
        <f aca="false">IF(D1255="","",IF(H1255&lt;=$B$16,1,IF(H1255&gt;=$B$17,$B$21,MATCH(H1255,Aux_CAV!$A$2:$A$121,1))))</f>
        <v>6</v>
      </c>
      <c r="AB1255" s="18" t="n">
        <f aca="false">IF(D1255="","",IF(L1255&lt;=$B$16,1,IF(L1255&gt;=$B$17,$B$21,MATCH(L1255,Aux_CAV!$A$2:$A$121,1))))</f>
        <v>6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0.0139081197085103</v>
      </c>
      <c r="E1256" s="16" t="n">
        <f aca="false">IF(D1256="","",D1256*$B$15)</f>
        <v>0.0360498462844587</v>
      </c>
      <c r="F1256" s="16" t="n">
        <f aca="false" t="array" ref="F1256:F1256">IF(D1256="","",IFERROR(INDEX(Dados_Evap!$C$2:$N$15,MATCH($B$9,Dados_Evap!$A$2:$A$15,0),C1256),0))</f>
        <v>208.9</v>
      </c>
      <c r="G1256" s="16" t="n">
        <f aca="false">IF(F1256="","",F1256/1000)</f>
        <v>0.2089</v>
      </c>
      <c r="H1256" s="16" t="n">
        <f aca="false">IF(D1256="","",MAX(0,MIN($B$8,IFERROR(LOOKUP(2,1/($U$24:U1255&lt;&gt;""),$U$24:U1255),$B$11))))</f>
        <v>15.4156872252024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1.10483304882503</v>
      </c>
      <c r="J1256" s="16" t="n">
        <f aca="false">IF(D1256="","",$B$12)</f>
        <v>0.25</v>
      </c>
      <c r="K1256" s="16" t="n">
        <f aca="false">IF(J1256="","",J1256*$B$15)</f>
        <v>0.648</v>
      </c>
      <c r="L1256" s="16" t="n">
        <f aca="false">IF(D1256="","",H1256+E1256-K1256-G1256*I1256)</f>
        <v>14.5729374475873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1.077750352758</v>
      </c>
      <c r="N1256" s="16" t="n">
        <f aca="false">IF(D1256="","",(I1256+M1256)/2)</f>
        <v>1.09129170079152</v>
      </c>
      <c r="O1256" s="16" t="n">
        <f aca="false">IF(D1256="","",G1256*N1256)</f>
        <v>0.227970836295348</v>
      </c>
      <c r="P1256" s="16" t="n">
        <f aca="false">IF(D1256="","",H1256+E1256-K1256-O1256)</f>
        <v>14.5757662351915</v>
      </c>
      <c r="Q1256" s="16" t="n">
        <f aca="false">IF(D1256="","",IF(P1256&gt;=0,K1256,MAX(0,K1256+P1256)))</f>
        <v>0.648</v>
      </c>
      <c r="R1256" s="16" t="n">
        <f aca="false">IF(D1256="","",Q1256/$B$15)</f>
        <v>0.25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14.5757662351915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68.4308273952651</v>
      </c>
      <c r="Z1256" s="18" t="n">
        <f aca="false">IF(D1256="","",MAX(0,IF(P1256&gt;=0,P1256,IF(K1256+P1256&gt;=0,0,P1256+K1256))))</f>
        <v>14.5757662351915</v>
      </c>
      <c r="AA1256" s="18" t="n">
        <f aca="false">IF(D1256="","",IF(H1256&lt;=$B$16,1,IF(H1256&gt;=$B$17,$B$21,MATCH(H1256,Aux_CAV!$A$2:$A$121,1))))</f>
        <v>6</v>
      </c>
      <c r="AB1256" s="18" t="n">
        <f aca="false">IF(D1256="","",IF(L1256&lt;=$B$16,1,IF(L1256&gt;=$B$17,$B$21,MATCH(L1256,Aux_CAV!$A$2:$A$121,1))))</f>
        <v>6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0.00884256883211725</v>
      </c>
      <c r="E1257" s="16" t="n">
        <f aca="false">IF(D1257="","",D1257*$B$15)</f>
        <v>0.0229199384128479</v>
      </c>
      <c r="F1257" s="16" t="n">
        <f aca="false" t="array" ref="F1257:F1257">IF(D1257="","",IFERROR(INDEX(Dados_Evap!$C$2:$N$15,MATCH($B$9,Dados_Evap!$A$2:$A$15,0),C1257),0))</f>
        <v>235.9</v>
      </c>
      <c r="G1257" s="16" t="n">
        <f aca="false">IF(F1257="","",F1257/1000)</f>
        <v>0.2359</v>
      </c>
      <c r="H1257" s="16" t="n">
        <f aca="false">IF(D1257="","",MAX(0,MIN($B$8,IFERROR(LOOKUP(2,1/($U$24:U1256&lt;&gt;""),$U$24:U1256),$B$11))))</f>
        <v>14.5757662351915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1.07784125897591</v>
      </c>
      <c r="J1257" s="16" t="n">
        <f aca="false">IF(D1257="","",$B$12)</f>
        <v>0.25</v>
      </c>
      <c r="K1257" s="16" t="n">
        <f aca="false">IF(J1257="","",J1257*$B$15)</f>
        <v>0.648</v>
      </c>
      <c r="L1257" s="16" t="n">
        <f aca="false">IF(D1257="","",H1257+E1257-K1257-G1257*I1257)</f>
        <v>13.6964234206119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1.04958260519925</v>
      </c>
      <c r="N1257" s="16" t="n">
        <f aca="false">IF(D1257="","",(I1257+M1257)/2)</f>
        <v>1.06371193208758</v>
      </c>
      <c r="O1257" s="16" t="n">
        <f aca="false">IF(D1257="","",G1257*N1257)</f>
        <v>0.25092964477946</v>
      </c>
      <c r="P1257" s="16" t="n">
        <f aca="false">IF(D1257="","",H1257+E1257-K1257-O1257)</f>
        <v>13.6997565288249</v>
      </c>
      <c r="Q1257" s="16" t="n">
        <f aca="false">IF(D1257="","",IF(P1257&gt;=0,K1257,MAX(0,K1257+P1257)))</f>
        <v>0.648</v>
      </c>
      <c r="R1257" s="16" t="n">
        <f aca="false">IF(D1257="","",Q1257/$B$15)</f>
        <v>0.25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13.6997565288249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64.3181057691308</v>
      </c>
      <c r="Z1257" s="18" t="n">
        <f aca="false">IF(D1257="","",MAX(0,IF(P1257&gt;=0,P1257,IF(K1257+P1257&gt;=0,0,P1257+K1257))))</f>
        <v>13.6997565288249</v>
      </c>
      <c r="AA1257" s="18" t="n">
        <f aca="false">IF(D1257="","",IF(H1257&lt;=$B$16,1,IF(H1257&gt;=$B$17,$B$21,MATCH(H1257,Aux_CAV!$A$2:$A$121,1))))</f>
        <v>6</v>
      </c>
      <c r="AB1257" s="18" t="n">
        <f aca="false">IF(D1257="","",IF(L1257&lt;=$B$16,1,IF(L1257&gt;=$B$17,$B$21,MATCH(L1257,Aux_CAV!$A$2:$A$121,1))))</f>
        <v>6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0.004546892853169</v>
      </c>
      <c r="E1258" s="16" t="n">
        <f aca="false">IF(D1258="","",D1258*$B$15)</f>
        <v>0.011785546275414</v>
      </c>
      <c r="F1258" s="16" t="n">
        <f aca="false" t="array" ref="F1258:F1258">IF(D1258="","",IFERROR(INDEX(Dados_Evap!$C$2:$N$15,MATCH($B$9,Dados_Evap!$A$2:$A$15,0),C1258),0))</f>
        <v>225.9</v>
      </c>
      <c r="G1258" s="16" t="n">
        <f aca="false">IF(F1258="","",F1258/1000)</f>
        <v>0.2259</v>
      </c>
      <c r="H1258" s="16" t="n">
        <f aca="false">IF(D1258="","",MAX(0,MIN($B$8,IFERROR(LOOKUP(2,1/($U$24:U1257&lt;&gt;""),$U$24:U1257),$B$11))))</f>
        <v>13.6997565288249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1.04968971831762</v>
      </c>
      <c r="J1258" s="16" t="n">
        <f aca="false">IF(D1258="","",$B$12)</f>
        <v>0.25</v>
      </c>
      <c r="K1258" s="16" t="n">
        <f aca="false">IF(J1258="","",J1258*$B$15)</f>
        <v>0.648</v>
      </c>
      <c r="L1258" s="16" t="n">
        <f aca="false">IF(D1258="","",H1258+E1258-K1258-G1258*I1258)</f>
        <v>12.8264171677323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1.02162399215775</v>
      </c>
      <c r="N1258" s="16" t="n">
        <f aca="false">IF(D1258="","",(I1258+M1258)/2)</f>
        <v>1.03565685523769</v>
      </c>
      <c r="O1258" s="16" t="n">
        <f aca="false">IF(D1258="","",G1258*N1258)</f>
        <v>0.233954883598193</v>
      </c>
      <c r="P1258" s="16" t="n">
        <f aca="false">IF(D1258="","",H1258+E1258-K1258-O1258)</f>
        <v>12.8295871915021</v>
      </c>
      <c r="Q1258" s="16" t="n">
        <f aca="false">IF(D1258="","",IF(P1258&gt;=0,K1258,MAX(0,K1258+P1258)))</f>
        <v>0.648</v>
      </c>
      <c r="R1258" s="16" t="n">
        <f aca="false">IF(D1258="","",Q1258/$B$15)</f>
        <v>0.25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12.8295871915021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60.2328037159722</v>
      </c>
      <c r="Z1258" s="18" t="n">
        <f aca="false">IF(D1258="","",MAX(0,IF(P1258&gt;=0,P1258,IF(K1258+P1258&gt;=0,0,P1258+K1258))))</f>
        <v>12.8295871915021</v>
      </c>
      <c r="AA1258" s="18" t="n">
        <f aca="false">IF(D1258="","",IF(H1258&lt;=$B$16,1,IF(H1258&gt;=$B$17,$B$21,MATCH(H1258,Aux_CAV!$A$2:$A$121,1))))</f>
        <v>6</v>
      </c>
      <c r="AB1258" s="18" t="n">
        <f aca="false">IF(D1258="","",IF(L1258&lt;=$B$16,1,IF(L1258&gt;=$B$17,$B$21,MATCH(L1258,Aux_CAV!$A$2:$A$121,1))))</f>
        <v>6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0.00268407214582607</v>
      </c>
      <c r="E1259" s="16" t="n">
        <f aca="false">IF(D1259="","",D1259*$B$15)</f>
        <v>0.00695711500198117</v>
      </c>
      <c r="F1259" s="16" t="n">
        <f aca="false" t="array" ref="F1259:F1259">IF(D1259="","",IFERROR(INDEX(Dados_Evap!$C$2:$N$15,MATCH($B$9,Dados_Evap!$A$2:$A$15,0),C1259),0))</f>
        <v>206</v>
      </c>
      <c r="G1259" s="16" t="n">
        <f aca="false">IF(F1259="","",F1259/1000)</f>
        <v>0.206</v>
      </c>
      <c r="H1259" s="16" t="n">
        <f aca="false">IF(D1259="","",MAX(0,MIN($B$8,IFERROR(LOOKUP(2,1/($U$24:U1258&lt;&gt;""),$U$24:U1258),$B$11))))</f>
        <v>12.8295871915021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1.02172586437719</v>
      </c>
      <c r="J1259" s="16" t="n">
        <f aca="false">IF(D1259="","",$B$12)</f>
        <v>0.25</v>
      </c>
      <c r="K1259" s="16" t="n">
        <f aca="false">IF(J1259="","",J1259*$B$15)</f>
        <v>0.648</v>
      </c>
      <c r="L1259" s="16" t="n">
        <f aca="false">IF(D1259="","",H1259+E1259-K1259-G1259*I1259)</f>
        <v>11.9780687784424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0.99436137851327</v>
      </c>
      <c r="N1259" s="16" t="n">
        <f aca="false">IF(D1259="","",(I1259+M1259)/2)</f>
        <v>1.00804362144523</v>
      </c>
      <c r="O1259" s="16" t="n">
        <f aca="false">IF(D1259="","",G1259*N1259)</f>
        <v>0.207656986017718</v>
      </c>
      <c r="P1259" s="16" t="n">
        <f aca="false">IF(D1259="","",H1259+E1259-K1259-O1259)</f>
        <v>11.9808873204863</v>
      </c>
      <c r="Q1259" s="16" t="n">
        <f aca="false">IF(D1259="","",IF(P1259&gt;=0,K1259,MAX(0,K1259+P1259)))</f>
        <v>0.648</v>
      </c>
      <c r="R1259" s="16" t="n">
        <f aca="false">IF(D1259="","",Q1259/$B$15)</f>
        <v>0.25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11.9808873204863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56.2482972792786</v>
      </c>
      <c r="Z1259" s="18" t="n">
        <f aca="false">IF(D1259="","",MAX(0,IF(P1259&gt;=0,P1259,IF(K1259+P1259&gt;=0,0,P1259+K1259))))</f>
        <v>11.9808873204863</v>
      </c>
      <c r="AA1259" s="18" t="n">
        <f aca="false">IF(D1259="","",IF(H1259&lt;=$B$16,1,IF(H1259&gt;=$B$17,$B$21,MATCH(H1259,Aux_CAV!$A$2:$A$121,1))))</f>
        <v>6</v>
      </c>
      <c r="AB1259" s="18" t="n">
        <f aca="false">IF(D1259="","",IF(L1259&lt;=$B$16,1,IF(L1259&gt;=$B$17,$B$21,MATCH(L1259,Aux_CAV!$A$2:$A$121,1))))</f>
        <v>6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0.0141908390283373</v>
      </c>
      <c r="E1260" s="16" t="n">
        <f aca="false">IF(D1260="","",D1260*$B$15)</f>
        <v>0.0367826547614503</v>
      </c>
      <c r="F1260" s="16" t="n">
        <f aca="false" t="array" ref="F1260:F1260">IF(D1260="","",IFERROR(INDEX(Dados_Evap!$C$2:$N$15,MATCH($B$9,Dados_Evap!$A$2:$A$15,0),C1260),0))</f>
        <v>165.6</v>
      </c>
      <c r="G1260" s="16" t="n">
        <f aca="false">IF(F1260="","",F1260/1000)</f>
        <v>0.1656</v>
      </c>
      <c r="H1260" s="16" t="n">
        <f aca="false">IF(D1260="","",MAX(0,MIN($B$8,IFERROR(LOOKUP(2,1/($U$24:U1259&lt;&gt;""),$U$24:U1259),$B$11))))</f>
        <v>11.9808873204863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0.994451955478767</v>
      </c>
      <c r="J1260" s="16" t="n">
        <f aca="false">IF(D1260="","",$B$12)</f>
        <v>0.25</v>
      </c>
      <c r="K1260" s="16" t="n">
        <f aca="false">IF(J1260="","",J1260*$B$15)</f>
        <v>0.648</v>
      </c>
      <c r="L1260" s="16" t="n">
        <f aca="false">IF(D1260="","",H1260+E1260-K1260-G1260*I1260)</f>
        <v>11.2049887314205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0.969501838432096</v>
      </c>
      <c r="N1260" s="16" t="n">
        <f aca="false">IF(D1260="","",(I1260+M1260)/2)</f>
        <v>0.981976896955432</v>
      </c>
      <c r="O1260" s="16" t="n">
        <f aca="false">IF(D1260="","",G1260*N1260)</f>
        <v>0.162615374135819</v>
      </c>
      <c r="P1260" s="16" t="n">
        <f aca="false">IF(D1260="","",H1260+E1260-K1260-O1260)</f>
        <v>11.207054601112</v>
      </c>
      <c r="Q1260" s="16" t="n">
        <f aca="false">IF(D1260="","",IF(P1260&gt;=0,K1260,MAX(0,K1260+P1260)))</f>
        <v>0.648</v>
      </c>
      <c r="R1260" s="16" t="n">
        <f aca="false">IF(D1260="","",Q1260/$B$15)</f>
        <v>0.25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11.207054601112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52.6152798174271</v>
      </c>
      <c r="Z1260" s="18" t="n">
        <f aca="false">IF(D1260="","",MAX(0,IF(P1260&gt;=0,P1260,IF(K1260+P1260&gt;=0,0,P1260+K1260))))</f>
        <v>11.207054601112</v>
      </c>
      <c r="AA1260" s="18" t="n">
        <f aca="false">IF(D1260="","",IF(H1260&lt;=$B$16,1,IF(H1260&gt;=$B$17,$B$21,MATCH(H1260,Aux_CAV!$A$2:$A$121,1))))</f>
        <v>6</v>
      </c>
      <c r="AB1260" s="18" t="n">
        <f aca="false">IF(D1260="","",IF(L1260&lt;=$B$16,1,IF(L1260&gt;=$B$17,$B$21,MATCH(L1260,Aux_CAV!$A$2:$A$121,1))))</f>
        <v>5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0.0776018326107574</v>
      </c>
      <c r="E1261" s="16" t="n">
        <f aca="false">IF(D1261="","",D1261*$B$15)</f>
        <v>0.201143950127083</v>
      </c>
      <c r="F1261" s="16" t="n">
        <f aca="false" t="array" ref="F1261:F1261">IF(D1261="","",IFERROR(INDEX(Dados_Evap!$C$2:$N$15,MATCH($B$9,Dados_Evap!$A$2:$A$15,0),C1261),0))</f>
        <v>124.9</v>
      </c>
      <c r="G1261" s="16" t="n">
        <f aca="false">IF(F1261="","",F1261/1000)</f>
        <v>0.1249</v>
      </c>
      <c r="H1261" s="16" t="n">
        <f aca="false">IF(D1261="","",MAX(0,MIN($B$8,IFERROR(LOOKUP(2,1/($U$24:U1260&lt;&gt;""),$U$24:U1260),$B$11))))</f>
        <v>11.207054601112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0.969570396054601</v>
      </c>
      <c r="J1261" s="16" t="n">
        <f aca="false">IF(D1261="","",$B$12)</f>
        <v>0.25</v>
      </c>
      <c r="K1261" s="16" t="n">
        <f aca="false">IF(J1261="","",J1261*$B$15)</f>
        <v>0.648</v>
      </c>
      <c r="L1261" s="16" t="n">
        <f aca="false">IF(D1261="","",H1261+E1261-K1261-G1261*I1261)</f>
        <v>10.6390992087718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0.950722318875171</v>
      </c>
      <c r="N1261" s="16" t="n">
        <f aca="false">IF(D1261="","",(I1261+M1261)/2)</f>
        <v>0.960146357464886</v>
      </c>
      <c r="O1261" s="16" t="n">
        <f aca="false">IF(D1261="","",G1261*N1261)</f>
        <v>0.119922280047364</v>
      </c>
      <c r="P1261" s="16" t="n">
        <f aca="false">IF(D1261="","",H1261+E1261-K1261-O1261)</f>
        <v>10.6402762711917</v>
      </c>
      <c r="Q1261" s="16" t="n">
        <f aca="false">IF(D1261="","",IF(P1261&gt;=0,K1261,MAX(0,K1261+P1261)))</f>
        <v>0.648</v>
      </c>
      <c r="R1261" s="16" t="n">
        <f aca="false">IF(D1261="","",Q1261/$B$15)</f>
        <v>0.25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10.6402762711917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49.9543486910408</v>
      </c>
      <c r="Z1261" s="18" t="n">
        <f aca="false">IF(D1261="","",MAX(0,IF(P1261&gt;=0,P1261,IF(K1261+P1261&gt;=0,0,P1261+K1261))))</f>
        <v>10.6402762711917</v>
      </c>
      <c r="AA1261" s="18" t="n">
        <f aca="false">IF(D1261="","",IF(H1261&lt;=$B$16,1,IF(H1261&gt;=$B$17,$B$21,MATCH(H1261,Aux_CAV!$A$2:$A$121,1))))</f>
        <v>5</v>
      </c>
      <c r="AB1261" s="18" t="n">
        <f aca="false">IF(D1261="","",IF(L1261&lt;=$B$16,1,IF(L1261&gt;=$B$17,$B$21,MATCH(L1261,Aux_CAV!$A$2:$A$121,1))))</f>
        <v>5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0.128133205365307</v>
      </c>
      <c r="E1262" s="16" t="n">
        <f aca="false">IF(D1262="","",D1262*$B$15)</f>
        <v>0.332121268306876</v>
      </c>
      <c r="F1262" s="16" t="n">
        <f aca="false" t="array" ref="F1262:F1262">IF(D1262="","",IFERROR(INDEX(Dados_Evap!$C$2:$N$15,MATCH($B$9,Dados_Evap!$A$2:$A$15,0),C1262),0))</f>
        <v>88.2</v>
      </c>
      <c r="G1262" s="16" t="n">
        <f aca="false">IF(F1262="","",F1262/1000)</f>
        <v>0.0882</v>
      </c>
      <c r="H1262" s="16" t="n">
        <f aca="false">IF(D1262="","",MAX(0,MIN($B$8,IFERROR(LOOKUP(2,1/($U$24:U1261&lt;&gt;""),$U$24:U1261),$B$11))))</f>
        <v>10.6402762711917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0.95076138068114</v>
      </c>
      <c r="J1262" s="16" t="n">
        <f aca="false">IF(D1262="","",$B$12)</f>
        <v>0.25</v>
      </c>
      <c r="K1262" s="16" t="n">
        <f aca="false">IF(J1262="","",J1262*$B$15)</f>
        <v>0.648</v>
      </c>
      <c r="L1262" s="16" t="n">
        <f aca="false">IF(D1262="","",H1262+E1262-K1262-G1262*I1262)</f>
        <v>10.2405403857225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0.937495809260702</v>
      </c>
      <c r="N1262" s="16" t="n">
        <f aca="false">IF(D1262="","",(I1262+M1262)/2)</f>
        <v>0.944128594970921</v>
      </c>
      <c r="O1262" s="16" t="n">
        <f aca="false">IF(D1262="","",G1262*N1262)</f>
        <v>0.0832721420764352</v>
      </c>
      <c r="P1262" s="16" t="n">
        <f aca="false">IF(D1262="","",H1262+E1262-K1262-O1262)</f>
        <v>10.2411253974221</v>
      </c>
      <c r="Q1262" s="16" t="n">
        <f aca="false">IF(D1262="","",IF(P1262&gt;=0,K1262,MAX(0,K1262+P1262)))</f>
        <v>0.648</v>
      </c>
      <c r="R1262" s="16" t="n">
        <f aca="false">IF(D1262="","",Q1262/$B$15)</f>
        <v>0.25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10.2411253974221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48.0804009268645</v>
      </c>
      <c r="Z1262" s="18" t="n">
        <f aca="false">IF(D1262="","",MAX(0,IF(P1262&gt;=0,P1262,IF(K1262+P1262&gt;=0,0,P1262+K1262))))</f>
        <v>10.2411253974221</v>
      </c>
      <c r="AA1262" s="18" t="n">
        <f aca="false">IF(D1262="","",IF(H1262&lt;=$B$16,1,IF(H1262&gt;=$B$17,$B$21,MATCH(H1262,Aux_CAV!$A$2:$A$121,1))))</f>
        <v>5</v>
      </c>
      <c r="AB1262" s="18" t="n">
        <f aca="false">IF(D1262="","",IF(L1262&lt;=$B$16,1,IF(L1262&gt;=$B$17,$B$21,MATCH(L1262,Aux_CAV!$A$2:$A$121,1))))</f>
        <v>5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0.565914621744014</v>
      </c>
      <c r="E1263" s="16" t="n">
        <f aca="false">IF(D1263="","",D1263*$B$15)</f>
        <v>1.46685069956048</v>
      </c>
      <c r="F1263" s="16" t="n">
        <f aca="false" t="array" ref="F1263:F1263">IF(D1263="","",IFERROR(INDEX(Dados_Evap!$C$2:$N$15,MATCH($B$9,Dados_Evap!$A$2:$A$15,0),C1263),0))</f>
        <v>88.2</v>
      </c>
      <c r="G1263" s="16" t="n">
        <f aca="false">IF(F1263="","",F1263/1000)</f>
        <v>0.0882</v>
      </c>
      <c r="H1263" s="16" t="n">
        <f aca="false">IF(D1263="","",MAX(0,MIN($B$8,IFERROR(LOOKUP(2,1/($U$24:U1262&lt;&gt;""),$U$24:U1262),$B$11))))</f>
        <v>10.2411253974221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0.937515223365779</v>
      </c>
      <c r="J1263" s="16" t="n">
        <f aca="false">IF(D1263="","",$B$12)</f>
        <v>0.25</v>
      </c>
      <c r="K1263" s="16" t="n">
        <f aca="false">IF(J1263="","",J1263*$B$15)</f>
        <v>0.648</v>
      </c>
      <c r="L1263" s="16" t="n">
        <f aca="false">IF(D1263="","",H1263+E1263-K1263-G1263*I1263)</f>
        <v>10.9772872542818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0.961945373482801</v>
      </c>
      <c r="N1263" s="16" t="n">
        <f aca="false">IF(D1263="","",(I1263+M1263)/2)</f>
        <v>0.94973029842429</v>
      </c>
      <c r="O1263" s="16" t="n">
        <f aca="false">IF(D1263="","",G1263*N1263)</f>
        <v>0.0837662123210224</v>
      </c>
      <c r="P1263" s="16" t="n">
        <f aca="false">IF(D1263="","",H1263+E1263-K1263-O1263)</f>
        <v>10.9762098846616</v>
      </c>
      <c r="Q1263" s="16" t="n">
        <f aca="false">IF(D1263="","",IF(P1263&gt;=0,K1263,MAX(0,K1263+P1263)))</f>
        <v>0.648</v>
      </c>
      <c r="R1263" s="16" t="n">
        <f aca="false">IF(D1263="","",Q1263/$B$15)</f>
        <v>0.25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10.9762098846616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51.531501805923</v>
      </c>
      <c r="Z1263" s="18" t="n">
        <f aca="false">IF(D1263="","",MAX(0,IF(P1263&gt;=0,P1263,IF(K1263+P1263&gt;=0,0,P1263+K1263))))</f>
        <v>10.9762098846616</v>
      </c>
      <c r="AA1263" s="18" t="n">
        <f aca="false">IF(D1263="","",IF(H1263&lt;=$B$16,1,IF(H1263&gt;=$B$17,$B$21,MATCH(H1263,Aux_CAV!$A$2:$A$121,1))))</f>
        <v>5</v>
      </c>
      <c r="AB1263" s="18" t="n">
        <f aca="false">IF(D1263="","",IF(L1263&lt;=$B$16,1,IF(L1263&gt;=$B$17,$B$21,MATCH(L1263,Aux_CAV!$A$2:$A$121,1))))</f>
        <v>5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0.576332091751176</v>
      </c>
      <c r="E1264" s="16" t="n">
        <f aca="false">IF(D1264="","",D1264*$B$15)</f>
        <v>1.49385278181905</v>
      </c>
      <c r="F1264" s="16" t="n">
        <f aca="false" t="array" ref="F1264:F1264">IF(D1264="","",IFERROR(INDEX(Dados_Evap!$C$2:$N$15,MATCH($B$9,Dados_Evap!$A$2:$A$15,0),C1264),0))</f>
        <v>83.9</v>
      </c>
      <c r="G1264" s="16" t="n">
        <f aca="false">IF(F1264="","",F1264/1000)</f>
        <v>0.0839</v>
      </c>
      <c r="H1264" s="16" t="n">
        <f aca="false">IF(D1264="","",MAX(0,MIN($B$8,IFERROR(LOOKUP(2,1/($U$24:U1263&lt;&gt;""),$U$24:U1263),$B$11))))</f>
        <v>10.9762098846616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0.961909620066203</v>
      </c>
      <c r="J1264" s="16" t="n">
        <f aca="false">IF(D1264="","",$B$12)</f>
        <v>0.25</v>
      </c>
      <c r="K1264" s="16" t="n">
        <f aca="false">IF(J1264="","",J1264*$B$15)</f>
        <v>0.648</v>
      </c>
      <c r="L1264" s="16" t="n">
        <f aca="false">IF(D1264="","",H1264+E1264-K1264-G1264*I1264)</f>
        <v>11.7413584493571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0.986754430319604</v>
      </c>
      <c r="N1264" s="16" t="n">
        <f aca="false">IF(D1264="","",(I1264+M1264)/2)</f>
        <v>0.974332025192904</v>
      </c>
      <c r="O1264" s="16" t="n">
        <f aca="false">IF(D1264="","",G1264*N1264)</f>
        <v>0.0817464569136846</v>
      </c>
      <c r="P1264" s="16" t="n">
        <f aca="false">IF(D1264="","",H1264+E1264-K1264-O1264)</f>
        <v>11.740316209567</v>
      </c>
      <c r="Q1264" s="16" t="n">
        <f aca="false">IF(D1264="","",IF(P1264&gt;=0,K1264,MAX(0,K1264+P1264)))</f>
        <v>0.648</v>
      </c>
      <c r="R1264" s="16" t="n">
        <f aca="false">IF(D1264="","",Q1264/$B$15)</f>
        <v>0.25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11.740316209567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55.1188554439763</v>
      </c>
      <c r="Z1264" s="18" t="n">
        <f aca="false">IF(D1264="","",MAX(0,IF(P1264&gt;=0,P1264,IF(K1264+P1264&gt;=0,0,P1264+K1264))))</f>
        <v>11.740316209567</v>
      </c>
      <c r="AA1264" s="18" t="n">
        <f aca="false">IF(D1264="","",IF(H1264&lt;=$B$16,1,IF(H1264&gt;=$B$17,$B$21,MATCH(H1264,Aux_CAV!$A$2:$A$121,1))))</f>
        <v>5</v>
      </c>
      <c r="AB1264" s="18" t="n">
        <f aca="false">IF(D1264="","",IF(L1264&lt;=$B$16,1,IF(L1264&gt;=$B$17,$B$21,MATCH(L1264,Aux_CAV!$A$2:$A$121,1))))</f>
        <v>6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0.475594108390561</v>
      </c>
      <c r="E1265" s="16" t="n">
        <f aca="false">IF(D1265="","",D1265*$B$15)</f>
        <v>1.23273992894833</v>
      </c>
      <c r="F1265" s="16" t="n">
        <f aca="false" t="array" ref="F1265:F1265">IF(D1265="","",IFERROR(INDEX(Dados_Evap!$C$2:$N$15,MATCH($B$9,Dados_Evap!$A$2:$A$15,0),C1265),0))</f>
        <v>104.7</v>
      </c>
      <c r="G1265" s="16" t="n">
        <f aca="false">IF(F1265="","",F1265/1000)</f>
        <v>0.1047</v>
      </c>
      <c r="H1265" s="16" t="n">
        <f aca="false">IF(D1265="","",MAX(0,MIN($B$8,IFERROR(LOOKUP(2,1/($U$24:U1264&lt;&gt;""),$U$24:U1264),$B$11))))</f>
        <v>11.740316209567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0.986720936791377</v>
      </c>
      <c r="J1265" s="16" t="n">
        <f aca="false">IF(D1265="","",$B$12)</f>
        <v>0.25</v>
      </c>
      <c r="K1265" s="16" t="n">
        <f aca="false">IF(J1265="","",J1265*$B$15)</f>
        <v>0.648</v>
      </c>
      <c r="L1265" s="16" t="n">
        <f aca="false">IF(D1265="","",H1265+E1265-K1265-G1265*I1265)</f>
        <v>12.2217464564332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1.00219223016893</v>
      </c>
      <c r="N1265" s="16" t="n">
        <f aca="false">IF(D1265="","",(I1265+M1265)/2)</f>
        <v>0.994456583480154</v>
      </c>
      <c r="O1265" s="16" t="n">
        <f aca="false">IF(D1265="","",G1265*N1265)</f>
        <v>0.104119604290372</v>
      </c>
      <c r="P1265" s="16" t="n">
        <f aca="false">IF(D1265="","",H1265+E1265-K1265-O1265)</f>
        <v>12.2209365342249</v>
      </c>
      <c r="Q1265" s="16" t="n">
        <f aca="false">IF(D1265="","",IF(P1265&gt;=0,K1265,MAX(0,K1265+P1265)))</f>
        <v>0.648</v>
      </c>
      <c r="R1265" s="16" t="n">
        <f aca="false">IF(D1265="","",Q1265/$B$15)</f>
        <v>0.25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12.2209365342249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57.3752888930747</v>
      </c>
      <c r="Z1265" s="18" t="n">
        <f aca="false">IF(D1265="","",MAX(0,IF(P1265&gt;=0,P1265,IF(K1265+P1265&gt;=0,0,P1265+K1265))))</f>
        <v>12.2209365342249</v>
      </c>
      <c r="AA1265" s="18" t="n">
        <f aca="false">IF(D1265="","",IF(H1265&lt;=$B$16,1,IF(H1265&gt;=$B$17,$B$21,MATCH(H1265,Aux_CAV!$A$2:$A$121,1))))</f>
        <v>6</v>
      </c>
      <c r="AB1265" s="18" t="n">
        <f aca="false">IF(D1265="","",IF(L1265&lt;=$B$16,1,IF(L1265&gt;=$B$17,$B$21,MATCH(L1265,Aux_CAV!$A$2:$A$121,1))))</f>
        <v>6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0.232680591556228</v>
      </c>
      <c r="E1266" s="16" t="n">
        <f aca="false">IF(D1266="","",D1266*$B$15)</f>
        <v>0.603108093313743</v>
      </c>
      <c r="F1266" s="16" t="n">
        <f aca="false" t="array" ref="F1266:F1266">IF(D1266="","",IFERROR(INDEX(Dados_Evap!$C$2:$N$15,MATCH($B$9,Dados_Evap!$A$2:$A$15,0),C1266),0))</f>
        <v>145.2</v>
      </c>
      <c r="G1266" s="16" t="n">
        <f aca="false">IF(F1266="","",F1266/1000)</f>
        <v>0.1452</v>
      </c>
      <c r="H1266" s="16" t="n">
        <f aca="false">IF(D1266="","",MAX(0,MIN($B$8,IFERROR(LOOKUP(2,1/($U$24:U1265&lt;&gt;""),$U$24:U1265),$B$11))))</f>
        <v>12.2209365342249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1.00216620242311</v>
      </c>
      <c r="J1266" s="16" t="n">
        <f aca="false">IF(D1266="","",$B$12)</f>
        <v>0.25</v>
      </c>
      <c r="K1266" s="16" t="n">
        <f aca="false">IF(J1266="","",J1266*$B$15)</f>
        <v>0.648</v>
      </c>
      <c r="L1266" s="16" t="n">
        <f aca="false">IF(D1266="","",H1266+E1266-K1266-G1266*I1266)</f>
        <v>12.0305300949468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0.996047280934019</v>
      </c>
      <c r="N1266" s="16" t="n">
        <f aca="false">IF(D1266="","",(I1266+M1266)/2)</f>
        <v>0.999106741678563</v>
      </c>
      <c r="O1266" s="16" t="n">
        <f aca="false">IF(D1266="","",G1266*N1266)</f>
        <v>0.145070298891727</v>
      </c>
      <c r="P1266" s="16" t="n">
        <f aca="false">IF(D1266="","",H1266+E1266-K1266-O1266)</f>
        <v>12.0309743286469</v>
      </c>
      <c r="Q1266" s="16" t="n">
        <f aca="false">IF(D1266="","",IF(P1266&gt;=0,K1266,MAX(0,K1266+P1266)))</f>
        <v>0.648</v>
      </c>
      <c r="R1266" s="16" t="n">
        <f aca="false">IF(D1266="","",Q1266/$B$15)</f>
        <v>0.25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12.0309743286469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56.483447552333</v>
      </c>
      <c r="Z1266" s="18" t="n">
        <f aca="false">IF(D1266="","",MAX(0,IF(P1266&gt;=0,P1266,IF(K1266+P1266&gt;=0,0,P1266+K1266))))</f>
        <v>12.0309743286469</v>
      </c>
      <c r="AA1266" s="18" t="n">
        <f aca="false">IF(D1266="","",IF(H1266&lt;=$B$16,1,IF(H1266&gt;=$B$17,$B$21,MATCH(H1266,Aux_CAV!$A$2:$A$121,1))))</f>
        <v>6</v>
      </c>
      <c r="AB1266" s="18" t="n">
        <f aca="false">IF(D1266="","",IF(L1266&lt;=$B$16,1,IF(L1266&gt;=$B$17,$B$21,MATCH(L1266,Aux_CAV!$A$2:$A$121,1))))</f>
        <v>6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0.0601056463997391</v>
      </c>
      <c r="E1267" s="16" t="n">
        <f aca="false">IF(D1267="","",D1267*$B$15)</f>
        <v>0.155793835468124</v>
      </c>
      <c r="F1267" s="16" t="n">
        <f aca="false" t="array" ref="F1267:F1267">IF(D1267="","",IFERROR(INDEX(Dados_Evap!$C$2:$N$15,MATCH($B$9,Dados_Evap!$A$2:$A$15,0),C1267),0))</f>
        <v>180.9</v>
      </c>
      <c r="G1267" s="16" t="n">
        <f aca="false">IF(F1267="","",F1267/1000)</f>
        <v>0.1809</v>
      </c>
      <c r="H1267" s="16" t="n">
        <f aca="false">IF(D1267="","",MAX(0,MIN($B$8,IFERROR(LOOKUP(2,1/($U$24:U1266&lt;&gt;""),$U$24:U1266),$B$11))))</f>
        <v>12.0309743286469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0.996061556875232</v>
      </c>
      <c r="J1267" s="16" t="n">
        <f aca="false">IF(D1267="","",$B$12)</f>
        <v>0.25</v>
      </c>
      <c r="K1267" s="16" t="n">
        <f aca="false">IF(J1267="","",J1267*$B$15)</f>
        <v>0.648</v>
      </c>
      <c r="L1267" s="16" t="n">
        <f aca="false">IF(D1267="","",H1267+E1267-K1267-G1267*I1267)</f>
        <v>11.3585806284763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0.974453441746876</v>
      </c>
      <c r="N1267" s="16" t="n">
        <f aca="false">IF(D1267="","",(I1267+M1267)/2)</f>
        <v>0.985257499311054</v>
      </c>
      <c r="O1267" s="16" t="n">
        <f aca="false">IF(D1267="","",G1267*N1267)</f>
        <v>0.17823308162537</v>
      </c>
      <c r="P1267" s="16" t="n">
        <f aca="false">IF(D1267="","",H1267+E1267-K1267-O1267)</f>
        <v>11.3605350824897</v>
      </c>
      <c r="Q1267" s="16" t="n">
        <f aca="false">IF(D1267="","",IF(P1267&gt;=0,K1267,MAX(0,K1267+P1267)))</f>
        <v>0.648</v>
      </c>
      <c r="R1267" s="16" t="n">
        <f aca="false">IF(D1267="","",Q1267/$B$15)</f>
        <v>0.25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11.3605350824897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53.3358454576981</v>
      </c>
      <c r="Z1267" s="18" t="n">
        <f aca="false">IF(D1267="","",MAX(0,IF(P1267&gt;=0,P1267,IF(K1267+P1267&gt;=0,0,P1267+K1267))))</f>
        <v>11.3605350824897</v>
      </c>
      <c r="AA1267" s="18" t="n">
        <f aca="false">IF(D1267="","",IF(H1267&lt;=$B$16,1,IF(H1267&gt;=$B$17,$B$21,MATCH(H1267,Aux_CAV!$A$2:$A$121,1))))</f>
        <v>6</v>
      </c>
      <c r="AB1267" s="18" t="n">
        <f aca="false">IF(D1267="","",IF(L1267&lt;=$B$16,1,IF(L1267&gt;=$B$17,$B$21,MATCH(L1267,Aux_CAV!$A$2:$A$121,1))))</f>
        <v>6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0.0413425651030122</v>
      </c>
      <c r="E1268" s="16" t="n">
        <f aca="false">IF(D1268="","",D1268*$B$15)</f>
        <v>0.107159928747008</v>
      </c>
      <c r="F1268" s="16" t="n">
        <f aca="false" t="array" ref="F1268:F1268">IF(D1268="","",IFERROR(INDEX(Dados_Evap!$C$2:$N$15,MATCH($B$9,Dados_Evap!$A$2:$A$15,0),C1268),0))</f>
        <v>208.9</v>
      </c>
      <c r="G1268" s="16" t="n">
        <f aca="false">IF(F1268="","",F1268/1000)</f>
        <v>0.2089</v>
      </c>
      <c r="H1268" s="16" t="n">
        <f aca="false">IF(D1268="","",MAX(0,MIN($B$8,IFERROR(LOOKUP(2,1/($U$24:U1267&lt;&gt;""),$U$24:U1267),$B$11))))</f>
        <v>11.3605350824897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0.974516250287948</v>
      </c>
      <c r="J1268" s="16" t="n">
        <f aca="false">IF(D1268="","",$B$12)</f>
        <v>0.25</v>
      </c>
      <c r="K1268" s="16" t="n">
        <f aca="false">IF(J1268="","",J1268*$B$15)</f>
        <v>0.648</v>
      </c>
      <c r="L1268" s="16" t="n">
        <f aca="false">IF(D1268="","",H1268+E1268-K1268-G1268*I1268)</f>
        <v>10.6161185665515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0.949959686943082</v>
      </c>
      <c r="N1268" s="16" t="n">
        <f aca="false">IF(D1268="","",(I1268+M1268)/2)</f>
        <v>0.962237968615515</v>
      </c>
      <c r="O1268" s="16" t="n">
        <f aca="false">IF(D1268="","",G1268*N1268)</f>
        <v>0.201011511643781</v>
      </c>
      <c r="P1268" s="16" t="n">
        <f aca="false">IF(D1268="","",H1268+E1268-K1268-O1268)</f>
        <v>10.6186834995929</v>
      </c>
      <c r="Q1268" s="16" t="n">
        <f aca="false">IF(D1268="","",IF(P1268&gt;=0,K1268,MAX(0,K1268+P1268)))</f>
        <v>0.648</v>
      </c>
      <c r="R1268" s="16" t="n">
        <f aca="false">IF(D1268="","",Q1268/$B$15)</f>
        <v>0.25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10.6186834995929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49.8529741764926</v>
      </c>
      <c r="Z1268" s="18" t="n">
        <f aca="false">IF(D1268="","",MAX(0,IF(P1268&gt;=0,P1268,IF(K1268+P1268&gt;=0,0,P1268+K1268))))</f>
        <v>10.6186834995929</v>
      </c>
      <c r="AA1268" s="18" t="n">
        <f aca="false">IF(D1268="","",IF(H1268&lt;=$B$16,1,IF(H1268&gt;=$B$17,$B$21,MATCH(H1268,Aux_CAV!$A$2:$A$121,1))))</f>
        <v>6</v>
      </c>
      <c r="AB1268" s="18" t="n">
        <f aca="false">IF(D1268="","",IF(L1268&lt;=$B$16,1,IF(L1268&gt;=$B$17,$B$21,MATCH(L1268,Aux_CAV!$A$2:$A$121,1))))</f>
        <v>5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0.0256408165248901</v>
      </c>
      <c r="E1269" s="16" t="n">
        <f aca="false">IF(D1269="","",D1269*$B$15)</f>
        <v>0.0664609964325151</v>
      </c>
      <c r="F1269" s="16" t="n">
        <f aca="false" t="array" ref="F1269:F1269">IF(D1269="","",IFERROR(INDEX(Dados_Evap!$C$2:$N$15,MATCH($B$9,Dados_Evap!$A$2:$A$15,0),C1269),0))</f>
        <v>235.9</v>
      </c>
      <c r="G1269" s="16" t="n">
        <f aca="false">IF(F1269="","",F1269/1000)</f>
        <v>0.2359</v>
      </c>
      <c r="H1269" s="16" t="n">
        <f aca="false">IF(D1269="","",MAX(0,MIN($B$8,IFERROR(LOOKUP(2,1/($U$24:U1268&lt;&gt;""),$U$24:U1268),$B$11))))</f>
        <v>10.6186834995929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0.95004480640242</v>
      </c>
      <c r="J1269" s="16" t="n">
        <f aca="false">IF(D1269="","",$B$12)</f>
        <v>0.25</v>
      </c>
      <c r="K1269" s="16" t="n">
        <f aca="false">IF(J1269="","",J1269*$B$15)</f>
        <v>0.648</v>
      </c>
      <c r="L1269" s="16" t="n">
        <f aca="false">IF(D1269="","",H1269+E1269-K1269-G1269*I1269)</f>
        <v>9.8130289261951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0.923308482063997</v>
      </c>
      <c r="N1269" s="16" t="n">
        <f aca="false">IF(D1269="","",(I1269+M1269)/2)</f>
        <v>0.936676644233208</v>
      </c>
      <c r="O1269" s="16" t="n">
        <f aca="false">IF(D1269="","",G1269*N1269)</f>
        <v>0.220962020374614</v>
      </c>
      <c r="P1269" s="16" t="n">
        <f aca="false">IF(D1269="","",H1269+E1269-K1269-O1269)</f>
        <v>9.81618247565082</v>
      </c>
      <c r="Q1269" s="16" t="n">
        <f aca="false">IF(D1269="","",IF(P1269&gt;=0,K1269,MAX(0,K1269+P1269)))</f>
        <v>0.648</v>
      </c>
      <c r="R1269" s="16" t="n">
        <f aca="false">IF(D1269="","",Q1269/$B$15)</f>
        <v>0.25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9.81618247565082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46.0853637354498</v>
      </c>
      <c r="Z1269" s="18" t="n">
        <f aca="false">IF(D1269="","",MAX(0,IF(P1269&gt;=0,P1269,IF(K1269+P1269&gt;=0,0,P1269+K1269))))</f>
        <v>9.81618247565082</v>
      </c>
      <c r="AA1269" s="18" t="n">
        <f aca="false">IF(D1269="","",IF(H1269&lt;=$B$16,1,IF(H1269&gt;=$B$17,$B$21,MATCH(H1269,Aux_CAV!$A$2:$A$121,1))))</f>
        <v>5</v>
      </c>
      <c r="AB1269" s="18" t="n">
        <f aca="false">IF(D1269="","",IF(L1269&lt;=$B$16,1,IF(L1269&gt;=$B$17,$B$21,MATCH(L1269,Aux_CAV!$A$2:$A$121,1))))</f>
        <v>5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0.0263050380512181</v>
      </c>
      <c r="E1270" s="16" t="n">
        <f aca="false">IF(D1270="","",D1270*$B$15)</f>
        <v>0.0681826586287573</v>
      </c>
      <c r="F1270" s="16" t="n">
        <f aca="false" t="array" ref="F1270:F1270">IF(D1270="","",IFERROR(INDEX(Dados_Evap!$C$2:$N$15,MATCH($B$9,Dados_Evap!$A$2:$A$15,0),C1270),0))</f>
        <v>225.9</v>
      </c>
      <c r="G1270" s="16" t="n">
        <f aca="false">IF(F1270="","",F1270/1000)</f>
        <v>0.2259</v>
      </c>
      <c r="H1270" s="16" t="n">
        <f aca="false">IF(D1270="","",MAX(0,MIN($B$8,IFERROR(LOOKUP(2,1/($U$24:U1269&lt;&gt;""),$U$24:U1269),$B$11))))</f>
        <v>9.81618247565082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0.923413135253899</v>
      </c>
      <c r="J1270" s="16" t="n">
        <f aca="false">IF(D1270="","",$B$12)</f>
        <v>0.25</v>
      </c>
      <c r="K1270" s="16" t="n">
        <f aca="false">IF(J1270="","",J1270*$B$15)</f>
        <v>0.648</v>
      </c>
      <c r="L1270" s="16" t="n">
        <f aca="false">IF(D1270="","",H1270+E1270-K1270-G1270*I1270)</f>
        <v>9.02776610702572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0.897248875233154</v>
      </c>
      <c r="N1270" s="16" t="n">
        <f aca="false">IF(D1270="","",(I1270+M1270)/2)</f>
        <v>0.910331005243527</v>
      </c>
      <c r="O1270" s="16" t="n">
        <f aca="false">IF(D1270="","",G1270*N1270)</f>
        <v>0.205643774084513</v>
      </c>
      <c r="P1270" s="16" t="n">
        <f aca="false">IF(D1270="","",H1270+E1270-K1270-O1270)</f>
        <v>9.03072136019506</v>
      </c>
      <c r="Q1270" s="16" t="n">
        <f aca="false">IF(D1270="","",IF(P1270&gt;=0,K1270,MAX(0,K1270+P1270)))</f>
        <v>0.648</v>
      </c>
      <c r="R1270" s="16" t="n">
        <f aca="false">IF(D1270="","",Q1270/$B$15)</f>
        <v>0.25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9.03072136019506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42.3977528647655</v>
      </c>
      <c r="Z1270" s="18" t="n">
        <f aca="false">IF(D1270="","",MAX(0,IF(P1270&gt;=0,P1270,IF(K1270+P1270&gt;=0,0,P1270+K1270))))</f>
        <v>9.03072136019506</v>
      </c>
      <c r="AA1270" s="18" t="n">
        <f aca="false">IF(D1270="","",IF(H1270&lt;=$B$16,1,IF(H1270&gt;=$B$17,$B$21,MATCH(H1270,Aux_CAV!$A$2:$A$121,1))))</f>
        <v>5</v>
      </c>
      <c r="AB1270" s="18" t="n">
        <f aca="false">IF(D1270="","",IF(L1270&lt;=$B$16,1,IF(L1270&gt;=$B$17,$B$21,MATCH(L1270,Aux_CAV!$A$2:$A$121,1))))</f>
        <v>5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0.0441747026247335</v>
      </c>
      <c r="E1271" s="16" t="n">
        <f aca="false">IF(D1271="","",D1271*$B$15)</f>
        <v>0.114500829203309</v>
      </c>
      <c r="F1271" s="16" t="n">
        <f aca="false" t="array" ref="F1271:F1271">IF(D1271="","",IFERROR(INDEX(Dados_Evap!$C$2:$N$15,MATCH($B$9,Dados_Evap!$A$2:$A$15,0),C1271),0))</f>
        <v>206</v>
      </c>
      <c r="G1271" s="16" t="n">
        <f aca="false">IF(F1271="","",F1271/1000)</f>
        <v>0.206</v>
      </c>
      <c r="H1271" s="16" t="n">
        <f aca="false">IF(D1271="","",MAX(0,MIN($B$8,IFERROR(LOOKUP(2,1/($U$24:U1270&lt;&gt;""),$U$24:U1270),$B$11))))</f>
        <v>9.03072136019506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0.897346947794084</v>
      </c>
      <c r="J1271" s="16" t="n">
        <f aca="false">IF(D1271="","",$B$12)</f>
        <v>0.25</v>
      </c>
      <c r="K1271" s="16" t="n">
        <f aca="false">IF(J1271="","",J1271*$B$15)</f>
        <v>0.648</v>
      </c>
      <c r="L1271" s="16" t="n">
        <f aca="false">IF(D1271="","",H1271+E1271-K1271-G1271*I1271)</f>
        <v>8.31236871815279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0.873507811443124</v>
      </c>
      <c r="N1271" s="16" t="n">
        <f aca="false">IF(D1271="","",(I1271+M1271)/2)</f>
        <v>0.885427379618604</v>
      </c>
      <c r="O1271" s="16" t="n">
        <f aca="false">IF(D1271="","",G1271*N1271)</f>
        <v>0.182398040201432</v>
      </c>
      <c r="P1271" s="16" t="n">
        <f aca="false">IF(D1271="","",H1271+E1271-K1271-O1271)</f>
        <v>8.31482414919694</v>
      </c>
      <c r="Q1271" s="16" t="n">
        <f aca="false">IF(D1271="","",IF(P1271&gt;=0,K1271,MAX(0,K1271+P1271)))</f>
        <v>0.648</v>
      </c>
      <c r="R1271" s="16" t="n">
        <f aca="false">IF(D1271="","",Q1271/$B$15)</f>
        <v>0.25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8.31482414919694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39.0367330948213</v>
      </c>
      <c r="Z1271" s="18" t="n">
        <f aca="false">IF(D1271="","",MAX(0,IF(P1271&gt;=0,P1271,IF(K1271+P1271&gt;=0,0,P1271+K1271))))</f>
        <v>8.31482414919694</v>
      </c>
      <c r="AA1271" s="18" t="n">
        <f aca="false">IF(D1271="","",IF(H1271&lt;=$B$16,1,IF(H1271&gt;=$B$17,$B$21,MATCH(H1271,Aux_CAV!$A$2:$A$121,1))))</f>
        <v>5</v>
      </c>
      <c r="AB1271" s="18" t="n">
        <f aca="false">IF(D1271="","",IF(L1271&lt;=$B$16,1,IF(L1271&gt;=$B$17,$B$21,MATCH(L1271,Aux_CAV!$A$2:$A$121,1))))</f>
        <v>5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0.100899136039006</v>
      </c>
      <c r="E1272" s="16" t="n">
        <f aca="false">IF(D1272="","",D1272*$B$15)</f>
        <v>0.261530560613104</v>
      </c>
      <c r="F1272" s="16" t="n">
        <f aca="false" t="array" ref="F1272:F1272">IF(D1272="","",IFERROR(INDEX(Dados_Evap!$C$2:$N$15,MATCH($B$9,Dados_Evap!$A$2:$A$15,0),C1272),0))</f>
        <v>165.6</v>
      </c>
      <c r="G1272" s="16" t="n">
        <f aca="false">IF(F1272="","",F1272/1000)</f>
        <v>0.1656</v>
      </c>
      <c r="H1272" s="16" t="n">
        <f aca="false">IF(D1272="","",MAX(0,MIN($B$8,IFERROR(LOOKUP(2,1/($U$24:U1271&lt;&gt;""),$U$24:U1271),$B$11))))</f>
        <v>8.31482414919694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0.873589296986624</v>
      </c>
      <c r="J1272" s="16" t="n">
        <f aca="false">IF(D1272="","",$B$12)</f>
        <v>0.25</v>
      </c>
      <c r="K1272" s="16" t="n">
        <f aca="false">IF(J1272="","",J1272*$B$15)</f>
        <v>0.648</v>
      </c>
      <c r="L1272" s="16" t="n">
        <f aca="false">IF(D1272="","",H1272+E1272-K1272-G1272*I1272)</f>
        <v>7.78368832222906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0.855963108038575</v>
      </c>
      <c r="N1272" s="16" t="n">
        <f aca="false">IF(D1272="","",(I1272+M1272)/2)</f>
        <v>0.8647762025126</v>
      </c>
      <c r="O1272" s="16" t="n">
        <f aca="false">IF(D1272="","",G1272*N1272)</f>
        <v>0.143206939136086</v>
      </c>
      <c r="P1272" s="16" t="n">
        <f aca="false">IF(D1272="","",H1272+E1272-K1272-O1272)</f>
        <v>7.78514777067396</v>
      </c>
      <c r="Q1272" s="16" t="n">
        <f aca="false">IF(D1272="","",IF(P1272&gt;=0,K1272,MAX(0,K1272+P1272)))</f>
        <v>0.648</v>
      </c>
      <c r="R1272" s="16" t="n">
        <f aca="false">IF(D1272="","",Q1272/$B$15)</f>
        <v>0.25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7.78514777067396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36.5499895336805</v>
      </c>
      <c r="Z1272" s="18" t="n">
        <f aca="false">IF(D1272="","",MAX(0,IF(P1272&gt;=0,P1272,IF(K1272+P1272&gt;=0,0,P1272+K1272))))</f>
        <v>7.78514777067396</v>
      </c>
      <c r="AA1272" s="18" t="n">
        <f aca="false">IF(D1272="","",IF(H1272&lt;=$B$16,1,IF(H1272&gt;=$B$17,$B$21,MATCH(H1272,Aux_CAV!$A$2:$A$121,1))))</f>
        <v>5</v>
      </c>
      <c r="AB1272" s="18" t="n">
        <f aca="false">IF(D1272="","",IF(L1272&lt;=$B$16,1,IF(L1272&gt;=$B$17,$B$21,MATCH(L1272,Aux_CAV!$A$2:$A$121,1))))</f>
        <v>5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0.146828612568786</v>
      </c>
      <c r="E1273" s="16" t="n">
        <f aca="false">IF(D1273="","",D1273*$B$15)</f>
        <v>0.380579763778293</v>
      </c>
      <c r="F1273" s="16" t="n">
        <f aca="false" t="array" ref="F1273:F1273">IF(D1273="","",IFERROR(INDEX(Dados_Evap!$C$2:$N$15,MATCH($B$9,Dados_Evap!$A$2:$A$15,0),C1273),0))</f>
        <v>124.9</v>
      </c>
      <c r="G1273" s="16" t="n">
        <f aca="false">IF(F1273="","",F1273/1000)</f>
        <v>0.1249</v>
      </c>
      <c r="H1273" s="16" t="n">
        <f aca="false">IF(D1273="","",MAX(0,MIN($B$8,IFERROR(LOOKUP(2,1/($U$24:U1272&lt;&gt;""),$U$24:U1272),$B$11))))</f>
        <v>7.78514777067396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0.856011541062189</v>
      </c>
      <c r="J1273" s="16" t="n">
        <f aca="false">IF(D1273="","",$B$12)</f>
        <v>0.25</v>
      </c>
      <c r="K1273" s="16" t="n">
        <f aca="false">IF(J1273="","",J1273*$B$15)</f>
        <v>0.648</v>
      </c>
      <c r="L1273" s="16" t="n">
        <f aca="false">IF(D1273="","",H1273+E1273-K1273-G1273*I1273)</f>
        <v>7.41081169297358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0.84358888361638</v>
      </c>
      <c r="N1273" s="16" t="n">
        <f aca="false">IF(D1273="","",(I1273+M1273)/2)</f>
        <v>0.849800212339284</v>
      </c>
      <c r="O1273" s="16" t="n">
        <f aca="false">IF(D1273="","",G1273*N1273)</f>
        <v>0.106140046521177</v>
      </c>
      <c r="P1273" s="16" t="n">
        <f aca="false">IF(D1273="","",H1273+E1273-K1273-O1273)</f>
        <v>7.41158748793107</v>
      </c>
      <c r="Q1273" s="16" t="n">
        <f aca="false">IF(D1273="","",IF(P1273&gt;=0,K1273,MAX(0,K1273+P1273)))</f>
        <v>0.648</v>
      </c>
      <c r="R1273" s="16" t="n">
        <f aca="false">IF(D1273="","",Q1273/$B$15)</f>
        <v>0.25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7.41158748793107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34.7961853893478</v>
      </c>
      <c r="Z1273" s="18" t="n">
        <f aca="false">IF(D1273="","",MAX(0,IF(P1273&gt;=0,P1273,IF(K1273+P1273&gt;=0,0,P1273+K1273))))</f>
        <v>7.41158748793107</v>
      </c>
      <c r="AA1273" s="18" t="n">
        <f aca="false">IF(D1273="","",IF(H1273&lt;=$B$16,1,IF(H1273&gt;=$B$17,$B$21,MATCH(H1273,Aux_CAV!$A$2:$A$121,1))))</f>
        <v>5</v>
      </c>
      <c r="AB1273" s="18" t="n">
        <f aca="false">IF(D1273="","",IF(L1273&lt;=$B$16,1,IF(L1273&gt;=$B$17,$B$21,MATCH(L1273,Aux_CAV!$A$2:$A$121,1))))</f>
        <v>5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0.359952189120954</v>
      </c>
      <c r="E1274" s="16" t="n">
        <f aca="false">IF(D1274="","",D1274*$B$15)</f>
        <v>0.932996074201513</v>
      </c>
      <c r="F1274" s="16" t="n">
        <f aca="false" t="array" ref="F1274:F1274">IF(D1274="","",IFERROR(INDEX(Dados_Evap!$C$2:$N$15,MATCH($B$9,Dados_Evap!$A$2:$A$15,0),C1274),0))</f>
        <v>88.2</v>
      </c>
      <c r="G1274" s="16" t="n">
        <f aca="false">IF(F1274="","",F1274/1000)</f>
        <v>0.0882</v>
      </c>
      <c r="H1274" s="16" t="n">
        <f aca="false">IF(D1274="","",MAX(0,MIN($B$8,IFERROR(LOOKUP(2,1/($U$24:U1273&lt;&gt;""),$U$24:U1273),$B$11))))</f>
        <v>7.41158748793107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0.843614629024261</v>
      </c>
      <c r="J1274" s="16" t="n">
        <f aca="false">IF(D1274="","",$B$12)</f>
        <v>0.25</v>
      </c>
      <c r="K1274" s="16" t="n">
        <f aca="false">IF(J1274="","",J1274*$B$15)</f>
        <v>0.648</v>
      </c>
      <c r="L1274" s="16" t="n">
        <f aca="false">IF(D1274="","",H1274+E1274-K1274-G1274*I1274)</f>
        <v>7.62217675185265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0.85060321079157</v>
      </c>
      <c r="N1274" s="16" t="n">
        <f aca="false">IF(D1274="","",(I1274+M1274)/2)</f>
        <v>0.847108919907916</v>
      </c>
      <c r="O1274" s="16" t="n">
        <f aca="false">IF(D1274="","",G1274*N1274)</f>
        <v>0.0747150067358782</v>
      </c>
      <c r="P1274" s="16" t="n">
        <f aca="false">IF(D1274="","",H1274+E1274-K1274-O1274)</f>
        <v>7.62186855539671</v>
      </c>
      <c r="Q1274" s="16" t="n">
        <f aca="false">IF(D1274="","",IF(P1274&gt;=0,K1274,MAX(0,K1274+P1274)))</f>
        <v>0.648</v>
      </c>
      <c r="R1274" s="16" t="n">
        <f aca="false">IF(D1274="","",Q1274/$B$15)</f>
        <v>0.25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7.62186855539671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35.7834204478719</v>
      </c>
      <c r="Z1274" s="18" t="n">
        <f aca="false">IF(D1274="","",MAX(0,IF(P1274&gt;=0,P1274,IF(K1274+P1274&gt;=0,0,P1274+K1274))))</f>
        <v>7.62186855539671</v>
      </c>
      <c r="AA1274" s="18" t="n">
        <f aca="false">IF(D1274="","",IF(H1274&lt;=$B$16,1,IF(H1274&gt;=$B$17,$B$21,MATCH(H1274,Aux_CAV!$A$2:$A$121,1))))</f>
        <v>5</v>
      </c>
      <c r="AB1274" s="18" t="n">
        <f aca="false">IF(D1274="","",IF(L1274&lt;=$B$16,1,IF(L1274&gt;=$B$17,$B$21,MATCH(L1274,Aux_CAV!$A$2:$A$121,1))))</f>
        <v>5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0.526645676282988</v>
      </c>
      <c r="E1275" s="16" t="n">
        <f aca="false">IF(D1275="","",D1275*$B$15)</f>
        <v>1.36506559292551</v>
      </c>
      <c r="F1275" s="16" t="n">
        <f aca="false" t="array" ref="F1275:F1275">IF(D1275="","",IFERROR(INDEX(Dados_Evap!$C$2:$N$15,MATCH($B$9,Dados_Evap!$A$2:$A$15,0),C1275),0))</f>
        <v>88.2</v>
      </c>
      <c r="G1275" s="16" t="n">
        <f aca="false">IF(F1275="","",F1275/1000)</f>
        <v>0.0882</v>
      </c>
      <c r="H1275" s="16" t="n">
        <f aca="false">IF(D1275="","",MAX(0,MIN($B$8,IFERROR(LOOKUP(2,1/($U$24:U1274&lt;&gt;""),$U$24:U1274),$B$11))))</f>
        <v>7.62186855539671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0.850592983033077</v>
      </c>
      <c r="J1275" s="16" t="n">
        <f aca="false">IF(D1275="","",$B$12)</f>
        <v>0.25</v>
      </c>
      <c r="K1275" s="16" t="n">
        <f aca="false">IF(J1275="","",J1275*$B$15)</f>
        <v>0.648</v>
      </c>
      <c r="L1275" s="16" t="n">
        <f aca="false">IF(D1275="","",H1275+E1275-K1275-G1275*I1275)</f>
        <v>8.2639118472187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0.871899729443098</v>
      </c>
      <c r="N1275" s="16" t="n">
        <f aca="false">IF(D1275="","",(I1275+M1275)/2)</f>
        <v>0.861246356238087</v>
      </c>
      <c r="O1275" s="16" t="n">
        <f aca="false">IF(D1275="","",G1275*N1275)</f>
        <v>0.0759619286201993</v>
      </c>
      <c r="P1275" s="16" t="n">
        <f aca="false">IF(D1275="","",H1275+E1275-K1275-O1275)</f>
        <v>8.26297221970201</v>
      </c>
      <c r="Q1275" s="16" t="n">
        <f aca="false">IF(D1275="","",IF(P1275&gt;=0,K1275,MAX(0,K1275+P1275)))</f>
        <v>0.648</v>
      </c>
      <c r="R1275" s="16" t="n">
        <f aca="false">IF(D1275="","",Q1275/$B$15)</f>
        <v>0.25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8.26297221970201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38.7932968061127</v>
      </c>
      <c r="Z1275" s="18" t="n">
        <f aca="false">IF(D1275="","",MAX(0,IF(P1275&gt;=0,P1275,IF(K1275+P1275&gt;=0,0,P1275+K1275))))</f>
        <v>8.26297221970201</v>
      </c>
      <c r="AA1275" s="18" t="n">
        <f aca="false">IF(D1275="","",IF(H1275&lt;=$B$16,1,IF(H1275&gt;=$B$17,$B$21,MATCH(H1275,Aux_CAV!$A$2:$A$121,1))))</f>
        <v>5</v>
      </c>
      <c r="AB1275" s="18" t="n">
        <f aca="false">IF(D1275="","",IF(L1275&lt;=$B$16,1,IF(L1275&gt;=$B$17,$B$21,MATCH(L1275,Aux_CAV!$A$2:$A$121,1))))</f>
        <v>5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0.390593198834191</v>
      </c>
      <c r="E1276" s="16" t="n">
        <f aca="false">IF(D1276="","",D1276*$B$15)</f>
        <v>1.01241757137822</v>
      </c>
      <c r="F1276" s="16" t="n">
        <f aca="false" t="array" ref="F1276:F1276">IF(D1276="","",IFERROR(INDEX(Dados_Evap!$C$2:$N$15,MATCH($B$9,Dados_Evap!$A$2:$A$15,0),C1276),0))</f>
        <v>83.9</v>
      </c>
      <c r="G1276" s="16" t="n">
        <f aca="false">IF(F1276="","",F1276/1000)</f>
        <v>0.0839</v>
      </c>
      <c r="H1276" s="16" t="n">
        <f aca="false">IF(D1276="","",MAX(0,MIN($B$8,IFERROR(LOOKUP(2,1/($U$24:U1275&lt;&gt;""),$U$24:U1275),$B$11))))</f>
        <v>8.26297221970201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0.871868547114005</v>
      </c>
      <c r="J1276" s="16" t="n">
        <f aca="false">IF(D1276="","",$B$12)</f>
        <v>0.25</v>
      </c>
      <c r="K1276" s="16" t="n">
        <f aca="false">IF(J1276="","",J1276*$B$15)</f>
        <v>0.648</v>
      </c>
      <c r="L1276" s="16" t="n">
        <f aca="false">IF(D1276="","",H1276+E1276-K1276-G1276*I1276)</f>
        <v>8.55424001997737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0.881534513937302</v>
      </c>
      <c r="N1276" s="16" t="n">
        <f aca="false">IF(D1276="","",(I1276+M1276)/2)</f>
        <v>0.876701530525654</v>
      </c>
      <c r="O1276" s="16" t="n">
        <f aca="false">IF(D1276="","",G1276*N1276)</f>
        <v>0.0735552584111023</v>
      </c>
      <c r="P1276" s="16" t="n">
        <f aca="false">IF(D1276="","",H1276+E1276-K1276-O1276)</f>
        <v>8.55383453266913</v>
      </c>
      <c r="Q1276" s="16" t="n">
        <f aca="false">IF(D1276="","",IF(P1276&gt;=0,K1276,MAX(0,K1276+P1276)))</f>
        <v>0.648</v>
      </c>
      <c r="R1276" s="16" t="n">
        <f aca="false">IF(D1276="","",Q1276/$B$15)</f>
        <v>0.25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8.55383453266913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40.1588475712166</v>
      </c>
      <c r="Z1276" s="18" t="n">
        <f aca="false">IF(D1276="","",MAX(0,IF(P1276&gt;=0,P1276,IF(K1276+P1276&gt;=0,0,P1276+K1276))))</f>
        <v>8.55383453266913</v>
      </c>
      <c r="AA1276" s="18" t="n">
        <f aca="false">IF(D1276="","",IF(H1276&lt;=$B$16,1,IF(H1276&gt;=$B$17,$B$21,MATCH(H1276,Aux_CAV!$A$2:$A$121,1))))</f>
        <v>5</v>
      </c>
      <c r="AB1276" s="18" t="n">
        <f aca="false">IF(D1276="","",IF(L1276&lt;=$B$16,1,IF(L1276&gt;=$B$17,$B$21,MATCH(L1276,Aux_CAV!$A$2:$A$121,1))))</f>
        <v>5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0.121463577154414</v>
      </c>
      <c r="E1277" s="16" t="n">
        <f aca="false">IF(D1277="","",D1277*$B$15)</f>
        <v>0.314833591984241</v>
      </c>
      <c r="F1277" s="16" t="n">
        <f aca="false" t="array" ref="F1277:F1277">IF(D1277="","",IFERROR(INDEX(Dados_Evap!$C$2:$N$15,MATCH($B$9,Dados_Evap!$A$2:$A$15,0),C1277),0))</f>
        <v>104.7</v>
      </c>
      <c r="G1277" s="16" t="n">
        <f aca="false">IF(F1277="","",F1277/1000)</f>
        <v>0.1047</v>
      </c>
      <c r="H1277" s="16" t="n">
        <f aca="false">IF(D1277="","",MAX(0,MIN($B$8,IFERROR(LOOKUP(2,1/($U$24:U1276&lt;&gt;""),$U$24:U1276),$B$11))))</f>
        <v>8.55383453266913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0.881521057500082</v>
      </c>
      <c r="J1277" s="16" t="n">
        <f aca="false">IF(D1277="","",$B$12)</f>
        <v>0.25</v>
      </c>
      <c r="K1277" s="16" t="n">
        <f aca="false">IF(J1277="","",J1277*$B$15)</f>
        <v>0.648</v>
      </c>
      <c r="L1277" s="16" t="n">
        <f aca="false">IF(D1277="","",H1277+E1277-K1277-G1277*I1277)</f>
        <v>8.12837286993312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0.867401754533179</v>
      </c>
      <c r="N1277" s="16" t="n">
        <f aca="false">IF(D1277="","",(I1277+M1277)/2)</f>
        <v>0.87446140601663</v>
      </c>
      <c r="O1277" s="16" t="n">
        <f aca="false">IF(D1277="","",G1277*N1277)</f>
        <v>0.0915561092099412</v>
      </c>
      <c r="P1277" s="16" t="n">
        <f aca="false">IF(D1277="","",H1277+E1277-K1277-O1277)</f>
        <v>8.12911201544343</v>
      </c>
      <c r="Q1277" s="16" t="n">
        <f aca="false">IF(D1277="","",IF(P1277&gt;=0,K1277,MAX(0,K1277+P1277)))</f>
        <v>0.648</v>
      </c>
      <c r="R1277" s="16" t="n">
        <f aca="false">IF(D1277="","",Q1277/$B$15)</f>
        <v>0.25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8.12911201544343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38.1648451429269</v>
      </c>
      <c r="Z1277" s="18" t="n">
        <f aca="false">IF(D1277="","",MAX(0,IF(P1277&gt;=0,P1277,IF(K1277+P1277&gt;=0,0,P1277+K1277))))</f>
        <v>8.12911201544343</v>
      </c>
      <c r="AA1277" s="18" t="n">
        <f aca="false">IF(D1277="","",IF(H1277&lt;=$B$16,1,IF(H1277&gt;=$B$17,$B$21,MATCH(H1277,Aux_CAV!$A$2:$A$121,1))))</f>
        <v>5</v>
      </c>
      <c r="AB1277" s="18" t="n">
        <f aca="false">IF(D1277="","",IF(L1277&lt;=$B$16,1,IF(L1277&gt;=$B$17,$B$21,MATCH(L1277,Aux_CAV!$A$2:$A$121,1))))</f>
        <v>5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0.0550411385302743</v>
      </c>
      <c r="E1278" s="16" t="n">
        <f aca="false">IF(D1278="","",D1278*$B$15)</f>
        <v>0.142666631070471</v>
      </c>
      <c r="F1278" s="16" t="n">
        <f aca="false" t="array" ref="F1278:F1278">IF(D1278="","",IFERROR(INDEX(Dados_Evap!$C$2:$N$15,MATCH($B$9,Dados_Evap!$A$2:$A$15,0),C1278),0))</f>
        <v>145.2</v>
      </c>
      <c r="G1278" s="16" t="n">
        <f aca="false">IF(F1278="","",F1278/1000)</f>
        <v>0.1452</v>
      </c>
      <c r="H1278" s="16" t="n">
        <f aca="false">IF(D1278="","",MAX(0,MIN($B$8,IFERROR(LOOKUP(2,1/($U$24:U1277&lt;&gt;""),$U$24:U1277),$B$11))))</f>
        <v>8.12911201544343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0.867426283698344</v>
      </c>
      <c r="J1278" s="16" t="n">
        <f aca="false">IF(D1278="","",$B$12)</f>
        <v>0.25</v>
      </c>
      <c r="K1278" s="16" t="n">
        <f aca="false">IF(J1278="","",J1278*$B$15)</f>
        <v>0.648</v>
      </c>
      <c r="L1278" s="16" t="n">
        <f aca="false">IF(D1278="","",H1278+E1278-K1278-G1278*I1278)</f>
        <v>7.49782835012091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0.846476604539411</v>
      </c>
      <c r="N1278" s="16" t="n">
        <f aca="false">IF(D1278="","",(I1278+M1278)/2)</f>
        <v>0.856951444118877</v>
      </c>
      <c r="O1278" s="16" t="n">
        <f aca="false">IF(D1278="","",G1278*N1278)</f>
        <v>0.124429349686061</v>
      </c>
      <c r="P1278" s="16" t="n">
        <f aca="false">IF(D1278="","",H1278+E1278-K1278-O1278)</f>
        <v>7.49934929682785</v>
      </c>
      <c r="Q1278" s="16" t="n">
        <f aca="false">IF(D1278="","",IF(P1278&gt;=0,K1278,MAX(0,K1278+P1278)))</f>
        <v>0.648</v>
      </c>
      <c r="R1278" s="16" t="n">
        <f aca="false">IF(D1278="","",Q1278/$B$15)</f>
        <v>0.25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7.49934929682785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35.2082126611636</v>
      </c>
      <c r="Z1278" s="18" t="n">
        <f aca="false">IF(D1278="","",MAX(0,IF(P1278&gt;=0,P1278,IF(K1278+P1278&gt;=0,0,P1278+K1278))))</f>
        <v>7.49934929682785</v>
      </c>
      <c r="AA1278" s="18" t="n">
        <f aca="false">IF(D1278="","",IF(H1278&lt;=$B$16,1,IF(H1278&gt;=$B$17,$B$21,MATCH(H1278,Aux_CAV!$A$2:$A$121,1))))</f>
        <v>5</v>
      </c>
      <c r="AB1278" s="18" t="n">
        <f aca="false">IF(D1278="","",IF(L1278&lt;=$B$16,1,IF(L1278&gt;=$B$17,$B$21,MATCH(L1278,Aux_CAV!$A$2:$A$121,1))))</f>
        <v>5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0.0322102647866124</v>
      </c>
      <c r="E1279" s="16" t="n">
        <f aca="false">IF(D1279="","",D1279*$B$15)</f>
        <v>0.0834890063268994</v>
      </c>
      <c r="F1279" s="16" t="n">
        <f aca="false" t="array" ref="F1279:F1279">IF(D1279="","",IFERROR(INDEX(Dados_Evap!$C$2:$N$15,MATCH($B$9,Dados_Evap!$A$2:$A$15,0),C1279),0))</f>
        <v>180.9</v>
      </c>
      <c r="G1279" s="16" t="n">
        <f aca="false">IF(F1279="","",F1279/1000)</f>
        <v>0.1809</v>
      </c>
      <c r="H1279" s="16" t="n">
        <f aca="false">IF(D1279="","",MAX(0,MIN($B$8,IFERROR(LOOKUP(2,1/($U$24:U1278&lt;&gt;""),$U$24:U1278),$B$11))))</f>
        <v>7.49934929682785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0.846527078434552</v>
      </c>
      <c r="J1279" s="16" t="n">
        <f aca="false">IF(D1279="","",$B$12)</f>
        <v>0.25</v>
      </c>
      <c r="K1279" s="16" t="n">
        <f aca="false">IF(J1279="","",J1279*$B$15)</f>
        <v>0.648</v>
      </c>
      <c r="L1279" s="16" t="n">
        <f aca="false">IF(D1279="","",H1279+E1279-K1279-G1279*I1279)</f>
        <v>6.78170155466593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0.822711334778737</v>
      </c>
      <c r="N1279" s="16" t="n">
        <f aca="false">IF(D1279="","",(I1279+M1279)/2)</f>
        <v>0.834619206606645</v>
      </c>
      <c r="O1279" s="16" t="n">
        <f aca="false">IF(D1279="","",G1279*N1279)</f>
        <v>0.150982614475142</v>
      </c>
      <c r="P1279" s="16" t="n">
        <f aca="false">IF(D1279="","",H1279+E1279-K1279-O1279)</f>
        <v>6.7838556886796</v>
      </c>
      <c r="Q1279" s="16" t="n">
        <f aca="false">IF(D1279="","",IF(P1279&gt;=0,K1279,MAX(0,K1279+P1279)))</f>
        <v>0.648</v>
      </c>
      <c r="R1279" s="16" t="n">
        <f aca="false">IF(D1279="","",Q1279/$B$15)</f>
        <v>0.25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6.7838556886796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31.8490877402798</v>
      </c>
      <c r="Z1279" s="18" t="n">
        <f aca="false">IF(D1279="","",MAX(0,IF(P1279&gt;=0,P1279,IF(K1279+P1279&gt;=0,0,P1279+K1279))))</f>
        <v>6.7838556886796</v>
      </c>
      <c r="AA1279" s="18" t="n">
        <f aca="false">IF(D1279="","",IF(H1279&lt;=$B$16,1,IF(H1279&gt;=$B$17,$B$21,MATCH(H1279,Aux_CAV!$A$2:$A$121,1))))</f>
        <v>5</v>
      </c>
      <c r="AB1279" s="18" t="n">
        <f aca="false">IF(D1279="","",IF(L1279&lt;=$B$16,1,IF(L1279&gt;=$B$17,$B$21,MATCH(L1279,Aux_CAV!$A$2:$A$121,1))))</f>
        <v>5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0.0220856728511315</v>
      </c>
      <c r="E1280" s="16" t="n">
        <f aca="false">IF(D1280="","",D1280*$B$15)</f>
        <v>0.0572460640301329</v>
      </c>
      <c r="F1280" s="16" t="n">
        <f aca="false" t="array" ref="F1280:F1280">IF(D1280="","",IFERROR(INDEX(Dados_Evap!$C$2:$N$15,MATCH($B$9,Dados_Evap!$A$2:$A$15,0),C1280),0))</f>
        <v>208.9</v>
      </c>
      <c r="G1280" s="16" t="n">
        <f aca="false">IF(F1280="","",F1280/1000)</f>
        <v>0.2089</v>
      </c>
      <c r="H1280" s="16" t="n">
        <f aca="false">IF(D1280="","",MAX(0,MIN($B$8,IFERROR(LOOKUP(2,1/($U$24:U1279&lt;&gt;""),$U$24:U1279),$B$11))))</f>
        <v>6.7838556886796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0.822782821526978</v>
      </c>
      <c r="J1280" s="16" t="n">
        <f aca="false">IF(D1280="","",$B$12)</f>
        <v>0.25</v>
      </c>
      <c r="K1280" s="16" t="n">
        <f aca="false">IF(J1280="","",J1280*$B$15)</f>
        <v>0.648</v>
      </c>
      <c r="L1280" s="16" t="n">
        <f aca="false">IF(D1280="","",H1280+E1280-K1280-G1280*I1280)</f>
        <v>6.02122242129275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0.780404641242077</v>
      </c>
      <c r="N1280" s="16" t="n">
        <f aca="false">IF(D1280="","",(I1280+M1280)/2)</f>
        <v>0.801593731384527</v>
      </c>
      <c r="O1280" s="16" t="n">
        <f aca="false">IF(D1280="","",G1280*N1280)</f>
        <v>0.167452930486228</v>
      </c>
      <c r="P1280" s="16" t="n">
        <f aca="false">IF(D1280="","",H1280+E1280-K1280-O1280)</f>
        <v>6.02564882222351</v>
      </c>
      <c r="Q1280" s="16" t="n">
        <f aca="false">IF(D1280="","",IF(P1280&gt;=0,K1280,MAX(0,K1280+P1280)))</f>
        <v>0.648</v>
      </c>
      <c r="R1280" s="16" t="n">
        <f aca="false">IF(D1280="","",Q1280/$B$15)</f>
        <v>0.25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6.02564882222351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28.2894310902512</v>
      </c>
      <c r="Z1280" s="18" t="n">
        <f aca="false">IF(D1280="","",MAX(0,IF(P1280&gt;=0,P1280,IF(K1280+P1280&gt;=0,0,P1280+K1280))))</f>
        <v>6.02564882222351</v>
      </c>
      <c r="AA1280" s="18" t="n">
        <f aca="false">IF(D1280="","",IF(H1280&lt;=$B$16,1,IF(H1280&gt;=$B$17,$B$21,MATCH(H1280,Aux_CAV!$A$2:$A$121,1))))</f>
        <v>5</v>
      </c>
      <c r="AB1280" s="18" t="n">
        <f aca="false">IF(D1280="","",IF(L1280&lt;=$B$16,1,IF(L1280&gt;=$B$17,$B$21,MATCH(L1280,Aux_CAV!$A$2:$A$121,1))))</f>
        <v>4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0.019141012292319</v>
      </c>
      <c r="E1281" s="16" t="n">
        <f aca="false">IF(D1281="","",D1281*$B$15)</f>
        <v>0.0496135038616909</v>
      </c>
      <c r="F1281" s="16" t="n">
        <f aca="false" t="array" ref="F1281:F1281">IF(D1281="","",IFERROR(INDEX(Dados_Evap!$C$2:$N$15,MATCH($B$9,Dados_Evap!$A$2:$A$15,0),C1281),0))</f>
        <v>235.9</v>
      </c>
      <c r="G1281" s="16" t="n">
        <f aca="false">IF(F1281="","",F1281/1000)</f>
        <v>0.2359</v>
      </c>
      <c r="H1281" s="16" t="n">
        <f aca="false">IF(D1281="","",MAX(0,MIN($B$8,IFERROR(LOOKUP(2,1/($U$24:U1280&lt;&gt;""),$U$24:U1280),$B$11))))</f>
        <v>6.02564882222351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0.780662847963038</v>
      </c>
      <c r="J1281" s="16" t="n">
        <f aca="false">IF(D1281="","",$B$12)</f>
        <v>0.25</v>
      </c>
      <c r="K1281" s="16" t="n">
        <f aca="false">IF(J1281="","",J1281*$B$15)</f>
        <v>0.648</v>
      </c>
      <c r="L1281" s="16" t="n">
        <f aca="false">IF(D1281="","",H1281+E1281-K1281-G1281*I1281)</f>
        <v>5.24310396025072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0.735014397681292</v>
      </c>
      <c r="N1281" s="16" t="n">
        <f aca="false">IF(D1281="","",(I1281+M1281)/2)</f>
        <v>0.757838622822165</v>
      </c>
      <c r="O1281" s="16" t="n">
        <f aca="false">IF(D1281="","",G1281*N1281)</f>
        <v>0.178774131123749</v>
      </c>
      <c r="P1281" s="16" t="n">
        <f aca="false">IF(D1281="","",H1281+E1281-K1281-O1281)</f>
        <v>5.24848819496145</v>
      </c>
      <c r="Q1281" s="16" t="n">
        <f aca="false">IF(D1281="","",IF(P1281&gt;=0,K1281,MAX(0,K1281+P1281)))</f>
        <v>0.648</v>
      </c>
      <c r="R1281" s="16" t="n">
        <f aca="false">IF(D1281="","",Q1281/$B$15)</f>
        <v>0.25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5.24848819496145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24.6407896477063</v>
      </c>
      <c r="Z1281" s="18" t="n">
        <f aca="false">IF(D1281="","",MAX(0,IF(P1281&gt;=0,P1281,IF(K1281+P1281&gt;=0,0,P1281+K1281))))</f>
        <v>5.24848819496145</v>
      </c>
      <c r="AA1281" s="18" t="n">
        <f aca="false">IF(D1281="","",IF(H1281&lt;=$B$16,1,IF(H1281&gt;=$B$17,$B$21,MATCH(H1281,Aux_CAV!$A$2:$A$121,1))))</f>
        <v>4</v>
      </c>
      <c r="AB1281" s="18" t="n">
        <f aca="false">IF(D1281="","",IF(L1281&lt;=$B$16,1,IF(L1281&gt;=$B$17,$B$21,MATCH(L1281,Aux_CAV!$A$2:$A$121,1))))</f>
        <v>4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0.00914194379078312</v>
      </c>
      <c r="E1282" s="16" t="n">
        <f aca="false">IF(D1282="","",D1282*$B$15)</f>
        <v>0.0236959183057098</v>
      </c>
      <c r="F1282" s="16" t="n">
        <f aca="false" t="array" ref="F1282:F1282">IF(D1282="","",IFERROR(INDEX(Dados_Evap!$C$2:$N$15,MATCH($B$9,Dados_Evap!$A$2:$A$15,0),C1282),0))</f>
        <v>225.9</v>
      </c>
      <c r="G1282" s="16" t="n">
        <f aca="false">IF(F1282="","",F1282/1000)</f>
        <v>0.2259</v>
      </c>
      <c r="H1282" s="16" t="n">
        <f aca="false">IF(D1282="","",MAX(0,MIN($B$8,IFERROR(LOOKUP(2,1/($U$24:U1281&lt;&gt;""),$U$24:U1281),$B$11))))</f>
        <v>5.24848819496145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0.735328478039418</v>
      </c>
      <c r="J1282" s="16" t="n">
        <f aca="false">IF(D1282="","",$B$12)</f>
        <v>0.25</v>
      </c>
      <c r="K1282" s="16" t="n">
        <f aca="false">IF(J1282="","",J1282*$B$15)</f>
        <v>0.648</v>
      </c>
      <c r="L1282" s="16" t="n">
        <f aca="false">IF(D1282="","",H1282+E1282-K1282-G1282*I1282)</f>
        <v>4.45807341007806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0.68922094892122</v>
      </c>
      <c r="N1282" s="16" t="n">
        <f aca="false">IF(D1282="","",(I1282+M1282)/2)</f>
        <v>0.712274713480319</v>
      </c>
      <c r="O1282" s="16" t="n">
        <f aca="false">IF(D1282="","",G1282*N1282)</f>
        <v>0.160902857775204</v>
      </c>
      <c r="P1282" s="16" t="n">
        <f aca="false">IF(D1282="","",H1282+E1282-K1282-O1282)</f>
        <v>4.46328125549196</v>
      </c>
      <c r="Q1282" s="16" t="n">
        <f aca="false">IF(D1282="","",IF(P1282&gt;=0,K1282,MAX(0,K1282+P1282)))</f>
        <v>0.648</v>
      </c>
      <c r="R1282" s="16" t="n">
        <f aca="false">IF(D1282="","",Q1282/$B$15)</f>
        <v>0.25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4.46328125549196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20.9543720915115</v>
      </c>
      <c r="Z1282" s="18" t="n">
        <f aca="false">IF(D1282="","",MAX(0,IF(P1282&gt;=0,P1282,IF(K1282+P1282&gt;=0,0,P1282+K1282))))</f>
        <v>4.46328125549196</v>
      </c>
      <c r="AA1282" s="18" t="n">
        <f aca="false">IF(D1282="","",IF(H1282&lt;=$B$16,1,IF(H1282&gt;=$B$17,$B$21,MATCH(H1282,Aux_CAV!$A$2:$A$121,1))))</f>
        <v>4</v>
      </c>
      <c r="AB1282" s="18" t="n">
        <f aca="false">IF(D1282="","",IF(L1282&lt;=$B$16,1,IF(L1282&gt;=$B$17,$B$21,MATCH(L1282,Aux_CAV!$A$2:$A$121,1))))</f>
        <v>4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0.0064443216459596</v>
      </c>
      <c r="E1283" s="16" t="n">
        <f aca="false">IF(D1283="","",D1283*$B$15)</f>
        <v>0.0167036817063273</v>
      </c>
      <c r="F1283" s="16" t="n">
        <f aca="false" t="array" ref="F1283:F1283">IF(D1283="","",IFERROR(INDEX(Dados_Evap!$C$2:$N$15,MATCH($B$9,Dados_Evap!$A$2:$A$15,0),C1283),0))</f>
        <v>206</v>
      </c>
      <c r="G1283" s="16" t="n">
        <f aca="false">IF(F1283="","",F1283/1000)</f>
        <v>0.206</v>
      </c>
      <c r="H1283" s="16" t="n">
        <f aca="false">IF(D1283="","",MAX(0,MIN($B$8,IFERROR(LOOKUP(2,1/($U$24:U1282&lt;&gt;""),$U$24:U1282),$B$11))))</f>
        <v>4.46328125549196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0.689524739903697</v>
      </c>
      <c r="J1283" s="16" t="n">
        <f aca="false">IF(D1283="","",$B$12)</f>
        <v>0.25</v>
      </c>
      <c r="K1283" s="16" t="n">
        <f aca="false">IF(J1283="","",J1283*$B$15)</f>
        <v>0.648</v>
      </c>
      <c r="L1283" s="16" t="n">
        <f aca="false">IF(D1283="","",H1283+E1283-K1283-G1283*I1283)</f>
        <v>3.68994284077812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0.644413332378724</v>
      </c>
      <c r="N1283" s="16" t="n">
        <f aca="false">IF(D1283="","",(I1283+M1283)/2)</f>
        <v>0.666969036141211</v>
      </c>
      <c r="O1283" s="16" t="n">
        <f aca="false">IF(D1283="","",G1283*N1283)</f>
        <v>0.137395621445089</v>
      </c>
      <c r="P1283" s="16" t="n">
        <f aca="false">IF(D1283="","",H1283+E1283-K1283-O1283)</f>
        <v>3.69458931575319</v>
      </c>
      <c r="Q1283" s="16" t="n">
        <f aca="false">IF(D1283="","",IF(P1283&gt;=0,K1283,MAX(0,K1283+P1283)))</f>
        <v>0.648</v>
      </c>
      <c r="R1283" s="16" t="n">
        <f aca="false">IF(D1283="","",Q1283/$B$15)</f>
        <v>0.25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3.69458931575319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17.3454897453202</v>
      </c>
      <c r="Z1283" s="18" t="n">
        <f aca="false">IF(D1283="","",MAX(0,IF(P1283&gt;=0,P1283,IF(K1283+P1283&gt;=0,0,P1283+K1283))))</f>
        <v>3.69458931575319</v>
      </c>
      <c r="AA1283" s="18" t="n">
        <f aca="false">IF(D1283="","",IF(H1283&lt;=$B$16,1,IF(H1283&gt;=$B$17,$B$21,MATCH(H1283,Aux_CAV!$A$2:$A$121,1))))</f>
        <v>4</v>
      </c>
      <c r="AB1283" s="18" t="n">
        <f aca="false">IF(D1283="","",IF(L1283&lt;=$B$16,1,IF(L1283&gt;=$B$17,$B$21,MATCH(L1283,Aux_CAV!$A$2:$A$121,1))))</f>
        <v>4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0.0277443383756069</v>
      </c>
      <c r="E1284" s="16" t="n">
        <f aca="false">IF(D1284="","",D1284*$B$15)</f>
        <v>0.0719133250695731</v>
      </c>
      <c r="F1284" s="16" t="n">
        <f aca="false" t="array" ref="F1284:F1284">IF(D1284="","",IFERROR(INDEX(Dados_Evap!$C$2:$N$15,MATCH($B$9,Dados_Evap!$A$2:$A$15,0),C1284),0))</f>
        <v>165.6</v>
      </c>
      <c r="G1284" s="16" t="n">
        <f aca="false">IF(F1284="","",F1284/1000)</f>
        <v>0.1656</v>
      </c>
      <c r="H1284" s="16" t="n">
        <f aca="false">IF(D1284="","",MAX(0,MIN($B$8,IFERROR(LOOKUP(2,1/($U$24:U1283&lt;&gt;""),$U$24:U1283),$B$11))))</f>
        <v>3.69458931575319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0.64468437675227</v>
      </c>
      <c r="J1284" s="16" t="n">
        <f aca="false">IF(D1284="","",$B$12)</f>
        <v>0.25</v>
      </c>
      <c r="K1284" s="16" t="n">
        <f aca="false">IF(J1284="","",J1284*$B$15)</f>
        <v>0.648</v>
      </c>
      <c r="L1284" s="16" t="n">
        <f aca="false">IF(D1284="","",H1284+E1284-K1284-G1284*I1284)</f>
        <v>3.01174290803259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0.597503420606385</v>
      </c>
      <c r="N1284" s="16" t="n">
        <f aca="false">IF(D1284="","",(I1284+M1284)/2)</f>
        <v>0.621093898679327</v>
      </c>
      <c r="O1284" s="16" t="n">
        <f aca="false">IF(D1284="","",G1284*N1284)</f>
        <v>0.102853149621297</v>
      </c>
      <c r="P1284" s="16" t="n">
        <f aca="false">IF(D1284="","",H1284+E1284-K1284-O1284)</f>
        <v>3.01564949120147</v>
      </c>
      <c r="Q1284" s="16" t="n">
        <f aca="false">IF(D1284="","",IF(P1284&gt;=0,K1284,MAX(0,K1284+P1284)))</f>
        <v>0.648</v>
      </c>
      <c r="R1284" s="16" t="n">
        <f aca="false">IF(D1284="","",Q1284/$B$15)</f>
        <v>0.25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3.01564949120147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14.1579788319318</v>
      </c>
      <c r="Z1284" s="18" t="n">
        <f aca="false">IF(D1284="","",MAX(0,IF(P1284&gt;=0,P1284,IF(K1284+P1284&gt;=0,0,P1284+K1284))))</f>
        <v>3.01564949120147</v>
      </c>
      <c r="AA1284" s="18" t="n">
        <f aca="false">IF(D1284="","",IF(H1284&lt;=$B$16,1,IF(H1284&gt;=$B$17,$B$21,MATCH(H1284,Aux_CAV!$A$2:$A$121,1))))</f>
        <v>4</v>
      </c>
      <c r="AB1284" s="18" t="n">
        <f aca="false">IF(D1284="","",IF(L1284&lt;=$B$16,1,IF(L1284&gt;=$B$17,$B$21,MATCH(L1284,Aux_CAV!$A$2:$A$121,1))))</f>
        <v>3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0.111275080420969</v>
      </c>
      <c r="E1285" s="16" t="n">
        <f aca="false">IF(D1285="","",D1285*$B$15)</f>
        <v>0.288425008451152</v>
      </c>
      <c r="F1285" s="16" t="n">
        <f aca="false" t="array" ref="F1285:F1285">IF(D1285="","",IFERROR(INDEX(Dados_Evap!$C$2:$N$15,MATCH($B$9,Dados_Evap!$A$2:$A$15,0),C1285),0))</f>
        <v>124.9</v>
      </c>
      <c r="G1285" s="16" t="n">
        <f aca="false">IF(F1285="","",F1285/1000)</f>
        <v>0.1249</v>
      </c>
      <c r="H1285" s="16" t="n">
        <f aca="false">IF(D1285="","",MAX(0,MIN($B$8,IFERROR(LOOKUP(2,1/($U$24:U1284&lt;&gt;""),$U$24:U1284),$B$11))))</f>
        <v>3.01564949120147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0.598056565125872</v>
      </c>
      <c r="J1285" s="16" t="n">
        <f aca="false">IF(D1285="","",$B$12)</f>
        <v>0.25</v>
      </c>
      <c r="K1285" s="16" t="n">
        <f aca="false">IF(J1285="","",J1285*$B$15)</f>
        <v>0.648</v>
      </c>
      <c r="L1285" s="16" t="n">
        <f aca="false">IF(D1285="","",H1285+E1285-K1285-G1285*I1285)</f>
        <v>2.5813772346684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0.536566688094641</v>
      </c>
      <c r="N1285" s="16" t="n">
        <f aca="false">IF(D1285="","",(I1285+M1285)/2)</f>
        <v>0.567311626610256</v>
      </c>
      <c r="O1285" s="16" t="n">
        <f aca="false">IF(D1285="","",G1285*N1285)</f>
        <v>0.070857222163621</v>
      </c>
      <c r="P1285" s="16" t="n">
        <f aca="false">IF(D1285="","",H1285+E1285-K1285-O1285)</f>
        <v>2.585217277489</v>
      </c>
      <c r="Q1285" s="16" t="n">
        <f aca="false">IF(D1285="","",IF(P1285&gt;=0,K1285,MAX(0,K1285+P1285)))</f>
        <v>0.648</v>
      </c>
      <c r="R1285" s="16" t="n">
        <f aca="false">IF(D1285="","",Q1285/$B$15)</f>
        <v>0.25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2.585217277489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12.1371703168498</v>
      </c>
      <c r="Z1285" s="18" t="n">
        <f aca="false">IF(D1285="","",MAX(0,IF(P1285&gt;=0,P1285,IF(K1285+P1285&gt;=0,0,P1285+K1285))))</f>
        <v>2.585217277489</v>
      </c>
      <c r="AA1285" s="18" t="n">
        <f aca="false">IF(D1285="","",IF(H1285&lt;=$B$16,1,IF(H1285&gt;=$B$17,$B$21,MATCH(H1285,Aux_CAV!$A$2:$A$121,1))))</f>
        <v>3</v>
      </c>
      <c r="AB1285" s="18" t="n">
        <f aca="false">IF(D1285="","",IF(L1285&lt;=$B$16,1,IF(L1285&gt;=$B$17,$B$21,MATCH(L1285,Aux_CAV!$A$2:$A$121,1))))</f>
        <v>3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0.506529422082087</v>
      </c>
      <c r="E1286" s="16" t="n">
        <f aca="false">IF(D1286="","",D1286*$B$15)</f>
        <v>1.31292426203677</v>
      </c>
      <c r="F1286" s="16" t="n">
        <f aca="false" t="array" ref="F1286:F1286">IF(D1286="","",IFERROR(INDEX(Dados_Evap!$C$2:$N$15,MATCH($B$9,Dados_Evap!$A$2:$A$15,0),C1286),0))</f>
        <v>88.2</v>
      </c>
      <c r="G1286" s="16" t="n">
        <f aca="false">IF(F1286="","",F1286/1000)</f>
        <v>0.0882</v>
      </c>
      <c r="H1286" s="16" t="n">
        <f aca="false">IF(D1286="","",MAX(0,MIN($B$8,IFERROR(LOOKUP(2,1/($U$24:U1285&lt;&gt;""),$U$24:U1285),$B$11))))</f>
        <v>2.585217277489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0.537110410971894</v>
      </c>
      <c r="J1286" s="16" t="n">
        <f aca="false">IF(D1286="","",$B$12)</f>
        <v>0.25</v>
      </c>
      <c r="K1286" s="16" t="n">
        <f aca="false">IF(J1286="","",J1286*$B$15)</f>
        <v>0.648</v>
      </c>
      <c r="L1286" s="16" t="n">
        <f aca="false">IF(D1286="","",H1286+E1286-K1286-G1286*I1286)</f>
        <v>3.20276840127805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0.615994823407886</v>
      </c>
      <c r="N1286" s="16" t="n">
        <f aca="false">IF(D1286="","",(I1286+M1286)/2)</f>
        <v>0.57655261718989</v>
      </c>
      <c r="O1286" s="16" t="n">
        <f aca="false">IF(D1286="","",G1286*N1286)</f>
        <v>0.0508519408361483</v>
      </c>
      <c r="P1286" s="16" t="n">
        <f aca="false">IF(D1286="","",H1286+E1286-K1286-O1286)</f>
        <v>3.19928959868962</v>
      </c>
      <c r="Q1286" s="16" t="n">
        <f aca="false">IF(D1286="","",IF(P1286&gt;=0,K1286,MAX(0,K1286+P1286)))</f>
        <v>0.648</v>
      </c>
      <c r="R1286" s="16" t="n">
        <f aca="false">IF(D1286="","",Q1286/$B$15)</f>
        <v>0.25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3.19928959868962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15.0201389609841</v>
      </c>
      <c r="Z1286" s="18" t="n">
        <f aca="false">IF(D1286="","",MAX(0,IF(P1286&gt;=0,P1286,IF(K1286+P1286&gt;=0,0,P1286+K1286))))</f>
        <v>3.19928959868962</v>
      </c>
      <c r="AA1286" s="18" t="n">
        <f aca="false">IF(D1286="","",IF(H1286&lt;=$B$16,1,IF(H1286&gt;=$B$17,$B$21,MATCH(H1286,Aux_CAV!$A$2:$A$121,1))))</f>
        <v>3</v>
      </c>
      <c r="AB1286" s="18" t="n">
        <f aca="false">IF(D1286="","",IF(L1286&lt;=$B$16,1,IF(L1286&gt;=$B$17,$B$21,MATCH(L1286,Aux_CAV!$A$2:$A$121,1))))</f>
        <v>4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0.768695685425745</v>
      </c>
      <c r="E1287" s="16" t="n">
        <f aca="false">IF(D1287="","",D1287*$B$15)</f>
        <v>1.99245921662353</v>
      </c>
      <c r="F1287" s="16" t="n">
        <f aca="false" t="array" ref="F1287:F1287">IF(D1287="","",IFERROR(INDEX(Dados_Evap!$C$2:$N$15,MATCH($B$9,Dados_Evap!$A$2:$A$15,0),C1287),0))</f>
        <v>88.2</v>
      </c>
      <c r="G1287" s="16" t="n">
        <f aca="false">IF(F1287="","",F1287/1000)</f>
        <v>0.0882</v>
      </c>
      <c r="H1287" s="16" t="n">
        <f aca="false">IF(D1287="","",MAX(0,MIN($B$8,IFERROR(LOOKUP(2,1/($U$24:U1286&lt;&gt;""),$U$24:U1286),$B$11))))</f>
        <v>3.19928959868962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0.615791893256895</v>
      </c>
      <c r="J1287" s="16" t="n">
        <f aca="false">IF(D1287="","",$B$12)</f>
        <v>0.25</v>
      </c>
      <c r="K1287" s="16" t="n">
        <f aca="false">IF(J1287="","",J1287*$B$15)</f>
        <v>0.648</v>
      </c>
      <c r="L1287" s="16" t="n">
        <f aca="false">IF(D1287="","",H1287+E1287-K1287-G1287*I1287)</f>
        <v>4.4894359703279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0.691050431602461</v>
      </c>
      <c r="N1287" s="16" t="n">
        <f aca="false">IF(D1287="","",(I1287+M1287)/2)</f>
        <v>0.653421162429678</v>
      </c>
      <c r="O1287" s="16" t="n">
        <f aca="false">IF(D1287="","",G1287*N1287)</f>
        <v>0.0576317465262976</v>
      </c>
      <c r="P1287" s="16" t="n">
        <f aca="false">IF(D1287="","",H1287+E1287-K1287-O1287)</f>
        <v>4.48611706878686</v>
      </c>
      <c r="Q1287" s="16" t="n">
        <f aca="false">IF(D1287="","",IF(P1287&gt;=0,K1287,MAX(0,K1287+P1287)))</f>
        <v>0.648</v>
      </c>
      <c r="R1287" s="16" t="n">
        <f aca="false">IF(D1287="","",Q1287/$B$15)</f>
        <v>0.25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4.48611706878686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21.0615824825674</v>
      </c>
      <c r="Z1287" s="18" t="n">
        <f aca="false">IF(D1287="","",MAX(0,IF(P1287&gt;=0,P1287,IF(K1287+P1287&gt;=0,0,P1287+K1287))))</f>
        <v>4.48611706878686</v>
      </c>
      <c r="AA1287" s="18" t="n">
        <f aca="false">IF(D1287="","",IF(H1287&lt;=$B$16,1,IF(H1287&gt;=$B$17,$B$21,MATCH(H1287,Aux_CAV!$A$2:$A$121,1))))</f>
        <v>4</v>
      </c>
      <c r="AB1287" s="18" t="n">
        <f aca="false">IF(D1287="","",IF(L1287&lt;=$B$16,1,IF(L1287&gt;=$B$17,$B$21,MATCH(L1287,Aux_CAV!$A$2:$A$121,1))))</f>
        <v>4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0.179830606457184</v>
      </c>
      <c r="E1288" s="16" t="n">
        <f aca="false">IF(D1288="","",D1288*$B$15)</f>
        <v>0.466120931937021</v>
      </c>
      <c r="F1288" s="16" t="n">
        <f aca="false" t="array" ref="F1288:F1288">IF(D1288="","",IFERROR(INDEX(Dados_Evap!$C$2:$N$15,MATCH($B$9,Dados_Evap!$A$2:$A$15,0),C1288),0))</f>
        <v>83.9</v>
      </c>
      <c r="G1288" s="16" t="n">
        <f aca="false">IF(F1288="","",F1288/1000)</f>
        <v>0.0839</v>
      </c>
      <c r="H1288" s="16" t="n">
        <f aca="false">IF(D1288="","",MAX(0,MIN($B$8,IFERROR(LOOKUP(2,1/($U$24:U1287&lt;&gt;""),$U$24:U1287),$B$11))))</f>
        <v>4.48611706878686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0.690856829012567</v>
      </c>
      <c r="J1288" s="16" t="n">
        <f aca="false">IF(D1288="","",$B$12)</f>
        <v>0.25</v>
      </c>
      <c r="K1288" s="16" t="n">
        <f aca="false">IF(J1288="","",J1288*$B$15)</f>
        <v>0.648</v>
      </c>
      <c r="L1288" s="16" t="n">
        <f aca="false">IF(D1288="","",H1288+E1288-K1288-G1288*I1288)</f>
        <v>4.24627511276972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0.676866048244901</v>
      </c>
      <c r="N1288" s="16" t="n">
        <f aca="false">IF(D1288="","",(I1288+M1288)/2)</f>
        <v>0.683861438628734</v>
      </c>
      <c r="O1288" s="16" t="n">
        <f aca="false">IF(D1288="","",G1288*N1288)</f>
        <v>0.0573759747009507</v>
      </c>
      <c r="P1288" s="16" t="n">
        <f aca="false">IF(D1288="","",H1288+E1288-K1288-O1288)</f>
        <v>4.24686202602293</v>
      </c>
      <c r="Q1288" s="16" t="n">
        <f aca="false">IF(D1288="","",IF(P1288&gt;=0,K1288,MAX(0,K1288+P1288)))</f>
        <v>0.648</v>
      </c>
      <c r="R1288" s="16" t="n">
        <f aca="false">IF(D1288="","",Q1288/$B$15)</f>
        <v>0.25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4.24686202602293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19.9383193709997</v>
      </c>
      <c r="Z1288" s="18" t="n">
        <f aca="false">IF(D1288="","",MAX(0,IF(P1288&gt;=0,P1288,IF(K1288+P1288&gt;=0,0,P1288+K1288))))</f>
        <v>4.24686202602293</v>
      </c>
      <c r="AA1288" s="18" t="n">
        <f aca="false">IF(D1288="","",IF(H1288&lt;=$B$16,1,IF(H1288&gt;=$B$17,$B$21,MATCH(H1288,Aux_CAV!$A$2:$A$121,1))))</f>
        <v>4</v>
      </c>
      <c r="AB1288" s="18" t="n">
        <f aca="false">IF(D1288="","",IF(L1288&lt;=$B$16,1,IF(L1288&gt;=$B$17,$B$21,MATCH(L1288,Aux_CAV!$A$2:$A$121,1))))</f>
        <v>4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0.171614122267612</v>
      </c>
      <c r="E1289" s="16" t="n">
        <f aca="false">IF(D1289="","",D1289*$B$15)</f>
        <v>0.44482380491765</v>
      </c>
      <c r="F1289" s="16" t="n">
        <f aca="false" t="array" ref="F1289:F1289">IF(D1289="","",IFERROR(INDEX(Dados_Evap!$C$2:$N$15,MATCH($B$9,Dados_Evap!$A$2:$A$15,0),C1289),0))</f>
        <v>104.7</v>
      </c>
      <c r="G1289" s="16" t="n">
        <f aca="false">IF(F1289="","",F1289/1000)</f>
        <v>0.1047</v>
      </c>
      <c r="H1289" s="16" t="n">
        <f aca="false">IF(D1289="","",MAX(0,MIN($B$8,IFERROR(LOOKUP(2,1/($U$24:U1288&lt;&gt;""),$U$24:U1288),$B$11))))</f>
        <v>4.24686202602293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0.676900284851337</v>
      </c>
      <c r="J1289" s="16" t="n">
        <f aca="false">IF(D1289="","",$B$12)</f>
        <v>0.25</v>
      </c>
      <c r="K1289" s="16" t="n">
        <f aca="false">IF(J1289="","",J1289*$B$15)</f>
        <v>0.648</v>
      </c>
      <c r="L1289" s="16" t="n">
        <f aca="false">IF(D1289="","",H1289+E1289-K1289-G1289*I1289)</f>
        <v>3.97281437111664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0.660914171648471</v>
      </c>
      <c r="N1289" s="16" t="n">
        <f aca="false">IF(D1289="","",(I1289+M1289)/2)</f>
        <v>0.668907228249904</v>
      </c>
      <c r="O1289" s="16" t="n">
        <f aca="false">IF(D1289="","",G1289*N1289)</f>
        <v>0.070034586797765</v>
      </c>
      <c r="P1289" s="16" t="n">
        <f aca="false">IF(D1289="","",H1289+E1289-K1289-O1289)</f>
        <v>3.97365124414281</v>
      </c>
      <c r="Q1289" s="16" t="n">
        <f aca="false">IF(D1289="","",IF(P1289&gt;=0,K1289,MAX(0,K1289+P1289)))</f>
        <v>0.648</v>
      </c>
      <c r="R1289" s="16" t="n">
        <f aca="false">IF(D1289="","",Q1289/$B$15)</f>
        <v>0.25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3.97365124414281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18.655639643863</v>
      </c>
      <c r="Z1289" s="18" t="n">
        <f aca="false">IF(D1289="","",MAX(0,IF(P1289&gt;=0,P1289,IF(K1289+P1289&gt;=0,0,P1289+K1289))))</f>
        <v>3.97365124414281</v>
      </c>
      <c r="AA1289" s="18" t="n">
        <f aca="false">IF(D1289="","",IF(H1289&lt;=$B$16,1,IF(H1289&gt;=$B$17,$B$21,MATCH(H1289,Aux_CAV!$A$2:$A$121,1))))</f>
        <v>4</v>
      </c>
      <c r="AB1289" s="18" t="n">
        <f aca="false">IF(D1289="","",IF(L1289&lt;=$B$16,1,IF(L1289&gt;=$B$17,$B$21,MATCH(L1289,Aux_CAV!$A$2:$A$121,1))))</f>
        <v>4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0.22779779645046</v>
      </c>
      <c r="E1290" s="16" t="n">
        <f aca="false">IF(D1290="","",D1290*$B$15)</f>
        <v>0.590451888399592</v>
      </c>
      <c r="F1290" s="16" t="n">
        <f aca="false" t="array" ref="F1290:F1290">IF(D1290="","",IFERROR(INDEX(Dados_Evap!$C$2:$N$15,MATCH($B$9,Dados_Evap!$A$2:$A$15,0),C1290),0))</f>
        <v>145.2</v>
      </c>
      <c r="G1290" s="16" t="n">
        <f aca="false">IF(F1290="","",F1290/1000)</f>
        <v>0.1452</v>
      </c>
      <c r="H1290" s="16" t="n">
        <f aca="false">IF(D1290="","",MAX(0,MIN($B$8,IFERROR(LOOKUP(2,1/($U$24:U1289&lt;&gt;""),$U$24:U1289),$B$11))))</f>
        <v>3.97365124414281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0.660962989241664</v>
      </c>
      <c r="J1290" s="16" t="n">
        <f aca="false">IF(D1290="","",$B$12)</f>
        <v>0.25</v>
      </c>
      <c r="K1290" s="16" t="n">
        <f aca="false">IF(J1290="","",J1290*$B$15)</f>
        <v>0.648</v>
      </c>
      <c r="L1290" s="16" t="n">
        <f aca="false">IF(D1290="","",H1290+E1290-K1290-G1290*I1290)</f>
        <v>3.82013130650451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0.652007659546097</v>
      </c>
      <c r="N1290" s="16" t="n">
        <f aca="false">IF(D1290="","",(I1290+M1290)/2)</f>
        <v>0.65648532439388</v>
      </c>
      <c r="O1290" s="16" t="n">
        <f aca="false">IF(D1290="","",G1290*N1290)</f>
        <v>0.0953216691019914</v>
      </c>
      <c r="P1290" s="16" t="n">
        <f aca="false">IF(D1290="","",H1290+E1290-K1290-O1290)</f>
        <v>3.82078146344041</v>
      </c>
      <c r="Q1290" s="16" t="n">
        <f aca="false">IF(D1290="","",IF(P1290&gt;=0,K1290,MAX(0,K1290+P1290)))</f>
        <v>0.648</v>
      </c>
      <c r="R1290" s="16" t="n">
        <f aca="false">IF(D1290="","",Q1290/$B$15)</f>
        <v>0.25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3.82078146344041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17.9379411429127</v>
      </c>
      <c r="Z1290" s="18" t="n">
        <f aca="false">IF(D1290="","",MAX(0,IF(P1290&gt;=0,P1290,IF(K1290+P1290&gt;=0,0,P1290+K1290))))</f>
        <v>3.82078146344041</v>
      </c>
      <c r="AA1290" s="18" t="n">
        <f aca="false">IF(D1290="","",IF(H1290&lt;=$B$16,1,IF(H1290&gt;=$B$17,$B$21,MATCH(H1290,Aux_CAV!$A$2:$A$121,1))))</f>
        <v>4</v>
      </c>
      <c r="AB1290" s="18" t="n">
        <f aca="false">IF(D1290="","",IF(L1290&lt;=$B$16,1,IF(L1290&gt;=$B$17,$B$21,MATCH(L1290,Aux_CAV!$A$2:$A$121,1))))</f>
        <v>4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0.036711330202621</v>
      </c>
      <c r="E1291" s="16" t="n">
        <f aca="false">IF(D1291="","",D1291*$B$15)</f>
        <v>0.0951557678851936</v>
      </c>
      <c r="F1291" s="16" t="n">
        <f aca="false" t="array" ref="F1291:F1291">IF(D1291="","",IFERROR(INDEX(Dados_Evap!$C$2:$N$15,MATCH($B$9,Dados_Evap!$A$2:$A$15,0),C1291),0))</f>
        <v>180.9</v>
      </c>
      <c r="G1291" s="16" t="n">
        <f aca="false">IF(F1291="","",F1291/1000)</f>
        <v>0.1809</v>
      </c>
      <c r="H1291" s="16" t="n">
        <f aca="false">IF(D1291="","",MAX(0,MIN($B$8,IFERROR(LOOKUP(2,1/($U$24:U1290&lt;&gt;""),$U$24:U1290),$B$11))))</f>
        <v>3.82078146344041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0.652045585367357</v>
      </c>
      <c r="J1291" s="16" t="n">
        <f aca="false">IF(D1291="","",$B$12)</f>
        <v>0.25</v>
      </c>
      <c r="K1291" s="16" t="n">
        <f aca="false">IF(J1291="","",J1291*$B$15)</f>
        <v>0.648</v>
      </c>
      <c r="L1291" s="16" t="n">
        <f aca="false">IF(D1291="","",H1291+E1291-K1291-G1291*I1291)</f>
        <v>3.14998218493265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0.612915627454405</v>
      </c>
      <c r="N1291" s="16" t="n">
        <f aca="false">IF(D1291="","",(I1291+M1291)/2)</f>
        <v>0.632480606410881</v>
      </c>
      <c r="O1291" s="16" t="n">
        <f aca="false">IF(D1291="","",G1291*N1291)</f>
        <v>0.114415741699728</v>
      </c>
      <c r="P1291" s="16" t="n">
        <f aca="false">IF(D1291="","",H1291+E1291-K1291-O1291)</f>
        <v>3.15352148962588</v>
      </c>
      <c r="Q1291" s="16" t="n">
        <f aca="false">IF(D1291="","",IF(P1291&gt;=0,K1291,MAX(0,K1291+P1291)))</f>
        <v>0.648</v>
      </c>
      <c r="R1291" s="16" t="n">
        <f aca="false">IF(D1291="","",Q1291/$B$15)</f>
        <v>0.25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3.15352148962588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14.8052652095112</v>
      </c>
      <c r="Z1291" s="18" t="n">
        <f aca="false">IF(D1291="","",MAX(0,IF(P1291&gt;=0,P1291,IF(K1291+P1291&gt;=0,0,P1291+K1291))))</f>
        <v>3.15352148962588</v>
      </c>
      <c r="AA1291" s="18" t="n">
        <f aca="false">IF(D1291="","",IF(H1291&lt;=$B$16,1,IF(H1291&gt;=$B$17,$B$21,MATCH(H1291,Aux_CAV!$A$2:$A$121,1))))</f>
        <v>4</v>
      </c>
      <c r="AB1291" s="18" t="n">
        <f aca="false">IF(D1291="","",IF(L1291&lt;=$B$16,1,IF(L1291&gt;=$B$17,$B$21,MATCH(L1291,Aux_CAV!$A$2:$A$121,1))))</f>
        <v>4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0.0273143186427129</v>
      </c>
      <c r="E1292" s="16" t="n">
        <f aca="false">IF(D1292="","",D1292*$B$15)</f>
        <v>0.0707987139219118</v>
      </c>
      <c r="F1292" s="16" t="n">
        <f aca="false" t="array" ref="F1292:F1292">IF(D1292="","",IFERROR(INDEX(Dados_Evap!$C$2:$N$15,MATCH($B$9,Dados_Evap!$A$2:$A$15,0),C1292),0))</f>
        <v>208.9</v>
      </c>
      <c r="G1292" s="16" t="n">
        <f aca="false">IF(F1292="","",F1292/1000)</f>
        <v>0.2089</v>
      </c>
      <c r="H1292" s="16" t="n">
        <f aca="false">IF(D1292="","",MAX(0,MIN($B$8,IFERROR(LOOKUP(2,1/($U$24:U1291&lt;&gt;""),$U$24:U1291),$B$11))))</f>
        <v>3.15352148962588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0.613122086894843</v>
      </c>
      <c r="J1292" s="16" t="n">
        <f aca="false">IF(D1292="","",$B$12)</f>
        <v>0.25</v>
      </c>
      <c r="K1292" s="16" t="n">
        <f aca="false">IF(J1292="","",J1292*$B$15)</f>
        <v>0.648</v>
      </c>
      <c r="L1292" s="16" t="n">
        <f aca="false">IF(D1292="","",H1292+E1292-K1292-G1292*I1292)</f>
        <v>2.44823899959546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0.517715256579888</v>
      </c>
      <c r="N1292" s="16" t="n">
        <f aca="false">IF(D1292="","",(I1292+M1292)/2)</f>
        <v>0.565418671737365</v>
      </c>
      <c r="O1292" s="16" t="n">
        <f aca="false">IF(D1292="","",G1292*N1292)</f>
        <v>0.118115960525936</v>
      </c>
      <c r="P1292" s="16" t="n">
        <f aca="false">IF(D1292="","",H1292+E1292-K1292-O1292)</f>
        <v>2.45820424302185</v>
      </c>
      <c r="Q1292" s="16" t="n">
        <f aca="false">IF(D1292="","",IF(P1292&gt;=0,K1292,MAX(0,K1292+P1292)))</f>
        <v>0.648</v>
      </c>
      <c r="R1292" s="16" t="n">
        <f aca="false">IF(D1292="","",Q1292/$B$15)</f>
        <v>0.25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2.45820424302185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11.5408649907129</v>
      </c>
      <c r="Z1292" s="18" t="n">
        <f aca="false">IF(D1292="","",MAX(0,IF(P1292&gt;=0,P1292,IF(K1292+P1292&gt;=0,0,P1292+K1292))))</f>
        <v>2.45820424302185</v>
      </c>
      <c r="AA1292" s="18" t="n">
        <f aca="false">IF(D1292="","",IF(H1292&lt;=$B$16,1,IF(H1292&gt;=$B$17,$B$21,MATCH(H1292,Aux_CAV!$A$2:$A$121,1))))</f>
        <v>4</v>
      </c>
      <c r="AB1292" s="18" t="n">
        <f aca="false">IF(D1292="","",IF(L1292&lt;=$B$16,1,IF(L1292&gt;=$B$17,$B$21,MATCH(L1292,Aux_CAV!$A$2:$A$121,1))))</f>
        <v>3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0.0165601848874642</v>
      </c>
      <c r="E1293" s="16" t="n">
        <f aca="false">IF(D1293="","",D1293*$B$15)</f>
        <v>0.0429239992283072</v>
      </c>
      <c r="F1293" s="16" t="n">
        <f aca="false" t="array" ref="F1293:F1293">IF(D1293="","",IFERROR(INDEX(Dados_Evap!$C$2:$N$15,MATCH($B$9,Dados_Evap!$A$2:$A$15,0),C1293),0))</f>
        <v>235.9</v>
      </c>
      <c r="G1293" s="16" t="n">
        <f aca="false">IF(F1293="","",F1293/1000)</f>
        <v>0.2359</v>
      </c>
      <c r="H1293" s="16" t="n">
        <f aca="false">IF(D1293="","",MAX(0,MIN($B$8,IFERROR(LOOKUP(2,1/($U$24:U1292&lt;&gt;""),$U$24:U1292),$B$11))))</f>
        <v>2.45820424302185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0.51912626449867</v>
      </c>
      <c r="J1293" s="16" t="n">
        <f aca="false">IF(D1293="","",$B$12)</f>
        <v>0.25</v>
      </c>
      <c r="K1293" s="16" t="n">
        <f aca="false">IF(J1293="","",J1293*$B$15)</f>
        <v>0.648</v>
      </c>
      <c r="L1293" s="16" t="n">
        <f aca="false">IF(D1293="","",H1293+E1293-K1293-G1293*I1293)</f>
        <v>1.73066635645492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0.416112050471494</v>
      </c>
      <c r="N1293" s="16" t="n">
        <f aca="false">IF(D1293="","",(I1293+M1293)/2)</f>
        <v>0.467619157485082</v>
      </c>
      <c r="O1293" s="16" t="n">
        <f aca="false">IF(D1293="","",G1293*N1293)</f>
        <v>0.110311359250731</v>
      </c>
      <c r="P1293" s="16" t="n">
        <f aca="false">IF(D1293="","",H1293+E1293-K1293-O1293)</f>
        <v>1.74281688299943</v>
      </c>
      <c r="Q1293" s="16" t="n">
        <f aca="false">IF(D1293="","",IF(P1293&gt;=0,K1293,MAX(0,K1293+P1293)))</f>
        <v>0.648</v>
      </c>
      <c r="R1293" s="16" t="n">
        <f aca="false">IF(D1293="","",Q1293/$B$15)</f>
        <v>0.25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1.74281688299943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8.18223888732127</v>
      </c>
      <c r="Z1293" s="18" t="n">
        <f aca="false">IF(D1293="","",MAX(0,IF(P1293&gt;=0,P1293,IF(K1293+P1293&gt;=0,0,P1293+K1293))))</f>
        <v>1.74281688299943</v>
      </c>
      <c r="AA1293" s="18" t="n">
        <f aca="false">IF(D1293="","",IF(H1293&lt;=$B$16,1,IF(H1293&gt;=$B$17,$B$21,MATCH(H1293,Aux_CAV!$A$2:$A$121,1))))</f>
        <v>3</v>
      </c>
      <c r="AB1293" s="18" t="n">
        <f aca="false">IF(D1293="","",IF(L1293&lt;=$B$16,1,IF(L1293&gt;=$B$17,$B$21,MATCH(L1293,Aux_CAV!$A$2:$A$121,1))))</f>
        <v>3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0.00928271369322904</v>
      </c>
      <c r="E1294" s="16" t="n">
        <f aca="false">IF(D1294="","",D1294*$B$15)</f>
        <v>0.0240607938928497</v>
      </c>
      <c r="F1294" s="16" t="n">
        <f aca="false" t="array" ref="F1294:F1294">IF(D1294="","",IFERROR(INDEX(Dados_Evap!$C$2:$N$15,MATCH($B$9,Dados_Evap!$A$2:$A$15,0),C1294),0))</f>
        <v>225.9</v>
      </c>
      <c r="G1294" s="16" t="n">
        <f aca="false">IF(F1294="","",F1294/1000)</f>
        <v>0.2259</v>
      </c>
      <c r="H1294" s="16" t="n">
        <f aca="false">IF(D1294="","",MAX(0,MIN($B$8,IFERROR(LOOKUP(2,1/($U$24:U1293&lt;&gt;""),$U$24:U1293),$B$11))))</f>
        <v>1.74281688299943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0.417832479008769</v>
      </c>
      <c r="J1294" s="16" t="n">
        <f aca="false">IF(D1294="","",$B$12)</f>
        <v>0.25</v>
      </c>
      <c r="K1294" s="16" t="n">
        <f aca="false">IF(J1294="","",J1294*$B$15)</f>
        <v>0.648</v>
      </c>
      <c r="L1294" s="16" t="n">
        <f aca="false">IF(D1294="","",H1294+E1294-K1294-G1294*I1294)</f>
        <v>1.0244893198842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0.316122381576524</v>
      </c>
      <c r="N1294" s="16" t="n">
        <f aca="false">IF(D1294="","",(I1294+M1294)/2)</f>
        <v>0.366977430292646</v>
      </c>
      <c r="O1294" s="16" t="n">
        <f aca="false">IF(D1294="","",G1294*N1294)</f>
        <v>0.0829002015031088</v>
      </c>
      <c r="P1294" s="16" t="n">
        <f aca="false">IF(D1294="","",H1294+E1294-K1294-O1294)</f>
        <v>1.03597747538917</v>
      </c>
      <c r="Q1294" s="16" t="n">
        <f aca="false">IF(D1294="","",IF(P1294&gt;=0,K1294,MAX(0,K1294+P1294)))</f>
        <v>0.648</v>
      </c>
      <c r="R1294" s="16" t="n">
        <f aca="false">IF(D1294="","",Q1294/$B$15)</f>
        <v>0.25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1.03597747538917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4.8637440159116</v>
      </c>
      <c r="Z1294" s="18" t="n">
        <f aca="false">IF(D1294="","",MAX(0,IF(P1294&gt;=0,P1294,IF(K1294+P1294&gt;=0,0,P1294+K1294))))</f>
        <v>1.03597747538917</v>
      </c>
      <c r="AA1294" s="18" t="n">
        <f aca="false">IF(D1294="","",IF(H1294&lt;=$B$16,1,IF(H1294&gt;=$B$17,$B$21,MATCH(H1294,Aux_CAV!$A$2:$A$121,1))))</f>
        <v>3</v>
      </c>
      <c r="AB1294" s="18" t="n">
        <f aca="false">IF(D1294="","",IF(L1294&lt;=$B$16,1,IF(L1294&gt;=$B$17,$B$21,MATCH(L1294,Aux_CAV!$A$2:$A$121,1))))</f>
        <v>3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0.0107016272996496</v>
      </c>
      <c r="E1295" s="16" t="n">
        <f aca="false">IF(D1295="","",D1295*$B$15)</f>
        <v>0.0277386179606918</v>
      </c>
      <c r="F1295" s="16" t="n">
        <f aca="false" t="array" ref="F1295:F1295">IF(D1295="","",IFERROR(INDEX(Dados_Evap!$C$2:$N$15,MATCH($B$9,Dados_Evap!$A$2:$A$15,0),C1295),0))</f>
        <v>206</v>
      </c>
      <c r="G1295" s="16" t="n">
        <f aca="false">IF(F1295="","",F1295/1000)</f>
        <v>0.206</v>
      </c>
      <c r="H1295" s="16" t="n">
        <f aca="false">IF(D1295="","",MAX(0,MIN($B$8,IFERROR(LOOKUP(2,1/($U$24:U1294&lt;&gt;""),$U$24:U1294),$B$11))))</f>
        <v>1.03597747538917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0.317749023063953</v>
      </c>
      <c r="J1295" s="16" t="n">
        <f aca="false">IF(D1295="","",$B$12)</f>
        <v>0.25</v>
      </c>
      <c r="K1295" s="16" t="n">
        <f aca="false">IF(J1295="","",J1295*$B$15)</f>
        <v>0.648</v>
      </c>
      <c r="L1295" s="16" t="n">
        <f aca="false">IF(D1295="","",H1295+E1295-K1295-G1295*I1295)</f>
        <v>0.350259794598688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0.122620436128666</v>
      </c>
      <c r="N1295" s="16" t="n">
        <f aca="false">IF(D1295="","",(I1295+M1295)/2)</f>
        <v>0.220184729596309</v>
      </c>
      <c r="O1295" s="16" t="n">
        <f aca="false">IF(D1295="","",G1295*N1295)</f>
        <v>0.0453580542968397</v>
      </c>
      <c r="P1295" s="16" t="n">
        <f aca="false">IF(D1295="","",H1295+E1295-K1295-O1295)</f>
        <v>0.370358039053023</v>
      </c>
      <c r="Q1295" s="16" t="n">
        <f aca="false">IF(D1295="","",IF(P1295&gt;=0,K1295,MAX(0,K1295+P1295)))</f>
        <v>0.648</v>
      </c>
      <c r="R1295" s="16" t="n">
        <f aca="false">IF(D1295="","",Q1295/$B$15)</f>
        <v>0.25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0.370358039053023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1.73877013639917</v>
      </c>
      <c r="Z1295" s="18" t="n">
        <f aca="false">IF(D1295="","",MAX(0,IF(P1295&gt;=0,P1295,IF(K1295+P1295&gt;=0,0,P1295+K1295))))</f>
        <v>0.370358039053023</v>
      </c>
      <c r="AA1295" s="18" t="n">
        <f aca="false">IF(D1295="","",IF(H1295&lt;=$B$16,1,IF(H1295&gt;=$B$17,$B$21,MATCH(H1295,Aux_CAV!$A$2:$A$121,1))))</f>
        <v>3</v>
      </c>
      <c r="AB1295" s="18" t="n">
        <f aca="false">IF(D1295="","",IF(L1295&lt;=$B$16,1,IF(L1295&gt;=$B$17,$B$21,MATCH(L1295,Aux_CAV!$A$2:$A$121,1))))</f>
        <v>2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0.401989552492652</v>
      </c>
      <c r="E1296" s="16" t="n">
        <f aca="false">IF(D1296="","",D1296*$B$15)</f>
        <v>1.04195692006095</v>
      </c>
      <c r="F1296" s="16" t="n">
        <f aca="false" t="array" ref="F1296:F1296">IF(D1296="","",IFERROR(INDEX(Dados_Evap!$C$2:$N$15,MATCH($B$9,Dados_Evap!$A$2:$A$15,0),C1296),0))</f>
        <v>165.6</v>
      </c>
      <c r="G1296" s="16" t="n">
        <f aca="false">IF(F1296="","",F1296/1000)</f>
        <v>0.1656</v>
      </c>
      <c r="H1296" s="16" t="n">
        <f aca="false">IF(D1296="","",MAX(0,MIN($B$8,IFERROR(LOOKUP(2,1/($U$24:U1295&lt;&gt;""),$U$24:U1295),$B$11))))</f>
        <v>0.370358039053023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0.12948945638521</v>
      </c>
      <c r="J1296" s="16" t="n">
        <f aca="false">IF(D1296="","",$B$12)</f>
        <v>0.25</v>
      </c>
      <c r="K1296" s="16" t="n">
        <f aca="false">IF(J1296="","",J1296*$B$15)</f>
        <v>0.648</v>
      </c>
      <c r="L1296" s="16" t="n">
        <f aca="false">IF(D1296="","",H1296+E1296-K1296-G1296*I1296)</f>
        <v>0.742871505136586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0.256804185299846</v>
      </c>
      <c r="N1296" s="16" t="n">
        <f aca="false">IF(D1296="","",(I1296+M1296)/2)</f>
        <v>0.193146820842528</v>
      </c>
      <c r="O1296" s="16" t="n">
        <f aca="false">IF(D1296="","",G1296*N1296)</f>
        <v>0.0319851135315226</v>
      </c>
      <c r="P1296" s="16" t="n">
        <f aca="false">IF(D1296="","",H1296+E1296-K1296-O1296)</f>
        <v>0.732329845582454</v>
      </c>
      <c r="Q1296" s="16" t="n">
        <f aca="false">IF(D1296="","",IF(P1296&gt;=0,K1296,MAX(0,K1296+P1296)))</f>
        <v>0.648</v>
      </c>
      <c r="R1296" s="16" t="n">
        <f aca="false">IF(D1296="","",Q1296/$B$15)</f>
        <v>0.25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0.732329845582454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3.4381682891195</v>
      </c>
      <c r="Z1296" s="18" t="n">
        <f aca="false">IF(D1296="","",MAX(0,IF(P1296&gt;=0,P1296,IF(K1296+P1296&gt;=0,0,P1296+K1296))))</f>
        <v>0.732329845582454</v>
      </c>
      <c r="AA1296" s="18" t="n">
        <f aca="false">IF(D1296="","",IF(H1296&lt;=$B$16,1,IF(H1296&gt;=$B$17,$B$21,MATCH(H1296,Aux_CAV!$A$2:$A$121,1))))</f>
        <v>2</v>
      </c>
      <c r="AB1296" s="18" t="n">
        <f aca="false">IF(D1296="","",IF(L1296&lt;=$B$16,1,IF(L1296&gt;=$B$17,$B$21,MATCH(L1296,Aux_CAV!$A$2:$A$121,1))))</f>
        <v>2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0.274136282084741</v>
      </c>
      <c r="E1297" s="16" t="n">
        <f aca="false">IF(D1297="","",D1297*$B$15)</f>
        <v>0.710561243163649</v>
      </c>
      <c r="F1297" s="16" t="n">
        <f aca="false" t="array" ref="F1297:F1297">IF(D1297="","",IFERROR(INDEX(Dados_Evap!$C$2:$N$15,MATCH($B$9,Dados_Evap!$A$2:$A$15,0),C1297),0))</f>
        <v>124.9</v>
      </c>
      <c r="G1297" s="16" t="n">
        <f aca="false">IF(F1297="","",F1297/1000)</f>
        <v>0.1249</v>
      </c>
      <c r="H1297" s="16" t="n">
        <f aca="false">IF(D1297="","",MAX(0,MIN($B$8,IFERROR(LOOKUP(2,1/($U$24:U1296&lt;&gt;""),$U$24:U1296),$B$11))))</f>
        <v>0.732329845582454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0.253201339629446</v>
      </c>
      <c r="J1297" s="16" t="n">
        <f aca="false">IF(D1297="","",$B$12)</f>
        <v>0.25</v>
      </c>
      <c r="K1297" s="16" t="n">
        <f aca="false">IF(J1297="","",J1297*$B$15)</f>
        <v>0.648</v>
      </c>
      <c r="L1297" s="16" t="n">
        <f aca="false">IF(D1297="","",H1297+E1297-K1297-G1297*I1297)</f>
        <v>0.763266241426385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0.263774538209018</v>
      </c>
      <c r="N1297" s="16" t="n">
        <f aca="false">IF(D1297="","",(I1297+M1297)/2)</f>
        <v>0.258487938919232</v>
      </c>
      <c r="O1297" s="16" t="n">
        <f aca="false">IF(D1297="","",G1297*N1297)</f>
        <v>0.0322851435710121</v>
      </c>
      <c r="P1297" s="16" t="n">
        <f aca="false">IF(D1297="","",H1297+E1297-K1297-O1297)</f>
        <v>0.76260594517509</v>
      </c>
      <c r="Q1297" s="16" t="n">
        <f aca="false">IF(D1297="","",IF(P1297&gt;=0,K1297,MAX(0,K1297+P1297)))</f>
        <v>0.648</v>
      </c>
      <c r="R1297" s="16" t="n">
        <f aca="false">IF(D1297="","",Q1297/$B$15)</f>
        <v>0.25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0.76260594517509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3.58030960176099</v>
      </c>
      <c r="Z1297" s="18" t="n">
        <f aca="false">IF(D1297="","",MAX(0,IF(P1297&gt;=0,P1297,IF(K1297+P1297&gt;=0,0,P1297+K1297))))</f>
        <v>0.76260594517509</v>
      </c>
      <c r="AA1297" s="18" t="n">
        <f aca="false">IF(D1297="","",IF(H1297&lt;=$B$16,1,IF(H1297&gt;=$B$17,$B$21,MATCH(H1297,Aux_CAV!$A$2:$A$121,1))))</f>
        <v>2</v>
      </c>
      <c r="AB1297" s="18" t="n">
        <f aca="false">IF(D1297="","",IF(L1297&lt;=$B$16,1,IF(L1297&gt;=$B$17,$B$21,MATCH(L1297,Aux_CAV!$A$2:$A$121,1))))</f>
        <v>2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0.595551483391062</v>
      </c>
      <c r="E1298" s="16" t="n">
        <f aca="false">IF(D1298="","",D1298*$B$15)</f>
        <v>1.54366944494963</v>
      </c>
      <c r="F1298" s="16" t="n">
        <f aca="false" t="array" ref="F1298:F1298">IF(D1298="","",IFERROR(INDEX(Dados_Evap!$C$2:$N$15,MATCH($B$9,Dados_Evap!$A$2:$A$15,0),C1298),0))</f>
        <v>88.2</v>
      </c>
      <c r="G1298" s="16" t="n">
        <f aca="false">IF(F1298="","",F1298/1000)</f>
        <v>0.0882</v>
      </c>
      <c r="H1298" s="16" t="n">
        <f aca="false">IF(D1298="","",MAX(0,MIN($B$8,IFERROR(LOOKUP(2,1/($U$24:U1297&lt;&gt;""),$U$24:U1297),$B$11))))</f>
        <v>0.76260594517509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0.263548867338322</v>
      </c>
      <c r="J1298" s="16" t="n">
        <f aca="false">IF(D1298="","",$B$12)</f>
        <v>0.25</v>
      </c>
      <c r="K1298" s="16" t="n">
        <f aca="false">IF(J1298="","",J1298*$B$15)</f>
        <v>0.648</v>
      </c>
      <c r="L1298" s="16" t="n">
        <f aca="false">IF(D1298="","",H1298+E1298-K1298-G1298*I1298)</f>
        <v>1.63503038002548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0.402570673277944</v>
      </c>
      <c r="N1298" s="16" t="n">
        <f aca="false">IF(D1298="","",(I1298+M1298)/2)</f>
        <v>0.333059770308133</v>
      </c>
      <c r="O1298" s="16" t="n">
        <f aca="false">IF(D1298="","",G1298*N1298)</f>
        <v>0.0293758717411774</v>
      </c>
      <c r="P1298" s="16" t="n">
        <f aca="false">IF(D1298="","",H1298+E1298-K1298-O1298)</f>
        <v>1.62889951838355</v>
      </c>
      <c r="Q1298" s="16" t="n">
        <f aca="false">IF(D1298="","",IF(P1298&gt;=0,K1298,MAX(0,K1298+P1298)))</f>
        <v>0.648</v>
      </c>
      <c r="R1298" s="16" t="n">
        <f aca="false">IF(D1298="","",Q1298/$B$15)</f>
        <v>0.25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1.62889951838355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7.64741557926547</v>
      </c>
      <c r="Z1298" s="18" t="n">
        <f aca="false">IF(D1298="","",MAX(0,IF(P1298&gt;=0,P1298,IF(K1298+P1298&gt;=0,0,P1298+K1298))))</f>
        <v>1.62889951838355</v>
      </c>
      <c r="AA1298" s="18" t="n">
        <f aca="false">IF(D1298="","",IF(H1298&lt;=$B$16,1,IF(H1298&gt;=$B$17,$B$21,MATCH(H1298,Aux_CAV!$A$2:$A$121,1))))</f>
        <v>2</v>
      </c>
      <c r="AB1298" s="18" t="n">
        <f aca="false">IF(D1298="","",IF(L1298&lt;=$B$16,1,IF(L1298&gt;=$B$17,$B$21,MATCH(L1298,Aux_CAV!$A$2:$A$121,1))))</f>
        <v>3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0.681773653902777</v>
      </c>
      <c r="E1299" s="16" t="n">
        <f aca="false">IF(D1299="","",D1299*$B$15)</f>
        <v>1.767157310916</v>
      </c>
      <c r="F1299" s="16" t="n">
        <f aca="false" t="array" ref="F1299:F1299">IF(D1299="","",IFERROR(INDEX(Dados_Evap!$C$2:$N$15,MATCH($B$9,Dados_Evap!$A$2:$A$15,0),C1299),0))</f>
        <v>88.2</v>
      </c>
      <c r="G1299" s="16" t="n">
        <f aca="false">IF(F1299="","",F1299/1000)</f>
        <v>0.0882</v>
      </c>
      <c r="H1299" s="16" t="n">
        <f aca="false">IF(D1299="","",MAX(0,MIN($B$8,IFERROR(LOOKUP(2,1/($U$24:U1298&lt;&gt;""),$U$24:U1298),$B$11))))</f>
        <v>1.62889951838355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0.401702586673776</v>
      </c>
      <c r="J1299" s="16" t="n">
        <f aca="false">IF(D1299="","",$B$12)</f>
        <v>0.25</v>
      </c>
      <c r="K1299" s="16" t="n">
        <f aca="false">IF(J1299="","",J1299*$B$15)</f>
        <v>0.648</v>
      </c>
      <c r="L1299" s="16" t="n">
        <f aca="false">IF(D1299="","",H1299+E1299-K1299-G1299*I1299)</f>
        <v>2.71262666115492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0.555150677685652</v>
      </c>
      <c r="N1299" s="16" t="n">
        <f aca="false">IF(D1299="","",(I1299+M1299)/2)</f>
        <v>0.478426632179714</v>
      </c>
      <c r="O1299" s="16" t="n">
        <f aca="false">IF(D1299="","",G1299*N1299)</f>
        <v>0.0421972289582508</v>
      </c>
      <c r="P1299" s="16" t="n">
        <f aca="false">IF(D1299="","",H1299+E1299-K1299-O1299)</f>
        <v>2.70585960034129</v>
      </c>
      <c r="Q1299" s="16" t="n">
        <f aca="false">IF(D1299="","",IF(P1299&gt;=0,K1299,MAX(0,K1299+P1299)))</f>
        <v>0.648</v>
      </c>
      <c r="R1299" s="16" t="n">
        <f aca="false">IF(D1299="","",Q1299/$B$15)</f>
        <v>0.25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2.70585960034129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12.7035661987854</v>
      </c>
      <c r="Z1299" s="18" t="n">
        <f aca="false">IF(D1299="","",MAX(0,IF(P1299&gt;=0,P1299,IF(K1299+P1299&gt;=0,0,P1299+K1299))))</f>
        <v>2.70585960034129</v>
      </c>
      <c r="AA1299" s="18" t="n">
        <f aca="false">IF(D1299="","",IF(H1299&lt;=$B$16,1,IF(H1299&gt;=$B$17,$B$21,MATCH(H1299,Aux_CAV!$A$2:$A$121,1))))</f>
        <v>3</v>
      </c>
      <c r="AB1299" s="18" t="n">
        <f aca="false">IF(D1299="","",IF(L1299&lt;=$B$16,1,IF(L1299&gt;=$B$17,$B$21,MATCH(L1299,Aux_CAV!$A$2:$A$121,1))))</f>
        <v>3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0.303416383522385</v>
      </c>
      <c r="E1300" s="16" t="n">
        <f aca="false">IF(D1300="","",D1300*$B$15)</f>
        <v>0.786455266090022</v>
      </c>
      <c r="F1300" s="16" t="n">
        <f aca="false" t="array" ref="F1300:F1300">IF(D1300="","",IFERROR(INDEX(Dados_Evap!$C$2:$N$15,MATCH($B$9,Dados_Evap!$A$2:$A$15,0),C1300),0))</f>
        <v>83.9</v>
      </c>
      <c r="G1300" s="16" t="n">
        <f aca="false">IF(F1300="","",F1300/1000)</f>
        <v>0.0839</v>
      </c>
      <c r="H1300" s="16" t="n">
        <f aca="false">IF(D1300="","",MAX(0,MIN($B$8,IFERROR(LOOKUP(2,1/($U$24:U1299&lt;&gt;""),$U$24:U1299),$B$11))))</f>
        <v>2.70585960034129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0.554192509782838</v>
      </c>
      <c r="J1300" s="16" t="n">
        <f aca="false">IF(D1300="","",$B$12)</f>
        <v>0.25</v>
      </c>
      <c r="K1300" s="16" t="n">
        <f aca="false">IF(J1300="","",J1300*$B$15)</f>
        <v>0.648</v>
      </c>
      <c r="L1300" s="16" t="n">
        <f aca="false">IF(D1300="","",H1300+E1300-K1300-G1300*I1300)</f>
        <v>2.79781811486053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0.567213184405031</v>
      </c>
      <c r="N1300" s="16" t="n">
        <f aca="false">IF(D1300="","",(I1300+M1300)/2)</f>
        <v>0.560702847093935</v>
      </c>
      <c r="O1300" s="16" t="n">
        <f aca="false">IF(D1300="","",G1300*N1300)</f>
        <v>0.0470429688711811</v>
      </c>
      <c r="P1300" s="16" t="n">
        <f aca="false">IF(D1300="","",H1300+E1300-K1300-O1300)</f>
        <v>2.79727189756013</v>
      </c>
      <c r="Q1300" s="16" t="n">
        <f aca="false">IF(D1300="","",IF(P1300&gt;=0,K1300,MAX(0,K1300+P1300)))</f>
        <v>0.648</v>
      </c>
      <c r="R1300" s="16" t="n">
        <f aca="false">IF(D1300="","",Q1300/$B$15)</f>
        <v>0.25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2.79727189756013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13.1327319134279</v>
      </c>
      <c r="Z1300" s="18" t="n">
        <f aca="false">IF(D1300="","",MAX(0,IF(P1300&gt;=0,P1300,IF(K1300+P1300&gt;=0,0,P1300+K1300))))</f>
        <v>2.79727189756013</v>
      </c>
      <c r="AA1300" s="18" t="n">
        <f aca="false">IF(D1300="","",IF(H1300&lt;=$B$16,1,IF(H1300&gt;=$B$17,$B$21,MATCH(H1300,Aux_CAV!$A$2:$A$121,1))))</f>
        <v>3</v>
      </c>
      <c r="AB1300" s="18" t="n">
        <f aca="false">IF(D1300="","",IF(L1300&lt;=$B$16,1,IF(L1300&gt;=$B$17,$B$21,MATCH(L1300,Aux_CAV!$A$2:$A$121,1))))</f>
        <v>3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0.239134450166737</v>
      </c>
      <c r="E1301" s="16" t="n">
        <f aca="false">IF(D1301="","",D1301*$B$15)</f>
        <v>0.619836494832182</v>
      </c>
      <c r="F1301" s="16" t="n">
        <f aca="false" t="array" ref="F1301:F1301">IF(D1301="","",IFERROR(INDEX(Dados_Evap!$C$2:$N$15,MATCH($B$9,Dados_Evap!$A$2:$A$15,0),C1301),0))</f>
        <v>104.7</v>
      </c>
      <c r="G1301" s="16" t="n">
        <f aca="false">IF(F1301="","",F1301/1000)</f>
        <v>0.1047</v>
      </c>
      <c r="H1301" s="16" t="n">
        <f aca="false">IF(D1301="","",MAX(0,MIN($B$8,IFERROR(LOOKUP(2,1/($U$24:U1300&lt;&gt;""),$U$24:U1300),$B$11))))</f>
        <v>2.79727189756013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0.56713584390232</v>
      </c>
      <c r="J1301" s="16" t="n">
        <f aca="false">IF(D1301="","",$B$12)</f>
        <v>0.25</v>
      </c>
      <c r="K1301" s="16" t="n">
        <f aca="false">IF(J1301="","",J1301*$B$15)</f>
        <v>0.648</v>
      </c>
      <c r="L1301" s="16" t="n">
        <f aca="false">IF(D1301="","",H1301+E1301-K1301-G1301*I1301)</f>
        <v>2.70972926953574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0.554740427544884</v>
      </c>
      <c r="N1301" s="16" t="n">
        <f aca="false">IF(D1301="","",(I1301+M1301)/2)</f>
        <v>0.560938135723602</v>
      </c>
      <c r="O1301" s="16" t="n">
        <f aca="false">IF(D1301="","",G1301*N1301)</f>
        <v>0.0587302228102611</v>
      </c>
      <c r="P1301" s="16" t="n">
        <f aca="false">IF(D1301="","",H1301+E1301-K1301-O1301)</f>
        <v>2.71037816958205</v>
      </c>
      <c r="Q1301" s="16" t="n">
        <f aca="false">IF(D1301="","",IF(P1301&gt;=0,K1301,MAX(0,K1301+P1301)))</f>
        <v>0.648</v>
      </c>
      <c r="R1301" s="16" t="n">
        <f aca="false">IF(D1301="","",Q1301/$B$15)</f>
        <v>0.25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2.71037816958205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12.7247801388829</v>
      </c>
      <c r="Z1301" s="18" t="n">
        <f aca="false">IF(D1301="","",MAX(0,IF(P1301&gt;=0,P1301,IF(K1301+P1301&gt;=0,0,P1301+K1301))))</f>
        <v>2.71037816958205</v>
      </c>
      <c r="AA1301" s="18" t="n">
        <f aca="false">IF(D1301="","",IF(H1301&lt;=$B$16,1,IF(H1301&gt;=$B$17,$B$21,MATCH(H1301,Aux_CAV!$A$2:$A$121,1))))</f>
        <v>3</v>
      </c>
      <c r="AB1301" s="18" t="n">
        <f aca="false">IF(D1301="","",IF(L1301&lt;=$B$16,1,IF(L1301&gt;=$B$17,$B$21,MATCH(L1301,Aux_CAV!$A$2:$A$121,1))))</f>
        <v>3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0.0622802933008656</v>
      </c>
      <c r="E1302" s="16" t="n">
        <f aca="false">IF(D1302="","",D1302*$B$15)</f>
        <v>0.161430520235844</v>
      </c>
      <c r="F1302" s="16" t="n">
        <f aca="false" t="array" ref="F1302:F1302">IF(D1302="","",IFERROR(INDEX(Dados_Evap!$C$2:$N$15,MATCH($B$9,Dados_Evap!$A$2:$A$15,0),C1302),0))</f>
        <v>145.2</v>
      </c>
      <c r="G1302" s="16" t="n">
        <f aca="false">IF(F1302="","",F1302/1000)</f>
        <v>0.1452</v>
      </c>
      <c r="H1302" s="16" t="n">
        <f aca="false">IF(D1302="","",MAX(0,MIN($B$8,IFERROR(LOOKUP(2,1/($U$24:U1301&lt;&gt;""),$U$24:U1301),$B$11))))</f>
        <v>2.71037816958205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0.554832307197459</v>
      </c>
      <c r="J1302" s="16" t="n">
        <f aca="false">IF(D1302="","",$B$12)</f>
        <v>0.25</v>
      </c>
      <c r="K1302" s="16" t="n">
        <f aca="false">IF(J1302="","",J1302*$B$15)</f>
        <v>0.648</v>
      </c>
      <c r="L1302" s="16" t="n">
        <f aca="false">IF(D1302="","",H1302+E1302-K1302-G1302*I1302)</f>
        <v>2.14324703881283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0.474530554168188</v>
      </c>
      <c r="N1302" s="16" t="n">
        <f aca="false">IF(D1302="","",(I1302+M1302)/2)</f>
        <v>0.514681430682824</v>
      </c>
      <c r="O1302" s="16" t="n">
        <f aca="false">IF(D1302="","",G1302*N1302)</f>
        <v>0.074731743735146</v>
      </c>
      <c r="P1302" s="16" t="n">
        <f aca="false">IF(D1302="","",H1302+E1302-K1302-O1302)</f>
        <v>2.14907694608275</v>
      </c>
      <c r="Q1302" s="16" t="n">
        <f aca="false">IF(D1302="","",IF(P1302&gt;=0,K1302,MAX(0,K1302+P1302)))</f>
        <v>0.648</v>
      </c>
      <c r="R1302" s="16" t="n">
        <f aca="false">IF(D1302="","",Q1302/$B$15)</f>
        <v>0.25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2.14907694608275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10.0895631271491</v>
      </c>
      <c r="Z1302" s="18" t="n">
        <f aca="false">IF(D1302="","",MAX(0,IF(P1302&gt;=0,P1302,IF(K1302+P1302&gt;=0,0,P1302+K1302))))</f>
        <v>2.14907694608275</v>
      </c>
      <c r="AA1302" s="18" t="n">
        <f aca="false">IF(D1302="","",IF(H1302&lt;=$B$16,1,IF(H1302&gt;=$B$17,$B$21,MATCH(H1302,Aux_CAV!$A$2:$A$121,1))))</f>
        <v>3</v>
      </c>
      <c r="AB1302" s="18" t="n">
        <f aca="false">IF(D1302="","",IF(L1302&lt;=$B$16,1,IF(L1302&gt;=$B$17,$B$21,MATCH(L1302,Aux_CAV!$A$2:$A$121,1))))</f>
        <v>3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0.0453508251411911</v>
      </c>
      <c r="E1303" s="16" t="n">
        <f aca="false">IF(D1303="","",D1303*$B$15)</f>
        <v>0.117549338765967</v>
      </c>
      <c r="F1303" s="16" t="n">
        <f aca="false" t="array" ref="F1303:F1303">IF(D1303="","",IFERROR(INDEX(Dados_Evap!$C$2:$N$15,MATCH($B$9,Dados_Evap!$A$2:$A$15,0),C1303),0))</f>
        <v>180.9</v>
      </c>
      <c r="G1303" s="16" t="n">
        <f aca="false">IF(F1303="","",F1303/1000)</f>
        <v>0.1809</v>
      </c>
      <c r="H1303" s="16" t="n">
        <f aca="false">IF(D1303="","",MAX(0,MIN($B$8,IFERROR(LOOKUP(2,1/($U$24:U1302&lt;&gt;""),$U$24:U1302),$B$11))))</f>
        <v>2.14907694608275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0.47535602776393</v>
      </c>
      <c r="J1303" s="16" t="n">
        <f aca="false">IF(D1303="","",$B$12)</f>
        <v>0.25</v>
      </c>
      <c r="K1303" s="16" t="n">
        <f aca="false">IF(J1303="","",J1303*$B$15)</f>
        <v>0.648</v>
      </c>
      <c r="L1303" s="16" t="n">
        <f aca="false">IF(D1303="","",H1303+E1303-K1303-G1303*I1303)</f>
        <v>1.53263437942622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0.388072124520527</v>
      </c>
      <c r="N1303" s="16" t="n">
        <f aca="false">IF(D1303="","",(I1303+M1303)/2)</f>
        <v>0.431714076142228</v>
      </c>
      <c r="O1303" s="16" t="n">
        <f aca="false">IF(D1303="","",G1303*N1303)</f>
        <v>0.0780970763741291</v>
      </c>
      <c r="P1303" s="16" t="n">
        <f aca="false">IF(D1303="","",H1303+E1303-K1303-O1303)</f>
        <v>1.54052920847459</v>
      </c>
      <c r="Q1303" s="16" t="n">
        <f aca="false">IF(D1303="","",IF(P1303&gt;=0,K1303,MAX(0,K1303+P1303)))</f>
        <v>0.648</v>
      </c>
      <c r="R1303" s="16" t="n">
        <f aca="false">IF(D1303="","",Q1303/$B$15)</f>
        <v>0.25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1.54052920847459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7.23253149518587</v>
      </c>
      <c r="Z1303" s="18" t="n">
        <f aca="false">IF(D1303="","",MAX(0,IF(P1303&gt;=0,P1303,IF(K1303+P1303&gt;=0,0,P1303+K1303))))</f>
        <v>1.54052920847459</v>
      </c>
      <c r="AA1303" s="18" t="n">
        <f aca="false">IF(D1303="","",IF(H1303&lt;=$B$16,1,IF(H1303&gt;=$B$17,$B$21,MATCH(H1303,Aux_CAV!$A$2:$A$121,1))))</f>
        <v>3</v>
      </c>
      <c r="AB1303" s="18" t="n">
        <f aca="false">IF(D1303="","",IF(L1303&lt;=$B$16,1,IF(L1303&gt;=$B$17,$B$21,MATCH(L1303,Aux_CAV!$A$2:$A$121,1))))</f>
        <v>3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0.0296013455439622</v>
      </c>
      <c r="E1304" s="16" t="n">
        <f aca="false">IF(D1304="","",D1304*$B$15)</f>
        <v>0.07672668764995</v>
      </c>
      <c r="F1304" s="16" t="n">
        <f aca="false" t="array" ref="F1304:F1304">IF(D1304="","",IFERROR(INDEX(Dados_Evap!$C$2:$N$15,MATCH($B$9,Dados_Evap!$A$2:$A$15,0),C1304),0))</f>
        <v>208.9</v>
      </c>
      <c r="G1304" s="16" t="n">
        <f aca="false">IF(F1304="","",F1304/1000)</f>
        <v>0.2089</v>
      </c>
      <c r="H1304" s="16" t="n">
        <f aca="false">IF(D1304="","",MAX(0,MIN($B$8,IFERROR(LOOKUP(2,1/($U$24:U1303&lt;&gt;""),$U$24:U1303),$B$11))))</f>
        <v>1.54052920847459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0.389189976421181</v>
      </c>
      <c r="J1304" s="16" t="n">
        <f aca="false">IF(D1304="","",$B$12)</f>
        <v>0.25</v>
      </c>
      <c r="K1304" s="16" t="n">
        <f aca="false">IF(J1304="","",J1304*$B$15)</f>
        <v>0.648</v>
      </c>
      <c r="L1304" s="16" t="n">
        <f aca="false">IF(D1304="","",H1304+E1304-K1304-G1304*I1304)</f>
        <v>0.887954110050155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0.296789962484978</v>
      </c>
      <c r="N1304" s="16" t="n">
        <f aca="false">IF(D1304="","",(I1304+M1304)/2)</f>
        <v>0.342989969453079</v>
      </c>
      <c r="O1304" s="16" t="n">
        <f aca="false">IF(D1304="","",G1304*N1304)</f>
        <v>0.0716506046187483</v>
      </c>
      <c r="P1304" s="16" t="n">
        <f aca="false">IF(D1304="","",H1304+E1304-K1304-O1304)</f>
        <v>0.897605291505792</v>
      </c>
      <c r="Q1304" s="16" t="n">
        <f aca="false">IF(D1304="","",IF(P1304&gt;=0,K1304,MAX(0,K1304+P1304)))</f>
        <v>0.648</v>
      </c>
      <c r="R1304" s="16" t="n">
        <f aca="false">IF(D1304="","",Q1304/$B$15)</f>
        <v>0.25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0.897605291505792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4.21410934979245</v>
      </c>
      <c r="Z1304" s="18" t="n">
        <f aca="false">IF(D1304="","",MAX(0,IF(P1304&gt;=0,P1304,IF(K1304+P1304&gt;=0,0,P1304+K1304))))</f>
        <v>0.897605291505792</v>
      </c>
      <c r="AA1304" s="18" t="n">
        <f aca="false">IF(D1304="","",IF(H1304&lt;=$B$16,1,IF(H1304&gt;=$B$17,$B$21,MATCH(H1304,Aux_CAV!$A$2:$A$121,1))))</f>
        <v>3</v>
      </c>
      <c r="AB1304" s="18" t="n">
        <f aca="false">IF(D1304="","",IF(L1304&lt;=$B$16,1,IF(L1304&gt;=$B$17,$B$21,MATCH(L1304,Aux_CAV!$A$2:$A$121,1))))</f>
        <v>3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0.0171740846522119</v>
      </c>
      <c r="E1305" s="16" t="n">
        <f aca="false">IF(D1305="","",D1305*$B$15)</f>
        <v>0.0445152274185333</v>
      </c>
      <c r="F1305" s="16" t="n">
        <f aca="false" t="array" ref="F1305:F1305">IF(D1305="","",IFERROR(INDEX(Dados_Evap!$C$2:$N$15,MATCH($B$9,Dados_Evap!$A$2:$A$15,0),C1305),0))</f>
        <v>235.9</v>
      </c>
      <c r="G1305" s="16" t="n">
        <f aca="false">IF(F1305="","",F1305/1000)</f>
        <v>0.2359</v>
      </c>
      <c r="H1305" s="16" t="n">
        <f aca="false">IF(D1305="","",MAX(0,MIN($B$8,IFERROR(LOOKUP(2,1/($U$24:U1304&lt;&gt;""),$U$24:U1304),$B$11))))</f>
        <v>0.897605291505792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0.298156501452148</v>
      </c>
      <c r="J1305" s="16" t="n">
        <f aca="false">IF(D1305="","",$B$12)</f>
        <v>0.25</v>
      </c>
      <c r="K1305" s="16" t="n">
        <f aca="false">IF(J1305="","",J1305*$B$15)</f>
        <v>0.648</v>
      </c>
      <c r="L1305" s="16" t="n">
        <f aca="false">IF(D1305="","",H1305+E1305-K1305-G1305*I1305)</f>
        <v>0.223785400231763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0.0793950102057925</v>
      </c>
      <c r="N1305" s="16" t="n">
        <f aca="false">IF(D1305="","",(I1305+M1305)/2)</f>
        <v>0.18877575582897</v>
      </c>
      <c r="O1305" s="16" t="n">
        <f aca="false">IF(D1305="","",G1305*N1305)</f>
        <v>0.044532200800054</v>
      </c>
      <c r="P1305" s="16" t="n">
        <f aca="false">IF(D1305="","",H1305+E1305-K1305-O1305)</f>
        <v>0.249588318124271</v>
      </c>
      <c r="Q1305" s="16" t="n">
        <f aca="false">IF(D1305="","",IF(P1305&gt;=0,K1305,MAX(0,K1305+P1305)))</f>
        <v>0.648</v>
      </c>
      <c r="R1305" s="16" t="n">
        <f aca="false">IF(D1305="","",Q1305/$B$15)</f>
        <v>0.25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0.249588318124271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1.1717761414285</v>
      </c>
      <c r="Z1305" s="18" t="n">
        <f aca="false">IF(D1305="","",MAX(0,IF(P1305&gt;=0,P1305,IF(K1305+P1305&gt;=0,0,P1305+K1305))))</f>
        <v>0.249588318124271</v>
      </c>
      <c r="AA1305" s="18" t="n">
        <f aca="false">IF(D1305="","",IF(H1305&lt;=$B$16,1,IF(H1305&gt;=$B$17,$B$21,MATCH(H1305,Aux_CAV!$A$2:$A$121,1))))</f>
        <v>3</v>
      </c>
      <c r="AB1305" s="18" t="n">
        <f aca="false">IF(D1305="","",IF(L1305&lt;=$B$16,1,IF(L1305&gt;=$B$17,$B$21,MATCH(L1305,Aux_CAV!$A$2:$A$121,1))))</f>
        <v>2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0.00950118178083939</v>
      </c>
      <c r="E1306" s="16" t="n">
        <f aca="false">IF(D1306="","",D1306*$B$15)</f>
        <v>0.0246270631759357</v>
      </c>
      <c r="F1306" s="16" t="n">
        <f aca="false" t="array" ref="F1306:F1306">IF(D1306="","",IFERROR(INDEX(Dados_Evap!$C$2:$N$15,MATCH($B$9,Dados_Evap!$A$2:$A$15,0),C1306),0))</f>
        <v>225.9</v>
      </c>
      <c r="G1306" s="16" t="n">
        <f aca="false">IF(F1306="","",F1306/1000)</f>
        <v>0.2259</v>
      </c>
      <c r="H1306" s="16" t="n">
        <f aca="false">IF(D1306="","",MAX(0,MIN($B$8,IFERROR(LOOKUP(2,1/($U$24:U1305&lt;&gt;""),$U$24:U1305),$B$11))))</f>
        <v>0.249588318124271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0.0882137289791812</v>
      </c>
      <c r="J1306" s="16" t="n">
        <f aca="false">IF(D1306="","",$B$12)</f>
        <v>0.25</v>
      </c>
      <c r="K1306" s="16" t="n">
        <f aca="false">IF(J1306="","",J1306*$B$15)</f>
        <v>0.648</v>
      </c>
      <c r="L1306" s="16" t="n">
        <f aca="false">IF(D1306="","",H1306+E1306-K1306-G1306*I1306)</f>
        <v>-0.393712100076191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0.0441068644895906</v>
      </c>
      <c r="O1306" s="16" t="n">
        <f aca="false">IF(D1306="","",G1306*N1306)</f>
        <v>0.00996374068819852</v>
      </c>
      <c r="P1306" s="16" t="n">
        <f aca="false">IF(D1306="","",H1306+E1306-K1306-O1306)</f>
        <v>-0.383748359387992</v>
      </c>
      <c r="Q1306" s="16" t="n">
        <f aca="false">IF(D1306="","",IF(P1306&gt;=0,K1306,MAX(0,K1306+P1306)))</f>
        <v>0.264251640612008</v>
      </c>
      <c r="R1306" s="16" t="n">
        <f aca="false">IF(D1306="","",Q1306/$B$15)</f>
        <v>0.101948935421299</v>
      </c>
      <c r="S1306" s="16" t="n">
        <f aca="false">IF(D1306="","",MAX(0,J1306-R1306))</f>
        <v>0.148051064578701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2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0.0125030619671452</v>
      </c>
      <c r="E1307" s="16" t="n">
        <f aca="false">IF(D1307="","",D1307*$B$15)</f>
        <v>0.0324079366188404</v>
      </c>
      <c r="F1307" s="16" t="n">
        <f aca="false" t="array" ref="F1307:F1307">IF(D1307="","",IFERROR(INDEX(Dados_Evap!$C$2:$N$15,MATCH($B$9,Dados_Evap!$A$2:$A$15,0),C1307),0))</f>
        <v>206</v>
      </c>
      <c r="G1307" s="16" t="n">
        <f aca="false">IF(F1307="","",F1307/1000)</f>
        <v>0.206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0.25</v>
      </c>
      <c r="K1307" s="16" t="n">
        <f aca="false">IF(J1307="","",J1307*$B$15)</f>
        <v>0.648</v>
      </c>
      <c r="L1307" s="16" t="n">
        <f aca="false">IF(D1307="","",H1307+E1307-K1307-G1307*I1307)</f>
        <v>-0.61559206338116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-0.61559206338116</v>
      </c>
      <c r="Q1307" s="16" t="n">
        <f aca="false">IF(D1307="","",IF(P1307&gt;=0,K1307,MAX(0,K1307+P1307)))</f>
        <v>0.0324079366188403</v>
      </c>
      <c r="R1307" s="16" t="n">
        <f aca="false">IF(D1307="","",Q1307/$B$15)</f>
        <v>0.0125030619671452</v>
      </c>
      <c r="S1307" s="16" t="n">
        <f aca="false">IF(D1307="","",MAX(0,J1307-R1307))</f>
        <v>0.237496938032855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0.0482126493011867</v>
      </c>
      <c r="E1308" s="16" t="n">
        <f aca="false">IF(D1308="","",D1308*$B$15)</f>
        <v>0.124967186988676</v>
      </c>
      <c r="F1308" s="16" t="n">
        <f aca="false" t="array" ref="F1308:F1308">IF(D1308="","",IFERROR(INDEX(Dados_Evap!$C$2:$N$15,MATCH($B$9,Dados_Evap!$A$2:$A$15,0),C1308),0))</f>
        <v>165.6</v>
      </c>
      <c r="G1308" s="16" t="n">
        <f aca="false">IF(F1308="","",F1308/1000)</f>
        <v>0.1656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0.25</v>
      </c>
      <c r="K1308" s="16" t="n">
        <f aca="false">IF(J1308="","",J1308*$B$15)</f>
        <v>0.648</v>
      </c>
      <c r="L1308" s="16" t="n">
        <f aca="false">IF(D1308="","",H1308+E1308-K1308-G1308*I1308)</f>
        <v>-0.523032813011324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-0.523032813011324</v>
      </c>
      <c r="Q1308" s="16" t="n">
        <f aca="false">IF(D1308="","",IF(P1308&gt;=0,K1308,MAX(0,K1308+P1308)))</f>
        <v>0.124967186988676</v>
      </c>
      <c r="R1308" s="16" t="n">
        <f aca="false">IF(D1308="","",Q1308/$B$15)</f>
        <v>0.0482126493011867</v>
      </c>
      <c r="S1308" s="16" t="n">
        <f aca="false">IF(D1308="","",MAX(0,J1308-R1308))</f>
        <v>0.201787350698813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0.282893963550521</v>
      </c>
      <c r="E1309" s="16" t="n">
        <f aca="false">IF(D1309="","",D1309*$B$15)</f>
        <v>0.73326115352295</v>
      </c>
      <c r="F1309" s="16" t="n">
        <f aca="false" t="array" ref="F1309:F1309">IF(D1309="","",IFERROR(INDEX(Dados_Evap!$C$2:$N$15,MATCH($B$9,Dados_Evap!$A$2:$A$15,0),C1309),0))</f>
        <v>124.9</v>
      </c>
      <c r="G1309" s="16" t="n">
        <f aca="false">IF(F1309="","",F1309/1000)</f>
        <v>0.1249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0.25</v>
      </c>
      <c r="K1309" s="16" t="n">
        <f aca="false">IF(J1309="","",J1309*$B$15)</f>
        <v>0.648</v>
      </c>
      <c r="L1309" s="16" t="n">
        <f aca="false">IF(D1309="","",H1309+E1309-K1309-G1309*I1309)</f>
        <v>0.0852611535229504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0.0320512803179704</v>
      </c>
      <c r="N1309" s="16" t="n">
        <f aca="false">IF(D1309="","",(I1309+M1309)/2)</f>
        <v>0.0160256401589852</v>
      </c>
      <c r="O1309" s="16" t="n">
        <f aca="false">IF(D1309="","",G1309*N1309)</f>
        <v>0.00200160245585725</v>
      </c>
      <c r="P1309" s="16" t="n">
        <f aca="false">IF(D1309="","",H1309+E1309-K1309-O1309)</f>
        <v>0.0832595510670931</v>
      </c>
      <c r="Q1309" s="16" t="n">
        <f aca="false">IF(D1309="","",IF(P1309&gt;=0,K1309,MAX(0,K1309+P1309)))</f>
        <v>0.648</v>
      </c>
      <c r="R1309" s="16" t="n">
        <f aca="false">IF(D1309="","",Q1309/$B$15)</f>
        <v>0.25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0.0832595510670931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0.390889911113113</v>
      </c>
      <c r="Z1309" s="18" t="n">
        <f aca="false">IF(D1309="","",MAX(0,IF(P1309&gt;=0,P1309,IF(K1309+P1309&gt;=0,0,P1309+K1309))))</f>
        <v>0.0832595510670931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2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0.990476822917546</v>
      </c>
      <c r="E1310" s="16" t="n">
        <f aca="false">IF(D1310="","",D1310*$B$15)</f>
        <v>2.56731592500228</v>
      </c>
      <c r="F1310" s="16" t="n">
        <f aca="false" t="array" ref="F1310:F1310">IF(D1310="","",IFERROR(INDEX(Dados_Evap!$C$2:$N$15,MATCH($B$9,Dados_Evap!$A$2:$A$15,0),C1310),0))</f>
        <v>88.2</v>
      </c>
      <c r="G1310" s="16" t="n">
        <f aca="false">IF(F1310="","",F1310/1000)</f>
        <v>0.0882</v>
      </c>
      <c r="H1310" s="16" t="n">
        <f aca="false">IF(D1310="","",MAX(0,MIN($B$8,IFERROR(LOOKUP(2,1/($U$24:U1309&lt;&gt;""),$U$24:U1309),$B$11))))</f>
        <v>0.0832595510670931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0.0313671883393863</v>
      </c>
      <c r="J1310" s="16" t="n">
        <f aca="false">IF(D1310="","",$B$12)</f>
        <v>0.25</v>
      </c>
      <c r="K1310" s="16" t="n">
        <f aca="false">IF(J1310="","",J1310*$B$15)</f>
        <v>0.648</v>
      </c>
      <c r="L1310" s="16" t="n">
        <f aca="false">IF(D1310="","",H1310+E1310-K1310-G1310*I1310)</f>
        <v>1.99980889005784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0.4542207277958</v>
      </c>
      <c r="N1310" s="16" t="n">
        <f aca="false">IF(D1310="","",(I1310+M1310)/2)</f>
        <v>0.242793958067593</v>
      </c>
      <c r="O1310" s="16" t="n">
        <f aca="false">IF(D1310="","",G1310*N1310)</f>
        <v>0.0214144271015617</v>
      </c>
      <c r="P1310" s="16" t="n">
        <f aca="false">IF(D1310="","",H1310+E1310-K1310-O1310)</f>
        <v>1.98116104896781</v>
      </c>
      <c r="Q1310" s="16" t="n">
        <f aca="false">IF(D1310="","",IF(P1310&gt;=0,K1310,MAX(0,K1310+P1310)))</f>
        <v>0.648</v>
      </c>
      <c r="R1310" s="16" t="n">
        <f aca="false">IF(D1310="","",Q1310/$B$15)</f>
        <v>0.25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1.98116104896781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9.3012255820085</v>
      </c>
      <c r="Z1310" s="18" t="n">
        <f aca="false">IF(D1310="","",MAX(0,IF(P1310&gt;=0,P1310,IF(K1310+P1310&gt;=0,0,P1310+K1310))))</f>
        <v>1.98116104896781</v>
      </c>
      <c r="AA1310" s="18" t="n">
        <f aca="false">IF(D1310="","",IF(H1310&lt;=$B$16,1,IF(H1310&gt;=$B$17,$B$21,MATCH(H1310,Aux_CAV!$A$2:$A$121,1))))</f>
        <v>2</v>
      </c>
      <c r="AB1310" s="18" t="n">
        <f aca="false">IF(D1310="","",IF(L1310&lt;=$B$16,1,IF(L1310&gt;=$B$17,$B$21,MATCH(L1310,Aux_CAV!$A$2:$A$121,1))))</f>
        <v>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0.80091149674604</v>
      </c>
      <c r="E1311" s="16" t="n">
        <f aca="false">IF(D1311="","",D1311*$B$15)</f>
        <v>2.07596259956574</v>
      </c>
      <c r="F1311" s="16" t="n">
        <f aca="false" t="array" ref="F1311:F1311">IF(D1311="","",IFERROR(INDEX(Dados_Evap!$C$2:$N$15,MATCH($B$9,Dados_Evap!$A$2:$A$15,0),C1311),0))</f>
        <v>88.2</v>
      </c>
      <c r="G1311" s="16" t="n">
        <f aca="false">IF(F1311="","",F1311/1000)</f>
        <v>0.0882</v>
      </c>
      <c r="H1311" s="16" t="n">
        <f aca="false">IF(D1311="","",MAX(0,MIN($B$8,IFERROR(LOOKUP(2,1/($U$24:U1310&lt;&gt;""),$U$24:U1310),$B$11))))</f>
        <v>1.98116104896781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0.451580325517566</v>
      </c>
      <c r="J1311" s="16" t="n">
        <f aca="false">IF(D1311="","",$B$12)</f>
        <v>0.25</v>
      </c>
      <c r="K1311" s="16" t="n">
        <f aca="false">IF(J1311="","",J1311*$B$15)</f>
        <v>0.648</v>
      </c>
      <c r="L1311" s="16" t="n">
        <f aca="false">IF(D1311="","",H1311+E1311-K1311-G1311*I1311)</f>
        <v>3.3692942638229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0.625708832056336</v>
      </c>
      <c r="N1311" s="16" t="n">
        <f aca="false">IF(D1311="","",(I1311+M1311)/2)</f>
        <v>0.538644578786951</v>
      </c>
      <c r="O1311" s="16" t="n">
        <f aca="false">IF(D1311="","",G1311*N1311)</f>
        <v>0.0475084518490091</v>
      </c>
      <c r="P1311" s="16" t="n">
        <f aca="false">IF(D1311="","",H1311+E1311-K1311-O1311)</f>
        <v>3.36161519668454</v>
      </c>
      <c r="Q1311" s="16" t="n">
        <f aca="false">IF(D1311="","",IF(P1311&gt;=0,K1311,MAX(0,K1311+P1311)))</f>
        <v>0.648</v>
      </c>
      <c r="R1311" s="16" t="n">
        <f aca="false">IF(D1311="","",Q1311/$B$15)</f>
        <v>0.25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3.36161519668454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15.7822309703499</v>
      </c>
      <c r="Z1311" s="18" t="n">
        <f aca="false">IF(D1311="","",MAX(0,IF(P1311&gt;=0,P1311,IF(K1311+P1311&gt;=0,0,P1311+K1311))))</f>
        <v>3.36161519668454</v>
      </c>
      <c r="AA1311" s="18" t="n">
        <f aca="false">IF(D1311="","",IF(H1311&lt;=$B$16,1,IF(H1311&gt;=$B$17,$B$21,MATCH(H1311,Aux_CAV!$A$2:$A$121,1))))</f>
        <v>3</v>
      </c>
      <c r="AB1311" s="18" t="n">
        <f aca="false">IF(D1311="","",IF(L1311&lt;=$B$16,1,IF(L1311&gt;=$B$17,$B$21,MATCH(L1311,Aux_CAV!$A$2:$A$121,1))))</f>
        <v>4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0.750895289476758</v>
      </c>
      <c r="E1312" s="16" t="n">
        <f aca="false">IF(D1312="","",D1312*$B$15)</f>
        <v>1.94632059032376</v>
      </c>
      <c r="F1312" s="16" t="n">
        <f aca="false" t="array" ref="F1312:F1312">IF(D1312="","",IFERROR(INDEX(Dados_Evap!$C$2:$N$15,MATCH($B$9,Dados_Evap!$A$2:$A$15,0),C1312),0))</f>
        <v>83.9</v>
      </c>
      <c r="G1312" s="16" t="n">
        <f aca="false">IF(F1312="","",F1312/1000)</f>
        <v>0.0839</v>
      </c>
      <c r="H1312" s="16" t="n">
        <f aca="false">IF(D1312="","",MAX(0,MIN($B$8,IFERROR(LOOKUP(2,1/($U$24:U1311&lt;&gt;""),$U$24:U1311),$B$11))))</f>
        <v>3.36161519668454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0.625260886473265</v>
      </c>
      <c r="J1312" s="16" t="n">
        <f aca="false">IF(D1312="","",$B$12)</f>
        <v>0.25</v>
      </c>
      <c r="K1312" s="16" t="n">
        <f aca="false">IF(J1312="","",J1312*$B$15)</f>
        <v>0.648</v>
      </c>
      <c r="L1312" s="16" t="n">
        <f aca="false">IF(D1312="","",H1312+E1312-K1312-G1312*I1312)</f>
        <v>4.60747639863319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0.697936123253603</v>
      </c>
      <c r="N1312" s="16" t="n">
        <f aca="false">IF(D1312="","",(I1312+M1312)/2)</f>
        <v>0.661598504863434</v>
      </c>
      <c r="O1312" s="16" t="n">
        <f aca="false">IF(D1312="","",G1312*N1312)</f>
        <v>0.0555081145580421</v>
      </c>
      <c r="P1312" s="16" t="n">
        <f aca="false">IF(D1312="","",H1312+E1312-K1312-O1312)</f>
        <v>4.60442767245025</v>
      </c>
      <c r="Q1312" s="16" t="n">
        <f aca="false">IF(D1312="","",IF(P1312&gt;=0,K1312,MAX(0,K1312+P1312)))</f>
        <v>0.648</v>
      </c>
      <c r="R1312" s="16" t="n">
        <f aca="false">IF(D1312="","",Q1312/$B$15)</f>
        <v>0.25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4.60442767245025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21.6170313260575</v>
      </c>
      <c r="Z1312" s="18" t="n">
        <f aca="false">IF(D1312="","",MAX(0,IF(P1312&gt;=0,P1312,IF(K1312+P1312&gt;=0,0,P1312+K1312))))</f>
        <v>4.60442767245025</v>
      </c>
      <c r="AA1312" s="18" t="n">
        <f aca="false">IF(D1312="","",IF(H1312&lt;=$B$16,1,IF(H1312&gt;=$B$17,$B$21,MATCH(H1312,Aux_CAV!$A$2:$A$121,1))))</f>
        <v>4</v>
      </c>
      <c r="AB1312" s="18" t="n">
        <f aca="false">IF(D1312="","",IF(L1312&lt;=$B$16,1,IF(L1312&gt;=$B$17,$B$21,MATCH(L1312,Aux_CAV!$A$2:$A$121,1))))</f>
        <v>4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0.331224680352331</v>
      </c>
      <c r="E1313" s="16" t="n">
        <f aca="false">IF(D1313="","",D1313*$B$15)</f>
        <v>0.858534371473242</v>
      </c>
      <c r="F1313" s="16" t="n">
        <f aca="false" t="array" ref="F1313:F1313">IF(D1313="","",IFERROR(INDEX(Dados_Evap!$C$2:$N$15,MATCH($B$9,Dados_Evap!$A$2:$A$15,0),C1313),0))</f>
        <v>104.7</v>
      </c>
      <c r="G1313" s="16" t="n">
        <f aca="false">IF(F1313="","",F1313/1000)</f>
        <v>0.1047</v>
      </c>
      <c r="H1313" s="16" t="n">
        <f aca="false">IF(D1313="","",MAX(0,MIN($B$8,IFERROR(LOOKUP(2,1/($U$24:U1312&lt;&gt;""),$U$24:U1312),$B$11))))</f>
        <v>4.60442767245025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0.697758280892932</v>
      </c>
      <c r="J1313" s="16" t="n">
        <f aca="false">IF(D1313="","",$B$12)</f>
        <v>0.25</v>
      </c>
      <c r="K1313" s="16" t="n">
        <f aca="false">IF(J1313="","",J1313*$B$15)</f>
        <v>0.648</v>
      </c>
      <c r="L1313" s="16" t="n">
        <f aca="false">IF(D1313="","",H1313+E1313-K1313-G1313*I1313)</f>
        <v>4.74190675191401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0.70577789386165</v>
      </c>
      <c r="N1313" s="16" t="n">
        <f aca="false">IF(D1313="","",(I1313+M1313)/2)</f>
        <v>0.701768087377291</v>
      </c>
      <c r="O1313" s="16" t="n">
        <f aca="false">IF(D1313="","",G1313*N1313)</f>
        <v>0.0734751187484024</v>
      </c>
      <c r="P1313" s="16" t="n">
        <f aca="false">IF(D1313="","",H1313+E1313-K1313-O1313)</f>
        <v>4.74148692517509</v>
      </c>
      <c r="Q1313" s="16" t="n">
        <f aca="false">IF(D1313="","",IF(P1313&gt;=0,K1313,MAX(0,K1313+P1313)))</f>
        <v>0.648</v>
      </c>
      <c r="R1313" s="16" t="n">
        <f aca="false">IF(D1313="","",Q1313/$B$15)</f>
        <v>0.25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4.74148692517509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22.2605019961272</v>
      </c>
      <c r="Z1313" s="18" t="n">
        <f aca="false">IF(D1313="","",MAX(0,IF(P1313&gt;=0,P1313,IF(K1313+P1313&gt;=0,0,P1313+K1313))))</f>
        <v>4.74148692517509</v>
      </c>
      <c r="AA1313" s="18" t="n">
        <f aca="false">IF(D1313="","",IF(H1313&lt;=$B$16,1,IF(H1313&gt;=$B$17,$B$21,MATCH(H1313,Aux_CAV!$A$2:$A$121,1))))</f>
        <v>4</v>
      </c>
      <c r="AB1313" s="18" t="n">
        <f aca="false">IF(D1313="","",IF(L1313&lt;=$B$16,1,IF(L1313&gt;=$B$17,$B$21,MATCH(L1313,Aux_CAV!$A$2:$A$121,1))))</f>
        <v>4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0.281632937026394</v>
      </c>
      <c r="E1314" s="16" t="n">
        <f aca="false">IF(D1314="","",D1314*$B$15)</f>
        <v>0.729992572772413</v>
      </c>
      <c r="F1314" s="16" t="n">
        <f aca="false" t="array" ref="F1314:F1314">IF(D1314="","",IFERROR(INDEX(Dados_Evap!$C$2:$N$15,MATCH($B$9,Dados_Evap!$A$2:$A$15,0),C1314),0))</f>
        <v>145.2</v>
      </c>
      <c r="G1314" s="16" t="n">
        <f aca="false">IF(F1314="","",F1314/1000)</f>
        <v>0.1452</v>
      </c>
      <c r="H1314" s="16" t="n">
        <f aca="false">IF(D1314="","",MAX(0,MIN($B$8,IFERROR(LOOKUP(2,1/($U$24:U1313&lt;&gt;""),$U$24:U1313),$B$11))))</f>
        <v>4.74148692517509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0.705753403968547</v>
      </c>
      <c r="J1314" s="16" t="n">
        <f aca="false">IF(D1314="","",$B$12)</f>
        <v>0.25</v>
      </c>
      <c r="K1314" s="16" t="n">
        <f aca="false">IF(J1314="","",J1314*$B$15)</f>
        <v>0.648</v>
      </c>
      <c r="L1314" s="16" t="n">
        <f aca="false">IF(D1314="","",H1314+E1314-K1314-G1314*I1314)</f>
        <v>4.72100410369127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0.704558572715324</v>
      </c>
      <c r="N1314" s="16" t="n">
        <f aca="false">IF(D1314="","",(I1314+M1314)/2)</f>
        <v>0.705155988341936</v>
      </c>
      <c r="O1314" s="16" t="n">
        <f aca="false">IF(D1314="","",G1314*N1314)</f>
        <v>0.102388649507249</v>
      </c>
      <c r="P1314" s="16" t="n">
        <f aca="false">IF(D1314="","",H1314+E1314-K1314-O1314)</f>
        <v>4.72109084844026</v>
      </c>
      <c r="Q1314" s="16" t="n">
        <f aca="false">IF(D1314="","",IF(P1314&gt;=0,K1314,MAX(0,K1314+P1314)))</f>
        <v>0.648</v>
      </c>
      <c r="R1314" s="16" t="n">
        <f aca="false">IF(D1314="","",Q1314/$B$15)</f>
        <v>0.25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4.72109084844026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22.1647457673252</v>
      </c>
      <c r="Z1314" s="18" t="n">
        <f aca="false">IF(D1314="","",MAX(0,IF(P1314&gt;=0,P1314,IF(K1314+P1314&gt;=0,0,P1314+K1314))))</f>
        <v>4.72109084844026</v>
      </c>
      <c r="AA1314" s="18" t="n">
        <f aca="false">IF(D1314="","",IF(H1314&lt;=$B$16,1,IF(H1314&gt;=$B$17,$B$21,MATCH(H1314,Aux_CAV!$A$2:$A$121,1))))</f>
        <v>4</v>
      </c>
      <c r="AB1314" s="18" t="n">
        <f aca="false">IF(D1314="","",IF(L1314&lt;=$B$16,1,IF(L1314&gt;=$B$17,$B$21,MATCH(L1314,Aux_CAV!$A$2:$A$121,1))))</f>
        <v>4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0.0808357323650202</v>
      </c>
      <c r="E1315" s="16" t="n">
        <f aca="false">IF(D1315="","",D1315*$B$15)</f>
        <v>0.209526218290132</v>
      </c>
      <c r="F1315" s="16" t="n">
        <f aca="false" t="array" ref="F1315:F1315">IF(D1315="","",IFERROR(INDEX(Dados_Evap!$C$2:$N$15,MATCH($B$9,Dados_Evap!$A$2:$A$15,0),C1315),0))</f>
        <v>180.9</v>
      </c>
      <c r="G1315" s="16" t="n">
        <f aca="false">IF(F1315="","",F1315/1000)</f>
        <v>0.1809</v>
      </c>
      <c r="H1315" s="16" t="n">
        <f aca="false">IF(D1315="","",MAX(0,MIN($B$8,IFERROR(LOOKUP(2,1/($U$24:U1314&lt;&gt;""),$U$24:U1314),$B$11))))</f>
        <v>4.72109084844026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0.704563632825682</v>
      </c>
      <c r="J1315" s="16" t="n">
        <f aca="false">IF(D1315="","",$B$12)</f>
        <v>0.25</v>
      </c>
      <c r="K1315" s="16" t="n">
        <f aca="false">IF(J1315="","",J1315*$B$15)</f>
        <v>0.648</v>
      </c>
      <c r="L1315" s="16" t="n">
        <f aca="false">IF(D1315="","",H1315+E1315-K1315-G1315*I1315)</f>
        <v>4.15516150555223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0.67155108782388</v>
      </c>
      <c r="N1315" s="16" t="n">
        <f aca="false">IF(D1315="","",(I1315+M1315)/2)</f>
        <v>0.688057360324781</v>
      </c>
      <c r="O1315" s="16" t="n">
        <f aca="false">IF(D1315="","",G1315*N1315)</f>
        <v>0.124469576482753</v>
      </c>
      <c r="P1315" s="16" t="n">
        <f aca="false">IF(D1315="","",H1315+E1315-K1315-O1315)</f>
        <v>4.15814749024764</v>
      </c>
      <c r="Q1315" s="16" t="n">
        <f aca="false">IF(D1315="","",IF(P1315&gt;=0,K1315,MAX(0,K1315+P1315)))</f>
        <v>0.648</v>
      </c>
      <c r="R1315" s="16" t="n">
        <f aca="false">IF(D1315="","",Q1315/$B$15)</f>
        <v>0.25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4.15814749024764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19.5218192030406</v>
      </c>
      <c r="Z1315" s="18" t="n">
        <f aca="false">IF(D1315="","",MAX(0,IF(P1315&gt;=0,P1315,IF(K1315+P1315&gt;=0,0,P1315+K1315))))</f>
        <v>4.15814749024764</v>
      </c>
      <c r="AA1315" s="18" t="n">
        <f aca="false">IF(D1315="","",IF(H1315&lt;=$B$16,1,IF(H1315&gt;=$B$17,$B$21,MATCH(H1315,Aux_CAV!$A$2:$A$121,1))))</f>
        <v>4</v>
      </c>
      <c r="AB1315" s="18" t="n">
        <f aca="false">IF(D1315="","",IF(L1315&lt;=$B$16,1,IF(L1315&gt;=$B$17,$B$21,MATCH(L1315,Aux_CAV!$A$2:$A$121,1))))</f>
        <v>4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0.0568675702217851</v>
      </c>
      <c r="E1316" s="16" t="n">
        <f aca="false">IF(D1316="","",D1316*$B$15)</f>
        <v>0.147400742014867</v>
      </c>
      <c r="F1316" s="16" t="n">
        <f aca="false" t="array" ref="F1316:F1316">IF(D1316="","",IFERROR(INDEX(Dados_Evap!$C$2:$N$15,MATCH($B$9,Dados_Evap!$A$2:$A$15,0),C1316),0))</f>
        <v>208.9</v>
      </c>
      <c r="G1316" s="16" t="n">
        <f aca="false">IF(F1316="","",F1316/1000)</f>
        <v>0.2089</v>
      </c>
      <c r="H1316" s="16" t="n">
        <f aca="false">IF(D1316="","",MAX(0,MIN($B$8,IFERROR(LOOKUP(2,1/($U$24:U1315&lt;&gt;""),$U$24:U1315),$B$11))))</f>
        <v>4.15814749024764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0.671725270264446</v>
      </c>
      <c r="J1316" s="16" t="n">
        <f aca="false">IF(D1316="","",$B$12)</f>
        <v>0.25</v>
      </c>
      <c r="K1316" s="16" t="n">
        <f aca="false">IF(J1316="","",J1316*$B$15)</f>
        <v>0.648</v>
      </c>
      <c r="L1316" s="16" t="n">
        <f aca="false">IF(D1316="","",H1316+E1316-K1316-G1316*I1316)</f>
        <v>3.51722482330426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0.634338114692749</v>
      </c>
      <c r="N1316" s="16" t="n">
        <f aca="false">IF(D1316="","",(I1316+M1316)/2)</f>
        <v>0.653031692478597</v>
      </c>
      <c r="O1316" s="16" t="n">
        <f aca="false">IF(D1316="","",G1316*N1316)</f>
        <v>0.136418320558779</v>
      </c>
      <c r="P1316" s="16" t="n">
        <f aca="false">IF(D1316="","",H1316+E1316-K1316-O1316)</f>
        <v>3.52112991170373</v>
      </c>
      <c r="Q1316" s="16" t="n">
        <f aca="false">IF(D1316="","",IF(P1316&gt;=0,K1316,MAX(0,K1316+P1316)))</f>
        <v>0.648</v>
      </c>
      <c r="R1316" s="16" t="n">
        <f aca="false">IF(D1316="","",Q1316/$B$15)</f>
        <v>0.25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3.52112991170373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16.5311263460269</v>
      </c>
      <c r="Z1316" s="18" t="n">
        <f aca="false">IF(D1316="","",MAX(0,IF(P1316&gt;=0,P1316,IF(K1316+P1316&gt;=0,0,P1316+K1316))))</f>
        <v>3.52112991170373</v>
      </c>
      <c r="AA1316" s="18" t="n">
        <f aca="false">IF(D1316="","",IF(H1316&lt;=$B$16,1,IF(H1316&gt;=$B$17,$B$21,MATCH(H1316,Aux_CAV!$A$2:$A$121,1))))</f>
        <v>4</v>
      </c>
      <c r="AB1316" s="18" t="n">
        <f aca="false">IF(D1316="","",IF(L1316&lt;=$B$16,1,IF(L1316&gt;=$B$17,$B$21,MATCH(L1316,Aux_CAV!$A$2:$A$121,1))))</f>
        <v>4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0.0346075633986281</v>
      </c>
      <c r="E1317" s="16" t="n">
        <f aca="false">IF(D1317="","",D1317*$B$15)</f>
        <v>0.089702804329244</v>
      </c>
      <c r="F1317" s="16" t="n">
        <f aca="false" t="array" ref="F1317:F1317">IF(D1317="","",IFERROR(INDEX(Dados_Evap!$C$2:$N$15,MATCH($B$9,Dados_Evap!$A$2:$A$15,0),C1317),0))</f>
        <v>235.9</v>
      </c>
      <c r="G1317" s="16" t="n">
        <f aca="false">IF(F1317="","",F1317/1000)</f>
        <v>0.2359</v>
      </c>
      <c r="H1317" s="16" t="n">
        <f aca="false">IF(D1317="","",MAX(0,MIN($B$8,IFERROR(LOOKUP(2,1/($U$24:U1316&lt;&gt;""),$U$24:U1316),$B$11))))</f>
        <v>3.52112991170373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0.634565911516051</v>
      </c>
      <c r="J1317" s="16" t="n">
        <f aca="false">IF(D1317="","",$B$12)</f>
        <v>0.25</v>
      </c>
      <c r="K1317" s="16" t="n">
        <f aca="false">IF(J1317="","",J1317*$B$15)</f>
        <v>0.648</v>
      </c>
      <c r="L1317" s="16" t="n">
        <f aca="false">IF(D1317="","",H1317+E1317-K1317-G1317*I1317)</f>
        <v>2.81313861750633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0.569382459115941</v>
      </c>
      <c r="N1317" s="16" t="n">
        <f aca="false">IF(D1317="","",(I1317+M1317)/2)</f>
        <v>0.601974185315996</v>
      </c>
      <c r="O1317" s="16" t="n">
        <f aca="false">IF(D1317="","",G1317*N1317)</f>
        <v>0.142005710316043</v>
      </c>
      <c r="P1317" s="16" t="n">
        <f aca="false">IF(D1317="","",H1317+E1317-K1317-O1317)</f>
        <v>2.82082700571693</v>
      </c>
      <c r="Q1317" s="16" t="n">
        <f aca="false">IF(D1317="","",IF(P1317&gt;=0,K1317,MAX(0,K1317+P1317)))</f>
        <v>0.648</v>
      </c>
      <c r="R1317" s="16" t="n">
        <f aca="false">IF(D1317="","",Q1317/$B$15)</f>
        <v>0.25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2.82082700571693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13.2433192756663</v>
      </c>
      <c r="Z1317" s="18" t="n">
        <f aca="false">IF(D1317="","",MAX(0,IF(P1317&gt;=0,P1317,IF(K1317+P1317&gt;=0,0,P1317+K1317))))</f>
        <v>2.82082700571693</v>
      </c>
      <c r="AA1317" s="18" t="n">
        <f aca="false">IF(D1317="","",IF(H1317&lt;=$B$16,1,IF(H1317&gt;=$B$17,$B$21,MATCH(H1317,Aux_CAV!$A$2:$A$121,1))))</f>
        <v>4</v>
      </c>
      <c r="AB1317" s="18" t="n">
        <f aca="false">IF(D1317="","",IF(L1317&lt;=$B$16,1,IF(L1317&gt;=$B$17,$B$21,MATCH(L1317,Aux_CAV!$A$2:$A$121,1))))</f>
        <v>3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0.0191621057892825</v>
      </c>
      <c r="E1318" s="16" t="n">
        <f aca="false">IF(D1318="","",D1318*$B$15)</f>
        <v>0.0496681782058202</v>
      </c>
      <c r="F1318" s="16" t="n">
        <f aca="false" t="array" ref="F1318:F1318">IF(D1318="","",IFERROR(INDEX(Dados_Evap!$C$2:$N$15,MATCH($B$9,Dados_Evap!$A$2:$A$15,0),C1318),0))</f>
        <v>225.9</v>
      </c>
      <c r="G1318" s="16" t="n">
        <f aca="false">IF(F1318="","",F1318/1000)</f>
        <v>0.2259</v>
      </c>
      <c r="H1318" s="16" t="n">
        <f aca="false">IF(D1318="","",MAX(0,MIN($B$8,IFERROR(LOOKUP(2,1/($U$24:U1317&lt;&gt;""),$U$24:U1317),$B$11))))</f>
        <v>2.82082700571693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0.570471080455494</v>
      </c>
      <c r="J1318" s="16" t="n">
        <f aca="false">IF(D1318="","",$B$12)</f>
        <v>0.25</v>
      </c>
      <c r="K1318" s="16" t="n">
        <f aca="false">IF(J1318="","",J1318*$B$15)</f>
        <v>0.648</v>
      </c>
      <c r="L1318" s="16" t="n">
        <f aca="false">IF(D1318="","",H1318+E1318-K1318-G1318*I1318)</f>
        <v>2.09362576684785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0.467504533358988</v>
      </c>
      <c r="N1318" s="16" t="n">
        <f aca="false">IF(D1318="","",(I1318+M1318)/2)</f>
        <v>0.518987806907241</v>
      </c>
      <c r="O1318" s="16" t="n">
        <f aca="false">IF(D1318="","",G1318*N1318)</f>
        <v>0.117239345580346</v>
      </c>
      <c r="P1318" s="16" t="n">
        <f aca="false">IF(D1318="","",H1318+E1318-K1318-O1318)</f>
        <v>2.1052558383424</v>
      </c>
      <c r="Q1318" s="16" t="n">
        <f aca="false">IF(D1318="","",IF(P1318&gt;=0,K1318,MAX(0,K1318+P1318)))</f>
        <v>0.648</v>
      </c>
      <c r="R1318" s="16" t="n">
        <f aca="false">IF(D1318="","",Q1318/$B$15)</f>
        <v>0.25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2.1052558383424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9.88383022695962</v>
      </c>
      <c r="Z1318" s="18" t="n">
        <f aca="false">IF(D1318="","",MAX(0,IF(P1318&gt;=0,P1318,IF(K1318+P1318&gt;=0,0,P1318+K1318))))</f>
        <v>2.1052558383424</v>
      </c>
      <c r="AA1318" s="18" t="n">
        <f aca="false">IF(D1318="","",IF(H1318&lt;=$B$16,1,IF(H1318&gt;=$B$17,$B$21,MATCH(H1318,Aux_CAV!$A$2:$A$121,1))))</f>
        <v>3</v>
      </c>
      <c r="AB1318" s="18" t="n">
        <f aca="false">IF(D1318="","",IF(L1318&lt;=$B$16,1,IF(L1318&gt;=$B$17,$B$21,MATCH(L1318,Aux_CAV!$A$2:$A$121,1))))</f>
        <v>3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0.0443396432826882</v>
      </c>
      <c r="E1319" s="16" t="n">
        <f aca="false">IF(D1319="","",D1319*$B$15)</f>
        <v>0.114928355388728</v>
      </c>
      <c r="F1319" s="16" t="n">
        <f aca="false" t="array" ref="F1319:F1319">IF(D1319="","",IFERROR(INDEX(Dados_Evap!$C$2:$N$15,MATCH($B$9,Dados_Evap!$A$2:$A$15,0),C1319),0))</f>
        <v>206</v>
      </c>
      <c r="G1319" s="16" t="n">
        <f aca="false">IF(F1319="","",F1319/1000)</f>
        <v>0.206</v>
      </c>
      <c r="H1319" s="16" t="n">
        <f aca="false">IF(D1319="","",MAX(0,MIN($B$8,IFERROR(LOOKUP(2,1/($U$24:U1318&lt;&gt;""),$U$24:U1318),$B$11))))</f>
        <v>2.1052558383424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0.469151269145827</v>
      </c>
      <c r="J1319" s="16" t="n">
        <f aca="false">IF(D1319="","",$B$12)</f>
        <v>0.25</v>
      </c>
      <c r="K1319" s="16" t="n">
        <f aca="false">IF(J1319="","",J1319*$B$15)</f>
        <v>0.648</v>
      </c>
      <c r="L1319" s="16" t="n">
        <f aca="false">IF(D1319="","",H1319+E1319-K1319-G1319*I1319)</f>
        <v>1.47553903228709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0.379987827580473</v>
      </c>
      <c r="N1319" s="16" t="n">
        <f aca="false">IF(D1319="","",(I1319+M1319)/2)</f>
        <v>0.42456954836315</v>
      </c>
      <c r="O1319" s="16" t="n">
        <f aca="false">IF(D1319="","",G1319*N1319)</f>
        <v>0.0874613269628088</v>
      </c>
      <c r="P1319" s="16" t="n">
        <f aca="false">IF(D1319="","",H1319+E1319-K1319-O1319)</f>
        <v>1.48472286676832</v>
      </c>
      <c r="Q1319" s="16" t="n">
        <f aca="false">IF(D1319="","",IF(P1319&gt;=0,K1319,MAX(0,K1319+P1319)))</f>
        <v>0.648</v>
      </c>
      <c r="R1319" s="16" t="n">
        <f aca="false">IF(D1319="","",Q1319/$B$15)</f>
        <v>0.25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1.48472286676832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6.97052989093107</v>
      </c>
      <c r="Z1319" s="18" t="n">
        <f aca="false">IF(D1319="","",MAX(0,IF(P1319&gt;=0,P1319,IF(K1319+P1319&gt;=0,0,P1319+K1319))))</f>
        <v>1.48472286676832</v>
      </c>
      <c r="AA1319" s="18" t="n">
        <f aca="false">IF(D1319="","",IF(H1319&lt;=$B$16,1,IF(H1319&gt;=$B$17,$B$21,MATCH(H1319,Aux_CAV!$A$2:$A$121,1))))</f>
        <v>3</v>
      </c>
      <c r="AB1319" s="18" t="n">
        <f aca="false">IF(D1319="","",IF(L1319&lt;=$B$16,1,IF(L1319&gt;=$B$17,$B$21,MATCH(L1319,Aux_CAV!$A$2:$A$121,1))))</f>
        <v>3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0.0992435507834957</v>
      </c>
      <c r="E1320" s="16" t="n">
        <f aca="false">IF(D1320="","",D1320*$B$15)</f>
        <v>0.257239283630821</v>
      </c>
      <c r="F1320" s="16" t="n">
        <f aca="false" t="array" ref="F1320:F1320">IF(D1320="","",IFERROR(INDEX(Dados_Evap!$C$2:$N$15,MATCH($B$9,Dados_Evap!$A$2:$A$15,0),C1320),0))</f>
        <v>165.6</v>
      </c>
      <c r="G1320" s="16" t="n">
        <f aca="false">IF(F1320="","",F1320/1000)</f>
        <v>0.1656</v>
      </c>
      <c r="H1320" s="16" t="n">
        <f aca="false">IF(D1320="","",MAX(0,MIN($B$8,IFERROR(LOOKUP(2,1/($U$24:U1319&lt;&gt;""),$U$24:U1319),$B$11))))</f>
        <v>1.48472286676832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0.381288193524718</v>
      </c>
      <c r="J1320" s="16" t="n">
        <f aca="false">IF(D1320="","",$B$12)</f>
        <v>0.25</v>
      </c>
      <c r="K1320" s="16" t="n">
        <f aca="false">IF(J1320="","",J1320*$B$15)</f>
        <v>0.648</v>
      </c>
      <c r="L1320" s="16" t="n">
        <f aca="false">IF(D1320="","",H1320+E1320-K1320-G1320*I1320)</f>
        <v>1.03082082555145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0.317018877954187</v>
      </c>
      <c r="N1320" s="16" t="n">
        <f aca="false">IF(D1320="","",(I1320+M1320)/2)</f>
        <v>0.349153535739452</v>
      </c>
      <c r="O1320" s="16" t="n">
        <f aca="false">IF(D1320="","",G1320*N1320)</f>
        <v>0.0578198255184533</v>
      </c>
      <c r="P1320" s="16" t="n">
        <f aca="false">IF(D1320="","",H1320+E1320-K1320-O1320)</f>
        <v>1.03614232488069</v>
      </c>
      <c r="Q1320" s="16" t="n">
        <f aca="false">IF(D1320="","",IF(P1320&gt;=0,K1320,MAX(0,K1320+P1320)))</f>
        <v>0.648</v>
      </c>
      <c r="R1320" s="16" t="n">
        <f aca="false">IF(D1320="","",Q1320/$B$15)</f>
        <v>0.25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1.03614232488069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4.86451795718632</v>
      </c>
      <c r="Z1320" s="18" t="n">
        <f aca="false">IF(D1320="","",MAX(0,IF(P1320&gt;=0,P1320,IF(K1320+P1320&gt;=0,0,P1320+K1320))))</f>
        <v>1.03614232488069</v>
      </c>
      <c r="AA1320" s="18" t="n">
        <f aca="false">IF(D1320="","",IF(H1320&lt;=$B$16,1,IF(H1320&gt;=$B$17,$B$21,MATCH(H1320,Aux_CAV!$A$2:$A$121,1))))</f>
        <v>3</v>
      </c>
      <c r="AB1320" s="18" t="n">
        <f aca="false">IF(D1320="","",IF(L1320&lt;=$B$16,1,IF(L1320&gt;=$B$17,$B$21,MATCH(L1320,Aux_CAV!$A$2:$A$121,1))))</f>
        <v>3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0.604654692934268</v>
      </c>
      <c r="E1321" s="16" t="n">
        <f aca="false">IF(D1321="","",D1321*$B$15)</f>
        <v>1.56726496408562</v>
      </c>
      <c r="F1321" s="16" t="n">
        <f aca="false" t="array" ref="F1321:F1321">IF(D1321="","",IFERROR(INDEX(Dados_Evap!$C$2:$N$15,MATCH($B$9,Dados_Evap!$A$2:$A$15,0),C1321),0))</f>
        <v>124.9</v>
      </c>
      <c r="G1321" s="16" t="n">
        <f aca="false">IF(F1321="","",F1321/1000)</f>
        <v>0.1249</v>
      </c>
      <c r="H1321" s="16" t="n">
        <f aca="false">IF(D1321="","",MAX(0,MIN($B$8,IFERROR(LOOKUP(2,1/($U$24:U1320&lt;&gt;""),$U$24:U1320),$B$11))))</f>
        <v>1.03614232488069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0.317772364584876</v>
      </c>
      <c r="J1321" s="16" t="n">
        <f aca="false">IF(D1321="","",$B$12)</f>
        <v>0.25</v>
      </c>
      <c r="K1321" s="16" t="n">
        <f aca="false">IF(J1321="","",J1321*$B$15)</f>
        <v>0.648</v>
      </c>
      <c r="L1321" s="16" t="n">
        <f aca="false">IF(D1321="","",H1321+E1321-K1321-G1321*I1321)</f>
        <v>1.91571752062966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0.442313985221898</v>
      </c>
      <c r="N1321" s="16" t="n">
        <f aca="false">IF(D1321="","",(I1321+M1321)/2)</f>
        <v>0.380043174903387</v>
      </c>
      <c r="O1321" s="16" t="n">
        <f aca="false">IF(D1321="","",G1321*N1321)</f>
        <v>0.0474673925454331</v>
      </c>
      <c r="P1321" s="16" t="n">
        <f aca="false">IF(D1321="","",H1321+E1321-K1321-O1321)</f>
        <v>1.90793989642088</v>
      </c>
      <c r="Q1321" s="16" t="n">
        <f aca="false">IF(D1321="","",IF(P1321&gt;=0,K1321,MAX(0,K1321+P1321)))</f>
        <v>0.648</v>
      </c>
      <c r="R1321" s="16" t="n">
        <f aca="false">IF(D1321="","",Q1321/$B$15)</f>
        <v>0.25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1.90793989642088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8.95746430244543</v>
      </c>
      <c r="Z1321" s="18" t="n">
        <f aca="false">IF(D1321="","",MAX(0,IF(P1321&gt;=0,P1321,IF(K1321+P1321&gt;=0,0,P1321+K1321))))</f>
        <v>1.90793989642088</v>
      </c>
      <c r="AA1321" s="18" t="n">
        <f aca="false">IF(D1321="","",IF(H1321&lt;=$B$16,1,IF(H1321&gt;=$B$17,$B$21,MATCH(H1321,Aux_CAV!$A$2:$A$121,1))))</f>
        <v>3</v>
      </c>
      <c r="AB1321" s="18" t="n">
        <f aca="false">IF(D1321="","",IF(L1321&lt;=$B$16,1,IF(L1321&gt;=$B$17,$B$21,MATCH(L1321,Aux_CAV!$A$2:$A$121,1))))</f>
        <v>3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0.53494954774511</v>
      </c>
      <c r="E1322" s="16" t="n">
        <f aca="false">IF(D1322="","",D1322*$B$15)</f>
        <v>1.38658922775533</v>
      </c>
      <c r="F1322" s="16" t="n">
        <f aca="false" t="array" ref="F1322:F1322">IF(D1322="","",IFERROR(INDEX(Dados_Evap!$C$2:$N$15,MATCH($B$9,Dados_Evap!$A$2:$A$15,0),C1322),0))</f>
        <v>88.2</v>
      </c>
      <c r="G1322" s="16" t="n">
        <f aca="false">IF(F1322="","",F1322/1000)</f>
        <v>0.0882</v>
      </c>
      <c r="H1322" s="16" t="n">
        <f aca="false">IF(D1322="","",MAX(0,MIN($B$8,IFERROR(LOOKUP(2,1/($U$24:U1321&lt;&gt;""),$U$24:U1321),$B$11))))</f>
        <v>1.90793989642088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0.441212728696761</v>
      </c>
      <c r="J1322" s="16" t="n">
        <f aca="false">IF(D1322="","",$B$12)</f>
        <v>0.25</v>
      </c>
      <c r="K1322" s="16" t="n">
        <f aca="false">IF(J1322="","",J1322*$B$15)</f>
        <v>0.648</v>
      </c>
      <c r="L1322" s="16" t="n">
        <f aca="false">IF(D1322="","",H1322+E1322-K1322-G1322*I1322)</f>
        <v>2.60761416150515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0.54028165118657</v>
      </c>
      <c r="N1322" s="16" t="n">
        <f aca="false">IF(D1322="","",(I1322+M1322)/2)</f>
        <v>0.490747189941665</v>
      </c>
      <c r="O1322" s="16" t="n">
        <f aca="false">IF(D1322="","",G1322*N1322)</f>
        <v>0.0432839021528549</v>
      </c>
      <c r="P1322" s="16" t="n">
        <f aca="false">IF(D1322="","",H1322+E1322-K1322-O1322)</f>
        <v>2.60324522202335</v>
      </c>
      <c r="Q1322" s="16" t="n">
        <f aca="false">IF(D1322="","",IF(P1322&gt;=0,K1322,MAX(0,K1322+P1322)))</f>
        <v>0.648</v>
      </c>
      <c r="R1322" s="16" t="n">
        <f aca="false">IF(D1322="","",Q1322/$B$15)</f>
        <v>0.25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2.60324522202335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12.2218085541002</v>
      </c>
      <c r="Z1322" s="18" t="n">
        <f aca="false">IF(D1322="","",MAX(0,IF(P1322&gt;=0,P1322,IF(K1322+P1322&gt;=0,0,P1322+K1322))))</f>
        <v>2.60324522202335</v>
      </c>
      <c r="AA1322" s="18" t="n">
        <f aca="false">IF(D1322="","",IF(H1322&lt;=$B$16,1,IF(H1322&gt;=$B$17,$B$21,MATCH(H1322,Aux_CAV!$A$2:$A$121,1))))</f>
        <v>3</v>
      </c>
      <c r="AB1322" s="18" t="n">
        <f aca="false">IF(D1322="","",IF(L1322&lt;=$B$16,1,IF(L1322&gt;=$B$17,$B$21,MATCH(L1322,Aux_CAV!$A$2:$A$121,1))))</f>
        <v>3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1.11692858795266</v>
      </c>
      <c r="E1323" s="16" t="n">
        <f aca="false">IF(D1323="","",D1323*$B$15)</f>
        <v>2.8950788999733</v>
      </c>
      <c r="F1323" s="16" t="n">
        <f aca="false" t="array" ref="F1323:F1323">IF(D1323="","",IFERROR(INDEX(Dados_Evap!$C$2:$N$15,MATCH($B$9,Dados_Evap!$A$2:$A$15,0),C1323),0))</f>
        <v>88.2</v>
      </c>
      <c r="G1323" s="16" t="n">
        <f aca="false">IF(F1323="","",F1323/1000)</f>
        <v>0.0882</v>
      </c>
      <c r="H1323" s="16" t="n">
        <f aca="false">IF(D1323="","",MAX(0,MIN($B$8,IFERROR(LOOKUP(2,1/($U$24:U1322&lt;&gt;""),$U$24:U1322),$B$11))))</f>
        <v>2.60324522202335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0.539663040286492</v>
      </c>
      <c r="J1323" s="16" t="n">
        <f aca="false">IF(D1323="","",$B$12)</f>
        <v>0.25</v>
      </c>
      <c r="K1323" s="16" t="n">
        <f aca="false">IF(J1323="","",J1323*$B$15)</f>
        <v>0.648</v>
      </c>
      <c r="L1323" s="16" t="n">
        <f aca="false">IF(D1323="","",H1323+E1323-K1323-G1323*I1323)</f>
        <v>4.80272584184337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0.70932567410753</v>
      </c>
      <c r="N1323" s="16" t="n">
        <f aca="false">IF(D1323="","",(I1323+M1323)/2)</f>
        <v>0.624494357197011</v>
      </c>
      <c r="O1323" s="16" t="n">
        <f aca="false">IF(D1323="","",G1323*N1323)</f>
        <v>0.0550804023047764</v>
      </c>
      <c r="P1323" s="16" t="n">
        <f aca="false">IF(D1323="","",H1323+E1323-K1323-O1323)</f>
        <v>4.79524371969187</v>
      </c>
      <c r="Q1323" s="16" t="n">
        <f aca="false">IF(D1323="","",IF(P1323&gt;=0,K1323,MAX(0,K1323+P1323)))</f>
        <v>0.648</v>
      </c>
      <c r="R1323" s="16" t="n">
        <f aca="false">IF(D1323="","",Q1323/$B$15)</f>
        <v>0.25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4.79524371969187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22.5128813131074</v>
      </c>
      <c r="Z1323" s="18" t="n">
        <f aca="false">IF(D1323="","",MAX(0,IF(P1323&gt;=0,P1323,IF(K1323+P1323&gt;=0,0,P1323+K1323))))</f>
        <v>4.79524371969187</v>
      </c>
      <c r="AA1323" s="18" t="n">
        <f aca="false">IF(D1323="","",IF(H1323&lt;=$B$16,1,IF(H1323&gt;=$B$17,$B$21,MATCH(H1323,Aux_CAV!$A$2:$A$121,1))))</f>
        <v>3</v>
      </c>
      <c r="AB1323" s="18" t="n">
        <f aca="false">IF(D1323="","",IF(L1323&lt;=$B$16,1,IF(L1323&gt;=$B$17,$B$21,MATCH(L1323,Aux_CAV!$A$2:$A$121,1))))</f>
        <v>4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0.72428878159781</v>
      </c>
      <c r="E1324" s="16" t="n">
        <f aca="false">IF(D1324="","",D1324*$B$15)</f>
        <v>1.87735652190152</v>
      </c>
      <c r="F1324" s="16" t="n">
        <f aca="false" t="array" ref="F1324:F1324">IF(D1324="","",IFERROR(INDEX(Dados_Evap!$C$2:$N$15,MATCH($B$9,Dados_Evap!$A$2:$A$15,0),C1324),0))</f>
        <v>83.9</v>
      </c>
      <c r="G1324" s="16" t="n">
        <f aca="false">IF(F1324="","",F1324/1000)</f>
        <v>0.0839</v>
      </c>
      <c r="H1324" s="16" t="n">
        <f aca="false">IF(D1324="","",MAX(0,MIN($B$8,IFERROR(LOOKUP(2,1/($U$24:U1323&lt;&gt;""),$U$24:U1323),$B$11))))</f>
        <v>4.79524371969187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0.708889216982025</v>
      </c>
      <c r="J1324" s="16" t="n">
        <f aca="false">IF(D1324="","",$B$12)</f>
        <v>0.25</v>
      </c>
      <c r="K1324" s="16" t="n">
        <f aca="false">IF(J1324="","",J1324*$B$15)</f>
        <v>0.648</v>
      </c>
      <c r="L1324" s="16" t="n">
        <f aca="false">IF(D1324="","",H1324+E1324-K1324-G1324*I1324)</f>
        <v>5.9651244362886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0.777132258783502</v>
      </c>
      <c r="N1324" s="16" t="n">
        <f aca="false">IF(D1324="","",(I1324+M1324)/2)</f>
        <v>0.743010737882764</v>
      </c>
      <c r="O1324" s="16" t="n">
        <f aca="false">IF(D1324="","",G1324*N1324)</f>
        <v>0.0623386009083639</v>
      </c>
      <c r="P1324" s="16" t="n">
        <f aca="false">IF(D1324="","",H1324+E1324-K1324-O1324)</f>
        <v>5.96226164068503</v>
      </c>
      <c r="Q1324" s="16" t="n">
        <f aca="false">IF(D1324="","",IF(P1324&gt;=0,K1324,MAX(0,K1324+P1324)))</f>
        <v>0.648</v>
      </c>
      <c r="R1324" s="16" t="n">
        <f aca="false">IF(D1324="","",Q1324/$B$15)</f>
        <v>0.25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5.96226164068503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27.9918386886621</v>
      </c>
      <c r="Z1324" s="18" t="n">
        <f aca="false">IF(D1324="","",MAX(0,IF(P1324&gt;=0,P1324,IF(K1324+P1324&gt;=0,0,P1324+K1324))))</f>
        <v>5.96226164068503</v>
      </c>
      <c r="AA1324" s="18" t="n">
        <f aca="false">IF(D1324="","",IF(H1324&lt;=$B$16,1,IF(H1324&gt;=$B$17,$B$21,MATCH(H1324,Aux_CAV!$A$2:$A$121,1))))</f>
        <v>4</v>
      </c>
      <c r="AB1324" s="18" t="n">
        <f aca="false">IF(D1324="","",IF(L1324&lt;=$B$16,1,IF(L1324&gt;=$B$17,$B$21,MATCH(L1324,Aux_CAV!$A$2:$A$121,1))))</f>
        <v>4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0.236434390949698</v>
      </c>
      <c r="E1325" s="16" t="n">
        <f aca="false">IF(D1325="","",D1325*$B$15)</f>
        <v>0.612837941341617</v>
      </c>
      <c r="F1325" s="16" t="n">
        <f aca="false" t="array" ref="F1325:F1325">IF(D1325="","",IFERROR(INDEX(Dados_Evap!$C$2:$N$15,MATCH($B$9,Dados_Evap!$A$2:$A$15,0),C1325),0))</f>
        <v>104.7</v>
      </c>
      <c r="G1325" s="16" t="n">
        <f aca="false">IF(F1325="","",F1325/1000)</f>
        <v>0.1047</v>
      </c>
      <c r="H1325" s="16" t="n">
        <f aca="false">IF(D1325="","",MAX(0,MIN($B$8,IFERROR(LOOKUP(2,1/($U$24:U1324&lt;&gt;""),$U$24:U1324),$B$11))))</f>
        <v>5.96226164068503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0.776965262373293</v>
      </c>
      <c r="J1325" s="16" t="n">
        <f aca="false">IF(D1325="","",$B$12)</f>
        <v>0.25</v>
      </c>
      <c r="K1325" s="16" t="n">
        <f aca="false">IF(J1325="","",J1325*$B$15)</f>
        <v>0.648</v>
      </c>
      <c r="L1325" s="16" t="n">
        <f aca="false">IF(D1325="","",H1325+E1325-K1325-G1325*I1325)</f>
        <v>5.84575131905616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0.770168826944943</v>
      </c>
      <c r="N1325" s="16" t="n">
        <f aca="false">IF(D1325="","",(I1325+M1325)/2)</f>
        <v>0.773567044659118</v>
      </c>
      <c r="O1325" s="16" t="n">
        <f aca="false">IF(D1325="","",G1325*N1325)</f>
        <v>0.0809924695758096</v>
      </c>
      <c r="P1325" s="16" t="n">
        <f aca="false">IF(D1325="","",H1325+E1325-K1325-O1325)</f>
        <v>5.84610711245083</v>
      </c>
      <c r="Q1325" s="16" t="n">
        <f aca="false">IF(D1325="","",IF(P1325&gt;=0,K1325,MAX(0,K1325+P1325)))</f>
        <v>0.648</v>
      </c>
      <c r="R1325" s="16" t="n">
        <f aca="false">IF(D1325="","",Q1325/$B$15)</f>
        <v>0.25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5.84610711245083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27.4465122650274</v>
      </c>
      <c r="Z1325" s="18" t="n">
        <f aca="false">IF(D1325="","",MAX(0,IF(P1325&gt;=0,P1325,IF(K1325+P1325&gt;=0,0,P1325+K1325))))</f>
        <v>5.84610711245083</v>
      </c>
      <c r="AA1325" s="18" t="n">
        <f aca="false">IF(D1325="","",IF(H1325&lt;=$B$16,1,IF(H1325&gt;=$B$17,$B$21,MATCH(H1325,Aux_CAV!$A$2:$A$121,1))))</f>
        <v>4</v>
      </c>
      <c r="AB1325" s="18" t="n">
        <f aca="false">IF(D1325="","",IF(L1325&lt;=$B$16,1,IF(L1325&gt;=$B$17,$B$21,MATCH(L1325,Aux_CAV!$A$2:$A$121,1))))</f>
        <v>4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0.306414609958408</v>
      </c>
      <c r="E1326" s="16" t="n">
        <f aca="false">IF(D1326="","",D1326*$B$15)</f>
        <v>0.794226669012194</v>
      </c>
      <c r="F1326" s="16" t="n">
        <f aca="false" t="array" ref="F1326:F1326">IF(D1326="","",IFERROR(INDEX(Dados_Evap!$C$2:$N$15,MATCH($B$9,Dados_Evap!$A$2:$A$15,0),C1326),0))</f>
        <v>145.2</v>
      </c>
      <c r="G1326" s="16" t="n">
        <f aca="false">IF(F1326="","",F1326/1000)</f>
        <v>0.1452</v>
      </c>
      <c r="H1326" s="16" t="n">
        <f aca="false">IF(D1326="","",MAX(0,MIN($B$8,IFERROR(LOOKUP(2,1/($U$24:U1325&lt;&gt;""),$U$24:U1325),$B$11))))</f>
        <v>5.84610711245083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0.770189581559632</v>
      </c>
      <c r="J1326" s="16" t="n">
        <f aca="false">IF(D1326="","",$B$12)</f>
        <v>0.25</v>
      </c>
      <c r="K1326" s="16" t="n">
        <f aca="false">IF(J1326="","",J1326*$B$15)</f>
        <v>0.648</v>
      </c>
      <c r="L1326" s="16" t="n">
        <f aca="false">IF(D1326="","",H1326+E1326-K1326-G1326*I1326)</f>
        <v>5.88050225422057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0.772195964829533</v>
      </c>
      <c r="N1326" s="16" t="n">
        <f aca="false">IF(D1326="","",(I1326+M1326)/2)</f>
        <v>0.771192773194583</v>
      </c>
      <c r="O1326" s="16" t="n">
        <f aca="false">IF(D1326="","",G1326*N1326)</f>
        <v>0.111977190667853</v>
      </c>
      <c r="P1326" s="16" t="n">
        <f aca="false">IF(D1326="","",H1326+E1326-K1326-O1326)</f>
        <v>5.88035659079517</v>
      </c>
      <c r="Q1326" s="16" t="n">
        <f aca="false">IF(D1326="","",IF(P1326&gt;=0,K1326,MAX(0,K1326+P1326)))</f>
        <v>0.648</v>
      </c>
      <c r="R1326" s="16" t="n">
        <f aca="false">IF(D1326="","",Q1326/$B$15)</f>
        <v>0.25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5.88035659079517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27.6073079380055</v>
      </c>
      <c r="Z1326" s="18" t="n">
        <f aca="false">IF(D1326="","",MAX(0,IF(P1326&gt;=0,P1326,IF(K1326+P1326&gt;=0,0,P1326+K1326))))</f>
        <v>5.88035659079517</v>
      </c>
      <c r="AA1326" s="18" t="n">
        <f aca="false">IF(D1326="","",IF(H1326&lt;=$B$16,1,IF(H1326&gt;=$B$17,$B$21,MATCH(H1326,Aux_CAV!$A$2:$A$121,1))))</f>
        <v>4</v>
      </c>
      <c r="AB1326" s="18" t="n">
        <f aca="false">IF(D1326="","",IF(L1326&lt;=$B$16,1,IF(L1326&gt;=$B$17,$B$21,MATCH(L1326,Aux_CAV!$A$2:$A$121,1))))</f>
        <v>4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0.142772125377634</v>
      </c>
      <c r="E1327" s="16" t="n">
        <f aca="false">IF(D1327="","",D1327*$B$15)</f>
        <v>0.370065348978827</v>
      </c>
      <c r="F1327" s="16" t="n">
        <f aca="false" t="array" ref="F1327:F1327">IF(D1327="","",IFERROR(INDEX(Dados_Evap!$C$2:$N$15,MATCH($B$9,Dados_Evap!$A$2:$A$15,0),C1327),0))</f>
        <v>180.9</v>
      </c>
      <c r="G1327" s="16" t="n">
        <f aca="false">IF(F1327="","",F1327/1000)</f>
        <v>0.1809</v>
      </c>
      <c r="H1327" s="16" t="n">
        <f aca="false">IF(D1327="","",MAX(0,MIN($B$8,IFERROR(LOOKUP(2,1/($U$24:U1326&lt;&gt;""),$U$24:U1326),$B$11))))</f>
        <v>5.88035659079517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0.772187467796385</v>
      </c>
      <c r="J1327" s="16" t="n">
        <f aca="false">IF(D1327="","",$B$12)</f>
        <v>0.25</v>
      </c>
      <c r="K1327" s="16" t="n">
        <f aca="false">IF(J1327="","",J1327*$B$15)</f>
        <v>0.648</v>
      </c>
      <c r="L1327" s="16" t="n">
        <f aca="false">IF(D1327="","",H1327+E1327-K1327-G1327*I1327)</f>
        <v>5.46273322684964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0.747826104899562</v>
      </c>
      <c r="N1327" s="16" t="n">
        <f aca="false">IF(D1327="","",(I1327+M1327)/2)</f>
        <v>0.760006786347974</v>
      </c>
      <c r="O1327" s="16" t="n">
        <f aca="false">IF(D1327="","",G1327*N1327)</f>
        <v>0.137485227650348</v>
      </c>
      <c r="P1327" s="16" t="n">
        <f aca="false">IF(D1327="","",H1327+E1327-K1327-O1327)</f>
        <v>5.46493671212365</v>
      </c>
      <c r="Q1327" s="16" t="n">
        <f aca="false">IF(D1327="","",IF(P1327&gt;=0,K1327,MAX(0,K1327+P1327)))</f>
        <v>0.648</v>
      </c>
      <c r="R1327" s="16" t="n">
        <f aca="false">IF(D1327="","",Q1327/$B$15)</f>
        <v>0.25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5.46493671212365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25.6569798691251</v>
      </c>
      <c r="Z1327" s="18" t="n">
        <f aca="false">IF(D1327="","",MAX(0,IF(P1327&gt;=0,P1327,IF(K1327+P1327&gt;=0,0,P1327+K1327))))</f>
        <v>5.46493671212365</v>
      </c>
      <c r="AA1327" s="18" t="n">
        <f aca="false">IF(D1327="","",IF(H1327&lt;=$B$16,1,IF(H1327&gt;=$B$17,$B$21,MATCH(H1327,Aux_CAV!$A$2:$A$121,1))))</f>
        <v>4</v>
      </c>
      <c r="AB1327" s="18" t="n">
        <f aca="false">IF(D1327="","",IF(L1327&lt;=$B$16,1,IF(L1327&gt;=$B$17,$B$21,MATCH(L1327,Aux_CAV!$A$2:$A$121,1))))</f>
        <v>4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0.0576255961735214</v>
      </c>
      <c r="E1328" s="16" t="n">
        <f aca="false">IF(D1328="","",D1328*$B$15)</f>
        <v>0.149365545281768</v>
      </c>
      <c r="F1328" s="16" t="n">
        <f aca="false" t="array" ref="F1328:F1328">IF(D1328="","",IFERROR(INDEX(Dados_Evap!$C$2:$N$15,MATCH($B$9,Dados_Evap!$A$2:$A$15,0),C1328),0))</f>
        <v>208.9</v>
      </c>
      <c r="G1328" s="16" t="n">
        <f aca="false">IF(F1328="","",F1328/1000)</f>
        <v>0.2089</v>
      </c>
      <c r="H1328" s="16" t="n">
        <f aca="false">IF(D1328="","",MAX(0,MIN($B$8,IFERROR(LOOKUP(2,1/($U$24:U1327&lt;&gt;""),$U$24:U1327),$B$11))))</f>
        <v>5.46493671212365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0.747954641540546</v>
      </c>
      <c r="J1328" s="16" t="n">
        <f aca="false">IF(D1328="","",$B$12)</f>
        <v>0.25</v>
      </c>
      <c r="K1328" s="16" t="n">
        <f aca="false">IF(J1328="","",J1328*$B$15)</f>
        <v>0.648</v>
      </c>
      <c r="L1328" s="16" t="n">
        <f aca="false">IF(D1328="","",H1328+E1328-K1328-G1328*I1328)</f>
        <v>4.8100545327876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0.709753181079277</v>
      </c>
      <c r="N1328" s="16" t="n">
        <f aca="false">IF(D1328="","",(I1328+M1328)/2)</f>
        <v>0.728853911309912</v>
      </c>
      <c r="O1328" s="16" t="n">
        <f aca="false">IF(D1328="","",G1328*N1328)</f>
        <v>0.152257582072641</v>
      </c>
      <c r="P1328" s="16" t="n">
        <f aca="false">IF(D1328="","",H1328+E1328-K1328-O1328)</f>
        <v>4.81404467533278</v>
      </c>
      <c r="Q1328" s="16" t="n">
        <f aca="false">IF(D1328="","",IF(P1328&gt;=0,K1328,MAX(0,K1328+P1328)))</f>
        <v>0.648</v>
      </c>
      <c r="R1328" s="16" t="n">
        <f aca="false">IF(D1328="","",Q1328/$B$15)</f>
        <v>0.25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4.81404467533278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22.6011487104825</v>
      </c>
      <c r="Z1328" s="18" t="n">
        <f aca="false">IF(D1328="","",MAX(0,IF(P1328&gt;=0,P1328,IF(K1328+P1328&gt;=0,0,P1328+K1328))))</f>
        <v>4.81404467533278</v>
      </c>
      <c r="AA1328" s="18" t="n">
        <f aca="false">IF(D1328="","",IF(H1328&lt;=$B$16,1,IF(H1328&gt;=$B$17,$B$21,MATCH(H1328,Aux_CAV!$A$2:$A$121,1))))</f>
        <v>4</v>
      </c>
      <c r="AB1328" s="18" t="n">
        <f aca="false">IF(D1328="","",IF(L1328&lt;=$B$16,1,IF(L1328&gt;=$B$17,$B$21,MATCH(L1328,Aux_CAV!$A$2:$A$121,1))))</f>
        <v>4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0.0360516559595129</v>
      </c>
      <c r="E1329" s="16" t="n">
        <f aca="false">IF(D1329="","",D1329*$B$15)</f>
        <v>0.0934458922470575</v>
      </c>
      <c r="F1329" s="16" t="n">
        <f aca="false" t="array" ref="F1329:F1329">IF(D1329="","",IFERROR(INDEX(Dados_Evap!$C$2:$N$15,MATCH($B$9,Dados_Evap!$A$2:$A$15,0),C1329),0))</f>
        <v>235.9</v>
      </c>
      <c r="G1329" s="16" t="n">
        <f aca="false">IF(F1329="","",F1329/1000)</f>
        <v>0.2359</v>
      </c>
      <c r="H1329" s="16" t="n">
        <f aca="false">IF(D1329="","",MAX(0,MIN($B$8,IFERROR(LOOKUP(2,1/($U$24:U1328&lt;&gt;""),$U$24:U1328),$B$11))))</f>
        <v>4.81404467533278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0.709985939394412</v>
      </c>
      <c r="J1329" s="16" t="n">
        <f aca="false">IF(D1329="","",$B$12)</f>
        <v>0.25</v>
      </c>
      <c r="K1329" s="16" t="n">
        <f aca="false">IF(J1329="","",J1329*$B$15)</f>
        <v>0.648</v>
      </c>
      <c r="L1329" s="16" t="n">
        <f aca="false">IF(D1329="","",H1329+E1329-K1329-G1329*I1329)</f>
        <v>4.0920048844767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0.667866951594474</v>
      </c>
      <c r="N1329" s="16" t="n">
        <f aca="false">IF(D1329="","",(I1329+M1329)/2)</f>
        <v>0.688926445494443</v>
      </c>
      <c r="O1329" s="16" t="n">
        <f aca="false">IF(D1329="","",G1329*N1329)</f>
        <v>0.162517748492139</v>
      </c>
      <c r="P1329" s="16" t="n">
        <f aca="false">IF(D1329="","",H1329+E1329-K1329-O1329)</f>
        <v>4.0969728190877</v>
      </c>
      <c r="Q1329" s="16" t="n">
        <f aca="false">IF(D1329="","",IF(P1329&gt;=0,K1329,MAX(0,K1329+P1329)))</f>
        <v>0.648</v>
      </c>
      <c r="R1329" s="16" t="n">
        <f aca="false">IF(D1329="","",Q1329/$B$15)</f>
        <v>0.25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4.0969728190877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19.2346141741207</v>
      </c>
      <c r="Z1329" s="18" t="n">
        <f aca="false">IF(D1329="","",MAX(0,IF(P1329&gt;=0,P1329,IF(K1329+P1329&gt;=0,0,P1329+K1329))))</f>
        <v>4.0969728190877</v>
      </c>
      <c r="AA1329" s="18" t="n">
        <f aca="false">IF(D1329="","",IF(H1329&lt;=$B$16,1,IF(H1329&gt;=$B$17,$B$21,MATCH(H1329,Aux_CAV!$A$2:$A$121,1))))</f>
        <v>4</v>
      </c>
      <c r="AB1329" s="18" t="n">
        <f aca="false">IF(D1329="","",IF(L1329&lt;=$B$16,1,IF(L1329&gt;=$B$17,$B$21,MATCH(L1329,Aux_CAV!$A$2:$A$121,1))))</f>
        <v>4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0.0338717563055242</v>
      </c>
      <c r="E1330" s="16" t="n">
        <f aca="false">IF(D1330="","",D1330*$B$15)</f>
        <v>0.0877955923439187</v>
      </c>
      <c r="F1330" s="16" t="n">
        <f aca="false" t="array" ref="F1330:F1330">IF(D1330="","",IFERROR(INDEX(Dados_Evap!$C$2:$N$15,MATCH($B$9,Dados_Evap!$A$2:$A$15,0),C1330),0))</f>
        <v>225.9</v>
      </c>
      <c r="G1330" s="16" t="n">
        <f aca="false">IF(F1330="","",F1330/1000)</f>
        <v>0.2259</v>
      </c>
      <c r="H1330" s="16" t="n">
        <f aca="false">IF(D1330="","",MAX(0,MIN($B$8,IFERROR(LOOKUP(2,1/($U$24:U1329&lt;&gt;""),$U$24:U1329),$B$11))))</f>
        <v>4.0969728190877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0.668156747780116</v>
      </c>
      <c r="J1330" s="16" t="n">
        <f aca="false">IF(D1330="","",$B$12)</f>
        <v>0.25</v>
      </c>
      <c r="K1330" s="16" t="n">
        <f aca="false">IF(J1330="","",J1330*$B$15)</f>
        <v>0.648</v>
      </c>
      <c r="L1330" s="16" t="n">
        <f aca="false">IF(D1330="","",H1330+E1330-K1330-G1330*I1330)</f>
        <v>3.38583180210809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0.626673521789639</v>
      </c>
      <c r="N1330" s="16" t="n">
        <f aca="false">IF(D1330="","",(I1330+M1330)/2)</f>
        <v>0.647415134784877</v>
      </c>
      <c r="O1330" s="16" t="n">
        <f aca="false">IF(D1330="","",G1330*N1330)</f>
        <v>0.146251078947904</v>
      </c>
      <c r="P1330" s="16" t="n">
        <f aca="false">IF(D1330="","",H1330+E1330-K1330-O1330)</f>
        <v>3.39051733248372</v>
      </c>
      <c r="Q1330" s="16" t="n">
        <f aca="false">IF(D1330="","",IF(P1330&gt;=0,K1330,MAX(0,K1330+P1330)))</f>
        <v>0.648</v>
      </c>
      <c r="R1330" s="16" t="n">
        <f aca="false">IF(D1330="","",Q1330/$B$15)</f>
        <v>0.25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3.39051733248372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15.9179217487498</v>
      </c>
      <c r="Z1330" s="18" t="n">
        <f aca="false">IF(D1330="","",MAX(0,IF(P1330&gt;=0,P1330,IF(K1330+P1330&gt;=0,0,P1330+K1330))))</f>
        <v>3.39051733248372</v>
      </c>
      <c r="AA1330" s="18" t="n">
        <f aca="false">IF(D1330="","",IF(H1330&lt;=$B$16,1,IF(H1330&gt;=$B$17,$B$21,MATCH(H1330,Aux_CAV!$A$2:$A$121,1))))</f>
        <v>4</v>
      </c>
      <c r="AB1330" s="18" t="n">
        <f aca="false">IF(D1330="","",IF(L1330&lt;=$B$16,1,IF(L1330&gt;=$B$17,$B$21,MATCH(L1330,Aux_CAV!$A$2:$A$121,1))))</f>
        <v>4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0.129344666544577</v>
      </c>
      <c r="E1331" s="16" t="n">
        <f aca="false">IF(D1331="","",D1331*$B$15)</f>
        <v>0.335261375683544</v>
      </c>
      <c r="F1331" s="16" t="n">
        <f aca="false" t="array" ref="F1331:F1331">IF(D1331="","",IFERROR(INDEX(Dados_Evap!$C$2:$N$15,MATCH($B$9,Dados_Evap!$A$2:$A$15,0),C1331),0))</f>
        <v>206</v>
      </c>
      <c r="G1331" s="16" t="n">
        <f aca="false">IF(F1331="","",F1331/1000)</f>
        <v>0.206</v>
      </c>
      <c r="H1331" s="16" t="n">
        <f aca="false">IF(D1331="","",MAX(0,MIN($B$8,IFERROR(LOOKUP(2,1/($U$24:U1330&lt;&gt;""),$U$24:U1330),$B$11))))</f>
        <v>3.39051733248372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0.626946844394883</v>
      </c>
      <c r="J1331" s="16" t="n">
        <f aca="false">IF(D1331="","",$B$12)</f>
        <v>0.25</v>
      </c>
      <c r="K1331" s="16" t="n">
        <f aca="false">IF(J1331="","",J1331*$B$15)</f>
        <v>0.648</v>
      </c>
      <c r="L1331" s="16" t="n">
        <f aca="false">IF(D1331="","",H1331+E1331-K1331-G1331*I1331)</f>
        <v>2.94862765822191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0.588566748066819</v>
      </c>
      <c r="N1331" s="16" t="n">
        <f aca="false">IF(D1331="","",(I1331+M1331)/2)</f>
        <v>0.607756796230851</v>
      </c>
      <c r="O1331" s="16" t="n">
        <f aca="false">IF(D1331="","",G1331*N1331)</f>
        <v>0.125197900023555</v>
      </c>
      <c r="P1331" s="16" t="n">
        <f aca="false">IF(D1331="","",H1331+E1331-K1331-O1331)</f>
        <v>2.9525808081437</v>
      </c>
      <c r="Q1331" s="16" t="n">
        <f aca="false">IF(D1331="","",IF(P1331&gt;=0,K1331,MAX(0,K1331+P1331)))</f>
        <v>0.648</v>
      </c>
      <c r="R1331" s="16" t="n">
        <f aca="false">IF(D1331="","",Q1331/$B$15)</f>
        <v>0.25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2.9525808081437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13.8618817283742</v>
      </c>
      <c r="Z1331" s="18" t="n">
        <f aca="false">IF(D1331="","",MAX(0,IF(P1331&gt;=0,P1331,IF(K1331+P1331&gt;=0,0,P1331+K1331))))</f>
        <v>2.9525808081437</v>
      </c>
      <c r="AA1331" s="18" t="n">
        <f aca="false">IF(D1331="","",IF(H1331&lt;=$B$16,1,IF(H1331&gt;=$B$17,$B$21,MATCH(H1331,Aux_CAV!$A$2:$A$121,1))))</f>
        <v>4</v>
      </c>
      <c r="AB1331" s="18" t="n">
        <f aca="false">IF(D1331="","",IF(L1331&lt;=$B$16,1,IF(L1331&gt;=$B$17,$B$21,MATCH(L1331,Aux_CAV!$A$2:$A$121,1))))</f>
        <v>3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0.202265050277851</v>
      </c>
      <c r="E1332" s="16" t="n">
        <f aca="false">IF(D1332="","",D1332*$B$15)</f>
        <v>0.52427101032019</v>
      </c>
      <c r="F1332" s="16" t="n">
        <f aca="false" t="array" ref="F1332:F1332">IF(D1332="","",IFERROR(INDEX(Dados_Evap!$C$2:$N$15,MATCH($B$9,Dados_Evap!$A$2:$A$15,0),C1332),0))</f>
        <v>165.6</v>
      </c>
      <c r="G1332" s="16" t="n">
        <f aca="false">IF(F1332="","",F1332/1000)</f>
        <v>0.1656</v>
      </c>
      <c r="H1332" s="16" t="n">
        <f aca="false">IF(D1332="","",MAX(0,MIN($B$8,IFERROR(LOOKUP(2,1/($U$24:U1331&lt;&gt;""),$U$24:U1331),$B$11))))</f>
        <v>2.9525808081437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0.589126486108843</v>
      </c>
      <c r="J1332" s="16" t="n">
        <f aca="false">IF(D1332="","",$B$12)</f>
        <v>0.25</v>
      </c>
      <c r="K1332" s="16" t="n">
        <f aca="false">IF(J1332="","",J1332*$B$15)</f>
        <v>0.648</v>
      </c>
      <c r="L1332" s="16" t="n">
        <f aca="false">IF(D1332="","",H1332+E1332-K1332-G1332*I1332)</f>
        <v>2.73129247236427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0.55779362440556</v>
      </c>
      <c r="N1332" s="16" t="n">
        <f aca="false">IF(D1332="","",(I1332+M1332)/2)</f>
        <v>0.573460055257202</v>
      </c>
      <c r="O1332" s="16" t="n">
        <f aca="false">IF(D1332="","",G1332*N1332)</f>
        <v>0.0949649851505926</v>
      </c>
      <c r="P1332" s="16" t="n">
        <f aca="false">IF(D1332="","",H1332+E1332-K1332-O1332)</f>
        <v>2.7338868333133</v>
      </c>
      <c r="Q1332" s="16" t="n">
        <f aca="false">IF(D1332="","",IF(P1332&gt;=0,K1332,MAX(0,K1332+P1332)))</f>
        <v>0.648</v>
      </c>
      <c r="R1332" s="16" t="n">
        <f aca="false">IF(D1332="","",Q1332/$B$15)</f>
        <v>0.25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2.7338868333133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12.8351494521751</v>
      </c>
      <c r="Z1332" s="18" t="n">
        <f aca="false">IF(D1332="","",MAX(0,IF(P1332&gt;=0,P1332,IF(K1332+P1332&gt;=0,0,P1332+K1332))))</f>
        <v>2.7338868333133</v>
      </c>
      <c r="AA1332" s="18" t="n">
        <f aca="false">IF(D1332="","",IF(H1332&lt;=$B$16,1,IF(H1332&gt;=$B$17,$B$21,MATCH(H1332,Aux_CAV!$A$2:$A$121,1))))</f>
        <v>3</v>
      </c>
      <c r="AB1332" s="18" t="n">
        <f aca="false">IF(D1332="","",IF(L1332&lt;=$B$16,1,IF(L1332&gt;=$B$17,$B$21,MATCH(L1332,Aux_CAV!$A$2:$A$121,1))))</f>
        <v>3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0.438507004658902</v>
      </c>
      <c r="E1333" s="16" t="n">
        <f aca="false">IF(D1333="","",D1333*$B$15)</f>
        <v>1.13661015607587</v>
      </c>
      <c r="F1333" s="16" t="n">
        <f aca="false" t="array" ref="F1333:F1333">IF(D1333="","",IFERROR(INDEX(Dados_Evap!$C$2:$N$15,MATCH($B$9,Dados_Evap!$A$2:$A$15,0),C1333),0))</f>
        <v>124.9</v>
      </c>
      <c r="G1333" s="16" t="n">
        <f aca="false">IF(F1333="","",F1333/1000)</f>
        <v>0.1249</v>
      </c>
      <c r="H1333" s="16" t="n">
        <f aca="false">IF(D1333="","",MAX(0,MIN($B$8,IFERROR(LOOKUP(2,1/($U$24:U1332&lt;&gt;""),$U$24:U1332),$B$11))))</f>
        <v>2.7338868333133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0.558160967548786</v>
      </c>
      <c r="J1333" s="16" t="n">
        <f aca="false">IF(D1333="","",$B$12)</f>
        <v>0.25</v>
      </c>
      <c r="K1333" s="16" t="n">
        <f aca="false">IF(J1333="","",J1333*$B$15)</f>
        <v>0.648</v>
      </c>
      <c r="L1333" s="16" t="n">
        <f aca="false">IF(D1333="","",H1333+E1333-K1333-G1333*I1333)</f>
        <v>3.15278268454233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0.613078989931636</v>
      </c>
      <c r="N1333" s="16" t="n">
        <f aca="false">IF(D1333="","",(I1333+M1333)/2)</f>
        <v>0.585619978740211</v>
      </c>
      <c r="O1333" s="16" t="n">
        <f aca="false">IF(D1333="","",G1333*N1333)</f>
        <v>0.0731439353446523</v>
      </c>
      <c r="P1333" s="16" t="n">
        <f aca="false">IF(D1333="","",H1333+E1333-K1333-O1333)</f>
        <v>3.14935305404452</v>
      </c>
      <c r="Q1333" s="16" t="n">
        <f aca="false">IF(D1333="","",IF(P1333&gt;=0,K1333,MAX(0,K1333+P1333)))</f>
        <v>0.648</v>
      </c>
      <c r="R1333" s="16" t="n">
        <f aca="false">IF(D1333="","",Q1333/$B$15)</f>
        <v>0.25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3.14935305404452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14.7856950894109</v>
      </c>
      <c r="Z1333" s="18" t="n">
        <f aca="false">IF(D1333="","",MAX(0,IF(P1333&gt;=0,P1333,IF(K1333+P1333&gt;=0,0,P1333+K1333))))</f>
        <v>3.14935305404452</v>
      </c>
      <c r="AA1333" s="18" t="n">
        <f aca="false">IF(D1333="","",IF(H1333&lt;=$B$16,1,IF(H1333&gt;=$B$17,$B$21,MATCH(H1333,Aux_CAV!$A$2:$A$121,1))))</f>
        <v>3</v>
      </c>
      <c r="AB1333" s="18" t="n">
        <f aca="false">IF(D1333="","",IF(L1333&lt;=$B$16,1,IF(L1333&gt;=$B$17,$B$21,MATCH(L1333,Aux_CAV!$A$2:$A$121,1))))</f>
        <v>4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1.63477630610663</v>
      </c>
      <c r="E1334" s="16" t="n">
        <f aca="false">IF(D1334="","",D1334*$B$15)</f>
        <v>4.23734018542839</v>
      </c>
      <c r="F1334" s="16" t="n">
        <f aca="false" t="array" ref="F1334:F1334">IF(D1334="","",IFERROR(INDEX(Dados_Evap!$C$2:$N$15,MATCH($B$9,Dados_Evap!$A$2:$A$15,0),C1334),0))</f>
        <v>88.2</v>
      </c>
      <c r="G1334" s="16" t="n">
        <f aca="false">IF(F1334="","",F1334/1000)</f>
        <v>0.0882</v>
      </c>
      <c r="H1334" s="16" t="n">
        <f aca="false">IF(D1334="","",MAX(0,MIN($B$8,IFERROR(LOOKUP(2,1/($U$24:U1333&lt;&gt;""),$U$24:U1333),$B$11))))</f>
        <v>3.14935305404452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0.612878928152597</v>
      </c>
      <c r="J1334" s="16" t="n">
        <f aca="false">IF(D1334="","",$B$12)</f>
        <v>0.25</v>
      </c>
      <c r="K1334" s="16" t="n">
        <f aca="false">IF(J1334="","",J1334*$B$15)</f>
        <v>0.648</v>
      </c>
      <c r="L1334" s="16" t="n">
        <f aca="false">IF(D1334="","",H1334+E1334-K1334-G1334*I1334)</f>
        <v>6.68463731800985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0.819103843550574</v>
      </c>
      <c r="N1334" s="16" t="n">
        <f aca="false">IF(D1334="","",(I1334+M1334)/2)</f>
        <v>0.715991385851586</v>
      </c>
      <c r="O1334" s="16" t="n">
        <f aca="false">IF(D1334="","",G1334*N1334)</f>
        <v>0.0631504402321099</v>
      </c>
      <c r="P1334" s="16" t="n">
        <f aca="false">IF(D1334="","",H1334+E1334-K1334-O1334)</f>
        <v>6.6755427992408</v>
      </c>
      <c r="Q1334" s="16" t="n">
        <f aca="false">IF(D1334="","",IF(P1334&gt;=0,K1334,MAX(0,K1334+P1334)))</f>
        <v>0.648</v>
      </c>
      <c r="R1334" s="16" t="n">
        <f aca="false">IF(D1334="","",Q1334/$B$15)</f>
        <v>0.25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6.6755427992408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31.3405765222573</v>
      </c>
      <c r="Z1334" s="18" t="n">
        <f aca="false">IF(D1334="","",MAX(0,IF(P1334&gt;=0,P1334,IF(K1334+P1334&gt;=0,0,P1334+K1334))))</f>
        <v>6.6755427992408</v>
      </c>
      <c r="AA1334" s="18" t="n">
        <f aca="false">IF(D1334="","",IF(H1334&lt;=$B$16,1,IF(H1334&gt;=$B$17,$B$21,MATCH(H1334,Aux_CAV!$A$2:$A$121,1))))</f>
        <v>4</v>
      </c>
      <c r="AB1334" s="18" t="n">
        <f aca="false">IF(D1334="","",IF(L1334&lt;=$B$16,1,IF(L1334&gt;=$B$17,$B$21,MATCH(L1334,Aux_CAV!$A$2:$A$121,1))))</f>
        <v>4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1.91260493893351</v>
      </c>
      <c r="E1335" s="16" t="n">
        <f aca="false">IF(D1335="","",D1335*$B$15)</f>
        <v>4.95747200171566</v>
      </c>
      <c r="F1335" s="16" t="n">
        <f aca="false" t="array" ref="F1335:F1335">IF(D1335="","",IFERROR(INDEX(Dados_Evap!$C$2:$N$15,MATCH($B$9,Dados_Evap!$A$2:$A$15,0),C1335),0))</f>
        <v>88.2</v>
      </c>
      <c r="G1335" s="16" t="n">
        <f aca="false">IF(F1335="","",F1335/1000)</f>
        <v>0.0882</v>
      </c>
      <c r="H1335" s="16" t="n">
        <f aca="false">IF(D1335="","",MAX(0,MIN($B$8,IFERROR(LOOKUP(2,1/($U$24:U1334&lt;&gt;""),$U$24:U1334),$B$11))))</f>
        <v>6.6755427992408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0.818573329955713</v>
      </c>
      <c r="J1335" s="16" t="n">
        <f aca="false">IF(D1335="","",$B$12)</f>
        <v>0.25</v>
      </c>
      <c r="K1335" s="16" t="n">
        <f aca="false">IF(J1335="","",J1335*$B$15)</f>
        <v>0.648</v>
      </c>
      <c r="L1335" s="16" t="n">
        <f aca="false">IF(D1335="","",H1335+E1335-K1335-G1335*I1335)</f>
        <v>10.9128166332544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0.959805861723043</v>
      </c>
      <c r="N1335" s="16" t="n">
        <f aca="false">IF(D1335="","",(I1335+M1335)/2)</f>
        <v>0.889189595839378</v>
      </c>
      <c r="O1335" s="16" t="n">
        <f aca="false">IF(D1335="","",G1335*N1335)</f>
        <v>0.0784265223530331</v>
      </c>
      <c r="P1335" s="16" t="n">
        <f aca="false">IF(D1335="","",H1335+E1335-K1335-O1335)</f>
        <v>10.9065882786034</v>
      </c>
      <c r="Q1335" s="16" t="n">
        <f aca="false">IF(D1335="","",IF(P1335&gt;=0,K1335,MAX(0,K1335+P1335)))</f>
        <v>0.648</v>
      </c>
      <c r="R1335" s="16" t="n">
        <f aca="false">IF(D1335="","",Q1335/$B$15)</f>
        <v>0.25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10.9065882786034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51.2046398056499</v>
      </c>
      <c r="Z1335" s="18" t="n">
        <f aca="false">IF(D1335="","",MAX(0,IF(P1335&gt;=0,P1335,IF(K1335+P1335&gt;=0,0,P1335+K1335))))</f>
        <v>10.9065882786034</v>
      </c>
      <c r="AA1335" s="18" t="n">
        <f aca="false">IF(D1335="","",IF(H1335&lt;=$B$16,1,IF(H1335&gt;=$B$17,$B$21,MATCH(H1335,Aux_CAV!$A$2:$A$121,1))))</f>
        <v>4</v>
      </c>
      <c r="AB1335" s="18" t="n">
        <f aca="false">IF(D1335="","",IF(L1335&lt;=$B$16,1,IF(L1335&gt;=$B$17,$B$21,MATCH(L1335,Aux_CAV!$A$2:$A$121,1))))</f>
        <v>5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1.09132202687096</v>
      </c>
      <c r="E1336" s="16" t="n">
        <f aca="false">IF(D1336="","",D1336*$B$15)</f>
        <v>2.82870669364953</v>
      </c>
      <c r="F1336" s="16" t="n">
        <f aca="false" t="array" ref="F1336:F1336">IF(D1336="","",IFERROR(INDEX(Dados_Evap!$C$2:$N$15,MATCH($B$9,Dados_Evap!$A$2:$A$15,0),C1336),0))</f>
        <v>83.9</v>
      </c>
      <c r="G1336" s="16" t="n">
        <f aca="false">IF(F1336="","",F1336/1000)</f>
        <v>0.0839</v>
      </c>
      <c r="H1336" s="16" t="n">
        <f aca="false">IF(D1336="","",MAX(0,MIN($B$8,IFERROR(LOOKUP(2,1/($U$24:U1335&lt;&gt;""),$U$24:U1335),$B$11))))</f>
        <v>10.9065882786034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0.959599168537724</v>
      </c>
      <c r="J1336" s="16" t="n">
        <f aca="false">IF(D1336="","",$B$12)</f>
        <v>0.25</v>
      </c>
      <c r="K1336" s="16" t="n">
        <f aca="false">IF(J1336="","",J1336*$B$15)</f>
        <v>0.648</v>
      </c>
      <c r="L1336" s="16" t="n">
        <f aca="false">IF(D1336="","",H1336+E1336-K1336-G1336*I1336)</f>
        <v>13.0067846020126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1.0274202991195</v>
      </c>
      <c r="N1336" s="16" t="n">
        <f aca="false">IF(D1336="","",(I1336+M1336)/2)</f>
        <v>0.993509733828611</v>
      </c>
      <c r="O1336" s="16" t="n">
        <f aca="false">IF(D1336="","",G1336*N1336)</f>
        <v>0.0833554666682205</v>
      </c>
      <c r="P1336" s="16" t="n">
        <f aca="false">IF(D1336="","",H1336+E1336-K1336-O1336)</f>
        <v>13.0039395055847</v>
      </c>
      <c r="Q1336" s="16" t="n">
        <f aca="false">IF(D1336="","",IF(P1336&gt;=0,K1336,MAX(0,K1336+P1336)))</f>
        <v>0.648</v>
      </c>
      <c r="R1336" s="16" t="n">
        <f aca="false">IF(D1336="","",Q1336/$B$15)</f>
        <v>0.25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13.0039395055847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61.051359181149</v>
      </c>
      <c r="Z1336" s="18" t="n">
        <f aca="false">IF(D1336="","",MAX(0,IF(P1336&gt;=0,P1336,IF(K1336+P1336&gt;=0,0,P1336+K1336))))</f>
        <v>13.0039395055847</v>
      </c>
      <c r="AA1336" s="18" t="n">
        <f aca="false">IF(D1336="","",IF(H1336&lt;=$B$16,1,IF(H1336&gt;=$B$17,$B$21,MATCH(H1336,Aux_CAV!$A$2:$A$121,1))))</f>
        <v>5</v>
      </c>
      <c r="AB1336" s="18" t="n">
        <f aca="false">IF(D1336="","",IF(L1336&lt;=$B$16,1,IF(L1336&gt;=$B$17,$B$21,MATCH(L1336,Aux_CAV!$A$2:$A$121,1))))</f>
        <v>6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0.720593604149096</v>
      </c>
      <c r="E1337" s="16" t="n">
        <f aca="false">IF(D1337="","",D1337*$B$15)</f>
        <v>1.86777862195446</v>
      </c>
      <c r="F1337" s="16" t="n">
        <f aca="false" t="array" ref="F1337:F1337">IF(D1337="","",IFERROR(INDEX(Dados_Evap!$C$2:$N$15,MATCH($B$9,Dados_Evap!$A$2:$A$15,0),C1337),0))</f>
        <v>104.7</v>
      </c>
      <c r="G1337" s="16" t="n">
        <f aca="false">IF(F1337="","",F1337/1000)</f>
        <v>0.1047</v>
      </c>
      <c r="H1337" s="16" t="n">
        <f aca="false">IF(D1337="","",MAX(0,MIN($B$8,IFERROR(LOOKUP(2,1/($U$24:U1336&lt;&gt;""),$U$24:U1336),$B$11))))</f>
        <v>13.0039395055847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1.02732886879951</v>
      </c>
      <c r="J1337" s="16" t="n">
        <f aca="false">IF(D1337="","",$B$12)</f>
        <v>0.25</v>
      </c>
      <c r="K1337" s="16" t="n">
        <f aca="false">IF(J1337="","",J1337*$B$15)</f>
        <v>0.648</v>
      </c>
      <c r="L1337" s="16" t="n">
        <f aca="false">IF(D1337="","",H1337+E1337-K1337-G1337*I1337)</f>
        <v>14.1161567949759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1.06307120135083</v>
      </c>
      <c r="N1337" s="16" t="n">
        <f aca="false">IF(D1337="","",(I1337+M1337)/2)</f>
        <v>1.04520003507517</v>
      </c>
      <c r="O1337" s="16" t="n">
        <f aca="false">IF(D1337="","",G1337*N1337)</f>
        <v>0.10943244367237</v>
      </c>
      <c r="P1337" s="16" t="n">
        <f aca="false">IF(D1337="","",H1337+E1337-K1337-O1337)</f>
        <v>14.1142856838668</v>
      </c>
      <c r="Q1337" s="16" t="n">
        <f aca="false">IF(D1337="","",IF(P1337&gt;=0,K1337,MAX(0,K1337+P1337)))</f>
        <v>0.648</v>
      </c>
      <c r="R1337" s="16" t="n">
        <f aca="false">IF(D1337="","",Q1337/$B$15)</f>
        <v>0.25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14.1142856838668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66.2642520369334</v>
      </c>
      <c r="Z1337" s="18" t="n">
        <f aca="false">IF(D1337="","",MAX(0,IF(P1337&gt;=0,P1337,IF(K1337+P1337&gt;=0,0,P1337+K1337))))</f>
        <v>14.1142856838668</v>
      </c>
      <c r="AA1337" s="18" t="n">
        <f aca="false">IF(D1337="","",IF(H1337&lt;=$B$16,1,IF(H1337&gt;=$B$17,$B$21,MATCH(H1337,Aux_CAV!$A$2:$A$121,1))))</f>
        <v>6</v>
      </c>
      <c r="AB1337" s="18" t="n">
        <f aca="false">IF(D1337="","",IF(L1337&lt;=$B$16,1,IF(L1337&gt;=$B$17,$B$21,MATCH(L1337,Aux_CAV!$A$2:$A$121,1))))</f>
        <v>6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0.278302870555169</v>
      </c>
      <c r="E1338" s="16" t="n">
        <f aca="false">IF(D1338="","",D1338*$B$15)</f>
        <v>0.721361040478998</v>
      </c>
      <c r="F1338" s="16" t="n">
        <f aca="false" t="array" ref="F1338:F1338">IF(D1338="","",IFERROR(INDEX(Dados_Evap!$C$2:$N$15,MATCH($B$9,Dados_Evap!$A$2:$A$15,0),C1338),0))</f>
        <v>145.2</v>
      </c>
      <c r="G1338" s="16" t="n">
        <f aca="false">IF(F1338="","",F1338/1000)</f>
        <v>0.1452</v>
      </c>
      <c r="H1338" s="16" t="n">
        <f aca="false">IF(D1338="","",MAX(0,MIN($B$8,IFERROR(LOOKUP(2,1/($U$24:U1337&lt;&gt;""),$U$24:U1337),$B$11))))</f>
        <v>14.1142856838668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1.06301107112616</v>
      </c>
      <c r="J1338" s="16" t="n">
        <f aca="false">IF(D1338="","",$B$12)</f>
        <v>0.25</v>
      </c>
      <c r="K1338" s="16" t="n">
        <f aca="false">IF(J1338="","",J1338*$B$15)</f>
        <v>0.648</v>
      </c>
      <c r="L1338" s="16" t="n">
        <f aca="false">IF(D1338="","",H1338+E1338-K1338-G1338*I1338)</f>
        <v>14.0332975168183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1.06040842681647</v>
      </c>
      <c r="N1338" s="16" t="n">
        <f aca="false">IF(D1338="","",(I1338+M1338)/2)</f>
        <v>1.06170974897131</v>
      </c>
      <c r="O1338" s="16" t="n">
        <f aca="false">IF(D1338="","",G1338*N1338)</f>
        <v>0.154160255550634</v>
      </c>
      <c r="P1338" s="16" t="n">
        <f aca="false">IF(D1338="","",H1338+E1338-K1338-O1338)</f>
        <v>14.0334864687952</v>
      </c>
      <c r="Q1338" s="16" t="n">
        <f aca="false">IF(D1338="","",IF(P1338&gt;=0,K1338,MAX(0,K1338+P1338)))</f>
        <v>0.648</v>
      </c>
      <c r="R1338" s="16" t="n">
        <f aca="false">IF(D1338="","",Q1338/$B$15)</f>
        <v>0.25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14.0334864687952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65.8849129990384</v>
      </c>
      <c r="Z1338" s="18" t="n">
        <f aca="false">IF(D1338="","",MAX(0,IF(P1338&gt;=0,P1338,IF(K1338+P1338&gt;=0,0,P1338+K1338))))</f>
        <v>14.0334864687952</v>
      </c>
      <c r="AA1338" s="18" t="n">
        <f aca="false">IF(D1338="","",IF(H1338&lt;=$B$16,1,IF(H1338&gt;=$B$17,$B$21,MATCH(H1338,Aux_CAV!$A$2:$A$121,1))))</f>
        <v>6</v>
      </c>
      <c r="AB1338" s="18" t="n">
        <f aca="false">IF(D1338="","",IF(L1338&lt;=$B$16,1,IF(L1338&gt;=$B$17,$B$21,MATCH(L1338,Aux_CAV!$A$2:$A$121,1))))</f>
        <v>6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0.158263041072852</v>
      </c>
      <c r="E1339" s="16" t="n">
        <f aca="false">IF(D1339="","",D1339*$B$15)</f>
        <v>0.410217802460832</v>
      </c>
      <c r="F1339" s="16" t="n">
        <f aca="false" t="array" ref="F1339:F1339">IF(D1339="","",IFERROR(INDEX(Dados_Evap!$C$2:$N$15,MATCH($B$9,Dados_Evap!$A$2:$A$15,0),C1339),0))</f>
        <v>180.9</v>
      </c>
      <c r="G1339" s="16" t="n">
        <f aca="false">IF(F1339="","",F1339/1000)</f>
        <v>0.1809</v>
      </c>
      <c r="H1339" s="16" t="n">
        <f aca="false">IF(D1339="","",MAX(0,MIN($B$8,IFERROR(LOOKUP(2,1/($U$24:U1338&lt;&gt;""),$U$24:U1338),$B$11))))</f>
        <v>14.0334864687952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1.0604144989972</v>
      </c>
      <c r="J1339" s="16" t="n">
        <f aca="false">IF(D1339="","",$B$12)</f>
        <v>0.25</v>
      </c>
      <c r="K1339" s="16" t="n">
        <f aca="false">IF(J1339="","",J1339*$B$15)</f>
        <v>0.648</v>
      </c>
      <c r="L1339" s="16" t="n">
        <f aca="false">IF(D1339="","",H1339+E1339-K1339-G1339*I1339)</f>
        <v>13.6038752883874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1.04660846862493</v>
      </c>
      <c r="N1339" s="16" t="n">
        <f aca="false">IF(D1339="","",(I1339+M1339)/2)</f>
        <v>1.05351148381106</v>
      </c>
      <c r="O1339" s="16" t="n">
        <f aca="false">IF(D1339="","",G1339*N1339)</f>
        <v>0.190580227421421</v>
      </c>
      <c r="P1339" s="16" t="n">
        <f aca="false">IF(D1339="","",H1339+E1339-K1339-O1339)</f>
        <v>13.6051240438346</v>
      </c>
      <c r="Q1339" s="16" t="n">
        <f aca="false">IF(D1339="","",IF(P1339&gt;=0,K1339,MAX(0,K1339+P1339)))</f>
        <v>0.648</v>
      </c>
      <c r="R1339" s="16" t="n">
        <f aca="false">IF(D1339="","",Q1339/$B$15)</f>
        <v>0.25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13.6051240438346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63.8738218020404</v>
      </c>
      <c r="Z1339" s="18" t="n">
        <f aca="false">IF(D1339="","",MAX(0,IF(P1339&gt;=0,P1339,IF(K1339+P1339&gt;=0,0,P1339+K1339))))</f>
        <v>13.6051240438346</v>
      </c>
      <c r="AA1339" s="18" t="n">
        <f aca="false">IF(D1339="","",IF(H1339&lt;=$B$16,1,IF(H1339&gt;=$B$17,$B$21,MATCH(H1339,Aux_CAV!$A$2:$A$121,1))))</f>
        <v>6</v>
      </c>
      <c r="AB1339" s="18" t="n">
        <f aca="false">IF(D1339="","",IF(L1339&lt;=$B$16,1,IF(L1339&gt;=$B$17,$B$21,MATCH(L1339,Aux_CAV!$A$2:$A$121,1))))</f>
        <v>6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0.104982338948</v>
      </c>
      <c r="E1340" s="16" t="n">
        <f aca="false">IF(D1340="","",D1340*$B$15)</f>
        <v>0.272114222553216</v>
      </c>
      <c r="F1340" s="16" t="n">
        <f aca="false" t="array" ref="F1340:F1340">IF(D1340="","",IFERROR(INDEX(Dados_Evap!$C$2:$N$15,MATCH($B$9,Dados_Evap!$A$2:$A$15,0),C1340),0))</f>
        <v>208.9</v>
      </c>
      <c r="G1340" s="16" t="n">
        <f aca="false">IF(F1340="","",F1340/1000)</f>
        <v>0.2089</v>
      </c>
      <c r="H1340" s="16" t="n">
        <f aca="false">IF(D1340="","",MAX(0,MIN($B$8,IFERROR(LOOKUP(2,1/($U$24:U1339&lt;&gt;""),$U$24:U1339),$B$11))))</f>
        <v>13.6051240438346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1.04664859876217</v>
      </c>
      <c r="J1340" s="16" t="n">
        <f aca="false">IF(D1340="","",$B$12)</f>
        <v>0.25</v>
      </c>
      <c r="K1340" s="16" t="n">
        <f aca="false">IF(J1340="","",J1340*$B$15)</f>
        <v>0.648</v>
      </c>
      <c r="L1340" s="16" t="n">
        <f aca="false">IF(D1340="","",H1340+E1340-K1340-G1340*I1340)</f>
        <v>13.0105933741064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1.0275426982227</v>
      </c>
      <c r="N1340" s="16" t="n">
        <f aca="false">IF(D1340="","",(I1340+M1340)/2)</f>
        <v>1.03709564849244</v>
      </c>
      <c r="O1340" s="16" t="n">
        <f aca="false">IF(D1340="","",G1340*N1340)</f>
        <v>0.21664928097007</v>
      </c>
      <c r="P1340" s="16" t="n">
        <f aca="false">IF(D1340="","",H1340+E1340-K1340-O1340)</f>
        <v>13.0125889854177</v>
      </c>
      <c r="Q1340" s="16" t="n">
        <f aca="false">IF(D1340="","",IF(P1340&gt;=0,K1340,MAX(0,K1340+P1340)))</f>
        <v>0.648</v>
      </c>
      <c r="R1340" s="16" t="n">
        <f aca="false">IF(D1340="","",Q1340/$B$15)</f>
        <v>0.25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13.0125889854177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61.0919670676889</v>
      </c>
      <c r="Z1340" s="18" t="n">
        <f aca="false">IF(D1340="","",MAX(0,IF(P1340&gt;=0,P1340,IF(K1340+P1340&gt;=0,0,P1340+K1340))))</f>
        <v>13.0125889854177</v>
      </c>
      <c r="AA1340" s="18" t="n">
        <f aca="false">IF(D1340="","",IF(H1340&lt;=$B$16,1,IF(H1340&gt;=$B$17,$B$21,MATCH(H1340,Aux_CAV!$A$2:$A$121,1))))</f>
        <v>6</v>
      </c>
      <c r="AB1340" s="18" t="n">
        <f aca="false">IF(D1340="","",IF(L1340&lt;=$B$16,1,IF(L1340&gt;=$B$17,$B$21,MATCH(L1340,Aux_CAV!$A$2:$A$121,1))))</f>
        <v>6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0.0598604421251393</v>
      </c>
      <c r="E1341" s="16" t="n">
        <f aca="false">IF(D1341="","",D1341*$B$15)</f>
        <v>0.155158265988361</v>
      </c>
      <c r="F1341" s="16" t="n">
        <f aca="false" t="array" ref="F1341:F1341">IF(D1341="","",IFERROR(INDEX(Dados_Evap!$C$2:$N$15,MATCH($B$9,Dados_Evap!$A$2:$A$15,0),C1341),0))</f>
        <v>235.9</v>
      </c>
      <c r="G1341" s="16" t="n">
        <f aca="false">IF(F1341="","",F1341/1000)</f>
        <v>0.2359</v>
      </c>
      <c r="H1341" s="16" t="n">
        <f aca="false">IF(D1341="","",MAX(0,MIN($B$8,IFERROR(LOOKUP(2,1/($U$24:U1340&lt;&gt;""),$U$24:U1340),$B$11))))</f>
        <v>13.0125889854177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1.02760682939906</v>
      </c>
      <c r="J1341" s="16" t="n">
        <f aca="false">IF(D1341="","",$B$12)</f>
        <v>0.25</v>
      </c>
      <c r="K1341" s="16" t="n">
        <f aca="false">IF(J1341="","",J1341*$B$15)</f>
        <v>0.648</v>
      </c>
      <c r="L1341" s="16" t="n">
        <f aca="false">IF(D1341="","",H1341+E1341-K1341-G1341*I1341)</f>
        <v>12.2773348003509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1.00397862307366</v>
      </c>
      <c r="N1341" s="16" t="n">
        <f aca="false">IF(D1341="","",(I1341+M1341)/2)</f>
        <v>1.01579272623636</v>
      </c>
      <c r="O1341" s="16" t="n">
        <f aca="false">IF(D1341="","",G1341*N1341)</f>
        <v>0.239625504119157</v>
      </c>
      <c r="P1341" s="16" t="n">
        <f aca="false">IF(D1341="","",H1341+E1341-K1341-O1341)</f>
        <v>12.2801217472869</v>
      </c>
      <c r="Q1341" s="16" t="n">
        <f aca="false">IF(D1341="","",IF(P1341&gt;=0,K1341,MAX(0,K1341+P1341)))</f>
        <v>0.648</v>
      </c>
      <c r="R1341" s="16" t="n">
        <f aca="false">IF(D1341="","",Q1341/$B$15)</f>
        <v>0.25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12.2801217472869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57.6531537431312</v>
      </c>
      <c r="Z1341" s="18" t="n">
        <f aca="false">IF(D1341="","",MAX(0,IF(P1341&gt;=0,P1341,IF(K1341+P1341&gt;=0,0,P1341+K1341))))</f>
        <v>12.2801217472869</v>
      </c>
      <c r="AA1341" s="18" t="n">
        <f aca="false">IF(D1341="","",IF(H1341&lt;=$B$16,1,IF(H1341&gt;=$B$17,$B$21,MATCH(H1341,Aux_CAV!$A$2:$A$121,1))))</f>
        <v>6</v>
      </c>
      <c r="AB1341" s="18" t="n">
        <f aca="false">IF(D1341="","",IF(L1341&lt;=$B$16,1,IF(L1341&gt;=$B$17,$B$21,MATCH(L1341,Aux_CAV!$A$2:$A$121,1))))</f>
        <v>6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0.03336769977745</v>
      </c>
      <c r="E1342" s="16" t="n">
        <f aca="false">IF(D1342="","",D1342*$B$15)</f>
        <v>0.0864890778231504</v>
      </c>
      <c r="F1342" s="16" t="n">
        <f aca="false" t="array" ref="F1342:F1342">IF(D1342="","",IFERROR(INDEX(Dados_Evap!$C$2:$N$15,MATCH($B$9,Dados_Evap!$A$2:$A$15,0),C1342),0))</f>
        <v>225.9</v>
      </c>
      <c r="G1342" s="16" t="n">
        <f aca="false">IF(F1342="","",F1342/1000)</f>
        <v>0.2259</v>
      </c>
      <c r="H1342" s="16" t="n">
        <f aca="false">IF(D1342="","",MAX(0,MIN($B$8,IFERROR(LOOKUP(2,1/($U$24:U1341&lt;&gt;""),$U$24:U1341),$B$11))))</f>
        <v>12.2801217472869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1.00406818469542</v>
      </c>
      <c r="J1342" s="16" t="n">
        <f aca="false">IF(D1342="","",$B$12)</f>
        <v>0.25</v>
      </c>
      <c r="K1342" s="16" t="n">
        <f aca="false">IF(J1342="","",J1342*$B$15)</f>
        <v>0.648</v>
      </c>
      <c r="L1342" s="16" t="n">
        <f aca="false">IF(D1342="","",H1342+E1342-K1342-G1342*I1342)</f>
        <v>11.4917918221874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0.978734330769727</v>
      </c>
      <c r="N1342" s="16" t="n">
        <f aca="false">IF(D1342="","",(I1342+M1342)/2)</f>
        <v>0.991401257732575</v>
      </c>
      <c r="O1342" s="16" t="n">
        <f aca="false">IF(D1342="","",G1342*N1342)</f>
        <v>0.223957544121789</v>
      </c>
      <c r="P1342" s="16" t="n">
        <f aca="false">IF(D1342="","",H1342+E1342-K1342-O1342)</f>
        <v>11.4946532809883</v>
      </c>
      <c r="Q1342" s="16" t="n">
        <f aca="false">IF(D1342="","",IF(P1342&gt;=0,K1342,MAX(0,K1342+P1342)))</f>
        <v>0.648</v>
      </c>
      <c r="R1342" s="16" t="n">
        <f aca="false">IF(D1342="","",Q1342/$B$15)</f>
        <v>0.25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11.4946532809883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53.9655083614475</v>
      </c>
      <c r="Z1342" s="18" t="n">
        <f aca="false">IF(D1342="","",MAX(0,IF(P1342&gt;=0,P1342,IF(K1342+P1342&gt;=0,0,P1342+K1342))))</f>
        <v>11.4946532809883</v>
      </c>
      <c r="AA1342" s="18" t="n">
        <f aca="false">IF(D1342="","",IF(H1342&lt;=$B$16,1,IF(H1342&gt;=$B$17,$B$21,MATCH(H1342,Aux_CAV!$A$2:$A$121,1))))</f>
        <v>6</v>
      </c>
      <c r="AB1342" s="18" t="n">
        <f aca="false">IF(D1342="","",IF(L1342&lt;=$B$16,1,IF(L1342&gt;=$B$17,$B$21,MATCH(L1342,Aux_CAV!$A$2:$A$121,1))))</f>
        <v>6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0.0237753109459416</v>
      </c>
      <c r="E1343" s="16" t="n">
        <f aca="false">IF(D1343="","",D1343*$B$15)</f>
        <v>0.0616256059718806</v>
      </c>
      <c r="F1343" s="16" t="n">
        <f aca="false" t="array" ref="F1343:F1343">IF(D1343="","",IFERROR(INDEX(Dados_Evap!$C$2:$N$15,MATCH($B$9,Dados_Evap!$A$2:$A$15,0),C1343),0))</f>
        <v>206</v>
      </c>
      <c r="G1343" s="16" t="n">
        <f aca="false">IF(F1343="","",F1343/1000)</f>
        <v>0.206</v>
      </c>
      <c r="H1343" s="16" t="n">
        <f aca="false">IF(D1343="","",MAX(0,MIN($B$8,IFERROR(LOOKUP(2,1/($U$24:U1342&lt;&gt;""),$U$24:U1342),$B$11))))</f>
        <v>11.4946532809883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0.978826286912668</v>
      </c>
      <c r="J1343" s="16" t="n">
        <f aca="false">IF(D1343="","",$B$12)</f>
        <v>0.25</v>
      </c>
      <c r="K1343" s="16" t="n">
        <f aca="false">IF(J1343="","",J1343*$B$15)</f>
        <v>0.648</v>
      </c>
      <c r="L1343" s="16" t="n">
        <f aca="false">IF(D1343="","",H1343+E1343-K1343-G1343*I1343)</f>
        <v>10.7066406718562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0.952963739110271</v>
      </c>
      <c r="N1343" s="16" t="n">
        <f aca="false">IF(D1343="","",(I1343+M1343)/2)</f>
        <v>0.96589501301147</v>
      </c>
      <c r="O1343" s="16" t="n">
        <f aca="false">IF(D1343="","",G1343*N1343)</f>
        <v>0.198974372680363</v>
      </c>
      <c r="P1343" s="16" t="n">
        <f aca="false">IF(D1343="","",H1343+E1343-K1343-O1343)</f>
        <v>10.7093045142798</v>
      </c>
      <c r="Q1343" s="16" t="n">
        <f aca="false">IF(D1343="","",IF(P1343&gt;=0,K1343,MAX(0,K1343+P1343)))</f>
        <v>0.648</v>
      </c>
      <c r="R1343" s="16" t="n">
        <f aca="false">IF(D1343="","",Q1343/$B$15)</f>
        <v>0.25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10.7093045142798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50.2784249496706</v>
      </c>
      <c r="Z1343" s="18" t="n">
        <f aca="false">IF(D1343="","",MAX(0,IF(P1343&gt;=0,P1343,IF(K1343+P1343&gt;=0,0,P1343+K1343))))</f>
        <v>10.7093045142798</v>
      </c>
      <c r="AA1343" s="18" t="n">
        <f aca="false">IF(D1343="","",IF(H1343&lt;=$B$16,1,IF(H1343&gt;=$B$17,$B$21,MATCH(H1343,Aux_CAV!$A$2:$A$121,1))))</f>
        <v>6</v>
      </c>
      <c r="AB1343" s="18" t="n">
        <f aca="false">IF(D1343="","",IF(L1343&lt;=$B$16,1,IF(L1343&gt;=$B$17,$B$21,MATCH(L1343,Aux_CAV!$A$2:$A$121,1))))</f>
        <v>5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0.260251134366844</v>
      </c>
      <c r="E1344" s="16" t="n">
        <f aca="false">IF(D1344="","",D1344*$B$15)</f>
        <v>0.67457094027886</v>
      </c>
      <c r="F1344" s="16" t="n">
        <f aca="false" t="array" ref="F1344:F1344">IF(D1344="","",IFERROR(INDEX(Dados_Evap!$C$2:$N$15,MATCH($B$9,Dados_Evap!$A$2:$A$15,0),C1344),0))</f>
        <v>165.6</v>
      </c>
      <c r="G1344" s="16" t="n">
        <f aca="false">IF(F1344="","",F1344/1000)</f>
        <v>0.1656</v>
      </c>
      <c r="H1344" s="16" t="n">
        <f aca="false">IF(D1344="","",MAX(0,MIN($B$8,IFERROR(LOOKUP(2,1/($U$24:U1343&lt;&gt;""),$U$24:U1343),$B$11))))</f>
        <v>10.7093045142798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0.953052140960614</v>
      </c>
      <c r="J1344" s="16" t="n">
        <f aca="false">IF(D1344="","",$B$12)</f>
        <v>0.25</v>
      </c>
      <c r="K1344" s="16" t="n">
        <f aca="false">IF(J1344="","",J1344*$B$15)</f>
        <v>0.648</v>
      </c>
      <c r="L1344" s="16" t="n">
        <f aca="false">IF(D1344="","",H1344+E1344-K1344-G1344*I1344)</f>
        <v>10.5780500200156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0.948696350221757</v>
      </c>
      <c r="N1344" s="16" t="n">
        <f aca="false">IF(D1344="","",(I1344+M1344)/2)</f>
        <v>0.950874245591185</v>
      </c>
      <c r="O1344" s="16" t="n">
        <f aca="false">IF(D1344="","",G1344*N1344)</f>
        <v>0.1574647750699</v>
      </c>
      <c r="P1344" s="16" t="n">
        <f aca="false">IF(D1344="","",H1344+E1344-K1344-O1344)</f>
        <v>10.5784106794888</v>
      </c>
      <c r="Q1344" s="16" t="n">
        <f aca="false">IF(D1344="","",IF(P1344&gt;=0,K1344,MAX(0,K1344+P1344)))</f>
        <v>0.648</v>
      </c>
      <c r="R1344" s="16" t="n">
        <f aca="false">IF(D1344="","",Q1344/$B$15)</f>
        <v>0.25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10.5784106794888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49.6638999037032</v>
      </c>
      <c r="Z1344" s="18" t="n">
        <f aca="false">IF(D1344="","",MAX(0,IF(P1344&gt;=0,P1344,IF(K1344+P1344&gt;=0,0,P1344+K1344))))</f>
        <v>10.5784106794888</v>
      </c>
      <c r="AA1344" s="18" t="n">
        <f aca="false">IF(D1344="","",IF(H1344&lt;=$B$16,1,IF(H1344&gt;=$B$17,$B$21,MATCH(H1344,Aux_CAV!$A$2:$A$121,1))))</f>
        <v>5</v>
      </c>
      <c r="AB1344" s="18" t="n">
        <f aca="false">IF(D1344="","",IF(L1344&lt;=$B$16,1,IF(L1344&gt;=$B$17,$B$21,MATCH(L1344,Aux_CAV!$A$2:$A$121,1))))</f>
        <v>5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0.636385932608819</v>
      </c>
      <c r="E1345" s="16" t="n">
        <f aca="false">IF(D1345="","",D1345*$B$15)</f>
        <v>1.64951233732206</v>
      </c>
      <c r="F1345" s="16" t="n">
        <f aca="false" t="array" ref="F1345:F1345">IF(D1345="","",IFERROR(INDEX(Dados_Evap!$C$2:$N$15,MATCH($B$9,Dados_Evap!$A$2:$A$15,0),C1345),0))</f>
        <v>124.9</v>
      </c>
      <c r="G1345" s="16" t="n">
        <f aca="false">IF(F1345="","",F1345/1000)</f>
        <v>0.1249</v>
      </c>
      <c r="H1345" s="16" t="n">
        <f aca="false">IF(D1345="","",MAX(0,MIN($B$8,IFERROR(LOOKUP(2,1/($U$24:U1344&lt;&gt;""),$U$24:U1344),$B$11))))</f>
        <v>10.5784106794888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0.948708319009584</v>
      </c>
      <c r="J1345" s="16" t="n">
        <f aca="false">IF(D1345="","",$B$12)</f>
        <v>0.25</v>
      </c>
      <c r="K1345" s="16" t="n">
        <f aca="false">IF(J1345="","",J1345*$B$15)</f>
        <v>0.648</v>
      </c>
      <c r="L1345" s="16" t="n">
        <f aca="false">IF(D1345="","",H1345+E1345-K1345-G1345*I1345)</f>
        <v>11.4614293477666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0.977758599077564</v>
      </c>
      <c r="N1345" s="16" t="n">
        <f aca="false">IF(D1345="","",(I1345+M1345)/2)</f>
        <v>0.963233459043574</v>
      </c>
      <c r="O1345" s="16" t="n">
        <f aca="false">IF(D1345="","",G1345*N1345)</f>
        <v>0.120307859034542</v>
      </c>
      <c r="P1345" s="16" t="n">
        <f aca="false">IF(D1345="","",H1345+E1345-K1345-O1345)</f>
        <v>11.4596151577763</v>
      </c>
      <c r="Q1345" s="16" t="n">
        <f aca="false">IF(D1345="","",IF(P1345&gt;=0,K1345,MAX(0,K1345+P1345)))</f>
        <v>0.648</v>
      </c>
      <c r="R1345" s="16" t="n">
        <f aca="false">IF(D1345="","",Q1345/$B$15)</f>
        <v>0.25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11.4596151577763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53.8010101304052</v>
      </c>
      <c r="Z1345" s="18" t="n">
        <f aca="false">IF(D1345="","",MAX(0,IF(P1345&gt;=0,P1345,IF(K1345+P1345&gt;=0,0,P1345+K1345))))</f>
        <v>11.4596151577763</v>
      </c>
      <c r="AA1345" s="18" t="n">
        <f aca="false">IF(D1345="","",IF(H1345&lt;=$B$16,1,IF(H1345&gt;=$B$17,$B$21,MATCH(H1345,Aux_CAV!$A$2:$A$121,1))))</f>
        <v>5</v>
      </c>
      <c r="AB1345" s="18" t="n">
        <f aca="false">IF(D1345="","",IF(L1345&lt;=$B$16,1,IF(L1345&gt;=$B$17,$B$21,MATCH(L1345,Aux_CAV!$A$2:$A$121,1))))</f>
        <v>6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0.610270191710254</v>
      </c>
      <c r="E1346" s="16" t="n">
        <f aca="false">IF(D1346="","",D1346*$B$15)</f>
        <v>1.58182033691298</v>
      </c>
      <c r="F1346" s="16" t="n">
        <f aca="false" t="array" ref="F1346:F1346">IF(D1346="","",IFERROR(INDEX(Dados_Evap!$C$2:$N$15,MATCH($B$9,Dados_Evap!$A$2:$A$15,0),C1346),0))</f>
        <v>88.2</v>
      </c>
      <c r="G1346" s="16" t="n">
        <f aca="false">IF(F1346="","",F1346/1000)</f>
        <v>0.0882</v>
      </c>
      <c r="H1346" s="16" t="n">
        <f aca="false">IF(D1346="","",MAX(0,MIN($B$8,IFERROR(LOOKUP(2,1/($U$24:U1345&lt;&gt;""),$U$24:U1345),$B$11))))</f>
        <v>11.4596151577763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0.977700298075987</v>
      </c>
      <c r="J1346" s="16" t="n">
        <f aca="false">IF(D1346="","",$B$12)</f>
        <v>0.25</v>
      </c>
      <c r="K1346" s="16" t="n">
        <f aca="false">IF(J1346="","",J1346*$B$15)</f>
        <v>0.648</v>
      </c>
      <c r="L1346" s="16" t="n">
        <f aca="false">IF(D1346="","",H1346+E1346-K1346-G1346*I1346)</f>
        <v>12.307202328399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1.00493844911679</v>
      </c>
      <c r="N1346" s="16" t="n">
        <f aca="false">IF(D1346="","",(I1346+M1346)/2)</f>
        <v>0.991319373596389</v>
      </c>
      <c r="O1346" s="16" t="n">
        <f aca="false">IF(D1346="","",G1346*N1346)</f>
        <v>0.0874343687512015</v>
      </c>
      <c r="P1346" s="16" t="n">
        <f aca="false">IF(D1346="","",H1346+E1346-K1346-O1346)</f>
        <v>12.3060011259381</v>
      </c>
      <c r="Q1346" s="16" t="n">
        <f aca="false">IF(D1346="","",IF(P1346&gt;=0,K1346,MAX(0,K1346+P1346)))</f>
        <v>0.648</v>
      </c>
      <c r="R1346" s="16" t="n">
        <f aca="false">IF(D1346="","",Q1346/$B$15)</f>
        <v>0.25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12.3060011259381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57.7746531734182</v>
      </c>
      <c r="Z1346" s="18" t="n">
        <f aca="false">IF(D1346="","",MAX(0,IF(P1346&gt;=0,P1346,IF(K1346+P1346&gt;=0,0,P1346+K1346))))</f>
        <v>12.3060011259381</v>
      </c>
      <c r="AA1346" s="18" t="n">
        <f aca="false">IF(D1346="","",IF(H1346&lt;=$B$16,1,IF(H1346&gt;=$B$17,$B$21,MATCH(H1346,Aux_CAV!$A$2:$A$121,1))))</f>
        <v>6</v>
      </c>
      <c r="AB1346" s="18" t="n">
        <f aca="false">IF(D1346="","",IF(L1346&lt;=$B$16,1,IF(L1346&gt;=$B$17,$B$21,MATCH(L1346,Aux_CAV!$A$2:$A$121,1))))</f>
        <v>6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1.45397275363088</v>
      </c>
      <c r="E1347" s="16" t="n">
        <f aca="false">IF(D1347="","",D1347*$B$15)</f>
        <v>3.76869737741124</v>
      </c>
      <c r="F1347" s="16" t="n">
        <f aca="false" t="array" ref="F1347:F1347">IF(D1347="","",IFERROR(INDEX(Dados_Evap!$C$2:$N$15,MATCH($B$9,Dados_Evap!$A$2:$A$15,0),C1347),0))</f>
        <v>88.2</v>
      </c>
      <c r="G1347" s="16" t="n">
        <f aca="false">IF(F1347="","",F1347/1000)</f>
        <v>0.0882</v>
      </c>
      <c r="H1347" s="16" t="n">
        <f aca="false">IF(D1347="","",MAX(0,MIN($B$8,IFERROR(LOOKUP(2,1/($U$24:U1346&lt;&gt;""),$U$24:U1346),$B$11))))</f>
        <v>12.3060011259381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1.00489984714735</v>
      </c>
      <c r="J1347" s="16" t="n">
        <f aca="false">IF(D1347="","",$B$12)</f>
        <v>0.25</v>
      </c>
      <c r="K1347" s="16" t="n">
        <f aca="false">IF(J1347="","",J1347*$B$15)</f>
        <v>0.648</v>
      </c>
      <c r="L1347" s="16" t="n">
        <f aca="false">IF(D1347="","",H1347+E1347-K1347-G1347*I1347)</f>
        <v>15.3380663368309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1.10233861573937</v>
      </c>
      <c r="N1347" s="16" t="n">
        <f aca="false">IF(D1347="","",(I1347+M1347)/2)</f>
        <v>1.05361923144336</v>
      </c>
      <c r="O1347" s="16" t="n">
        <f aca="false">IF(D1347="","",G1347*N1347)</f>
        <v>0.0929292162133042</v>
      </c>
      <c r="P1347" s="16" t="n">
        <f aca="false">IF(D1347="","",H1347+E1347-K1347-O1347)</f>
        <v>15.333769287136</v>
      </c>
      <c r="Q1347" s="16" t="n">
        <f aca="false">IF(D1347="","",IF(P1347&gt;=0,K1347,MAX(0,K1347+P1347)))</f>
        <v>0.648</v>
      </c>
      <c r="R1347" s="16" t="n">
        <f aca="false">IF(D1347="","",Q1347/$B$15)</f>
        <v>0.25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15.333769287136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71.9895271696527</v>
      </c>
      <c r="Z1347" s="18" t="n">
        <f aca="false">IF(D1347="","",MAX(0,IF(P1347&gt;=0,P1347,IF(K1347+P1347&gt;=0,0,P1347+K1347))))</f>
        <v>15.333769287136</v>
      </c>
      <c r="AA1347" s="18" t="n">
        <f aca="false">IF(D1347="","",IF(H1347&lt;=$B$16,1,IF(H1347&gt;=$B$17,$B$21,MATCH(H1347,Aux_CAV!$A$2:$A$121,1))))</f>
        <v>6</v>
      </c>
      <c r="AB1347" s="18" t="n">
        <f aca="false">IF(D1347="","",IF(L1347&lt;=$B$16,1,IF(L1347&gt;=$B$17,$B$21,MATCH(L1347,Aux_CAV!$A$2:$A$121,1))))</f>
        <v>6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0.38578230980535</v>
      </c>
      <c r="E1348" s="16" t="n">
        <f aca="false">IF(D1348="","",D1348*$B$15)</f>
        <v>0.999947747015467</v>
      </c>
      <c r="F1348" s="16" t="n">
        <f aca="false" t="array" ref="F1348:F1348">IF(D1348="","",IFERROR(INDEX(Dados_Evap!$C$2:$N$15,MATCH($B$9,Dados_Evap!$A$2:$A$15,0),C1348),0))</f>
        <v>83.9</v>
      </c>
      <c r="G1348" s="16" t="n">
        <f aca="false">IF(F1348="","",F1348/1000)</f>
        <v>0.0839</v>
      </c>
      <c r="H1348" s="16" t="n">
        <f aca="false">IF(D1348="","",MAX(0,MIN($B$8,IFERROR(LOOKUP(2,1/($U$24:U1347&lt;&gt;""),$U$24:U1347),$B$11))))</f>
        <v>15.333769287136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1.10220052529549</v>
      </c>
      <c r="J1348" s="16" t="n">
        <f aca="false">IF(D1348="","",$B$12)</f>
        <v>0.25</v>
      </c>
      <c r="K1348" s="16" t="n">
        <f aca="false">IF(J1348="","",J1348*$B$15)</f>
        <v>0.648</v>
      </c>
      <c r="L1348" s="16" t="n">
        <f aca="false">IF(D1348="","",H1348+E1348-K1348-G1348*I1348)</f>
        <v>15.5932424100792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1.11053898104224</v>
      </c>
      <c r="N1348" s="16" t="n">
        <f aca="false">IF(D1348="","",(I1348+M1348)/2)</f>
        <v>1.10636975316886</v>
      </c>
      <c r="O1348" s="16" t="n">
        <f aca="false">IF(D1348="","",G1348*N1348)</f>
        <v>0.0928244222908677</v>
      </c>
      <c r="P1348" s="16" t="n">
        <f aca="false">IF(D1348="","",H1348+E1348-K1348-O1348)</f>
        <v>15.5928926118606</v>
      </c>
      <c r="Q1348" s="16" t="n">
        <f aca="false">IF(D1348="","",IF(P1348&gt;=0,K1348,MAX(0,K1348+P1348)))</f>
        <v>0.648</v>
      </c>
      <c r="R1348" s="16" t="n">
        <f aca="false">IF(D1348="","",Q1348/$B$15)</f>
        <v>0.25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15.5928926118606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73.2060686002846</v>
      </c>
      <c r="Z1348" s="18" t="n">
        <f aca="false">IF(D1348="","",MAX(0,IF(P1348&gt;=0,P1348,IF(K1348+P1348&gt;=0,0,P1348+K1348))))</f>
        <v>15.5928926118606</v>
      </c>
      <c r="AA1348" s="18" t="n">
        <f aca="false">IF(D1348="","",IF(H1348&lt;=$B$16,1,IF(H1348&gt;=$B$17,$B$21,MATCH(H1348,Aux_CAV!$A$2:$A$121,1))))</f>
        <v>6</v>
      </c>
      <c r="AB1348" s="18" t="n">
        <f aca="false">IF(D1348="","",IF(L1348&lt;=$B$16,1,IF(L1348&gt;=$B$17,$B$21,MATCH(L1348,Aux_CAV!$A$2:$A$121,1))))</f>
        <v>6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0.349150976137533</v>
      </c>
      <c r="E1349" s="16" t="n">
        <f aca="false">IF(D1349="","",D1349*$B$15)</f>
        <v>0.904999330148486</v>
      </c>
      <c r="F1349" s="16" t="n">
        <f aca="false" t="array" ref="F1349:F1349">IF(D1349="","",IFERROR(INDEX(Dados_Evap!$C$2:$N$15,MATCH($B$9,Dados_Evap!$A$2:$A$15,0),C1349),0))</f>
        <v>104.7</v>
      </c>
      <c r="G1349" s="16" t="n">
        <f aca="false">IF(F1349="","",F1349/1000)</f>
        <v>0.1047</v>
      </c>
      <c r="H1349" s="16" t="n">
        <f aca="false">IF(D1349="","",MAX(0,MIN($B$8,IFERROR(LOOKUP(2,1/($U$24:U1348&lt;&gt;""),$U$24:U1348),$B$11))))</f>
        <v>15.5928926118606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1.11052773988966</v>
      </c>
      <c r="J1349" s="16" t="n">
        <f aca="false">IF(D1349="","",$B$12)</f>
        <v>0.25</v>
      </c>
      <c r="K1349" s="16" t="n">
        <f aca="false">IF(J1349="","",J1349*$B$15)</f>
        <v>0.648</v>
      </c>
      <c r="L1349" s="16" t="n">
        <f aca="false">IF(D1349="","",H1349+E1349-K1349-G1349*I1349)</f>
        <v>15.7336196876427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1.11505016009438</v>
      </c>
      <c r="N1349" s="16" t="n">
        <f aca="false">IF(D1349="","",(I1349+M1349)/2)</f>
        <v>1.11278894999202</v>
      </c>
      <c r="O1349" s="16" t="n">
        <f aca="false">IF(D1349="","",G1349*N1349)</f>
        <v>0.116509003064164</v>
      </c>
      <c r="P1349" s="16" t="n">
        <f aca="false">IF(D1349="","",H1349+E1349-K1349-O1349)</f>
        <v>15.7333829389449</v>
      </c>
      <c r="Q1349" s="16" t="n">
        <f aca="false">IF(D1349="","",IF(P1349&gt;=0,K1349,MAX(0,K1349+P1349)))</f>
        <v>0.648</v>
      </c>
      <c r="R1349" s="16" t="n">
        <f aca="false">IF(D1349="","",Q1349/$B$15)</f>
        <v>0.25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15.7333829389449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73.8656476006805</v>
      </c>
      <c r="Z1349" s="18" t="n">
        <f aca="false">IF(D1349="","",MAX(0,IF(P1349&gt;=0,P1349,IF(K1349+P1349&gt;=0,0,P1349+K1349))))</f>
        <v>15.7333829389449</v>
      </c>
      <c r="AA1349" s="18" t="n">
        <f aca="false">IF(D1349="","",IF(H1349&lt;=$B$16,1,IF(H1349&gt;=$B$17,$B$21,MATCH(H1349,Aux_CAV!$A$2:$A$121,1))))</f>
        <v>6</v>
      </c>
      <c r="AB1349" s="18" t="n">
        <f aca="false">IF(D1349="","",IF(L1349&lt;=$B$16,1,IF(L1349&gt;=$B$17,$B$21,MATCH(L1349,Aux_CAV!$A$2:$A$121,1))))</f>
        <v>6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0.156065235555418</v>
      </c>
      <c r="E1350" s="16" t="n">
        <f aca="false">IF(D1350="","",D1350*$B$15)</f>
        <v>0.404521090559644</v>
      </c>
      <c r="F1350" s="16" t="n">
        <f aca="false" t="array" ref="F1350:F1350">IF(D1350="","",IFERROR(INDEX(Dados_Evap!$C$2:$N$15,MATCH($B$9,Dados_Evap!$A$2:$A$15,0),C1350),0))</f>
        <v>145.2</v>
      </c>
      <c r="G1350" s="16" t="n">
        <f aca="false">IF(F1350="","",F1350/1000)</f>
        <v>0.1452</v>
      </c>
      <c r="H1350" s="16" t="n">
        <f aca="false">IF(D1350="","",MAX(0,MIN($B$8,IFERROR(LOOKUP(2,1/($U$24:U1349&lt;&gt;""),$U$24:U1349),$B$11))))</f>
        <v>15.7333829389449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1.11504255191316</v>
      </c>
      <c r="J1350" s="16" t="n">
        <f aca="false">IF(D1350="","",$B$12)</f>
        <v>0.25</v>
      </c>
      <c r="K1350" s="16" t="n">
        <f aca="false">IF(J1350="","",J1350*$B$15)</f>
        <v>0.648</v>
      </c>
      <c r="L1350" s="16" t="n">
        <f aca="false">IF(D1350="","",H1350+E1350-K1350-G1350*I1350)</f>
        <v>15.3279998509668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1.102015118084</v>
      </c>
      <c r="N1350" s="16" t="n">
        <f aca="false">IF(D1350="","",(I1350+M1350)/2)</f>
        <v>1.10852883499858</v>
      </c>
      <c r="O1350" s="16" t="n">
        <f aca="false">IF(D1350="","",G1350*N1350)</f>
        <v>0.160958386841794</v>
      </c>
      <c r="P1350" s="16" t="n">
        <f aca="false">IF(D1350="","",H1350+E1350-K1350-O1350)</f>
        <v>15.3289456426628</v>
      </c>
      <c r="Q1350" s="16" t="n">
        <f aca="false">IF(D1350="","",IF(P1350&gt;=0,K1350,MAX(0,K1350+P1350)))</f>
        <v>0.648</v>
      </c>
      <c r="R1350" s="16" t="n">
        <f aca="false">IF(D1350="","",Q1350/$B$15)</f>
        <v>0.25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15.3289456426628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71.9668809514685</v>
      </c>
      <c r="Z1350" s="18" t="n">
        <f aca="false">IF(D1350="","",MAX(0,IF(P1350&gt;=0,P1350,IF(K1350+P1350&gt;=0,0,P1350+K1350))))</f>
        <v>15.3289456426628</v>
      </c>
      <c r="AA1350" s="18" t="n">
        <f aca="false">IF(D1350="","",IF(H1350&lt;=$B$16,1,IF(H1350&gt;=$B$17,$B$21,MATCH(H1350,Aux_CAV!$A$2:$A$121,1))))</f>
        <v>6</v>
      </c>
      <c r="AB1350" s="18" t="n">
        <f aca="false">IF(D1350="","",IF(L1350&lt;=$B$16,1,IF(L1350&gt;=$B$17,$B$21,MATCH(L1350,Aux_CAV!$A$2:$A$121,1))))</f>
        <v>6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0.0795053657345904</v>
      </c>
      <c r="E1351" s="16" t="n">
        <f aca="false">IF(D1351="","",D1351*$B$15)</f>
        <v>0.206077907984058</v>
      </c>
      <c r="F1351" s="16" t="n">
        <f aca="false" t="array" ref="F1351:F1351">IF(D1351="","",IFERROR(INDEX(Dados_Evap!$C$2:$N$15,MATCH($B$9,Dados_Evap!$A$2:$A$15,0),C1351),0))</f>
        <v>180.9</v>
      </c>
      <c r="G1351" s="16" t="n">
        <f aca="false">IF(F1351="","",F1351/1000)</f>
        <v>0.1809</v>
      </c>
      <c r="H1351" s="16" t="n">
        <f aca="false">IF(D1351="","",MAX(0,MIN($B$8,IFERROR(LOOKUP(2,1/($U$24:U1350&lt;&gt;""),$U$24:U1350),$B$11))))</f>
        <v>15.3289456426628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1.10204551214606</v>
      </c>
      <c r="J1351" s="16" t="n">
        <f aca="false">IF(D1351="","",$B$12)</f>
        <v>0.25</v>
      </c>
      <c r="K1351" s="16" t="n">
        <f aca="false">IF(J1351="","",J1351*$B$15)</f>
        <v>0.648</v>
      </c>
      <c r="L1351" s="16" t="n">
        <f aca="false">IF(D1351="","",H1351+E1351-K1351-G1351*I1351)</f>
        <v>14.6876635174996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1.08143720188562</v>
      </c>
      <c r="N1351" s="16" t="n">
        <f aca="false">IF(D1351="","",(I1351+M1351)/2)</f>
        <v>1.09174135701584</v>
      </c>
      <c r="O1351" s="16" t="n">
        <f aca="false">IF(D1351="","",G1351*N1351)</f>
        <v>0.197496011484166</v>
      </c>
      <c r="P1351" s="16" t="n">
        <f aca="false">IF(D1351="","",H1351+E1351-K1351-O1351)</f>
        <v>14.6895275391627</v>
      </c>
      <c r="Q1351" s="16" t="n">
        <f aca="false">IF(D1351="","",IF(P1351&gt;=0,K1351,MAX(0,K1351+P1351)))</f>
        <v>0.648</v>
      </c>
      <c r="R1351" s="16" t="n">
        <f aca="false">IF(D1351="","",Q1351/$B$15)</f>
        <v>0.25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14.6895275391627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68.9649180242379</v>
      </c>
      <c r="Z1351" s="18" t="n">
        <f aca="false">IF(D1351="","",MAX(0,IF(P1351&gt;=0,P1351,IF(K1351+P1351&gt;=0,0,P1351+K1351))))</f>
        <v>14.6895275391627</v>
      </c>
      <c r="AA1351" s="18" t="n">
        <f aca="false">IF(D1351="","",IF(H1351&lt;=$B$16,1,IF(H1351&gt;=$B$17,$B$21,MATCH(H1351,Aux_CAV!$A$2:$A$121,1))))</f>
        <v>6</v>
      </c>
      <c r="AB1351" s="18" t="n">
        <f aca="false">IF(D1351="","",IF(L1351&lt;=$B$16,1,IF(L1351&gt;=$B$17,$B$21,MATCH(L1351,Aux_CAV!$A$2:$A$121,1))))</f>
        <v>6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0.0539526479091106</v>
      </c>
      <c r="E1352" s="16" t="n">
        <f aca="false">IF(D1352="","",D1352*$B$15)</f>
        <v>0.139845263380415</v>
      </c>
      <c r="F1352" s="16" t="n">
        <f aca="false" t="array" ref="F1352:F1352">IF(D1352="","",IFERROR(INDEX(Dados_Evap!$C$2:$N$15,MATCH($B$9,Dados_Evap!$A$2:$A$15,0),C1352),0))</f>
        <v>208.9</v>
      </c>
      <c r="G1352" s="16" t="n">
        <f aca="false">IF(F1352="","",F1352/1000)</f>
        <v>0.2089</v>
      </c>
      <c r="H1352" s="16" t="n">
        <f aca="false">IF(D1352="","",MAX(0,MIN($B$8,IFERROR(LOOKUP(2,1/($U$24:U1351&lt;&gt;""),$U$24:U1351),$B$11))))</f>
        <v>14.6895275391627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1.08149710428311</v>
      </c>
      <c r="J1352" s="16" t="n">
        <f aca="false">IF(D1352="","",$B$12)</f>
        <v>0.25</v>
      </c>
      <c r="K1352" s="16" t="n">
        <f aca="false">IF(J1352="","",J1352*$B$15)</f>
        <v>0.648</v>
      </c>
      <c r="L1352" s="16" t="n">
        <f aca="false">IF(D1352="","",H1352+E1352-K1352-G1352*I1352)</f>
        <v>13.9554480574584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1.05790664834932</v>
      </c>
      <c r="N1352" s="16" t="n">
        <f aca="false">IF(D1352="","",(I1352+M1352)/2)</f>
        <v>1.06970187631622</v>
      </c>
      <c r="O1352" s="16" t="n">
        <f aca="false">IF(D1352="","",G1352*N1352)</f>
        <v>0.223460721962458</v>
      </c>
      <c r="P1352" s="16" t="n">
        <f aca="false">IF(D1352="","",H1352+E1352-K1352-O1352)</f>
        <v>13.9579120805806</v>
      </c>
      <c r="Q1352" s="16" t="n">
        <f aca="false">IF(D1352="","",IF(P1352&gt;=0,K1352,MAX(0,K1352+P1352)))</f>
        <v>0.648</v>
      </c>
      <c r="R1352" s="16" t="n">
        <f aca="false">IF(D1352="","",Q1352/$B$15)</f>
        <v>0.25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13.9579120805806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65.5301036646978</v>
      </c>
      <c r="Z1352" s="18" t="n">
        <f aca="false">IF(D1352="","",MAX(0,IF(P1352&gt;=0,P1352,IF(K1352+P1352&gt;=0,0,P1352+K1352))))</f>
        <v>13.9579120805806</v>
      </c>
      <c r="AA1352" s="18" t="n">
        <f aca="false">IF(D1352="","",IF(H1352&lt;=$B$16,1,IF(H1352&gt;=$B$17,$B$21,MATCH(H1352,Aux_CAV!$A$2:$A$121,1))))</f>
        <v>6</v>
      </c>
      <c r="AB1352" s="18" t="n">
        <f aca="false">IF(D1352="","",IF(L1352&lt;=$B$16,1,IF(L1352&gt;=$B$17,$B$21,MATCH(L1352,Aux_CAV!$A$2:$A$121,1))))</f>
        <v>6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0.0311596742004201</v>
      </c>
      <c r="E1353" s="16" t="n">
        <f aca="false">IF(D1353="","",D1353*$B$15)</f>
        <v>0.0807658755274889</v>
      </c>
      <c r="F1353" s="16" t="n">
        <f aca="false" t="array" ref="F1353:F1353">IF(D1353="","",IFERROR(INDEX(Dados_Evap!$C$2:$N$15,MATCH($B$9,Dados_Evap!$A$2:$A$15,0),C1353),0))</f>
        <v>235.9</v>
      </c>
      <c r="G1353" s="16" t="n">
        <f aca="false">IF(F1353="","",F1353/1000)</f>
        <v>0.2359</v>
      </c>
      <c r="H1353" s="16" t="n">
        <f aca="false">IF(D1353="","",MAX(0,MIN($B$8,IFERROR(LOOKUP(2,1/($U$24:U1352&lt;&gt;""),$U$24:U1352),$B$11))))</f>
        <v>13.9579120805806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1.05798583245722</v>
      </c>
      <c r="J1353" s="16" t="n">
        <f aca="false">IF(D1353="","",$B$12)</f>
        <v>0.25</v>
      </c>
      <c r="K1353" s="16" t="n">
        <f aca="false">IF(J1353="","",J1353*$B$15)</f>
        <v>0.648</v>
      </c>
      <c r="L1353" s="16" t="n">
        <f aca="false">IF(D1353="","",H1353+E1353-K1353-G1353*I1353)</f>
        <v>13.1410990982315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1.03173664398853</v>
      </c>
      <c r="N1353" s="16" t="n">
        <f aca="false">IF(D1353="","",(I1353+M1353)/2)</f>
        <v>1.04486123822288</v>
      </c>
      <c r="O1353" s="16" t="n">
        <f aca="false">IF(D1353="","",G1353*N1353)</f>
        <v>0.246482766096777</v>
      </c>
      <c r="P1353" s="16" t="n">
        <f aca="false">IF(D1353="","",H1353+E1353-K1353-O1353)</f>
        <v>13.1441951900113</v>
      </c>
      <c r="Q1353" s="16" t="n">
        <f aca="false">IF(D1353="","",IF(P1353&gt;=0,K1353,MAX(0,K1353+P1353)))</f>
        <v>0.648</v>
      </c>
      <c r="R1353" s="16" t="n">
        <f aca="false">IF(D1353="","",Q1353/$B$15)</f>
        <v>0.25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13.1441951900113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61.7098365728232</v>
      </c>
      <c r="Z1353" s="18" t="n">
        <f aca="false">IF(D1353="","",MAX(0,IF(P1353&gt;=0,P1353,IF(K1353+P1353&gt;=0,0,P1353+K1353))))</f>
        <v>13.1441951900113</v>
      </c>
      <c r="AA1353" s="18" t="n">
        <f aca="false">IF(D1353="","",IF(H1353&lt;=$B$16,1,IF(H1353&gt;=$B$17,$B$21,MATCH(H1353,Aux_CAV!$A$2:$A$121,1))))</f>
        <v>6</v>
      </c>
      <c r="AB1353" s="18" t="n">
        <f aca="false">IF(D1353="","",IF(L1353&lt;=$B$16,1,IF(L1353&gt;=$B$17,$B$21,MATCH(L1353,Aux_CAV!$A$2:$A$121,1))))</f>
        <v>6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0.0222434124297062</v>
      </c>
      <c r="E1354" s="16" t="n">
        <f aca="false">IF(D1354="","",D1354*$B$15)</f>
        <v>0.0576549250177985</v>
      </c>
      <c r="F1354" s="16" t="n">
        <f aca="false" t="array" ref="F1354:F1354">IF(D1354="","",IFERROR(INDEX(Dados_Evap!$C$2:$N$15,MATCH($B$9,Dados_Evap!$A$2:$A$15,0),C1354),0))</f>
        <v>225.9</v>
      </c>
      <c r="G1354" s="16" t="n">
        <f aca="false">IF(F1354="","",F1354/1000)</f>
        <v>0.2259</v>
      </c>
      <c r="H1354" s="16" t="n">
        <f aca="false">IF(D1354="","",MAX(0,MIN($B$8,IFERROR(LOOKUP(2,1/($U$24:U1353&lt;&gt;""),$U$24:U1353),$B$11))))</f>
        <v>13.1441951900113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1.03183614032173</v>
      </c>
      <c r="J1354" s="16" t="n">
        <f aca="false">IF(D1354="","",$B$12)</f>
        <v>0.25</v>
      </c>
      <c r="K1354" s="16" t="n">
        <f aca="false">IF(J1354="","",J1354*$B$15)</f>
        <v>0.648</v>
      </c>
      <c r="L1354" s="16" t="n">
        <f aca="false">IF(D1354="","",H1354+E1354-K1354-G1354*I1354)</f>
        <v>12.3207583309305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1.00537408624918</v>
      </c>
      <c r="N1354" s="16" t="n">
        <f aca="false">IF(D1354="","",(I1354+M1354)/2)</f>
        <v>1.01860511328545</v>
      </c>
      <c r="O1354" s="16" t="n">
        <f aca="false">IF(D1354="","",G1354*N1354)</f>
        <v>0.230102895091184</v>
      </c>
      <c r="P1354" s="16" t="n">
        <f aca="false">IF(D1354="","",H1354+E1354-K1354-O1354)</f>
        <v>12.323747219938</v>
      </c>
      <c r="Q1354" s="16" t="n">
        <f aca="false">IF(D1354="","",IF(P1354&gt;=0,K1354,MAX(0,K1354+P1354)))</f>
        <v>0.648</v>
      </c>
      <c r="R1354" s="16" t="n">
        <f aca="false">IF(D1354="","",Q1354/$B$15)</f>
        <v>0.25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12.323747219938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57.8579681687228</v>
      </c>
      <c r="Z1354" s="18" t="n">
        <f aca="false">IF(D1354="","",MAX(0,IF(P1354&gt;=0,P1354,IF(K1354+P1354&gt;=0,0,P1354+K1354))))</f>
        <v>12.323747219938</v>
      </c>
      <c r="AA1354" s="18" t="n">
        <f aca="false">IF(D1354="","",IF(H1354&lt;=$B$16,1,IF(H1354&gt;=$B$17,$B$21,MATCH(H1354,Aux_CAV!$A$2:$A$121,1))))</f>
        <v>6</v>
      </c>
      <c r="AB1354" s="18" t="n">
        <f aca="false">IF(D1354="","",IF(L1354&lt;=$B$16,1,IF(L1354&gt;=$B$17,$B$21,MATCH(L1354,Aux_CAV!$A$2:$A$121,1))))</f>
        <v>6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0.00993361958694841</v>
      </c>
      <c r="E1355" s="16" t="n">
        <f aca="false">IF(D1355="","",D1355*$B$15)</f>
        <v>0.0257479419693703</v>
      </c>
      <c r="F1355" s="16" t="n">
        <f aca="false" t="array" ref="F1355:F1355">IF(D1355="","",IFERROR(INDEX(Dados_Evap!$C$2:$N$15,MATCH($B$9,Dados_Evap!$A$2:$A$15,0),C1355),0))</f>
        <v>206</v>
      </c>
      <c r="G1355" s="16" t="n">
        <f aca="false">IF(F1355="","",F1355/1000)</f>
        <v>0.206</v>
      </c>
      <c r="H1355" s="16" t="n">
        <f aca="false">IF(D1355="","",MAX(0,MIN($B$8,IFERROR(LOOKUP(2,1/($U$24:U1354&lt;&gt;""),$U$24:U1354),$B$11))))</f>
        <v>12.323747219938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1.00547013750273</v>
      </c>
      <c r="J1355" s="16" t="n">
        <f aca="false">IF(D1355="","",$B$12)</f>
        <v>0.25</v>
      </c>
      <c r="K1355" s="16" t="n">
        <f aca="false">IF(J1355="","",J1355*$B$15)</f>
        <v>0.648</v>
      </c>
      <c r="L1355" s="16" t="n">
        <f aca="false">IF(D1355="","",H1355+E1355-K1355-G1355*I1355)</f>
        <v>11.4943683135818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0.978817129169925</v>
      </c>
      <c r="N1355" s="16" t="n">
        <f aca="false">IF(D1355="","",(I1355+M1355)/2)</f>
        <v>0.992143633336328</v>
      </c>
      <c r="O1355" s="16" t="n">
        <f aca="false">IF(D1355="","",G1355*N1355)</f>
        <v>0.204381588467284</v>
      </c>
      <c r="P1355" s="16" t="n">
        <f aca="false">IF(D1355="","",H1355+E1355-K1355-O1355)</f>
        <v>11.4971135734401</v>
      </c>
      <c r="Q1355" s="16" t="n">
        <f aca="false">IF(D1355="","",IF(P1355&gt;=0,K1355,MAX(0,K1355+P1355)))</f>
        <v>0.648</v>
      </c>
      <c r="R1355" s="16" t="n">
        <f aca="false">IF(D1355="","",Q1355/$B$15)</f>
        <v>0.25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11.4971135734401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53.977059030235</v>
      </c>
      <c r="Z1355" s="18" t="n">
        <f aca="false">IF(D1355="","",MAX(0,IF(P1355&gt;=0,P1355,IF(K1355+P1355&gt;=0,0,P1355+K1355))))</f>
        <v>11.4971135734401</v>
      </c>
      <c r="AA1355" s="18" t="n">
        <f aca="false">IF(D1355="","",IF(H1355&lt;=$B$16,1,IF(H1355&gt;=$B$17,$B$21,MATCH(H1355,Aux_CAV!$A$2:$A$121,1))))</f>
        <v>6</v>
      </c>
      <c r="AB1355" s="18" t="n">
        <f aca="false">IF(D1355="","",IF(L1355&lt;=$B$16,1,IF(L1355&gt;=$B$17,$B$21,MATCH(L1355,Aux_CAV!$A$2:$A$121,1))))</f>
        <v>6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0.156448887382741</v>
      </c>
      <c r="E1356" s="16" t="n">
        <f aca="false">IF(D1356="","",D1356*$B$15)</f>
        <v>0.405515516096065</v>
      </c>
      <c r="F1356" s="16" t="n">
        <f aca="false" t="array" ref="F1356:F1356">IF(D1356="","",IFERROR(INDEX(Dados_Evap!$C$2:$N$15,MATCH($B$9,Dados_Evap!$A$2:$A$15,0),C1356),0))</f>
        <v>165.6</v>
      </c>
      <c r="G1356" s="16" t="n">
        <f aca="false">IF(F1356="","",F1356/1000)</f>
        <v>0.1656</v>
      </c>
      <c r="H1356" s="16" t="n">
        <f aca="false">IF(D1356="","",MAX(0,MIN($B$8,IFERROR(LOOKUP(2,1/($U$24:U1355&lt;&gt;""),$U$24:U1355),$B$11))))</f>
        <v>11.4971135734401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0.978905351131344</v>
      </c>
      <c r="J1356" s="16" t="n">
        <f aca="false">IF(D1356="","",$B$12)</f>
        <v>0.25</v>
      </c>
      <c r="K1356" s="16" t="n">
        <f aca="false">IF(J1356="","",J1356*$B$15)</f>
        <v>0.648</v>
      </c>
      <c r="L1356" s="16" t="n">
        <f aca="false">IF(D1356="","",H1356+E1356-K1356-G1356*I1356)</f>
        <v>11.0925223633888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0.965769547457592</v>
      </c>
      <c r="N1356" s="16" t="n">
        <f aca="false">IF(D1356="","",(I1356+M1356)/2)</f>
        <v>0.972337449294468</v>
      </c>
      <c r="O1356" s="16" t="n">
        <f aca="false">IF(D1356="","",G1356*N1356)</f>
        <v>0.161019081603164</v>
      </c>
      <c r="P1356" s="16" t="n">
        <f aca="false">IF(D1356="","",H1356+E1356-K1356-O1356)</f>
        <v>11.093610007933</v>
      </c>
      <c r="Q1356" s="16" t="n">
        <f aca="false">IF(D1356="","",IF(P1356&gt;=0,K1356,MAX(0,K1356+P1356)))</f>
        <v>0.648</v>
      </c>
      <c r="R1356" s="16" t="n">
        <f aca="false">IF(D1356="","",Q1356/$B$15)</f>
        <v>0.25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11.093610007933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52.0826760935819</v>
      </c>
      <c r="Z1356" s="18" t="n">
        <f aca="false">IF(D1356="","",MAX(0,IF(P1356&gt;=0,P1356,IF(K1356+P1356&gt;=0,0,P1356+K1356))))</f>
        <v>11.093610007933</v>
      </c>
      <c r="AA1356" s="18" t="n">
        <f aca="false">IF(D1356="","",IF(H1356&lt;=$B$16,1,IF(H1356&gt;=$B$17,$B$21,MATCH(H1356,Aux_CAV!$A$2:$A$121,1))))</f>
        <v>6</v>
      </c>
      <c r="AB1356" s="18" t="n">
        <f aca="false">IF(D1356="","",IF(L1356&lt;=$B$16,1,IF(L1356&gt;=$B$17,$B$21,MATCH(L1356,Aux_CAV!$A$2:$A$121,1))))</f>
        <v>5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0.207735688999045</v>
      </c>
      <c r="E1357" s="16" t="n">
        <f aca="false">IF(D1357="","",D1357*$B$15)</f>
        <v>0.538450905885525</v>
      </c>
      <c r="F1357" s="16" t="n">
        <f aca="false" t="array" ref="F1357:F1357">IF(D1357="","",IFERROR(INDEX(Dados_Evap!$C$2:$N$15,MATCH($B$9,Dados_Evap!$A$2:$A$15,0),C1357),0))</f>
        <v>124.9</v>
      </c>
      <c r="G1357" s="16" t="n">
        <f aca="false">IF(F1357="","",F1357/1000)</f>
        <v>0.1249</v>
      </c>
      <c r="H1357" s="16" t="n">
        <f aca="false">IF(D1357="","",MAX(0,MIN($B$8,IFERROR(LOOKUP(2,1/($U$24:U1356&lt;&gt;""),$U$24:U1356),$B$11))))</f>
        <v>11.093610007933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0.965805641856182</v>
      </c>
      <c r="J1357" s="16" t="n">
        <f aca="false">IF(D1357="","",$B$12)</f>
        <v>0.25</v>
      </c>
      <c r="K1357" s="16" t="n">
        <f aca="false">IF(J1357="","",J1357*$B$15)</f>
        <v>0.648</v>
      </c>
      <c r="L1357" s="16" t="n">
        <f aca="false">IF(D1357="","",H1357+E1357-K1357-G1357*I1357)</f>
        <v>10.8634317891506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0.958166984153229</v>
      </c>
      <c r="N1357" s="16" t="n">
        <f aca="false">IF(D1357="","",(I1357+M1357)/2)</f>
        <v>0.961986313004706</v>
      </c>
      <c r="O1357" s="16" t="n">
        <f aca="false">IF(D1357="","",G1357*N1357)</f>
        <v>0.120152090494288</v>
      </c>
      <c r="P1357" s="16" t="n">
        <f aca="false">IF(D1357="","",H1357+E1357-K1357-O1357)</f>
        <v>10.8639088233242</v>
      </c>
      <c r="Q1357" s="16" t="n">
        <f aca="false">IF(D1357="","",IF(P1357&gt;=0,K1357,MAX(0,K1357+P1357)))</f>
        <v>0.648</v>
      </c>
      <c r="R1357" s="16" t="n">
        <f aca="false">IF(D1357="","",Q1357/$B$15)</f>
        <v>0.25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10.8639088233242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51.0042667761699</v>
      </c>
      <c r="Z1357" s="18" t="n">
        <f aca="false">IF(D1357="","",MAX(0,IF(P1357&gt;=0,P1357,IF(K1357+P1357&gt;=0,0,P1357+K1357))))</f>
        <v>10.8639088233242</v>
      </c>
      <c r="AA1357" s="18" t="n">
        <f aca="false">IF(D1357="","",IF(H1357&lt;=$B$16,1,IF(H1357&gt;=$B$17,$B$21,MATCH(H1357,Aux_CAV!$A$2:$A$121,1))))</f>
        <v>5</v>
      </c>
      <c r="AB1357" s="18" t="n">
        <f aca="false">IF(D1357="","",IF(L1357&lt;=$B$16,1,IF(L1357&gt;=$B$17,$B$21,MATCH(L1357,Aux_CAV!$A$2:$A$121,1))))</f>
        <v>5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0.954592107794046</v>
      </c>
      <c r="E1358" s="16" t="n">
        <f aca="false">IF(D1358="","",D1358*$B$15)</f>
        <v>2.47430274340217</v>
      </c>
      <c r="F1358" s="16" t="n">
        <f aca="false" t="array" ref="F1358:F1358">IF(D1358="","",IFERROR(INDEX(Dados_Evap!$C$2:$N$15,MATCH($B$9,Dados_Evap!$A$2:$A$15,0),C1358),0))</f>
        <v>88.2</v>
      </c>
      <c r="G1358" s="16" t="n">
        <f aca="false">IF(F1358="","",F1358/1000)</f>
        <v>0.0882</v>
      </c>
      <c r="H1358" s="16" t="n">
        <f aca="false">IF(D1358="","",MAX(0,MIN($B$8,IFERROR(LOOKUP(2,1/($U$24:U1357&lt;&gt;""),$U$24:U1357),$B$11))))</f>
        <v>10.8639088233242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0.958182814933325</v>
      </c>
      <c r="J1358" s="16" t="n">
        <f aca="false">IF(D1358="","",$B$12)</f>
        <v>0.25</v>
      </c>
      <c r="K1358" s="16" t="n">
        <f aca="false">IF(J1358="","",J1358*$B$15)</f>
        <v>0.648</v>
      </c>
      <c r="L1358" s="16" t="n">
        <f aca="false">IF(D1358="","",H1358+E1358-K1358-G1358*I1358)</f>
        <v>12.6056998424492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1.01453099682729</v>
      </c>
      <c r="N1358" s="16" t="n">
        <f aca="false">IF(D1358="","",(I1358+M1358)/2)</f>
        <v>0.986356905880308</v>
      </c>
      <c r="O1358" s="16" t="n">
        <f aca="false">IF(D1358="","",G1358*N1358)</f>
        <v>0.0869966790986432</v>
      </c>
      <c r="P1358" s="16" t="n">
        <f aca="false">IF(D1358="","",H1358+E1358-K1358-O1358)</f>
        <v>12.6032148876277</v>
      </c>
      <c r="Q1358" s="16" t="n">
        <f aca="false">IF(D1358="","",IF(P1358&gt;=0,K1358,MAX(0,K1358+P1358)))</f>
        <v>0.648</v>
      </c>
      <c r="R1358" s="16" t="n">
        <f aca="false">IF(D1358="","",Q1358/$B$15)</f>
        <v>0.25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12.6032148876277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59.170022946609</v>
      </c>
      <c r="Z1358" s="18" t="n">
        <f aca="false">IF(D1358="","",MAX(0,IF(P1358&gt;=0,P1358,IF(K1358+P1358&gt;=0,0,P1358+K1358))))</f>
        <v>12.6032148876277</v>
      </c>
      <c r="AA1358" s="18" t="n">
        <f aca="false">IF(D1358="","",IF(H1358&lt;=$B$16,1,IF(H1358&gt;=$B$17,$B$21,MATCH(H1358,Aux_CAV!$A$2:$A$121,1))))</f>
        <v>5</v>
      </c>
      <c r="AB1358" s="18" t="n">
        <f aca="false">IF(D1358="","",IF(L1358&lt;=$B$16,1,IF(L1358&gt;=$B$17,$B$21,MATCH(L1358,Aux_CAV!$A$2:$A$121,1))))</f>
        <v>6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0.664652082983593</v>
      </c>
      <c r="E1359" s="16" t="n">
        <f aca="false">IF(D1359="","",D1359*$B$15)</f>
        <v>1.72277819909347</v>
      </c>
      <c r="F1359" s="16" t="n">
        <f aca="false" t="array" ref="F1359:F1359">IF(D1359="","",IFERROR(INDEX(Dados_Evap!$C$2:$N$15,MATCH($B$9,Dados_Evap!$A$2:$A$15,0),C1359),0))</f>
        <v>88.2</v>
      </c>
      <c r="G1359" s="16" t="n">
        <f aca="false">IF(F1359="","",F1359/1000)</f>
        <v>0.0882</v>
      </c>
      <c r="H1359" s="16" t="n">
        <f aca="false">IF(D1359="","",MAX(0,MIN($B$8,IFERROR(LOOKUP(2,1/($U$24:U1358&lt;&gt;""),$U$24:U1358),$B$11))))</f>
        <v>12.6032148876277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1.01445114005609</v>
      </c>
      <c r="J1359" s="16" t="n">
        <f aca="false">IF(D1359="","",$B$12)</f>
        <v>0.25</v>
      </c>
      <c r="K1359" s="16" t="n">
        <f aca="false">IF(J1359="","",J1359*$B$15)</f>
        <v>0.648</v>
      </c>
      <c r="L1359" s="16" t="n">
        <f aca="false">IF(D1359="","",H1359+E1359-K1359-G1359*I1359)</f>
        <v>13.5885184961682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1.0461149611245</v>
      </c>
      <c r="N1359" s="16" t="n">
        <f aca="false">IF(D1359="","",(I1359+M1359)/2)</f>
        <v>1.03028305059029</v>
      </c>
      <c r="O1359" s="16" t="n">
        <f aca="false">IF(D1359="","",G1359*N1359)</f>
        <v>0.0908709650620639</v>
      </c>
      <c r="P1359" s="16" t="n">
        <f aca="false">IF(D1359="","",H1359+E1359-K1359-O1359)</f>
        <v>13.5871221216591</v>
      </c>
      <c r="Q1359" s="16" t="n">
        <f aca="false">IF(D1359="","",IF(P1359&gt;=0,K1359,MAX(0,K1359+P1359)))</f>
        <v>0.648</v>
      </c>
      <c r="R1359" s="16" t="n">
        <f aca="false">IF(D1359="","",Q1359/$B$15)</f>
        <v>0.25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13.5871221216591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63.7893057354888</v>
      </c>
      <c r="Z1359" s="18" t="n">
        <f aca="false">IF(D1359="","",MAX(0,IF(P1359&gt;=0,P1359,IF(K1359+P1359&gt;=0,0,P1359+K1359))))</f>
        <v>13.5871221216591</v>
      </c>
      <c r="AA1359" s="18" t="n">
        <f aca="false">IF(D1359="","",IF(H1359&lt;=$B$16,1,IF(H1359&gt;=$B$17,$B$21,MATCH(H1359,Aux_CAV!$A$2:$A$121,1))))</f>
        <v>6</v>
      </c>
      <c r="AB1359" s="18" t="n">
        <f aca="false">IF(D1359="","",IF(L1359&lt;=$B$16,1,IF(L1359&gt;=$B$17,$B$21,MATCH(L1359,Aux_CAV!$A$2:$A$121,1))))</f>
        <v>6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0.581737964318323</v>
      </c>
      <c r="E1360" s="16" t="n">
        <f aca="false">IF(D1360="","",D1360*$B$15)</f>
        <v>1.50786480351309</v>
      </c>
      <c r="F1360" s="16" t="n">
        <f aca="false" t="array" ref="F1360:F1360">IF(D1360="","",IFERROR(INDEX(Dados_Evap!$C$2:$N$15,MATCH($B$9,Dados_Evap!$A$2:$A$15,0),C1360),0))</f>
        <v>83.9</v>
      </c>
      <c r="G1360" s="16" t="n">
        <f aca="false">IF(F1360="","",F1360/1000)</f>
        <v>0.0839</v>
      </c>
      <c r="H1360" s="16" t="n">
        <f aca="false">IF(D1360="","",MAX(0,MIN($B$8,IFERROR(LOOKUP(2,1/($U$24:U1359&lt;&gt;""),$U$24:U1359),$B$11))))</f>
        <v>13.5871221216591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1.04607008708545</v>
      </c>
      <c r="J1360" s="16" t="n">
        <f aca="false">IF(D1360="","",$B$12)</f>
        <v>0.25</v>
      </c>
      <c r="K1360" s="16" t="n">
        <f aca="false">IF(J1360="","",J1360*$B$15)</f>
        <v>0.648</v>
      </c>
      <c r="L1360" s="16" t="n">
        <f aca="false">IF(D1360="","",H1360+E1360-K1360-G1360*I1360)</f>
        <v>14.3592216448657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1.07088235909776</v>
      </c>
      <c r="N1360" s="16" t="n">
        <f aca="false">IF(D1360="","",(I1360+M1360)/2)</f>
        <v>1.05847622309161</v>
      </c>
      <c r="O1360" s="16" t="n">
        <f aca="false">IF(D1360="","",G1360*N1360)</f>
        <v>0.088806155117386</v>
      </c>
      <c r="P1360" s="16" t="n">
        <f aca="false">IF(D1360="","",H1360+E1360-K1360-O1360)</f>
        <v>14.3581807700548</v>
      </c>
      <c r="Q1360" s="16" t="n">
        <f aca="false">IF(D1360="","",IF(P1360&gt;=0,K1360,MAX(0,K1360+P1360)))</f>
        <v>0.648</v>
      </c>
      <c r="R1360" s="16" t="n">
        <f aca="false">IF(D1360="","",Q1360/$B$15)</f>
        <v>0.25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14.3581807700548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67.4092993899288</v>
      </c>
      <c r="Z1360" s="18" t="n">
        <f aca="false">IF(D1360="","",MAX(0,IF(P1360&gt;=0,P1360,IF(K1360+P1360&gt;=0,0,P1360+K1360))))</f>
        <v>14.3581807700548</v>
      </c>
      <c r="AA1360" s="18" t="n">
        <f aca="false">IF(D1360="","",IF(H1360&lt;=$B$16,1,IF(H1360&gt;=$B$17,$B$21,MATCH(H1360,Aux_CAV!$A$2:$A$121,1))))</f>
        <v>6</v>
      </c>
      <c r="AB1360" s="18" t="n">
        <f aca="false">IF(D1360="","",IF(L1360&lt;=$B$16,1,IF(L1360&gt;=$B$17,$B$21,MATCH(L1360,Aux_CAV!$A$2:$A$121,1))))</f>
        <v>6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0.199083580654699</v>
      </c>
      <c r="E1361" s="16" t="n">
        <f aca="false">IF(D1361="","",D1361*$B$15)</f>
        <v>0.51602464105698</v>
      </c>
      <c r="F1361" s="16" t="n">
        <f aca="false" t="array" ref="F1361:F1361">IF(D1361="","",IFERROR(INDEX(Dados_Evap!$C$2:$N$15,MATCH($B$9,Dados_Evap!$A$2:$A$15,0),C1361),0))</f>
        <v>104.7</v>
      </c>
      <c r="G1361" s="16" t="n">
        <f aca="false">IF(F1361="","",F1361/1000)</f>
        <v>0.1047</v>
      </c>
      <c r="H1361" s="16" t="n">
        <f aca="false">IF(D1361="","",MAX(0,MIN($B$8,IFERROR(LOOKUP(2,1/($U$24:U1360&lt;&gt;""),$U$24:U1360),$B$11))))</f>
        <v>14.3581807700548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1.07084890943465</v>
      </c>
      <c r="J1361" s="16" t="n">
        <f aca="false">IF(D1361="","",$B$12)</f>
        <v>0.25</v>
      </c>
      <c r="K1361" s="16" t="n">
        <f aca="false">IF(J1361="","",J1361*$B$15)</f>
        <v>0.648</v>
      </c>
      <c r="L1361" s="16" t="n">
        <f aca="false">IF(D1361="","",H1361+E1361-K1361-G1361*I1361)</f>
        <v>14.114087530294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1.06300470324196</v>
      </c>
      <c r="N1361" s="16" t="n">
        <f aca="false">IF(D1361="","",(I1361+M1361)/2)</f>
        <v>1.06692680633831</v>
      </c>
      <c r="O1361" s="16" t="n">
        <f aca="false">IF(D1361="","",G1361*N1361)</f>
        <v>0.111707236623621</v>
      </c>
      <c r="P1361" s="16" t="n">
        <f aca="false">IF(D1361="","",H1361+E1361-K1361-O1361)</f>
        <v>14.1144981744882</v>
      </c>
      <c r="Q1361" s="16" t="n">
        <f aca="false">IF(D1361="","",IF(P1361&gt;=0,K1361,MAX(0,K1361+P1361)))</f>
        <v>0.648</v>
      </c>
      <c r="R1361" s="16" t="n">
        <f aca="false">IF(D1361="","",Q1361/$B$15)</f>
        <v>0.25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14.1144981744882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66.2652496454845</v>
      </c>
      <c r="Z1361" s="18" t="n">
        <f aca="false">IF(D1361="","",MAX(0,IF(P1361&gt;=0,P1361,IF(K1361+P1361&gt;=0,0,P1361+K1361))))</f>
        <v>14.1144981744882</v>
      </c>
      <c r="AA1361" s="18" t="n">
        <f aca="false">IF(D1361="","",IF(H1361&lt;=$B$16,1,IF(H1361&gt;=$B$17,$B$21,MATCH(H1361,Aux_CAV!$A$2:$A$121,1))))</f>
        <v>6</v>
      </c>
      <c r="AB1361" s="18" t="n">
        <f aca="false">IF(D1361="","",IF(L1361&lt;=$B$16,1,IF(L1361&gt;=$B$17,$B$21,MATCH(L1361,Aux_CAV!$A$2:$A$121,1))))</f>
        <v>6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0.149703243274904</v>
      </c>
      <c r="E1362" s="16" t="n">
        <f aca="false">IF(D1362="","",D1362*$B$15)</f>
        <v>0.388030806568551</v>
      </c>
      <c r="F1362" s="16" t="n">
        <f aca="false" t="array" ref="F1362:F1362">IF(D1362="","",IFERROR(INDEX(Dados_Evap!$C$2:$N$15,MATCH($B$9,Dados_Evap!$A$2:$A$15,0),C1362),0))</f>
        <v>145.2</v>
      </c>
      <c r="G1362" s="16" t="n">
        <f aca="false">IF(F1362="","",F1362/1000)</f>
        <v>0.1452</v>
      </c>
      <c r="H1362" s="16" t="n">
        <f aca="false">IF(D1362="","",MAX(0,MIN($B$8,IFERROR(LOOKUP(2,1/($U$24:U1361&lt;&gt;""),$U$24:U1361),$B$11))))</f>
        <v>14.1144981744882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1.06301789974726</v>
      </c>
      <c r="J1362" s="16" t="n">
        <f aca="false">IF(D1362="","",$B$12)</f>
        <v>0.25</v>
      </c>
      <c r="K1362" s="16" t="n">
        <f aca="false">IF(J1362="","",J1362*$B$15)</f>
        <v>0.648</v>
      </c>
      <c r="L1362" s="16" t="n">
        <f aca="false">IF(D1362="","",H1362+E1362-K1362-G1362*I1362)</f>
        <v>13.7001787820134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1.04970328789079</v>
      </c>
      <c r="N1362" s="16" t="n">
        <f aca="false">IF(D1362="","",(I1362+M1362)/2)</f>
        <v>1.05636059381902</v>
      </c>
      <c r="O1362" s="16" t="n">
        <f aca="false">IF(D1362="","",G1362*N1362)</f>
        <v>0.153383558222522</v>
      </c>
      <c r="P1362" s="16" t="n">
        <f aca="false">IF(D1362="","",H1362+E1362-K1362-O1362)</f>
        <v>13.7011454228342</v>
      </c>
      <c r="Q1362" s="16" t="n">
        <f aca="false">IF(D1362="","",IF(P1362&gt;=0,K1362,MAX(0,K1362+P1362)))</f>
        <v>0.648</v>
      </c>
      <c r="R1362" s="16" t="n">
        <f aca="false">IF(D1362="","",Q1362/$B$15)</f>
        <v>0.25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13.7011454228342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64.3246263982827</v>
      </c>
      <c r="Z1362" s="18" t="n">
        <f aca="false">IF(D1362="","",MAX(0,IF(P1362&gt;=0,P1362,IF(K1362+P1362&gt;=0,0,P1362+K1362))))</f>
        <v>13.7011454228342</v>
      </c>
      <c r="AA1362" s="18" t="n">
        <f aca="false">IF(D1362="","",IF(H1362&lt;=$B$16,1,IF(H1362&gt;=$B$17,$B$21,MATCH(H1362,Aux_CAV!$A$2:$A$121,1))))</f>
        <v>6</v>
      </c>
      <c r="AB1362" s="18" t="n">
        <f aca="false">IF(D1362="","",IF(L1362&lt;=$B$16,1,IF(L1362&gt;=$B$17,$B$21,MATCH(L1362,Aux_CAV!$A$2:$A$121,1))))</f>
        <v>6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0.0621157596370861</v>
      </c>
      <c r="E1363" s="16" t="n">
        <f aca="false">IF(D1363="","",D1363*$B$15)</f>
        <v>0.161004048979327</v>
      </c>
      <c r="F1363" s="16" t="n">
        <f aca="false" t="array" ref="F1363:F1363">IF(D1363="","",IFERROR(INDEX(Dados_Evap!$C$2:$N$15,MATCH($B$9,Dados_Evap!$A$2:$A$15,0),C1363),0))</f>
        <v>180.9</v>
      </c>
      <c r="G1363" s="16" t="n">
        <f aca="false">IF(F1363="","",F1363/1000)</f>
        <v>0.1809</v>
      </c>
      <c r="H1363" s="16" t="n">
        <f aca="false">IF(D1363="","",MAX(0,MIN($B$8,IFERROR(LOOKUP(2,1/($U$24:U1362&lt;&gt;""),$U$24:U1362),$B$11))))</f>
        <v>13.7011454228342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1.04973435196254</v>
      </c>
      <c r="J1363" s="16" t="n">
        <f aca="false">IF(D1363="","",$B$12)</f>
        <v>0.25</v>
      </c>
      <c r="K1363" s="16" t="n">
        <f aca="false">IF(J1363="","",J1363*$B$15)</f>
        <v>0.648</v>
      </c>
      <c r="L1363" s="16" t="n">
        <f aca="false">IF(D1363="","",H1363+E1363-K1363-G1363*I1363)</f>
        <v>13.0242525275435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1.02798165022352</v>
      </c>
      <c r="N1363" s="16" t="n">
        <f aca="false">IF(D1363="","",(I1363+M1363)/2)</f>
        <v>1.03885800109303</v>
      </c>
      <c r="O1363" s="16" t="n">
        <f aca="false">IF(D1363="","",G1363*N1363)</f>
        <v>0.187929412397728</v>
      </c>
      <c r="P1363" s="16" t="n">
        <f aca="false">IF(D1363="","",H1363+E1363-K1363-O1363)</f>
        <v>13.0262200594158</v>
      </c>
      <c r="Q1363" s="16" t="n">
        <f aca="false">IF(D1363="","",IF(P1363&gt;=0,K1363,MAX(0,K1363+P1363)))</f>
        <v>0.648</v>
      </c>
      <c r="R1363" s="16" t="n">
        <f aca="false">IF(D1363="","",Q1363/$B$15)</f>
        <v>0.25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13.0262200594158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61.155962720262</v>
      </c>
      <c r="Z1363" s="18" t="n">
        <f aca="false">IF(D1363="","",MAX(0,IF(P1363&gt;=0,P1363,IF(K1363+P1363&gt;=0,0,P1363+K1363))))</f>
        <v>13.0262200594158</v>
      </c>
      <c r="AA1363" s="18" t="n">
        <f aca="false">IF(D1363="","",IF(H1363&lt;=$B$16,1,IF(H1363&gt;=$B$17,$B$21,MATCH(H1363,Aux_CAV!$A$2:$A$121,1))))</f>
        <v>6</v>
      </c>
      <c r="AB1363" s="18" t="n">
        <f aca="false">IF(D1363="","",IF(L1363&lt;=$B$16,1,IF(L1363&gt;=$B$17,$B$21,MATCH(L1363,Aux_CAV!$A$2:$A$121,1))))</f>
        <v>6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0.0412466902156469</v>
      </c>
      <c r="E1364" s="16" t="n">
        <f aca="false">IF(D1364="","",D1364*$B$15)</f>
        <v>0.106911421038957</v>
      </c>
      <c r="F1364" s="16" t="n">
        <f aca="false" t="array" ref="F1364:F1364">IF(D1364="","",IFERROR(INDEX(Dados_Evap!$C$2:$N$15,MATCH($B$9,Dados_Evap!$A$2:$A$15,0),C1364),0))</f>
        <v>208.9</v>
      </c>
      <c r="G1364" s="16" t="n">
        <f aca="false">IF(F1364="","",F1364/1000)</f>
        <v>0.2089</v>
      </c>
      <c r="H1364" s="16" t="n">
        <f aca="false">IF(D1364="","",MAX(0,MIN($B$8,IFERROR(LOOKUP(2,1/($U$24:U1363&lt;&gt;""),$U$24:U1363),$B$11))))</f>
        <v>13.0262200594158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1.02804487903605</v>
      </c>
      <c r="J1364" s="16" t="n">
        <f aca="false">IF(D1364="","",$B$12)</f>
        <v>0.25</v>
      </c>
      <c r="K1364" s="16" t="n">
        <f aca="false">IF(J1364="","",J1364*$B$15)</f>
        <v>0.648</v>
      </c>
      <c r="L1364" s="16" t="n">
        <f aca="false">IF(D1364="","",H1364+E1364-K1364-G1364*I1364)</f>
        <v>12.2703729052241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1.00375489487488</v>
      </c>
      <c r="N1364" s="16" t="n">
        <f aca="false">IF(D1364="","",(I1364+M1364)/2)</f>
        <v>1.01589988695546</v>
      </c>
      <c r="O1364" s="16" t="n">
        <f aca="false">IF(D1364="","",G1364*N1364)</f>
        <v>0.212221486384996</v>
      </c>
      <c r="P1364" s="16" t="n">
        <f aca="false">IF(D1364="","",H1364+E1364-K1364-O1364)</f>
        <v>12.2729099940698</v>
      </c>
      <c r="Q1364" s="16" t="n">
        <f aca="false">IF(D1364="","",IF(P1364&gt;=0,K1364,MAX(0,K1364+P1364)))</f>
        <v>0.648</v>
      </c>
      <c r="R1364" s="16" t="n">
        <f aca="false">IF(D1364="","",Q1364/$B$15)</f>
        <v>0.25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12.2729099940698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57.6192957468065</v>
      </c>
      <c r="Z1364" s="18" t="n">
        <f aca="false">IF(D1364="","",MAX(0,IF(P1364&gt;=0,P1364,IF(K1364+P1364&gt;=0,0,P1364+K1364))))</f>
        <v>12.2729099940698</v>
      </c>
      <c r="AA1364" s="18" t="n">
        <f aca="false">IF(D1364="","",IF(H1364&lt;=$B$16,1,IF(H1364&gt;=$B$17,$B$21,MATCH(H1364,Aux_CAV!$A$2:$A$121,1))))</f>
        <v>6</v>
      </c>
      <c r="AB1364" s="18" t="n">
        <f aca="false">IF(D1364="","",IF(L1364&lt;=$B$16,1,IF(L1364&gt;=$B$17,$B$21,MATCH(L1364,Aux_CAV!$A$2:$A$121,1))))</f>
        <v>6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0.0266238066990844</v>
      </c>
      <c r="E1365" s="16" t="n">
        <f aca="false">IF(D1365="","",D1365*$B$15)</f>
        <v>0.0690089069640268</v>
      </c>
      <c r="F1365" s="16" t="n">
        <f aca="false" t="array" ref="F1365:F1365">IF(D1365="","",IFERROR(INDEX(Dados_Evap!$C$2:$N$15,MATCH($B$9,Dados_Evap!$A$2:$A$15,0),C1365),0))</f>
        <v>235.9</v>
      </c>
      <c r="G1365" s="16" t="n">
        <f aca="false">IF(F1365="","",F1365/1000)</f>
        <v>0.2359</v>
      </c>
      <c r="H1365" s="16" t="n">
        <f aca="false">IF(D1365="","",MAX(0,MIN($B$8,IFERROR(LOOKUP(2,1/($U$24:U1364&lt;&gt;""),$U$24:U1364),$B$11))))</f>
        <v>12.2729099940698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1.0038364270306</v>
      </c>
      <c r="J1365" s="16" t="n">
        <f aca="false">IF(D1365="","",$B$12)</f>
        <v>0.25</v>
      </c>
      <c r="K1365" s="16" t="n">
        <f aca="false">IF(J1365="","",J1365*$B$15)</f>
        <v>0.648</v>
      </c>
      <c r="L1365" s="16" t="n">
        <f aca="false">IF(D1365="","",H1365+E1365-K1365-G1365*I1365)</f>
        <v>11.4571138878973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0.97761991700237</v>
      </c>
      <c r="N1365" s="16" t="n">
        <f aca="false">IF(D1365="","",(I1365+M1365)/2)</f>
        <v>0.990728172016484</v>
      </c>
      <c r="O1365" s="16" t="n">
        <f aca="false">IF(D1365="","",G1365*N1365)</f>
        <v>0.233712775778689</v>
      </c>
      <c r="P1365" s="16" t="n">
        <f aca="false">IF(D1365="","",H1365+E1365-K1365-O1365)</f>
        <v>11.4602061252551</v>
      </c>
      <c r="Q1365" s="16" t="n">
        <f aca="false">IF(D1365="","",IF(P1365&gt;=0,K1365,MAX(0,K1365+P1365)))</f>
        <v>0.648</v>
      </c>
      <c r="R1365" s="16" t="n">
        <f aca="false">IF(D1365="","",Q1365/$B$15)</f>
        <v>0.25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11.4602061252551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53.8037846256109</v>
      </c>
      <c r="Z1365" s="18" t="n">
        <f aca="false">IF(D1365="","",MAX(0,IF(P1365&gt;=0,P1365,IF(K1365+P1365&gt;=0,0,P1365+K1365))))</f>
        <v>11.4602061252551</v>
      </c>
      <c r="AA1365" s="18" t="n">
        <f aca="false">IF(D1365="","",IF(H1365&lt;=$B$16,1,IF(H1365&gt;=$B$17,$B$21,MATCH(H1365,Aux_CAV!$A$2:$A$121,1))))</f>
        <v>6</v>
      </c>
      <c r="AB1365" s="18" t="n">
        <f aca="false">IF(D1365="","",IF(L1365&lt;=$B$16,1,IF(L1365&gt;=$B$17,$B$21,MATCH(L1365,Aux_CAV!$A$2:$A$121,1))))</f>
        <v>6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0.019999130604482</v>
      </c>
      <c r="E1366" s="16" t="n">
        <f aca="false">IF(D1366="","",D1366*$B$15)</f>
        <v>0.0518377465268173</v>
      </c>
      <c r="F1366" s="16" t="n">
        <f aca="false" t="array" ref="F1366:F1366">IF(D1366="","",IFERROR(INDEX(Dados_Evap!$C$2:$N$15,MATCH($B$9,Dados_Evap!$A$2:$A$15,0),C1366),0))</f>
        <v>225.9</v>
      </c>
      <c r="G1366" s="16" t="n">
        <f aca="false">IF(F1366="","",F1366/1000)</f>
        <v>0.2259</v>
      </c>
      <c r="H1366" s="16" t="n">
        <f aca="false">IF(D1366="","",MAX(0,MIN($B$8,IFERROR(LOOKUP(2,1/($U$24:U1365&lt;&gt;""),$U$24:U1365),$B$11))))</f>
        <v>11.4602061252551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0.977719289469446</v>
      </c>
      <c r="J1366" s="16" t="n">
        <f aca="false">IF(D1366="","",$B$12)</f>
        <v>0.25</v>
      </c>
      <c r="K1366" s="16" t="n">
        <f aca="false">IF(J1366="","",J1366*$B$15)</f>
        <v>0.648</v>
      </c>
      <c r="L1366" s="16" t="n">
        <f aca="false">IF(D1366="","",H1366+E1366-K1366-G1366*I1366)</f>
        <v>10.6431770842908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0.95085764660257</v>
      </c>
      <c r="N1366" s="16" t="n">
        <f aca="false">IF(D1366="","",(I1366+M1366)/2)</f>
        <v>0.964288468036008</v>
      </c>
      <c r="O1366" s="16" t="n">
        <f aca="false">IF(D1366="","",G1366*N1366)</f>
        <v>0.217832764929334</v>
      </c>
      <c r="P1366" s="16" t="n">
        <f aca="false">IF(D1366="","",H1366+E1366-K1366-O1366)</f>
        <v>10.6462111068526</v>
      </c>
      <c r="Q1366" s="16" t="n">
        <f aca="false">IF(D1366="","",IF(P1366&gt;=0,K1366,MAX(0,K1366+P1366)))</f>
        <v>0.648</v>
      </c>
      <c r="R1366" s="16" t="n">
        <f aca="false">IF(D1366="","",Q1366/$B$15)</f>
        <v>0.25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10.6462111068526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49.982211769261</v>
      </c>
      <c r="Z1366" s="18" t="n">
        <f aca="false">IF(D1366="","",MAX(0,IF(P1366&gt;=0,P1366,IF(K1366+P1366&gt;=0,0,P1366+K1366))))</f>
        <v>10.6462111068526</v>
      </c>
      <c r="AA1366" s="18" t="n">
        <f aca="false">IF(D1366="","",IF(H1366&lt;=$B$16,1,IF(H1366&gt;=$B$17,$B$21,MATCH(H1366,Aux_CAV!$A$2:$A$121,1))))</f>
        <v>6</v>
      </c>
      <c r="AB1366" s="18" t="n">
        <f aca="false">IF(D1366="","",IF(L1366&lt;=$B$16,1,IF(L1366&gt;=$B$17,$B$21,MATCH(L1366,Aux_CAV!$A$2:$A$121,1))))</f>
        <v>5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0.068016758244513</v>
      </c>
      <c r="E1367" s="16" t="n">
        <f aca="false">IF(D1367="","",D1367*$B$15)</f>
        <v>0.176299437369778</v>
      </c>
      <c r="F1367" s="16" t="n">
        <f aca="false" t="array" ref="F1367:F1367">IF(D1367="","",IFERROR(INDEX(Dados_Evap!$C$2:$N$15,MATCH($B$9,Dados_Evap!$A$2:$A$15,0),C1367),0))</f>
        <v>206</v>
      </c>
      <c r="G1367" s="16" t="n">
        <f aca="false">IF(F1367="","",F1367/1000)</f>
        <v>0.206</v>
      </c>
      <c r="H1367" s="16" t="n">
        <f aca="false">IF(D1367="","",MAX(0,MIN($B$8,IFERROR(LOOKUP(2,1/($U$24:U1366&lt;&gt;""),$U$24:U1366),$B$11))))</f>
        <v>10.6462111068526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0.950958333192011</v>
      </c>
      <c r="J1367" s="16" t="n">
        <f aca="false">IF(D1367="","",$B$12)</f>
        <v>0.25</v>
      </c>
      <c r="K1367" s="16" t="n">
        <f aca="false">IF(J1367="","",J1367*$B$15)</f>
        <v>0.648</v>
      </c>
      <c r="L1367" s="16" t="n">
        <f aca="false">IF(D1367="","",H1367+E1367-K1367-G1367*I1367)</f>
        <v>9.97861312758482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0.928803532995072</v>
      </c>
      <c r="N1367" s="16" t="n">
        <f aca="false">IF(D1367="","",(I1367+M1367)/2)</f>
        <v>0.939880933093541</v>
      </c>
      <c r="O1367" s="16" t="n">
        <f aca="false">IF(D1367="","",G1367*N1367)</f>
        <v>0.19361547221727</v>
      </c>
      <c r="P1367" s="16" t="n">
        <f aca="false">IF(D1367="","",H1367+E1367-K1367-O1367)</f>
        <v>9.98089507200511</v>
      </c>
      <c r="Q1367" s="16" t="n">
        <f aca="false">IF(D1367="","",IF(P1367&gt;=0,K1367,MAX(0,K1367+P1367)))</f>
        <v>0.648</v>
      </c>
      <c r="R1367" s="16" t="n">
        <f aca="false">IF(D1367="","",Q1367/$B$15)</f>
        <v>0.25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9.98089507200511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46.8586623098831</v>
      </c>
      <c r="Z1367" s="18" t="n">
        <f aca="false">IF(D1367="","",MAX(0,IF(P1367&gt;=0,P1367,IF(K1367+P1367&gt;=0,0,P1367+K1367))))</f>
        <v>9.98089507200511</v>
      </c>
      <c r="AA1367" s="18" t="n">
        <f aca="false">IF(D1367="","",IF(H1367&lt;=$B$16,1,IF(H1367&gt;=$B$17,$B$21,MATCH(H1367,Aux_CAV!$A$2:$A$121,1))))</f>
        <v>5</v>
      </c>
      <c r="AB1367" s="18" t="n">
        <f aca="false">IF(D1367="","",IF(L1367&lt;=$B$16,1,IF(L1367&gt;=$B$17,$B$21,MATCH(L1367,Aux_CAV!$A$2:$A$121,1))))</f>
        <v>5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0.127124667921813</v>
      </c>
      <c r="C3" s="0" t="n">
        <v>0.105714656136512</v>
      </c>
      <c r="D3" s="0" t="n">
        <v>1.69507035031166</v>
      </c>
      <c r="E3" s="0" t="n">
        <v>0.549976583822513</v>
      </c>
      <c r="F3" s="0" t="n">
        <v>0.128243952179625</v>
      </c>
      <c r="G3" s="0" t="n">
        <v>0.314497044879526</v>
      </c>
      <c r="H3" s="0" t="n">
        <v>0.119419585973474</v>
      </c>
      <c r="I3" s="0" t="n">
        <v>0.125436320632784</v>
      </c>
      <c r="J3" s="0" t="n">
        <v>0.0514667838287715</v>
      </c>
      <c r="K3" s="0" t="n">
        <v>0.0243769749595234</v>
      </c>
      <c r="L3" s="0" t="n">
        <v>0.0175190079786238</v>
      </c>
      <c r="M3" s="0" t="n">
        <v>0.19143110547953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0.906729016256099</v>
      </c>
      <c r="C4" s="0" t="n">
        <v>1.89753872988222</v>
      </c>
      <c r="D4" s="0" t="n">
        <v>3.15036004590248</v>
      </c>
      <c r="E4" s="0" t="n">
        <v>2.18497716764083</v>
      </c>
      <c r="F4" s="0" t="n">
        <v>1.70931459697445</v>
      </c>
      <c r="G4" s="0" t="n">
        <v>0.962028585237968</v>
      </c>
      <c r="H4" s="0" t="n">
        <v>0.489024556293252</v>
      </c>
      <c r="I4" s="0" t="n">
        <v>0.464693795972349</v>
      </c>
      <c r="J4" s="0" t="n">
        <v>0.209421667452311</v>
      </c>
      <c r="K4" s="0" t="n">
        <v>0.103301013013321</v>
      </c>
      <c r="L4" s="0" t="n">
        <v>0.0613816784449775</v>
      </c>
      <c r="M4" s="0" t="n">
        <v>0.0414885865456616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0.0754554130039595</v>
      </c>
      <c r="C5" s="0" t="n">
        <v>1.20035737121271</v>
      </c>
      <c r="D5" s="0" t="n">
        <v>1.65947800399465</v>
      </c>
      <c r="E5" s="0" t="n">
        <v>1.94860658057498</v>
      </c>
      <c r="F5" s="0" t="n">
        <v>1.09856549659358</v>
      </c>
      <c r="G5" s="0" t="n">
        <v>0.676548849394527</v>
      </c>
      <c r="H5" s="0" t="n">
        <v>0.345605666721508</v>
      </c>
      <c r="I5" s="0" t="n">
        <v>0.241309984442011</v>
      </c>
      <c r="J5" s="0" t="n">
        <v>0.144236923750668</v>
      </c>
      <c r="K5" s="0" t="n">
        <v>0.0966749696943315</v>
      </c>
      <c r="L5" s="0" t="n">
        <v>0.0468604073404405</v>
      </c>
      <c r="M5" s="0" t="n">
        <v>0.136358415518377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0.330542849735282</v>
      </c>
      <c r="C6" s="0" t="n">
        <v>0.636394650589956</v>
      </c>
      <c r="D6" s="0" t="n">
        <v>0.485536543665294</v>
      </c>
      <c r="E6" s="0" t="n">
        <v>0.988098613837733</v>
      </c>
      <c r="F6" s="0" t="n">
        <v>0.431299773476272</v>
      </c>
      <c r="G6" s="0" t="n">
        <v>0.562504592799689</v>
      </c>
      <c r="H6" s="0" t="n">
        <v>0.188005186820214</v>
      </c>
      <c r="I6" s="0" t="n">
        <v>0.146529468194935</v>
      </c>
      <c r="J6" s="0" t="n">
        <v>0.0750600558138903</v>
      </c>
      <c r="K6" s="0" t="n">
        <v>0.0472410885909697</v>
      </c>
      <c r="L6" s="0" t="n">
        <v>0.022023064183709</v>
      </c>
      <c r="M6" s="0" t="n">
        <v>0.0129549397415359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0.0290406184357215</v>
      </c>
      <c r="C7" s="0" t="n">
        <v>0.0380532291385637</v>
      </c>
      <c r="D7" s="0" t="n">
        <v>0.0577449733392862</v>
      </c>
      <c r="E7" s="0" t="n">
        <v>0.242725500550708</v>
      </c>
      <c r="F7" s="0" t="n">
        <v>0.19001188098938</v>
      </c>
      <c r="G7" s="0" t="n">
        <v>0.0458968340770878</v>
      </c>
      <c r="H7" s="0" t="n">
        <v>0.00954541336314602</v>
      </c>
      <c r="I7" s="0" t="n">
        <v>0.015161143796198</v>
      </c>
      <c r="J7" s="0" t="n">
        <v>0.00666326191976514</v>
      </c>
      <c r="K7" s="0" t="n">
        <v>0.00337893985100086</v>
      </c>
      <c r="L7" s="0" t="n">
        <v>0.00174595817277719</v>
      </c>
      <c r="M7" s="0" t="n">
        <v>0.0125979034056731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0.118161697156209</v>
      </c>
      <c r="C8" s="0" t="n">
        <v>0.339432785554754</v>
      </c>
      <c r="D8" s="0" t="n">
        <v>1.71363798364012</v>
      </c>
      <c r="E8" s="0" t="n">
        <v>1.48944371208474</v>
      </c>
      <c r="F8" s="0" t="n">
        <v>0.579469841117123</v>
      </c>
      <c r="G8" s="0" t="n">
        <v>0.541030105860703</v>
      </c>
      <c r="H8" s="0" t="n">
        <v>0.149179891762347</v>
      </c>
      <c r="I8" s="0" t="n">
        <v>0.109944128633622</v>
      </c>
      <c r="J8" s="0" t="n">
        <v>0.0741608475743467</v>
      </c>
      <c r="K8" s="0" t="n">
        <v>0.0412450416992393</v>
      </c>
      <c r="L8" s="0" t="n">
        <v>0.0388288493072234</v>
      </c>
      <c r="M8" s="0" t="n">
        <v>0.0885436769300843</v>
      </c>
    </row>
    <row r="9" customFormat="false" ht="12.75" hidden="false" customHeight="true" outlineLevel="0" collapsed="false">
      <c r="A9" s="5" t="n">
        <v>1917</v>
      </c>
      <c r="B9" s="0" t="n">
        <v>0.675250385234988</v>
      </c>
      <c r="C9" s="0" t="n">
        <v>1.43378605178424</v>
      </c>
      <c r="D9" s="0" t="n">
        <v>2.34231921792084</v>
      </c>
      <c r="E9" s="0" t="n">
        <v>1.62476145540305</v>
      </c>
      <c r="F9" s="0" t="n">
        <v>2.37209647387005</v>
      </c>
      <c r="G9" s="0" t="n">
        <v>0.644646546350079</v>
      </c>
      <c r="H9" s="0" t="n">
        <v>0.356578647229121</v>
      </c>
      <c r="I9" s="0" t="n">
        <v>0.220613853878071</v>
      </c>
      <c r="J9" s="0" t="n">
        <v>0.144358014135663</v>
      </c>
      <c r="K9" s="0" t="n">
        <v>0.0793993780674684</v>
      </c>
      <c r="L9" s="0" t="n">
        <v>0.116091718085803</v>
      </c>
      <c r="M9" s="0" t="n">
        <v>0.176309730975745</v>
      </c>
    </row>
    <row r="10" customFormat="false" ht="12.75" hidden="false" customHeight="true" outlineLevel="0" collapsed="false">
      <c r="A10" s="5" t="n">
        <v>1918</v>
      </c>
      <c r="B10" s="0" t="n">
        <v>0.281595000140249</v>
      </c>
      <c r="C10" s="0" t="n">
        <v>0.429331395386766</v>
      </c>
      <c r="D10" s="0" t="n">
        <v>1.0794757916228</v>
      </c>
      <c r="E10" s="0" t="n">
        <v>0.591518340345666</v>
      </c>
      <c r="F10" s="0" t="n">
        <v>1.16085640993918</v>
      </c>
      <c r="G10" s="0" t="n">
        <v>0.386232218340527</v>
      </c>
      <c r="H10" s="0" t="n">
        <v>0.187039843324658</v>
      </c>
      <c r="I10" s="0" t="n">
        <v>0.117223225183303</v>
      </c>
      <c r="J10" s="0" t="n">
        <v>0.071903931211706</v>
      </c>
      <c r="K10" s="0" t="n">
        <v>0.0436306191434884</v>
      </c>
      <c r="L10" s="0" t="n">
        <v>0.0226804819930023</v>
      </c>
      <c r="M10" s="0" t="n">
        <v>0.0474998594353557</v>
      </c>
    </row>
    <row r="11" customFormat="false" ht="12.75" hidden="false" customHeight="true" outlineLevel="0" collapsed="false">
      <c r="A11" s="5" t="n">
        <v>1919</v>
      </c>
      <c r="B11" s="0" t="n">
        <v>0.0452688037492201</v>
      </c>
      <c r="C11" s="0" t="n">
        <v>0.0593398364058033</v>
      </c>
      <c r="D11" s="0" t="n">
        <v>0.0971098840645209</v>
      </c>
      <c r="E11" s="0" t="n">
        <v>0.0811723205731702</v>
      </c>
      <c r="F11" s="0" t="n">
        <v>0.0857689252590489</v>
      </c>
      <c r="G11" s="0" t="n">
        <v>0.0272133667607139</v>
      </c>
      <c r="H11" s="0" t="n">
        <v>0.00963007602289364</v>
      </c>
      <c r="I11" s="0" t="n">
        <v>0.0252150080305608</v>
      </c>
      <c r="J11" s="0" t="n">
        <v>0.00576053344462501</v>
      </c>
      <c r="K11" s="0" t="n">
        <v>0.00233845100371749</v>
      </c>
      <c r="L11" s="0" t="n">
        <v>0.00107336517258512</v>
      </c>
      <c r="M11" s="0" t="n">
        <v>0.00370802739784115</v>
      </c>
    </row>
    <row r="12" customFormat="false" ht="12.75" hidden="false" customHeight="true" outlineLevel="0" collapsed="false">
      <c r="A12" s="5" t="n">
        <v>1920</v>
      </c>
      <c r="B12" s="0" t="n">
        <v>0.0024211444224951</v>
      </c>
      <c r="C12" s="0" t="n">
        <v>0.0106640367736828</v>
      </c>
      <c r="D12" s="0" t="n">
        <v>1.39336282093379</v>
      </c>
      <c r="E12" s="0" t="n">
        <v>1.08526156477183</v>
      </c>
      <c r="F12" s="0" t="n">
        <v>0.702069302661926</v>
      </c>
      <c r="G12" s="0" t="n">
        <v>0.456481200534608</v>
      </c>
      <c r="H12" s="0" t="n">
        <v>0.199912018150053</v>
      </c>
      <c r="I12" s="0" t="n">
        <v>0.125130983472127</v>
      </c>
      <c r="J12" s="0" t="n">
        <v>0.0775568291858559</v>
      </c>
      <c r="K12" s="0" t="n">
        <v>0.0412485380535882</v>
      </c>
      <c r="L12" s="0" t="n">
        <v>0.0262749998266132</v>
      </c>
      <c r="M12" s="0" t="n">
        <v>0.0864262728766261</v>
      </c>
    </row>
    <row r="13" customFormat="false" ht="12.75" hidden="false" customHeight="true" outlineLevel="0" collapsed="false">
      <c r="A13" s="5" t="n">
        <v>1921</v>
      </c>
      <c r="B13" s="0" t="n">
        <v>0.133243087629164</v>
      </c>
      <c r="C13" s="0" t="n">
        <v>0.754898120435819</v>
      </c>
      <c r="D13" s="0" t="n">
        <v>2.32935045991056</v>
      </c>
      <c r="E13" s="0" t="n">
        <v>1.82335916261144</v>
      </c>
      <c r="F13" s="0" t="n">
        <v>1.31006417611756</v>
      </c>
      <c r="G13" s="0" t="n">
        <v>0.286770523205207</v>
      </c>
      <c r="H13" s="0" t="n">
        <v>0.478221403305015</v>
      </c>
      <c r="I13" s="0" t="n">
        <v>0.162892147053038</v>
      </c>
      <c r="J13" s="0" t="n">
        <v>0.151953314301482</v>
      </c>
      <c r="K13" s="0" t="n">
        <v>0.0858692870794125</v>
      </c>
      <c r="L13" s="0" t="n">
        <v>0.0869436677508723</v>
      </c>
      <c r="M13" s="0" t="n">
        <v>0.0235366089348627</v>
      </c>
    </row>
    <row r="14" customFormat="false" ht="12.75" hidden="false" customHeight="true" outlineLevel="0" collapsed="false">
      <c r="A14" s="5" t="n">
        <v>1922</v>
      </c>
      <c r="B14" s="0" t="n">
        <v>0.0569507064734303</v>
      </c>
      <c r="C14" s="0" t="n">
        <v>0.15257928178124</v>
      </c>
      <c r="D14" s="0" t="n">
        <v>0.490224533957064</v>
      </c>
      <c r="E14" s="0" t="n">
        <v>1.06676841334511</v>
      </c>
      <c r="F14" s="0" t="n">
        <v>0.96181112425911</v>
      </c>
      <c r="G14" s="0" t="n">
        <v>0.315659454345717</v>
      </c>
      <c r="H14" s="0" t="n">
        <v>0.346853707663819</v>
      </c>
      <c r="I14" s="0" t="n">
        <v>0.145405142233265</v>
      </c>
      <c r="J14" s="0" t="n">
        <v>0.0759141353638265</v>
      </c>
      <c r="K14" s="0" t="n">
        <v>0.0418881326856275</v>
      </c>
      <c r="L14" s="0" t="n">
        <v>0.050079047094709</v>
      </c>
      <c r="M14" s="0" t="n">
        <v>0.0229044768800988</v>
      </c>
    </row>
    <row r="15" customFormat="false" ht="12.75" hidden="false" customHeight="true" outlineLevel="0" collapsed="false">
      <c r="A15" s="5" t="n">
        <v>1923</v>
      </c>
      <c r="B15" s="0" t="n">
        <v>0.0476940293723602</v>
      </c>
      <c r="C15" s="0" t="n">
        <v>0.282868932077191</v>
      </c>
      <c r="D15" s="0" t="n">
        <v>0.48012574946658</v>
      </c>
      <c r="E15" s="0" t="n">
        <v>0.849144322304212</v>
      </c>
      <c r="F15" s="0" t="n">
        <v>0.909298603956548</v>
      </c>
      <c r="G15" s="0" t="n">
        <v>0.249057037480646</v>
      </c>
      <c r="H15" s="0" t="n">
        <v>0.204524456076505</v>
      </c>
      <c r="I15" s="0" t="n">
        <v>0.0854280392415402</v>
      </c>
      <c r="J15" s="0" t="n">
        <v>0.0550545761441592</v>
      </c>
      <c r="K15" s="0" t="n">
        <v>0.0322700020718589</v>
      </c>
      <c r="L15" s="0" t="n">
        <v>0.0184125843205849</v>
      </c>
      <c r="M15" s="0" t="n">
        <v>0.00960399077440733</v>
      </c>
    </row>
    <row r="16" customFormat="false" ht="12.75" hidden="false" customHeight="true" outlineLevel="0" collapsed="false">
      <c r="A16" s="5" t="n">
        <v>1924</v>
      </c>
      <c r="B16" s="0" t="n">
        <v>0.210863658155812</v>
      </c>
      <c r="C16" s="0" t="n">
        <v>0.511790884977356</v>
      </c>
      <c r="D16" s="0" t="n">
        <v>1.66004567374485</v>
      </c>
      <c r="E16" s="0" t="n">
        <v>2.84402398040886</v>
      </c>
      <c r="F16" s="0" t="n">
        <v>1.75821092698594</v>
      </c>
      <c r="G16" s="0" t="n">
        <v>1.00565646617912</v>
      </c>
      <c r="H16" s="0" t="n">
        <v>0.314297531228891</v>
      </c>
      <c r="I16" s="0" t="n">
        <v>0.216463201170583</v>
      </c>
      <c r="J16" s="0" t="n">
        <v>0.171555207780421</v>
      </c>
      <c r="K16" s="0" t="n">
        <v>0.106065812385779</v>
      </c>
      <c r="L16" s="0" t="n">
        <v>0.0562715669478917</v>
      </c>
      <c r="M16" s="0" t="n">
        <v>0.150919617151921</v>
      </c>
    </row>
    <row r="17" customFormat="false" ht="12.75" hidden="false" customHeight="true" outlineLevel="0" collapsed="false">
      <c r="A17" s="5" t="n">
        <v>1925</v>
      </c>
      <c r="B17" s="0" t="n">
        <v>0.403732348895935</v>
      </c>
      <c r="C17" s="0" t="n">
        <v>0.354226742966342</v>
      </c>
      <c r="D17" s="0" t="n">
        <v>1.25758248288963</v>
      </c>
      <c r="E17" s="0" t="n">
        <v>2.04121106033808</v>
      </c>
      <c r="F17" s="0" t="n">
        <v>0.807730343533706</v>
      </c>
      <c r="G17" s="0" t="n">
        <v>0.362481150177939</v>
      </c>
      <c r="H17" s="0" t="n">
        <v>0.260695631177581</v>
      </c>
      <c r="I17" s="0" t="n">
        <v>0.161129246250666</v>
      </c>
      <c r="J17" s="0" t="n">
        <v>0.0924416157992746</v>
      </c>
      <c r="K17" s="0" t="n">
        <v>0.0490643045906774</v>
      </c>
      <c r="L17" s="0" t="n">
        <v>0.0290664841882737</v>
      </c>
      <c r="M17" s="0" t="n">
        <v>0.0180967369105242</v>
      </c>
    </row>
    <row r="18" customFormat="false" ht="12.75" hidden="false" customHeight="true" outlineLevel="0" collapsed="false">
      <c r="A18" s="5" t="n">
        <v>1926</v>
      </c>
      <c r="B18" s="0" t="n">
        <v>0.0501648147948033</v>
      </c>
      <c r="C18" s="0" t="n">
        <v>0.410005232141915</v>
      </c>
      <c r="D18" s="0" t="n">
        <v>1.24508013397053</v>
      </c>
      <c r="E18" s="0" t="n">
        <v>1.84732222385452</v>
      </c>
      <c r="F18" s="0" t="n">
        <v>0.717970864300633</v>
      </c>
      <c r="G18" s="0" t="n">
        <v>0.327262262131039</v>
      </c>
      <c r="H18" s="0" t="n">
        <v>0.182419676502358</v>
      </c>
      <c r="I18" s="0" t="n">
        <v>0.108528195635454</v>
      </c>
      <c r="J18" s="0" t="n">
        <v>0.0705458629794718</v>
      </c>
      <c r="K18" s="0" t="n">
        <v>0.0412463193129344</v>
      </c>
      <c r="L18" s="0" t="n">
        <v>0.0238355466359042</v>
      </c>
      <c r="M18" s="0" t="n">
        <v>0.0181081768711901</v>
      </c>
    </row>
    <row r="19" customFormat="false" ht="12.75" hidden="false" customHeight="true" outlineLevel="0" collapsed="false">
      <c r="A19" s="5" t="n">
        <v>1927</v>
      </c>
      <c r="B19" s="0" t="n">
        <v>0.419517577787685</v>
      </c>
      <c r="C19" s="0" t="n">
        <v>0.990242615245332</v>
      </c>
      <c r="D19" s="0" t="n">
        <v>1.93008182591126</v>
      </c>
      <c r="E19" s="0" t="n">
        <v>4.69116599416166</v>
      </c>
      <c r="F19" s="0" t="n">
        <v>2.19127326334812</v>
      </c>
      <c r="G19" s="0" t="n">
        <v>2.06674185958383</v>
      </c>
      <c r="H19" s="0" t="n">
        <v>0.98907447931901</v>
      </c>
      <c r="I19" s="0" t="n">
        <v>0.329023543167508</v>
      </c>
      <c r="J19" s="0" t="n">
        <v>0.23136887278776</v>
      </c>
      <c r="K19" s="0" t="n">
        <v>0.138183557047962</v>
      </c>
      <c r="L19" s="0" t="n">
        <v>0.0997758476139303</v>
      </c>
      <c r="M19" s="0" t="n">
        <v>0.0602931109544253</v>
      </c>
    </row>
    <row r="20" customFormat="false" ht="12.75" hidden="false" customHeight="true" outlineLevel="0" collapsed="false">
      <c r="A20" s="5" t="n">
        <v>1928</v>
      </c>
      <c r="B20" s="0" t="n">
        <v>0.105582521684423</v>
      </c>
      <c r="C20" s="0" t="n">
        <v>0.115140713329433</v>
      </c>
      <c r="D20" s="0" t="n">
        <v>0.599255648990943</v>
      </c>
      <c r="E20" s="0" t="n">
        <v>0.465118000301627</v>
      </c>
      <c r="F20" s="0" t="n">
        <v>0.140082898927851</v>
      </c>
      <c r="G20" s="0" t="n">
        <v>0.0802324849167954</v>
      </c>
      <c r="H20" s="0" t="n">
        <v>0.0544505214901237</v>
      </c>
      <c r="I20" s="0" t="n">
        <v>0.0231703256213446</v>
      </c>
      <c r="J20" s="0" t="n">
        <v>0.0156968202254546</v>
      </c>
      <c r="K20" s="0" t="n">
        <v>0.00942504050713066</v>
      </c>
      <c r="L20" s="0" t="n">
        <v>0.0052111288661185</v>
      </c>
      <c r="M20" s="0" t="n">
        <v>0.00345789587277862</v>
      </c>
    </row>
    <row r="21" customFormat="false" ht="12.75" hidden="false" customHeight="true" outlineLevel="0" collapsed="false">
      <c r="A21" s="5" t="n">
        <v>1929</v>
      </c>
      <c r="B21" s="0" t="n">
        <v>0.0815232505505663</v>
      </c>
      <c r="C21" s="0" t="n">
        <v>0.395534934754284</v>
      </c>
      <c r="D21" s="0" t="n">
        <v>0.654560831316329</v>
      </c>
      <c r="E21" s="0" t="n">
        <v>1.03113860994008</v>
      </c>
      <c r="F21" s="0" t="n">
        <v>0.423569769644459</v>
      </c>
      <c r="G21" s="0" t="n">
        <v>0.263120922166092</v>
      </c>
      <c r="H21" s="0" t="n">
        <v>0.105325311171969</v>
      </c>
      <c r="I21" s="0" t="n">
        <v>0.066494805600046</v>
      </c>
      <c r="J21" s="0" t="n">
        <v>0.0441680803815585</v>
      </c>
      <c r="K21" s="0" t="n">
        <v>0.0323788289903804</v>
      </c>
      <c r="L21" s="0" t="n">
        <v>0.0178094912385273</v>
      </c>
      <c r="M21" s="0" t="n">
        <v>0.0120304243431886</v>
      </c>
    </row>
    <row r="22" customFormat="false" ht="12.75" hidden="false" customHeight="true" outlineLevel="0" collapsed="false">
      <c r="A22" s="5" t="n">
        <v>1930</v>
      </c>
      <c r="B22" s="0" t="n">
        <v>0.197519166488715</v>
      </c>
      <c r="C22" s="0" t="n">
        <v>0.300241577654207</v>
      </c>
      <c r="D22" s="0" t="n">
        <v>0.480582504341236</v>
      </c>
      <c r="E22" s="0" t="n">
        <v>0.531343984015486</v>
      </c>
      <c r="F22" s="0" t="n">
        <v>0.109694873099088</v>
      </c>
      <c r="G22" s="0" t="n">
        <v>0.264254574370326</v>
      </c>
      <c r="H22" s="0" t="n">
        <v>0.0555841267379872</v>
      </c>
      <c r="I22" s="0" t="n">
        <v>0.039431995327819</v>
      </c>
      <c r="J22" s="0" t="n">
        <v>0.0316063977893939</v>
      </c>
      <c r="K22" s="0" t="n">
        <v>0.0223467839980215</v>
      </c>
      <c r="L22" s="0" t="n">
        <v>0.0103650743805603</v>
      </c>
      <c r="M22" s="0" t="n">
        <v>0.0230116530310386</v>
      </c>
    </row>
    <row r="23" customFormat="false" ht="12.75" hidden="false" customHeight="true" outlineLevel="0" collapsed="false">
      <c r="A23" s="5" t="n">
        <v>1931</v>
      </c>
      <c r="B23" s="0" t="n">
        <v>0.0327929294334275</v>
      </c>
      <c r="C23" s="0" t="n">
        <v>0.175389664027274</v>
      </c>
      <c r="D23" s="0" t="n">
        <v>0.155143734231959</v>
      </c>
      <c r="E23" s="0" t="n">
        <v>0.201681975622357</v>
      </c>
      <c r="F23" s="0" t="n">
        <v>0.0608602562136408</v>
      </c>
      <c r="G23" s="0" t="n">
        <v>0.0223504433783056</v>
      </c>
      <c r="H23" s="0" t="n">
        <v>0.0148259896007912</v>
      </c>
      <c r="I23" s="0" t="n">
        <v>0.00639554748018629</v>
      </c>
      <c r="J23" s="0" t="n">
        <v>0.00400005633791908</v>
      </c>
      <c r="K23" s="0" t="n">
        <v>0.00235769175817174</v>
      </c>
      <c r="L23" s="0" t="n">
        <v>0.00144884294801497</v>
      </c>
      <c r="M23" s="0" t="n">
        <v>0.000877729547496335</v>
      </c>
    </row>
    <row r="24" customFormat="false" ht="12.75" hidden="false" customHeight="true" outlineLevel="0" collapsed="false">
      <c r="A24" s="5" t="n">
        <v>1932</v>
      </c>
      <c r="B24" s="0" t="n">
        <v>0.0399406869076112</v>
      </c>
      <c r="C24" s="0" t="n">
        <v>0.0652428642948685</v>
      </c>
      <c r="D24" s="0" t="n">
        <v>0.063796872850402</v>
      </c>
      <c r="E24" s="0" t="n">
        <v>0.0204906328417081</v>
      </c>
      <c r="F24" s="0" t="n">
        <v>0.0850920283556693</v>
      </c>
      <c r="G24" s="0" t="n">
        <v>0.0854785218924353</v>
      </c>
      <c r="H24" s="0" t="n">
        <v>0.00943646771776721</v>
      </c>
      <c r="I24" s="0" t="n">
        <v>0.00292945485315722</v>
      </c>
      <c r="J24" s="0" t="n">
        <v>0.0101433537327987</v>
      </c>
      <c r="K24" s="0" t="n">
        <v>0.00231730686772406</v>
      </c>
      <c r="L24" s="0" t="n">
        <v>0.000876661318308058</v>
      </c>
      <c r="M24" s="0" t="n">
        <v>0.000549417487250886</v>
      </c>
    </row>
    <row r="25" customFormat="false" ht="12.75" hidden="false" customHeight="true" outlineLevel="0" collapsed="false">
      <c r="A25" s="5" t="n">
        <v>1933</v>
      </c>
      <c r="B25" s="0" t="n">
        <v>0.10092233348022</v>
      </c>
      <c r="C25" s="0" t="n">
        <v>0.177876183973779</v>
      </c>
      <c r="D25" s="0" t="n">
        <v>0.746292571076166</v>
      </c>
      <c r="E25" s="0" t="n">
        <v>1.47200496910947</v>
      </c>
      <c r="F25" s="0" t="n">
        <v>0.192026135231229</v>
      </c>
      <c r="G25" s="0" t="n">
        <v>0.107081024256366</v>
      </c>
      <c r="H25" s="0" t="n">
        <v>0.113527196980414</v>
      </c>
      <c r="I25" s="0" t="n">
        <v>0.0564869460927254</v>
      </c>
      <c r="J25" s="0" t="n">
        <v>0.0415560887896804</v>
      </c>
      <c r="K25" s="0" t="n">
        <v>0.0213142889872259</v>
      </c>
      <c r="L25" s="0" t="n">
        <v>0.0118171771895221</v>
      </c>
      <c r="M25" s="0" t="n">
        <v>0.0126367436408758</v>
      </c>
    </row>
    <row r="26" customFormat="false" ht="12.75" hidden="false" customHeight="true" outlineLevel="0" collapsed="false">
      <c r="A26" s="5" t="n">
        <v>1934</v>
      </c>
      <c r="B26" s="0" t="n">
        <v>0.0414537266716815</v>
      </c>
      <c r="C26" s="0" t="n">
        <v>0.449483616421283</v>
      </c>
      <c r="D26" s="0" t="n">
        <v>1.05794133388828</v>
      </c>
      <c r="E26" s="0" t="n">
        <v>1.00780015809659</v>
      </c>
      <c r="F26" s="0" t="n">
        <v>1.42461320689788</v>
      </c>
      <c r="G26" s="0" t="n">
        <v>0.420869423949741</v>
      </c>
      <c r="H26" s="0" t="n">
        <v>0.14697782999323</v>
      </c>
      <c r="I26" s="0" t="n">
        <v>0.120458488735699</v>
      </c>
      <c r="J26" s="0" t="n">
        <v>0.0941935937933112</v>
      </c>
      <c r="K26" s="0" t="n">
        <v>0.0533865319337407</v>
      </c>
      <c r="L26" s="0" t="n">
        <v>0.0336667978241512</v>
      </c>
      <c r="M26" s="0" t="n">
        <v>0.0796075050039869</v>
      </c>
    </row>
    <row r="27" customFormat="false" ht="12.75" hidden="false" customHeight="true" outlineLevel="0" collapsed="false">
      <c r="A27" s="5" t="n">
        <v>1935</v>
      </c>
      <c r="B27" s="0" t="n">
        <v>0.212104917287796</v>
      </c>
      <c r="C27" s="0" t="n">
        <v>0.58335232441209</v>
      </c>
      <c r="D27" s="0" t="n">
        <v>1.35049742761605</v>
      </c>
      <c r="E27" s="0" t="n">
        <v>1.89728518796667</v>
      </c>
      <c r="F27" s="0" t="n">
        <v>1.53985688485375</v>
      </c>
      <c r="G27" s="0" t="n">
        <v>0.580985337669925</v>
      </c>
      <c r="H27" s="0" t="n">
        <v>0.243896722549683</v>
      </c>
      <c r="I27" s="0" t="n">
        <v>0.167432974811569</v>
      </c>
      <c r="J27" s="0" t="n">
        <v>0.106309626062958</v>
      </c>
      <c r="K27" s="0" t="n">
        <v>0.0619499456632531</v>
      </c>
      <c r="L27" s="0" t="n">
        <v>0.0335011451520821</v>
      </c>
      <c r="M27" s="0" t="n">
        <v>0.0207735078570473</v>
      </c>
    </row>
    <row r="28" customFormat="false" ht="12.75" hidden="false" customHeight="true" outlineLevel="0" collapsed="false">
      <c r="A28" s="5" t="n">
        <v>1936</v>
      </c>
      <c r="B28" s="0" t="n">
        <v>0.0220587976093044</v>
      </c>
      <c r="C28" s="0" t="n">
        <v>0.237690105637851</v>
      </c>
      <c r="D28" s="0" t="n">
        <v>0.0846997304849537</v>
      </c>
      <c r="E28" s="0" t="n">
        <v>0.113432520113213</v>
      </c>
      <c r="F28" s="0" t="n">
        <v>0.177831665483383</v>
      </c>
      <c r="G28" s="0" t="n">
        <v>0.101277359187338</v>
      </c>
      <c r="H28" s="0" t="n">
        <v>0.0127172994295887</v>
      </c>
      <c r="I28" s="0" t="n">
        <v>0.0087812171616965</v>
      </c>
      <c r="J28" s="0" t="n">
        <v>0.00652984470245296</v>
      </c>
      <c r="K28" s="0" t="n">
        <v>0.0037514068777508</v>
      </c>
      <c r="L28" s="0" t="n">
        <v>0.00202787265965579</v>
      </c>
      <c r="M28" s="0" t="n">
        <v>0.00131114645175257</v>
      </c>
    </row>
    <row r="29" customFormat="false" ht="12.75" hidden="false" customHeight="true" outlineLevel="0" collapsed="false">
      <c r="A29" s="5" t="n">
        <v>1937</v>
      </c>
      <c r="B29" s="0" t="n">
        <v>0.00434039436748648</v>
      </c>
      <c r="C29" s="0" t="n">
        <v>0.083548503211728</v>
      </c>
      <c r="D29" s="0" t="n">
        <v>0.174575760701674</v>
      </c>
      <c r="E29" s="0" t="n">
        <v>0.501823933767176</v>
      </c>
      <c r="F29" s="0" t="n">
        <v>0.444221412119923</v>
      </c>
      <c r="G29" s="0" t="n">
        <v>0.461803275572963</v>
      </c>
      <c r="H29" s="0" t="n">
        <v>0.0735494432996878</v>
      </c>
      <c r="I29" s="0" t="n">
        <v>0.0473599626332779</v>
      </c>
      <c r="J29" s="0" t="n">
        <v>0.0366020947603269</v>
      </c>
      <c r="K29" s="0" t="n">
        <v>0.021101834459172</v>
      </c>
      <c r="L29" s="0" t="n">
        <v>0.0118280434944056</v>
      </c>
      <c r="M29" s="0" t="n">
        <v>0.00845151944185767</v>
      </c>
    </row>
    <row r="30" customFormat="false" ht="12.75" hidden="false" customHeight="true" outlineLevel="0" collapsed="false">
      <c r="A30" s="5" t="n">
        <v>1938</v>
      </c>
      <c r="B30" s="0" t="n">
        <v>0.0632877007768015</v>
      </c>
      <c r="C30" s="0" t="n">
        <v>0.039695252603618</v>
      </c>
      <c r="D30" s="0" t="n">
        <v>0.49375641965819</v>
      </c>
      <c r="E30" s="0" t="n">
        <v>1.05182521133813</v>
      </c>
      <c r="F30" s="0" t="n">
        <v>0.444028950337507</v>
      </c>
      <c r="G30" s="0" t="n">
        <v>0.126096142765666</v>
      </c>
      <c r="H30" s="0" t="n">
        <v>0.0715751273362245</v>
      </c>
      <c r="I30" s="0" t="n">
        <v>0.0605124457116428</v>
      </c>
      <c r="J30" s="0" t="n">
        <v>0.0330032447517866</v>
      </c>
      <c r="K30" s="0" t="n">
        <v>0.0193475955448115</v>
      </c>
      <c r="L30" s="0" t="n">
        <v>0.0114293795114329</v>
      </c>
      <c r="M30" s="0" t="n">
        <v>0.00678692798275119</v>
      </c>
    </row>
    <row r="31" customFormat="false" ht="12.75" hidden="false" customHeight="true" outlineLevel="0" collapsed="false">
      <c r="A31" s="5" t="n">
        <v>1939</v>
      </c>
      <c r="B31" s="0" t="n">
        <v>0.0301453707216114</v>
      </c>
      <c r="C31" s="0" t="n">
        <v>0.508718084900159</v>
      </c>
      <c r="D31" s="0" t="n">
        <v>1.29219640671983</v>
      </c>
      <c r="E31" s="0" t="n">
        <v>0.550295658809428</v>
      </c>
      <c r="F31" s="0" t="n">
        <v>0.36995681473273</v>
      </c>
      <c r="G31" s="0" t="n">
        <v>0.141397313776282</v>
      </c>
      <c r="H31" s="0" t="n">
        <v>0.168487600078034</v>
      </c>
      <c r="I31" s="0" t="n">
        <v>0.0616091418965868</v>
      </c>
      <c r="J31" s="0" t="n">
        <v>0.0547070110034982</v>
      </c>
      <c r="K31" s="0" t="n">
        <v>0.0363790717926107</v>
      </c>
      <c r="L31" s="0" t="n">
        <v>0.016040822636854</v>
      </c>
      <c r="M31" s="0" t="n">
        <v>0.00978747721548636</v>
      </c>
    </row>
    <row r="32" customFormat="false" ht="12.75" hidden="false" customHeight="true" outlineLevel="0" collapsed="false">
      <c r="A32" s="5" t="n">
        <v>1940</v>
      </c>
      <c r="B32" s="0" t="n">
        <v>0.081487451428794</v>
      </c>
      <c r="C32" s="0" t="n">
        <v>0.182793152685936</v>
      </c>
      <c r="D32" s="0" t="n">
        <v>0.560169768600286</v>
      </c>
      <c r="E32" s="0" t="n">
        <v>1.38415381913681</v>
      </c>
      <c r="F32" s="0" t="n">
        <v>0.734648968658409</v>
      </c>
      <c r="G32" s="0" t="n">
        <v>0.551051219135388</v>
      </c>
      <c r="H32" s="0" t="n">
        <v>0.290469147519484</v>
      </c>
      <c r="I32" s="0" t="n">
        <v>0.143172351563998</v>
      </c>
      <c r="J32" s="0" t="n">
        <v>0.0751355411918548</v>
      </c>
      <c r="K32" s="0" t="n">
        <v>0.0454550165586317</v>
      </c>
      <c r="L32" s="0" t="n">
        <v>0.0246974950403637</v>
      </c>
      <c r="M32" s="0" t="n">
        <v>0.0222025660309227</v>
      </c>
    </row>
    <row r="33" customFormat="false" ht="12.75" hidden="false" customHeight="true" outlineLevel="0" collapsed="false">
      <c r="A33" s="5" t="n">
        <v>1941</v>
      </c>
      <c r="B33" s="0" t="n">
        <v>0.0156409440763439</v>
      </c>
      <c r="C33" s="0" t="n">
        <v>0.0792234884928906</v>
      </c>
      <c r="D33" s="0" t="n">
        <v>0.660596227224411</v>
      </c>
      <c r="E33" s="0" t="n">
        <v>0.764781088532817</v>
      </c>
      <c r="F33" s="0" t="n">
        <v>0.260834510151729</v>
      </c>
      <c r="G33" s="0" t="n">
        <v>0.119355486490127</v>
      </c>
      <c r="H33" s="0" t="n">
        <v>0.059292054470103</v>
      </c>
      <c r="I33" s="0" t="n">
        <v>0.0527423925852639</v>
      </c>
      <c r="J33" s="0" t="n">
        <v>0.0326904374099719</v>
      </c>
      <c r="K33" s="0" t="n">
        <v>0.0149812419403511</v>
      </c>
      <c r="L33" s="0" t="n">
        <v>0.00975878895421721</v>
      </c>
      <c r="M33" s="0" t="n">
        <v>0.00687052938761157</v>
      </c>
    </row>
    <row r="34" customFormat="false" ht="12.75" hidden="false" customHeight="true" outlineLevel="0" collapsed="false">
      <c r="A34" s="5" t="n">
        <v>1942</v>
      </c>
      <c r="B34" s="0" t="n">
        <v>0.0220182123979862</v>
      </c>
      <c r="C34" s="0" t="n">
        <v>0.0309864116434907</v>
      </c>
      <c r="D34" s="0" t="n">
        <v>0.358850044564822</v>
      </c>
      <c r="E34" s="0" t="n">
        <v>0.693031987856745</v>
      </c>
      <c r="F34" s="0" t="n">
        <v>0.522234820856529</v>
      </c>
      <c r="G34" s="0" t="n">
        <v>0.0751855338940375</v>
      </c>
      <c r="H34" s="0" t="n">
        <v>0.0501108802791307</v>
      </c>
      <c r="I34" s="0" t="n">
        <v>0.039102198121937</v>
      </c>
      <c r="J34" s="0" t="n">
        <v>0.0237729587325712</v>
      </c>
      <c r="K34" s="0" t="n">
        <v>0.0161663505668718</v>
      </c>
      <c r="L34" s="0" t="n">
        <v>0.00869261781573047</v>
      </c>
      <c r="M34" s="0" t="n">
        <v>0.0388080228494483</v>
      </c>
    </row>
    <row r="35" customFormat="false" ht="12.75" hidden="false" customHeight="true" outlineLevel="0" collapsed="false">
      <c r="A35" s="5" t="n">
        <v>1943</v>
      </c>
      <c r="B35" s="0" t="n">
        <v>0.117066381481426</v>
      </c>
      <c r="C35" s="0" t="n">
        <v>0.195626356827666</v>
      </c>
      <c r="D35" s="0" t="n">
        <v>0.610189641394621</v>
      </c>
      <c r="E35" s="0" t="n">
        <v>0.671682539802785</v>
      </c>
      <c r="F35" s="0" t="n">
        <v>0.241869871629241</v>
      </c>
      <c r="G35" s="0" t="n">
        <v>0.0815415745038523</v>
      </c>
      <c r="H35" s="0" t="n">
        <v>0.116109258000489</v>
      </c>
      <c r="I35" s="0" t="n">
        <v>0.0388103780474903</v>
      </c>
      <c r="J35" s="0" t="n">
        <v>0.0244249617537916</v>
      </c>
      <c r="K35" s="0" t="n">
        <v>0.013930835259425</v>
      </c>
      <c r="L35" s="0" t="n">
        <v>0.00976527915516125</v>
      </c>
      <c r="M35" s="0" t="n">
        <v>0.0227663173010727</v>
      </c>
    </row>
    <row r="36" customFormat="false" ht="12.75" hidden="false" customHeight="true" outlineLevel="0" collapsed="false">
      <c r="A36" s="5" t="n">
        <v>1944</v>
      </c>
      <c r="B36" s="0" t="n">
        <v>0.0490141714850153</v>
      </c>
      <c r="C36" s="0" t="n">
        <v>0.020871187604786</v>
      </c>
      <c r="D36" s="0" t="n">
        <v>0.615730598896853</v>
      </c>
      <c r="E36" s="0" t="n">
        <v>0.967122357788593</v>
      </c>
      <c r="F36" s="0" t="n">
        <v>0.890793794606431</v>
      </c>
      <c r="G36" s="0" t="n">
        <v>0.141400260824725</v>
      </c>
      <c r="H36" s="0" t="n">
        <v>0.0984199769134646</v>
      </c>
      <c r="I36" s="0" t="n">
        <v>0.0685815850409333</v>
      </c>
      <c r="J36" s="0" t="n">
        <v>0.0448352762220441</v>
      </c>
      <c r="K36" s="0" t="n">
        <v>0.0262768220041078</v>
      </c>
      <c r="L36" s="0" t="n">
        <v>0.0141842274464042</v>
      </c>
      <c r="M36" s="0" t="n">
        <v>0.0693463088854221</v>
      </c>
    </row>
    <row r="37" customFormat="false" ht="12.75" hidden="false" customHeight="true" outlineLevel="0" collapsed="false">
      <c r="A37" s="5" t="n">
        <v>1945</v>
      </c>
      <c r="B37" s="0" t="n">
        <v>0.0526378918716708</v>
      </c>
      <c r="C37" s="0" t="n">
        <v>0.155982032005278</v>
      </c>
      <c r="D37" s="0" t="n">
        <v>0.142107654215625</v>
      </c>
      <c r="E37" s="0" t="n">
        <v>0.150173404484465</v>
      </c>
      <c r="F37" s="0" t="n">
        <v>0.142416570786362</v>
      </c>
      <c r="G37" s="0" t="n">
        <v>0.0587602405390488</v>
      </c>
      <c r="H37" s="0" t="n">
        <v>0.0251463226311092</v>
      </c>
      <c r="I37" s="0" t="n">
        <v>0.00999106757470571</v>
      </c>
      <c r="J37" s="0" t="n">
        <v>0.00592465723796421</v>
      </c>
      <c r="K37" s="0" t="n">
        <v>0.00467032237145408</v>
      </c>
      <c r="L37" s="0" t="n">
        <v>0.00311820368285991</v>
      </c>
      <c r="M37" s="0" t="n">
        <v>0.00300819897268308</v>
      </c>
    </row>
    <row r="38" customFormat="false" ht="12.75" hidden="false" customHeight="true" outlineLevel="0" collapsed="false">
      <c r="A38" s="5" t="n">
        <v>1946</v>
      </c>
      <c r="B38" s="0" t="n">
        <v>0.0846486835284589</v>
      </c>
      <c r="C38" s="0" t="n">
        <v>0.104044892165985</v>
      </c>
      <c r="D38" s="0" t="n">
        <v>0.315793091538332</v>
      </c>
      <c r="E38" s="0" t="n">
        <v>0.505410939900873</v>
      </c>
      <c r="F38" s="0" t="n">
        <v>0.143101854315995</v>
      </c>
      <c r="G38" s="0" t="n">
        <v>0.147729615828844</v>
      </c>
      <c r="H38" s="0" t="n">
        <v>0.0268884950064084</v>
      </c>
      <c r="I38" s="0" t="n">
        <v>0.0211272613162624</v>
      </c>
      <c r="J38" s="0" t="n">
        <v>0.0142998036486091</v>
      </c>
      <c r="K38" s="0" t="n">
        <v>0.00856534890259456</v>
      </c>
      <c r="L38" s="0" t="n">
        <v>0.00527519359317234</v>
      </c>
      <c r="M38" s="0" t="n">
        <v>0.00794046559318789</v>
      </c>
    </row>
    <row r="39" customFormat="false" ht="12.75" hidden="false" customHeight="true" outlineLevel="0" collapsed="false">
      <c r="A39" s="5" t="n">
        <v>1947</v>
      </c>
      <c r="B39" s="0" t="n">
        <v>0.0116729292674424</v>
      </c>
      <c r="C39" s="0" t="n">
        <v>0.171151464218455</v>
      </c>
      <c r="D39" s="0" t="n">
        <v>0.438729478166225</v>
      </c>
      <c r="E39" s="0" t="n">
        <v>0.715571032104034</v>
      </c>
      <c r="F39" s="0" t="n">
        <v>0.485880554178244</v>
      </c>
      <c r="G39" s="0" t="n">
        <v>0.116179157599924</v>
      </c>
      <c r="H39" s="0" t="n">
        <v>0.0660914847116093</v>
      </c>
      <c r="I39" s="0" t="n">
        <v>0.0418081905953677</v>
      </c>
      <c r="J39" s="0" t="n">
        <v>0.0276353441718134</v>
      </c>
      <c r="K39" s="0" t="n">
        <v>0.0160608386057285</v>
      </c>
      <c r="L39" s="0" t="n">
        <v>0.0367130110524013</v>
      </c>
      <c r="M39" s="0" t="n">
        <v>0.026209365519404</v>
      </c>
    </row>
    <row r="40" customFormat="false" ht="12.75" hidden="false" customHeight="true" outlineLevel="0" collapsed="false">
      <c r="A40" s="5" t="n">
        <v>1948</v>
      </c>
      <c r="B40" s="0" t="n">
        <v>0.0304126232667551</v>
      </c>
      <c r="C40" s="0" t="n">
        <v>0.057526787065705</v>
      </c>
      <c r="D40" s="0" t="n">
        <v>0.508940463398257</v>
      </c>
      <c r="E40" s="0" t="n">
        <v>0.329283035519127</v>
      </c>
      <c r="F40" s="0" t="n">
        <v>0.414152910363159</v>
      </c>
      <c r="G40" s="0" t="n">
        <v>0.224376757234518</v>
      </c>
      <c r="H40" s="0" t="n">
        <v>0.105389601572708</v>
      </c>
      <c r="I40" s="0" t="n">
        <v>0.0367032089658501</v>
      </c>
      <c r="J40" s="0" t="n">
        <v>0.0288155469620959</v>
      </c>
      <c r="K40" s="0" t="n">
        <v>0.0222965198011551</v>
      </c>
      <c r="L40" s="0" t="n">
        <v>0.00822118700370552</v>
      </c>
      <c r="M40" s="0" t="n">
        <v>0.00900918986928428</v>
      </c>
    </row>
    <row r="41" customFormat="false" ht="12.75" hidden="false" customHeight="true" outlineLevel="0" collapsed="false">
      <c r="A41" s="5" t="n">
        <v>1949</v>
      </c>
      <c r="B41" s="0" t="n">
        <v>0.00916071367408126</v>
      </c>
      <c r="C41" s="0" t="n">
        <v>0.0949252322879134</v>
      </c>
      <c r="D41" s="0" t="n">
        <v>0.7714838563002</v>
      </c>
      <c r="E41" s="0" t="n">
        <v>0.971146276835004</v>
      </c>
      <c r="F41" s="0" t="n">
        <v>1.54954443182426</v>
      </c>
      <c r="G41" s="0" t="n">
        <v>0.379946551328613</v>
      </c>
      <c r="H41" s="0" t="n">
        <v>0.150563223569036</v>
      </c>
      <c r="I41" s="0" t="n">
        <v>0.197652153028766</v>
      </c>
      <c r="J41" s="0" t="n">
        <v>0.076598616542495</v>
      </c>
      <c r="K41" s="0" t="n">
        <v>0.0507395898633132</v>
      </c>
      <c r="L41" s="0" t="n">
        <v>0.0490044667427392</v>
      </c>
      <c r="M41" s="0" t="n">
        <v>0.0174737070127322</v>
      </c>
    </row>
    <row r="42" customFormat="false" ht="12.75" hidden="false" customHeight="true" outlineLevel="0" collapsed="false">
      <c r="A42" s="5" t="n">
        <v>1950</v>
      </c>
      <c r="B42" s="0" t="n">
        <v>0.0296274404999196</v>
      </c>
      <c r="C42" s="0" t="n">
        <v>0.0838030924885648</v>
      </c>
      <c r="D42" s="0" t="n">
        <v>0.713918329490796</v>
      </c>
      <c r="E42" s="0" t="n">
        <v>1.47134749386243</v>
      </c>
      <c r="F42" s="0" t="n">
        <v>0.465203280157401</v>
      </c>
      <c r="G42" s="0" t="n">
        <v>0.186404140132118</v>
      </c>
      <c r="H42" s="0" t="n">
        <v>0.129528888174201</v>
      </c>
      <c r="I42" s="0" t="n">
        <v>0.0685441587595861</v>
      </c>
      <c r="J42" s="0" t="n">
        <v>0.0447197607089888</v>
      </c>
      <c r="K42" s="0" t="n">
        <v>0.0274359788027376</v>
      </c>
      <c r="L42" s="0" t="n">
        <v>0.0147772247275318</v>
      </c>
      <c r="M42" s="0" t="n">
        <v>0.027460400071405</v>
      </c>
    </row>
    <row r="43" customFormat="false" ht="12.75" hidden="false" customHeight="true" outlineLevel="0" collapsed="false">
      <c r="A43" s="5" t="n">
        <v>1951</v>
      </c>
      <c r="B43" s="0" t="n">
        <v>0.0160542485615026</v>
      </c>
      <c r="C43" s="0" t="n">
        <v>0.0132507514953641</v>
      </c>
      <c r="D43" s="0" t="n">
        <v>0.0541604458079281</v>
      </c>
      <c r="E43" s="0" t="n">
        <v>0.196551804796448</v>
      </c>
      <c r="F43" s="0" t="n">
        <v>0.118579724317184</v>
      </c>
      <c r="G43" s="0" t="n">
        <v>0.112241045661461</v>
      </c>
      <c r="H43" s="0" t="n">
        <v>0.00858694796622822</v>
      </c>
      <c r="I43" s="0" t="n">
        <v>0.00591218319045435</v>
      </c>
      <c r="J43" s="0" t="n">
        <v>0.00432484916247841</v>
      </c>
      <c r="K43" s="0" t="n">
        <v>0.00358190741483924</v>
      </c>
      <c r="L43" s="0" t="n">
        <v>0.00213647806684568</v>
      </c>
      <c r="M43" s="0" t="n">
        <v>0.0446680622947176</v>
      </c>
    </row>
    <row r="44" customFormat="false" ht="12.75" hidden="false" customHeight="true" outlineLevel="0" collapsed="false">
      <c r="A44" s="5" t="n">
        <v>1952</v>
      </c>
      <c r="B44" s="0" t="n">
        <v>0.0234035931179909</v>
      </c>
      <c r="C44" s="0" t="n">
        <v>0.123177158964015</v>
      </c>
      <c r="D44" s="0" t="n">
        <v>0.422941598687748</v>
      </c>
      <c r="E44" s="0" t="n">
        <v>0.613997250626537</v>
      </c>
      <c r="F44" s="0" t="n">
        <v>0.400776528816105</v>
      </c>
      <c r="G44" s="0" t="n">
        <v>0.0756855480710008</v>
      </c>
      <c r="H44" s="0" t="n">
        <v>0.043241668467666</v>
      </c>
      <c r="I44" s="0" t="n">
        <v>0.0332575370357567</v>
      </c>
      <c r="J44" s="0" t="n">
        <v>0.021697396685775</v>
      </c>
      <c r="K44" s="0" t="n">
        <v>0.0125348746764759</v>
      </c>
      <c r="L44" s="0" t="n">
        <v>0.00698728409199894</v>
      </c>
      <c r="M44" s="0" t="n">
        <v>0.0543480611764296</v>
      </c>
    </row>
    <row r="45" customFormat="false" ht="12.75" hidden="false" customHeight="true" outlineLevel="0" collapsed="false">
      <c r="A45" s="5" t="n">
        <v>1953</v>
      </c>
      <c r="B45" s="0" t="n">
        <v>0.0117121686653713</v>
      </c>
      <c r="C45" s="0" t="n">
        <v>0.0710237286535245</v>
      </c>
      <c r="D45" s="0" t="n">
        <v>0.15680237812781</v>
      </c>
      <c r="E45" s="0" t="n">
        <v>0.504213719754918</v>
      </c>
      <c r="F45" s="0" t="n">
        <v>0.332993254482802</v>
      </c>
      <c r="G45" s="0" t="n">
        <v>0.152727099944729</v>
      </c>
      <c r="H45" s="0" t="n">
        <v>0.0305939337401408</v>
      </c>
      <c r="I45" s="0" t="n">
        <v>0.0248001342032274</v>
      </c>
      <c r="J45" s="0" t="n">
        <v>0.0167123033929581</v>
      </c>
      <c r="K45" s="0" t="n">
        <v>0.0101010613709495</v>
      </c>
      <c r="L45" s="0" t="n">
        <v>0.00587521353112203</v>
      </c>
      <c r="M45" s="0" t="n">
        <v>0.00357000580473912</v>
      </c>
    </row>
    <row r="46" customFormat="false" ht="12.75" hidden="false" customHeight="true" outlineLevel="0" collapsed="false">
      <c r="A46" s="5" t="n">
        <v>1954</v>
      </c>
      <c r="B46" s="0" t="n">
        <v>0.00704816070617089</v>
      </c>
      <c r="C46" s="0" t="n">
        <v>0.139200605861387</v>
      </c>
      <c r="D46" s="0" t="n">
        <v>0.270514950934543</v>
      </c>
      <c r="E46" s="0" t="n">
        <v>0.249660195076825</v>
      </c>
      <c r="F46" s="0" t="n">
        <v>0.342911197659511</v>
      </c>
      <c r="G46" s="0" t="n">
        <v>0.166734321894785</v>
      </c>
      <c r="H46" s="0" t="n">
        <v>0.0398148118695265</v>
      </c>
      <c r="I46" s="0" t="n">
        <v>0.0223114070731374</v>
      </c>
      <c r="J46" s="0" t="n">
        <v>0.0147543564801546</v>
      </c>
      <c r="K46" s="0" t="n">
        <v>0.0088006839180079</v>
      </c>
      <c r="L46" s="0" t="n">
        <v>0.00772001721513817</v>
      </c>
      <c r="M46" s="0" t="n">
        <v>0.00852522655114372</v>
      </c>
    </row>
    <row r="47" customFormat="false" ht="12.75" hidden="false" customHeight="true" outlineLevel="0" collapsed="false">
      <c r="A47" s="5" t="n">
        <v>1955</v>
      </c>
      <c r="B47" s="0" t="n">
        <v>0.0465647425682544</v>
      </c>
      <c r="C47" s="0" t="n">
        <v>0.0718597615043906</v>
      </c>
      <c r="D47" s="0" t="n">
        <v>0.289616799382304</v>
      </c>
      <c r="E47" s="0" t="n">
        <v>0.851262693738049</v>
      </c>
      <c r="F47" s="0" t="n">
        <v>0.737538337636074</v>
      </c>
      <c r="G47" s="0" t="n">
        <v>0.113329670571096</v>
      </c>
      <c r="H47" s="0" t="n">
        <v>0.0820409724056519</v>
      </c>
      <c r="I47" s="0" t="n">
        <v>0.0588132659933187</v>
      </c>
      <c r="J47" s="0" t="n">
        <v>0.0356549834217831</v>
      </c>
      <c r="K47" s="0" t="n">
        <v>0.0260766437685508</v>
      </c>
      <c r="L47" s="0" t="n">
        <v>0.0139687421622789</v>
      </c>
      <c r="M47" s="0" t="n">
        <v>0.0410868624178312</v>
      </c>
    </row>
    <row r="48" customFormat="false" ht="12.75" hidden="false" customHeight="true" outlineLevel="0" collapsed="false">
      <c r="A48" s="5" t="n">
        <v>1956</v>
      </c>
      <c r="B48" s="0" t="n">
        <v>0.0250574343492362</v>
      </c>
      <c r="C48" s="0" t="n">
        <v>0.0916071384497764</v>
      </c>
      <c r="D48" s="0" t="n">
        <v>0.338864225705887</v>
      </c>
      <c r="E48" s="0" t="n">
        <v>0.630842766429643</v>
      </c>
      <c r="F48" s="0" t="n">
        <v>0.276106508552033</v>
      </c>
      <c r="G48" s="0" t="n">
        <v>0.108581383126288</v>
      </c>
      <c r="H48" s="0" t="n">
        <v>0.0573881725346372</v>
      </c>
      <c r="I48" s="0" t="n">
        <v>0.039702210333873</v>
      </c>
      <c r="J48" s="0" t="n">
        <v>0.0192505235697519</v>
      </c>
      <c r="K48" s="0" t="n">
        <v>0.0159853673141132</v>
      </c>
      <c r="L48" s="0" t="n">
        <v>0.00667509220987159</v>
      </c>
      <c r="M48" s="0" t="n">
        <v>0.00587070704929583</v>
      </c>
    </row>
    <row r="49" customFormat="false" ht="12.75" hidden="false" customHeight="true" outlineLevel="0" collapsed="false">
      <c r="A49" s="5" t="n">
        <v>1957</v>
      </c>
      <c r="B49" s="0" t="n">
        <v>0.0368314249485555</v>
      </c>
      <c r="C49" s="0" t="n">
        <v>0.0316990920809723</v>
      </c>
      <c r="D49" s="0" t="n">
        <v>0.729782784248086</v>
      </c>
      <c r="E49" s="0" t="n">
        <v>1.28373483433778</v>
      </c>
      <c r="F49" s="0" t="n">
        <v>0.722334457054535</v>
      </c>
      <c r="G49" s="0" t="n">
        <v>0.180562352753983</v>
      </c>
      <c r="H49" s="0" t="n">
        <v>0.103944862928536</v>
      </c>
      <c r="I49" s="0" t="n">
        <v>0.0805263061457537</v>
      </c>
      <c r="J49" s="0" t="n">
        <v>0.0487856885151845</v>
      </c>
      <c r="K49" s="0" t="n">
        <v>0.0282012389627744</v>
      </c>
      <c r="L49" s="0" t="n">
        <v>0.0183095802693061</v>
      </c>
      <c r="M49" s="0" t="n">
        <v>0.0101564155185476</v>
      </c>
    </row>
    <row r="50" customFormat="false" ht="12.75" hidden="false" customHeight="true" outlineLevel="0" collapsed="false">
      <c r="A50" s="5" t="n">
        <v>1958</v>
      </c>
      <c r="B50" s="0" t="n">
        <v>0.0348851037949811</v>
      </c>
      <c r="C50" s="0" t="n">
        <v>0.0125866333605099</v>
      </c>
      <c r="D50" s="0" t="n">
        <v>0.054264112586034</v>
      </c>
      <c r="E50" s="0" t="n">
        <v>0.0457917991331851</v>
      </c>
      <c r="F50" s="0" t="n">
        <v>0.117569036060076</v>
      </c>
      <c r="G50" s="0" t="n">
        <v>0.0460655260665886</v>
      </c>
      <c r="H50" s="0" t="n">
        <v>0.00930232877062111</v>
      </c>
      <c r="I50" s="0" t="n">
        <v>0.00255453964877297</v>
      </c>
      <c r="J50" s="0" t="n">
        <v>0.00172866984036659</v>
      </c>
      <c r="K50" s="0" t="n">
        <v>0.00135866133453757</v>
      </c>
      <c r="L50" s="0" t="n">
        <v>0.000625573430797562</v>
      </c>
      <c r="M50" s="0" t="n">
        <v>0.00167028675775027</v>
      </c>
    </row>
    <row r="51" customFormat="false" ht="12.75" hidden="false" customHeight="true" outlineLevel="0" collapsed="false">
      <c r="A51" s="5" t="n">
        <v>1959</v>
      </c>
      <c r="B51" s="0" t="n">
        <v>0.0711902481751102</v>
      </c>
      <c r="C51" s="0" t="n">
        <v>0.286968175431795</v>
      </c>
      <c r="D51" s="0" t="n">
        <v>1.07112666153277</v>
      </c>
      <c r="E51" s="0" t="n">
        <v>0.455837503024827</v>
      </c>
      <c r="F51" s="0" t="n">
        <v>1.00332694001585</v>
      </c>
      <c r="G51" s="0" t="n">
        <v>0.510961115280504</v>
      </c>
      <c r="H51" s="0" t="n">
        <v>0.12543738680514</v>
      </c>
      <c r="I51" s="0" t="n">
        <v>0.113440929828527</v>
      </c>
      <c r="J51" s="0" t="n">
        <v>0.06009942308777</v>
      </c>
      <c r="K51" s="0" t="n">
        <v>0.035901785942145</v>
      </c>
      <c r="L51" s="0" t="n">
        <v>0.0210470511063853</v>
      </c>
      <c r="M51" s="0" t="n">
        <v>0.0265305494533114</v>
      </c>
    </row>
    <row r="52" customFormat="false" ht="12.75" hidden="false" customHeight="true" outlineLevel="0" collapsed="false">
      <c r="A52" s="5" t="n">
        <v>1960</v>
      </c>
      <c r="B52" s="0" t="n">
        <v>0.0316498734831071</v>
      </c>
      <c r="C52" s="0" t="n">
        <v>0.038101799447802</v>
      </c>
      <c r="D52" s="0" t="n">
        <v>0.824707925110097</v>
      </c>
      <c r="E52" s="0" t="n">
        <v>0.729104444423878</v>
      </c>
      <c r="F52" s="0" t="n">
        <v>0.207549768190901</v>
      </c>
      <c r="G52" s="0" t="n">
        <v>0.230683159931877</v>
      </c>
      <c r="H52" s="0" t="n">
        <v>0.118864892949647</v>
      </c>
      <c r="I52" s="0" t="n">
        <v>0.0423352227326971</v>
      </c>
      <c r="J52" s="0" t="n">
        <v>0.0301610842915771</v>
      </c>
      <c r="K52" s="0" t="n">
        <v>0.0197158936977425</v>
      </c>
      <c r="L52" s="0" t="n">
        <v>0.00933808290639121</v>
      </c>
      <c r="M52" s="0" t="n">
        <v>0.0140699115912518</v>
      </c>
    </row>
    <row r="53" customFormat="false" ht="12.75" hidden="false" customHeight="true" outlineLevel="0" collapsed="false">
      <c r="A53" s="5" t="n">
        <v>1961</v>
      </c>
      <c r="B53" s="0" t="n">
        <v>0.0829133399813555</v>
      </c>
      <c r="C53" s="0" t="n">
        <v>0.76180122424266</v>
      </c>
      <c r="D53" s="0" t="n">
        <v>2.14670699458145</v>
      </c>
      <c r="E53" s="0" t="n">
        <v>1.9105388524039</v>
      </c>
      <c r="F53" s="0" t="n">
        <v>1.15483362117524</v>
      </c>
      <c r="G53" s="0" t="n">
        <v>0.403956908684475</v>
      </c>
      <c r="H53" s="0" t="n">
        <v>0.277849255158335</v>
      </c>
      <c r="I53" s="0" t="n">
        <v>0.151863602431354</v>
      </c>
      <c r="J53" s="0" t="n">
        <v>0.0964082534707852</v>
      </c>
      <c r="K53" s="0" t="n">
        <v>0.0599409262041709</v>
      </c>
      <c r="L53" s="0" t="n">
        <v>0.0338864909463295</v>
      </c>
      <c r="M53" s="0" t="n">
        <v>0.0249768593724361</v>
      </c>
    </row>
    <row r="54" customFormat="false" ht="12.75" hidden="false" customHeight="true" outlineLevel="0" collapsed="false">
      <c r="A54" s="5" t="n">
        <v>1962</v>
      </c>
      <c r="B54" s="0" t="n">
        <v>0.123424996124399</v>
      </c>
      <c r="C54" s="0" t="n">
        <v>0.298405105254328</v>
      </c>
      <c r="D54" s="0" t="n">
        <v>0.858798216038001</v>
      </c>
      <c r="E54" s="0" t="n">
        <v>1.23155630496624</v>
      </c>
      <c r="F54" s="0" t="n">
        <v>0.397275329163964</v>
      </c>
      <c r="G54" s="0" t="n">
        <v>0.191939774121166</v>
      </c>
      <c r="H54" s="0" t="n">
        <v>0.149742203282004</v>
      </c>
      <c r="I54" s="0" t="n">
        <v>0.0708608888509615</v>
      </c>
      <c r="J54" s="0" t="n">
        <v>0.0652673079967941</v>
      </c>
      <c r="K54" s="0" t="n">
        <v>0.0261259352834887</v>
      </c>
      <c r="L54" s="0" t="n">
        <v>0.017340215300935</v>
      </c>
      <c r="M54" s="0" t="n">
        <v>0.0221746722255875</v>
      </c>
    </row>
    <row r="55" customFormat="false" ht="12.75" hidden="false" customHeight="true" outlineLevel="0" collapsed="false">
      <c r="A55" s="5" t="n">
        <v>1963</v>
      </c>
      <c r="B55" s="0" t="n">
        <v>0.224856179985015</v>
      </c>
      <c r="C55" s="0" t="n">
        <v>0.512424896008325</v>
      </c>
      <c r="D55" s="0" t="n">
        <v>2.32858092976778</v>
      </c>
      <c r="E55" s="0" t="n">
        <v>1.98274091968164</v>
      </c>
      <c r="F55" s="0" t="n">
        <v>0.631055173057352</v>
      </c>
      <c r="G55" s="0" t="n">
        <v>0.25346280338397</v>
      </c>
      <c r="H55" s="0" t="n">
        <v>0.238813979821592</v>
      </c>
      <c r="I55" s="0" t="n">
        <v>0.12309613556245</v>
      </c>
      <c r="J55" s="0" t="n">
        <v>0.0752457197449685</v>
      </c>
      <c r="K55" s="0" t="n">
        <v>0.043020749900403</v>
      </c>
      <c r="L55" s="0" t="n">
        <v>0.085788528238109</v>
      </c>
      <c r="M55" s="0" t="n">
        <v>0.131235451223914</v>
      </c>
    </row>
    <row r="56" customFormat="false" ht="12.75" hidden="false" customHeight="true" outlineLevel="0" collapsed="false">
      <c r="A56" s="5" t="n">
        <v>1964</v>
      </c>
      <c r="B56" s="0" t="n">
        <v>0.499814998106296</v>
      </c>
      <c r="C56" s="0" t="n">
        <v>1.69857726725273</v>
      </c>
      <c r="D56" s="0" t="n">
        <v>1.42054507026773</v>
      </c>
      <c r="E56" s="0" t="n">
        <v>4.17007191730024</v>
      </c>
      <c r="F56" s="0" t="n">
        <v>1.72820293823399</v>
      </c>
      <c r="G56" s="0" t="n">
        <v>0.862738654277526</v>
      </c>
      <c r="H56" s="0" t="n">
        <v>0.534781605885237</v>
      </c>
      <c r="I56" s="0" t="n">
        <v>0.278316510964939</v>
      </c>
      <c r="J56" s="0" t="n">
        <v>0.179679198073036</v>
      </c>
      <c r="K56" s="0" t="n">
        <v>0.111188444892067</v>
      </c>
      <c r="L56" s="0" t="n">
        <v>0.0511331854848225</v>
      </c>
      <c r="M56" s="0" t="n">
        <v>0.0393500491466451</v>
      </c>
    </row>
    <row r="57" customFormat="false" ht="12.75" hidden="false" customHeight="true" outlineLevel="0" collapsed="false">
      <c r="A57" s="5" t="n">
        <v>1965</v>
      </c>
      <c r="B57" s="0" t="n">
        <v>0.143700112844597</v>
      </c>
      <c r="C57" s="0" t="n">
        <v>0.0827669332265921</v>
      </c>
      <c r="D57" s="0" t="n">
        <v>0.73090673347148</v>
      </c>
      <c r="E57" s="0" t="n">
        <v>1.90145886542804</v>
      </c>
      <c r="F57" s="0" t="n">
        <v>1.37119779041882</v>
      </c>
      <c r="G57" s="0" t="n">
        <v>1.03465437526153</v>
      </c>
      <c r="H57" s="0" t="n">
        <v>0.293480468712111</v>
      </c>
      <c r="I57" s="0" t="n">
        <v>0.165873412600512</v>
      </c>
      <c r="J57" s="0" t="n">
        <v>0.116803084586381</v>
      </c>
      <c r="K57" s="0" t="n">
        <v>0.0871446321111688</v>
      </c>
      <c r="L57" s="0" t="n">
        <v>0.038299622199712</v>
      </c>
      <c r="M57" s="0" t="n">
        <v>0.0261052653394228</v>
      </c>
    </row>
    <row r="58" customFormat="false" ht="12.75" hidden="false" customHeight="true" outlineLevel="0" collapsed="false">
      <c r="A58" s="5" t="n">
        <v>1966</v>
      </c>
      <c r="B58" s="0" t="n">
        <v>0.0235976673774744</v>
      </c>
      <c r="C58" s="0" t="n">
        <v>0.231614318663884</v>
      </c>
      <c r="D58" s="0" t="n">
        <v>0.289700949559903</v>
      </c>
      <c r="E58" s="0" t="n">
        <v>0.446422076692785</v>
      </c>
      <c r="F58" s="0" t="n">
        <v>0.707832830975504</v>
      </c>
      <c r="G58" s="0" t="n">
        <v>0.176554612185863</v>
      </c>
      <c r="H58" s="0" t="n">
        <v>0.19009636899677</v>
      </c>
      <c r="I58" s="0" t="n">
        <v>0.0580773222942221</v>
      </c>
      <c r="J58" s="0" t="n">
        <v>0.0577115129866068</v>
      </c>
      <c r="K58" s="0" t="n">
        <v>0.0213799794744436</v>
      </c>
      <c r="L58" s="0" t="n">
        <v>0.0221229027230675</v>
      </c>
      <c r="M58" s="0" t="n">
        <v>0.0200901911358194</v>
      </c>
    </row>
    <row r="59" customFormat="false" ht="12.75" hidden="false" customHeight="true" outlineLevel="0" collapsed="false">
      <c r="A59" s="5" t="n">
        <v>1967</v>
      </c>
      <c r="B59" s="0" t="n">
        <v>0.047613876368045</v>
      </c>
      <c r="C59" s="0" t="n">
        <v>0.515837968233758</v>
      </c>
      <c r="D59" s="0" t="n">
        <v>1.3639305818863</v>
      </c>
      <c r="E59" s="0" t="n">
        <v>1.54103105364838</v>
      </c>
      <c r="F59" s="0" t="n">
        <v>1.97217435465754</v>
      </c>
      <c r="G59" s="0" t="n">
        <v>0.399897596125074</v>
      </c>
      <c r="H59" s="0" t="n">
        <v>0.266323690368067</v>
      </c>
      <c r="I59" s="0" t="n">
        <v>0.179260567180929</v>
      </c>
      <c r="J59" s="0" t="n">
        <v>0.125097004436155</v>
      </c>
      <c r="K59" s="0" t="n">
        <v>0.0673832582091211</v>
      </c>
      <c r="L59" s="0" t="n">
        <v>0.0335415918180197</v>
      </c>
      <c r="M59" s="0" t="n">
        <v>0.0444293364584888</v>
      </c>
    </row>
    <row r="60" customFormat="false" ht="12.75" hidden="false" customHeight="true" outlineLevel="0" collapsed="false">
      <c r="A60" s="5" t="n">
        <v>1968</v>
      </c>
      <c r="B60" s="0" t="n">
        <v>0.0790936484262371</v>
      </c>
      <c r="C60" s="0" t="n">
        <v>0.149843243977432</v>
      </c>
      <c r="D60" s="0" t="n">
        <v>1.12310675701961</v>
      </c>
      <c r="E60" s="0" t="n">
        <v>1.5658807203249</v>
      </c>
      <c r="F60" s="0" t="n">
        <v>1.71399796522584</v>
      </c>
      <c r="G60" s="0" t="n">
        <v>0.288639153259489</v>
      </c>
      <c r="H60" s="0" t="n">
        <v>0.347737917134189</v>
      </c>
      <c r="I60" s="0" t="n">
        <v>0.144031775086447</v>
      </c>
      <c r="J60" s="0" t="n">
        <v>0.0977413984921721</v>
      </c>
      <c r="K60" s="0" t="n">
        <v>0.0641748621366244</v>
      </c>
      <c r="L60" s="0" t="n">
        <v>0.0311788919470115</v>
      </c>
      <c r="M60" s="0" t="n">
        <v>0.0784803291033142</v>
      </c>
    </row>
    <row r="61" customFormat="false" ht="12.75" hidden="false" customHeight="true" outlineLevel="0" collapsed="false">
      <c r="A61" s="5" t="n">
        <v>1969</v>
      </c>
      <c r="B61" s="0" t="n">
        <v>0.0914459505281228</v>
      </c>
      <c r="C61" s="0" t="n">
        <v>0.268956683422641</v>
      </c>
      <c r="D61" s="0" t="n">
        <v>0.88490302764632</v>
      </c>
      <c r="E61" s="0" t="n">
        <v>1.50100716408704</v>
      </c>
      <c r="F61" s="0" t="n">
        <v>0.891546676813735</v>
      </c>
      <c r="G61" s="0" t="n">
        <v>0.48136703456942</v>
      </c>
      <c r="H61" s="0" t="n">
        <v>0.477433086608286</v>
      </c>
      <c r="I61" s="0" t="n">
        <v>0.170819963374205</v>
      </c>
      <c r="J61" s="0" t="n">
        <v>0.0975479026191366</v>
      </c>
      <c r="K61" s="0" t="n">
        <v>0.0552901169224138</v>
      </c>
      <c r="L61" s="0" t="n">
        <v>0.0310280690308902</v>
      </c>
      <c r="M61" s="0" t="n">
        <v>0.0181005450928425</v>
      </c>
    </row>
    <row r="62" customFormat="false" ht="12.75" hidden="false" customHeight="true" outlineLevel="0" collapsed="false">
      <c r="A62" s="5" t="n">
        <v>1970</v>
      </c>
      <c r="B62" s="0" t="n">
        <v>0.109862919162651</v>
      </c>
      <c r="C62" s="0" t="n">
        <v>0.0599709919299225</v>
      </c>
      <c r="D62" s="0" t="n">
        <v>0.869787729023726</v>
      </c>
      <c r="E62" s="0" t="n">
        <v>1.35459334606191</v>
      </c>
      <c r="F62" s="0" t="n">
        <v>0.204065084369507</v>
      </c>
      <c r="G62" s="0" t="n">
        <v>0.248751051603597</v>
      </c>
      <c r="H62" s="0" t="n">
        <v>0.0969033511500753</v>
      </c>
      <c r="I62" s="0" t="n">
        <v>0.0665439926652198</v>
      </c>
      <c r="J62" s="0" t="n">
        <v>0.039699908787116</v>
      </c>
      <c r="K62" s="0" t="n">
        <v>0.0226918155990482</v>
      </c>
      <c r="L62" s="0" t="n">
        <v>0.0178272277200003</v>
      </c>
      <c r="M62" s="0" t="n">
        <v>0.0116810990252602</v>
      </c>
    </row>
    <row r="63" customFormat="false" ht="12.75" hidden="false" customHeight="true" outlineLevel="0" collapsed="false">
      <c r="A63" s="5" t="n">
        <v>1971</v>
      </c>
      <c r="B63" s="0" t="n">
        <v>0.0666610520564764</v>
      </c>
      <c r="C63" s="0" t="n">
        <v>0.177746127437869</v>
      </c>
      <c r="D63" s="0" t="n">
        <v>0.789866229085953</v>
      </c>
      <c r="E63" s="0" t="n">
        <v>1.73872513310602</v>
      </c>
      <c r="F63" s="0" t="n">
        <v>1.12069580590244</v>
      </c>
      <c r="G63" s="0" t="n">
        <v>0.719081523258115</v>
      </c>
      <c r="H63" s="0" t="n">
        <v>0.58117333112801</v>
      </c>
      <c r="I63" s="0" t="n">
        <v>0.173737855730645</v>
      </c>
      <c r="J63" s="0" t="n">
        <v>0.111450268140345</v>
      </c>
      <c r="K63" s="0" t="n">
        <v>0.0984910292580604</v>
      </c>
      <c r="L63" s="0" t="n">
        <v>0.0400834521247149</v>
      </c>
      <c r="M63" s="0" t="n">
        <v>0.0421679857325105</v>
      </c>
    </row>
    <row r="64" customFormat="false" ht="12.75" hidden="false" customHeight="true" outlineLevel="0" collapsed="false">
      <c r="A64" s="5" t="n">
        <v>1972</v>
      </c>
      <c r="B64" s="0" t="n">
        <v>0.0635069485526125</v>
      </c>
      <c r="C64" s="0" t="n">
        <v>0.132268031769314</v>
      </c>
      <c r="D64" s="0" t="n">
        <v>0.424130578460806</v>
      </c>
      <c r="E64" s="0" t="n">
        <v>0.860387431949214</v>
      </c>
      <c r="F64" s="0" t="n">
        <v>0.665319482257252</v>
      </c>
      <c r="G64" s="0" t="n">
        <v>0.337814673671271</v>
      </c>
      <c r="H64" s="0" t="n">
        <v>0.356416406314505</v>
      </c>
      <c r="I64" s="0" t="n">
        <v>0.171757122669465</v>
      </c>
      <c r="J64" s="0" t="n">
        <v>0.0552285531839879</v>
      </c>
      <c r="K64" s="0" t="n">
        <v>0.0361303663716968</v>
      </c>
      <c r="L64" s="0" t="n">
        <v>0.0204618470266439</v>
      </c>
      <c r="M64" s="0" t="n">
        <v>0.0553698826691718</v>
      </c>
    </row>
    <row r="65" customFormat="false" ht="12.75" hidden="false" customHeight="true" outlineLevel="0" collapsed="false">
      <c r="A65" s="5" t="n">
        <v>1973</v>
      </c>
      <c r="B65" s="0" t="n">
        <v>0.290425570511482</v>
      </c>
      <c r="C65" s="0" t="n">
        <v>0.714526972082361</v>
      </c>
      <c r="D65" s="0" t="n">
        <v>1.99799875510041</v>
      </c>
      <c r="E65" s="0" t="n">
        <v>3.31665367877505</v>
      </c>
      <c r="F65" s="0" t="n">
        <v>1.39579427810665</v>
      </c>
      <c r="G65" s="0" t="n">
        <v>0.896236498475129</v>
      </c>
      <c r="H65" s="0" t="n">
        <v>0.762593908162818</v>
      </c>
      <c r="I65" s="0" t="n">
        <v>0.294588966814402</v>
      </c>
      <c r="J65" s="0" t="n">
        <v>0.197153450999227</v>
      </c>
      <c r="K65" s="0" t="n">
        <v>0.0974753088541828</v>
      </c>
      <c r="L65" s="0" t="n">
        <v>0.0563927120647228</v>
      </c>
      <c r="M65" s="0" t="n">
        <v>0.0649691980437954</v>
      </c>
    </row>
    <row r="66" customFormat="false" ht="12.75" hidden="false" customHeight="true" outlineLevel="0" collapsed="false">
      <c r="A66" s="5" t="n">
        <v>1974</v>
      </c>
      <c r="B66" s="0" t="n">
        <v>0.553340614621767</v>
      </c>
      <c r="C66" s="0" t="n">
        <v>0.832684379332089</v>
      </c>
      <c r="D66" s="0" t="n">
        <v>2.78440695284431</v>
      </c>
      <c r="E66" s="0" t="n">
        <v>3.84053831650826</v>
      </c>
      <c r="F66" s="0" t="n">
        <v>2.95711073812007</v>
      </c>
      <c r="G66" s="0" t="n">
        <v>1.07758716441144</v>
      </c>
      <c r="H66" s="0" t="n">
        <v>0.434421435359337</v>
      </c>
      <c r="I66" s="0" t="n">
        <v>0.290119741107901</v>
      </c>
      <c r="J66" s="0" t="n">
        <v>0.225521501744873</v>
      </c>
      <c r="K66" s="0" t="n">
        <v>0.122419235236621</v>
      </c>
      <c r="L66" s="0" t="n">
        <v>0.0624288104181258</v>
      </c>
      <c r="M66" s="0" t="n">
        <v>0.14614228797806</v>
      </c>
    </row>
    <row r="67" customFormat="false" ht="12.75" hidden="false" customHeight="true" outlineLevel="0" collapsed="false">
      <c r="A67" s="5" t="n">
        <v>1975</v>
      </c>
      <c r="B67" s="0" t="n">
        <v>0.126955146742919</v>
      </c>
      <c r="C67" s="0" t="n">
        <v>0.52006687788955</v>
      </c>
      <c r="D67" s="0" t="n">
        <v>1.37041140986459</v>
      </c>
      <c r="E67" s="0" t="n">
        <v>1.19564451766565</v>
      </c>
      <c r="F67" s="0" t="n">
        <v>1.95776038810969</v>
      </c>
      <c r="G67" s="0" t="n">
        <v>0.419379569472875</v>
      </c>
      <c r="H67" s="0" t="n">
        <v>0.646140083805429</v>
      </c>
      <c r="I67" s="0" t="n">
        <v>0.190070920255831</v>
      </c>
      <c r="J67" s="0" t="n">
        <v>0.174722275896681</v>
      </c>
      <c r="K67" s="0" t="n">
        <v>0.0825347633583387</v>
      </c>
      <c r="L67" s="0" t="n">
        <v>0.0476208549092459</v>
      </c>
      <c r="M67" s="0" t="n">
        <v>0.131103694270933</v>
      </c>
    </row>
    <row r="68" customFormat="false" ht="12.75" hidden="false" customHeight="true" outlineLevel="0" collapsed="false">
      <c r="A68" s="5" t="n">
        <v>1976</v>
      </c>
      <c r="B68" s="0" t="n">
        <v>0.0804765762357199</v>
      </c>
      <c r="C68" s="0" t="n">
        <v>0.730539623556135</v>
      </c>
      <c r="D68" s="0" t="n">
        <v>1.06309236820196</v>
      </c>
      <c r="E68" s="0" t="n">
        <v>1.07427506739142</v>
      </c>
      <c r="F68" s="0" t="n">
        <v>0.215923446417996</v>
      </c>
      <c r="G68" s="0" t="n">
        <v>0.243966532779538</v>
      </c>
      <c r="H68" s="0" t="n">
        <v>0.126956417666058</v>
      </c>
      <c r="I68" s="0" t="n">
        <v>0.09246855934062</v>
      </c>
      <c r="J68" s="0" t="n">
        <v>0.0421757906742446</v>
      </c>
      <c r="K68" s="0" t="n">
        <v>0.0420511484475061</v>
      </c>
      <c r="L68" s="0" t="n">
        <v>0.0296249060585176</v>
      </c>
      <c r="M68" s="0" t="n">
        <v>0.00833385208982042</v>
      </c>
    </row>
    <row r="69" customFormat="false" ht="12.75" hidden="false" customHeight="true" outlineLevel="0" collapsed="false">
      <c r="A69" s="5" t="n">
        <v>1977</v>
      </c>
      <c r="B69" s="0" t="n">
        <v>0.17230239026342</v>
      </c>
      <c r="C69" s="0" t="n">
        <v>0.491199322102397</v>
      </c>
      <c r="D69" s="0" t="n">
        <v>1.07535284864003</v>
      </c>
      <c r="E69" s="0" t="n">
        <v>1.32004571965862</v>
      </c>
      <c r="F69" s="0" t="n">
        <v>1.02265065617194</v>
      </c>
      <c r="G69" s="0" t="n">
        <v>0.774888167504501</v>
      </c>
      <c r="H69" s="0" t="n">
        <v>0.750284365703513</v>
      </c>
      <c r="I69" s="0" t="n">
        <v>0.177956649427882</v>
      </c>
      <c r="J69" s="0" t="n">
        <v>0.114640251301847</v>
      </c>
      <c r="K69" s="0" t="n">
        <v>0.072294336003248</v>
      </c>
      <c r="L69" s="0" t="n">
        <v>0.0413434399707345</v>
      </c>
      <c r="M69" s="0" t="n">
        <v>0.0273631967880695</v>
      </c>
    </row>
    <row r="70" customFormat="false" ht="12.75" hidden="false" customHeight="true" outlineLevel="0" collapsed="false">
      <c r="A70" s="5" t="n">
        <v>1978</v>
      </c>
      <c r="B70" s="0" t="n">
        <v>0.0402485649495005</v>
      </c>
      <c r="C70" s="0" t="n">
        <v>0.155337149243118</v>
      </c>
      <c r="D70" s="0" t="n">
        <v>0.482372260778576</v>
      </c>
      <c r="E70" s="0" t="n">
        <v>0.811524584199236</v>
      </c>
      <c r="F70" s="0" t="n">
        <v>0.690108065989557</v>
      </c>
      <c r="G70" s="0" t="n">
        <v>0.233994572527225</v>
      </c>
      <c r="H70" s="0" t="n">
        <v>0.316152316159449</v>
      </c>
      <c r="I70" s="0" t="n">
        <v>0.0791180901047403</v>
      </c>
      <c r="J70" s="0" t="n">
        <v>0.0557047877906512</v>
      </c>
      <c r="K70" s="0" t="n">
        <v>0.0336094445682541</v>
      </c>
      <c r="L70" s="0" t="n">
        <v>0.0191898261285962</v>
      </c>
      <c r="M70" s="0" t="n">
        <v>0.0280413371693571</v>
      </c>
    </row>
    <row r="71" customFormat="false" ht="12.75" hidden="false" customHeight="true" outlineLevel="0" collapsed="false">
      <c r="A71" s="5" t="n">
        <v>1979</v>
      </c>
      <c r="B71" s="0" t="n">
        <v>0.0416083386848825</v>
      </c>
      <c r="C71" s="0" t="n">
        <v>0.0746476246913848</v>
      </c>
      <c r="D71" s="0" t="n">
        <v>0.167435786913709</v>
      </c>
      <c r="E71" s="0" t="n">
        <v>0.250932789525478</v>
      </c>
      <c r="F71" s="0" t="n">
        <v>0.334353937063635</v>
      </c>
      <c r="G71" s="0" t="n">
        <v>0.145093032144317</v>
      </c>
      <c r="H71" s="0" t="n">
        <v>0.0202398284286393</v>
      </c>
      <c r="I71" s="0" t="n">
        <v>0.0215031041630699</v>
      </c>
      <c r="J71" s="0" t="n">
        <v>0.0235403494099575</v>
      </c>
      <c r="K71" s="0" t="n">
        <v>0.00762785739090785</v>
      </c>
      <c r="L71" s="0" t="n">
        <v>0.00530966574563037</v>
      </c>
      <c r="M71" s="0" t="n">
        <v>0.0184334783734539</v>
      </c>
    </row>
    <row r="72" customFormat="false" ht="12.75" hidden="false" customHeight="true" outlineLevel="0" collapsed="false">
      <c r="A72" s="5" t="n">
        <v>1980</v>
      </c>
      <c r="B72" s="0" t="n">
        <v>0.0929685281678577</v>
      </c>
      <c r="C72" s="0" t="n">
        <v>0.45299326734344</v>
      </c>
      <c r="D72" s="0" t="n">
        <v>0.629125927853891</v>
      </c>
      <c r="E72" s="0" t="n">
        <v>0.323296031304296</v>
      </c>
      <c r="F72" s="0" t="n">
        <v>0.197018891061169</v>
      </c>
      <c r="G72" s="0" t="n">
        <v>0.190265877367942</v>
      </c>
      <c r="H72" s="0" t="n">
        <v>0.0678450897767742</v>
      </c>
      <c r="I72" s="0" t="n">
        <v>0.0300801983232117</v>
      </c>
      <c r="J72" s="0" t="n">
        <v>0.0357733900179848</v>
      </c>
      <c r="K72" s="0" t="n">
        <v>0.0154556173281688</v>
      </c>
      <c r="L72" s="0" t="n">
        <v>0.00849559088586699</v>
      </c>
      <c r="M72" s="0" t="n">
        <v>0.00833042747203986</v>
      </c>
    </row>
    <row r="73" customFormat="false" ht="12.75" hidden="false" customHeight="true" outlineLevel="0" collapsed="false">
      <c r="A73" s="5" t="n">
        <v>1981</v>
      </c>
      <c r="B73" s="0" t="n">
        <v>0.0373736654198907</v>
      </c>
      <c r="C73" s="0" t="n">
        <v>0.0654273129413992</v>
      </c>
      <c r="D73" s="0" t="n">
        <v>1.14431587823378</v>
      </c>
      <c r="E73" s="0" t="n">
        <v>0.48646155613153</v>
      </c>
      <c r="F73" s="0" t="n">
        <v>0.26114131318683</v>
      </c>
      <c r="G73" s="0" t="n">
        <v>0.0791903719640927</v>
      </c>
      <c r="H73" s="0" t="n">
        <v>0.050510071224067</v>
      </c>
      <c r="I73" s="0" t="n">
        <v>0.0375168222204117</v>
      </c>
      <c r="J73" s="0" t="n">
        <v>0.0218464210334865</v>
      </c>
      <c r="K73" s="0" t="n">
        <v>0.0126064783584129</v>
      </c>
      <c r="L73" s="0" t="n">
        <v>0.00692631684849037</v>
      </c>
      <c r="M73" s="0" t="n">
        <v>0.0372677481410257</v>
      </c>
    </row>
    <row r="74" customFormat="false" ht="12.75" hidden="false" customHeight="true" outlineLevel="0" collapsed="false">
      <c r="A74" s="5" t="n">
        <v>1982</v>
      </c>
      <c r="B74" s="0" t="n">
        <v>0.0784635897647599</v>
      </c>
      <c r="C74" s="0" t="n">
        <v>0.240438567324159</v>
      </c>
      <c r="D74" s="0" t="n">
        <v>0.900096912223437</v>
      </c>
      <c r="E74" s="0" t="n">
        <v>0.891018922553543</v>
      </c>
      <c r="F74" s="0" t="n">
        <v>0.456651024149509</v>
      </c>
      <c r="G74" s="0" t="n">
        <v>0.275762633288137</v>
      </c>
      <c r="H74" s="0" t="n">
        <v>0.111450048204811</v>
      </c>
      <c r="I74" s="0" t="n">
        <v>0.0648974543822214</v>
      </c>
      <c r="J74" s="0" t="n">
        <v>0.0453687894167472</v>
      </c>
      <c r="K74" s="0" t="n">
        <v>0.0317464299254147</v>
      </c>
      <c r="L74" s="0" t="n">
        <v>0.0176944068255811</v>
      </c>
      <c r="M74" s="0" t="n">
        <v>0.0144894847768476</v>
      </c>
    </row>
    <row r="75" customFormat="false" ht="12.75" hidden="false" customHeight="true" outlineLevel="0" collapsed="false">
      <c r="A75" s="5" t="n">
        <v>1983</v>
      </c>
      <c r="B75" s="0" t="n">
        <v>0.00731691728885268</v>
      </c>
      <c r="C75" s="0" t="n">
        <v>0.0554014968738521</v>
      </c>
      <c r="D75" s="0" t="n">
        <v>0.200213816645688</v>
      </c>
      <c r="E75" s="0" t="n">
        <v>0.262892773544556</v>
      </c>
      <c r="F75" s="0" t="n">
        <v>0.10651110904914</v>
      </c>
      <c r="G75" s="0" t="n">
        <v>0.0331898101927263</v>
      </c>
      <c r="H75" s="0" t="n">
        <v>0.0119760843896629</v>
      </c>
      <c r="I75" s="0" t="n">
        <v>0.00828977135700841</v>
      </c>
      <c r="J75" s="0" t="n">
        <v>0.00524757916237967</v>
      </c>
      <c r="K75" s="0" t="n">
        <v>0.00375229467627833</v>
      </c>
      <c r="L75" s="0" t="n">
        <v>0.0015910607473885</v>
      </c>
      <c r="M75" s="0" t="n">
        <v>0.0023870845043326</v>
      </c>
    </row>
    <row r="76" customFormat="false" ht="12.75" hidden="false" customHeight="true" outlineLevel="0" collapsed="false">
      <c r="A76" s="5" t="n">
        <v>1984</v>
      </c>
      <c r="B76" s="0" t="n">
        <v>0.0124128478579663</v>
      </c>
      <c r="C76" s="0" t="n">
        <v>0.132327607748256</v>
      </c>
      <c r="D76" s="0" t="n">
        <v>1.21907789489991</v>
      </c>
      <c r="E76" s="0" t="n">
        <v>1.61414839256174</v>
      </c>
      <c r="F76" s="0" t="n">
        <v>1.11400774229785</v>
      </c>
      <c r="G76" s="0" t="n">
        <v>0.633762564673977</v>
      </c>
      <c r="H76" s="0" t="n">
        <v>0.348611515997083</v>
      </c>
      <c r="I76" s="0" t="n">
        <v>0.151892903421825</v>
      </c>
      <c r="J76" s="0" t="n">
        <v>0.117254510529597</v>
      </c>
      <c r="K76" s="0" t="n">
        <v>0.0803184070533048</v>
      </c>
      <c r="L76" s="0" t="n">
        <v>0.0330901073566933</v>
      </c>
      <c r="M76" s="0" t="n">
        <v>0.0279119145142136</v>
      </c>
    </row>
    <row r="77" customFormat="false" ht="12.75" hidden="false" customHeight="true" outlineLevel="0" collapsed="false">
      <c r="A77" s="5" t="n">
        <v>1985</v>
      </c>
      <c r="B77" s="0" t="n">
        <v>0.633601272405217</v>
      </c>
      <c r="C77" s="0" t="n">
        <v>1.47029713982178</v>
      </c>
      <c r="D77" s="0" t="n">
        <v>2.55090518506601</v>
      </c>
      <c r="E77" s="0" t="n">
        <v>3.2477717471823</v>
      </c>
      <c r="F77" s="0" t="n">
        <v>1.57498033498297</v>
      </c>
      <c r="G77" s="0" t="n">
        <v>0.992467841080278</v>
      </c>
      <c r="H77" s="0" t="n">
        <v>0.696179418568346</v>
      </c>
      <c r="I77" s="0" t="n">
        <v>0.285843355483621</v>
      </c>
      <c r="J77" s="0" t="n">
        <v>0.188620080140847</v>
      </c>
      <c r="K77" s="0" t="n">
        <v>0.0982582026624006</v>
      </c>
      <c r="L77" s="0" t="n">
        <v>0.0547767639159735</v>
      </c>
      <c r="M77" s="0" t="n">
        <v>0.24843478863518</v>
      </c>
    </row>
    <row r="78" customFormat="false" ht="12.75" hidden="false" customHeight="true" outlineLevel="0" collapsed="false">
      <c r="A78" s="5" t="n">
        <v>1986</v>
      </c>
      <c r="B78" s="0" t="n">
        <v>0.220877818055993</v>
      </c>
      <c r="C78" s="0" t="n">
        <v>0.943522533061274</v>
      </c>
      <c r="D78" s="0" t="n">
        <v>2.93553310384196</v>
      </c>
      <c r="E78" s="0" t="n">
        <v>2.51041570749417</v>
      </c>
      <c r="F78" s="0" t="n">
        <v>1.46185083206138</v>
      </c>
      <c r="G78" s="0" t="n">
        <v>1.48404546170585</v>
      </c>
      <c r="H78" s="0" t="n">
        <v>0.40884686654039</v>
      </c>
      <c r="I78" s="0" t="n">
        <v>0.282784322521634</v>
      </c>
      <c r="J78" s="0" t="n">
        <v>0.162572483632078</v>
      </c>
      <c r="K78" s="0" t="n">
        <v>0.10303257949101</v>
      </c>
      <c r="L78" s="0" t="n">
        <v>0.103835661099184</v>
      </c>
      <c r="M78" s="0" t="n">
        <v>0.0808015213237476</v>
      </c>
    </row>
    <row r="79" customFormat="false" ht="12.75" hidden="false" customHeight="true" outlineLevel="0" collapsed="false">
      <c r="A79" s="5" t="n">
        <v>1987</v>
      </c>
      <c r="B79" s="0" t="n">
        <v>0.0773276629085475</v>
      </c>
      <c r="C79" s="0" t="n">
        <v>0.15017907694896</v>
      </c>
      <c r="D79" s="0" t="n">
        <v>1.12764663386214</v>
      </c>
      <c r="E79" s="0" t="n">
        <v>0.523995897533584</v>
      </c>
      <c r="F79" s="0" t="n">
        <v>0.0990827291024524</v>
      </c>
      <c r="G79" s="0" t="n">
        <v>0.570762970731283</v>
      </c>
      <c r="H79" s="0" t="n">
        <v>0.0979556061674858</v>
      </c>
      <c r="I79" s="0" t="n">
        <v>0.0525957884332498</v>
      </c>
      <c r="J79" s="0" t="n">
        <v>0.0380195255569855</v>
      </c>
      <c r="K79" s="0" t="n">
        <v>0.0219250580739385</v>
      </c>
      <c r="L79" s="0" t="n">
        <v>0.0123782532021323</v>
      </c>
      <c r="M79" s="0" t="n">
        <v>0.00661449999885465</v>
      </c>
    </row>
    <row r="80" customFormat="false" ht="12.75" hidden="false" customHeight="true" outlineLevel="0" collapsed="false">
      <c r="A80" s="5" t="n">
        <v>1988</v>
      </c>
      <c r="B80" s="0" t="n">
        <v>0.0953928025936734</v>
      </c>
      <c r="C80" s="0" t="n">
        <v>0.200710825122375</v>
      </c>
      <c r="D80" s="0" t="n">
        <v>0.495914466666438</v>
      </c>
      <c r="E80" s="0" t="n">
        <v>1.59176885729562</v>
      </c>
      <c r="F80" s="0" t="n">
        <v>0.873108470877704</v>
      </c>
      <c r="G80" s="0" t="n">
        <v>0.376320431896522</v>
      </c>
      <c r="H80" s="0" t="n">
        <v>0.220609757188336</v>
      </c>
      <c r="I80" s="0" t="n">
        <v>0.0976820050336876</v>
      </c>
      <c r="J80" s="0" t="n">
        <v>0.0669463044890088</v>
      </c>
      <c r="K80" s="0" t="n">
        <v>0.0429648585023705</v>
      </c>
      <c r="L80" s="0" t="n">
        <v>0.025817217779893</v>
      </c>
      <c r="M80" s="0" t="n">
        <v>0.0467533913554077</v>
      </c>
    </row>
    <row r="81" customFormat="false" ht="12.75" hidden="false" customHeight="true" outlineLevel="0" collapsed="false">
      <c r="A81" s="5" t="n">
        <v>1989</v>
      </c>
      <c r="B81" s="0" t="n">
        <v>0.168586572914367</v>
      </c>
      <c r="C81" s="0" t="n">
        <v>0.174075193124501</v>
      </c>
      <c r="D81" s="0" t="n">
        <v>0.808242080674069</v>
      </c>
      <c r="E81" s="0" t="n">
        <v>1.27024264322097</v>
      </c>
      <c r="F81" s="0" t="n">
        <v>1.28339203276138</v>
      </c>
      <c r="G81" s="0" t="n">
        <v>0.522619253277764</v>
      </c>
      <c r="H81" s="0" t="n">
        <v>0.726771725006441</v>
      </c>
      <c r="I81" s="0" t="n">
        <v>0.158599699495202</v>
      </c>
      <c r="J81" s="0" t="n">
        <v>0.131630801281484</v>
      </c>
      <c r="K81" s="0" t="n">
        <v>0.0672976176724247</v>
      </c>
      <c r="L81" s="0" t="n">
        <v>0.0448337470853638</v>
      </c>
      <c r="M81" s="0" t="n">
        <v>0.179515510559966</v>
      </c>
    </row>
    <row r="82" customFormat="false" ht="12.75" hidden="false" customHeight="true" outlineLevel="0" collapsed="false">
      <c r="A82" s="5" t="n">
        <v>1990</v>
      </c>
      <c r="B82" s="0" t="n">
        <v>0.0656586341650555</v>
      </c>
      <c r="C82" s="0" t="n">
        <v>0.319120463611958</v>
      </c>
      <c r="D82" s="0" t="n">
        <v>0.375097424473297</v>
      </c>
      <c r="E82" s="0" t="n">
        <v>0.60392386906088</v>
      </c>
      <c r="F82" s="0" t="n">
        <v>0.716994956085782</v>
      </c>
      <c r="G82" s="0" t="n">
        <v>0.18893569876393</v>
      </c>
      <c r="H82" s="0" t="n">
        <v>0.243909703020454</v>
      </c>
      <c r="I82" s="0" t="n">
        <v>0.0649273068073974</v>
      </c>
      <c r="J82" s="0" t="n">
        <v>0.0437028426471719</v>
      </c>
      <c r="K82" s="0" t="n">
        <v>0.0256891750922118</v>
      </c>
      <c r="L82" s="0" t="n">
        <v>0.0227726843105417</v>
      </c>
      <c r="M82" s="0" t="n">
        <v>0.014732273939134</v>
      </c>
    </row>
    <row r="83" customFormat="false" ht="12.75" hidden="false" customHeight="true" outlineLevel="0" collapsed="false">
      <c r="A83" s="5" t="n">
        <v>1991</v>
      </c>
      <c r="B83" s="0" t="n">
        <v>0.0795901833064289</v>
      </c>
      <c r="C83" s="0" t="n">
        <v>0.36725608276884</v>
      </c>
      <c r="D83" s="0" t="n">
        <v>1.02956193489284</v>
      </c>
      <c r="E83" s="0" t="n">
        <v>1.16948714952118</v>
      </c>
      <c r="F83" s="0" t="n">
        <v>0.678945300295727</v>
      </c>
      <c r="G83" s="0" t="n">
        <v>0.163729477717334</v>
      </c>
      <c r="H83" s="0" t="n">
        <v>0.11379257119067</v>
      </c>
      <c r="I83" s="0" t="n">
        <v>0.0788898693134023</v>
      </c>
      <c r="J83" s="0" t="n">
        <v>0.0492086710781274</v>
      </c>
      <c r="K83" s="0" t="n">
        <v>0.0367797975022404</v>
      </c>
      <c r="L83" s="0" t="n">
        <v>0.0160136651727742</v>
      </c>
      <c r="M83" s="0" t="n">
        <v>0.00900541779926796</v>
      </c>
    </row>
    <row r="84" customFormat="false" ht="12.75" hidden="false" customHeight="true" outlineLevel="0" collapsed="false">
      <c r="A84" s="5" t="n">
        <v>1992</v>
      </c>
      <c r="B84" s="0" t="n">
        <v>0.147043717637678</v>
      </c>
      <c r="C84" s="0" t="n">
        <v>0.488570437427733</v>
      </c>
      <c r="D84" s="0" t="n">
        <v>0.991394493943345</v>
      </c>
      <c r="E84" s="0" t="n">
        <v>0.434665283140844</v>
      </c>
      <c r="F84" s="0" t="n">
        <v>0.170760123081102</v>
      </c>
      <c r="G84" s="0" t="n">
        <v>0.212140503099048</v>
      </c>
      <c r="H84" s="0" t="n">
        <v>0.0594658144227594</v>
      </c>
      <c r="I84" s="0" t="n">
        <v>0.0458865499956638</v>
      </c>
      <c r="J84" s="0" t="n">
        <v>0.0257391543738342</v>
      </c>
      <c r="K84" s="0" t="n">
        <v>0.0148418858230451</v>
      </c>
      <c r="L84" s="0" t="n">
        <v>0.00820474341445569</v>
      </c>
      <c r="M84" s="0" t="n">
        <v>0.00487868961503816</v>
      </c>
    </row>
    <row r="85" customFormat="false" ht="12.75" hidden="false" customHeight="true" outlineLevel="0" collapsed="false">
      <c r="A85" s="5" t="n">
        <v>1993</v>
      </c>
      <c r="B85" s="0" t="n">
        <v>0.0292491344340875</v>
      </c>
      <c r="C85" s="0" t="n">
        <v>0.0884402856381445</v>
      </c>
      <c r="D85" s="0" t="n">
        <v>0.256584937988404</v>
      </c>
      <c r="E85" s="0" t="n">
        <v>0.342460048227414</v>
      </c>
      <c r="F85" s="0" t="n">
        <v>0.0761054923138577</v>
      </c>
      <c r="G85" s="0" t="n">
        <v>0.0329944194353745</v>
      </c>
      <c r="H85" s="0" t="n">
        <v>0.107863028552656</v>
      </c>
      <c r="I85" s="0" t="n">
        <v>0.0330506782633966</v>
      </c>
      <c r="J85" s="0" t="n">
        <v>0.00830090181955385</v>
      </c>
      <c r="K85" s="0" t="n">
        <v>0.00579849454887318</v>
      </c>
      <c r="L85" s="0" t="n">
        <v>0.00395293958732177</v>
      </c>
      <c r="M85" s="0" t="n">
        <v>0.0107676510144849</v>
      </c>
    </row>
    <row r="86" customFormat="false" ht="12.75" hidden="false" customHeight="true" outlineLevel="0" collapsed="false">
      <c r="A86" s="5" t="n">
        <v>1994</v>
      </c>
      <c r="B86" s="0" t="n">
        <v>0.132605890629274</v>
      </c>
      <c r="C86" s="0" t="n">
        <v>0.611643210853795</v>
      </c>
      <c r="D86" s="0" t="n">
        <v>1.0707035843805</v>
      </c>
      <c r="E86" s="0" t="n">
        <v>1.67522829800021</v>
      </c>
      <c r="F86" s="0" t="n">
        <v>1.34626634273196</v>
      </c>
      <c r="G86" s="0" t="n">
        <v>1.55922168076768</v>
      </c>
      <c r="H86" s="0" t="n">
        <v>0.449201330640089</v>
      </c>
      <c r="I86" s="0" t="n">
        <v>0.226229928208613</v>
      </c>
      <c r="J86" s="0" t="n">
        <v>0.147498030662496</v>
      </c>
      <c r="K86" s="0" t="n">
        <v>0.0867075255092325</v>
      </c>
      <c r="L86" s="0" t="n">
        <v>0.0489110021815941</v>
      </c>
      <c r="M86" s="0" t="n">
        <v>0.123885111728192</v>
      </c>
    </row>
    <row r="87" customFormat="false" ht="12.75" hidden="false" customHeight="true" outlineLevel="0" collapsed="false">
      <c r="A87" s="5" t="n">
        <v>1995</v>
      </c>
      <c r="B87" s="0" t="n">
        <v>0.133497642300489</v>
      </c>
      <c r="C87" s="0" t="n">
        <v>0.478215207515255</v>
      </c>
      <c r="D87" s="0" t="n">
        <v>0.903818843233656</v>
      </c>
      <c r="E87" s="0" t="n">
        <v>2.33860498585026</v>
      </c>
      <c r="F87" s="0" t="n">
        <v>1.65080695975863</v>
      </c>
      <c r="G87" s="0" t="n">
        <v>0.450924871958584</v>
      </c>
      <c r="H87" s="0" t="n">
        <v>0.320779084945661</v>
      </c>
      <c r="I87" s="0" t="n">
        <v>0.16173296385211</v>
      </c>
      <c r="J87" s="0" t="n">
        <v>0.105679893752981</v>
      </c>
      <c r="K87" s="0" t="n">
        <v>0.0622964758363909</v>
      </c>
      <c r="L87" s="0" t="n">
        <v>0.0353673839498309</v>
      </c>
      <c r="M87" s="0" t="n">
        <v>0.0234840389286975</v>
      </c>
    </row>
    <row r="88" customFormat="false" ht="12.75" hidden="false" customHeight="true" outlineLevel="0" collapsed="false">
      <c r="A88" s="5" t="n">
        <v>1996</v>
      </c>
      <c r="B88" s="0" t="n">
        <v>0.201559250343638</v>
      </c>
      <c r="C88" s="0" t="n">
        <v>0.347784664368257</v>
      </c>
      <c r="D88" s="0" t="n">
        <v>1.52585745512521</v>
      </c>
      <c r="E88" s="0" t="n">
        <v>2.19693488930005</v>
      </c>
      <c r="F88" s="0" t="n">
        <v>1.03012321554083</v>
      </c>
      <c r="G88" s="0" t="n">
        <v>0.215344981848291</v>
      </c>
      <c r="H88" s="0" t="n">
        <v>0.223045330066229</v>
      </c>
      <c r="I88" s="0" t="n">
        <v>0.136028672905202</v>
      </c>
      <c r="J88" s="0" t="n">
        <v>0.0806484184430625</v>
      </c>
      <c r="K88" s="0" t="n">
        <v>0.0466027410854107</v>
      </c>
      <c r="L88" s="0" t="n">
        <v>0.0289031092448038</v>
      </c>
      <c r="M88" s="0" t="n">
        <v>0.0139269960725748</v>
      </c>
    </row>
    <row r="89" customFormat="false" ht="12.75" hidden="false" customHeight="true" outlineLevel="0" collapsed="false">
      <c r="A89" s="5" t="n">
        <v>1997</v>
      </c>
      <c r="B89" s="0" t="n">
        <v>0.0509659372898951</v>
      </c>
      <c r="C89" s="0" t="n">
        <v>0.0379940223126483</v>
      </c>
      <c r="D89" s="0" t="n">
        <v>0.359945981399114</v>
      </c>
      <c r="E89" s="0" t="n">
        <v>0.568729667885918</v>
      </c>
      <c r="F89" s="0" t="n">
        <v>0.385027124607162</v>
      </c>
      <c r="G89" s="0" t="n">
        <v>0.0350522617281532</v>
      </c>
      <c r="H89" s="0" t="n">
        <v>0.0377284226892086</v>
      </c>
      <c r="I89" s="0" t="n">
        <v>0.036381914880585</v>
      </c>
      <c r="J89" s="0" t="n">
        <v>0.0172121991258263</v>
      </c>
      <c r="K89" s="0" t="n">
        <v>0.0101890048880417</v>
      </c>
      <c r="L89" s="0" t="n">
        <v>0.00758607567517324</v>
      </c>
      <c r="M89" s="0" t="n">
        <v>0.0215754744789022</v>
      </c>
    </row>
    <row r="90" customFormat="false" ht="12.75" hidden="false" customHeight="true" outlineLevel="0" collapsed="false">
      <c r="A90" s="5" t="n">
        <v>1998</v>
      </c>
      <c r="B90" s="0" t="n">
        <v>0.306431285766535</v>
      </c>
      <c r="C90" s="0" t="n">
        <v>0.282716256650567</v>
      </c>
      <c r="D90" s="0" t="n">
        <v>0.692743148319118</v>
      </c>
      <c r="E90" s="0" t="n">
        <v>0.477604579261345</v>
      </c>
      <c r="F90" s="0" t="n">
        <v>0.281785349079236</v>
      </c>
      <c r="G90" s="0" t="n">
        <v>0.202312534670862</v>
      </c>
      <c r="H90" s="0" t="n">
        <v>0.0542086334087324</v>
      </c>
      <c r="I90" s="0" t="n">
        <v>0.0402300739354852</v>
      </c>
      <c r="J90" s="0" t="n">
        <v>0.0247350894983834</v>
      </c>
      <c r="K90" s="0" t="n">
        <v>0.0145840856932339</v>
      </c>
      <c r="L90" s="0" t="n">
        <v>0.0101934797014313</v>
      </c>
      <c r="M90" s="0" t="n">
        <v>0.039268972674457</v>
      </c>
    </row>
    <row r="91" customFormat="false" ht="12.75" hidden="false" customHeight="true" outlineLevel="0" collapsed="false">
      <c r="A91" s="5" t="n">
        <v>1999</v>
      </c>
      <c r="B91" s="0" t="n">
        <v>0.0966058117533686</v>
      </c>
      <c r="C91" s="0" t="n">
        <v>0.391839143348107</v>
      </c>
      <c r="D91" s="0" t="n">
        <v>1.53700908083656</v>
      </c>
      <c r="E91" s="0" t="n">
        <v>1.01417524695825</v>
      </c>
      <c r="F91" s="0" t="n">
        <v>1.04444082296849</v>
      </c>
      <c r="G91" s="0" t="n">
        <v>0.329309165165932</v>
      </c>
      <c r="H91" s="0" t="n">
        <v>0.142773585593344</v>
      </c>
      <c r="I91" s="0" t="n">
        <v>0.106950148356596</v>
      </c>
      <c r="J91" s="0" t="n">
        <v>0.0730757769696838</v>
      </c>
      <c r="K91" s="0" t="n">
        <v>0.0397622358999911</v>
      </c>
      <c r="L91" s="0" t="n">
        <v>0.0245144626470455</v>
      </c>
      <c r="M91" s="0" t="n">
        <v>0.0482396164382097</v>
      </c>
    </row>
    <row r="92" customFormat="false" ht="12.75" hidden="false" customHeight="true" outlineLevel="0" collapsed="false">
      <c r="A92" s="5" t="n">
        <v>2000</v>
      </c>
      <c r="B92" s="0" t="n">
        <v>0.235831520473559</v>
      </c>
      <c r="C92" s="0" t="n">
        <v>0.310790136793281</v>
      </c>
      <c r="D92" s="0" t="n">
        <v>0.898986967085835</v>
      </c>
      <c r="E92" s="0" t="n">
        <v>1.73871706434825</v>
      </c>
      <c r="F92" s="0" t="n">
        <v>0.559588147897285</v>
      </c>
      <c r="G92" s="0" t="n">
        <v>0.333774133356064</v>
      </c>
      <c r="H92" s="0" t="n">
        <v>0.457974424190338</v>
      </c>
      <c r="I92" s="0" t="n">
        <v>0.286082489797151</v>
      </c>
      <c r="J92" s="0" t="n">
        <v>0.102853255527835</v>
      </c>
      <c r="K92" s="0" t="n">
        <v>0.051258236696755</v>
      </c>
      <c r="L92" s="0" t="n">
        <v>0.029654823122649</v>
      </c>
      <c r="M92" s="0" t="n">
        <v>0.0223888180385375</v>
      </c>
    </row>
    <row r="93" customFormat="false" ht="12.75" hidden="false" customHeight="true" outlineLevel="0" collapsed="false">
      <c r="A93" s="5" t="n">
        <v>2001</v>
      </c>
      <c r="B93" s="0" t="n">
        <v>0.0899583028728382</v>
      </c>
      <c r="C93" s="0" t="n">
        <v>0.133127230502632</v>
      </c>
      <c r="D93" s="0" t="n">
        <v>0.377337593739597</v>
      </c>
      <c r="E93" s="0" t="n">
        <v>1.16098323654899</v>
      </c>
      <c r="F93" s="0" t="n">
        <v>0.161534453991477</v>
      </c>
      <c r="G93" s="0" t="n">
        <v>0.177449812328613</v>
      </c>
      <c r="H93" s="0" t="n">
        <v>0.0896233693163659</v>
      </c>
      <c r="I93" s="0" t="n">
        <v>0.0426234754223006</v>
      </c>
      <c r="J93" s="0" t="n">
        <v>0.0305492243168866</v>
      </c>
      <c r="K93" s="0" t="n">
        <v>0.016235070336132</v>
      </c>
      <c r="L93" s="0" t="n">
        <v>0.00911111469074521</v>
      </c>
      <c r="M93" s="0" t="n">
        <v>0.00918895460782841</v>
      </c>
    </row>
    <row r="94" customFormat="false" ht="12.75" hidden="false" customHeight="true" outlineLevel="0" collapsed="false">
      <c r="A94" s="5" t="n">
        <v>2002</v>
      </c>
      <c r="B94" s="0" t="n">
        <v>0.41503491714867</v>
      </c>
      <c r="C94" s="0" t="n">
        <v>0.167348614928804</v>
      </c>
      <c r="D94" s="0" t="n">
        <v>1.25189766180846</v>
      </c>
      <c r="E94" s="0" t="n">
        <v>0.974487515012174</v>
      </c>
      <c r="F94" s="0" t="n">
        <v>0.842107639517178</v>
      </c>
      <c r="G94" s="0" t="n">
        <v>0.38250360777897</v>
      </c>
      <c r="H94" s="0" t="n">
        <v>0.343736759109554</v>
      </c>
      <c r="I94" s="0" t="n">
        <v>0.0995071598734104</v>
      </c>
      <c r="J94" s="0" t="n">
        <v>0.0731724927647264</v>
      </c>
      <c r="K94" s="0" t="n">
        <v>0.0433489773451278</v>
      </c>
      <c r="L94" s="0" t="n">
        <v>0.0254722636766734</v>
      </c>
      <c r="M94" s="0" t="n">
        <v>0.01540260477547</v>
      </c>
    </row>
    <row r="95" customFormat="false" ht="12.75" hidden="false" customHeight="true" outlineLevel="0" collapsed="false">
      <c r="A95" s="5" t="n">
        <v>2003</v>
      </c>
      <c r="B95" s="0" t="n">
        <v>0.126163056349215</v>
      </c>
      <c r="C95" s="0" t="n">
        <v>0.531035833988468</v>
      </c>
      <c r="D95" s="0" t="n">
        <v>2.47202310841946</v>
      </c>
      <c r="E95" s="0" t="n">
        <v>1.77188853189425</v>
      </c>
      <c r="F95" s="0" t="n">
        <v>0.863289638169417</v>
      </c>
      <c r="G95" s="0" t="n">
        <v>0.622348051795608</v>
      </c>
      <c r="H95" s="0" t="n">
        <v>0.205469428451474</v>
      </c>
      <c r="I95" s="0" t="n">
        <v>0.15672388094148</v>
      </c>
      <c r="J95" s="0" t="n">
        <v>0.0919291958994581</v>
      </c>
      <c r="K95" s="0" t="n">
        <v>0.053166985058641</v>
      </c>
      <c r="L95" s="0" t="n">
        <v>0.030882605815678</v>
      </c>
      <c r="M95" s="0" t="n">
        <v>0.0228742137136139</v>
      </c>
    </row>
    <row r="96" customFormat="false" ht="12.75" hidden="false" customHeight="true" outlineLevel="0" collapsed="false">
      <c r="A96" s="5" t="n">
        <v>2004</v>
      </c>
      <c r="B96" s="0" t="n">
        <v>0.888597998093411</v>
      </c>
      <c r="C96" s="0" t="n">
        <v>1.40141846723907</v>
      </c>
      <c r="D96" s="0" t="n">
        <v>1.43373332658829</v>
      </c>
      <c r="E96" s="0" t="n">
        <v>0.662996389838137</v>
      </c>
      <c r="F96" s="0" t="n">
        <v>0.350567388577001</v>
      </c>
      <c r="G96" s="0" t="n">
        <v>0.731998802163071</v>
      </c>
      <c r="H96" s="0" t="n">
        <v>0.304367441392189</v>
      </c>
      <c r="I96" s="0" t="n">
        <v>0.101162130890372</v>
      </c>
      <c r="J96" s="0" t="n">
        <v>0.0774930380527192</v>
      </c>
      <c r="K96" s="0" t="n">
        <v>0.0418504691540522</v>
      </c>
      <c r="L96" s="0" t="n">
        <v>0.0232333075071194</v>
      </c>
      <c r="M96" s="0" t="n">
        <v>0.0169805971144421</v>
      </c>
    </row>
    <row r="97" customFormat="false" ht="12.75" hidden="false" customHeight="true" outlineLevel="0" collapsed="false">
      <c r="A97" s="5" t="n">
        <v>2005</v>
      </c>
      <c r="B97" s="0" t="n">
        <v>0.0219123290952324</v>
      </c>
      <c r="C97" s="0" t="n">
        <v>0.10162218486232</v>
      </c>
      <c r="D97" s="0" t="n">
        <v>0.167913899872067</v>
      </c>
      <c r="E97" s="0" t="n">
        <v>0.566251368467525</v>
      </c>
      <c r="F97" s="0" t="n">
        <v>0.703906492423361</v>
      </c>
      <c r="G97" s="0" t="n">
        <v>0.417542243627802</v>
      </c>
      <c r="H97" s="0" t="n">
        <v>0.0696128894577147</v>
      </c>
      <c r="I97" s="0" t="n">
        <v>0.0545840583205691</v>
      </c>
      <c r="J97" s="0" t="n">
        <v>0.0362765908546527</v>
      </c>
      <c r="K97" s="0" t="n">
        <v>0.0218463281586578</v>
      </c>
      <c r="L97" s="0" t="n">
        <v>0.0122067498024266</v>
      </c>
      <c r="M97" s="0" t="n">
        <v>0.0110270294714574</v>
      </c>
    </row>
    <row r="98" customFormat="false" ht="12.75" hidden="false" customHeight="true" outlineLevel="0" collapsed="false">
      <c r="A98" s="5" t="n">
        <v>2006</v>
      </c>
      <c r="B98" s="0" t="n">
        <v>0.0219419571212485</v>
      </c>
      <c r="C98" s="0" t="n">
        <v>0.193414324031578</v>
      </c>
      <c r="D98" s="0" t="n">
        <v>0.868695799135953</v>
      </c>
      <c r="E98" s="0" t="n">
        <v>1.60887664726562</v>
      </c>
      <c r="F98" s="0" t="n">
        <v>0.992538148976624</v>
      </c>
      <c r="G98" s="0" t="n">
        <v>0.571573341516873</v>
      </c>
      <c r="H98" s="0" t="n">
        <v>0.231763692896125</v>
      </c>
      <c r="I98" s="0" t="n">
        <v>0.139938036248809</v>
      </c>
      <c r="J98" s="0" t="n">
        <v>0.0875135672306691</v>
      </c>
      <c r="K98" s="0" t="n">
        <v>0.0486219297225763</v>
      </c>
      <c r="L98" s="0" t="n">
        <v>0.0316455017178857</v>
      </c>
      <c r="M98" s="0" t="n">
        <v>0.0243678562866398</v>
      </c>
    </row>
    <row r="99" customFormat="false" ht="12.75" hidden="false" customHeight="true" outlineLevel="0" collapsed="false">
      <c r="A99" s="5" t="n">
        <v>2007</v>
      </c>
      <c r="B99" s="0" t="n">
        <v>0.0509754601737343</v>
      </c>
      <c r="C99" s="0" t="n">
        <v>0.556309112756596</v>
      </c>
      <c r="D99" s="0" t="n">
        <v>0.594483981112696</v>
      </c>
      <c r="E99" s="0" t="n">
        <v>0.780084244225236</v>
      </c>
      <c r="F99" s="0" t="n">
        <v>0.304753886001198</v>
      </c>
      <c r="G99" s="0" t="n">
        <v>0.36573710802679</v>
      </c>
      <c r="H99" s="0" t="n">
        <v>0.0958108709673333</v>
      </c>
      <c r="I99" s="0" t="n">
        <v>0.0550608263943703</v>
      </c>
      <c r="J99" s="0" t="n">
        <v>0.0369865063768797</v>
      </c>
      <c r="K99" s="0" t="n">
        <v>0.02201235164234</v>
      </c>
      <c r="L99" s="0" t="n">
        <v>0.0127077889454906</v>
      </c>
      <c r="M99" s="0" t="n">
        <v>0.0327390782216089</v>
      </c>
    </row>
    <row r="100" customFormat="false" ht="12.75" hidden="false" customHeight="true" outlineLevel="0" collapsed="false">
      <c r="A100" s="5" t="n">
        <v>2008</v>
      </c>
      <c r="B100" s="0" t="n">
        <v>0.176434056114341</v>
      </c>
      <c r="C100" s="0" t="n">
        <v>0.102038770755937</v>
      </c>
      <c r="D100" s="0" t="n">
        <v>1.04567326999066</v>
      </c>
      <c r="E100" s="0" t="n">
        <v>1.23321108988005</v>
      </c>
      <c r="F100" s="0" t="n">
        <v>0.993636678524004</v>
      </c>
      <c r="G100" s="0" t="n">
        <v>0.244514810808247</v>
      </c>
      <c r="H100" s="0" t="n">
        <v>0.133563720977259</v>
      </c>
      <c r="I100" s="0" t="n">
        <v>0.217501983582684</v>
      </c>
      <c r="J100" s="0" t="n">
        <v>0.0628685350811394</v>
      </c>
      <c r="K100" s="0" t="n">
        <v>0.0384418305907551</v>
      </c>
      <c r="L100" s="0" t="n">
        <v>0.0215632466572865</v>
      </c>
      <c r="M100" s="0" t="n">
        <v>0.0125468010097007</v>
      </c>
    </row>
    <row r="101" customFormat="false" ht="12.75" hidden="false" customHeight="true" outlineLevel="0" collapsed="false">
      <c r="A101" s="5" t="n">
        <v>2009</v>
      </c>
      <c r="B101" s="0" t="n">
        <v>0.177449138696941</v>
      </c>
      <c r="C101" s="0" t="n">
        <v>0.674947311891301</v>
      </c>
      <c r="D101" s="0" t="n">
        <v>1.83899384115504</v>
      </c>
      <c r="E101" s="0" t="n">
        <v>3.07410858211776</v>
      </c>
      <c r="F101" s="0" t="n">
        <v>2.05525123554685</v>
      </c>
      <c r="G101" s="0" t="n">
        <v>1.26883725808747</v>
      </c>
      <c r="H101" s="0" t="n">
        <v>0.915955330150853</v>
      </c>
      <c r="I101" s="0" t="n">
        <v>0.29356737860412</v>
      </c>
      <c r="J101" s="0" t="n">
        <v>0.187725184582384</v>
      </c>
      <c r="K101" s="0" t="n">
        <v>0.11367813862555</v>
      </c>
      <c r="L101" s="0" t="n">
        <v>0.0633740926630883</v>
      </c>
      <c r="M101" s="0" t="n">
        <v>0.0357286305817789</v>
      </c>
    </row>
    <row r="102" customFormat="false" ht="12.75" hidden="false" customHeight="true" outlineLevel="0" collapsed="false">
      <c r="A102" s="5" t="n">
        <v>2010</v>
      </c>
      <c r="B102" s="0" t="n">
        <v>0.126687057822123</v>
      </c>
      <c r="C102" s="0" t="n">
        <v>0.0323318134199662</v>
      </c>
      <c r="D102" s="0" t="n">
        <v>0.220900404570426</v>
      </c>
      <c r="E102" s="0" t="n">
        <v>0.356286859980472</v>
      </c>
      <c r="F102" s="0" t="n">
        <v>0.3009744320914</v>
      </c>
      <c r="G102" s="0" t="n">
        <v>0.0793141158395027</v>
      </c>
      <c r="H102" s="0" t="n">
        <v>0.0284466129460652</v>
      </c>
      <c r="I102" s="0" t="n">
        <v>0.0175435030544691</v>
      </c>
      <c r="J102" s="0" t="n">
        <v>0.0116697279891484</v>
      </c>
      <c r="K102" s="0" t="n">
        <v>0.00880833168033853</v>
      </c>
      <c r="L102" s="0" t="n">
        <v>0.00387736207522701</v>
      </c>
      <c r="M102" s="0" t="n">
        <v>0.0203599643937275</v>
      </c>
    </row>
    <row r="103" customFormat="false" ht="12.75" hidden="false" customHeight="true" outlineLevel="0" collapsed="false">
      <c r="A103" s="5" t="n">
        <v>2011</v>
      </c>
      <c r="B103" s="0" t="n">
        <v>0.3447207028266</v>
      </c>
      <c r="C103" s="0" t="n">
        <v>0.822263237022043</v>
      </c>
      <c r="D103" s="0" t="n">
        <v>1.52974883957904</v>
      </c>
      <c r="E103" s="0" t="n">
        <v>1.92142814016265</v>
      </c>
      <c r="F103" s="0" t="n">
        <v>1.12728597332114</v>
      </c>
      <c r="G103" s="0" t="n">
        <v>0.634715285619122</v>
      </c>
      <c r="H103" s="0" t="n">
        <v>0.466201376206871</v>
      </c>
      <c r="I103" s="0" t="n">
        <v>0.182435690725796</v>
      </c>
      <c r="J103" s="0" t="n">
        <v>0.109991076232616</v>
      </c>
      <c r="K103" s="0" t="n">
        <v>0.0874029488926011</v>
      </c>
      <c r="L103" s="0" t="n">
        <v>0.039427879192966</v>
      </c>
      <c r="M103" s="0" t="n">
        <v>0.0198916781733839</v>
      </c>
    </row>
    <row r="104" customFormat="false" ht="12.75" hidden="false" customHeight="true" outlineLevel="0" collapsed="false">
      <c r="A104" s="5" t="n">
        <v>2012</v>
      </c>
      <c r="B104" s="0" t="n">
        <v>0.0467196373210178</v>
      </c>
      <c r="C104" s="0" t="n">
        <v>0.338340239652141</v>
      </c>
      <c r="D104" s="0" t="n">
        <v>0.311109293998156</v>
      </c>
      <c r="E104" s="0" t="n">
        <v>0.402608959707577</v>
      </c>
      <c r="F104" s="0" t="n">
        <v>0.197440400339182</v>
      </c>
      <c r="G104" s="0" t="n">
        <v>0.116601945416974</v>
      </c>
      <c r="H104" s="0" t="n">
        <v>0.0311190403492765</v>
      </c>
      <c r="I104" s="0" t="n">
        <v>0.0213621641493597</v>
      </c>
      <c r="J104" s="0" t="n">
        <v>0.0139081197085103</v>
      </c>
      <c r="K104" s="0" t="n">
        <v>0.00884256883211725</v>
      </c>
      <c r="L104" s="0" t="n">
        <v>0.004546892853169</v>
      </c>
      <c r="M104" s="0" t="n">
        <v>0.00268407214582607</v>
      </c>
    </row>
    <row r="105" customFormat="false" ht="12.75" hidden="false" customHeight="true" outlineLevel="0" collapsed="false">
      <c r="A105" s="5" t="n">
        <v>2013</v>
      </c>
      <c r="B105" s="0" t="n">
        <v>0.0141908390283373</v>
      </c>
      <c r="C105" s="0" t="n">
        <v>0.0776018326107574</v>
      </c>
      <c r="D105" s="0" t="n">
        <v>0.128133205365307</v>
      </c>
      <c r="E105" s="0" t="n">
        <v>0.565914621744014</v>
      </c>
      <c r="F105" s="0" t="n">
        <v>0.576332091751176</v>
      </c>
      <c r="G105" s="0" t="n">
        <v>0.475594108390561</v>
      </c>
      <c r="H105" s="0" t="n">
        <v>0.232680591556228</v>
      </c>
      <c r="I105" s="0" t="n">
        <v>0.0601056463997391</v>
      </c>
      <c r="J105" s="0" t="n">
        <v>0.0413425651030122</v>
      </c>
      <c r="K105" s="0" t="n">
        <v>0.0256408165248901</v>
      </c>
      <c r="L105" s="0" t="n">
        <v>0.0263050380512181</v>
      </c>
      <c r="M105" s="0" t="n">
        <v>0.0441747026247335</v>
      </c>
    </row>
    <row r="106" customFormat="false" ht="12.75" hidden="false" customHeight="true" outlineLevel="0" collapsed="false">
      <c r="A106" s="5" t="n">
        <v>2014</v>
      </c>
      <c r="B106" s="0" t="n">
        <v>0.100899136039006</v>
      </c>
      <c r="C106" s="0" t="n">
        <v>0.146828612568786</v>
      </c>
      <c r="D106" s="0" t="n">
        <v>0.359952189120954</v>
      </c>
      <c r="E106" s="0" t="n">
        <v>0.526645676282988</v>
      </c>
      <c r="F106" s="0" t="n">
        <v>0.390593198834191</v>
      </c>
      <c r="G106" s="0" t="n">
        <v>0.121463577154414</v>
      </c>
      <c r="H106" s="0" t="n">
        <v>0.0550411385302743</v>
      </c>
      <c r="I106" s="0" t="n">
        <v>0.0322102647866124</v>
      </c>
      <c r="J106" s="0" t="n">
        <v>0.0220856728511315</v>
      </c>
      <c r="K106" s="0" t="n">
        <v>0.019141012292319</v>
      </c>
      <c r="L106" s="0" t="n">
        <v>0.00914194379078312</v>
      </c>
      <c r="M106" s="0" t="n">
        <v>0.0064443216459596</v>
      </c>
    </row>
    <row r="107" customFormat="false" ht="12.75" hidden="false" customHeight="true" outlineLevel="0" collapsed="false">
      <c r="A107" s="5" t="n">
        <v>2015</v>
      </c>
      <c r="B107" s="0" t="n">
        <v>0.0277443383756069</v>
      </c>
      <c r="C107" s="0" t="n">
        <v>0.111275080420969</v>
      </c>
      <c r="D107" s="0" t="n">
        <v>0.506529422082087</v>
      </c>
      <c r="E107" s="0" t="n">
        <v>0.768695685425745</v>
      </c>
      <c r="F107" s="0" t="n">
        <v>0.179830606457184</v>
      </c>
      <c r="G107" s="0" t="n">
        <v>0.171614122267612</v>
      </c>
      <c r="H107" s="0" t="n">
        <v>0.22779779645046</v>
      </c>
      <c r="I107" s="0" t="n">
        <v>0.036711330202621</v>
      </c>
      <c r="J107" s="0" t="n">
        <v>0.0273143186427129</v>
      </c>
      <c r="K107" s="0" t="n">
        <v>0.0165601848874642</v>
      </c>
      <c r="L107" s="0" t="n">
        <v>0.00928271369322904</v>
      </c>
      <c r="M107" s="0" t="n">
        <v>0.0107016272996496</v>
      </c>
    </row>
    <row r="108" customFormat="false" ht="12.75" hidden="false" customHeight="true" outlineLevel="0" collapsed="false">
      <c r="A108" s="5" t="n">
        <v>2016</v>
      </c>
      <c r="B108" s="0" t="n">
        <v>0.401989552492652</v>
      </c>
      <c r="C108" s="0" t="n">
        <v>0.274136282084741</v>
      </c>
      <c r="D108" s="0" t="n">
        <v>0.595551483391062</v>
      </c>
      <c r="E108" s="0" t="n">
        <v>0.681773653902777</v>
      </c>
      <c r="F108" s="0" t="n">
        <v>0.303416383522385</v>
      </c>
      <c r="G108" s="0" t="n">
        <v>0.239134450166737</v>
      </c>
      <c r="H108" s="0" t="n">
        <v>0.0622802933008656</v>
      </c>
      <c r="I108" s="0" t="n">
        <v>0.0453508251411911</v>
      </c>
      <c r="J108" s="0" t="n">
        <v>0.0296013455439622</v>
      </c>
      <c r="K108" s="0" t="n">
        <v>0.0171740846522119</v>
      </c>
      <c r="L108" s="0" t="n">
        <v>0.00950118178083939</v>
      </c>
      <c r="M108" s="0" t="n">
        <v>0.0125030619671452</v>
      </c>
    </row>
    <row r="109" customFormat="false" ht="12.75" hidden="false" customHeight="true" outlineLevel="0" collapsed="false">
      <c r="A109" s="5" t="n">
        <v>2017</v>
      </c>
      <c r="B109" s="0" t="n">
        <v>0.0482126493011867</v>
      </c>
      <c r="C109" s="0" t="n">
        <v>0.282893963550521</v>
      </c>
      <c r="D109" s="0" t="n">
        <v>0.990476822917546</v>
      </c>
      <c r="E109" s="0" t="n">
        <v>0.80091149674604</v>
      </c>
      <c r="F109" s="0" t="n">
        <v>0.750895289476758</v>
      </c>
      <c r="G109" s="0" t="n">
        <v>0.331224680352331</v>
      </c>
      <c r="H109" s="0" t="n">
        <v>0.281632937026394</v>
      </c>
      <c r="I109" s="0" t="n">
        <v>0.0808357323650202</v>
      </c>
      <c r="J109" s="0" t="n">
        <v>0.0568675702217851</v>
      </c>
      <c r="K109" s="0" t="n">
        <v>0.0346075633986281</v>
      </c>
      <c r="L109" s="0" t="n">
        <v>0.0191621057892825</v>
      </c>
      <c r="M109" s="0" t="n">
        <v>0.0443396432826882</v>
      </c>
    </row>
    <row r="110" customFormat="false" ht="12.75" hidden="false" customHeight="true" outlineLevel="0" collapsed="false">
      <c r="A110" s="5" t="n">
        <v>2018</v>
      </c>
      <c r="B110" s="0" t="n">
        <v>0.0992435507834957</v>
      </c>
      <c r="C110" s="0" t="n">
        <v>0.604654692934268</v>
      </c>
      <c r="D110" s="0" t="n">
        <v>0.53494954774511</v>
      </c>
      <c r="E110" s="0" t="n">
        <v>1.11692858795266</v>
      </c>
      <c r="F110" s="0" t="n">
        <v>0.72428878159781</v>
      </c>
      <c r="G110" s="0" t="n">
        <v>0.236434390949698</v>
      </c>
      <c r="H110" s="0" t="n">
        <v>0.306414609958408</v>
      </c>
      <c r="I110" s="0" t="n">
        <v>0.142772125377634</v>
      </c>
      <c r="J110" s="0" t="n">
        <v>0.0576255961735214</v>
      </c>
      <c r="K110" s="0" t="n">
        <v>0.0360516559595129</v>
      </c>
      <c r="L110" s="0" t="n">
        <v>0.0338717563055242</v>
      </c>
      <c r="M110" s="0" t="n">
        <v>0.129344666544577</v>
      </c>
    </row>
    <row r="111" customFormat="false" ht="12.75" hidden="false" customHeight="true" outlineLevel="0" collapsed="false">
      <c r="A111" s="5" t="n">
        <v>2019</v>
      </c>
      <c r="B111" s="0" t="n">
        <v>0.202265050277851</v>
      </c>
      <c r="C111" s="0" t="n">
        <v>0.438507004658902</v>
      </c>
      <c r="D111" s="0" t="n">
        <v>1.63477630610663</v>
      </c>
      <c r="E111" s="0" t="n">
        <v>1.91260493893351</v>
      </c>
      <c r="F111" s="0" t="n">
        <v>1.09132202687096</v>
      </c>
      <c r="G111" s="0" t="n">
        <v>0.720593604149096</v>
      </c>
      <c r="H111" s="0" t="n">
        <v>0.278302870555169</v>
      </c>
      <c r="I111" s="0" t="n">
        <v>0.158263041072852</v>
      </c>
      <c r="J111" s="0" t="n">
        <v>0.104982338948</v>
      </c>
      <c r="K111" s="0" t="n">
        <v>0.0598604421251393</v>
      </c>
      <c r="L111" s="0" t="n">
        <v>0.03336769977745</v>
      </c>
      <c r="M111" s="0" t="n">
        <v>0.0237753109459416</v>
      </c>
    </row>
    <row r="112" customFormat="false" ht="12.75" hidden="false" customHeight="true" outlineLevel="0" collapsed="false">
      <c r="A112" s="5" t="n">
        <v>2020</v>
      </c>
      <c r="B112" s="0" t="n">
        <v>0.260251134366844</v>
      </c>
      <c r="C112" s="0" t="n">
        <v>0.636385932608819</v>
      </c>
      <c r="D112" s="0" t="n">
        <v>0.610270191710254</v>
      </c>
      <c r="E112" s="0" t="n">
        <v>1.45397275363088</v>
      </c>
      <c r="F112" s="0" t="n">
        <v>0.38578230980535</v>
      </c>
      <c r="G112" s="0" t="n">
        <v>0.349150976137533</v>
      </c>
      <c r="H112" s="0" t="n">
        <v>0.156065235555418</v>
      </c>
      <c r="I112" s="0" t="n">
        <v>0.0795053657345904</v>
      </c>
      <c r="J112" s="0" t="n">
        <v>0.0539526479091106</v>
      </c>
      <c r="K112" s="0" t="n">
        <v>0.0311596742004201</v>
      </c>
      <c r="L112" s="0" t="n">
        <v>0.0222434124297062</v>
      </c>
      <c r="M112" s="0" t="n">
        <v>0.00993361958694841</v>
      </c>
    </row>
    <row r="113" customFormat="false" ht="12.75" hidden="false" customHeight="true" outlineLevel="0" collapsed="false">
      <c r="A113" s="5" t="n">
        <v>2021</v>
      </c>
      <c r="B113" s="0" t="n">
        <v>0.156448887382741</v>
      </c>
      <c r="C113" s="0" t="n">
        <v>0.207735688999045</v>
      </c>
      <c r="D113" s="0" t="n">
        <v>0.954592107794046</v>
      </c>
      <c r="E113" s="0" t="n">
        <v>0.664652082983593</v>
      </c>
      <c r="F113" s="0" t="n">
        <v>0.581737964318323</v>
      </c>
      <c r="G113" s="0" t="n">
        <v>0.199083580654699</v>
      </c>
      <c r="H113" s="0" t="n">
        <v>0.149703243274904</v>
      </c>
      <c r="I113" s="0" t="n">
        <v>0.0621157596370861</v>
      </c>
      <c r="J113" s="0" t="n">
        <v>0.0412466902156469</v>
      </c>
      <c r="K113" s="0" t="n">
        <v>0.0266238066990844</v>
      </c>
      <c r="L113" s="0" t="n">
        <v>0.019999130604482</v>
      </c>
      <c r="M113" s="0" t="n">
        <v>0.068016758244513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8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0.84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0.29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3.1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0.61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6.7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11.22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0.97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16.51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1.14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21.3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1.23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22.5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1.25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29.17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1.41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36.49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1.51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44.45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1.66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1E+099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1.66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1.66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1.66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1.66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1.66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1.66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1.66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1.66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1.66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1.66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1.66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1.66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1.66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1.66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1.66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1.66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1.66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1.66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1.66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1.66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1.66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1.66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1.66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1.66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1.66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1.66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1.66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1.66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1.66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1.66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1.66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1.66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1.66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1.66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1.66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1.66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1.66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1.66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1.66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1.66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1.66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1.66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1.66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1.66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1.66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1.66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1.66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1.66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1.66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1.66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1.66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1.66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1.66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1.66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1.66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1.66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1.66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1.66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1.66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1.66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1.66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1.66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1.66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1.66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1.66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1.66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1.66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1.66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1.66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1.66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1.66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1.66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1.66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1.66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1.66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1.66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1.66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1.66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1.66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1.66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1.66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1.66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1.66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1.66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1.66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1.66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1.66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1.66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1.66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1.66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1.66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1.66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1.66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1.66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1.66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1.66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1.66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1.66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1.66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1.66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1.66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1.66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1.66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1.66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1.66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1.66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1.66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1.66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2026-10-03T15:54:37Z</dcterms:modified>
  <cp:revision>1</cp:revision>
  <dc:subject/>
  <dc:title/>
</cp:coreProperties>
</file>